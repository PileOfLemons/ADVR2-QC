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Info" sheetId="1" r:id="rId4"/>
    <sheet state="visible" name="Swiss Registry" sheetId="2" r:id="rId5"/>
    <sheet state="visible" name="Round 1" sheetId="3" r:id="rId6"/>
    <sheet state="visible" name="Round 2" sheetId="4" r:id="rId7"/>
    <sheet state="visible" name="Round 3" sheetId="5" r:id="rId8"/>
    <sheet state="visible" name="Round 4" sheetId="6" r:id="rId9"/>
    <sheet state="visible" name="Round 5" sheetId="7" r:id="rId10"/>
    <sheet state="visible" name="Round 6" sheetId="8" r:id="rId11"/>
    <sheet state="visible" name="Round 7" sheetId="9" r:id="rId12"/>
    <sheet state="visible" name="Round 8" sheetId="10" r:id="rId13"/>
    <sheet state="visible" name="Round 9" sheetId="11" r:id="rId14"/>
    <sheet state="visible" name="Round 10" sheetId="12" r:id="rId15"/>
    <sheet state="visible" name="Importer" sheetId="13" r:id="rId16"/>
    <sheet state="hidden" name="Bracket Resistry" sheetId="14" r:id="rId17"/>
    <sheet state="hidden" name="Play In Round" sheetId="15" r:id="rId18"/>
    <sheet state="hidden" name="Swiss2 Registry" sheetId="16" r:id="rId19"/>
    <sheet state="hidden" name="Blank Pool" sheetId="17" r:id="rId20"/>
  </sheets>
  <definedNames>
    <definedName hidden="1" localSheetId="1" name="Z_B51D87DE_CBC5_4EA9_9A85_D9F59B3E2310_.wvu.FilterData">'Swiss Registry'!$C$1:$C$513</definedName>
    <definedName hidden="1" localSheetId="15" name="Z_B51D87DE_CBC5_4EA9_9A85_D9F59B3E2310_.wvu.FilterData">'Swiss2 Registry'!$D$1:$D$513</definedName>
    <definedName hidden="1" localSheetId="1" name="Z_7F17E550_16AE_4095_AAAB_E7617E3507E3_.wvu.FilterData">'Swiss Registry'!$A$1:$C$513</definedName>
    <definedName hidden="1" localSheetId="13" name="Z_7F17E550_16AE_4095_AAAB_E7617E3507E3_.wvu.FilterData">'Bracket Resistry'!$B$1:$C$67</definedName>
    <definedName hidden="1" localSheetId="15" name="Z_7F17E550_16AE_4095_AAAB_E7617E3507E3_.wvu.FilterData">'Swiss2 Registry'!$B$1:$D$513</definedName>
    <definedName hidden="1" localSheetId="1" name="Z_D468414C_A6AE_4F88_8204_055F8E51B061_.wvu.FilterData">'Swiss Registry'!$A$1:$C$513</definedName>
    <definedName hidden="1" localSheetId="13" name="Z_D468414C_A6AE_4F88_8204_055F8E51B061_.wvu.FilterData">'Bracket Resistry'!$B$1:$C$67</definedName>
    <definedName hidden="1" localSheetId="15" name="Z_D468414C_A6AE_4F88_8204_055F8E51B061_.wvu.FilterData">'Swiss2 Registry'!$B$1:$D$513</definedName>
    <definedName hidden="1" localSheetId="1" name="Z_AF201F68_3A2C_4912_A179_7128AEFE80D3_.wvu.FilterData">'Swiss Registry'!$A$1:$C$513</definedName>
    <definedName hidden="1" localSheetId="13" name="Z_AF201F68_3A2C_4912_A179_7128AEFE80D3_.wvu.FilterData">'Bracket Resistry'!$B$1:$C$67</definedName>
    <definedName hidden="1" localSheetId="15" name="Z_AF201F68_3A2C_4912_A179_7128AEFE80D3_.wvu.FilterData">'Swiss2 Registry'!$B$1:$D$513</definedName>
    <definedName hidden="1" localSheetId="1" name="Z_E4151595_7793_49E0_AAF1_42441FFD5C39_.wvu.FilterData">'Swiss Registry'!$A$1:$C$513</definedName>
    <definedName hidden="1" localSheetId="13" name="Z_E4151595_7793_49E0_AAF1_42441FFD5C39_.wvu.FilterData">'Bracket Resistry'!$B$1:$C$67</definedName>
    <definedName hidden="1" localSheetId="15" name="Z_E4151595_7793_49E0_AAF1_42441FFD5C39_.wvu.FilterData">'Swiss2 Registry'!$B$1:$D$513</definedName>
  </definedNames>
  <calcPr/>
  <customWorkbookViews>
    <customWorkbookView activeSheetId="0" maximized="1" windowHeight="0" windowWidth="0" guid="{E4151595-7793-49E0-AAF1-42441FFD5C39}" name="Filter 4"/>
    <customWorkbookView activeSheetId="0" maximized="1" windowHeight="0" windowWidth="0" guid="{B51D87DE-CBC5-4EA9-9A85-D9F59B3E2310}" name="Filter 5"/>
    <customWorkbookView activeSheetId="0" maximized="1" windowHeight="0" windowWidth="0" guid="{D468414C-A6AE-4F88-8204-055F8E51B061}" name="Filter 2"/>
    <customWorkbookView activeSheetId="0" maximized="1" windowHeight="0" windowWidth="0" guid="{AF201F68-3A2C-4912-A179-7128AEFE80D3}" name="Filter 3"/>
    <customWorkbookView activeSheetId="0" maximized="1" windowHeight="0" windowWidth="0" guid="{7F17E550-16AE-4095-AAAB-E7617E3507E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[A|B] {Game1} {Game2} {Game3}
Where either A or B is the winner (A is left side, B is right side), and {Game1}/{Game2}/{Game3} are the REPLAY NUMBERS of what you put into the Importer sheet. PLEASE use 3 DIGITS, even if they are 0s, for telling it what replays to use. When putting in the match code, just put in the letter and digits, not the brackets. Those are just there to help you see.
For example, a set where the left side won and consists of replays #001, #002, and #003 looks as follows: A001002003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INPUTTING SETS:
If the set was completed as normal, use the following format in Column H to the right of the match:
[A|B] {Game1} {Game2} {Game3}
Where either A or B is the winner (A is left side, B is right side), and {Game1}/{Game2}/{Game3} are the REPLAY NUMBERS of what you put into the Importer sheet. PLEASE use 3 DIGITS, even if they are 0s, for telling it what replays to use. When putting in the match code, just put in the letter and digits, not the brackets. Those are just there to help you see.
For example, a set where the left side won and consists of replays #001, #002, and #003 looks as follows: A001002003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3 DIGITS, even if they are 0s, for telling it what replays to use. When putting in the match code, just put in the letter and digits, not the brackets. Those are just there to help you see.
For example, a set where the left side won and consists of replays #001, #002, and #003 looks as follows: A001002003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 authorId="0" ref="E154">
      <text>
        <t xml:space="preserve">game is marked as a win for Felizelise because thegreatest23 brought Ninjask, an illegal pokemon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bA
[A|B] {Game1} {Game2} {Game3}
Where either A or B is the winner (A is left side, B is right side), and {Game1}/{Game2}/{Game3} are the REPLAY NUMBERS of what you put into the Importer sheet. PLEASE use 4 DIGITS, even if they are 0s, for telling it what replays to use. When putting in the match code, just put in the letter and digits, not the brackets. Those are just there to help you see.
For example, a set where the left side won and consists of replays #0001, #0002, and #0003 looks as follows: A000100020003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INPUTTING SETS:
If the set was completed as normal, use the following format in Column H to the right of the match:
[A|B] {Game1} {Game2} {Game3}
Where either A or B is the winner (A is left side, B is right side), and {Game1}/{Game2}/{Game3} are the REPLAY NUMBERS of what you put into the Importer sheet. PLEASE use 3 DIGITS, even if they are 0s, for telling it what replays to use. When putting in the match code, just put in the letter and digits, not the brackets. Those are just there to help you see.
For example, a set where the left side won and consists of replays #001, #002, and #003 looks as follows: A001002003
For Activity wins, type either "act:A" or "act:B" depending on what side has the activity claim. For dead games, type "dead". THIS IS CASE SENSITIVE.
I should be giving instructions to each pool manager as to how to format the match codes, but note that these things are very finnicky as to what is put in there. This note is here in the instance you forget and I'm not around. 
If you would like assistance with any of this, ping me. IF, FOR SOME REASON, I DON'T ANSWER, DM ME SO I CAN SEE IT THE SECOND I RETURN. 
- @gravebee</t>
      </text>
    </comment>
  </commentList>
</comments>
</file>

<file path=xl/sharedStrings.xml><?xml version="1.0" encoding="utf-8"?>
<sst xmlns="http://schemas.openxmlformats.org/spreadsheetml/2006/main" count="7960" uniqueCount="7439">
  <si>
    <t>The ADV REVIVAL Survival Guide</t>
  </si>
  <si>
    <t>TOURNAMENT RULES</t>
  </si>
  <si>
    <t>Helpful Resources:</t>
  </si>
  <si>
    <t>1. Cheaters Get Banned. Forever.</t>
  </si>
  <si>
    <t xml:space="preserve">This right side of this info tab will give you more resources on how to play ADV to the fullest and truly get the most out of this game. We really recommend taking a look at them - As the descriptions say, they cover a variety of different topics, often just about anything you could want to know about the game. </t>
  </si>
  <si>
    <t>2. Smogon Bans Carry Over.</t>
  </si>
  <si>
    <t>3. Do Not Use Alts During Tour Sets.</t>
  </si>
  <si>
    <t>SCHEDULING FOR DUMMIES</t>
  </si>
  <si>
    <t>Current, ADV-Specific Resources</t>
  </si>
  <si>
    <r>
      <rPr>
        <rFont val="Overlock"/>
        <color theme="1"/>
        <sz val="9.0"/>
      </rPr>
      <t xml:space="preserve">These are resources </t>
    </r>
    <r>
      <rPr>
        <rFont val="Overlock"/>
        <b/>
        <color theme="1"/>
        <sz val="9.0"/>
      </rPr>
      <t>specifically for ADV OU</t>
    </r>
    <r>
      <rPr>
        <rFont val="Overlock"/>
        <color theme="1"/>
        <sz val="9.0"/>
      </rPr>
      <t xml:space="preserve"> which are both up-to-date and useful in learning the tier. They won't give you info that may be outdated as of the time of this tournament</t>
    </r>
  </si>
  <si>
    <r>
      <rPr>
        <rFont val="Overlock SC"/>
        <b/>
        <color theme="1"/>
        <sz val="12.0"/>
      </rPr>
      <t>Phase 1: Find your Pool.</t>
    </r>
    <r>
      <rPr>
        <rFont val="Overlock SC"/>
        <color theme="1"/>
        <sz val="8.0"/>
      </rPr>
      <t xml:space="preserve"> This is in the "Registry" tab next to your name. If you still can't see it, check your Discord roles and it should magically appear for you.</t>
    </r>
  </si>
  <si>
    <t>An intro to some of the most common cores you'll probably see in an average game of ADV</t>
  </si>
  <si>
    <r>
      <rPr>
        <rFont val="Overlock SC"/>
        <b/>
        <color theme="1"/>
        <sz val="11.0"/>
      </rPr>
      <t>Phase 2: Find Your Opponent.</t>
    </r>
    <r>
      <rPr>
        <rFont val="Overlock SC"/>
        <color theme="1"/>
        <sz val="8.0"/>
      </rPr>
      <t xml:space="preserve"> If you go to your discord scheduling thread you will see your matchup The person on the other side of the bracket is your punching bag.</t>
    </r>
  </si>
  <si>
    <t>An addendum to the above, which goes into more advanced detail and all sorts of teambuilding logic</t>
  </si>
  <si>
    <r>
      <rPr>
        <rFont val="Overlock SC"/>
        <b/>
        <color theme="1"/>
        <sz val="12.0"/>
      </rPr>
      <t>Phase 3: Schedule The Beatdown.</t>
    </r>
    <r>
      <rPr>
        <rFont val="Overlock SC"/>
        <color theme="1"/>
        <sz val="8.0"/>
      </rPr>
      <t xml:space="preserve"> This is exactly what it sounds like. </t>
    </r>
    <r>
      <rPr>
        <rFont val="Overlock SC"/>
        <b/>
        <color theme="1"/>
        <sz val="8.0"/>
      </rPr>
      <t>You have five</t>
    </r>
    <r>
      <rPr>
        <rFont val="Courier New"/>
        <b/>
        <color theme="1"/>
        <sz val="8.0"/>
      </rPr>
      <t>(5)</t>
    </r>
    <r>
      <rPr>
        <rFont val="Overlock SC"/>
        <b/>
        <color theme="1"/>
        <sz val="8.0"/>
      </rPr>
      <t>days to play your games.</t>
    </r>
    <r>
      <rPr>
        <rFont val="Overlock SC"/>
        <color theme="1"/>
        <sz val="8.0"/>
      </rPr>
      <t xml:space="preserve"> Find a time within those </t>
    </r>
    <r>
      <rPr>
        <rFont val="Overlock SC"/>
        <b/>
        <color theme="1"/>
        <sz val="8.0"/>
      </rPr>
      <t>five</t>
    </r>
    <r>
      <rPr>
        <rFont val="Courier New"/>
        <b/>
        <color theme="1"/>
        <sz val="8.0"/>
      </rPr>
      <t>(5)</t>
    </r>
    <r>
      <rPr>
        <rFont val="Overlock SC"/>
        <b/>
        <color theme="1"/>
        <sz val="8.0"/>
      </rPr>
      <t>days</t>
    </r>
    <r>
      <rPr>
        <rFont val="Overlock SC"/>
        <color theme="1"/>
        <sz val="8.0"/>
      </rPr>
      <t xml:space="preserve"> that works well.</t>
    </r>
  </si>
  <si>
    <t>A (somewhat) comprehensive list of all the mechanical differences between ADV and other generations of pokemon you may be used to</t>
  </si>
  <si>
    <r>
      <rPr>
        <rFont val="Overlock SC"/>
        <b/>
        <color theme="1"/>
        <sz val="12.0"/>
      </rPr>
      <t>Phase 4: Play The Games.</t>
    </r>
    <r>
      <rPr>
        <rFont val="Overlock SC"/>
        <color theme="1"/>
      </rPr>
      <t xml:space="preserve"> </t>
    </r>
    <r>
      <rPr>
        <rFont val="Overlock SC"/>
        <color theme="1"/>
        <sz val="8.0"/>
      </rPr>
      <t>Show up at the scheduled time, and make sure to be respectful to your opponent. The winner should save the replays.</t>
    </r>
  </si>
  <si>
    <t>A list of how fast everything typically is, giving an idea on how much a given pokemon may invest in speed to outrun specific threats</t>
  </si>
  <si>
    <r>
      <rPr>
        <rFont val="Overlock SC"/>
        <b/>
        <color theme="1"/>
        <sz val="10.0"/>
      </rPr>
      <t xml:space="preserve">Phase 5: Send The Replays. </t>
    </r>
    <r>
      <rPr>
        <rFont val="Overlock SC"/>
        <color theme="1"/>
        <sz val="8.0"/>
        <u/>
      </rPr>
      <t>REPLAYS ARE MANDATORY.</t>
    </r>
    <r>
      <rPr>
        <rFont val="Overlock SC"/>
        <color theme="1"/>
        <sz val="8.0"/>
      </rPr>
      <t xml:space="preserve"> </t>
    </r>
    <r>
      <rPr>
        <rFont val="Overlock SC"/>
        <color theme="1"/>
        <sz val="10.0"/>
      </rPr>
      <t>If you do not submit a replay, do not blame the survival guide when you are coinflipped.</t>
    </r>
  </si>
  <si>
    <t>Some important numbers to know for teambuilding. If you're using a team that you found from another good player, this will explain the really specific EV spreads used</t>
  </si>
  <si>
    <r>
      <rPr>
        <rFont val="Overlock"/>
        <color theme="1"/>
      </rPr>
      <t xml:space="preserve">By adhering to this simple 5-step program, you too can help support Pool Mod Sanity and prevent activity calls! </t>
    </r>
    <r>
      <rPr>
        <rFont val="Overlock"/>
        <b/>
        <color theme="1"/>
      </rPr>
      <t>If you become confused with how scheduling works, ask your Pool Mod! Your assigned Pool Mod will be next to your name in the Registry tab.</t>
    </r>
  </si>
  <si>
    <t>An intro to all the biggest threats in ADV and what functions they typically serve on a team</t>
  </si>
  <si>
    <t>An introduction to all the stuff that's particularly popular on the ADV ladder as of August 2023 (note: If you need help making sense of the usage stats just ping/DM GraveBee)</t>
  </si>
  <si>
    <r>
      <rPr>
        <rFont val="Overlock"/>
        <b/>
        <color theme="1"/>
        <sz val="8.0"/>
      </rPr>
      <t>POOL MODS</t>
    </r>
    <r>
      <rPr>
        <rFont val="Overlock"/>
        <color theme="1"/>
        <sz val="8.0"/>
      </rPr>
      <t xml:space="preserve">: Pool Mods are the people who verify your games, and they are more than happy to help with any manner of question you may have. </t>
    </r>
    <r>
      <rPr>
        <rFont val="Overlock"/>
        <b/>
        <color theme="1"/>
        <sz val="8.0"/>
      </rPr>
      <t>WHEN IN DOUBT, ASK THE POOL MOD.</t>
    </r>
  </si>
  <si>
    <t>ADV has slightly different mechanics with the move Beat Up compared to other generations, and this calculator can help you get the exact amount you'll see in real games</t>
  </si>
  <si>
    <r>
      <rPr>
        <rFont val="Overlock"/>
        <color theme="1"/>
        <sz val="8.0"/>
      </rPr>
      <t xml:space="preserve">Do you need to know what the hell people are talking about when it comes to ADV OU? Want to find out what the hell a superachi is, or why we play basketball in a pokemon game? </t>
    </r>
    <r>
      <rPr>
        <rFont val="Overlock"/>
        <b/>
        <color theme="1"/>
        <sz val="8.0"/>
      </rPr>
      <t>READ THIS.</t>
    </r>
  </si>
  <si>
    <t>Rules of Engagement</t>
  </si>
  <si>
    <t>Universal, but Useful, Current Resources</t>
  </si>
  <si>
    <t>These resources can encompass a bit more than just ADV, but you'll probably find them useful regardless</t>
  </si>
  <si>
    <t>These are all the Battle-Specific rules that players are expected to adhere to when showing up to and playing their sets. Failure to adhere to them will constitute a game loss.</t>
  </si>
  <si>
    <t>This can be used to insert your opponent's replays and see what kinds of sets they used in prior matches.</t>
  </si>
  <si>
    <r>
      <rPr>
        <rFont val="Courier New"/>
        <b/>
        <color theme="1"/>
        <sz val="10.0"/>
      </rPr>
      <t xml:space="preserve">1. Standard Smogon Rulesets Apply
</t>
    </r>
    <r>
      <rPr>
        <rFont val="Courier New"/>
        <b val="0"/>
        <color theme="1"/>
        <sz val="10.0"/>
      </rPr>
      <t>The usual clauses and ruleset of a [Gen3] OU game are to be used.</t>
    </r>
  </si>
  <si>
    <r>
      <rPr>
        <rFont val="Overlock"/>
        <color theme="1"/>
      </rPr>
      <t xml:space="preserve">It's pretty simple - this thing calculates damage. You can use it to determine if something </t>
    </r>
    <r>
      <rPr>
        <rFont val="Overlock"/>
        <i/>
        <color theme="1"/>
      </rPr>
      <t xml:space="preserve">really </t>
    </r>
    <r>
      <rPr>
        <rFont val="Overlock"/>
        <color theme="1"/>
      </rPr>
      <t>kills or is just a chance to kill. Overall, indispensible stuff.</t>
    </r>
  </si>
  <si>
    <r>
      <rPr>
        <rFont val="Courier New"/>
        <b/>
        <color theme="1"/>
        <sz val="10.0"/>
      </rPr>
      <t xml:space="preserve">2. We Play ADV, Not Slot Machines
</t>
    </r>
    <r>
      <rPr>
        <rFont val="Courier New"/>
        <b/>
        <color theme="1"/>
        <sz val="8.0"/>
      </rPr>
      <t xml:space="preserve">
</t>
    </r>
    <r>
      <rPr>
        <rFont val="Courier New"/>
        <b val="0"/>
        <color theme="1"/>
        <sz val="8.0"/>
      </rPr>
      <t xml:space="preserve">The following bans are in place on top of the standard Smogon ruleset due to their negative effects on a game's competitive integrity:
</t>
    </r>
    <r>
      <rPr>
        <rFont val="Courier New"/>
        <b/>
        <color theme="1"/>
        <sz val="8.0"/>
      </rPr>
      <t xml:space="preserve">Items: </t>
    </r>
    <r>
      <rPr>
        <rFont val="Courier New"/>
        <b val="0"/>
        <color theme="1"/>
        <sz val="8.0"/>
      </rPr>
      <t xml:space="preserve">Bright Powder, King's Rock, Lax Incense, Quick Claw, Focus Band
</t>
    </r>
    <r>
      <rPr>
        <rFont val="Courier New"/>
        <b/>
        <color theme="1"/>
        <sz val="8.0"/>
      </rPr>
      <t xml:space="preserve">Moves: </t>
    </r>
    <r>
      <rPr>
        <rFont val="Courier New"/>
        <b val="0"/>
        <color theme="1"/>
        <sz val="8.0"/>
      </rPr>
      <t xml:space="preserve">Flash, Kinesis, Sand Attack, Smokescreen, Mud-Slap, Swagger, Flatter, Confuse Ray, Supersonic, Teeter Dance, Attract
</t>
    </r>
    <r>
      <rPr>
        <rFont val="Courier New"/>
        <b/>
        <color theme="1"/>
        <sz val="8.0"/>
      </rPr>
      <t xml:space="preserve">Pokemon: </t>
    </r>
    <r>
      <rPr>
        <rFont val="Courier New"/>
        <b val="0"/>
        <color theme="1"/>
        <sz val="8.0"/>
      </rPr>
      <t xml:space="preserve">Ninjask
</t>
    </r>
    <r>
      <rPr>
        <rFont val="Courier New"/>
        <b/>
        <color theme="1"/>
        <sz val="8.0"/>
      </rPr>
      <t>Failure to comply with these additional bans can lead to match loss or disqualification from the tournament.</t>
    </r>
  </si>
  <si>
    <t>A Chrome extension which is basically a built-in damage calculator for your Showdown instance. Don't worry, it's perfectly tournament legal.</t>
  </si>
  <si>
    <t>Community Samples and Team Dumps</t>
  </si>
  <si>
    <r>
      <rPr>
        <rFont val="Overlock"/>
        <color theme="1"/>
        <sz val="8.0"/>
      </rPr>
      <t xml:space="preserve">We as a community build a </t>
    </r>
    <r>
      <rPr>
        <rFont val="Overlock"/>
        <b/>
        <color theme="1"/>
        <sz val="8.0"/>
      </rPr>
      <t>ton of teams</t>
    </r>
    <r>
      <rPr>
        <rFont val="Overlock"/>
        <color theme="1"/>
        <sz val="8.0"/>
      </rPr>
      <t>, and often we build so many that we feel like sharing the secret sauce we've been cookin' up in the kitchen. This is your avenue to find that sauce</t>
    </r>
  </si>
  <si>
    <t>The general team dump for ADV OU teams</t>
  </si>
  <si>
    <t>Another forum thread for both team dumping and meta discussion</t>
  </si>
  <si>
    <t>These are the various sample dumps and teams from some of the better players to touch this game (at least, the more recent dumps people have made). If you just want something you can boot up and get going, look at McMeghan's. M Dragon's and Roro's team dumps both include some analysis on top of that for those of you who enjoy reading material</t>
  </si>
  <si>
    <t>Jim Cool explains ADV Offense and teambuilding using some of the most classic, well-used teams in the meta, as well as why you're doing what you're doing beyond just giving teams.</t>
  </si>
  <si>
    <t>This is the playground where various cool sets can be posted by the community for when you really want to shake things up</t>
  </si>
  <si>
    <t>Forums for Other Resources/Replays</t>
  </si>
  <si>
    <t>Want to find tons of chatter about all manner of competitive mons, ADV included? Check out the forums!</t>
  </si>
  <si>
    <t>RoA is Smogon's go-to source for anything from gen1 to gen8, including ADV</t>
  </si>
  <si>
    <t>An alternative forum to Smogon, Pokemon Perfect is another great place to talk about competitive mons, especially the old gens</t>
  </si>
  <si>
    <t>This is the dedicated place for RoA to post what's going on as far as other ADV tours going on</t>
  </si>
  <si>
    <t>ADV Community Youtube Channels</t>
  </si>
  <si>
    <t>If you feel like injecting ADV content into your brain automatically, or just want to support a wider variety of the ADV community, check these out</t>
  </si>
  <si>
    <t>All the gameplay from this server and more!</t>
  </si>
  <si>
    <t>Probably why you are here. Good talk about a variety of formats but has some particularly great videos in terms of the smaller ADV niches which make this meta so deep</t>
  </si>
  <si>
    <t>One of the more data-inclined folks in the community, Vapicuno has a bunch of videos of getting to higher points on the ladder with some things you may not expect</t>
  </si>
  <si>
    <t>BKC's channel is a great source of more long-form content that covers a variety of formats. Great place to look for why things make a meta function the way they do</t>
  </si>
  <si>
    <t>Arguably the best ADVer to ever ADV.</t>
  </si>
  <si>
    <t>An ADV commentator who's hosted the biggest ADV tour of the year for several years, good place to go if you're really into high-level replay analysis / commentary</t>
  </si>
  <si>
    <t>A newer addition to the ADV scene, Zpanther focuses on both ADV OU and Draft League. Pretty great at explaining things in a way that is practical and simple</t>
  </si>
  <si>
    <t>Great source of general ADV/Gen3 content, and current 2nd place all time record for Emerald's Battle Factory</t>
  </si>
  <si>
    <t>Discord Servers</t>
  </si>
  <si>
    <t>Want to find like-minded folks and be around others who enjoy nerding out about competitive pokemon? You've come to the right place.</t>
  </si>
  <si>
    <t>The discord of Jim Cool, otherwise known as JimCord, is a great place to just chill around and chat about a variety of formats</t>
  </si>
  <si>
    <t>The smogon discord dedicated to old generations, RoA hosts a ton of small room tournaments as well as most of the big smogon tours for gens 1-8</t>
  </si>
  <si>
    <t>BKC cord is a great place for those who want to get into the meat and potatoes of learning old gen metagames inside and out in addition to lounging around</t>
  </si>
  <si>
    <t>An alternative to Smogon, Pokemon Perfect hosts tours of its own which makes for another great place for more serious competitive stuff</t>
  </si>
  <si>
    <t>Smogon's discord dedicated to anything ADV, be it OU or Doubles or Little Cup or Ubers and everything inbetween</t>
  </si>
  <si>
    <t>Older, Possibly Outdated Resources</t>
  </si>
  <si>
    <t>Your mileage may vary, as some of it is a bit outdated, but with the right implementation this stuff can still be really handy</t>
  </si>
  <si>
    <t>Some stuff from what many consider to be the most skilled ADVer to touch the tier, though it is on the older side. This can help give insight into older sets that are still really well built and which used to be the forefront of the metagame</t>
  </si>
  <si>
    <t>The RoA community samples can be quite good but quite dated at times, and it's mostly outdated due to metagame shifts which don't favor these teams as much as they used to</t>
  </si>
  <si>
    <t>The first turn of any given game can be vital to how the rest plays out. This might give some more basic info on how ADV generally makes use of those first couple turns</t>
  </si>
  <si>
    <t>A moveset analysis for what at the time was every relevant ADV mon, good for if you want to get an idea of how various sets can function with one another while keeping their own unique purpose</t>
  </si>
  <si>
    <t>Seed</t>
  </si>
  <si>
    <t>Player Name</t>
  </si>
  <si>
    <t>Record</t>
  </si>
  <si>
    <t>R1</t>
  </si>
  <si>
    <t>R2</t>
  </si>
  <si>
    <t>R3</t>
  </si>
  <si>
    <t>R4</t>
  </si>
  <si>
    <t>R5</t>
  </si>
  <si>
    <t>R6</t>
  </si>
  <si>
    <t>R7</t>
  </si>
  <si>
    <t>R8</t>
  </si>
  <si>
    <t>R9</t>
  </si>
  <si>
    <t>R10</t>
  </si>
  <si>
    <t>ID</t>
  </si>
  <si>
    <t>Fakes</t>
  </si>
  <si>
    <t>917864414269550693</t>
  </si>
  <si>
    <t>Altina</t>
  </si>
  <si>
    <t>195417421459226626</t>
  </si>
  <si>
    <t>Triangles</t>
  </si>
  <si>
    <t>587394354725912717</t>
  </si>
  <si>
    <t>pkLeech</t>
  </si>
  <si>
    <t>461288985944391708</t>
  </si>
  <si>
    <t>Caloom</t>
  </si>
  <si>
    <t>428981810811109386</t>
  </si>
  <si>
    <t>Fear</t>
  </si>
  <si>
    <t>125981893828149248</t>
  </si>
  <si>
    <t>jumpy23</t>
  </si>
  <si>
    <t>127527434865082368</t>
  </si>
  <si>
    <t>Leo</t>
  </si>
  <si>
    <t>221637804185223170</t>
  </si>
  <si>
    <t>Kollin</t>
  </si>
  <si>
    <t>83000775151714304</t>
  </si>
  <si>
    <t>Cyberodin</t>
  </si>
  <si>
    <t>259426043285340160</t>
  </si>
  <si>
    <t>Blues</t>
  </si>
  <si>
    <t>687987394292482066</t>
  </si>
  <si>
    <t>Pak</t>
  </si>
  <si>
    <t>172884622986706945</t>
  </si>
  <si>
    <t>River</t>
  </si>
  <si>
    <t>543280883000541224</t>
  </si>
  <si>
    <t>Voyager</t>
  </si>
  <si>
    <t>554730792488534056</t>
  </si>
  <si>
    <t>Carapinga</t>
  </si>
  <si>
    <t>475993004994330629</t>
  </si>
  <si>
    <t>Mielke</t>
  </si>
  <si>
    <t>324650949371232257</t>
  </si>
  <si>
    <t>Tyros</t>
  </si>
  <si>
    <t>417524121719799819</t>
  </si>
  <si>
    <t>Pokology</t>
  </si>
  <si>
    <t>647891006347542566</t>
  </si>
  <si>
    <t>void</t>
  </si>
  <si>
    <t>153249462641229824</t>
  </si>
  <si>
    <t>Mayo</t>
  </si>
  <si>
    <t>244639333187846144</t>
  </si>
  <si>
    <t>Adam</t>
  </si>
  <si>
    <t>714861229935689862</t>
  </si>
  <si>
    <t>laxuy</t>
  </si>
  <si>
    <t>162377920117997568</t>
  </si>
  <si>
    <t>udm31</t>
  </si>
  <si>
    <t>892364236523708427</t>
  </si>
  <si>
    <t>Big Will</t>
  </si>
  <si>
    <t>119592871962607616</t>
  </si>
  <si>
    <t>JR</t>
  </si>
  <si>
    <t>319563636483817472</t>
  </si>
  <si>
    <t>keepingiticy</t>
  </si>
  <si>
    <t>174532509701373952</t>
  </si>
  <si>
    <t>Sheik</t>
  </si>
  <si>
    <t>700432987858403420</t>
  </si>
  <si>
    <t>Typhoon Carter</t>
  </si>
  <si>
    <t>313800288647774211</t>
  </si>
  <si>
    <t>247063915790336004</t>
  </si>
  <si>
    <t>eliandiditagain</t>
  </si>
  <si>
    <t>268922335946342400</t>
  </si>
  <si>
    <t>Spfunkm</t>
  </si>
  <si>
    <t>SUB</t>
  </si>
  <si>
    <t>Johnald</t>
  </si>
  <si>
    <t>196328307241910272</t>
  </si>
  <si>
    <t>W_R</t>
  </si>
  <si>
    <t>D3stiny</t>
  </si>
  <si>
    <t>836748504621252618</t>
  </si>
  <si>
    <t>Zacpz</t>
  </si>
  <si>
    <t>719547987277119638</t>
  </si>
  <si>
    <t>Segale</t>
  </si>
  <si>
    <t>1059548623416856608</t>
  </si>
  <si>
    <t>Zerkas</t>
  </si>
  <si>
    <t>832336642315518002</t>
  </si>
  <si>
    <t>Colteor</t>
  </si>
  <si>
    <t>327152054747529217</t>
  </si>
  <si>
    <t>earlgr3y</t>
  </si>
  <si>
    <t>1058405539903713330</t>
  </si>
  <si>
    <t>goldmason</t>
  </si>
  <si>
    <t>140308490609623041</t>
  </si>
  <si>
    <t>Celdanami</t>
  </si>
  <si>
    <t>1031364783804526612</t>
  </si>
  <si>
    <t>ThisGuyMuks</t>
  </si>
  <si>
    <t>397627331637805056</t>
  </si>
  <si>
    <t>Christos</t>
  </si>
  <si>
    <t>202869299113623563</t>
  </si>
  <si>
    <t>Dridri457</t>
  </si>
  <si>
    <t>1067112559704014909</t>
  </si>
  <si>
    <t>DeezCastforms</t>
  </si>
  <si>
    <t>358052192915292161</t>
  </si>
  <si>
    <t>Zelph</t>
  </si>
  <si>
    <t>895466276191862855</t>
  </si>
  <si>
    <t>Figull400</t>
  </si>
  <si>
    <t>758667386822983680</t>
  </si>
  <si>
    <t>Don Tonionie</t>
  </si>
  <si>
    <t>281159058155634700</t>
  </si>
  <si>
    <t>Bhol</t>
  </si>
  <si>
    <t>708350647879335966</t>
  </si>
  <si>
    <t>xTina</t>
  </si>
  <si>
    <t>157273003971969025</t>
  </si>
  <si>
    <t>Texas Cloverleaf</t>
  </si>
  <si>
    <t>166991049653223424</t>
  </si>
  <si>
    <t>OOZ</t>
  </si>
  <si>
    <t>163395445421244418</t>
  </si>
  <si>
    <t>Evakiyama</t>
  </si>
  <si>
    <t>379787698799640576</t>
  </si>
  <si>
    <t>Futtoka</t>
  </si>
  <si>
    <t>1161228067637833728</t>
  </si>
  <si>
    <t>Kai (aplgd)</t>
  </si>
  <si>
    <t>782951193495207938</t>
  </si>
  <si>
    <t>Vayun</t>
  </si>
  <si>
    <t>773919415153983489</t>
  </si>
  <si>
    <t>MeEsSm</t>
  </si>
  <si>
    <t>316388400540286978</t>
  </si>
  <si>
    <t>kingofironfrisk</t>
  </si>
  <si>
    <t>232531609293684746</t>
  </si>
  <si>
    <t>OopsAllDeoxys</t>
  </si>
  <si>
    <t>528307805422223380</t>
  </si>
  <si>
    <t>Exiline</t>
  </si>
  <si>
    <t>155646670988640258</t>
  </si>
  <si>
    <t>Zpanther</t>
  </si>
  <si>
    <t>884609024937574432</t>
  </si>
  <si>
    <t>Nicole</t>
  </si>
  <si>
    <t>372784289420410882</t>
  </si>
  <si>
    <t>Rambode</t>
  </si>
  <si>
    <t>205091412088324096</t>
  </si>
  <si>
    <t>xGangg</t>
  </si>
  <si>
    <t>219915887254175744</t>
  </si>
  <si>
    <t>shawtyyyyyyy</t>
  </si>
  <si>
    <t>721487439847358505</t>
  </si>
  <si>
    <t>Mackenzie</t>
  </si>
  <si>
    <t>173519000842534913</t>
  </si>
  <si>
    <t>A Welcome Guest</t>
  </si>
  <si>
    <t>622589229557481513</t>
  </si>
  <si>
    <t>Kingu</t>
  </si>
  <si>
    <t>356868732964044802</t>
  </si>
  <si>
    <t>Alice</t>
  </si>
  <si>
    <t>236760957034954753</t>
  </si>
  <si>
    <t>H&gt;L</t>
  </si>
  <si>
    <t>669658442071408672</t>
  </si>
  <si>
    <t>Sanke Carp</t>
  </si>
  <si>
    <t>191955347160825856</t>
  </si>
  <si>
    <t>Roy Yamaha</t>
  </si>
  <si>
    <t>973581296846663711</t>
  </si>
  <si>
    <t>Oathkeeper</t>
  </si>
  <si>
    <t>332917759900123137</t>
  </si>
  <si>
    <t>xXEricXx</t>
  </si>
  <si>
    <t>188804001054064640</t>
  </si>
  <si>
    <t>Marshy</t>
  </si>
  <si>
    <t>322051190097575947</t>
  </si>
  <si>
    <t>Smallow</t>
  </si>
  <si>
    <t>Churi</t>
  </si>
  <si>
    <t>740316248210014380</t>
  </si>
  <si>
    <t>OOF_MAXIMA</t>
  </si>
  <si>
    <t>400765707467620362</t>
  </si>
  <si>
    <t>Buzzed</t>
  </si>
  <si>
    <t>103393211443085312</t>
  </si>
  <si>
    <t>Incognition</t>
  </si>
  <si>
    <t>248186612213612546</t>
  </si>
  <si>
    <t>Tempokin</t>
  </si>
  <si>
    <t>305870832977182722</t>
  </si>
  <si>
    <t>Egor</t>
  </si>
  <si>
    <t>435128937400500224</t>
  </si>
  <si>
    <t>King Raska</t>
  </si>
  <si>
    <t>156914061856997376</t>
  </si>
  <si>
    <t>qsns</t>
  </si>
  <si>
    <t>125692081212620801</t>
  </si>
  <si>
    <t>Cyberas</t>
  </si>
  <si>
    <t>133696854662709248</t>
  </si>
  <si>
    <t>Cake</t>
  </si>
  <si>
    <t>1062100541871771689</t>
  </si>
  <si>
    <t>Zcarlett</t>
  </si>
  <si>
    <t>513029374392533043</t>
  </si>
  <si>
    <t>TechSavage</t>
  </si>
  <si>
    <t>269901812054753292</t>
  </si>
  <si>
    <t>Alecss</t>
  </si>
  <si>
    <t>1066130063470374962</t>
  </si>
  <si>
    <t>Mantis</t>
  </si>
  <si>
    <t>396370625515487242</t>
  </si>
  <si>
    <t>Younglemonhope</t>
  </si>
  <si>
    <t>111211333336256512</t>
  </si>
  <si>
    <t>Cryolite</t>
  </si>
  <si>
    <t>413599141537513473</t>
  </si>
  <si>
    <t>Shadowtime2000</t>
  </si>
  <si>
    <t>537051269253300275</t>
  </si>
  <si>
    <t>ratdogreborn</t>
  </si>
  <si>
    <t>197429652208222208</t>
  </si>
  <si>
    <t>Otto</t>
  </si>
  <si>
    <t>286683342131298304</t>
  </si>
  <si>
    <t>Hinkage</t>
  </si>
  <si>
    <t>252639778036645908</t>
  </si>
  <si>
    <t>Seradess</t>
  </si>
  <si>
    <t>244659660794101763</t>
  </si>
  <si>
    <t>Dancing Along/Abreaction</t>
  </si>
  <si>
    <t>386999541255110676</t>
  </si>
  <si>
    <t>Just_Leo</t>
  </si>
  <si>
    <t>1136751969478914138</t>
  </si>
  <si>
    <t>Zinc</t>
  </si>
  <si>
    <t>399291432235696139</t>
  </si>
  <si>
    <t>DastardlyDwarf</t>
  </si>
  <si>
    <t>457317302124412939</t>
  </si>
  <si>
    <t>Frutiepie</t>
  </si>
  <si>
    <t>146457814892675072</t>
  </si>
  <si>
    <t>cocoo7538</t>
  </si>
  <si>
    <t>690750151727251466</t>
  </si>
  <si>
    <t>YlisseanStarlight</t>
  </si>
  <si>
    <t>308326695117783040</t>
  </si>
  <si>
    <t>The_Badger1230</t>
  </si>
  <si>
    <t>615213996345131145</t>
  </si>
  <si>
    <t>sharkhammer</t>
  </si>
  <si>
    <t>127856725544927232</t>
  </si>
  <si>
    <t>style_purposes</t>
  </si>
  <si>
    <t>608850851150430226</t>
  </si>
  <si>
    <t>GreenCity</t>
  </si>
  <si>
    <t>Gthorpe1993</t>
  </si>
  <si>
    <t>1156599439226572913</t>
  </si>
  <si>
    <t>Stao</t>
  </si>
  <si>
    <t>135837929368059904</t>
  </si>
  <si>
    <t>TheTwo</t>
  </si>
  <si>
    <t>680173901170606171</t>
  </si>
  <si>
    <t>SqueamishCube</t>
  </si>
  <si>
    <t>423951482795065368</t>
  </si>
  <si>
    <t>annuit99</t>
  </si>
  <si>
    <t>397519983669805060</t>
  </si>
  <si>
    <t>catholicguilttrip</t>
  </si>
  <si>
    <t>434909483127275521</t>
  </si>
  <si>
    <t>bashedayo</t>
  </si>
  <si>
    <t>409502844773859341</t>
  </si>
  <si>
    <t>viel06</t>
  </si>
  <si>
    <t>462758066685870080</t>
  </si>
  <si>
    <t>diegoyuhhi</t>
  </si>
  <si>
    <t>533729841275600906</t>
  </si>
  <si>
    <t>cashzachary</t>
  </si>
  <si>
    <t>1238981053226549308</t>
  </si>
  <si>
    <t>SUB 2</t>
  </si>
  <si>
    <t>dicerat8</t>
  </si>
  <si>
    <t>811484330421387285</t>
  </si>
  <si>
    <t>.brever.</t>
  </si>
  <si>
    <t>215872454222938112</t>
  </si>
  <si>
    <t>ambiguousity_</t>
  </si>
  <si>
    <t>852656606717149226</t>
  </si>
  <si>
    <t>SUB 3</t>
  </si>
  <si>
    <t>CheesiMoon</t>
  </si>
  <si>
    <t>231980254887936000</t>
  </si>
  <si>
    <t>LoDart210</t>
  </si>
  <si>
    <t>109153054686728192</t>
  </si>
  <si>
    <t>jussydkt</t>
  </si>
  <si>
    <t>344773420463947777</t>
  </si>
  <si>
    <t>blisy</t>
  </si>
  <si>
    <t>291688941491322880</t>
  </si>
  <si>
    <t>iwasmoth</t>
  </si>
  <si>
    <t>127915546229473280</t>
  </si>
  <si>
    <t>lengloi</t>
  </si>
  <si>
    <t>442724252819390474</t>
  </si>
  <si>
    <t>Sophocles</t>
  </si>
  <si>
    <t>109151686848679936</t>
  </si>
  <si>
    <t>ReavenFTW</t>
  </si>
  <si>
    <t>491685671480721419</t>
  </si>
  <si>
    <t>swaggy001066</t>
  </si>
  <si>
    <t>1003019485395042344</t>
  </si>
  <si>
    <t>Himura</t>
  </si>
  <si>
    <t>437955382024077312</t>
  </si>
  <si>
    <t>Svejk97</t>
  </si>
  <si>
    <t>1288951419465891851</t>
  </si>
  <si>
    <t>Graham (graaahaaam)</t>
  </si>
  <si>
    <t>116227974885277697</t>
  </si>
  <si>
    <t>allmovingshadows</t>
  </si>
  <si>
    <t>1218021450191994892</t>
  </si>
  <si>
    <t>Wizzyhatg</t>
  </si>
  <si>
    <t>193484979798409216</t>
  </si>
  <si>
    <t>Drekt93#0078</t>
  </si>
  <si>
    <t>140406234460323840</t>
  </si>
  <si>
    <t>CHICKENBOOB</t>
  </si>
  <si>
    <t>Basharapplejuice</t>
  </si>
  <si>
    <t>215651907459481601</t>
  </si>
  <si>
    <t>danielsemmson</t>
  </si>
  <si>
    <t>1128107355633107014</t>
  </si>
  <si>
    <t>btalb</t>
  </si>
  <si>
    <t>210558965510045696</t>
  </si>
  <si>
    <t>aquaa</t>
  </si>
  <si>
    <t>86675967501697024</t>
  </si>
  <si>
    <t>Forest4269</t>
  </si>
  <si>
    <t>139115501732233216</t>
  </si>
  <si>
    <t>Stockings</t>
  </si>
  <si>
    <t>163080133283020800</t>
  </si>
  <si>
    <t>Apostic</t>
  </si>
  <si>
    <t>151905700229021696</t>
  </si>
  <si>
    <t>liamworldpeace</t>
  </si>
  <si>
    <t>136299459914104832</t>
  </si>
  <si>
    <t>SUB 20</t>
  </si>
  <si>
    <t>Rezzo</t>
  </si>
  <si>
    <t>208377004209209344</t>
  </si>
  <si>
    <t>Scrigman</t>
  </si>
  <si>
    <t>211942228153597952</t>
  </si>
  <si>
    <t>shadowinger</t>
  </si>
  <si>
    <t>417742328602820608</t>
  </si>
  <si>
    <t>heroin4sale</t>
  </si>
  <si>
    <t>176298020688625664</t>
  </si>
  <si>
    <t>Loneling</t>
  </si>
  <si>
    <t>1260035840294260737</t>
  </si>
  <si>
    <t>Mamakoko</t>
  </si>
  <si>
    <t>652184640559382538</t>
  </si>
  <si>
    <t>anashensoul</t>
  </si>
  <si>
    <t>212292910882750466</t>
  </si>
  <si>
    <t>coutt</t>
  </si>
  <si>
    <t>262651676291235840</t>
  </si>
  <si>
    <t>Amir (lordamir &amp; lordamir2)</t>
  </si>
  <si>
    <t>480949875953893376</t>
  </si>
  <si>
    <t>janis105</t>
  </si>
  <si>
    <t>379358371221864449</t>
  </si>
  <si>
    <t>litterofbiscuits</t>
  </si>
  <si>
    <t>348980973825818626</t>
  </si>
  <si>
    <t>Calm Stiege</t>
  </si>
  <si>
    <t>486649841347330048</t>
  </si>
  <si>
    <t>br.twfb</t>
  </si>
  <si>
    <t>194544710604292097</t>
  </si>
  <si>
    <t>martconqueso</t>
  </si>
  <si>
    <t>220939914915741696</t>
  </si>
  <si>
    <t>tonii5531</t>
  </si>
  <si>
    <t>472908398451752991</t>
  </si>
  <si>
    <t>Repiloid</t>
  </si>
  <si>
    <t>chipi</t>
  </si>
  <si>
    <t>194576469383446529</t>
  </si>
  <si>
    <t>zettsbro</t>
  </si>
  <si>
    <t>453604164077879296</t>
  </si>
  <si>
    <t>kylemckell</t>
  </si>
  <si>
    <t>147505520025141248</t>
  </si>
  <si>
    <t>triiplemonstre</t>
  </si>
  <si>
    <t>495893557526134784</t>
  </si>
  <si>
    <t>kvistsivk</t>
  </si>
  <si>
    <t>1168036455071875245</t>
  </si>
  <si>
    <t>elanieunderscore</t>
  </si>
  <si>
    <t>1069898912141414422</t>
  </si>
  <si>
    <t>knexhawk</t>
  </si>
  <si>
    <t>481499066245578762</t>
  </si>
  <si>
    <t>Redmoonie</t>
  </si>
  <si>
    <t>903044957298909185</t>
  </si>
  <si>
    <t>temraneee</t>
  </si>
  <si>
    <t>131822654574297088</t>
  </si>
  <si>
    <t>Derde</t>
  </si>
  <si>
    <t>788102162861260891</t>
  </si>
  <si>
    <t>SUB 21</t>
  </si>
  <si>
    <t>Eternum</t>
  </si>
  <si>
    <t>216003172471275522</t>
  </si>
  <si>
    <t>tree69420</t>
  </si>
  <si>
    <t>798958594116419604</t>
  </si>
  <si>
    <t>pinjarrapanther</t>
  </si>
  <si>
    <t>220831983591227393</t>
  </si>
  <si>
    <t>nekuyagokoro</t>
  </si>
  <si>
    <t>138449766794133504</t>
  </si>
  <si>
    <t>SUB 6</t>
  </si>
  <si>
    <t>bigyunakafan</t>
  </si>
  <si>
    <t>322807253465956353</t>
  </si>
  <si>
    <t>ilikeeatingcrayons</t>
  </si>
  <si>
    <t>538490956991692811</t>
  </si>
  <si>
    <t>darth_halux</t>
  </si>
  <si>
    <t>303185896054980618</t>
  </si>
  <si>
    <t>Skarpherim</t>
  </si>
  <si>
    <t>1167951538963103815</t>
  </si>
  <si>
    <t>depressioncherry_66209</t>
  </si>
  <si>
    <t>1223996337217863761</t>
  </si>
  <si>
    <t>YellowHat#0714</t>
  </si>
  <si>
    <t>215286443734597633</t>
  </si>
  <si>
    <t>nicki4</t>
  </si>
  <si>
    <t>229576207560212480</t>
  </si>
  <si>
    <t>Rebatca</t>
  </si>
  <si>
    <t>186748597398667264</t>
  </si>
  <si>
    <t>shinyhunter8013</t>
  </si>
  <si>
    <t>418536676609097740</t>
  </si>
  <si>
    <t>ilovemygrandma444</t>
  </si>
  <si>
    <t>330668313388515330</t>
  </si>
  <si>
    <t>thestonewallsmith</t>
  </si>
  <si>
    <t>320335928155701250</t>
  </si>
  <si>
    <t>saltocorto</t>
  </si>
  <si>
    <t>443892793593692170</t>
  </si>
  <si>
    <t>rovels</t>
  </si>
  <si>
    <t>213427649148616704</t>
  </si>
  <si>
    <t>bd31</t>
  </si>
  <si>
    <t>217343749439750145</t>
  </si>
  <si>
    <t>inkyno1</t>
  </si>
  <si>
    <t>240200903359987713</t>
  </si>
  <si>
    <t>steffmoney</t>
  </si>
  <si>
    <t>311143163060289537</t>
  </si>
  <si>
    <t>xerospacious</t>
  </si>
  <si>
    <t>244792682927489025</t>
  </si>
  <si>
    <t>Kenava</t>
  </si>
  <si>
    <t>727218490024394774</t>
  </si>
  <si>
    <t>mcgowin (ID: lgv#9084)</t>
  </si>
  <si>
    <t>389896862444027916</t>
  </si>
  <si>
    <t>squirtle_squadbig_squatto</t>
  </si>
  <si>
    <t>867120639248564234</t>
  </si>
  <si>
    <t>sprasle</t>
  </si>
  <si>
    <t>146822995908755456</t>
  </si>
  <si>
    <t>bergenseren</t>
  </si>
  <si>
    <t>219960350546591744</t>
  </si>
  <si>
    <t>JxJ</t>
  </si>
  <si>
    <t>431270421652832258</t>
  </si>
  <si>
    <t>mafx</t>
  </si>
  <si>
    <t>219614904515035136</t>
  </si>
  <si>
    <t>SUB 29</t>
  </si>
  <si>
    <t>ccgeek_</t>
  </si>
  <si>
    <t>861286170708279336</t>
  </si>
  <si>
    <t>samjamslam</t>
  </si>
  <si>
    <t>589902999342546965</t>
  </si>
  <si>
    <t>UsernameABCD</t>
  </si>
  <si>
    <t>341334237485465614</t>
  </si>
  <si>
    <t>2coinsglued</t>
  </si>
  <si>
    <t>TacCat</t>
  </si>
  <si>
    <t>209102896740958208</t>
  </si>
  <si>
    <t>.alig.</t>
  </si>
  <si>
    <t>192192076841091072</t>
  </si>
  <si>
    <t>dadaasdcfaw</t>
  </si>
  <si>
    <t>327733812467466240</t>
  </si>
  <si>
    <t>Pabby_1805</t>
  </si>
  <si>
    <t>211573220791287809</t>
  </si>
  <si>
    <t>SpeccyGames</t>
  </si>
  <si>
    <t>228257509809455104</t>
  </si>
  <si>
    <t>Axselo</t>
  </si>
  <si>
    <t>627180078048215060</t>
  </si>
  <si>
    <t>jahim_</t>
  </si>
  <si>
    <t>W</t>
  </si>
  <si>
    <t>663747291709964321</t>
  </si>
  <si>
    <t>kebinsan</t>
  </si>
  <si>
    <t>161516689433952256</t>
  </si>
  <si>
    <t>PuruglyIsUgly</t>
  </si>
  <si>
    <t>600422095641378837</t>
  </si>
  <si>
    <t>girlevader</t>
  </si>
  <si>
    <t>1100068954283724900</t>
  </si>
  <si>
    <t>I am the Jarl</t>
  </si>
  <si>
    <t>800149729161248800</t>
  </si>
  <si>
    <t>Tefo</t>
  </si>
  <si>
    <t>398388682874159106</t>
  </si>
  <si>
    <t>dragonsareoptimal</t>
  </si>
  <si>
    <t>168945056303022081</t>
  </si>
  <si>
    <t>halbertsimpson</t>
  </si>
  <si>
    <t>1011611946824503427</t>
  </si>
  <si>
    <t>vy_apostrophe</t>
  </si>
  <si>
    <t>739260362091659315</t>
  </si>
  <si>
    <t>realfredrickDOUGLASS</t>
  </si>
  <si>
    <t>983910013036793886</t>
  </si>
  <si>
    <t>Alargemongoose</t>
  </si>
  <si>
    <t>646736314645086228</t>
  </si>
  <si>
    <t>_uka</t>
  </si>
  <si>
    <t>277419088588832768</t>
  </si>
  <si>
    <t>kewta</t>
  </si>
  <si>
    <t>214076469641478144</t>
  </si>
  <si>
    <t>jensendale</t>
  </si>
  <si>
    <t>1153475592411418724</t>
  </si>
  <si>
    <t>J0af</t>
  </si>
  <si>
    <t>144056588959744001</t>
  </si>
  <si>
    <t>moggie776</t>
  </si>
  <si>
    <t>662243961477398528</t>
  </si>
  <si>
    <t>valyns</t>
  </si>
  <si>
    <t>118138165855911936</t>
  </si>
  <si>
    <t>Beignet</t>
  </si>
  <si>
    <t>473550253396721694</t>
  </si>
  <si>
    <t>soulive</t>
  </si>
  <si>
    <t>563757688710889482</t>
  </si>
  <si>
    <t>greencatkid</t>
  </si>
  <si>
    <t>265277015777607691</t>
  </si>
  <si>
    <t>treyprime</t>
  </si>
  <si>
    <t>73106121434333184</t>
  </si>
  <si>
    <t>heyitsmeriley</t>
  </si>
  <si>
    <t>271422310412451840</t>
  </si>
  <si>
    <t>.GeneralRevan</t>
  </si>
  <si>
    <t>306988395660443648</t>
  </si>
  <si>
    <t>rbvengeance (Nicknamed RBV in the server, you can use this as a shorthand)</t>
  </si>
  <si>
    <t>184058713424920576</t>
  </si>
  <si>
    <t>wiilink100</t>
  </si>
  <si>
    <t>160990967980097536</t>
  </si>
  <si>
    <t>imcob</t>
  </si>
  <si>
    <t>477903847159889922</t>
  </si>
  <si>
    <t>le_penseur</t>
  </si>
  <si>
    <t>221628271257845760</t>
  </si>
  <si>
    <t>skittleskitty</t>
  </si>
  <si>
    <t>280113950140530699</t>
  </si>
  <si>
    <t>resen</t>
  </si>
  <si>
    <t>348536721010458635</t>
  </si>
  <si>
    <t>durmain (slamonBbq)</t>
  </si>
  <si>
    <t>166049321983279104</t>
  </si>
  <si>
    <t>SUB 9</t>
  </si>
  <si>
    <t>gogozeppeli1890 (rconquer)</t>
  </si>
  <si>
    <t>195721708504743936</t>
  </si>
  <si>
    <t>ashvinbutduck</t>
  </si>
  <si>
    <t>601228993894547479</t>
  </si>
  <si>
    <t>gambling.goddess</t>
  </si>
  <si>
    <t>1254224283958378530</t>
  </si>
  <si>
    <t>@geosesarma</t>
  </si>
  <si>
    <t>153953672051556352</t>
  </si>
  <si>
    <t>tavi_tavi</t>
  </si>
  <si>
    <t>332692132143824896</t>
  </si>
  <si>
    <t>JoJ</t>
  </si>
  <si>
    <t>275292063417892865</t>
  </si>
  <si>
    <t>Pulcsii</t>
  </si>
  <si>
    <t>374258157855309826</t>
  </si>
  <si>
    <t>.seden</t>
  </si>
  <si>
    <t>248581453158285312</t>
  </si>
  <si>
    <t>.FunkyCop</t>
  </si>
  <si>
    <t>227532710363660288</t>
  </si>
  <si>
    <t>bdicap</t>
  </si>
  <si>
    <t>503269288249917460</t>
  </si>
  <si>
    <t>moistmania</t>
  </si>
  <si>
    <t>1133736210683150467</t>
  </si>
  <si>
    <t>kalarse</t>
  </si>
  <si>
    <t>105796893690376192</t>
  </si>
  <si>
    <t>Birthdayninja</t>
  </si>
  <si>
    <t>132786516031307776</t>
  </si>
  <si>
    <t>Attazer</t>
  </si>
  <si>
    <t>240653064753774592</t>
  </si>
  <si>
    <t>doc.steel</t>
  </si>
  <si>
    <t>549319366538428453</t>
  </si>
  <si>
    <t>Pietro Giuffra</t>
  </si>
  <si>
    <t>1208461833623834698</t>
  </si>
  <si>
    <t>charku</t>
  </si>
  <si>
    <t>492288203596759042</t>
  </si>
  <si>
    <t>Ghostmalone.</t>
  </si>
  <si>
    <t>329857381746081792</t>
  </si>
  <si>
    <t>Agustin Palacios</t>
  </si>
  <si>
    <t>547461638647840805</t>
  </si>
  <si>
    <t>lemonlc</t>
  </si>
  <si>
    <t>1137309984468766750</t>
  </si>
  <si>
    <t>mintchocolateguy</t>
  </si>
  <si>
    <t>698335732191723551</t>
  </si>
  <si>
    <t>lucyisafish</t>
  </si>
  <si>
    <t>930202977854193705</t>
  </si>
  <si>
    <t>monchooo</t>
  </si>
  <si>
    <t>202168691893207041</t>
  </si>
  <si>
    <t>lemon04</t>
  </si>
  <si>
    <t>177840825986711552</t>
  </si>
  <si>
    <t>billgatesalt_53189</t>
  </si>
  <si>
    <t>1288299733126746152</t>
  </si>
  <si>
    <t>lawn1826</t>
  </si>
  <si>
    <t>249416067099656192</t>
  </si>
  <si>
    <t>dabebri</t>
  </si>
  <si>
    <t>603589154462236678</t>
  </si>
  <si>
    <t>IAmGolden.</t>
  </si>
  <si>
    <t>334676623343484928</t>
  </si>
  <si>
    <t>zxgzxg</t>
  </si>
  <si>
    <t>674132846037958657</t>
  </si>
  <si>
    <t>Papa Escargo</t>
  </si>
  <si>
    <t>510329516531515427</t>
  </si>
  <si>
    <t>usbreon</t>
  </si>
  <si>
    <t>125596608422215680</t>
  </si>
  <si>
    <t>voidvolta</t>
  </si>
  <si>
    <t>208590765159350273</t>
  </si>
  <si>
    <t>bruh504</t>
  </si>
  <si>
    <t>392333717269643266</t>
  </si>
  <si>
    <t>xamvius</t>
  </si>
  <si>
    <t>173625348469030913</t>
  </si>
  <si>
    <t>jpmockman</t>
  </si>
  <si>
    <t>935729080282796103</t>
  </si>
  <si>
    <t>koentjelub</t>
  </si>
  <si>
    <t>862347198805442600</t>
  </si>
  <si>
    <t>Kydreith33</t>
  </si>
  <si>
    <t>420018683759296513</t>
  </si>
  <si>
    <t>jd_orph</t>
  </si>
  <si>
    <t>486001893655445534</t>
  </si>
  <si>
    <t>brunocoolgamers</t>
  </si>
  <si>
    <t>885228601514033172</t>
  </si>
  <si>
    <t>Ho_Chi</t>
  </si>
  <si>
    <t>427608109519863816</t>
  </si>
  <si>
    <t>green.9082</t>
  </si>
  <si>
    <t>627563478973939723</t>
  </si>
  <si>
    <t>mewunderscoretwo</t>
  </si>
  <si>
    <t>234366103998955521</t>
  </si>
  <si>
    <t>sanbaibeepo</t>
  </si>
  <si>
    <t>139195151946874881</t>
  </si>
  <si>
    <t>truelawbringer</t>
  </si>
  <si>
    <t>213542908421341184</t>
  </si>
  <si>
    <t>pLzzazz</t>
  </si>
  <si>
    <t>198612424885010432</t>
  </si>
  <si>
    <t>clinkbug</t>
  </si>
  <si>
    <t>803823426427027496</t>
  </si>
  <si>
    <t>SUB 11</t>
  </si>
  <si>
    <t>dorugang</t>
  </si>
  <si>
    <t>1203049772785868861</t>
  </si>
  <si>
    <t>kuru1432</t>
  </si>
  <si>
    <t>194274180454154240</t>
  </si>
  <si>
    <t>Superstar</t>
  </si>
  <si>
    <t>563859704300699688</t>
  </si>
  <si>
    <t>.germ_</t>
  </si>
  <si>
    <t>358009888791592981</t>
  </si>
  <si>
    <t>Jibca</t>
  </si>
  <si>
    <t>907486666267168799</t>
  </si>
  <si>
    <t>Rainer7849</t>
  </si>
  <si>
    <t>452288242931335179</t>
  </si>
  <si>
    <t>nick_parenti</t>
  </si>
  <si>
    <t>1065105750982152223</t>
  </si>
  <si>
    <t>rajime.</t>
  </si>
  <si>
    <t>556855693928431638</t>
  </si>
  <si>
    <t>@struggles_under_pressure</t>
  </si>
  <si>
    <t>883737062904324126</t>
  </si>
  <si>
    <t>gorbinator.</t>
  </si>
  <si>
    <t>557345709712736266</t>
  </si>
  <si>
    <t>jeem16</t>
  </si>
  <si>
    <t>137996807513964544</t>
  </si>
  <si>
    <t>SUB 24</t>
  </si>
  <si>
    <t>SUB 12</t>
  </si>
  <si>
    <t>ghostreported</t>
  </si>
  <si>
    <t>965685598545403924</t>
  </si>
  <si>
    <t>hipimochi</t>
  </si>
  <si>
    <t>264931346223333377</t>
  </si>
  <si>
    <t>Musical_box</t>
  </si>
  <si>
    <t>426204261290868736</t>
  </si>
  <si>
    <t>tanao</t>
  </si>
  <si>
    <t>136404228787798017</t>
  </si>
  <si>
    <t>luca</t>
  </si>
  <si>
    <t>66965595282743296</t>
  </si>
  <si>
    <t>enkiduofficial</t>
  </si>
  <si>
    <t>501160456476688389</t>
  </si>
  <si>
    <t>diamonddiancie</t>
  </si>
  <si>
    <t>501497739226644522</t>
  </si>
  <si>
    <t>triskeriaki</t>
  </si>
  <si>
    <t>316007672510021634</t>
  </si>
  <si>
    <t>chad.lagos</t>
  </si>
  <si>
    <t>688935874020638730</t>
  </si>
  <si>
    <t>bloomsmiles</t>
  </si>
  <si>
    <t>428036889908477952</t>
  </si>
  <si>
    <t>SgtPingwen</t>
  </si>
  <si>
    <t>115227471175090181</t>
  </si>
  <si>
    <t>Redrame</t>
  </si>
  <si>
    <t>127968794130907137</t>
  </si>
  <si>
    <t>Melee Minion</t>
  </si>
  <si>
    <t>140705872316858369</t>
  </si>
  <si>
    <t>jerdgerd</t>
  </si>
  <si>
    <t>253276541948002304</t>
  </si>
  <si>
    <t>almarkowbender</t>
  </si>
  <si>
    <t>341270044979757056</t>
  </si>
  <si>
    <t>theepiccd56</t>
  </si>
  <si>
    <t>148946268033515521</t>
  </si>
  <si>
    <t>Witchgender</t>
  </si>
  <si>
    <t>398504218102857728</t>
  </si>
  <si>
    <t>theamazingeevee</t>
  </si>
  <si>
    <t>101148936957366272</t>
  </si>
  <si>
    <t>secondari</t>
  </si>
  <si>
    <t>77493060862214144</t>
  </si>
  <si>
    <t>plznostep</t>
  </si>
  <si>
    <t>992491212558839857</t>
  </si>
  <si>
    <t>wyli.olivete</t>
  </si>
  <si>
    <t>600915748629643276</t>
  </si>
  <si>
    <t>evilartnboy</t>
  </si>
  <si>
    <t>299338441492135937</t>
  </si>
  <si>
    <t>f1remaster (Hikari)</t>
  </si>
  <si>
    <t>295050390435659787</t>
  </si>
  <si>
    <t>sieefffmon</t>
  </si>
  <si>
    <t>257242537582919691</t>
  </si>
  <si>
    <t>pac_rojo</t>
  </si>
  <si>
    <t>658992933772591105</t>
  </si>
  <si>
    <t>SUB 26</t>
  </si>
  <si>
    <t>4lowray</t>
  </si>
  <si>
    <t>1083677463932051566</t>
  </si>
  <si>
    <t>Tiberiusfieri</t>
  </si>
  <si>
    <t>820892117370011668</t>
  </si>
  <si>
    <t>papajefe</t>
  </si>
  <si>
    <t>124733623705272323</t>
  </si>
  <si>
    <t>nadiddhrabb</t>
  </si>
  <si>
    <t>708579140605050922</t>
  </si>
  <si>
    <t>iNeedJuuce</t>
  </si>
  <si>
    <t>618933361523687456</t>
  </si>
  <si>
    <t>dhgss</t>
  </si>
  <si>
    <t>158287368925872129</t>
  </si>
  <si>
    <t>Jabba</t>
  </si>
  <si>
    <t>191625883503558656</t>
  </si>
  <si>
    <t>kool_kat.</t>
  </si>
  <si>
    <t>253880731401453578</t>
  </si>
  <si>
    <t>terradayy</t>
  </si>
  <si>
    <t>167777634267168768</t>
  </si>
  <si>
    <t>bevreeze</t>
  </si>
  <si>
    <t>283298397723688960</t>
  </si>
  <si>
    <t>Lunasran</t>
  </si>
  <si>
    <t>1088892947367481436</t>
  </si>
  <si>
    <t>Samnyg</t>
  </si>
  <si>
    <t>1024088105533317191</t>
  </si>
  <si>
    <t>diegoin10</t>
  </si>
  <si>
    <t>808756098936733747</t>
  </si>
  <si>
    <t>countsligo</t>
  </si>
  <si>
    <t>442172713763602432</t>
  </si>
  <si>
    <t>SUB 17</t>
  </si>
  <si>
    <t>SUB 16</t>
  </si>
  <si>
    <t>Reptikrook</t>
  </si>
  <si>
    <t>477623186104516629</t>
  </si>
  <si>
    <t>bohrier</t>
  </si>
  <si>
    <t>713435200469860403</t>
  </si>
  <si>
    <t>kinglazi</t>
  </si>
  <si>
    <t>266204930774269962</t>
  </si>
  <si>
    <t>Dwightasaurus</t>
  </si>
  <si>
    <t>393205826900197377</t>
  </si>
  <si>
    <t>Nunleft</t>
  </si>
  <si>
    <t>168635669982216192</t>
  </si>
  <si>
    <t>grahamsandwich</t>
  </si>
  <si>
    <t>256944534900965376</t>
  </si>
  <si>
    <t>Sorenkazer</t>
  </si>
  <si>
    <t>245004928748224513</t>
  </si>
  <si>
    <t>themightyq99</t>
  </si>
  <si>
    <t>1212585146042028052</t>
  </si>
  <si>
    <t>Typlion</t>
  </si>
  <si>
    <t>306096394463215618</t>
  </si>
  <si>
    <t>roofb</t>
  </si>
  <si>
    <t>deckline</t>
  </si>
  <si>
    <t>189508379356430336</t>
  </si>
  <si>
    <t>poots6476</t>
  </si>
  <si>
    <t>177568483909959680</t>
  </si>
  <si>
    <t>Guebor</t>
  </si>
  <si>
    <t>172722236384477184</t>
  </si>
  <si>
    <t>James67</t>
  </si>
  <si>
    <t>349259766528344076</t>
  </si>
  <si>
    <t>Don7331</t>
  </si>
  <si>
    <t>605567062794043403</t>
  </si>
  <si>
    <t>Psychokinetic4</t>
  </si>
  <si>
    <t>197151675914518528</t>
  </si>
  <si>
    <t>millingwinds</t>
  </si>
  <si>
    <t>732108291253075968</t>
  </si>
  <si>
    <t>dimiswooner</t>
  </si>
  <si>
    <t>593100232607137793</t>
  </si>
  <si>
    <t>bobjoecarl</t>
  </si>
  <si>
    <t>280531406734622730</t>
  </si>
  <si>
    <t>Dray_jd</t>
  </si>
  <si>
    <t>683286091356307495</t>
  </si>
  <si>
    <t>SUB 14</t>
  </si>
  <si>
    <t>Baptista</t>
  </si>
  <si>
    <t>344223527399981069</t>
  </si>
  <si>
    <t>Chris2324</t>
  </si>
  <si>
    <t>162755790644576257</t>
  </si>
  <si>
    <t>air602</t>
  </si>
  <si>
    <t>336743385945735171</t>
  </si>
  <si>
    <t>SUB 15</t>
  </si>
  <si>
    <t>SUB 13</t>
  </si>
  <si>
    <t>executive_assistant</t>
  </si>
  <si>
    <t>446542834766577665</t>
  </si>
  <si>
    <t>danielck9797</t>
  </si>
  <si>
    <t>L</t>
  </si>
  <si>
    <t>397204999957905408</t>
  </si>
  <si>
    <t>chtx</t>
  </si>
  <si>
    <t>883745894825099354</t>
  </si>
  <si>
    <t>ellieofficialvevo</t>
  </si>
  <si>
    <t>615996540036841493</t>
  </si>
  <si>
    <t>HunarPG</t>
  </si>
  <si>
    <t>851681863474741300</t>
  </si>
  <si>
    <t>ThunderousBagel</t>
  </si>
  <si>
    <t>458020570085326851</t>
  </si>
  <si>
    <t>lucida</t>
  </si>
  <si>
    <t>98218676867596288</t>
  </si>
  <si>
    <t>Albatross115</t>
  </si>
  <si>
    <t>370740769385873410</t>
  </si>
  <si>
    <t>treeshhhh</t>
  </si>
  <si>
    <t>844002548070875156</t>
  </si>
  <si>
    <t>poosh_i</t>
  </si>
  <si>
    <t>157452846374191104</t>
  </si>
  <si>
    <t>gonzasaurio50</t>
  </si>
  <si>
    <t>481894982127714305</t>
  </si>
  <si>
    <t>SUB 25</t>
  </si>
  <si>
    <t>caps lock 3009</t>
  </si>
  <si>
    <t>735968904328904897</t>
  </si>
  <si>
    <t>Tyxerns</t>
  </si>
  <si>
    <t>520352187344355359</t>
  </si>
  <si>
    <t>Cyber-DJ</t>
  </si>
  <si>
    <t>1217308528272871476</t>
  </si>
  <si>
    <t>Wifike</t>
  </si>
  <si>
    <t>849829490254544947</t>
  </si>
  <si>
    <t>Nuskadamo</t>
  </si>
  <si>
    <t>darth0068</t>
  </si>
  <si>
    <t>672056990951800862</t>
  </si>
  <si>
    <t>thedarvinist</t>
  </si>
  <si>
    <t>431455323476328449</t>
  </si>
  <si>
    <t>legoerofeggos</t>
  </si>
  <si>
    <t>488402959785263141</t>
  </si>
  <si>
    <t>cleffacutie</t>
  </si>
  <si>
    <t>318104021946859520</t>
  </si>
  <si>
    <t>glucoseguardian1</t>
  </si>
  <si>
    <t>735113182120640562</t>
  </si>
  <si>
    <t>Polt99</t>
  </si>
  <si>
    <t>760539294652694588</t>
  </si>
  <si>
    <t>wavy_ish</t>
  </si>
  <si>
    <t>354755541249032192</t>
  </si>
  <si>
    <t>HakkihanTunbak (I recently joined the discord)</t>
  </si>
  <si>
    <t>332243794584141834</t>
  </si>
  <si>
    <t>dragonlord6954</t>
  </si>
  <si>
    <t>1071049773546733670</t>
  </si>
  <si>
    <t>.lucky_7.</t>
  </si>
  <si>
    <t>324637010193285121</t>
  </si>
  <si>
    <t>.verb</t>
  </si>
  <si>
    <t>97926747856580608</t>
  </si>
  <si>
    <t>yd12k</t>
  </si>
  <si>
    <t>116854172426567680</t>
  </si>
  <si>
    <t>jew9318</t>
  </si>
  <si>
    <t>155599548624928768</t>
  </si>
  <si>
    <t>doh#5604</t>
  </si>
  <si>
    <t>612030143174803466</t>
  </si>
  <si>
    <t>epiclyepicgamer</t>
  </si>
  <si>
    <t>839557955140976701</t>
  </si>
  <si>
    <t>.turkeyleg</t>
  </si>
  <si>
    <t>457524456177401858</t>
  </si>
  <si>
    <t>SUB 18</t>
  </si>
  <si>
    <t>biff_the_banana</t>
  </si>
  <si>
    <t>254196036694704129</t>
  </si>
  <si>
    <t>ultraemeraldman_16197</t>
  </si>
  <si>
    <t>1160240514046631987</t>
  </si>
  <si>
    <t>FaceOFF</t>
  </si>
  <si>
    <t>330062412294127616</t>
  </si>
  <si>
    <t>Yatagarasuwu</t>
  </si>
  <si>
    <t>260941235768786944</t>
  </si>
  <si>
    <t>_honua</t>
  </si>
  <si>
    <t>197962442704158720</t>
  </si>
  <si>
    <t>KeshBa45</t>
  </si>
  <si>
    <t>1171463268276113533</t>
  </si>
  <si>
    <t>dylan69__</t>
  </si>
  <si>
    <t>475864364793069568</t>
  </si>
  <si>
    <t>myrox123</t>
  </si>
  <si>
    <t>401496586649206784</t>
  </si>
  <si>
    <t>peacemaker040</t>
  </si>
  <si>
    <t>1080995333867307078</t>
  </si>
  <si>
    <t>skitz_money</t>
  </si>
  <si>
    <t>175361436610985984</t>
  </si>
  <si>
    <t>SUB 22</t>
  </si>
  <si>
    <t>prestonv</t>
  </si>
  <si>
    <t>477959212073484308</t>
  </si>
  <si>
    <t>Daeronchick</t>
  </si>
  <si>
    <t>409376335505522690</t>
  </si>
  <si>
    <t>ShotoNC</t>
  </si>
  <si>
    <t>79029742778454016</t>
  </si>
  <si>
    <t>fastandsleepy</t>
  </si>
  <si>
    <t>428574676449624065</t>
  </si>
  <si>
    <t>Lawrencelot</t>
  </si>
  <si>
    <t>374642536989327370</t>
  </si>
  <si>
    <t>peabnut</t>
  </si>
  <si>
    <t>119958521591627777</t>
  </si>
  <si>
    <t>felipe01788_</t>
  </si>
  <si>
    <t>275511949880459264</t>
  </si>
  <si>
    <t>comseal</t>
  </si>
  <si>
    <t>282867212270698496</t>
  </si>
  <si>
    <t>yuramas</t>
  </si>
  <si>
    <t>551444761064636416</t>
  </si>
  <si>
    <t>Aahaahaah</t>
  </si>
  <si>
    <t>127698611189448704</t>
  </si>
  <si>
    <t>woeishuen</t>
  </si>
  <si>
    <t>311487498486415360</t>
  </si>
  <si>
    <t>ditdus.</t>
  </si>
  <si>
    <t>1287828167775485963</t>
  </si>
  <si>
    <t>saiyanpride.</t>
  </si>
  <si>
    <t>779576321550450710</t>
  </si>
  <si>
    <t>jozin457</t>
  </si>
  <si>
    <t>229620219092533248</t>
  </si>
  <si>
    <t>nemesis_deno</t>
  </si>
  <si>
    <t>465952239350186006</t>
  </si>
  <si>
    <t>UnzipsCrogre</t>
  </si>
  <si>
    <t>168150536862826497</t>
  </si>
  <si>
    <t>zioplys</t>
  </si>
  <si>
    <t>274221914312933379</t>
  </si>
  <si>
    <t>starii88</t>
  </si>
  <si>
    <t>343404916636647428</t>
  </si>
  <si>
    <t>javiercar#9743</t>
  </si>
  <si>
    <t>297884550976241685</t>
  </si>
  <si>
    <t>chrisdrums19</t>
  </si>
  <si>
    <t>213534987708923905</t>
  </si>
  <si>
    <t>Jsockamisama</t>
  </si>
  <si>
    <t>630860220293316619</t>
  </si>
  <si>
    <t>tj_srevlis</t>
  </si>
  <si>
    <t>764262621599105045</t>
  </si>
  <si>
    <t>Forte_French</t>
  </si>
  <si>
    <t>345986385502797844</t>
  </si>
  <si>
    <t>realshelly</t>
  </si>
  <si>
    <t>746177750548873278</t>
  </si>
  <si>
    <t>MCJD931</t>
  </si>
  <si>
    <t>371725006276788225</t>
  </si>
  <si>
    <t>1captainmorgan</t>
  </si>
  <si>
    <t>214065054411259905</t>
  </si>
  <si>
    <t>MrBluestacks</t>
  </si>
  <si>
    <t>225833081435586561</t>
  </si>
  <si>
    <t>TRXXJEH</t>
  </si>
  <si>
    <t>911230685602275379</t>
  </si>
  <si>
    <t>egocheck</t>
  </si>
  <si>
    <t>352554361001345026</t>
  </si>
  <si>
    <t>biluv_v</t>
  </si>
  <si>
    <t>1073292922390319195</t>
  </si>
  <si>
    <t>larkindred</t>
  </si>
  <si>
    <t>519615198294704153</t>
  </si>
  <si>
    <t>.aj2.0</t>
  </si>
  <si>
    <t>736549979220607107</t>
  </si>
  <si>
    <t>yadyaksh</t>
  </si>
  <si>
    <t>1030027691136647208</t>
  </si>
  <si>
    <t>madelinmorningstar</t>
  </si>
  <si>
    <t>1235691371579572346</t>
  </si>
  <si>
    <t>datguycactus</t>
  </si>
  <si>
    <t>764554384594960404</t>
  </si>
  <si>
    <t>SUB 10</t>
  </si>
  <si>
    <t>Hidan.0/idfk</t>
  </si>
  <si>
    <t>732393591011278950</t>
  </si>
  <si>
    <t>SoCalSon</t>
  </si>
  <si>
    <t>468130505280192512</t>
  </si>
  <si>
    <t>Antinomy</t>
  </si>
  <si>
    <t>85928431623106560</t>
  </si>
  <si>
    <t>@aevitostrath or Timehacker Aevitos</t>
  </si>
  <si>
    <t>1024789648263893047</t>
  </si>
  <si>
    <t>onewhorants</t>
  </si>
  <si>
    <t>257001953056260096</t>
  </si>
  <si>
    <t>isaiahterveen</t>
  </si>
  <si>
    <t>753283686446661742</t>
  </si>
  <si>
    <t>MoxieKrok</t>
  </si>
  <si>
    <t>125066316477497344</t>
  </si>
  <si>
    <t>thegreatest23</t>
  </si>
  <si>
    <t>477886359105961995</t>
  </si>
  <si>
    <t>kingkpak#0546</t>
  </si>
  <si>
    <t>142466801882759168</t>
  </si>
  <si>
    <t>Moneybaggslowbro</t>
  </si>
  <si>
    <t>284366067126632448</t>
  </si>
  <si>
    <t>wwwmonmon</t>
  </si>
  <si>
    <t>579395206680412172</t>
  </si>
  <si>
    <t>doomlsinger</t>
  </si>
  <si>
    <t>384034011602747394</t>
  </si>
  <si>
    <t>goldthe1andonly</t>
  </si>
  <si>
    <t>345724126478073867</t>
  </si>
  <si>
    <t>DanWhoDis</t>
  </si>
  <si>
    <t>226027083472699395</t>
  </si>
  <si>
    <t>berkyderky</t>
  </si>
  <si>
    <t>175687108864901121</t>
  </si>
  <si>
    <t>Sificon</t>
  </si>
  <si>
    <t>363775331292676097</t>
  </si>
  <si>
    <t>cremozar#6029</t>
  </si>
  <si>
    <t>231155483157856256</t>
  </si>
  <si>
    <t>hachimaki.</t>
  </si>
  <si>
    <t>165579227897266176</t>
  </si>
  <si>
    <t>gstrem_</t>
  </si>
  <si>
    <t>575673302429859849</t>
  </si>
  <si>
    <t>busyboi</t>
  </si>
  <si>
    <t>170563297433747457</t>
  </si>
  <si>
    <t>Colby2D</t>
  </si>
  <si>
    <t>255541617597874176</t>
  </si>
  <si>
    <t>mugua (purple Pikmin pfp)</t>
  </si>
  <si>
    <t>177874513466359809</t>
  </si>
  <si>
    <t>sopphaking</t>
  </si>
  <si>
    <t>215057324631392256</t>
  </si>
  <si>
    <t>med470</t>
  </si>
  <si>
    <t>187473742010646531</t>
  </si>
  <si>
    <t>Saint-ome</t>
  </si>
  <si>
    <t>398619797765488645</t>
  </si>
  <si>
    <t>SentientSanchez</t>
  </si>
  <si>
    <t>730510085079433268</t>
  </si>
  <si>
    <t>no8ull</t>
  </si>
  <si>
    <t>647900479602425856</t>
  </si>
  <si>
    <t>erfder (old style Erfder#3147)</t>
  </si>
  <si>
    <t>172402233676136448</t>
  </si>
  <si>
    <t>LevysChair</t>
  </si>
  <si>
    <t>287039271523844096</t>
  </si>
  <si>
    <t>CodeRedSP</t>
  </si>
  <si>
    <t>1288584285833527439</t>
  </si>
  <si>
    <t>venomshoc</t>
  </si>
  <si>
    <t>314453127224885249</t>
  </si>
  <si>
    <t>owlman7507</t>
  </si>
  <si>
    <t>684894520751816770</t>
  </si>
  <si>
    <t>lemann8184</t>
  </si>
  <si>
    <t>475717768117747714</t>
  </si>
  <si>
    <t>luukthegamer</t>
  </si>
  <si>
    <t>407167044174217218</t>
  </si>
  <si>
    <t>wombatbaby</t>
  </si>
  <si>
    <t>460542464130940930</t>
  </si>
  <si>
    <t>SUB 8</t>
  </si>
  <si>
    <t>cisconduct</t>
  </si>
  <si>
    <t>703804773228609587</t>
  </si>
  <si>
    <t>rizzarroflame</t>
  </si>
  <si>
    <t>252382699904303104</t>
  </si>
  <si>
    <t>thefattestofyoshis</t>
  </si>
  <si>
    <t>484359933706371074</t>
  </si>
  <si>
    <t>Raven_queen</t>
  </si>
  <si>
    <t>698505458129829940</t>
  </si>
  <si>
    <t>BlerpDerpSkerp</t>
  </si>
  <si>
    <t>821778881463451659</t>
  </si>
  <si>
    <t>GSC_Lover_Boy</t>
  </si>
  <si>
    <t>1287881690001440810</t>
  </si>
  <si>
    <t>gudemuch</t>
  </si>
  <si>
    <t>689102490154696705</t>
  </si>
  <si>
    <t>leofox___</t>
  </si>
  <si>
    <t>1186654173094228048</t>
  </si>
  <si>
    <t>mmtimmo</t>
  </si>
  <si>
    <t>201614901452603392</t>
  </si>
  <si>
    <t>firecracker1195</t>
  </si>
  <si>
    <t>1140316980931461190</t>
  </si>
  <si>
    <t>hansenator.</t>
  </si>
  <si>
    <t>95590324126097408</t>
  </si>
  <si>
    <t>gpd_123</t>
  </si>
  <si>
    <t>1287682191584792579</t>
  </si>
  <si>
    <t>choicescarf002</t>
  </si>
  <si>
    <t>359154373063999490</t>
  </si>
  <si>
    <t>etymon_</t>
  </si>
  <si>
    <t>790249278408359947</t>
  </si>
  <si>
    <t>Pressle54</t>
  </si>
  <si>
    <t>311097288326119434</t>
  </si>
  <si>
    <t>strawbbz</t>
  </si>
  <si>
    <t>303671100980854788</t>
  </si>
  <si>
    <t>michaelmeets</t>
  </si>
  <si>
    <t>422543384125636628</t>
  </si>
  <si>
    <t>SUB 7</t>
  </si>
  <si>
    <t>Melninja</t>
  </si>
  <si>
    <t>303553097584607249</t>
  </si>
  <si>
    <t>dfr2248</t>
  </si>
  <si>
    <t>1067809125418934324</t>
  </si>
  <si>
    <t>msousa</t>
  </si>
  <si>
    <t>489109056183599104</t>
  </si>
  <si>
    <t>stolenpaper</t>
  </si>
  <si>
    <t>278063602005573632</t>
  </si>
  <si>
    <t>olliertlol</t>
  </si>
  <si>
    <t>1217597446507729028</t>
  </si>
  <si>
    <t>Fantasmal_.</t>
  </si>
  <si>
    <t>1232210933489864785</t>
  </si>
  <si>
    <t>dazey</t>
  </si>
  <si>
    <t>72877098267586560</t>
  </si>
  <si>
    <t>oskari1707</t>
  </si>
  <si>
    <t>920018351684730910</t>
  </si>
  <si>
    <t>Vholtninja</t>
  </si>
  <si>
    <t>495147477398192128</t>
  </si>
  <si>
    <t>elysyr</t>
  </si>
  <si>
    <t>1252241314897068095</t>
  </si>
  <si>
    <t>Peppeppeia</t>
  </si>
  <si>
    <t>222619348668383242</t>
  </si>
  <si>
    <t>Grain_Jar</t>
  </si>
  <si>
    <t>348920220192210955</t>
  </si>
  <si>
    <t>flareliger</t>
  </si>
  <si>
    <t>605517695961661523</t>
  </si>
  <si>
    <t>Mulikki123</t>
  </si>
  <si>
    <t>408945189940494339</t>
  </si>
  <si>
    <t>nihiliros</t>
  </si>
  <si>
    <t>236509304507596801</t>
  </si>
  <si>
    <t>tyler.cox</t>
  </si>
  <si>
    <t>188804160152403968</t>
  </si>
  <si>
    <t>SUB 19</t>
  </si>
  <si>
    <t>cepulo</t>
  </si>
  <si>
    <t>1223051167505059850</t>
  </si>
  <si>
    <t>Kenmarijuana</t>
  </si>
  <si>
    <t>508684602261504010</t>
  </si>
  <si>
    <t>pat2678</t>
  </si>
  <si>
    <t>380589919070060544</t>
  </si>
  <si>
    <t>tibetanator</t>
  </si>
  <si>
    <t>734152855501668363</t>
  </si>
  <si>
    <t>yallen</t>
  </si>
  <si>
    <t>444702392383176724</t>
  </si>
  <si>
    <t>bigjon.</t>
  </si>
  <si>
    <t>289528250823213056</t>
  </si>
  <si>
    <t>deftbrixton</t>
  </si>
  <si>
    <t>685522474179231877</t>
  </si>
  <si>
    <t>etibamecus.</t>
  </si>
  <si>
    <t>375394551445323787</t>
  </si>
  <si>
    <t>scootymcbooty123</t>
  </si>
  <si>
    <t>1016157273816584242</t>
  </si>
  <si>
    <t>_deacon</t>
  </si>
  <si>
    <t>193748470564126720</t>
  </si>
  <si>
    <t>avongarde_ult</t>
  </si>
  <si>
    <t>194425839222390785</t>
  </si>
  <si>
    <t>Shifty1239</t>
  </si>
  <si>
    <t>121304787051479040</t>
  </si>
  <si>
    <t>tehpenguinofdoom</t>
  </si>
  <si>
    <t>884242717255807047</t>
  </si>
  <si>
    <t>tub69</t>
  </si>
  <si>
    <t>283982333520904192</t>
  </si>
  <si>
    <t>derevien</t>
  </si>
  <si>
    <t>219178413062225922</t>
  </si>
  <si>
    <t>Luca Dylan</t>
  </si>
  <si>
    <t>695567810511896586</t>
  </si>
  <si>
    <t>s_2_w</t>
  </si>
  <si>
    <t>849644863661801493</t>
  </si>
  <si>
    <t>almbkn</t>
  </si>
  <si>
    <t>152476072473133056</t>
  </si>
  <si>
    <t>CraterLake</t>
  </si>
  <si>
    <t>147742295389765633</t>
  </si>
  <si>
    <t>CoffeePour</t>
  </si>
  <si>
    <t>896214559092801617</t>
  </si>
  <si>
    <t>lexi.pup</t>
  </si>
  <si>
    <t>768313209161383936</t>
  </si>
  <si>
    <t>jotaentrena</t>
  </si>
  <si>
    <t>423465310478401536</t>
  </si>
  <si>
    <t>loopingpyre</t>
  </si>
  <si>
    <t>181680584165163008</t>
  </si>
  <si>
    <t>xho_xho_</t>
  </si>
  <si>
    <t>1026473914269978624</t>
  </si>
  <si>
    <t>Bedal.r</t>
  </si>
  <si>
    <t>420576111848718336</t>
  </si>
  <si>
    <t>marcelbruer</t>
  </si>
  <si>
    <t>192472740651991040</t>
  </si>
  <si>
    <t>jheff97</t>
  </si>
  <si>
    <t>598994740465369098</t>
  </si>
  <si>
    <t>ponzuuu</t>
  </si>
  <si>
    <t>186347195966947328</t>
  </si>
  <si>
    <t>denizs8</t>
  </si>
  <si>
    <t>188407578202472448</t>
  </si>
  <si>
    <t>Lhions</t>
  </si>
  <si>
    <t>220957448066957312</t>
  </si>
  <si>
    <t>Cream314</t>
  </si>
  <si>
    <t>272909263205040140</t>
  </si>
  <si>
    <t>luisin</t>
  </si>
  <si>
    <t>623656981244149798</t>
  </si>
  <si>
    <t>Mimien97</t>
  </si>
  <si>
    <t>441260054461546496</t>
  </si>
  <si>
    <t>otael</t>
  </si>
  <si>
    <t>123122853632540672</t>
  </si>
  <si>
    <t>Goodnightloulou</t>
  </si>
  <si>
    <t>1003852969177006150</t>
  </si>
  <si>
    <t>SUB 27</t>
  </si>
  <si>
    <t>Mintyfresh756</t>
  </si>
  <si>
    <t>229365099960336384</t>
  </si>
  <si>
    <t>sbmalus</t>
  </si>
  <si>
    <t>492395234429370371</t>
  </si>
  <si>
    <t>SUB 4</t>
  </si>
  <si>
    <t>ChocoboJoe</t>
  </si>
  <si>
    <t>301575831858446356</t>
  </si>
  <si>
    <t>Kenuckz</t>
  </si>
  <si>
    <t>152582039177134080</t>
  </si>
  <si>
    <t>mintyerb</t>
  </si>
  <si>
    <t>411341688288575500</t>
  </si>
  <si>
    <t>swope</t>
  </si>
  <si>
    <t>141349140188626944</t>
  </si>
  <si>
    <t>Zacynthius02</t>
  </si>
  <si>
    <t>1144653653752434738</t>
  </si>
  <si>
    <t>ltg04</t>
  </si>
  <si>
    <t>314526869506621440</t>
  </si>
  <si>
    <t>fayestra</t>
  </si>
  <si>
    <t>169948103938408448</t>
  </si>
  <si>
    <t>tamafuyu</t>
  </si>
  <si>
    <t>98886753485623296</t>
  </si>
  <si>
    <t>crustaceus</t>
  </si>
  <si>
    <t>119952719183216640</t>
  </si>
  <si>
    <t>warupeach</t>
  </si>
  <si>
    <t>1260741423414775869</t>
  </si>
  <si>
    <t>S.k.magnet</t>
  </si>
  <si>
    <t>1147160651219869766</t>
  </si>
  <si>
    <t>FISH (gypsytea)</t>
  </si>
  <si>
    <t>1074009502556360836</t>
  </si>
  <si>
    <t>_rekkzz_</t>
  </si>
  <si>
    <t>1066999557575147581</t>
  </si>
  <si>
    <t>Drby</t>
  </si>
  <si>
    <t>246760558680997888</t>
  </si>
  <si>
    <t>testemunha2622</t>
  </si>
  <si>
    <t>395750485769846784</t>
  </si>
  <si>
    <t>brestelli</t>
  </si>
  <si>
    <t>688796987193163984</t>
  </si>
  <si>
    <t>swordpeace3232</t>
  </si>
  <si>
    <t>578664990714888212</t>
  </si>
  <si>
    <t>frogsella</t>
  </si>
  <si>
    <t>229061659698659328</t>
  </si>
  <si>
    <t>ebitachy</t>
  </si>
  <si>
    <t>219131577030934529</t>
  </si>
  <si>
    <t>Goose824</t>
  </si>
  <si>
    <t>260566711202218005</t>
  </si>
  <si>
    <t>Yoink 0</t>
  </si>
  <si>
    <t>1139533634194391050</t>
  </si>
  <si>
    <t>JCK_ionic</t>
  </si>
  <si>
    <t>285602550345105409</t>
  </si>
  <si>
    <t>witgiz</t>
  </si>
  <si>
    <t>745414414429192303</t>
  </si>
  <si>
    <t>Carfrogs</t>
  </si>
  <si>
    <t>513234552706301993</t>
  </si>
  <si>
    <t>tommy4830</t>
  </si>
  <si>
    <t>229884850377719808</t>
  </si>
  <si>
    <t>funhouse3</t>
  </si>
  <si>
    <t>102875527206932480</t>
  </si>
  <si>
    <t>loffelbiskuit</t>
  </si>
  <si>
    <t>850393740366577665</t>
  </si>
  <si>
    <t>adv_fella</t>
  </si>
  <si>
    <t>1045171502057799710</t>
  </si>
  <si>
    <t>blunderpolicy</t>
  </si>
  <si>
    <t>306969912566611968</t>
  </si>
  <si>
    <t>emerald_harrold</t>
  </si>
  <si>
    <t>895687390142812161</t>
  </si>
  <si>
    <t>SUB 28</t>
  </si>
  <si>
    <t>incognidoqueen</t>
  </si>
  <si>
    <t>425232168743075841</t>
  </si>
  <si>
    <t>draccus_comun</t>
  </si>
  <si>
    <t>1288506532857909365</t>
  </si>
  <si>
    <t>Klird</t>
  </si>
  <si>
    <t>393218478187741186</t>
  </si>
  <si>
    <t>lindonh</t>
  </si>
  <si>
    <t>420784558519091200</t>
  </si>
  <si>
    <t>zy___</t>
  </si>
  <si>
    <t>401769953910587393</t>
  </si>
  <si>
    <t>zoyotte</t>
  </si>
  <si>
    <t>429574111350489088</t>
  </si>
  <si>
    <t>fuckboylenny</t>
  </si>
  <si>
    <t>1287687998716117037</t>
  </si>
  <si>
    <t>sensei_moon</t>
  </si>
  <si>
    <t>385834807839555584</t>
  </si>
  <si>
    <t>grillking</t>
  </si>
  <si>
    <t>213514916487757827</t>
  </si>
  <si>
    <t>Somnanana</t>
  </si>
  <si>
    <t>334000783152513024</t>
  </si>
  <si>
    <t>@xlimexheep</t>
  </si>
  <si>
    <t>172204426302324736</t>
  </si>
  <si>
    <t>Fierros47</t>
  </si>
  <si>
    <t>348679052720078850</t>
  </si>
  <si>
    <t>clarissen</t>
  </si>
  <si>
    <t>443637291165024277</t>
  </si>
  <si>
    <t>nichard_</t>
  </si>
  <si>
    <t>737461610175528960</t>
  </si>
  <si>
    <t>EatYourToastSon</t>
  </si>
  <si>
    <t>508374686359486495</t>
  </si>
  <si>
    <t>scurrying_snail</t>
  </si>
  <si>
    <t>687841888950288396</t>
  </si>
  <si>
    <t>Ghostfall22</t>
  </si>
  <si>
    <t>894720722683985930</t>
  </si>
  <si>
    <t>Leeto64</t>
  </si>
  <si>
    <t>170563833054625792</t>
  </si>
  <si>
    <t>giantking20</t>
  </si>
  <si>
    <t>611974176751747105</t>
  </si>
  <si>
    <t>Upon_Link_Main</t>
  </si>
  <si>
    <t>355216493618921472</t>
  </si>
  <si>
    <t>Ktools#9665</t>
  </si>
  <si>
    <t>225653665149616129</t>
  </si>
  <si>
    <t>wolfturds</t>
  </si>
  <si>
    <t>305122620498509824</t>
  </si>
  <si>
    <t>kinou_pkm</t>
  </si>
  <si>
    <t>760122389345337405</t>
  </si>
  <si>
    <t>Sotina</t>
  </si>
  <si>
    <t>252882652347105281</t>
  </si>
  <si>
    <t>dinkdank_</t>
  </si>
  <si>
    <t>722616383233589266</t>
  </si>
  <si>
    <t>Nicko8</t>
  </si>
  <si>
    <t>148744968666742784</t>
  </si>
  <si>
    <t>cow3492</t>
  </si>
  <si>
    <t>709052801598357585</t>
  </si>
  <si>
    <t>ByrneBaby</t>
  </si>
  <si>
    <t>181090608230694912</t>
  </si>
  <si>
    <t>Microsoft_J</t>
  </si>
  <si>
    <t>178809494728343552</t>
  </si>
  <si>
    <t>tsuki.no.miko</t>
  </si>
  <si>
    <t>285250442479403010</t>
  </si>
  <si>
    <t>sheikhater</t>
  </si>
  <si>
    <t>355167649497481218</t>
  </si>
  <si>
    <t>Vassimobin</t>
  </si>
  <si>
    <t>521813775586951183</t>
  </si>
  <si>
    <t>Ragnarocco244</t>
  </si>
  <si>
    <t>198491831141531648</t>
  </si>
  <si>
    <t>dustyfans</t>
  </si>
  <si>
    <t>325004772493230092</t>
  </si>
  <si>
    <t>Slimsinatra93</t>
  </si>
  <si>
    <t>418807730627936277</t>
  </si>
  <si>
    <t>toruwu</t>
  </si>
  <si>
    <t>184302283574476801</t>
  </si>
  <si>
    <t>Simonf</t>
  </si>
  <si>
    <t>158927868745744385</t>
  </si>
  <si>
    <t>perogee</t>
  </si>
  <si>
    <t>196443684068261897</t>
  </si>
  <si>
    <t>elmagneto</t>
  </si>
  <si>
    <t>381169925601099779</t>
  </si>
  <si>
    <t>Eggman</t>
  </si>
  <si>
    <t>516714630890913803</t>
  </si>
  <si>
    <t>lacoot</t>
  </si>
  <si>
    <t>97354702949191680</t>
  </si>
  <si>
    <t>the_app</t>
  </si>
  <si>
    <t>289874645539094529</t>
  </si>
  <si>
    <t>Filthy Cubone</t>
  </si>
  <si>
    <t>185564749528825867</t>
  </si>
  <si>
    <t>@spreek</t>
  </si>
  <si>
    <t>136272881666621440</t>
  </si>
  <si>
    <t>Josito</t>
  </si>
  <si>
    <t>206542779122319360</t>
  </si>
  <si>
    <t>b1ur</t>
  </si>
  <si>
    <t>196380416473563136</t>
  </si>
  <si>
    <t>Dig Boshi</t>
  </si>
  <si>
    <t>1041574782090620938</t>
  </si>
  <si>
    <t>scrapmetal56</t>
  </si>
  <si>
    <t>289371283995492352</t>
  </si>
  <si>
    <t>v1ctor23</t>
  </si>
  <si>
    <t>803357219600072714</t>
  </si>
  <si>
    <t>DeathbyDunsparce</t>
  </si>
  <si>
    <t>313084425498001409</t>
  </si>
  <si>
    <t>sdj</t>
  </si>
  <si>
    <t>229267701514764288</t>
  </si>
  <si>
    <t>Stuckkkk</t>
  </si>
  <si>
    <t>321430793153019924</t>
  </si>
  <si>
    <t>MenaCicada</t>
  </si>
  <si>
    <t>533411497616080896</t>
  </si>
  <si>
    <t>Fairy</t>
  </si>
  <si>
    <t>108255159053713408</t>
  </si>
  <si>
    <t>solars_power</t>
  </si>
  <si>
    <t>1288501552113254518</t>
  </si>
  <si>
    <t>Master_Penguini</t>
  </si>
  <si>
    <t>202851295176949760</t>
  </si>
  <si>
    <t>lraven17</t>
  </si>
  <si>
    <t>888491487254421555</t>
  </si>
  <si>
    <t>krungus_01138</t>
  </si>
  <si>
    <t>1281415539327242375</t>
  </si>
  <si>
    <t>DonlyPhans</t>
  </si>
  <si>
    <t>859201439577276416</t>
  </si>
  <si>
    <t>GroundBack</t>
  </si>
  <si>
    <t>433831408243441666</t>
  </si>
  <si>
    <t>itsaregionaldialect</t>
  </si>
  <si>
    <t>big_jerry</t>
  </si>
  <si>
    <t>131588523852562432</t>
  </si>
  <si>
    <t>romeugoat._25355</t>
  </si>
  <si>
    <t>1258422832770191392</t>
  </si>
  <si>
    <t>sapphire918</t>
  </si>
  <si>
    <t>247172567494819840</t>
  </si>
  <si>
    <t>Coco / Yuii</t>
  </si>
  <si>
    <t>285392368146841611</t>
  </si>
  <si>
    <t>milkshook00</t>
  </si>
  <si>
    <t>167697420719882241</t>
  </si>
  <si>
    <t>hangerguardian</t>
  </si>
  <si>
    <t>191370461894934528</t>
  </si>
  <si>
    <t>ChetManley</t>
  </si>
  <si>
    <t>179698264436768768</t>
  </si>
  <si>
    <t>Ale8150</t>
  </si>
  <si>
    <t>534764907887984641</t>
  </si>
  <si>
    <t>YamHam</t>
  </si>
  <si>
    <t>143746978201862144</t>
  </si>
  <si>
    <t>KingWafl</t>
  </si>
  <si>
    <t>298196806171492363</t>
  </si>
  <si>
    <t>SUB 23</t>
  </si>
  <si>
    <t>Salamaster</t>
  </si>
  <si>
    <t>188476137071050752</t>
  </si>
  <si>
    <t>ViciousCricket</t>
  </si>
  <si>
    <t>828280967377584128</t>
  </si>
  <si>
    <t>tahat_t</t>
  </si>
  <si>
    <t>1095502363118284891</t>
  </si>
  <si>
    <t>cheerful_dragon_75260</t>
  </si>
  <si>
    <t>309900516324802560</t>
  </si>
  <si>
    <t>Felizelise</t>
  </si>
  <si>
    <t>377637716818526208</t>
  </si>
  <si>
    <t>Hypermoth</t>
  </si>
  <si>
    <t>160179454256087041</t>
  </si>
  <si>
    <t>Ehtis</t>
  </si>
  <si>
    <t>318819800639995904</t>
  </si>
  <si>
    <t>socialinclusion</t>
  </si>
  <si>
    <t>1287659687881474109</t>
  </si>
  <si>
    <t>garcilp</t>
  </si>
  <si>
    <t>121071467692556291</t>
  </si>
  <si>
    <t>Latlat1</t>
  </si>
  <si>
    <t>186768858357432320</t>
  </si>
  <si>
    <t>bydy2</t>
  </si>
  <si>
    <t>245276997687836672</t>
  </si>
  <si>
    <t>jthompson9021</t>
  </si>
  <si>
    <t>198634963766214656</t>
  </si>
  <si>
    <t>Ezcrime</t>
  </si>
  <si>
    <t>855540512782155823</t>
  </si>
  <si>
    <t>5darkelves_gmen</t>
  </si>
  <si>
    <t>952068071336607775</t>
  </si>
  <si>
    <t>ManiacalDolphin</t>
  </si>
  <si>
    <t>218904208110387204</t>
  </si>
  <si>
    <t>Greyaz</t>
  </si>
  <si>
    <t>267764029538304000</t>
  </si>
  <si>
    <t>Spedonic</t>
  </si>
  <si>
    <t>200135331620716544</t>
  </si>
  <si>
    <t>Print Screen</t>
  </si>
  <si>
    <t>138348102535872513</t>
  </si>
  <si>
    <t>justbestlevels</t>
  </si>
  <si>
    <t>1266216530601971775</t>
  </si>
  <si>
    <t>Genofool</t>
  </si>
  <si>
    <t>82969260036456448</t>
  </si>
  <si>
    <t>irrelevantone</t>
  </si>
  <si>
    <t>284150733152976896</t>
  </si>
  <si>
    <t>allance05</t>
  </si>
  <si>
    <t>783282113288863754</t>
  </si>
  <si>
    <t>aldrichunfaithful</t>
  </si>
  <si>
    <t>743954201222053955</t>
  </si>
  <si>
    <t>walterbite</t>
  </si>
  <si>
    <t>155855401097625602</t>
  </si>
  <si>
    <t>sligoblues</t>
  </si>
  <si>
    <t>583755075298656300</t>
  </si>
  <si>
    <t>WraxiusGaming</t>
  </si>
  <si>
    <t>476882845525213184</t>
  </si>
  <si>
    <t>Blanched</t>
  </si>
  <si>
    <t>270997842628182026</t>
  </si>
  <si>
    <t>@pek__</t>
  </si>
  <si>
    <t>195931152521887744</t>
  </si>
  <si>
    <t>bugthatlovesfish</t>
  </si>
  <si>
    <t>248102672555704322</t>
  </si>
  <si>
    <t>jankcity</t>
  </si>
  <si>
    <t>532236765914988557</t>
  </si>
  <si>
    <t>wonderfulwhiscash</t>
  </si>
  <si>
    <t>1073864488266256424</t>
  </si>
  <si>
    <t>renlyyynnn</t>
  </si>
  <si>
    <t>925782763364298833</t>
  </si>
  <si>
    <t>jaden_17522</t>
  </si>
  <si>
    <t>1215851373057413160</t>
  </si>
  <si>
    <t>hypebeasthegel</t>
  </si>
  <si>
    <t>401566713252020225</t>
  </si>
  <si>
    <t>mint</t>
  </si>
  <si>
    <t>Player</t>
  </si>
  <si>
    <t>ROUND 1</t>
  </si>
  <si>
    <t>R</t>
  </si>
  <si>
    <t>Pool 1 - 5imian</t>
  </si>
  <si>
    <t>a032103220323</t>
  </si>
  <si>
    <t>b01230124</t>
  </si>
  <si>
    <t>a03240325</t>
  </si>
  <si>
    <t>a03260327</t>
  </si>
  <si>
    <t>B:Act</t>
  </si>
  <si>
    <t>a03280329</t>
  </si>
  <si>
    <t>a03300331</t>
  </si>
  <si>
    <t>a03320333</t>
  </si>
  <si>
    <t>a06740675</t>
  </si>
  <si>
    <t>B067606770678</t>
  </si>
  <si>
    <t>a06790680</t>
  </si>
  <si>
    <t>a01330134</t>
  </si>
  <si>
    <t>a03340335</t>
  </si>
  <si>
    <t>a033603370338</t>
  </si>
  <si>
    <t>a01310132</t>
  </si>
  <si>
    <t>a06810682</t>
  </si>
  <si>
    <t>a03390340</t>
  </si>
  <si>
    <t>A:Act</t>
  </si>
  <si>
    <t>b012501260127</t>
  </si>
  <si>
    <t>a03410342</t>
  </si>
  <si>
    <t>b03800381</t>
  </si>
  <si>
    <t>a034303440345</t>
  </si>
  <si>
    <t>a035603570358</t>
  </si>
  <si>
    <t>b035903600361</t>
  </si>
  <si>
    <t>a03620363</t>
  </si>
  <si>
    <t>b036403650366</t>
  </si>
  <si>
    <t>a036703680369</t>
  </si>
  <si>
    <t>a03700371</t>
  </si>
  <si>
    <t>a:act</t>
  </si>
  <si>
    <t>a06830684</t>
  </si>
  <si>
    <t>a037203730374</t>
  </si>
  <si>
    <t>a037503760377</t>
  </si>
  <si>
    <t>a012801290130</t>
  </si>
  <si>
    <t>a03780379</t>
  </si>
  <si>
    <t>Pool 2 - Zacpz</t>
  </si>
  <si>
    <t>A02110212</t>
  </si>
  <si>
    <t>A024302440245</t>
  </si>
  <si>
    <t>A00170018</t>
  </si>
  <si>
    <t>A00590060</t>
  </si>
  <si>
    <t>A04840485</t>
  </si>
  <si>
    <t>a068506860687</t>
  </si>
  <si>
    <t>A02410242</t>
  </si>
  <si>
    <t>a048104820483</t>
  </si>
  <si>
    <t>A047804790480</t>
  </si>
  <si>
    <t>A02390240</t>
  </si>
  <si>
    <t>Xtina</t>
  </si>
  <si>
    <t>A023602370238</t>
  </si>
  <si>
    <t>A05020503</t>
  </si>
  <si>
    <t>A04760477</t>
  </si>
  <si>
    <t>A02340235</t>
  </si>
  <si>
    <t>A047304740475</t>
  </si>
  <si>
    <t>A02320233</t>
  </si>
  <si>
    <t>A00010002</t>
  </si>
  <si>
    <t>A04710472</t>
  </si>
  <si>
    <t>a022902300231</t>
  </si>
  <si>
    <t>A02270228</t>
  </si>
  <si>
    <t>B02250226</t>
  </si>
  <si>
    <t>B046804690470</t>
  </si>
  <si>
    <t>b04660467</t>
  </si>
  <si>
    <t>a001900200021</t>
  </si>
  <si>
    <t>A00080009</t>
  </si>
  <si>
    <t>A022202230224</t>
  </si>
  <si>
    <t>b046304640465</t>
  </si>
  <si>
    <t>B00570058</t>
  </si>
  <si>
    <t>A00550056</t>
  </si>
  <si>
    <t>b:act</t>
  </si>
  <si>
    <t>A02200221</t>
  </si>
  <si>
    <t>A006100620063</t>
  </si>
  <si>
    <t>A066606670668</t>
  </si>
  <si>
    <t>A02180219</t>
  </si>
  <si>
    <t>B000300040005</t>
  </si>
  <si>
    <t>a06880689</t>
  </si>
  <si>
    <t>A045804590460</t>
  </si>
  <si>
    <t>Pool 3 - Adam</t>
  </si>
  <si>
    <t>A00840085</t>
  </si>
  <si>
    <t>A02890290</t>
  </si>
  <si>
    <t>A026202630264</t>
  </si>
  <si>
    <t>a069006910692</t>
  </si>
  <si>
    <t>A02820283</t>
  </si>
  <si>
    <t>A00150016</t>
  </si>
  <si>
    <t>B05310532</t>
  </si>
  <si>
    <t>A027702780279</t>
  </si>
  <si>
    <t>B03540355</t>
  </si>
  <si>
    <t>B05830584</t>
  </si>
  <si>
    <t>B035103520353</t>
  </si>
  <si>
    <t>B05290530</t>
  </si>
  <si>
    <t>A027402750276</t>
  </si>
  <si>
    <t>A00130014</t>
  </si>
  <si>
    <t>A027102720273</t>
  </si>
  <si>
    <t>A05000501</t>
  </si>
  <si>
    <t>A007800790080</t>
  </si>
  <si>
    <t>A03490350</t>
  </si>
  <si>
    <t>A008100820083</t>
  </si>
  <si>
    <t>B005200530054</t>
  </si>
  <si>
    <t>A034603470348</t>
  </si>
  <si>
    <t>A00860087</t>
  </si>
  <si>
    <t>B026802690270</t>
  </si>
  <si>
    <t>B00060007</t>
  </si>
  <si>
    <t>A006900700071</t>
  </si>
  <si>
    <t>B051505160517</t>
  </si>
  <si>
    <t>A00500051</t>
  </si>
  <si>
    <t>A00760077</t>
  </si>
  <si>
    <t>B026502660267</t>
  </si>
  <si>
    <t>B00970098</t>
  </si>
  <si>
    <t>B001000110012</t>
  </si>
  <si>
    <t>Pool 4 - Adorluigi</t>
  </si>
  <si>
    <t>B040804090410</t>
  </si>
  <si>
    <t>A042404250426</t>
  </si>
  <si>
    <t>A042704280429</t>
  </si>
  <si>
    <t>B043004310432</t>
  </si>
  <si>
    <t>A04330434</t>
  </si>
  <si>
    <t>B043504360437</t>
  </si>
  <si>
    <t>A04610462</t>
  </si>
  <si>
    <t>B044104430444</t>
  </si>
  <si>
    <t>A043804390440</t>
  </si>
  <si>
    <t>A042104220423</t>
  </si>
  <si>
    <t>A04190420</t>
  </si>
  <si>
    <t>A041604170418</t>
  </si>
  <si>
    <t>A041304140415</t>
  </si>
  <si>
    <t>B04110412</t>
  </si>
  <si>
    <t>B003200330034</t>
  </si>
  <si>
    <t>B002900300031</t>
  </si>
  <si>
    <t>B040504060407</t>
  </si>
  <si>
    <t>B00270028</t>
  </si>
  <si>
    <t>A04030404</t>
  </si>
  <si>
    <t>B04010402</t>
  </si>
  <si>
    <t>B002400250026</t>
  </si>
  <si>
    <t>B03990400</t>
  </si>
  <si>
    <t>B04980499</t>
  </si>
  <si>
    <t>A039603970398</t>
  </si>
  <si>
    <t>B039303940395</t>
  </si>
  <si>
    <t>A03910392</t>
  </si>
  <si>
    <t>A038803890390</t>
  </si>
  <si>
    <t>B038503860387</t>
  </si>
  <si>
    <t>B00220023</t>
  </si>
  <si>
    <t>Pool 5 - Buzzed</t>
  </si>
  <si>
    <t>A03100311</t>
  </si>
  <si>
    <t>A009400950096</t>
  </si>
  <si>
    <t>a038203830384</t>
  </si>
  <si>
    <t>b025902600261</t>
  </si>
  <si>
    <t>Luca Forfeit</t>
  </si>
  <si>
    <t>A0202</t>
  </si>
  <si>
    <t>B00670068</t>
  </si>
  <si>
    <t>B018901900191</t>
  </si>
  <si>
    <t>b04960497</t>
  </si>
  <si>
    <t>b00720073</t>
  </si>
  <si>
    <t>a02530254</t>
  </si>
  <si>
    <t>B006400650066</t>
  </si>
  <si>
    <t>a044504460447</t>
  </si>
  <si>
    <t>b05130514</t>
  </si>
  <si>
    <t>B020802090210</t>
  </si>
  <si>
    <t>a03190320</t>
  </si>
  <si>
    <t>A00990100</t>
  </si>
  <si>
    <t>a03170318</t>
  </si>
  <si>
    <t>a049304940495</t>
  </si>
  <si>
    <t>b044804490450</t>
  </si>
  <si>
    <t>b05110512</t>
  </si>
  <si>
    <t>B02130214</t>
  </si>
  <si>
    <t>A031403150316</t>
  </si>
  <si>
    <t>B01980199</t>
  </si>
  <si>
    <t>A00920093</t>
  </si>
  <si>
    <t>a061906200621</t>
  </si>
  <si>
    <t>A02000201</t>
  </si>
  <si>
    <t>a02570258</t>
  </si>
  <si>
    <t>B03120313</t>
  </si>
  <si>
    <t>A021502160217</t>
  </si>
  <si>
    <t>B00900091</t>
  </si>
  <si>
    <t>b049004910492</t>
  </si>
  <si>
    <t>a048704880489</t>
  </si>
  <si>
    <t>A01870188</t>
  </si>
  <si>
    <t>A00880089</t>
  </si>
  <si>
    <t>Pool 6 - DK Koba</t>
  </si>
  <si>
    <t>A066206630664</t>
  </si>
  <si>
    <t>A065906600661</t>
  </si>
  <si>
    <t>B06570658</t>
  </si>
  <si>
    <t>B06550656</t>
  </si>
  <si>
    <t>A065206530654</t>
  </si>
  <si>
    <t>B06500651</t>
  </si>
  <si>
    <t>B064706480649</t>
  </si>
  <si>
    <t>B064406450646</t>
  </si>
  <si>
    <t>B06420643</t>
  </si>
  <si>
    <t>A06400641</t>
  </si>
  <si>
    <t>A063706380639</t>
  </si>
  <si>
    <t>B06350636</t>
  </si>
  <si>
    <t>A063306340665</t>
  </si>
  <si>
    <t>B06310632</t>
  </si>
  <si>
    <t>B06290630</t>
  </si>
  <si>
    <t>B06270628</t>
  </si>
  <si>
    <t>B062406250626</t>
  </si>
  <si>
    <t>B06220623</t>
  </si>
  <si>
    <t>A06170618</t>
  </si>
  <si>
    <t>B06710672</t>
  </si>
  <si>
    <t>A061406150616</t>
  </si>
  <si>
    <t>A06120613</t>
  </si>
  <si>
    <t>A060906100611</t>
  </si>
  <si>
    <t>B060506060608</t>
  </si>
  <si>
    <t>B06030604</t>
  </si>
  <si>
    <t>A060006730602</t>
  </si>
  <si>
    <t>A05980599</t>
  </si>
  <si>
    <t>A06690670</t>
  </si>
  <si>
    <t>B05960597</t>
  </si>
  <si>
    <t>B05940595</t>
  </si>
  <si>
    <t>B05920593</t>
  </si>
  <si>
    <t>B05900591</t>
  </si>
  <si>
    <t>A058705880589</t>
  </si>
  <si>
    <t>B05850586</t>
  </si>
  <si>
    <t>Pool 7 - Mackenzie</t>
  </si>
  <si>
    <t>a013501360137</t>
  </si>
  <si>
    <t>a05780579</t>
  </si>
  <si>
    <t>a057505760577</t>
  </si>
  <si>
    <t>a01380139</t>
  </si>
  <si>
    <t>a05730574</t>
  </si>
  <si>
    <t>a057005710572</t>
  </si>
  <si>
    <t>a05680569</t>
  </si>
  <si>
    <t>b014001410142</t>
  </si>
  <si>
    <t>a05660567</t>
  </si>
  <si>
    <t>a05640565</t>
  </si>
  <si>
    <t>a01430144</t>
  </si>
  <si>
    <t>a056105620563</t>
  </si>
  <si>
    <t>b01450146</t>
  </si>
  <si>
    <t>b05590560</t>
  </si>
  <si>
    <t>b014701480149</t>
  </si>
  <si>
    <t>a055605570558</t>
  </si>
  <si>
    <t>b05540555</t>
  </si>
  <si>
    <t>a01500151</t>
  </si>
  <si>
    <t>b05520553</t>
  </si>
  <si>
    <t>b054905500551</t>
  </si>
  <si>
    <t>a05470548</t>
  </si>
  <si>
    <t>b05450546</t>
  </si>
  <si>
    <t>b01520153</t>
  </si>
  <si>
    <t>a015401550156</t>
  </si>
  <si>
    <t>b0157015801590160</t>
  </si>
  <si>
    <t>b054205430544</t>
  </si>
  <si>
    <t>b01610162</t>
  </si>
  <si>
    <t>a05400541</t>
  </si>
  <si>
    <t>a05380539</t>
  </si>
  <si>
    <t>a053505360537</t>
  </si>
  <si>
    <t>a01630164</t>
  </si>
  <si>
    <t>b05330534</t>
  </si>
  <si>
    <t>a052605270528</t>
  </si>
  <si>
    <t>b01650166</t>
  </si>
  <si>
    <t>a052305240525</t>
  </si>
  <si>
    <t>b05210522</t>
  </si>
  <si>
    <t>b051805190520</t>
  </si>
  <si>
    <t>Pool 8 - Redless</t>
  </si>
  <si>
    <t>A01780179</t>
  </si>
  <si>
    <t>A00480049</t>
  </si>
  <si>
    <t>B028602870288</t>
  </si>
  <si>
    <t>A:act</t>
  </si>
  <si>
    <t>a06930694</t>
  </si>
  <si>
    <t>B02840285</t>
  </si>
  <si>
    <t>b069506960697</t>
  </si>
  <si>
    <t>A01800181</t>
  </si>
  <si>
    <t>a069806990700</t>
  </si>
  <si>
    <t>B03020303</t>
  </si>
  <si>
    <t>A029903000301</t>
  </si>
  <si>
    <t>B:act</t>
  </si>
  <si>
    <t>B018401850186</t>
  </si>
  <si>
    <t>B01820183</t>
  </si>
  <si>
    <t>A02060207</t>
  </si>
  <si>
    <t>a07010702</t>
  </si>
  <si>
    <t>b070307040705</t>
  </si>
  <si>
    <t>A017501760177</t>
  </si>
  <si>
    <t>A020302040205</t>
  </si>
  <si>
    <t>A016701680169</t>
  </si>
  <si>
    <t>A02800281</t>
  </si>
  <si>
    <t>B01740173</t>
  </si>
  <si>
    <t>b07060707</t>
  </si>
  <si>
    <t>a07080709</t>
  </si>
  <si>
    <t>a07100711</t>
  </si>
  <si>
    <t>A017001710172</t>
  </si>
  <si>
    <t>b071207130714</t>
  </si>
  <si>
    <t>A00740075</t>
  </si>
  <si>
    <t>a071507160717</t>
  </si>
  <si>
    <t>b07180719</t>
  </si>
  <si>
    <t>B00460047</t>
  </si>
  <si>
    <t>b07200721</t>
  </si>
  <si>
    <t>Pool 9 - Rezzo</t>
  </si>
  <si>
    <t>a010101020103</t>
  </si>
  <si>
    <t>b04510452</t>
  </si>
  <si>
    <t>b01180119</t>
  </si>
  <si>
    <t>b04530454</t>
  </si>
  <si>
    <t>a050805090510</t>
  </si>
  <si>
    <t>b019201930194</t>
  </si>
  <si>
    <t>a05060507</t>
  </si>
  <si>
    <t>a0306030703080309</t>
  </si>
  <si>
    <t>b011501160117</t>
  </si>
  <si>
    <t>b03040305</t>
  </si>
  <si>
    <t>b00440045</t>
  </si>
  <si>
    <t>A07220723</t>
  </si>
  <si>
    <t>a029302940295</t>
  </si>
  <si>
    <t>b011201130114</t>
  </si>
  <si>
    <t>a00420043</t>
  </si>
  <si>
    <t>b003900400041</t>
  </si>
  <si>
    <t>a010901100111</t>
  </si>
  <si>
    <t>b02510252</t>
  </si>
  <si>
    <t>a05040505</t>
  </si>
  <si>
    <t>a012001210122</t>
  </si>
  <si>
    <t>a02490250</t>
  </si>
  <si>
    <t>b024602470248</t>
  </si>
  <si>
    <t>a019501960197</t>
  </si>
  <si>
    <t>b02910292</t>
  </si>
  <si>
    <t>a058005810582</t>
  </si>
  <si>
    <t>b00370038</t>
  </si>
  <si>
    <t>a02550256</t>
  </si>
  <si>
    <t>b010601070108</t>
  </si>
  <si>
    <t>b00350036</t>
  </si>
  <si>
    <t>a045504560457</t>
  </si>
  <si>
    <t>b01040105</t>
  </si>
  <si>
    <t>ROUND 2</t>
  </si>
  <si>
    <t>left_id</t>
  </si>
  <si>
    <t>right_id</t>
  </si>
  <si>
    <t>b11381139</t>
  </si>
  <si>
    <t>a07340735</t>
  </si>
  <si>
    <t>a10881089</t>
  </si>
  <si>
    <t>a117311741175</t>
  </si>
  <si>
    <t>a109010911092</t>
  </si>
  <si>
    <t>a10931094</t>
  </si>
  <si>
    <t>a11001140</t>
  </si>
  <si>
    <t>a11961197</t>
  </si>
  <si>
    <t>b07360737</t>
  </si>
  <si>
    <t>a07380739</t>
  </si>
  <si>
    <t>a07400741</t>
  </si>
  <si>
    <t>A074207430744</t>
  </si>
  <si>
    <t>a120012011202</t>
  </si>
  <si>
    <t>a113511361137</t>
  </si>
  <si>
    <t>a113211331134</t>
  </si>
  <si>
    <t>b11301131</t>
  </si>
  <si>
    <t>a112711281129</t>
  </si>
  <si>
    <t>b11411142</t>
  </si>
  <si>
    <t>a10741075</t>
  </si>
  <si>
    <t>a13991400</t>
  </si>
  <si>
    <t>a074507460747</t>
  </si>
  <si>
    <t>a07480749</t>
  </si>
  <si>
    <t>a11431144</t>
  </si>
  <si>
    <t>b112211231124</t>
  </si>
  <si>
    <t>a10811082</t>
  </si>
  <si>
    <t>A07500751</t>
  </si>
  <si>
    <t>a10791080</t>
  </si>
  <si>
    <t>b07520753</t>
  </si>
  <si>
    <t>b107610771078</t>
  </si>
  <si>
    <t>a11201121</t>
  </si>
  <si>
    <t>b111711181119</t>
  </si>
  <si>
    <t>a11151116</t>
  </si>
  <si>
    <t>b111211131114</t>
  </si>
  <si>
    <t>b07540755</t>
  </si>
  <si>
    <t>a115111521153</t>
  </si>
  <si>
    <t>a13971398</t>
  </si>
  <si>
    <t>a120912101211</t>
  </si>
  <si>
    <t>A10721073</t>
  </si>
  <si>
    <t>A08250826</t>
  </si>
  <si>
    <t>B120612071208</t>
  </si>
  <si>
    <t>B082708280829</t>
  </si>
  <si>
    <t>B08300831</t>
  </si>
  <si>
    <t>A10831084</t>
  </si>
  <si>
    <t>B08320833</t>
  </si>
  <si>
    <t>A13281329</t>
  </si>
  <si>
    <t>a08340835</t>
  </si>
  <si>
    <t>A108510861087</t>
  </si>
  <si>
    <t>B083608370838</t>
  </si>
  <si>
    <t>A109510961097</t>
  </si>
  <si>
    <t>A10981099</t>
  </si>
  <si>
    <t>B11451146</t>
  </si>
  <si>
    <t>A083908400841</t>
  </si>
  <si>
    <t>B115411551156</t>
  </si>
  <si>
    <t>A08420843</t>
  </si>
  <si>
    <t>a142814291430</t>
  </si>
  <si>
    <t>B11491150</t>
  </si>
  <si>
    <t>A11601161</t>
  </si>
  <si>
    <t>b116211631164</t>
  </si>
  <si>
    <t>A11651166</t>
  </si>
  <si>
    <t>B08440845</t>
  </si>
  <si>
    <t>B08460847</t>
  </si>
  <si>
    <t>A08500851</t>
  </si>
  <si>
    <t>A08480849</t>
  </si>
  <si>
    <t>b1401140214031404</t>
  </si>
  <si>
    <t>B116811691170</t>
  </si>
  <si>
    <t>A11761177</t>
  </si>
  <si>
    <t>A11671178</t>
  </si>
  <si>
    <t>B085208530854</t>
  </si>
  <si>
    <t>A08550856</t>
  </si>
  <si>
    <t>A11831184</t>
  </si>
  <si>
    <t>B085708580859</t>
  </si>
  <si>
    <t>A08600861</t>
  </si>
  <si>
    <t>B132513261327</t>
  </si>
  <si>
    <t>B086208630864</t>
  </si>
  <si>
    <t>A08650866</t>
  </si>
  <si>
    <t>B09310932</t>
  </si>
  <si>
    <t>B134413451346</t>
  </si>
  <si>
    <t>A13231324</t>
  </si>
  <si>
    <t>A134113421343</t>
  </si>
  <si>
    <t>A131813191320</t>
  </si>
  <si>
    <t>A092809290930</t>
  </si>
  <si>
    <t>A09260927</t>
  </si>
  <si>
    <t>A13161317</t>
  </si>
  <si>
    <t>B13141315</t>
  </si>
  <si>
    <t>B092309240925</t>
  </si>
  <si>
    <t>A13121313</t>
  </si>
  <si>
    <t>B092009210922</t>
  </si>
  <si>
    <t>A130913101311</t>
  </si>
  <si>
    <t>B130613071308</t>
  </si>
  <si>
    <t>B130313041305</t>
  </si>
  <si>
    <t>A13011302</t>
  </si>
  <si>
    <t>B09180919</t>
  </si>
  <si>
    <t>B133813391340</t>
  </si>
  <si>
    <t>B091509160917</t>
  </si>
  <si>
    <t>B09130914</t>
  </si>
  <si>
    <t>A091009110912</t>
  </si>
  <si>
    <t>B090709080909</t>
  </si>
  <si>
    <t>B12971298</t>
  </si>
  <si>
    <t>B12991300</t>
  </si>
  <si>
    <t>B129412951296</t>
  </si>
  <si>
    <t>B090409050906</t>
  </si>
  <si>
    <t>B133513361337</t>
  </si>
  <si>
    <t>A12911292</t>
  </si>
  <si>
    <t>B090109020903</t>
  </si>
  <si>
    <t>B133213331334</t>
  </si>
  <si>
    <t>A08990900</t>
  </si>
  <si>
    <t>A089608970898</t>
  </si>
  <si>
    <t>A089308940895</t>
  </si>
  <si>
    <t>A12891290</t>
  </si>
  <si>
    <t>A089008910892</t>
  </si>
  <si>
    <t>B128412851286</t>
  </si>
  <si>
    <t>A128112821283</t>
  </si>
  <si>
    <t>B12301231</t>
  </si>
  <si>
    <t>B121212131214</t>
  </si>
  <si>
    <t>B123212331234</t>
  </si>
  <si>
    <t>a14091410</t>
  </si>
  <si>
    <t>A12281229</t>
  </si>
  <si>
    <t>a123512361237</t>
  </si>
  <si>
    <t>A12381239</t>
  </si>
  <si>
    <t>A12401241</t>
  </si>
  <si>
    <t>A12421243</t>
  </si>
  <si>
    <t>B124412451246</t>
  </si>
  <si>
    <t>A124712481249</t>
  </si>
  <si>
    <t>A12501251</t>
  </si>
  <si>
    <t>B13211322</t>
  </si>
  <si>
    <t>A12521253</t>
  </si>
  <si>
    <t>B12181219</t>
  </si>
  <si>
    <t>B125412551256</t>
  </si>
  <si>
    <t>B121512161217</t>
  </si>
  <si>
    <t>A12571258</t>
  </si>
  <si>
    <t>A12591260</t>
  </si>
  <si>
    <t>A12201221</t>
  </si>
  <si>
    <t>a14071408</t>
  </si>
  <si>
    <t>B126112621263</t>
  </si>
  <si>
    <t>B12641265</t>
  </si>
  <si>
    <t>B122512261227</t>
  </si>
  <si>
    <t>B12661267</t>
  </si>
  <si>
    <t>A12681269</t>
  </si>
  <si>
    <t>B12701271</t>
  </si>
  <si>
    <t>b14051406</t>
  </si>
  <si>
    <t>B12721273</t>
  </si>
  <si>
    <t>B12741275</t>
  </si>
  <si>
    <t>A127612771278</t>
  </si>
  <si>
    <t>B12791280</t>
  </si>
  <si>
    <t>A122212231224</t>
  </si>
  <si>
    <t>b08080809</t>
  </si>
  <si>
    <t>b080308040805</t>
  </si>
  <si>
    <t>a08010802</t>
  </si>
  <si>
    <t>b087908800881</t>
  </si>
  <si>
    <t>b095509560957</t>
  </si>
  <si>
    <t>b095209530954</t>
  </si>
  <si>
    <t>a094909500951</t>
  </si>
  <si>
    <t>a08060807</t>
  </si>
  <si>
    <t>b106910701071</t>
  </si>
  <si>
    <t>a08770878</t>
  </si>
  <si>
    <t>a07770778</t>
  </si>
  <si>
    <t>a072407250726</t>
  </si>
  <si>
    <t>a09470948</t>
  </si>
  <si>
    <t>a08750876</t>
  </si>
  <si>
    <t>b09580959</t>
  </si>
  <si>
    <t>a07750776</t>
  </si>
  <si>
    <t>b07270728</t>
  </si>
  <si>
    <t>a077207730774</t>
  </si>
  <si>
    <t>a087208730874</t>
  </si>
  <si>
    <t>b09450946</t>
  </si>
  <si>
    <t>a07700771</t>
  </si>
  <si>
    <t>a09430944</t>
  </si>
  <si>
    <t>a07680769</t>
  </si>
  <si>
    <t>a12871288</t>
  </si>
  <si>
    <t>a072907300731</t>
  </si>
  <si>
    <t>a09410942</t>
  </si>
  <si>
    <t>a076507660767</t>
  </si>
  <si>
    <t>a10671068</t>
  </si>
  <si>
    <t>b093809390940</t>
  </si>
  <si>
    <t>b07630764</t>
  </si>
  <si>
    <t>a09600961</t>
  </si>
  <si>
    <t>b093509360937</t>
  </si>
  <si>
    <t>b08700871</t>
  </si>
  <si>
    <t>b086708680869</t>
  </si>
  <si>
    <t>b07320733</t>
  </si>
  <si>
    <t>a09330934</t>
  </si>
  <si>
    <t>Pool 6 - DkKoba</t>
  </si>
  <si>
    <t>A13951396</t>
  </si>
  <si>
    <t>B139213931394</t>
  </si>
  <si>
    <t>B138913901391</t>
  </si>
  <si>
    <t>A13871388</t>
  </si>
  <si>
    <t>B138413851386</t>
  </si>
  <si>
    <t>B13821383</t>
  </si>
  <si>
    <t>B13801381</t>
  </si>
  <si>
    <t>A13781379</t>
  </si>
  <si>
    <t>A13761377</t>
  </si>
  <si>
    <t>A137313741375</t>
  </si>
  <si>
    <t>A13711372</t>
  </si>
  <si>
    <t>B13691370</t>
  </si>
  <si>
    <t>B136613671368</t>
  </si>
  <si>
    <t>B13641365</t>
  </si>
  <si>
    <t>B136113621363</t>
  </si>
  <si>
    <t>B13591360</t>
  </si>
  <si>
    <t>A135613571358</t>
  </si>
  <si>
    <t>B13541355</t>
  </si>
  <si>
    <t>B13521353</t>
  </si>
  <si>
    <t>B134913501351</t>
  </si>
  <si>
    <t>B13471348</t>
  </si>
  <si>
    <t>Pool 7 - Kenny</t>
  </si>
  <si>
    <t>b096209630964</t>
  </si>
  <si>
    <t>a09650966</t>
  </si>
  <si>
    <t>b096709680969</t>
  </si>
  <si>
    <t>b11891190</t>
  </si>
  <si>
    <t>a09700971</t>
  </si>
  <si>
    <t>b09720973</t>
  </si>
  <si>
    <t>a09740975</t>
  </si>
  <si>
    <t>b097609770978</t>
  </si>
  <si>
    <t>b097909800981</t>
  </si>
  <si>
    <t>b14171418</t>
  </si>
  <si>
    <t>a09820983</t>
  </si>
  <si>
    <t>b11711172</t>
  </si>
  <si>
    <t>a14151416</t>
  </si>
  <si>
    <t>a110911101111</t>
  </si>
  <si>
    <t>a14131414</t>
  </si>
  <si>
    <t>b09840985</t>
  </si>
  <si>
    <t>a098609870988</t>
  </si>
  <si>
    <t>a11871188</t>
  </si>
  <si>
    <t>a09890990</t>
  </si>
  <si>
    <t>b09910992</t>
  </si>
  <si>
    <t>a099309940996</t>
  </si>
  <si>
    <t>a09970998</t>
  </si>
  <si>
    <t>a09991000</t>
  </si>
  <si>
    <t>a100110021003</t>
  </si>
  <si>
    <t>b10041005</t>
  </si>
  <si>
    <t>a100610071008</t>
  </si>
  <si>
    <t>b14111412</t>
  </si>
  <si>
    <t>b100910101011</t>
  </si>
  <si>
    <t>B104210431044</t>
  </si>
  <si>
    <t>B104510461047</t>
  </si>
  <si>
    <t>A10481049</t>
  </si>
  <si>
    <t>A105010511052</t>
  </si>
  <si>
    <t>A07560757</t>
  </si>
  <si>
    <t>b11941195</t>
  </si>
  <si>
    <t>A081008110812</t>
  </si>
  <si>
    <t>a141914201421</t>
  </si>
  <si>
    <t>a14221423</t>
  </si>
  <si>
    <t>a14241425</t>
  </si>
  <si>
    <t>b119111921193</t>
  </si>
  <si>
    <t>A10531054</t>
  </si>
  <si>
    <t>A:ACT</t>
  </si>
  <si>
    <t>A105510561057</t>
  </si>
  <si>
    <t>b1179118011811182</t>
  </si>
  <si>
    <t>B105810591060</t>
  </si>
  <si>
    <t>A081308140815</t>
  </si>
  <si>
    <t>a14261427</t>
  </si>
  <si>
    <t>A10611062</t>
  </si>
  <si>
    <t>A08160817</t>
  </si>
  <si>
    <t>B082008210822</t>
  </si>
  <si>
    <t>B07580759</t>
  </si>
  <si>
    <t>b13301331</t>
  </si>
  <si>
    <t>a11851186</t>
  </si>
  <si>
    <t>A10631064</t>
  </si>
  <si>
    <t>B:ACT</t>
  </si>
  <si>
    <t>b076007610762</t>
  </si>
  <si>
    <t>A10651066</t>
  </si>
  <si>
    <t>A08180819</t>
  </si>
  <si>
    <t>Pool 9: Rezzo</t>
  </si>
  <si>
    <t>b078807890790</t>
  </si>
  <si>
    <t>a11011102</t>
  </si>
  <si>
    <t>b088208830884</t>
  </si>
  <si>
    <t>a103210331034</t>
  </si>
  <si>
    <t>a10171018</t>
  </si>
  <si>
    <t>b120312041205</t>
  </si>
  <si>
    <t>b079107920793</t>
  </si>
  <si>
    <t>b078507860787</t>
  </si>
  <si>
    <t>b102610271028</t>
  </si>
  <si>
    <t>b079407950796</t>
  </si>
  <si>
    <t>a101410151016</t>
  </si>
  <si>
    <t>b10241025</t>
  </si>
  <si>
    <t>b102910301031</t>
  </si>
  <si>
    <t>a088708880889</t>
  </si>
  <si>
    <t>a11071108</t>
  </si>
  <si>
    <t>b07970798</t>
  </si>
  <si>
    <t>a1103110411051106</t>
  </si>
  <si>
    <t>b10351036</t>
  </si>
  <si>
    <t>a11981199</t>
  </si>
  <si>
    <t>b103910401041</t>
  </si>
  <si>
    <t>a078207830784</t>
  </si>
  <si>
    <t>a11471148</t>
  </si>
  <si>
    <t>a10211022</t>
  </si>
  <si>
    <t>a07990800</t>
  </si>
  <si>
    <t>a10191020</t>
  </si>
  <si>
    <t>b10371038</t>
  </si>
  <si>
    <t>a08850886</t>
  </si>
  <si>
    <t>b10121013</t>
  </si>
  <si>
    <t>a077907800781</t>
  </si>
  <si>
    <t>a08230824</t>
  </si>
  <si>
    <t>ROUND 3</t>
  </si>
  <si>
    <t>a16241625</t>
  </si>
  <si>
    <t>a16751676</t>
  </si>
  <si>
    <t>b205620572058</t>
  </si>
  <si>
    <t>a16771678</t>
  </si>
  <si>
    <t>a16791680</t>
  </si>
  <si>
    <t>b16811682</t>
  </si>
  <si>
    <t>a16831684</t>
  </si>
  <si>
    <t>a168516861687</t>
  </si>
  <si>
    <t>a16881689</t>
  </si>
  <si>
    <t>a16901691</t>
  </si>
  <si>
    <t>b169216931694</t>
  </si>
  <si>
    <t>a169516961697</t>
  </si>
  <si>
    <t>a16981699</t>
  </si>
  <si>
    <t>a17001701</t>
  </si>
  <si>
    <t>a17021703</t>
  </si>
  <si>
    <t>a17041705</t>
  </si>
  <si>
    <t>a17061707</t>
  </si>
  <si>
    <t>a170817091710</t>
  </si>
  <si>
    <t>b17111712</t>
  </si>
  <si>
    <t>a171317141715</t>
  </si>
  <si>
    <t>a171617171718</t>
  </si>
  <si>
    <t>b18111812</t>
  </si>
  <si>
    <t>a18131814</t>
  </si>
  <si>
    <t>a181518211822</t>
  </si>
  <si>
    <t>a18231824</t>
  </si>
  <si>
    <t>b20592082</t>
  </si>
  <si>
    <t>b182518261827</t>
  </si>
  <si>
    <t>a18281829</t>
  </si>
  <si>
    <t>a18301831</t>
  </si>
  <si>
    <t>a185118521853</t>
  </si>
  <si>
    <t>a18541855</t>
  </si>
  <si>
    <t>b185618571858</t>
  </si>
  <si>
    <t>a18591860</t>
  </si>
  <si>
    <t>a186118621863</t>
  </si>
  <si>
    <t>a18641865</t>
  </si>
  <si>
    <t>b18831884</t>
  </si>
  <si>
    <t>A19041905</t>
  </si>
  <si>
    <t>A19061907</t>
  </si>
  <si>
    <t>a14831484</t>
  </si>
  <si>
    <t>B19081909</t>
  </si>
  <si>
    <t>B14481449</t>
  </si>
  <si>
    <t>A19521953</t>
  </si>
  <si>
    <t>A19101911</t>
  </si>
  <si>
    <t>B191219131914</t>
  </si>
  <si>
    <t>A145714581459</t>
  </si>
  <si>
    <t>B19151916</t>
  </si>
  <si>
    <t>A19561957</t>
  </si>
  <si>
    <t>A191719181919</t>
  </si>
  <si>
    <t>B192019211922</t>
  </si>
  <si>
    <t>A14601461</t>
  </si>
  <si>
    <t>B146214631464</t>
  </si>
  <si>
    <t>A19231924</t>
  </si>
  <si>
    <t>B148514861487</t>
  </si>
  <si>
    <t>A192519261927</t>
  </si>
  <si>
    <t>a14881489</t>
  </si>
  <si>
    <t>A14651466</t>
  </si>
  <si>
    <t>B14671468</t>
  </si>
  <si>
    <t>A14691470</t>
  </si>
  <si>
    <t>B19281929</t>
  </si>
  <si>
    <t>B147114721473</t>
  </si>
  <si>
    <t>A19301931</t>
  </si>
  <si>
    <t>A19321933</t>
  </si>
  <si>
    <t>B14741475</t>
  </si>
  <si>
    <t>A14761477</t>
  </si>
  <si>
    <t>B193419351936</t>
  </si>
  <si>
    <t>B193719381939</t>
  </si>
  <si>
    <t>A19401941</t>
  </si>
  <si>
    <t>b14781479</t>
  </si>
  <si>
    <t>B19541955</t>
  </si>
  <si>
    <t>A194219431944</t>
  </si>
  <si>
    <t>B148014811482</t>
  </si>
  <si>
    <t>A19451946</t>
  </si>
  <si>
    <t>A206020612062</t>
  </si>
  <si>
    <t>A17191720</t>
  </si>
  <si>
    <t>B172117221723</t>
  </si>
  <si>
    <t>A149014911492</t>
  </si>
  <si>
    <t>A17241725</t>
  </si>
  <si>
    <t>A20632064</t>
  </si>
  <si>
    <t>A149314941495</t>
  </si>
  <si>
    <t>A172617271728</t>
  </si>
  <si>
    <t>A206520662067</t>
  </si>
  <si>
    <t>A206820692070</t>
  </si>
  <si>
    <t>A14961497</t>
  </si>
  <si>
    <t>A17291730</t>
  </si>
  <si>
    <t>A17311732</t>
  </si>
  <si>
    <t>A20712072</t>
  </si>
  <si>
    <t>A14981499</t>
  </si>
  <si>
    <t>A173317341735</t>
  </si>
  <si>
    <t>A207320742075</t>
  </si>
  <si>
    <t>A173617371738</t>
  </si>
  <si>
    <t>A150015011502</t>
  </si>
  <si>
    <t>A173917401741</t>
  </si>
  <si>
    <t>B174217431744</t>
  </si>
  <si>
    <t>A15031504</t>
  </si>
  <si>
    <t>A15051506</t>
  </si>
  <si>
    <t>A174517461747</t>
  </si>
  <si>
    <t>A150715081509</t>
  </si>
  <si>
    <t>A151015111512</t>
  </si>
  <si>
    <t>B17481749</t>
  </si>
  <si>
    <t>A15131514</t>
  </si>
  <si>
    <t>B15151516</t>
  </si>
  <si>
    <t>A17501751</t>
  </si>
  <si>
    <t>A207620772078</t>
  </si>
  <si>
    <t>A15171518</t>
  </si>
  <si>
    <t>A15191520</t>
  </si>
  <si>
    <t>A207920802081</t>
  </si>
  <si>
    <t>A17521753</t>
  </si>
  <si>
    <t>B152115221523</t>
  </si>
  <si>
    <t>A17541755</t>
  </si>
  <si>
    <t>B177217731774</t>
  </si>
  <si>
    <t>b177517761777</t>
  </si>
  <si>
    <t>A17781779</t>
  </si>
  <si>
    <t>a17801781</t>
  </si>
  <si>
    <t>b178217831784</t>
  </si>
  <si>
    <t>a178517861787</t>
  </si>
  <si>
    <t>B220522062207﻿</t>
  </si>
  <si>
    <t>a17881789</t>
  </si>
  <si>
    <t>a17901791</t>
  </si>
  <si>
    <t>b17921793</t>
  </si>
  <si>
    <t>a179417951796</t>
  </si>
  <si>
    <t>b179717981799</t>
  </si>
  <si>
    <t>a18001801</t>
  </si>
  <si>
    <t>a18021803</t>
  </si>
  <si>
    <t>a18041805</t>
  </si>
  <si>
    <t>a18061807</t>
  </si>
  <si>
    <t>a180818091810</t>
  </si>
  <si>
    <t>a181618171818</t>
  </si>
  <si>
    <t>a18191820</t>
  </si>
  <si>
    <t>b18321833</t>
  </si>
  <si>
    <t>b18341835</t>
  </si>
  <si>
    <t>b18361837</t>
  </si>
  <si>
    <t>a183818391840</t>
  </si>
  <si>
    <t>b184118421843</t>
  </si>
  <si>
    <t>A22032204</t>
  </si>
  <si>
    <t>b18441845</t>
  </si>
  <si>
    <t>b18461847</t>
  </si>
  <si>
    <t>b184818491850</t>
  </si>
  <si>
    <t>b186618671868</t>
  </si>
  <si>
    <t>b18691870</t>
  </si>
  <si>
    <t>a18711872</t>
  </si>
  <si>
    <t>a18731874</t>
  </si>
  <si>
    <t>A220022012202﻿</t>
  </si>
  <si>
    <t>a187518761877</t>
  </si>
  <si>
    <t>b187818791880</t>
  </si>
  <si>
    <t>a18811882</t>
  </si>
  <si>
    <t>b161816191620</t>
  </si>
  <si>
    <t>a162116221623</t>
  </si>
  <si>
    <t>b16261627</t>
  </si>
  <si>
    <t>b204020412042</t>
  </si>
  <si>
    <t>a162816291630</t>
  </si>
  <si>
    <t>b16311632</t>
  </si>
  <si>
    <t>a163316341635</t>
  </si>
  <si>
    <t>a163616371638</t>
  </si>
  <si>
    <t>a163916401641</t>
  </si>
  <si>
    <t>a164216431644</t>
  </si>
  <si>
    <t>b164516461647</t>
  </si>
  <si>
    <t>b165016481649</t>
  </si>
  <si>
    <t>a16511652</t>
  </si>
  <si>
    <t>b165316541655</t>
  </si>
  <si>
    <t>a20432044</t>
  </si>
  <si>
    <t>a16561657</t>
  </si>
  <si>
    <t>b204520462047</t>
  </si>
  <si>
    <t>b16581659</t>
  </si>
  <si>
    <t>b166016611662</t>
  </si>
  <si>
    <t>b14311432</t>
  </si>
  <si>
    <t>b166316641665</t>
  </si>
  <si>
    <t>a20482049</t>
  </si>
  <si>
    <t>b166616671668</t>
  </si>
  <si>
    <t>a166916701671</t>
  </si>
  <si>
    <t>a20502051</t>
  </si>
  <si>
    <t>b16721673</t>
  </si>
  <si>
    <t>b20522053</t>
  </si>
  <si>
    <t>a16741756</t>
  </si>
  <si>
    <t>a17571758</t>
  </si>
  <si>
    <t>b20542055</t>
  </si>
  <si>
    <t>b17591760</t>
  </si>
  <si>
    <t>A19671968</t>
  </si>
  <si>
    <t>B196919701971</t>
  </si>
  <si>
    <t>A19721973</t>
  </si>
  <si>
    <t>A19741975</t>
  </si>
  <si>
    <t>B19761977</t>
  </si>
  <si>
    <t>B19781979</t>
  </si>
  <si>
    <t>A198019811982</t>
  </si>
  <si>
    <t>B198319841985</t>
  </si>
  <si>
    <t>A19861987</t>
  </si>
  <si>
    <t>B19881989</t>
  </si>
  <si>
    <t>B19901991</t>
  </si>
  <si>
    <t>B199219931994</t>
  </si>
  <si>
    <t>A19951996</t>
  </si>
  <si>
    <t>B19971998</t>
  </si>
  <si>
    <t>A19992000</t>
  </si>
  <si>
    <t>B20012002</t>
  </si>
  <si>
    <t>A20032004</t>
  </si>
  <si>
    <t>A200520062007</t>
  </si>
  <si>
    <t>B20082009</t>
  </si>
  <si>
    <t xml:space="preserve">A201020112012 </t>
  </si>
  <si>
    <t>A201320142015</t>
  </si>
  <si>
    <t>A201620172018</t>
  </si>
  <si>
    <t>B201920202021</t>
  </si>
  <si>
    <t>A202220232024</t>
  </si>
  <si>
    <t>A20252026</t>
  </si>
  <si>
    <t>b20272028</t>
  </si>
  <si>
    <t>B20292030</t>
  </si>
  <si>
    <t>B20312032</t>
  </si>
  <si>
    <t>A20332034</t>
  </si>
  <si>
    <t xml:space="preserve">B203520362037 </t>
  </si>
  <si>
    <t>A20382039</t>
  </si>
  <si>
    <t>Pool 7 - BIG WILL</t>
  </si>
  <si>
    <t>a15501551</t>
  </si>
  <si>
    <t>a160116021603</t>
  </si>
  <si>
    <t>b19631964</t>
  </si>
  <si>
    <t>a16041605</t>
  </si>
  <si>
    <t>b155215531554</t>
  </si>
  <si>
    <t>a155515561557</t>
  </si>
  <si>
    <t>a16061607</t>
  </si>
  <si>
    <t>a19651966</t>
  </si>
  <si>
    <t>a155815591560</t>
  </si>
  <si>
    <t>a156115621563</t>
  </si>
  <si>
    <t>a160816091610</t>
  </si>
  <si>
    <t>b156415651566</t>
  </si>
  <si>
    <t>b16111612</t>
  </si>
  <si>
    <t>b15671568</t>
  </si>
  <si>
    <t>b156915701571</t>
  </si>
  <si>
    <t>a157215731574</t>
  </si>
  <si>
    <t>b195819591960</t>
  </si>
  <si>
    <t>a19611962</t>
  </si>
  <si>
    <t>b157515761577</t>
  </si>
  <si>
    <t>b157815791580</t>
  </si>
  <si>
    <t>b158115821583</t>
  </si>
  <si>
    <t>a15841585</t>
  </si>
  <si>
    <t>b158615871588</t>
  </si>
  <si>
    <t>a16131614</t>
  </si>
  <si>
    <t>a15891590</t>
  </si>
  <si>
    <t>a159115921593</t>
  </si>
  <si>
    <t>b189919001901</t>
  </si>
  <si>
    <t>b159415951596</t>
  </si>
  <si>
    <t>a15971598</t>
  </si>
  <si>
    <t>a161516161617</t>
  </si>
  <si>
    <t>a19021903</t>
  </si>
  <si>
    <t>b15991600</t>
  </si>
  <si>
    <t>Pool 8 - Buzzed</t>
  </si>
  <si>
    <t>b194719481949</t>
  </si>
  <si>
    <t>b176917701771</t>
  </si>
  <si>
    <t>b176617671768</t>
  </si>
  <si>
    <t>a153415351536</t>
  </si>
  <si>
    <t>b19501951</t>
  </si>
  <si>
    <t>b20832084</t>
  </si>
  <si>
    <t>b144514461447</t>
  </si>
  <si>
    <t>a154715481549</t>
  </si>
  <si>
    <t>a154415451546</t>
  </si>
  <si>
    <t>b154115421543</t>
  </si>
  <si>
    <t>b14411442</t>
  </si>
  <si>
    <t>a17641765</t>
  </si>
  <si>
    <t>a176117621763</t>
  </si>
  <si>
    <t>b15391540</t>
  </si>
  <si>
    <t>b15371538</t>
  </si>
  <si>
    <t>b152415251526</t>
  </si>
  <si>
    <t>a18971898</t>
  </si>
  <si>
    <t>b15271528</t>
  </si>
  <si>
    <t>b143314341435</t>
  </si>
  <si>
    <t>a143614371438</t>
  </si>
  <si>
    <t>a152915301531</t>
  </si>
  <si>
    <t>a15321533</t>
  </si>
  <si>
    <t>a14511452</t>
  </si>
  <si>
    <t>a18951896</t>
  </si>
  <si>
    <t>b20852086</t>
  </si>
  <si>
    <t>a189218931894</t>
  </si>
  <si>
    <t>b18901891</t>
  </si>
  <si>
    <t>a188718881889</t>
  </si>
  <si>
    <t>a14391440</t>
  </si>
  <si>
    <t>a145014531454</t>
  </si>
  <si>
    <t>b14431444</t>
  </si>
  <si>
    <t>a14551456</t>
  </si>
  <si>
    <t>b18851886</t>
  </si>
  <si>
    <t>ROUND 4</t>
  </si>
  <si>
    <t>a230023012302</t>
  </si>
  <si>
    <t>a23032304</t>
  </si>
  <si>
    <t>a23052306</t>
  </si>
  <si>
    <t>a25892590</t>
  </si>
  <si>
    <t>a230723082309</t>
  </si>
  <si>
    <t>a23102311</t>
  </si>
  <si>
    <t>a23122313</t>
  </si>
  <si>
    <t>b259125922593</t>
  </si>
  <si>
    <t>a259725982599</t>
  </si>
  <si>
    <t>a23142315</t>
  </si>
  <si>
    <t>a23162317</t>
  </si>
  <si>
    <t>a259425952596</t>
  </si>
  <si>
    <t>a231823192320</t>
  </si>
  <si>
    <t>a232123222323</t>
  </si>
  <si>
    <t>a232423252326</t>
  </si>
  <si>
    <t>b23272328</t>
  </si>
  <si>
    <t>b232923302331</t>
  </si>
  <si>
    <t>b23322333</t>
  </si>
  <si>
    <t>a233423352336</t>
  </si>
  <si>
    <t>a23372338</t>
  </si>
  <si>
    <t>a233923402341</t>
  </si>
  <si>
    <t>b234223432344</t>
  </si>
  <si>
    <t>b234523462347</t>
  </si>
  <si>
    <t>a23482349</t>
  </si>
  <si>
    <t>a23502351</t>
  </si>
  <si>
    <t>b26002601</t>
  </si>
  <si>
    <t>a260226032604</t>
  </si>
  <si>
    <t>a23522353</t>
  </si>
  <si>
    <t>a260526062607</t>
  </si>
  <si>
    <t>a260826092610</t>
  </si>
  <si>
    <t>a235423552356</t>
  </si>
  <si>
    <t>b26112612</t>
  </si>
  <si>
    <t>a23572358</t>
  </si>
  <si>
    <t>b235923602361</t>
  </si>
  <si>
    <t>a26132614</t>
  </si>
  <si>
    <t>a236223632364</t>
  </si>
  <si>
    <t>a23652366</t>
  </si>
  <si>
    <t>b23672368</t>
  </si>
  <si>
    <t>a23692370</t>
  </si>
  <si>
    <t>a23712372</t>
  </si>
  <si>
    <t>Pool 2 - Rezzo</t>
  </si>
  <si>
    <t>a25702571</t>
  </si>
  <si>
    <t>a22592260</t>
  </si>
  <si>
    <t>a22612262</t>
  </si>
  <si>
    <t>a24992500</t>
  </si>
  <si>
    <t>a21432144</t>
  </si>
  <si>
    <t>b226322642265</t>
  </si>
  <si>
    <t>a257225732574</t>
  </si>
  <si>
    <t>a21452146</t>
  </si>
  <si>
    <t>a250125022503</t>
  </si>
  <si>
    <t>b22662267</t>
  </si>
  <si>
    <t>a21472148</t>
  </si>
  <si>
    <t>a217721782179</t>
  </si>
  <si>
    <t>a226822692270</t>
  </si>
  <si>
    <t>a227122722273</t>
  </si>
  <si>
    <t>a214921502151</t>
  </si>
  <si>
    <t>a25082509</t>
  </si>
  <si>
    <t>a21522153</t>
  </si>
  <si>
    <t>a21542155</t>
  </si>
  <si>
    <t>a227422752276</t>
  </si>
  <si>
    <t>a22772278</t>
  </si>
  <si>
    <t>a25042505</t>
  </si>
  <si>
    <t>a25062507</t>
  </si>
  <si>
    <t>b227922802281</t>
  </si>
  <si>
    <t>a214021412142</t>
  </si>
  <si>
    <t>a213721382139</t>
  </si>
  <si>
    <t>a228222832284</t>
  </si>
  <si>
    <t>a22852286</t>
  </si>
  <si>
    <t>a215621572158</t>
  </si>
  <si>
    <t>a228722882289</t>
  </si>
  <si>
    <t>b215921602161</t>
  </si>
  <si>
    <t>a21752176</t>
  </si>
  <si>
    <t>a257525762577</t>
  </si>
  <si>
    <t>a22902291</t>
  </si>
  <si>
    <t>a216221632164</t>
  </si>
  <si>
    <t>a229222932294</t>
  </si>
  <si>
    <t>a229522962297</t>
  </si>
  <si>
    <t>a25782579</t>
  </si>
  <si>
    <t>a22982299</t>
  </si>
  <si>
    <t>Pool 3 - BIG WILL</t>
  </si>
  <si>
    <t>a25802581</t>
  </si>
  <si>
    <t>a241124122413</t>
  </si>
  <si>
    <t>a24142415</t>
  </si>
  <si>
    <t>a24162417</t>
  </si>
  <si>
    <t>a24182419</t>
  </si>
  <si>
    <t>a242024212422</t>
  </si>
  <si>
    <t>a242324242425</t>
  </si>
  <si>
    <t>b24262427</t>
  </si>
  <si>
    <t>b24282429</t>
  </si>
  <si>
    <t>a24302431</t>
  </si>
  <si>
    <t>b24322433</t>
  </si>
  <si>
    <t>b25822583</t>
  </si>
  <si>
    <t>a24342435</t>
  </si>
  <si>
    <t>a243624372438</t>
  </si>
  <si>
    <t>b243924402441</t>
  </si>
  <si>
    <t>a24422443</t>
  </si>
  <si>
    <t>a24442445</t>
  </si>
  <si>
    <t>b24462447</t>
  </si>
  <si>
    <t>b25872588</t>
  </si>
  <si>
    <t>a244824492450</t>
  </si>
  <si>
    <t>a24512452</t>
  </si>
  <si>
    <t>a24532454</t>
  </si>
  <si>
    <t>b258425852586</t>
  </si>
  <si>
    <t>b245524562457</t>
  </si>
  <si>
    <t>a24582459</t>
  </si>
  <si>
    <t>a246024612462</t>
  </si>
  <si>
    <t>b246324642465</t>
  </si>
  <si>
    <t>a24662467</t>
  </si>
  <si>
    <t>a246824692470</t>
  </si>
  <si>
    <t>a247124722473</t>
  </si>
  <si>
    <t>b24742475</t>
  </si>
  <si>
    <t>a24762477</t>
  </si>
  <si>
    <t>b24782479</t>
  </si>
  <si>
    <t>a24802481</t>
  </si>
  <si>
    <t>a248224832484</t>
  </si>
  <si>
    <t>a248524862487</t>
  </si>
  <si>
    <t>b24882489</t>
  </si>
  <si>
    <t>a249024912492</t>
  </si>
  <si>
    <t>b26342635</t>
  </si>
  <si>
    <t>b249324942495</t>
  </si>
  <si>
    <t>b249624972498</t>
  </si>
  <si>
    <t>a20872088</t>
  </si>
  <si>
    <t>b237323742375</t>
  </si>
  <si>
    <t>a20892090</t>
  </si>
  <si>
    <t>b21802181</t>
  </si>
  <si>
    <t>b218421852186</t>
  </si>
  <si>
    <t>b20992100</t>
  </si>
  <si>
    <t>a23762377</t>
  </si>
  <si>
    <t>a21712172</t>
  </si>
  <si>
    <t>a21652166</t>
  </si>
  <si>
    <t>a23782379</t>
  </si>
  <si>
    <t>b238023812382</t>
  </si>
  <si>
    <t>b252425252526</t>
  </si>
  <si>
    <t>b21822183</t>
  </si>
  <si>
    <t>b21032104</t>
  </si>
  <si>
    <t>a25222523</t>
  </si>
  <si>
    <t>a2561256225632564</t>
  </si>
  <si>
    <t>b23832384</t>
  </si>
  <si>
    <t>b21012102</t>
  </si>
  <si>
    <t>b25682569</t>
  </si>
  <si>
    <t>a21672168</t>
  </si>
  <si>
    <t>b21692170</t>
  </si>
  <si>
    <t>a23852386</t>
  </si>
  <si>
    <t>b23872388</t>
  </si>
  <si>
    <t>a25202521</t>
  </si>
  <si>
    <t>a21732174</t>
  </si>
  <si>
    <t>a238923902391</t>
  </si>
  <si>
    <t>b209120922093</t>
  </si>
  <si>
    <t>a20942095</t>
  </si>
  <si>
    <t>a23922393</t>
  </si>
  <si>
    <t>a23942395</t>
  </si>
  <si>
    <t>a239623972398</t>
  </si>
  <si>
    <t>b23992400</t>
  </si>
  <si>
    <t>a210521062107</t>
  </si>
  <si>
    <t>a24012402</t>
  </si>
  <si>
    <t>a209620972098</t>
  </si>
  <si>
    <t>a240324042405</t>
  </si>
  <si>
    <t>a256525662567</t>
  </si>
  <si>
    <t>b24062407</t>
  </si>
  <si>
    <t>a240824092410</t>
  </si>
  <si>
    <t>Pool 5 - Zacpz</t>
  </si>
  <si>
    <t>A21082109</t>
  </si>
  <si>
    <t>b26302631</t>
  </si>
  <si>
    <t>A25272528</t>
  </si>
  <si>
    <t>A25292636</t>
  </si>
  <si>
    <t>b26322633</t>
  </si>
  <si>
    <t>A21242125</t>
  </si>
  <si>
    <t>Coinflip</t>
  </si>
  <si>
    <t>a</t>
  </si>
  <si>
    <t>b255825592560</t>
  </si>
  <si>
    <t>A211021112112</t>
  </si>
  <si>
    <t>A21262127</t>
  </si>
  <si>
    <t>a25312532</t>
  </si>
  <si>
    <t>b25332534</t>
  </si>
  <si>
    <t>A212821292130</t>
  </si>
  <si>
    <t>B25352536</t>
  </si>
  <si>
    <t>A253725382539</t>
  </si>
  <si>
    <t>B21132114</t>
  </si>
  <si>
    <t>B254025412542</t>
  </si>
  <si>
    <t>B25562557</t>
  </si>
  <si>
    <t>a25432544</t>
  </si>
  <si>
    <t>A211521162117</t>
  </si>
  <si>
    <t>B213121322133</t>
  </si>
  <si>
    <t>A254525462547</t>
  </si>
  <si>
    <t>b25482549</t>
  </si>
  <si>
    <t>a255025512552</t>
  </si>
  <si>
    <t>b262726282629</t>
  </si>
  <si>
    <t>b211821192120</t>
  </si>
  <si>
    <t>a213421352136</t>
  </si>
  <si>
    <t>B212121222123</t>
  </si>
  <si>
    <t>a255325542555</t>
  </si>
  <si>
    <t>A280028012802</t>
  </si>
  <si>
    <t>A280328042805</t>
  </si>
  <si>
    <t>A280628072808</t>
  </si>
  <si>
    <t>B28092810</t>
  </si>
  <si>
    <t>B281128122813</t>
  </si>
  <si>
    <t>A28142815</t>
  </si>
  <si>
    <t>A:ACt</t>
  </si>
  <si>
    <t>B281628172818</t>
  </si>
  <si>
    <t>A28192820</t>
  </si>
  <si>
    <t>A282128222823</t>
  </si>
  <si>
    <t>B28242825</t>
  </si>
  <si>
    <t>A282628272828</t>
  </si>
  <si>
    <t>B28292830</t>
  </si>
  <si>
    <t>A283128322833</t>
  </si>
  <si>
    <t>B28342835</t>
  </si>
  <si>
    <t>B28362837</t>
  </si>
  <si>
    <t>B283828392840</t>
  </si>
  <si>
    <t>A284128422843</t>
  </si>
  <si>
    <t>B28442845</t>
  </si>
  <si>
    <t>B284628472848</t>
  </si>
  <si>
    <t>B284928502851</t>
  </si>
  <si>
    <t>A285228532854</t>
  </si>
  <si>
    <t>A285528562857</t>
  </si>
  <si>
    <t>A28582859</t>
  </si>
  <si>
    <t>A286028612862</t>
  </si>
  <si>
    <t>A286328642865</t>
  </si>
  <si>
    <t>B28662867</t>
  </si>
  <si>
    <t>B28682869</t>
  </si>
  <si>
    <t>A28702871</t>
  </si>
  <si>
    <t>A287228732874</t>
  </si>
  <si>
    <t>A287528762877</t>
  </si>
  <si>
    <t>A28782879</t>
  </si>
  <si>
    <t>B288028812882</t>
  </si>
  <si>
    <t>A288328842885</t>
  </si>
  <si>
    <t>Pool 7 - Buzzed</t>
  </si>
  <si>
    <t>a218721882189</t>
  </si>
  <si>
    <t>b22552256</t>
  </si>
  <si>
    <t>b21902191</t>
  </si>
  <si>
    <t>b219221932194</t>
  </si>
  <si>
    <t>b220822092210</t>
  </si>
  <si>
    <t>a221122122213</t>
  </si>
  <si>
    <t>b21982199</t>
  </si>
  <si>
    <t>b22142215</t>
  </si>
  <si>
    <t>b26152616</t>
  </si>
  <si>
    <t>a261726182619</t>
  </si>
  <si>
    <t>a262026212622</t>
  </si>
  <si>
    <t>b221622172218</t>
  </si>
  <si>
    <t>b22192220</t>
  </si>
  <si>
    <t>a26232624</t>
  </si>
  <si>
    <t>a222122222223</t>
  </si>
  <si>
    <t>a222422252226</t>
  </si>
  <si>
    <t>b22272228</t>
  </si>
  <si>
    <t>b22292230</t>
  </si>
  <si>
    <t>b22312232</t>
  </si>
  <si>
    <t>a223322342235</t>
  </si>
  <si>
    <t>b26252626</t>
  </si>
  <si>
    <t>b22362237</t>
  </si>
  <si>
    <t>a223822392240</t>
  </si>
  <si>
    <t>a22412242</t>
  </si>
  <si>
    <t>a:Act</t>
  </si>
  <si>
    <t>b22432244</t>
  </si>
  <si>
    <t>a22452246</t>
  </si>
  <si>
    <t>a224722482249</t>
  </si>
  <si>
    <t>a22572258</t>
  </si>
  <si>
    <t>b22502251</t>
  </si>
  <si>
    <t>a225222532254</t>
  </si>
  <si>
    <t>ROUND 5</t>
  </si>
  <si>
    <t>A30023003</t>
  </si>
  <si>
    <t>B30043005</t>
  </si>
  <si>
    <t>A30063007</t>
  </si>
  <si>
    <t>A30083009</t>
  </si>
  <si>
    <t>A301030113012</t>
  </si>
  <si>
    <t>B301330143015</t>
  </si>
  <si>
    <t>B301630173018</t>
  </si>
  <si>
    <t>A30193020</t>
  </si>
  <si>
    <t>A302130223023</t>
  </si>
  <si>
    <t>B30243025</t>
  </si>
  <si>
    <t>A320332043205</t>
  </si>
  <si>
    <t>A30263027</t>
  </si>
  <si>
    <t>B320632073208</t>
  </si>
  <si>
    <t>A30283029</t>
  </si>
  <si>
    <t>B303030313032</t>
  </si>
  <si>
    <t>B320932103211</t>
  </si>
  <si>
    <t>A303330343035</t>
  </si>
  <si>
    <t>B321232133214</t>
  </si>
  <si>
    <t>B30363037</t>
  </si>
  <si>
    <t>B32153216</t>
  </si>
  <si>
    <t>A30383039</t>
  </si>
  <si>
    <t>A321732183219</t>
  </si>
  <si>
    <t>a32473248</t>
  </si>
  <si>
    <t>A30403041</t>
  </si>
  <si>
    <t>A30423043</t>
  </si>
  <si>
    <t>B30443045</t>
  </si>
  <si>
    <t>B30463047</t>
  </si>
  <si>
    <t>A30483049</t>
  </si>
  <si>
    <t>A32203221</t>
  </si>
  <si>
    <t>A30503051</t>
  </si>
  <si>
    <t>A30523053</t>
  </si>
  <si>
    <t>A305430553056</t>
  </si>
  <si>
    <t>A30573058</t>
  </si>
  <si>
    <t>A30593060</t>
  </si>
  <si>
    <t>A30613062</t>
  </si>
  <si>
    <t>A30633064</t>
  </si>
  <si>
    <t>A30653066</t>
  </si>
  <si>
    <t>A30673068</t>
  </si>
  <si>
    <t>A30693070</t>
  </si>
  <si>
    <t>Pool 2 Zacpz</t>
  </si>
  <si>
    <t>B26862687</t>
  </si>
  <si>
    <t>A30923093</t>
  </si>
  <si>
    <t>A27502751</t>
  </si>
  <si>
    <t>A268326842685</t>
  </si>
  <si>
    <t>A29782979</t>
  </si>
  <si>
    <t>B26882689</t>
  </si>
  <si>
    <t>A27372738</t>
  </si>
  <si>
    <t>A298029812982</t>
  </si>
  <si>
    <t>a311031113112</t>
  </si>
  <si>
    <t>A29832984</t>
  </si>
  <si>
    <t>A26902691</t>
  </si>
  <si>
    <t>A27392740</t>
  </si>
  <si>
    <t>B298829892990</t>
  </si>
  <si>
    <t>A26922693</t>
  </si>
  <si>
    <t>A269426952696</t>
  </si>
  <si>
    <t>a25152516</t>
  </si>
  <si>
    <t>b315431553156</t>
  </si>
  <si>
    <t>A299129922993</t>
  </si>
  <si>
    <t>a31353136</t>
  </si>
  <si>
    <t>a30973098</t>
  </si>
  <si>
    <t>B274127422743</t>
  </si>
  <si>
    <t>b26972698</t>
  </si>
  <si>
    <t>A251725182519</t>
  </si>
  <si>
    <t>A274427452746</t>
  </si>
  <si>
    <t>b309931013102</t>
  </si>
  <si>
    <t>B299429952996</t>
  </si>
  <si>
    <t>B269927002701</t>
  </si>
  <si>
    <t>a322732283229</t>
  </si>
  <si>
    <t>a309430953096</t>
  </si>
  <si>
    <t>B251025112512</t>
  </si>
  <si>
    <t>A25132514</t>
  </si>
  <si>
    <t>b31033104</t>
  </si>
  <si>
    <t>B274727482749</t>
  </si>
  <si>
    <t>A299729982999</t>
  </si>
  <si>
    <t>Pool 3 - Gold</t>
  </si>
  <si>
    <t>A26482649</t>
  </si>
  <si>
    <t>B271027112712</t>
  </si>
  <si>
    <t>A26392640</t>
  </si>
  <si>
    <t>A27022703</t>
  </si>
  <si>
    <t>B26442645</t>
  </si>
  <si>
    <t>B30713072</t>
  </si>
  <si>
    <t>A30783079</t>
  </si>
  <si>
    <t>a32603261</t>
  </si>
  <si>
    <t>B30003001</t>
  </si>
  <si>
    <t>B27062707</t>
  </si>
  <si>
    <t>B289428952896</t>
  </si>
  <si>
    <t>A307330743075</t>
  </si>
  <si>
    <t>B27522753</t>
  </si>
  <si>
    <t>B26812682</t>
  </si>
  <si>
    <t>B26552656</t>
  </si>
  <si>
    <t>A26462647</t>
  </si>
  <si>
    <t>A26372638</t>
  </si>
  <si>
    <t>A273427352736</t>
  </si>
  <si>
    <t>B27542755</t>
  </si>
  <si>
    <t>A27042705</t>
  </si>
  <si>
    <t>A308030813082</t>
  </si>
  <si>
    <t>B265026512652</t>
  </si>
  <si>
    <t>a32253226</t>
  </si>
  <si>
    <t>A26532654</t>
  </si>
  <si>
    <t>A26792680</t>
  </si>
  <si>
    <t>B320032013202</t>
  </si>
  <si>
    <t>A27562757</t>
  </si>
  <si>
    <t>A27082709</t>
  </si>
  <si>
    <t>A30763077</t>
  </si>
  <si>
    <t>A264126422643</t>
  </si>
  <si>
    <t>Pool 4 - BIG WILL</t>
  </si>
  <si>
    <t>a31133114</t>
  </si>
  <si>
    <t>B311531163117</t>
  </si>
  <si>
    <t>A27582759</t>
  </si>
  <si>
    <t>a31183119</t>
  </si>
  <si>
    <t>a312031213122</t>
  </si>
  <si>
    <t>B276027612762</t>
  </si>
  <si>
    <t>A276327642765</t>
  </si>
  <si>
    <t>A312331243125</t>
  </si>
  <si>
    <t>B27662767</t>
  </si>
  <si>
    <t>B27682769</t>
  </si>
  <si>
    <t>A27702771</t>
  </si>
  <si>
    <t>B27722773</t>
  </si>
  <si>
    <t>a312631273128</t>
  </si>
  <si>
    <t>b312931303131</t>
  </si>
  <si>
    <t>A27742775</t>
  </si>
  <si>
    <t>B27762777</t>
  </si>
  <si>
    <t>B277827792780</t>
  </si>
  <si>
    <t>a313231333134</t>
  </si>
  <si>
    <t>B27812782</t>
  </si>
  <si>
    <t>A278327842785</t>
  </si>
  <si>
    <t>B278627872788</t>
  </si>
  <si>
    <t>b32453246</t>
  </si>
  <si>
    <t>A313731383139</t>
  </si>
  <si>
    <t>B27892790</t>
  </si>
  <si>
    <t>A27912792</t>
  </si>
  <si>
    <t>A27932794</t>
  </si>
  <si>
    <t>b324232433244</t>
  </si>
  <si>
    <t>b323932403241</t>
  </si>
  <si>
    <t>b325732583259</t>
  </si>
  <si>
    <t>A27952796</t>
  </si>
  <si>
    <t>B314031413142</t>
  </si>
  <si>
    <t>A279727982799</t>
  </si>
  <si>
    <t>B314331443145</t>
  </si>
  <si>
    <t>B314631473148</t>
  </si>
  <si>
    <t>B31493150</t>
  </si>
  <si>
    <t>b28972898</t>
  </si>
  <si>
    <t>b29012902</t>
  </si>
  <si>
    <t>a290329042905</t>
  </si>
  <si>
    <t>a290629072908</t>
  </si>
  <si>
    <t>b290929102911</t>
  </si>
  <si>
    <t>a29122913</t>
  </si>
  <si>
    <t>b291429152916</t>
  </si>
  <si>
    <t>b291729182919</t>
  </si>
  <si>
    <t>a315131523153</t>
  </si>
  <si>
    <t>a29202921</t>
  </si>
  <si>
    <t>b323032313232</t>
  </si>
  <si>
    <t>b29222923</t>
  </si>
  <si>
    <t>a29242925</t>
  </si>
  <si>
    <t>b292629272928</t>
  </si>
  <si>
    <t>b292929302931</t>
  </si>
  <si>
    <t>a293229332934</t>
  </si>
  <si>
    <t>b293529362937</t>
  </si>
  <si>
    <t>a29382939</t>
  </si>
  <si>
    <t>a294029412942</t>
  </si>
  <si>
    <t>b29432944</t>
  </si>
  <si>
    <t>a29452946</t>
  </si>
  <si>
    <t>b29472948</t>
  </si>
  <si>
    <t>a29512952</t>
  </si>
  <si>
    <t>a29492950</t>
  </si>
  <si>
    <t>b29532954</t>
  </si>
  <si>
    <t>b29552956</t>
  </si>
  <si>
    <t>a29572958</t>
  </si>
  <si>
    <t>a32333234</t>
  </si>
  <si>
    <t>b295929602961</t>
  </si>
  <si>
    <t>a296529662967</t>
  </si>
  <si>
    <t>a32353236</t>
  </si>
  <si>
    <t>a322232233224</t>
  </si>
  <si>
    <t>b29682969</t>
  </si>
  <si>
    <t>b29702971</t>
  </si>
  <si>
    <t>Pool 6 - Rezzo</t>
  </si>
  <si>
    <t>b27132714</t>
  </si>
  <si>
    <t>a308330843085</t>
  </si>
  <si>
    <t>a27152716</t>
  </si>
  <si>
    <t>b29722973</t>
  </si>
  <si>
    <t>b27172718</t>
  </si>
  <si>
    <t>a29762977</t>
  </si>
  <si>
    <t>a26572658</t>
  </si>
  <si>
    <t>a288628872888</t>
  </si>
  <si>
    <t>a32373238</t>
  </si>
  <si>
    <t>b26592660</t>
  </si>
  <si>
    <t>b32493250</t>
  </si>
  <si>
    <t>a288928902891</t>
  </si>
  <si>
    <t>a271927202721</t>
  </si>
  <si>
    <t>b26612662</t>
  </si>
  <si>
    <t>b31053106</t>
  </si>
  <si>
    <t>b28922893</t>
  </si>
  <si>
    <t>a266326642665</t>
  </si>
  <si>
    <t>a272227232724</t>
  </si>
  <si>
    <t>b325132523253</t>
  </si>
  <si>
    <t xml:space="preserve">b325432553256 </t>
  </si>
  <si>
    <t>a26662667</t>
  </si>
  <si>
    <t>b266826692670</t>
  </si>
  <si>
    <t>a27252726</t>
  </si>
  <si>
    <t>a29742975</t>
  </si>
  <si>
    <t>b267126722673</t>
  </si>
  <si>
    <t>b26742675</t>
  </si>
  <si>
    <t>b308630873088</t>
  </si>
  <si>
    <t>b272727282729</t>
  </si>
  <si>
    <t>b27322733</t>
  </si>
  <si>
    <t>a267626772678</t>
  </si>
  <si>
    <t>b308930903091</t>
  </si>
  <si>
    <t>a298529862987</t>
  </si>
  <si>
    <t>b310731083109</t>
  </si>
  <si>
    <t>a27302731</t>
  </si>
  <si>
    <t>ROUND 6</t>
  </si>
  <si>
    <t>Pool 1 - Gold</t>
  </si>
  <si>
    <t>A353335343535</t>
  </si>
  <si>
    <t>A33043305</t>
  </si>
  <si>
    <t>A356535663567</t>
  </si>
  <si>
    <t>A350635073508</t>
  </si>
  <si>
    <t>A361536163617</t>
  </si>
  <si>
    <t>A35093510</t>
  </si>
  <si>
    <t>B35113512</t>
  </si>
  <si>
    <t>B315731583159</t>
  </si>
  <si>
    <t>A35683569</t>
  </si>
  <si>
    <t>A353635373538</t>
  </si>
  <si>
    <t>B33063307</t>
  </si>
  <si>
    <t>A33083309</t>
  </si>
  <si>
    <t>A35703571</t>
  </si>
  <si>
    <t>A357235733574</t>
  </si>
  <si>
    <t>A353935403541</t>
  </si>
  <si>
    <t>A33103311</t>
  </si>
  <si>
    <t>A35133514</t>
  </si>
  <si>
    <t>A33123313</t>
  </si>
  <si>
    <t>B351535163517</t>
  </si>
  <si>
    <t>A351835193520</t>
  </si>
  <si>
    <t>A35753576</t>
  </si>
  <si>
    <t>B33143315</t>
  </si>
  <si>
    <t>B357735783579</t>
  </si>
  <si>
    <t>A35213522</t>
  </si>
  <si>
    <t>B352335243525</t>
  </si>
  <si>
    <t>A33163317</t>
  </si>
  <si>
    <t>a33963397</t>
  </si>
  <si>
    <t>A35263527</t>
  </si>
  <si>
    <t>B33183319</t>
  </si>
  <si>
    <t>A358035813582</t>
  </si>
  <si>
    <t>A33203321</t>
  </si>
  <si>
    <t>A352835293530</t>
  </si>
  <si>
    <t>A33223323</t>
  </si>
  <si>
    <t>A35833584</t>
  </si>
  <si>
    <t>B358535863587</t>
  </si>
  <si>
    <t>A35313532</t>
  </si>
  <si>
    <t>Pool 2 - 5imian</t>
  </si>
  <si>
    <t>a355635583559</t>
  </si>
  <si>
    <t>a333633373338</t>
  </si>
  <si>
    <t>a333933413342</t>
  </si>
  <si>
    <t>a334333443345</t>
  </si>
  <si>
    <t>b33463347</t>
  </si>
  <si>
    <t>b337833793380</t>
  </si>
  <si>
    <t>a35423543</t>
  </si>
  <si>
    <t>a33483349</t>
  </si>
  <si>
    <t>a360736083609</t>
  </si>
  <si>
    <t>b335033513352</t>
  </si>
  <si>
    <t>a33533354</t>
  </si>
  <si>
    <t>a338333843385</t>
  </si>
  <si>
    <t>a348134823483</t>
  </si>
  <si>
    <t>a33553356</t>
  </si>
  <si>
    <t>a33573358</t>
  </si>
  <si>
    <t>b33593360</t>
  </si>
  <si>
    <t>a33613362</t>
  </si>
  <si>
    <t>B360436053606</t>
  </si>
  <si>
    <t>b336333643365</t>
  </si>
  <si>
    <t>a33663367</t>
  </si>
  <si>
    <t>a34793480</t>
  </si>
  <si>
    <t>a33883389</t>
  </si>
  <si>
    <t>a33813382</t>
  </si>
  <si>
    <t>b33683369</t>
  </si>
  <si>
    <t>a339333943395</t>
  </si>
  <si>
    <t>a35603561</t>
  </si>
  <si>
    <t>b33703371</t>
  </si>
  <si>
    <t>b35623563</t>
  </si>
  <si>
    <t>a33723373</t>
  </si>
  <si>
    <t>a33743375</t>
  </si>
  <si>
    <t>a347634773478</t>
  </si>
  <si>
    <t>a33763377</t>
  </si>
  <si>
    <t>Pool 3 - Zacpz</t>
  </si>
  <si>
    <t>a31973198</t>
  </si>
  <si>
    <t>b31723173</t>
  </si>
  <si>
    <t>a339033913392</t>
  </si>
  <si>
    <t>b31793180</t>
  </si>
  <si>
    <t>A32893290</t>
  </si>
  <si>
    <t>a33323333</t>
  </si>
  <si>
    <t>b329432953296</t>
  </si>
  <si>
    <t>b34723473</t>
  </si>
  <si>
    <t>b355335543555</t>
  </si>
  <si>
    <t>A329132923293</t>
  </si>
  <si>
    <t>a332433253326</t>
  </si>
  <si>
    <t>a34743475</t>
  </si>
  <si>
    <t>b319932643265</t>
  </si>
  <si>
    <t>b33273328</t>
  </si>
  <si>
    <t>a326632673268</t>
  </si>
  <si>
    <t>B32973298</t>
  </si>
  <si>
    <t>a329933003301</t>
  </si>
  <si>
    <t>a316331643165</t>
  </si>
  <si>
    <t>b31703171</t>
  </si>
  <si>
    <t>a332933303331</t>
  </si>
  <si>
    <t>a318131823183</t>
  </si>
  <si>
    <t>a326932703271</t>
  </si>
  <si>
    <t>a317431753176</t>
  </si>
  <si>
    <t>a33863387</t>
  </si>
  <si>
    <t>b31683169</t>
  </si>
  <si>
    <t>b33023303</t>
  </si>
  <si>
    <t>b33343335</t>
  </si>
  <si>
    <t>a327232733274</t>
  </si>
  <si>
    <t>a31773178</t>
  </si>
  <si>
    <t>Pool 4 - Buzzed</t>
  </si>
  <si>
    <t>a341834193420</t>
  </si>
  <si>
    <t>a342134223423</t>
  </si>
  <si>
    <t>a342434253426</t>
  </si>
  <si>
    <t>b342734283429</t>
  </si>
  <si>
    <t>a343034313432</t>
  </si>
  <si>
    <t>a34333434</t>
  </si>
  <si>
    <t>a34353436</t>
  </si>
  <si>
    <t>b318431853186</t>
  </si>
  <si>
    <t>a343734383439</t>
  </si>
  <si>
    <t>b318731883189</t>
  </si>
  <si>
    <t>a31903191</t>
  </si>
  <si>
    <t>a31923193</t>
  </si>
  <si>
    <t>a34403441</t>
  </si>
  <si>
    <t>a34423443</t>
  </si>
  <si>
    <t>a34443445</t>
  </si>
  <si>
    <t>a35493550</t>
  </si>
  <si>
    <t>a319431953196</t>
  </si>
  <si>
    <t>b344634473448</t>
  </si>
  <si>
    <t>a34493450</t>
  </si>
  <si>
    <t>a34513452</t>
  </si>
  <si>
    <t>a34533454</t>
  </si>
  <si>
    <t>b35513552</t>
  </si>
  <si>
    <t>b34553456</t>
  </si>
  <si>
    <t>a345734583459</t>
  </si>
  <si>
    <t>a32753276</t>
  </si>
  <si>
    <t>b33983399</t>
  </si>
  <si>
    <t>b34603461</t>
  </si>
  <si>
    <t>a346234633464</t>
  </si>
  <si>
    <t>a346534663467</t>
  </si>
  <si>
    <t>a34683469</t>
  </si>
  <si>
    <t>a32623263</t>
  </si>
  <si>
    <t>a34703471</t>
  </si>
  <si>
    <t>b31663167</t>
  </si>
  <si>
    <t>Pool 5 - Adorluigi</t>
  </si>
  <si>
    <t>b316031613162</t>
  </si>
  <si>
    <t>b34003401</t>
  </si>
  <si>
    <t>a340234033404</t>
  </si>
  <si>
    <t>a340534063407</t>
  </si>
  <si>
    <t>b34083409</t>
  </si>
  <si>
    <t>a348434853486</t>
  </si>
  <si>
    <t>a348734883489</t>
  </si>
  <si>
    <t>B36023603</t>
  </si>
  <si>
    <t>b34903491</t>
  </si>
  <si>
    <t>B36003601</t>
  </si>
  <si>
    <t>b327732783279</t>
  </si>
  <si>
    <t>b34103411</t>
  </si>
  <si>
    <t>a34123413</t>
  </si>
  <si>
    <t>a34143415</t>
  </si>
  <si>
    <t>a32803281</t>
  </si>
  <si>
    <t>A35983599</t>
  </si>
  <si>
    <t>b34163417</t>
  </si>
  <si>
    <t>A36133614</t>
  </si>
  <si>
    <t>a354635473548</t>
  </si>
  <si>
    <t>A35963597</t>
  </si>
  <si>
    <t>b34923493</t>
  </si>
  <si>
    <t>A359335943595</t>
  </si>
  <si>
    <t>A361036113612</t>
  </si>
  <si>
    <t>A35913592</t>
  </si>
  <si>
    <t>a349434953496</t>
  </si>
  <si>
    <t>b32823283</t>
  </si>
  <si>
    <t>a35443545</t>
  </si>
  <si>
    <t>a328432853286</t>
  </si>
  <si>
    <t>a34973498</t>
  </si>
  <si>
    <t>A358835893590</t>
  </si>
  <si>
    <t>a349935003501</t>
  </si>
  <si>
    <t>a35023503</t>
  </si>
  <si>
    <t>b32873288</t>
  </si>
  <si>
    <t>b35043505</t>
  </si>
  <si>
    <t>ROUND 7</t>
  </si>
  <si>
    <t>A388638873888</t>
  </si>
  <si>
    <t>A36183619</t>
  </si>
  <si>
    <t>B38603861</t>
  </si>
  <si>
    <t>A386238633864</t>
  </si>
  <si>
    <t>A37193720</t>
  </si>
  <si>
    <t>A386538663867</t>
  </si>
  <si>
    <t>B38683869</t>
  </si>
  <si>
    <t>A387038713872</t>
  </si>
  <si>
    <t>A38583859</t>
  </si>
  <si>
    <t>A38733874</t>
  </si>
  <si>
    <t>A372137223723</t>
  </si>
  <si>
    <t>A362036213622</t>
  </si>
  <si>
    <t>B36233624</t>
  </si>
  <si>
    <t>A36253626</t>
  </si>
  <si>
    <t>A372437253726</t>
  </si>
  <si>
    <t>A38753876</t>
  </si>
  <si>
    <t>B372737283729</t>
  </si>
  <si>
    <t>B362736283629</t>
  </si>
  <si>
    <t>A38773878</t>
  </si>
  <si>
    <t>A373037313732</t>
  </si>
  <si>
    <t>A37333734</t>
  </si>
  <si>
    <t>B387938803881</t>
  </si>
  <si>
    <t>A38823883</t>
  </si>
  <si>
    <t>A37353736</t>
  </si>
  <si>
    <t>A37373738</t>
  </si>
  <si>
    <t>B37393740</t>
  </si>
  <si>
    <t>A36303631</t>
  </si>
  <si>
    <t>B38843885</t>
  </si>
  <si>
    <t>B37413742</t>
  </si>
  <si>
    <t>B374337443745</t>
  </si>
  <si>
    <t>a374637473748</t>
  </si>
  <si>
    <t>a37493750</t>
  </si>
  <si>
    <t>b37513752</t>
  </si>
  <si>
    <t>b375337543755</t>
  </si>
  <si>
    <t>a37563757</t>
  </si>
  <si>
    <t>a37583759</t>
  </si>
  <si>
    <t>a384538463847</t>
  </si>
  <si>
    <t>a37603761</t>
  </si>
  <si>
    <t>a384838493850</t>
  </si>
  <si>
    <t>a385138523853</t>
  </si>
  <si>
    <t>a38543855</t>
  </si>
  <si>
    <t>a37623763</t>
  </si>
  <si>
    <t>b37643765</t>
  </si>
  <si>
    <t>a376637673768</t>
  </si>
  <si>
    <t>a376937703771</t>
  </si>
  <si>
    <t>a37723773</t>
  </si>
  <si>
    <t>b38563857</t>
  </si>
  <si>
    <t>b37743775</t>
  </si>
  <si>
    <t>a377637773778</t>
  </si>
  <si>
    <t>b37793780</t>
  </si>
  <si>
    <t>b378137823783</t>
  </si>
  <si>
    <t>b378437853786</t>
  </si>
  <si>
    <t>a378737883789</t>
  </si>
  <si>
    <t>b379037913792</t>
  </si>
  <si>
    <t>a37933794</t>
  </si>
  <si>
    <t>b379537963797</t>
  </si>
  <si>
    <t>a36623663</t>
  </si>
  <si>
    <t>b37983799</t>
  </si>
  <si>
    <t>a36953696</t>
  </si>
  <si>
    <t>a369736983699</t>
  </si>
  <si>
    <t>a37013702</t>
  </si>
  <si>
    <t>a36643665</t>
  </si>
  <si>
    <t>b366636673668</t>
  </si>
  <si>
    <t>a36693670</t>
  </si>
  <si>
    <t>b380038013802</t>
  </si>
  <si>
    <t>b380338043805</t>
  </si>
  <si>
    <t>a367136723673</t>
  </si>
  <si>
    <t>a36743675</t>
  </si>
  <si>
    <t>b36763677</t>
  </si>
  <si>
    <t>A38063807</t>
  </si>
  <si>
    <t>b38893700</t>
  </si>
  <si>
    <t>b38083809</t>
  </si>
  <si>
    <t>a36813682</t>
  </si>
  <si>
    <t>b367836793680</t>
  </si>
  <si>
    <t>a368336843685</t>
  </si>
  <si>
    <t>A38103811</t>
  </si>
  <si>
    <t>a36863687</t>
  </si>
  <si>
    <t>b384238433844</t>
  </si>
  <si>
    <t>b368836893690</t>
  </si>
  <si>
    <t>a381238133814</t>
  </si>
  <si>
    <t>b36913692</t>
  </si>
  <si>
    <t>a381538163817</t>
  </si>
  <si>
    <t>a36933694</t>
  </si>
  <si>
    <t>a381838193820</t>
  </si>
  <si>
    <t>b37033704</t>
  </si>
  <si>
    <t>b370537063707</t>
  </si>
  <si>
    <t>b38213822</t>
  </si>
  <si>
    <t>b382338243825</t>
  </si>
  <si>
    <t>a363236333634</t>
  </si>
  <si>
    <t>b36353636</t>
  </si>
  <si>
    <t>a363736383639</t>
  </si>
  <si>
    <t>a36403641</t>
  </si>
  <si>
    <t>a382638273828</t>
  </si>
  <si>
    <t>a370837093710</t>
  </si>
  <si>
    <t>a36423643</t>
  </si>
  <si>
    <t>b364436453646</t>
  </si>
  <si>
    <t>b36473648</t>
  </si>
  <si>
    <t>b38293830</t>
  </si>
  <si>
    <t>b37113712</t>
  </si>
  <si>
    <t>a38313832</t>
  </si>
  <si>
    <t>b37133714</t>
  </si>
  <si>
    <t>a37153716</t>
  </si>
  <si>
    <t>b36493650</t>
  </si>
  <si>
    <t>a365136523653</t>
  </si>
  <si>
    <t>a383338343835</t>
  </si>
  <si>
    <t>b37173718</t>
  </si>
  <si>
    <t>b36543655</t>
  </si>
  <si>
    <t>b365636573658</t>
  </si>
  <si>
    <t>b383638373838</t>
  </si>
  <si>
    <t>a383938403841</t>
  </si>
  <si>
    <t>b365936603661</t>
  </si>
  <si>
    <t>ROUND 8</t>
  </si>
  <si>
    <t>b396939703971</t>
  </si>
  <si>
    <t>a404440454046</t>
  </si>
  <si>
    <t>a39723973</t>
  </si>
  <si>
    <t>b397439753976</t>
  </si>
  <si>
    <t>a39773978</t>
  </si>
  <si>
    <t>a39793980</t>
  </si>
  <si>
    <t>a39813982</t>
  </si>
  <si>
    <t>b398539863987</t>
  </si>
  <si>
    <t>a398839893990</t>
  </si>
  <si>
    <t>b399139923993</t>
  </si>
  <si>
    <t>a399639973998</t>
  </si>
  <si>
    <t>b40694070</t>
  </si>
  <si>
    <t>a39994000</t>
  </si>
  <si>
    <t>a40014002</t>
  </si>
  <si>
    <t>b400340044005</t>
  </si>
  <si>
    <t>b400640074008</t>
  </si>
  <si>
    <t>b40094010</t>
  </si>
  <si>
    <t>a40424043</t>
  </si>
  <si>
    <t>b401140124013</t>
  </si>
  <si>
    <t>b401440154016</t>
  </si>
  <si>
    <t>a40174018</t>
  </si>
  <si>
    <t>b401940204021</t>
  </si>
  <si>
    <t>a40224023</t>
  </si>
  <si>
    <t>a402440254026</t>
  </si>
  <si>
    <t>a402740284029</t>
  </si>
  <si>
    <t>b40304031</t>
  </si>
  <si>
    <t>a403240334034</t>
  </si>
  <si>
    <t>b40404041</t>
  </si>
  <si>
    <t>a39833984</t>
  </si>
  <si>
    <t>a39463947</t>
  </si>
  <si>
    <t>a39483949</t>
  </si>
  <si>
    <t>a39503951</t>
  </si>
  <si>
    <t>a39053906</t>
  </si>
  <si>
    <t>a39193920</t>
  </si>
  <si>
    <t>b403540364037</t>
  </si>
  <si>
    <t>a395739583959</t>
  </si>
  <si>
    <t>b395439553956</t>
  </si>
  <si>
    <t>a39603961</t>
  </si>
  <si>
    <t>a39033904</t>
  </si>
  <si>
    <t>b38933894</t>
  </si>
  <si>
    <t>a389538963897</t>
  </si>
  <si>
    <t>a389838993900</t>
  </si>
  <si>
    <t>b39523953</t>
  </si>
  <si>
    <t>b396239633964</t>
  </si>
  <si>
    <t>a39653966</t>
  </si>
  <si>
    <t>a392139223923</t>
  </si>
  <si>
    <t>b40384039</t>
  </si>
  <si>
    <t>a39013902</t>
  </si>
  <si>
    <t>b39673968</t>
  </si>
  <si>
    <t>b39943995</t>
  </si>
  <si>
    <t>a392439253926</t>
  </si>
  <si>
    <t>Pool 3 - Buzzed</t>
  </si>
  <si>
    <t>b404740484049</t>
  </si>
  <si>
    <t>b39293930</t>
  </si>
  <si>
    <t>b39273928</t>
  </si>
  <si>
    <t>b39313932</t>
  </si>
  <si>
    <t>A389038913892</t>
  </si>
  <si>
    <t>b39443945</t>
  </si>
  <si>
    <t>a39073908</t>
  </si>
  <si>
    <t>a394139423943</t>
  </si>
  <si>
    <t>a39333934</t>
  </si>
  <si>
    <t>b405040514052</t>
  </si>
  <si>
    <t>b39353936</t>
  </si>
  <si>
    <t>a39373938</t>
  </si>
  <si>
    <t>b40534054</t>
  </si>
  <si>
    <t>a39093910</t>
  </si>
  <si>
    <t>b40554056</t>
  </si>
  <si>
    <t>b391139123913</t>
  </si>
  <si>
    <t>a39393940</t>
  </si>
  <si>
    <t>b405740584059</t>
  </si>
  <si>
    <t>a391639153914</t>
  </si>
  <si>
    <t>a39173918</t>
  </si>
  <si>
    <t>a406040614062</t>
  </si>
  <si>
    <t>a40634064</t>
  </si>
  <si>
    <t>a40654066</t>
  </si>
  <si>
    <t>b40674068</t>
  </si>
  <si>
    <t>ROUND 9</t>
  </si>
  <si>
    <t>b41294130</t>
  </si>
  <si>
    <t>a40894090</t>
  </si>
  <si>
    <t>b40874088</t>
  </si>
  <si>
    <t>a408440854086</t>
  </si>
  <si>
    <t>b41684169</t>
  </si>
  <si>
    <t>a408140824083</t>
  </si>
  <si>
    <t>a410941104111</t>
  </si>
  <si>
    <t>a41724173</t>
  </si>
  <si>
    <t>b41704171</t>
  </si>
  <si>
    <t>b40794080</t>
  </si>
  <si>
    <t>b411441154116</t>
  </si>
  <si>
    <t>b41834184</t>
  </si>
  <si>
    <t>a407640774078</t>
  </si>
  <si>
    <t>a418541864187</t>
  </si>
  <si>
    <t>b416541664167</t>
  </si>
  <si>
    <t>b410641074108</t>
  </si>
  <si>
    <t>a412641274128</t>
  </si>
  <si>
    <t>a41174118</t>
  </si>
  <si>
    <t>a41314132</t>
  </si>
  <si>
    <t>a41194120</t>
  </si>
  <si>
    <t>a40714072</t>
  </si>
  <si>
    <t>a415241534154</t>
  </si>
  <si>
    <t>a412141224123</t>
  </si>
  <si>
    <t>a41614162</t>
  </si>
  <si>
    <t>a41794180</t>
  </si>
  <si>
    <t>b410341044105</t>
  </si>
  <si>
    <t>b41814182</t>
  </si>
  <si>
    <t>A407340744075</t>
  </si>
  <si>
    <t>A41574158</t>
  </si>
  <si>
    <t>a41124113</t>
  </si>
  <si>
    <t>a41244125</t>
  </si>
  <si>
    <t>a41634164</t>
  </si>
  <si>
    <t>a41554156</t>
  </si>
  <si>
    <t>a413341344135</t>
  </si>
  <si>
    <t>a413641374138</t>
  </si>
  <si>
    <t>a41394140</t>
  </si>
  <si>
    <t>a40914092</t>
  </si>
  <si>
    <t>a409340944095</t>
  </si>
  <si>
    <t>a414141424143</t>
  </si>
  <si>
    <t>a41594160</t>
  </si>
  <si>
    <t>b41904191</t>
  </si>
  <si>
    <t>b40964097</t>
  </si>
  <si>
    <t>b40984099</t>
  </si>
  <si>
    <t>a41444145</t>
  </si>
  <si>
    <t>a417441754176</t>
  </si>
  <si>
    <t>a414641474148</t>
  </si>
  <si>
    <t>a414941504151</t>
  </si>
  <si>
    <t>a41884189</t>
  </si>
  <si>
    <t>a410041014102</t>
  </si>
  <si>
    <t>a41774178</t>
  </si>
  <si>
    <t>ROUND 10</t>
  </si>
  <si>
    <t>Pool 1 - Zacpz</t>
  </si>
  <si>
    <t>BYE</t>
  </si>
  <si>
    <t>Pool 2 - Buzzed</t>
  </si>
  <si>
    <t>a419241934194</t>
  </si>
  <si>
    <t>Replay #</t>
  </si>
  <si>
    <t>Replay Link</t>
  </si>
  <si>
    <t>https://replay.pokemonshowdown.com/smogtours-gen3ou-793791?p2</t>
  </si>
  <si>
    <t>https://replay.pokemonshowdown.com/smogtours-gen3ou-793794</t>
  </si>
  <si>
    <t>https://replay.pokemonshowdown.com/smogtours-gen3ou-793757</t>
  </si>
  <si>
    <t>https://replay.pokemonshowdown.com/smogtours-gen3ou-793758</t>
  </si>
  <si>
    <t>https://replay.pokemonshowdown.com/smogtours-gen3ou-793759</t>
  </si>
  <si>
    <t>https://replay.pokemonshowdown.com/smogtours-gen3ou-793824</t>
  </si>
  <si>
    <t>https://replay.pokemonshowdown.com/smogtours-gen3ou-793827</t>
  </si>
  <si>
    <t>https://replay.pokemonshowdown.com/smogtours-gen3ou-793792</t>
  </si>
  <si>
    <t>https://replay.pokemonshowdown.com/smogtours-gen3ou-793795?p2</t>
  </si>
  <si>
    <t>https://replay.pokemonshowdown.com/smogtours-gen3ou-793801</t>
  </si>
  <si>
    <t>https://replay.pokemonshowdown.com/smogtours-gen3ou-793806</t>
  </si>
  <si>
    <t>https://replay.pokemonshowdown.com/smogtours-gen3ou-793813</t>
  </si>
  <si>
    <t>https://replay.pokemonshowdown.com/smogtours-gen3ou-793761</t>
  </si>
  <si>
    <t>https://replay.pokemonshowdown.com/smogtours-gen3ou-793762</t>
  </si>
  <si>
    <t>https://replay.pokemonshowdown.com/smogtours-gen3ou-793812</t>
  </si>
  <si>
    <t>https://replay.pokemonshowdown.com/smogtours-gen3ou-793818</t>
  </si>
  <si>
    <t>https://replay.pokemonshowdown.com/smogtours-gen3ou-793836</t>
  </si>
  <si>
    <t>https://replay.pokemonshowdown.com/smogtours-gen3ou-793838</t>
  </si>
  <si>
    <t>https://replay.pokemonshowdown.com/smogtours-gen3ou-793811</t>
  </si>
  <si>
    <t>https://replay.pokemonshowdown.com/smogtours-gen3ou-793815</t>
  </si>
  <si>
    <t>https://replay.pokemonshowdown.com/smogtours-gen3ou-793822</t>
  </si>
  <si>
    <t>https://replay.pokemonshowdown.com/smogtours-gen3ou-793888</t>
  </si>
  <si>
    <t>https://replay.pokemonshowdown.com/smogtours-gen3ou-793890</t>
  </si>
  <si>
    <t>https://replay.pokemonshowdown.com/smogtours-gen3ou-793861</t>
  </si>
  <si>
    <t>https://replay.pokemonshowdown.com/smogtours-gen3ou-793863</t>
  </si>
  <si>
    <t>https://replay.pokemonshowdown.com/smogtours-gen3ou-793868</t>
  </si>
  <si>
    <t>https://replay.pokemonshowdown.com/smogtours-gen3ou-793893</t>
  </si>
  <si>
    <t>https://replay.pokemonshowdown.com/smogtours-gen3ou-793894</t>
  </si>
  <si>
    <t>https://replay.pokemonshowdown.com/smogtours-gen3ou-793780</t>
  </si>
  <si>
    <t>https://replay.pokemonshowdown.com/smogtours-gen3ou-793781</t>
  </si>
  <si>
    <t>https://replay.pokemonshowdown.com/smogtours-gen3ou-793787</t>
  </si>
  <si>
    <t>https://replay.pokemonshowdown.com/gen3ou-2213760778-871i4top30wu9d5mle9llaad6xqjhyfpw</t>
  </si>
  <si>
    <t>https://replay.pokemonshowdown.com/gen3ou-2213772581-q32iwncstf9dmkes3lic2all9d7xog2pw</t>
  </si>
  <si>
    <t>https://replay.pokemonshowdown.com/gen3ou-2213780205-olsnvnf2aiox1ely5ct1iue94n528u4pw</t>
  </si>
  <si>
    <t>https://replay.pokemonshowdown.com/gen3ou-2213626355-1nnlmcc6qff6qk5y0xoaj6cglcgdlkapw</t>
  </si>
  <si>
    <r>
      <rPr>
        <rFont val="inherit"/>
        <sz val="12.0"/>
      </rPr>
      <t>https://replay.pokemonshowdown.com/gen3ou-2213633888-g94y0m0pz7huw3p7oi97yvjrz6gb4tgpw</t>
    </r>
  </si>
  <si>
    <t>https://replay.pokemonshowdown.com/smogtours-gen3ou-793766</t>
  </si>
  <si>
    <r>
      <rPr>
        <rFont val="inherit"/>
        <sz val="12.0"/>
      </rPr>
      <t>https://replay.pokemonshowdown.com/smogtours-gen3ou-793769</t>
    </r>
  </si>
  <si>
    <t>https://replay.pokemonshowdown.com/smogtours-gen3ou-793776</t>
  </si>
  <si>
    <r>
      <rPr>
        <rFont val="inherit"/>
        <sz val="12.0"/>
      </rPr>
      <t>https://replay.pokemonshowdown.com/smogtours-gen3ou-793777</t>
    </r>
  </si>
  <si>
    <r>
      <rPr>
        <rFont val="inherit"/>
        <sz val="12.0"/>
      </rPr>
      <t>https://replay.pokemonshowdown.com/smogtours-gen3ou-793778</t>
    </r>
  </si>
  <si>
    <r>
      <rPr>
        <rFont val="inherit"/>
        <sz val="12.0"/>
      </rPr>
      <t>https://replay.pokemonshowdown.com/gen3ou-2213759809</t>
    </r>
  </si>
  <si>
    <r>
      <rPr>
        <rFont val="inherit"/>
        <sz val="12.0"/>
      </rPr>
      <t>https://replay.pokemonshowdown.com/gen3ou-2213761993</t>
    </r>
  </si>
  <si>
    <r>
      <rPr>
        <rFont val="inherit"/>
        <sz val="12.0"/>
      </rPr>
      <t>https://replay.pokemonshowdown.com/smogtours-gen3ou-793900</t>
    </r>
  </si>
  <si>
    <r>
      <rPr>
        <rFont val="inherit"/>
        <sz val="12.0"/>
        <u/>
      </rPr>
      <t>https://replay.pokemonshowdown.com/smogtours-gen3ou-793901</t>
    </r>
  </si>
  <si>
    <t>https://replay.pokemonshowdown.com/smogtours-gen3ou-793922</t>
  </si>
  <si>
    <t>https://replay.pokemonshowdown.com/smogtours-gen3ou-793923</t>
  </si>
  <si>
    <t>https://replay.pokemonshowdown.com/smogtours-gen3ou-793856</t>
  </si>
  <si>
    <t>https://replay.pokemonshowdown.com/smogtours-gen3ou-793857</t>
  </si>
  <si>
    <t>https://replay.pokemonshowdown.com/smogtours-gen3ou-793934</t>
  </si>
  <si>
    <t>https://replay.pokemonshowdown.com/smogtours-gen3ou-793937</t>
  </si>
  <si>
    <t>https://replay.pokemonshowdown.com/smogtours-gen3ou-793910</t>
  </si>
  <si>
    <t>https://replay.pokemonshowdown.com/smogtours-gen3ou-793911</t>
  </si>
  <si>
    <t>https://replay.pokemonshowdown.com/smogtours-gen3ou-793912</t>
  </si>
  <si>
    <t>https://replay.pokemonshowdown.com/smogtours-gen3ou-793946</t>
  </si>
  <si>
    <t>https://replay.pokemonshowdown.com/smogtours-gen3ou-793943</t>
  </si>
  <si>
    <t>https://replay.pokemonshowdown.com/smogtours-gen3ou-793970</t>
  </si>
  <si>
    <t>https://replay.pokemonshowdown.com/smogtours-gen3ou-793972</t>
  </si>
  <si>
    <t>https://replay.pokemonshowdown.com/smogtours-gen3ou-793915</t>
  </si>
  <si>
    <t>https://replay.pokemonshowdown.com/smogtours-gen3ou-793916</t>
  </si>
  <si>
    <t>https://replay.pokemonshowdown.com/smogtours-gen3ou-793879</t>
  </si>
  <si>
    <t>https://replay.pokemonshowdown.com/smogtours-gen3ou-793884</t>
  </si>
  <si>
    <t>https://replay.pokemonshowdown.com/smogtours-gen3ou-793887</t>
  </si>
  <si>
    <t>https://replay.pokemonshowdown.com/smogtours-gen3ou-793960</t>
  </si>
  <si>
    <t>https://replay.pokemonshowdown.com/smogtours-gen3ou-793967</t>
  </si>
  <si>
    <t>https://replay.pokemonshowdown.com/smogtours-gen3ou-793971?p2</t>
  </si>
  <si>
    <t>https://replay.pokemonshowdown.com/smogtours-gen3ou-793986</t>
  </si>
  <si>
    <t>https://replay.pokemonshowdown.com/smogtours-gen3ou-793990?p2</t>
  </si>
  <si>
    <t>https://replay.pokemonshowdown.com/smogtours-gen3ou-793995</t>
  </si>
  <si>
    <t>https://replay.pokemonshowdown.com/smogtours-gen3ou-793997</t>
  </si>
  <si>
    <t>https://replay.pokemonshowdown.com/smogtours-gen3ou-793999</t>
  </si>
  <si>
    <t>https://replay.pokemonshowdown.com/smogtours-gen3ou-794007</t>
  </si>
  <si>
    <t>https://replay.pokemonshowdown.com/smogtours-gen3ou-794009</t>
  </si>
  <si>
    <t>https://replay.pokemonshowdown.com/smogtours-gen3ou-794008</t>
  </si>
  <si>
    <t>https://replay.pokemonshowdown.com/smogtours-gen3ou-794015</t>
  </si>
  <si>
    <t>https://replay.pokemonshowdown.com/gen3ou-2214586563-nmmps9q0ref5c55pa0rs9cssytgwnstpw?p2</t>
  </si>
  <si>
    <t>https://replay.pokemonshowdown.com/gen3ou-2214591815-rrw96vmyo8w7up2w1258i02ezyd3hfupw?p2</t>
  </si>
  <si>
    <t>https://replay.pokemonshowdown.com/smogtours-gen3ou-794028</t>
  </si>
  <si>
    <t>https://replay.pokemonshowdown.com/smogtours-gen3ou-794032</t>
  </si>
  <si>
    <t>https://replay.pokemonshowdown.com/smogtours-gen3ou-794034</t>
  </si>
  <si>
    <t>https://replay.pokemonshowdown.com/smogtours-gen3ou-794050</t>
  </si>
  <si>
    <t>https://replay.pokemonshowdown.com/smogtours-gen3ou-794062</t>
  </si>
  <si>
    <t>https://replay.pokemonshowdown.com/smogtours-gen3ou-794075</t>
  </si>
  <si>
    <t>https://replay.pokemonshowdown.com/smogtours-gen3ou-794047</t>
  </si>
  <si>
    <t>https://replay.pokemonshowdown.com/smogtours-gen3ou-794054</t>
  </si>
  <si>
    <t>https://replay.pokemonshowdown.com/smogtours-gen3ou-794093</t>
  </si>
  <si>
    <t>https://replay.pokemonshowdown.com/smogtours-gen3ou-794100</t>
  </si>
  <si>
    <t>https://replay.pokemonshowdown.com/smogtours-gen3ou-794039</t>
  </si>
  <si>
    <t>https://replay.pokemonshowdown.com/smogtours-gen3ou-794042</t>
  </si>
  <si>
    <t>https://replay.pokemonshowdown.com/smogtours-gen3ou-794022</t>
  </si>
  <si>
    <t>https://replay.pokemonshowdown.com/smogtours-gen3ou-794025</t>
  </si>
  <si>
    <t>https://replay.pokemonshowdown.com/smogtours-gen3ou-794040</t>
  </si>
  <si>
    <t>https://replay.pokemonshowdown.com/smogtours-gen3ou-794044</t>
  </si>
  <si>
    <t>https://replay.pokemonshowdown.com/smogtours-gen3ou-794030</t>
  </si>
  <si>
    <t>https://replay.pokemonshowdown.com/smogtours-gen3ou-794035</t>
  </si>
  <si>
    <t>https://replay.pokemonshowdown.com/smogtours-gen3ou-794037</t>
  </si>
  <si>
    <t>https://replay.pokemonshowdown.com/smogtours-gen3ou-794133</t>
  </si>
  <si>
    <t>https://replay.pokemonshowdown.com/smogtours-gen3ou-794136</t>
  </si>
  <si>
    <t>https://replay.pokemonshowdown.com/smogtours-gen3ou-794155</t>
  </si>
  <si>
    <t>https://replay.pokemonshowdown.com/smogtours-gen3ou-794158</t>
  </si>
  <si>
    <r>
      <rPr>
        <rFont val="inherit"/>
        <sz val="12.0"/>
      </rPr>
      <t>https://replay.pokemonshowdown.com/smogtours-gen3ou-794149</t>
    </r>
  </si>
  <si>
    <r>
      <rPr>
        <rFont val="inherit"/>
        <sz val="12.0"/>
      </rPr>
      <t>https://replay.pokemonshowdown.com/smogtours-gen3ou-794154</t>
    </r>
  </si>
  <si>
    <r>
      <rPr>
        <rFont val="inherit"/>
        <sz val="12.0"/>
      </rPr>
      <t>https://replay.pokemonshowdown.com/smogtours-gen3ou-794156</t>
    </r>
  </si>
  <si>
    <r>
      <rPr>
        <rFont val="inherit"/>
        <sz val="12.0"/>
        <u/>
      </rPr>
      <t>https://replay.pokemonshowdown.com/smogtours-gen3ou-793998</t>
    </r>
  </si>
  <si>
    <r>
      <rPr>
        <rFont val="inherit"/>
        <sz val="12.0"/>
      </rPr>
      <t>https://replay.pokemonshowdown.com/smogtours-gen3ou-794001</t>
    </r>
  </si>
  <si>
    <r>
      <rPr>
        <rFont val="inherit"/>
        <sz val="12.0"/>
      </rPr>
      <t>https://replay.pokemonshowdown.com/smogtours-gen3ou-793929</t>
    </r>
  </si>
  <si>
    <r>
      <rPr>
        <rFont val="inherit"/>
        <sz val="12.0"/>
        <u/>
      </rPr>
      <t>https://replay.pokemonshowdown.com/smogtours-gen3ou-793932</t>
    </r>
  </si>
  <si>
    <r>
      <rPr>
        <rFont val="inherit"/>
        <sz val="12.0"/>
      </rPr>
      <t>https://replay.pokemonshowdown.com/smogtours-gen3ou-793935</t>
    </r>
  </si>
  <si>
    <r>
      <rPr>
        <rFont val="inherit"/>
        <sz val="12.0"/>
        <u/>
      </rPr>
      <t>https://replay.pokemonshowdown.com/smogtours-gen3ou-793982</t>
    </r>
  </si>
  <si>
    <r>
      <rPr>
        <rFont val="inherit"/>
        <sz val="12.0"/>
      </rPr>
      <t>https://replay.pokemonshowdown.com/smogtours-gen3ou-793985</t>
    </r>
  </si>
  <si>
    <r>
      <rPr>
        <rFont val="inherit"/>
        <sz val="12.0"/>
      </rPr>
      <t>https://replay.pokemonshowdown.com/smogtours-gen3ou-793988</t>
    </r>
  </si>
  <si>
    <t>https://replay.pokemonshowdown.com/smogtours-gen3ou-793940?p2</t>
  </si>
  <si>
    <r>
      <rPr>
        <rFont val="inherit"/>
        <sz val="12.0"/>
      </rPr>
      <t>https://replay.pokemonshowdown.com/smogtours-gen3ou-793942</t>
    </r>
  </si>
  <si>
    <r>
      <rPr>
        <rFont val="inherit"/>
        <sz val="12.0"/>
      </rPr>
      <t>https://replay.pokemonshowdown.com/smogtours-gen3ou-793950</t>
    </r>
  </si>
  <si>
    <r>
      <rPr>
        <rFont val="inherit"/>
        <sz val="12.0"/>
      </rPr>
      <t>https://replay.pokemonshowdown.com/gen3ou-2214654026</t>
    </r>
  </si>
  <si>
    <r>
      <rPr>
        <rFont val="inherit"/>
        <sz val="12.0"/>
      </rPr>
      <t>https://replay.pokemonshowdown.com/gen3ou-2214662890</t>
    </r>
  </si>
  <si>
    <r>
      <rPr>
        <rFont val="inherit"/>
        <sz val="12.0"/>
      </rPr>
      <t>https://replay.pokemonshowdown.com/gen3ou-2214667128</t>
    </r>
  </si>
  <si>
    <r>
      <rPr>
        <rFont val="inherit"/>
        <sz val="12.0"/>
      </rPr>
      <t>https://replay.pokemonshowdown.com/smogtours-gen3ou-794121</t>
    </r>
  </si>
  <si>
    <r>
      <rPr>
        <rFont val="inherit"/>
        <sz val="12.0"/>
      </rPr>
      <t>https://replay.pokemonshowdown.com/smogtours-gen3ou-794128</t>
    </r>
  </si>
  <si>
    <r>
      <rPr>
        <rFont val="inherit"/>
        <sz val="12.0"/>
      </rPr>
      <t>https://replay.pokemonshowdown.com/gen3ou-2214695939-3jt0vcrezff69ao2cdz9d1eicuerqv6pw</t>
    </r>
  </si>
  <si>
    <r>
      <rPr>
        <rFont val="inherit"/>
        <sz val="12.0"/>
        <u/>
      </rPr>
      <t>https://replay.pokemonshowdown.com/gen3ou-2214707358-jtap5asse3mqdmu30upvjhq8bkui41hpw</t>
    </r>
  </si>
  <si>
    <r>
      <rPr>
        <rFont val="inherit"/>
        <sz val="12.0"/>
      </rPr>
      <t>https://replay.pokemonshowdown.com/gen3ou-2214716151-t0hc9pdi7wt4i5qrpdprlytkvot2oc4pw</t>
    </r>
  </si>
  <si>
    <r>
      <rPr>
        <rFont val="inherit"/>
        <sz val="12.0"/>
      </rPr>
      <t>https://replay.pokemonshowdown.com/smogtours-gen3ou-794052</t>
    </r>
  </si>
  <si>
    <r>
      <rPr>
        <rFont val="inherit"/>
        <sz val="12.0"/>
      </rPr>
      <t>https://replay.pokemonshowdown.com/smogtours-gen3ou-794066</t>
    </r>
  </si>
  <si>
    <r>
      <rPr>
        <rFont val="inherit"/>
        <sz val="12.0"/>
        <u/>
      </rPr>
      <t>https://replay.pokemonshowdown.com/smogtours-gen3ou-794132</t>
    </r>
  </si>
  <si>
    <r>
      <rPr>
        <rFont val="inherit"/>
        <sz val="12.0"/>
      </rPr>
      <t>https://replay.pokemonshowdown.com/smogtours-gen3ou-794137</t>
    </r>
  </si>
  <si>
    <r>
      <rPr>
        <rFont val="inherit"/>
        <sz val="12.0"/>
      </rPr>
      <t>https://replay.pokemonshowdown.com/smogtours-gen3ou-794139</t>
    </r>
  </si>
  <si>
    <t>https://replay.pokemonshowdown.com/smogtours-gen3ou-794096?p2</t>
  </si>
  <si>
    <r>
      <rPr>
        <rFont val="inherit"/>
        <sz val="12.0"/>
      </rPr>
      <t>https://replay.pokemonshowdown.com/smogtours-gen3ou-794101?p2</t>
    </r>
  </si>
  <si>
    <r>
      <rPr>
        <rFont val="inherit"/>
        <sz val="12.0"/>
      </rPr>
      <t>https://replay.pokemonshowdown.com/smogtours-gen3ou-794109?p2</t>
    </r>
  </si>
  <si>
    <r>
      <rPr>
        <rFont val="inherit"/>
        <sz val="12.0"/>
        <u/>
      </rPr>
      <t>https://replay.pokemonshowdown.com/smogtours-gen3ou-794134</t>
    </r>
  </si>
  <si>
    <r>
      <rPr>
        <rFont val="inherit"/>
        <sz val="12.0"/>
      </rPr>
      <t>https://replay.pokemonshowdown.com/smogtours-gen3ou-794140</t>
    </r>
  </si>
  <si>
    <r>
      <rPr>
        <rFont val="inherit"/>
        <sz val="12.0"/>
      </rPr>
      <t>https://replay.pokemonshowdown.com/smogtours-gen3ou-793858</t>
    </r>
  </si>
  <si>
    <r>
      <rPr>
        <rFont val="inherit"/>
        <sz val="12.0"/>
        <u/>
      </rPr>
      <t>https://replay.pokemonshowdown.com/smogtours-gen3ou-793859?p2</t>
    </r>
  </si>
  <si>
    <t>https://replay.pokemonshowdown.com/smogtours-gen3ou-793779</t>
  </si>
  <si>
    <r>
      <rPr>
        <rFont val="inherit"/>
        <sz val="12.0"/>
      </rPr>
      <t>https://replay.pokemonshowdown.com/smogtours-gen3ou-793785</t>
    </r>
  </si>
  <si>
    <r>
      <rPr>
        <rFont val="inherit"/>
        <sz val="12.0"/>
      </rPr>
      <t>https://replay.pokemonshowdown.com/smogtours-gen3ou-793789</t>
    </r>
  </si>
  <si>
    <t>https://replay.pokemonshowdown.com/smogtours-gen3ou-794018</t>
  </si>
  <si>
    <r>
      <rPr>
        <rFont val="inherit"/>
        <sz val="12.0"/>
      </rPr>
      <t>https://replay.pokemonshowdown.com/smogtours-gen3ou-794020</t>
    </r>
  </si>
  <si>
    <r>
      <rPr>
        <rFont val="inherit"/>
        <sz val="12.0"/>
        <u/>
      </rPr>
      <t>https://replay.pokemonshowdown.com/smogtours-gen3ou-794180</t>
    </r>
  </si>
  <si>
    <r>
      <rPr>
        <rFont val="inherit"/>
        <sz val="12.0"/>
      </rPr>
      <t>https://replay.pokemonshowdown.com/smogtours-gen3ou-794184</t>
    </r>
  </si>
  <si>
    <r>
      <rPr>
        <rFont val="inherit"/>
        <sz val="12.0"/>
        <u/>
      </rPr>
      <t>https://replay.pokemonshowdown.com/smogtours-gen3ou-794179</t>
    </r>
  </si>
  <si>
    <t>https://replay.pokemonshowdown.com/smogtours-gen3ou-794080?p2</t>
  </si>
  <si>
    <t>https://replay.pokemonshowdown.com/smogtours-gen3ou-794094?p2</t>
  </si>
  <si>
    <t>https://replay.pokemonshowdown.com/smogtours-gen3ou-793832</t>
  </si>
  <si>
    <r>
      <rPr>
        <rFont val="inherit"/>
        <sz val="12.0"/>
      </rPr>
      <t>https://replay.pokemonshowdown.com/smogtours-gen3ou-793833</t>
    </r>
  </si>
  <si>
    <r>
      <rPr>
        <rFont val="inherit"/>
        <sz val="12.0"/>
        <u/>
      </rPr>
      <t>https://replay.pokemonshowdown.com/smogtours-gen3ou-794099</t>
    </r>
  </si>
  <si>
    <r>
      <rPr>
        <rFont val="inherit"/>
        <sz val="12.0"/>
        <u/>
      </rPr>
      <t>https://replay.pokemonshowdown.com/smogtours-gen3ou-794107</t>
    </r>
  </si>
  <si>
    <r>
      <rPr>
        <rFont val="inherit"/>
        <sz val="12.0"/>
        <u/>
      </rPr>
      <t>https://replay.pokemonshowdown.com/smogtours-gen3ou-794113</t>
    </r>
  </si>
  <si>
    <r>
      <rPr>
        <rFont val="inherit"/>
        <sz val="12.0"/>
      </rPr>
      <t>https://replay.pokemonshowdown.com/smogtours-gen3ou-793865</t>
    </r>
  </si>
  <si>
    <r>
      <rPr>
        <rFont val="inherit"/>
        <sz val="12.0"/>
      </rPr>
      <t>https://replay.pokemonshowdown.com/smogtours-gen3ou-793871</t>
    </r>
  </si>
  <si>
    <r>
      <rPr>
        <rFont val="inherit"/>
        <sz val="12.0"/>
        <u/>
      </rPr>
      <t>https://replay.pokemonshowdown.com/smogtours-gen3ou-794129</t>
    </r>
  </si>
  <si>
    <r>
      <rPr>
        <rFont val="inherit"/>
        <sz val="12.0"/>
      </rPr>
      <t>https://replay.pokemonshowdown.com/smogtours-gen3ou-794130</t>
    </r>
  </si>
  <si>
    <r>
      <rPr>
        <rFont val="inherit"/>
        <sz val="12.0"/>
      </rPr>
      <t>https://replay.pokemonshowdown.com/smogtours-gen3ou-794157</t>
    </r>
  </si>
  <si>
    <r>
      <rPr>
        <rFont val="inherit"/>
        <sz val="12.0"/>
      </rPr>
      <t>https://replay.pokemonshowdown.com/smogtours-gen3ou-794160</t>
    </r>
  </si>
  <si>
    <r>
      <rPr>
        <rFont val="inherit"/>
        <sz val="12.0"/>
        <u/>
      </rPr>
      <t>https://replay.pokemonshowdown.com/smogtours-gen3ou-794163</t>
    </r>
  </si>
  <si>
    <r>
      <rPr>
        <rFont val="inherit"/>
        <sz val="12.0"/>
      </rPr>
      <t>https://replay.pokemonshowdown.com/smogtours-gen3ou-794043</t>
    </r>
  </si>
  <si>
    <r>
      <rPr>
        <rFont val="inherit"/>
        <sz val="12.0"/>
      </rPr>
      <t>https://replay.pokemonshowdown.com/smogtours-gen3ou-794051</t>
    </r>
  </si>
  <si>
    <r>
      <rPr>
        <rFont val="inherit"/>
        <sz val="12.0"/>
        <u/>
      </rPr>
      <t>https://replay.pokemonshowdown.com/smogtours-gen3ou-794059</t>
    </r>
  </si>
  <si>
    <r>
      <rPr>
        <rFont val="inherit"/>
        <sz val="12.0"/>
      </rPr>
      <t>https://replay.pokemonshowdown.com/smogtours-gen3ou-794069</t>
    </r>
  </si>
  <si>
    <r>
      <rPr>
        <rFont val="inherit"/>
        <sz val="12.0"/>
      </rPr>
      <t>https://replay.pokemonshowdown.com/smogtours-gen3ou-793941</t>
    </r>
  </si>
  <si>
    <r>
      <rPr>
        <rFont val="inherit"/>
        <sz val="12.0"/>
      </rPr>
      <t>https://replay.pokemonshowdown.com/smogtours-gen3ou-793945</t>
    </r>
  </si>
  <si>
    <r>
      <rPr>
        <rFont val="inherit"/>
        <sz val="12.0"/>
      </rPr>
      <t>https://replay.pokemonshowdown.com/smogtours-gen3ou-793984</t>
    </r>
  </si>
  <si>
    <r>
      <rPr>
        <rFont val="inherit"/>
        <sz val="12.0"/>
      </rPr>
      <t>https://replay.pokemonshowdown.com/smogtours-gen3ou-793989</t>
    </r>
  </si>
  <si>
    <r>
      <rPr>
        <rFont val="inherit"/>
        <sz val="12.0"/>
      </rPr>
      <t>https://replay.pokemonshowdown.com/smogtours-gen3ou-793947</t>
    </r>
  </si>
  <si>
    <r>
      <rPr>
        <rFont val="inherit"/>
        <sz val="12.0"/>
        <u/>
      </rPr>
      <t>https://replay.pokemonshowdown.com/smogtours-gen3ou-793949</t>
    </r>
  </si>
  <si>
    <t>https://replay.pokemonshowdown.com/smogtours-gen3ou-794159</t>
  </si>
  <si>
    <t>https://replay.pokemonshowdown.com/smogtours-gen3ou-794162</t>
  </si>
  <si>
    <t>https://replay.pokemonshowdown.com/smogtours-gen3ou-794165</t>
  </si>
  <si>
    <t>https://replay.pokemonshowdown.com/smogtours-gen3ou-794005</t>
  </si>
  <si>
    <t>https://replay.pokemonshowdown.com/smogtours-gen3ou-794017</t>
  </si>
  <si>
    <t>https://replay.pokemonshowdown.com/smogtours-gen3ou-794019</t>
  </si>
  <si>
    <t>https://replay.pokemonshowdown.com/smogtours-gen3ou-793847</t>
  </si>
  <si>
    <t>https://replay.pokemonshowdown.com/smogtours-gen3ou-793841</t>
  </si>
  <si>
    <t>https://replay.pokemonshowdown.com/smogtours-gen3ou-794029</t>
  </si>
  <si>
    <t>https://replay.pokemonshowdown.com/smogtours-gen3ou-794031</t>
  </si>
  <si>
    <t>https://replay.pokemonshowdown.com/smogtours-gen3ou-794033</t>
  </si>
  <si>
    <t>https://replay.pokemonshowdown.com/smogtours-gen3ou-794004</t>
  </si>
  <si>
    <t>https://replay.pokemonshowdown.com/smogtours-gen3ou-794011</t>
  </si>
  <si>
    <t>https://replay.pokemonshowdown.com/gen3ou-2215102008-mmlsxw3cuo2rwcjgcjtnbsqq7p779btpw</t>
  </si>
  <si>
    <t>https://replay.pokemonshowdown.com/gen3ou-2215107708-o3ezr5r6686srvi8gvh31wzrwrcosltpw</t>
  </si>
  <si>
    <t>https://replay.pokemonshowdown.com/smogtours-gen3ou-794124</t>
  </si>
  <si>
    <t>https://replay.pokemonshowdown.com/smogtours-gen3ou-794120</t>
  </si>
  <si>
    <t>https://replay.pokemonshowdown.com/smogtours-gen3ou-793951</t>
  </si>
  <si>
    <t>https://replay.pokemonshowdown.com/smogtours-gen3ou-793952</t>
  </si>
  <si>
    <t>https://replay.pokemonshowdown.com/smogtours-gen3ou-793954</t>
  </si>
  <si>
    <t>https://replay.pokemonshowdown.com/smogtours-gen3ou-794212</t>
  </si>
  <si>
    <t>https://replay.pokemonshowdown.com/smogtours-gen3ou-794213</t>
  </si>
  <si>
    <t>https://replay.pokemonshowdown.com/smogtours-gen3ou-794272</t>
  </si>
  <si>
    <t>https://replay.pokemonshowdown.com/smogtours-gen3ou-794276</t>
  </si>
  <si>
    <t>https://replay.pokemonshowdown.com/smogtours-gen3ou-794278</t>
  </si>
  <si>
    <r>
      <rPr>
        <rFont val="inherit"/>
        <sz val="12.0"/>
      </rPr>
      <t>https://replay.pokemonshowdown.com/smogtours-gen3ou-794241</t>
    </r>
  </si>
  <si>
    <r>
      <rPr>
        <rFont val="inherit"/>
        <sz val="12.0"/>
      </rPr>
      <t>https://replay.pokemonshowdown.com/smogtours-gen3ou-794248</t>
    </r>
  </si>
  <si>
    <r>
      <rPr>
        <rFont val="inherit"/>
        <sz val="12.0"/>
      </rPr>
      <t>https://replay.pokemonshowdown.com/smogtours-gen3ou-794256</t>
    </r>
  </si>
  <si>
    <r>
      <rPr>
        <rFont val="inherit"/>
        <sz val="12.0"/>
      </rPr>
      <t>https://replay.pokemonshowdown.com/smogtours-gen3ou-793870</t>
    </r>
  </si>
  <si>
    <r>
      <rPr>
        <rFont val="inherit"/>
        <sz val="12.0"/>
        <u/>
      </rPr>
      <t>https://replay.pokemonshowdown.com/smogtours-gen3ou-793873</t>
    </r>
  </si>
  <si>
    <r>
      <rPr>
        <rFont val="inherit"/>
        <sz val="12.0"/>
      </rPr>
      <t>https://replay.pokemonshowdown.com/smogtours-gen3ou-793875</t>
    </r>
  </si>
  <si>
    <t>https://replay.pokemonshowdown.com/smogtours-gen3ou-794350</t>
  </si>
  <si>
    <t>https://replay.pokemonshowdown.com/smogtours-gen3ou-794355</t>
  </si>
  <si>
    <t>https://replay.pokemonshowdown.com/smogtours-gen3ou-794346?p2</t>
  </si>
  <si>
    <t>https://replay.pokemonshowdown.com/smogtours-gen3ou-794361</t>
  </si>
  <si>
    <t>https://replay.pokemonshowdown.com/smogtours-gen3ou-794307</t>
  </si>
  <si>
    <t>https://replay.pokemonshowdown.com/smogtours-gen3ou-794388</t>
  </si>
  <si>
    <t>https://replay.pokemonshowdown.com/smogtours-gen3ou-794397</t>
  </si>
  <si>
    <t>https://replay.pokemonshowdown.com/smogtours-gen3ou-794402</t>
  </si>
  <si>
    <t>https://replay.pokemonshowdown.com/smogtours-gen3ou-794373</t>
  </si>
  <si>
    <t>https://replay.pokemonshowdown.com/smogtours-gen3ou-794394</t>
  </si>
  <si>
    <t>https://replay.pokemonshowdown.com/smogtours-gen3ou-794408</t>
  </si>
  <si>
    <t>https://replay.pokemonshowdown.com/smogtours-gen3ou-794417</t>
  </si>
  <si>
    <t>https://replay.pokemonshowdown.com/smogtours-gen3ou-794425</t>
  </si>
  <si>
    <t>https://replay.pokemonshowdown.com/smogtours-gen3ou-794462</t>
  </si>
  <si>
    <t>https://replay.pokemonshowdown.com/smogtours-gen3ou-794464</t>
  </si>
  <si>
    <t>https://replay.pokemonshowdown.com/smogtours-gen3ou-794468</t>
  </si>
  <si>
    <t>https://replay.pokemonshowdown.com/smogtours-gen3ou-794470</t>
  </si>
  <si>
    <t>https://replay.pokemonshowdown.com/smogtours-gen3ou-794280</t>
  </si>
  <si>
    <t>https://replay.pokemonshowdown.com/smogtours-gen3ou-794288</t>
  </si>
  <si>
    <t>https://replay.pokemonshowdown.com/smogtours-gen3ou-794296</t>
  </si>
  <si>
    <t>https://replay.pokemonshowdown.com/smogtours-gen3ou-794122</t>
  </si>
  <si>
    <t>https://replay.pokemonshowdown.com/smogtours-gen3ou-794126</t>
  </si>
  <si>
    <t>https://replay.pokemonshowdown.com/gen3ou-2214586816-2gqymdch165cnj1l9kbetqv8duk817kpw</t>
  </si>
  <si>
    <t>https://replay.pokemonshowdown.com/gen3ou-2214591334-t6rjtn3fzb32xiexh8nkvvtubdlf3qupw</t>
  </si>
  <si>
    <t>https://replay.pokemonshowdown.com/smogtours-gen3ou-794382</t>
  </si>
  <si>
    <t>https://replay.pokemonshowdown.com/smogtours-gen3ou-794391</t>
  </si>
  <si>
    <t>https://replay.pokemonshowdown.com/smogtours-gen3ou-794398</t>
  </si>
  <si>
    <t>https://replay.pokemonshowdown.com/smogtours-gen3ou-794484</t>
  </si>
  <si>
    <t>https://replay.pokemonshowdown.com/smogtours-gen3ou-794488</t>
  </si>
  <si>
    <t>https://replay.pokemonshowdown.com/smogtours-gen3ou-794357</t>
  </si>
  <si>
    <t>https://replay.pokemonshowdown.com/smogtours-gen3ou-794368</t>
  </si>
  <si>
    <t>https://replay.pokemonshowdown.com/smogtours-gen3ou-794098</t>
  </si>
  <si>
    <t>https://replay.pokemonshowdown.com/smogtours-gen3ou-794104</t>
  </si>
  <si>
    <t>https://replay.pokemonshowdown.com/smogtours-gen3ou-794110</t>
  </si>
  <si>
    <t>https://replay.pokemonshowdown.com/gen3ou-2215381114-2j86trcqgpim2oot2gwrf68kfffq156pw</t>
  </si>
  <si>
    <t>https://replay.pokemonshowdown.com/gen3ou-2215373921-ybgb4qxzk30tgn4m7yvqs4sqnoba5xlpw</t>
  </si>
  <si>
    <t>https://replay.pokemonshowdown.com/smogtours-gen3ou-794063</t>
  </si>
  <si>
    <t>https://replay.pokemonshowdown.com/smogtours-gen3ou-794070</t>
  </si>
  <si>
    <t>https://replay.pokemonshowdown.com/smogtours-gen3ou-794450</t>
  </si>
  <si>
    <t>https://replay.pokemonshowdown.com/smogtours-gen3ou-794454</t>
  </si>
  <si>
    <t>https://replay.pokemonshowdown.com/smogtours-gen3ou-794459</t>
  </si>
  <si>
    <t>https://replay.pokemonshowdown.com/gen3ou-2215434520?p2</t>
  </si>
  <si>
    <t>https://replay.pokemonshowdown.com/gen3ou-2215437595</t>
  </si>
  <si>
    <t>https://replay.pokemonshowdown.com/gen3ou-2215436857-iumzekl0fm3radvtodd8cm6ca48xfw4pw</t>
  </si>
  <si>
    <t>https://replay.pokemonshowdown.com/gen3ou-2215440625-vafqp7guioewz6a113brmiebmsihv8wpw</t>
  </si>
  <si>
    <t>https://replay.pokemonshowdown.com/smogtours-gen3ou-794377</t>
  </si>
  <si>
    <t>https://replay.pokemonshowdown.com/smogtours-gen3ou-794395</t>
  </si>
  <si>
    <t>https://replay.pokemonshowdown.com/smogtours-gen3ou-794403</t>
  </si>
  <si>
    <t>https://replay.pokemonshowdown.com/smogtours-gen3ou-794448</t>
  </si>
  <si>
    <t>https://replay.pokemonshowdown.com/smogtours-gen3ou-794453</t>
  </si>
  <si>
    <t>https://replay.pokemonshowdown.com/smogtours-gen3ou-794458</t>
  </si>
  <si>
    <t>https://replay.pokemonshowdown.com/smogtours-gen3ou-794482</t>
  </si>
  <si>
    <t>https://replay.pokemonshowdown.com/smogtours-gen3ou-794491</t>
  </si>
  <si>
    <t>https://replay.pokemonshowdown.com/smogtours-gen3ou-794411</t>
  </si>
  <si>
    <t>https://replay.pokemonshowdown.com/smogtours-gen3ou-794414</t>
  </si>
  <si>
    <t>https://replay.pokemonshowdown.com/smogtours-gen3ou-794514</t>
  </si>
  <si>
    <t>https://replay.pokemonshowdown.com/smogtours-gen3ou-794515</t>
  </si>
  <si>
    <r>
      <rPr>
        <rFont val="inherit"/>
        <sz val="12.0"/>
      </rPr>
      <t>https://replay.pokemonshowdown.com/gen3ou-2215818740</t>
    </r>
  </si>
  <si>
    <r>
      <rPr>
        <rFont val="inherit"/>
        <sz val="12.0"/>
        <u/>
      </rPr>
      <t>https://replay.pokemonshowdown.com/gen3ou-2215825152-fe2rsehhai0sj5y0tnld2220vktgfiipw</t>
    </r>
  </si>
  <si>
    <t>https://replay.pokemonshowdown.com/smogtours-gen3ou-794554</t>
  </si>
  <si>
    <t>https://replay.pokemonshowdown.com/smogtours-gen3ou-794557</t>
  </si>
  <si>
    <t>https://replay.pokemonshowdown.com/smogtours-gen3ou-794555</t>
  </si>
  <si>
    <t>https://replay.pokemonshowdown.com/smogtours-gen3ou-794558</t>
  </si>
  <si>
    <t>https://replay.pokemonshowdown.com/smogtours-gen3ou-794560</t>
  </si>
  <si>
    <t>https://replay.pokemonshowdown.com/smogtours-gen3ou-794336?p2</t>
  </si>
  <si>
    <t>https://replay.pokemonshowdown.com/smogtours-gen3ou-794338</t>
  </si>
  <si>
    <t>https://replay.pokemonshowdown.com/smogtours-gen3ou-794342?p2</t>
  </si>
  <si>
    <t>https://replay.pokemonshowdown.com/smogtours-gen3ou-794172</t>
  </si>
  <si>
    <t>https://replay.pokemonshowdown.com/smogtours-gen3ou-794173</t>
  </si>
  <si>
    <t>https://replay.pokemonshowdown.com/smogtours-gen3ou-794174</t>
  </si>
  <si>
    <t>https://replay.pokemonshowdown.com/smogtours-gen3ou-794465?p2</t>
  </si>
  <si>
    <t>https://replay.pokemonshowdown.com/smogtours-gen3ou-794475</t>
  </si>
  <si>
    <t>https://replay.pokemonshowdown.com/smogtours-gen3ou-794479</t>
  </si>
  <si>
    <t>https://replay.pokemonshowdown.com/smogtours-gen3ou-794393</t>
  </si>
  <si>
    <t>https://replay.pokemonshowdown.com/smogtours-gen3ou-794400</t>
  </si>
  <si>
    <t>https://replay.pokemonshowdown.com/smogtours-gen3ou-794404</t>
  </si>
  <si>
    <t>https://replay.pokemonshowdown.com/gen3ou-2214829763</t>
  </si>
  <si>
    <t>https://replay.pokemonshowdown.com/gen3ou-2214831188</t>
  </si>
  <si>
    <t>https://replay.pokemonshowdown.com/gen3ou-2214833867</t>
  </si>
  <si>
    <t>https://replay.pokemonshowdown.com/smogtours-gen3ou-794259</t>
  </si>
  <si>
    <t>https://replay.pokemonshowdown.com/smogtours-gen3ou-794262</t>
  </si>
  <si>
    <t>https://replay.pokemonshowdown.com/smogtours-gen3ou-794264</t>
  </si>
  <si>
    <t>https://replay.pokemonshowdown.com/gen3ou-2215468591</t>
  </si>
  <si>
    <t>https://replay.pokemonshowdown.com/gen3ou-2215474939</t>
  </si>
  <si>
    <t>https://replay.pokemonshowdown.com/smogtours-gen3ou-794424</t>
  </si>
  <si>
    <t>https://replay.pokemonshowdown.com/smogtours-gen3ou-794426</t>
  </si>
  <si>
    <t>https://replay.pokemonshowdown.com/smogtours-gen3ou-794534</t>
  </si>
  <si>
    <t>https://replay.pokemonshowdown.com/smogtours-gen3ou-794536</t>
  </si>
  <si>
    <t>https://replay.pokemonshowdown.com/smogtours-gen3ou-794533</t>
  </si>
  <si>
    <t>https://replay.pokemonshowdown.com/smogtours-gen3ou-794535</t>
  </si>
  <si>
    <t>https://replay.pokemonshowdown.com/smogtours-gen3ou-794537</t>
  </si>
  <si>
    <t>https://replay.pokemonshowdown.com/smogtours-gen3ou-794369</t>
  </si>
  <si>
    <t>https://replay.pokemonshowdown.com/smogtours-gen3ou-794372</t>
  </si>
  <si>
    <t>https://replay.pokemonshowdown.com/smogtours-gen3ou-794590</t>
  </si>
  <si>
    <r>
      <rPr>
        <rFont val="inherit"/>
        <sz val="12.0"/>
        <u/>
      </rPr>
      <t>https://replay.pokemonshowdown.com/smogtours-gen3ou-794596</t>
    </r>
  </si>
  <si>
    <t>https://replay.pokemonshowdown.com/smogtours-gen3ou-794583?p2</t>
  </si>
  <si>
    <r>
      <rPr>
        <rFont val="inherit"/>
        <sz val="12.0"/>
      </rPr>
      <t>https://replay.pokemonshowdown.com/smogtours-gen3ou-794589?p2</t>
    </r>
  </si>
  <si>
    <r>
      <rPr>
        <rFont val="inherit"/>
        <sz val="12.0"/>
      </rPr>
      <t>https://replay.pokemonshowdown.com/smogtours-gen3ou-794602</t>
    </r>
  </si>
  <si>
    <t>https://replay.pokemonshowdown.com/smogtours-gen3ou-794580</t>
  </si>
  <si>
    <t>https://replay.pokemonshowdown.com/smogtours-gen3ou-794585</t>
  </si>
  <si>
    <t>https://replay.pokemonshowdown.com/smogtours-gen3ou-794592</t>
  </si>
  <si>
    <t>https://replay.pokemonshowdown.com/gen3ou-2215959740</t>
  </si>
  <si>
    <t>https://replay.pokemonshowdown.com/gen3ou-2215962736</t>
  </si>
  <si>
    <t>https://replay.pokemonshowdown.com/smogtours-gen3ou-794618</t>
  </si>
  <si>
    <t>https://replay.pokemonshowdown.com/smogtours-gen3ou-794633</t>
  </si>
  <si>
    <r>
      <rPr>
        <rFont val="inherit"/>
        <sz val="12.0"/>
        <u/>
      </rPr>
      <t>https://replay.pokemonshowdown.com/smogtours-gen3ou-794696</t>
    </r>
  </si>
  <si>
    <r>
      <rPr>
        <rFont val="inherit"/>
        <sz val="12.0"/>
      </rPr>
      <t>https://replay.pokemonshowdown.com/smogtours-gen3ou-794702</t>
    </r>
  </si>
  <si>
    <r>
      <rPr>
        <rFont val="inherit"/>
        <sz val="12.0"/>
      </rPr>
      <t>https://replay.pokemonshowdown.com/smogtours-gen3ou-794709</t>
    </r>
  </si>
  <si>
    <r>
      <rPr>
        <rFont val="inherit"/>
        <sz val="12.0"/>
      </rPr>
      <t>https://replay.pokemonshowdown.com/smogtours-gen3ou-794714</t>
    </r>
  </si>
  <si>
    <t>https://replay.pokemonshowdown.com/smogtours-gen3ou-794676</t>
  </si>
  <si>
    <t>https://replay.pokemonshowdown.com/smogtours-gen3ou-794680</t>
  </si>
  <si>
    <t>https://replay.pokemonshowdown.com/smogtours-gen3ou-794597</t>
  </si>
  <si>
    <t>https://replay.pokemonshowdown.com/smogtours-gen3ou-794605?p2</t>
  </si>
  <si>
    <t>https://replay.pokemonshowdown.com/smogtours-gen3ou-794756</t>
  </si>
  <si>
    <t>https://replay.pokemonshowdown.com/smogtours-gen3ou-794758</t>
  </si>
  <si>
    <t>https://replay.pokemonshowdown.com/smogtours-gen3ou-794761</t>
  </si>
  <si>
    <t>https://replay.pokemonshowdown.com/gen3ou-2216020489?p2</t>
  </si>
  <si>
    <t>https://replay.pokemonshowdown.com/gen3ou-2216026923</t>
  </si>
  <si>
    <t>https://replay.pokemonshowdown.com/smogtours-gen3ou-794600</t>
  </si>
  <si>
    <t>https://replay.pokemonshowdown.com/smogtours-gen3ou-794604</t>
  </si>
  <si>
    <t>https://replay.pokemonshowdown.com/smogtours-gen3ou-794617</t>
  </si>
  <si>
    <t>https://replay.pokemonshowdown.com/smogtours-gen3ou-794622</t>
  </si>
  <si>
    <t>https://replay.pokemonshowdown.com/smogtours-gen3ou-794630</t>
  </si>
  <si>
    <t>https://replay.pokemonshowdown.com/smogtours-gen3ou-794244</t>
  </si>
  <si>
    <t>https://replay.pokemonshowdown.com/smogtours-gen3ou-794247</t>
  </si>
  <si>
    <t>https://replay.pokemonshowdown.com/smogtours-gen3ou-794315</t>
  </si>
  <si>
    <t>https://replay.pokemonshowdown.com/smogtours-gen3ou-794332</t>
  </si>
  <si>
    <t>https://replay.pokemonshowdown.com/smogtours-gen3ou-794339</t>
  </si>
  <si>
    <t>https://replay.pokemonshowdown.com/smogtours-gen3ou-794347</t>
  </si>
  <si>
    <t>https://replay.pokemonshowdown.com/smogtours-gen3ou-794498</t>
  </si>
  <si>
    <t>https://replay.pokemonshowdown.com/smogtours-gen3ou-794501</t>
  </si>
  <si>
    <t>https://replay.pokemonshowdown.com/smogtours-gen3ou-794286?p2</t>
  </si>
  <si>
    <t>https://replay.pokemonshowdown.com/smogtours-gen3ou-794292</t>
  </si>
  <si>
    <t>https://replay.pokemonshowdown.com/smogtours-gen3ou-794520?p2</t>
  </si>
  <si>
    <t>https://replay.pokemonshowdown.com/smogtours-gen3ou-794521</t>
  </si>
  <si>
    <t>https://replay.pokemonshowdown.com/smogtours-gen3ou-794628</t>
  </si>
  <si>
    <t>https://replay.pokemonshowdown.com/smogtours-gen3ou-794635?p2</t>
  </si>
  <si>
    <t>https://replay.pokemonshowdown.com/smogtours-gen3ou-794639</t>
  </si>
  <si>
    <t>https://replay.pokemonshowdown.com/smogtours-gen3ou-794271</t>
  </si>
  <si>
    <t>https://replay.pokemonshowdown.com/smogtours-gen3ou-794277</t>
  </si>
  <si>
    <t>https://replay.pokemonshowdown.com/gen3ou-2215133870-5oykw6sscnabj3hluf67kgcrwletihbpw</t>
  </si>
  <si>
    <t>https://replay.pokemonshowdown.com/gen3ou-2215138127-4fapx1232uawg55uhknxp4598jakvcbpw</t>
  </si>
  <si>
    <t>https://replay.pokemonshowdown.com/gen3ou-2215302968-9sgnlm5g1tz7l6cdcv5ebs3f1um71o0pw</t>
  </si>
  <si>
    <t>https://replay.pokemonshowdown.com/gen3ou-2215295236-efk0tn8opgqoqr13vig89fbhiahgqz1pw?p2</t>
  </si>
  <si>
    <t>https://replay.pokemonshowdown.com/gen3ou-2215307132-af010zixt01adfyr7kqnq7n6yiifipapw?p2</t>
  </si>
  <si>
    <t>https://replay.pokemonshowdown.com/smogtours-gen3ou-794640</t>
  </si>
  <si>
    <t>https://replay.pokemonshowdown.com/smogtours-gen3ou-794646</t>
  </si>
  <si>
    <t>https://replay.pokemonshowdown.com/smogtours-gen3ou-794649</t>
  </si>
  <si>
    <t>https://replay.pokemonshowdown.com/smogtours-gen3ou-794744</t>
  </si>
  <si>
    <t>https://replay.pokemonshowdown.com/smogtours-gen3ou-794750</t>
  </si>
  <si>
    <t>https://replay.pokemonshowdown.com/gen3ou-2216138728-or0s93qliccsnwa1a8tgha54p26iddhpw</t>
  </si>
  <si>
    <t>https://replay.pokemonshowdown.com/gen3ou-2216145981-eb3kp5bkph1jqam5f6fr6ivb1yi7tdwpw</t>
  </si>
  <si>
    <t>https://replay.pokemonshowdown.com/gen3ou-2216151657-yzpdzqyzwh77vjiu6iox36dyn129xg5pw</t>
  </si>
  <si>
    <t>https://replay.pokemonshowdown.com/smogtours-gen3ou-794483</t>
  </si>
  <si>
    <t>https://replay.pokemonshowdown.com/smogtours-gen3ou-794485</t>
  </si>
  <si>
    <t>https://replay.pokemonshowdown.com/smogtours-gen3ou-794659</t>
  </si>
  <si>
    <t>https://replay.pokemonshowdown.com/smogtours-gen3ou-794664</t>
  </si>
  <si>
    <t>https://replay.pokemonshowdown.com/smogtours-gen3ou-794671</t>
  </si>
  <si>
    <t>https://replay.pokemonshowdown.com/smogtours-gen3ou-794688</t>
  </si>
  <si>
    <t>https://replay.pokemonshowdown.com/smogtours-gen3ou-794692</t>
  </si>
  <si>
    <t>https://replay.pokemonshowdown.com/smogtours-gen3ou-794698</t>
  </si>
  <si>
    <t>https://replay.pokemonshowdown.com/smogtours-gen3ou-794306</t>
  </si>
  <si>
    <t>https://replay.pokemonshowdown.com/smogtours-gen3ou-794313</t>
  </si>
  <si>
    <t>https://replay.pokemonshowdown.com/smogtours-gen3ou-794167</t>
  </si>
  <si>
    <t>https://replay.pokemonshowdown.com/smogtours-gen3ou-794168</t>
  </si>
  <si>
    <t>https://replay.pokemonshowdown.com/smogtours-gen3ou-794169?p2</t>
  </si>
  <si>
    <t>https://replay.pokemonshowdown.com/smogtours-gen3ou-794757</t>
  </si>
  <si>
    <t>https://replay.pokemonshowdown.com/smogtours-gen3ou-794760</t>
  </si>
  <si>
    <t>https://replay.pokemonshowdown.com/smogtours-gen3ou-794763</t>
  </si>
  <si>
    <t>https://replay.pokemonshowdown.com/gen3ou-2215451430-jtfgmk1ew1d09g59x3mn3qj8geoua3kpw</t>
  </si>
  <si>
    <t>https://replay.pokemonshowdown.com/smogtours-gen3ou-794463</t>
  </si>
  <si>
    <t>https://replay.pokemonshowdown.com/smogtours-gen3ou-793842</t>
  </si>
  <si>
    <t>https://replay.pokemonshowdown.com/smogtours-gen3ou-793848</t>
  </si>
  <si>
    <t>https://replay.pokemonshowdown.com/smogtours-gen3ou-793849</t>
  </si>
  <si>
    <t>https://replay.pokemonshowdown.com/smogtours-gen3ou-794502</t>
  </si>
  <si>
    <t>https://replay.pokemonshowdown.com/smogtours-gen3ou-794503?p2</t>
  </si>
  <si>
    <t>https://replay.pokemonshowdown.com/smogtours-gen3ou-794504?p2</t>
  </si>
  <si>
    <t>https://replay.pokemonshowdown.com/smogtours-gen3ou-794220?p2</t>
  </si>
  <si>
    <t>https://replay.pokemonshowdown.com/smogtours-gen3ou-794223</t>
  </si>
  <si>
    <t>https://replay.pokemonshowdown.com/smogtours-gen3ou-794806</t>
  </si>
  <si>
    <t>https://replay.pokemonshowdown.com/smogtours-gen3ou-794814</t>
  </si>
  <si>
    <t>https://replay.pokemonshowdown.com/smogtours-gen3ou-794800</t>
  </si>
  <si>
    <t>https://replay.pokemonshowdown.com/smogtours-gen3ou-794807?p2</t>
  </si>
  <si>
    <t>https://replay.pokemonshowdown.com/smogtours-gen3ou-794811</t>
  </si>
  <si>
    <t>https://replay.pokemonshowdown.com/smogtours-gen3ou-794345</t>
  </si>
  <si>
    <t>https://replay.pokemonshowdown.com/smogtours-gen3ou-794353</t>
  </si>
  <si>
    <t>https://replay.pokemonshowdown.com/smogtours-gen3ou-794366</t>
  </si>
  <si>
    <t>https://replay.pokemonshowdown.com/smogtours-gen3ou-794539</t>
  </si>
  <si>
    <t>https://replay.pokemonshowdown.com/smogtours-gen3ou-794545</t>
  </si>
  <si>
    <t>https://replay.pokemonshowdown.com/smogtours-gen3ou-794547</t>
  </si>
  <si>
    <t>https://replay.pokemonshowdown.com/smogtours-gen3ou-793993</t>
  </si>
  <si>
    <t>https://replay.pokemonshowdown.com/smogtours-gen3ou-793996</t>
  </si>
  <si>
    <t>https://replay.pokemonshowdown.com/smogtours-gen3ou-794097</t>
  </si>
  <si>
    <t>https://replay.pokemonshowdown.com/smogtours-gen3ou-794103</t>
  </si>
  <si>
    <t>https://replay.pokemonshowdown.com/smogtours-gen3ou-794106</t>
  </si>
  <si>
    <t>https://replay.pokemonshowdown.com/smogtours-gen3ou-794471</t>
  </si>
  <si>
    <t>https://replay.pokemonshowdown.com/smogtours-gen3ou-794473</t>
  </si>
  <si>
    <t>https://replay.pokemonshowdown.com/smogtours-gen3ou-794476</t>
  </si>
  <si>
    <t>https://replay.pokemonshowdown.com/smogtours-gen3ou-794784</t>
  </si>
  <si>
    <t>https://replay.pokemonshowdown.com/smogtours-gen3ou-794789</t>
  </si>
  <si>
    <t>https://replay.pokemonshowdown.com/smogtours-gen3ou-794161</t>
  </si>
  <si>
    <t>https://replay.pokemonshowdown.com/smogtours-gen3ou-794166</t>
  </si>
  <si>
    <t>https://replay.pokemonshowdown.com/smogtours-gen3ou-794418</t>
  </si>
  <si>
    <t>https://replay.pokemonshowdown.com/smogtours-gen3ou-794422</t>
  </si>
  <si>
    <t>https://replay.pokemonshowdown.com/smogtours-gen3ou-794704</t>
  </si>
  <si>
    <t>https://replay.pokemonshowdown.com/smogtours-gen3ou-794715</t>
  </si>
  <si>
    <t>https://replay.pokemonshowdown.com/smogtours-gen3ou-794719</t>
  </si>
  <si>
    <t>https://replay.pokemonshowdown.com/smogtours-gen3ou-794378</t>
  </si>
  <si>
    <t>https://replay.pokemonshowdown.com/smogtours-gen3ou-794385</t>
  </si>
  <si>
    <t>https://replay.pokemonshowdown.com/smogtours-gen3ou-794392</t>
  </si>
  <si>
    <t>https://replay.pokemonshowdown.com/gen3ou-2214329118</t>
  </si>
  <si>
    <t>https://replay.pokemonshowdown.com/gen3ou-2214332973</t>
  </si>
  <si>
    <t>https://replay.pokemonshowdown.com/smogtours-gen3ou-794233</t>
  </si>
  <si>
    <t>https://replay.pokemonshowdown.com/smogtours-gen3ou-794235</t>
  </si>
  <si>
    <t>https://replay.pokemonshowdown.com/smogtours-gen3ou-794237</t>
  </si>
  <si>
    <t>https://replay.pokemonshowdown.com/smogtours-gen3ou-794780</t>
  </si>
  <si>
    <t>https://replay.pokemonshowdown.com/smogtours-gen3ou-794785</t>
  </si>
  <si>
    <t>https://replay.pokemonshowdown.com/smogtours-gen3ou-794788</t>
  </si>
  <si>
    <t>https://replay.pokemonshowdown.com/smogtours-gen3ou-794661</t>
  </si>
  <si>
    <t>https://replay.pokemonshowdown.com/smogtours-gen3ou-794669</t>
  </si>
  <si>
    <t>https://replay.pokemonshowdown.com/smogtours-gen3ou-794049</t>
  </si>
  <si>
    <t>https://replay.pokemonshowdown.com/smogtours-gen3ou-794057</t>
  </si>
  <si>
    <t>https://replay.pokemonshowdown.com/smogtours-gen3ou-794067</t>
  </si>
  <si>
    <t>https://replay.pokemonshowdown.com/gen3ou-2215841170</t>
  </si>
  <si>
    <t>https://replay.pokemonshowdown.com/gen3ou-2215853948</t>
  </si>
  <si>
    <t>https://replay.pokemonshowdown.com/smogtours-gen3ou-794571</t>
  </si>
  <si>
    <t>https://replay.pokemonshowdown.com/smogtours-gen3ou-794608</t>
  </si>
  <si>
    <t>https://replay.pokemonshowdown.com/smogtours-gen3ou-794612</t>
  </si>
  <si>
    <t>https://replay.pokemonshowdown.com/smogtours-gen3ou-794631</t>
  </si>
  <si>
    <t>https://replay.pokemonshowdown.com/smogtours-gen3ou-794309</t>
  </si>
  <si>
    <t>https://replay.pokemonshowdown.com/smogtours-gen3ou-794314</t>
  </si>
  <si>
    <t>https://replay.pokemonshowdown.com/smogtours-gen3ou-794318</t>
  </si>
  <si>
    <t>https://replay.pokemonshowdown.com/smogtours-gen3ou-794081</t>
  </si>
  <si>
    <t>https://replay.pokemonshowdown.com/smogtours-gen3ou-794087</t>
  </si>
  <si>
    <t>https://replay.pokemonshowdown.com/smogtours-gen3ou-793987</t>
  </si>
  <si>
    <t>https://replay.pokemonshowdown.com/smogtours-gen3ou-793991</t>
  </si>
  <si>
    <t>https://replay.pokemonshowdown.com/smogtours-gen3ou-793992</t>
  </si>
  <si>
    <t>https://replay.pokemonshowdown.com/smogtours-gen3ou-794320</t>
  </si>
  <si>
    <t>https://replay.pokemonshowdown.com/smogtours-gen3ou-794324</t>
  </si>
  <si>
    <t>https://replay.pokemonshowdown.com/smogtours-gen3ou-794330</t>
  </si>
  <si>
    <t>https://replay.pokemonshowdown.com/smogtours-gen3ou-794115</t>
  </si>
  <si>
    <t>https://replay.pokemonshowdown.com/smogtours-gen3ou-794116</t>
  </si>
  <si>
    <t>https://replay.pokemonshowdown.com/smogtours-gen3ou-794118</t>
  </si>
  <si>
    <t>https://replay.pokemonshowdown.com/smogtours-gen3ou-794119</t>
  </si>
  <si>
    <t>https://replay.pokemonshowdown.com/smogtours-gen3ou-794656</t>
  </si>
  <si>
    <t>https://replay.pokemonshowdown.com/smogtours-gen3ou-794662</t>
  </si>
  <si>
    <t>https://replay.pokemonshowdown.com/smogtours-gen3ou-794667</t>
  </si>
  <si>
    <t>https://replay.pokemonshowdown.com/smogtours-gen3ou-794848</t>
  </si>
  <si>
    <t>https://replay.pokemonshowdown.com/smogtours-gen3ou-794849</t>
  </si>
  <si>
    <t>https://replay.pokemonshowdown.com/smogtours-gen3ou-794851</t>
  </si>
  <si>
    <t>https://replay.pokemonshowdown.com/gen3ou-2216232325-k817ib39q0lxaqq6wgnd6kavw4xxlhopw</t>
  </si>
  <si>
    <r>
      <rPr>
        <rFont val="inherit"/>
        <sz val="12.0"/>
      </rPr>
      <t>https://replay.pokemonshowdown.com/gen3ou-2216237005-v63fpednrkmyi9v4y6yl0imghy85g2xpw</t>
    </r>
  </si>
  <si>
    <r>
      <rPr>
        <rFont val="inherit"/>
        <sz val="12.0"/>
      </rPr>
      <t>https://replay.pokemonshowdown.com/smogtours-gen3ou-794809</t>
    </r>
  </si>
  <si>
    <r>
      <rPr>
        <rFont val="inherit"/>
        <sz val="12.0"/>
      </rPr>
      <t>https://replay.pokemonshowdown.com/smogtours-gen3ou-794816</t>
    </r>
  </si>
  <si>
    <r>
      <rPr>
        <rFont val="inherit"/>
        <sz val="12.0"/>
      </rPr>
      <t>https://replay.pokemonshowdown.com/smogtours-gen3ou-794876</t>
    </r>
  </si>
  <si>
    <r>
      <rPr>
        <rFont val="inherit"/>
        <sz val="12.0"/>
      </rPr>
      <t>https://replay.pokemonshowdown.com/smogtours-gen3ou-794877</t>
    </r>
  </si>
  <si>
    <r>
      <rPr>
        <rFont val="inherit"/>
        <sz val="12.0"/>
      </rPr>
      <t>https://replay.pokemonshowdown.com/smogtours-gen3ou-794879</t>
    </r>
  </si>
  <si>
    <t>https://replay.pokemonshowdown.com/smogtours-gen3ou-794869</t>
  </si>
  <si>
    <t>https://replay.pokemonshowdown.com/smogtours-gen3ou-794873</t>
  </si>
  <si>
    <t>https://replay.pokemonshowdown.com/smogtours-gen3ou-794874</t>
  </si>
  <si>
    <t>https://replay.pokemonshowdown.com/gen3ou-2216537694-ypg992l83c9a2d3o2nwys1dozg1shw6pw</t>
  </si>
  <si>
    <t>https://replay.pokemonshowdown.com/gen3ou-2216542152-sukgnoooqxdi0laje23daii9l88v0ewpw</t>
  </si>
  <si>
    <t>https://replay.pokemonshowdown.com/gen3ou-2215909823-1i4i0xuotd0jljw39m4qej5u7q6z7qipw</t>
  </si>
  <si>
    <t>https://replay.pokemonshowdown.com/gen3ou-2215913880-ozfao46op5lgs9ot7ldw7gyeazv3jgepw</t>
  </si>
  <si>
    <t>https://replay.pokemonshowdown.com/gen3ou-2215918377-q1o3a5s0yr6rvc7tfo6bij6qwsle2bvpw</t>
  </si>
  <si>
    <t>https://replay.pokemonshowdown.com/smogtours-gen3ou-794584</t>
  </si>
  <si>
    <t>https://replay.pokemonshowdown.com/smogtours-gen3ou-794593</t>
  </si>
  <si>
    <t>https://replay.pokemonshowdown.com/smogtours-gen3ou-794737?p2</t>
  </si>
  <si>
    <t>https://replay.pokemonshowdown.com/smogtours-gen3ou-794745?p2</t>
  </si>
  <si>
    <t>https://replay.pokemonshowdown.com/smogtours-gen3ou-794751</t>
  </si>
  <si>
    <t>https://replay.pokemonshowdown.com/smogtours-gen3ou-794562</t>
  </si>
  <si>
    <t>https://replay.pokemonshowdown.com/smogtours-gen3ou-794565</t>
  </si>
  <si>
    <t>https://replay.pokemonshowdown.com/gen3ou-2216345356-0r4975uyvrfawuvyc8ohqznftiir14ipw?p2</t>
  </si>
  <si>
    <t>https://replay.pokemonshowdown.com/gen3ou-2216348367-8y3hglrykum5egwwjy05hvcfpthima1pw</t>
  </si>
  <si>
    <t>https://replay.pokemonshowdown.com/gen3ou-2216350182-rxhah3irvup281wbpnzzabtwfunayv6pw</t>
  </si>
  <si>
    <t>https://replay.pokemonshowdown.com/smogtours-gen3ou-794720</t>
  </si>
  <si>
    <t>https://replay.pokemonshowdown.com/smogtours-gen3ou-794730</t>
  </si>
  <si>
    <t>https://replay.pokemonshowdown.com/smogtours-gen3ou-794303</t>
  </si>
  <si>
    <t>https://replay.pokemonshowdown.com/smogtours-gen3ou-794308</t>
  </si>
  <si>
    <t>https://replay.pokemonshowdown.com/smogtours-gen3ou-794327</t>
  </si>
  <si>
    <t>https://replay.pokemonshowdown.com/smogtours-gen3ou-794685</t>
  </si>
  <si>
    <t>https://replay.pokemonshowdown.com/smogtours-gen3ou-794691</t>
  </si>
  <si>
    <t>https://replay.pokemonshowdown.com/smogtours-gen3ou-794700</t>
  </si>
  <si>
    <t>https://replay.pokemonshowdown.com/smogtours-gen3ou-794932</t>
  </si>
  <si>
    <t>https://replay.pokemonshowdown.com/smogtours-gen3ou-794923</t>
  </si>
  <si>
    <t>https://replay.pokemonshowdown.com/smogtours-gen3ou-794914</t>
  </si>
  <si>
    <t>https://replay.pokemonshowdown.com/smogtours-gen3ou-794921</t>
  </si>
  <si>
    <t>https://replay.pokemonshowdown.com/smogtours-gen3ou-794922</t>
  </si>
  <si>
    <t>https://replay.pokemonshowdown.com/smogtours-gen3ou-794933</t>
  </si>
  <si>
    <t>https://replay.pokemonshowdown.com/smogtours-gen3ou-794971</t>
  </si>
  <si>
    <t>https://replay.pokemonshowdown.com/smogtours-gen3ou-794980</t>
  </si>
  <si>
    <t>https://replay.pokemonshowdown.com/smogtours-gen3ou-794998</t>
  </si>
  <si>
    <t>https://replay.pokemonshowdown.com/smogtours-gen3ou-794860</t>
  </si>
  <si>
    <t>https://replay.pokemonshowdown.com/smogtours-gen3ou-794862</t>
  </si>
  <si>
    <t>https://replay.pokemonshowdown.com/smogtours-gen3ou-794865</t>
  </si>
  <si>
    <t>https://replay.pokemonshowdown.com/smogtours-gen3ou-795027</t>
  </si>
  <si>
    <t>https://replay.pokemonshowdown.com/smogtours-gen3ou-795030</t>
  </si>
  <si>
    <t>https://replay.pokemonshowdown.com/smogtours-gen3ou-794896</t>
  </si>
  <si>
    <t>https://replay.pokemonshowdown.com/smogtours-gen3ou-794909</t>
  </si>
  <si>
    <t>https://replay.pokemonshowdown.com/smogtours-gen3ou-794890</t>
  </si>
  <si>
    <t>https://replay.pokemonshowdown.com/smogtours-gen3ou-794907</t>
  </si>
  <si>
    <t>https://replay.pokemonshowdown.com/smogtours-gen3ou-795088</t>
  </si>
  <si>
    <t>https://replay.pokemonshowdown.com/smogtours-gen3ou-795093</t>
  </si>
  <si>
    <r>
      <rPr>
        <rFont val="inherit"/>
        <sz val="12.0"/>
        <u/>
      </rPr>
      <t>https://replay.pokemonshowdown.com/smogtours-gen3ou-794991?p2</t>
    </r>
  </si>
  <si>
    <r>
      <rPr>
        <rFont val="inherit"/>
        <sz val="12.0"/>
      </rPr>
      <t>https://replay.pokemonshowdown.com/smogtours-gen3ou-794996</t>
    </r>
  </si>
  <si>
    <r>
      <rPr>
        <rFont val="inherit"/>
        <sz val="12.0"/>
      </rPr>
      <t>https://replay.pokemonshowdown.com/smogtours-gen3ou-795001?p2</t>
    </r>
  </si>
  <si>
    <r>
      <rPr>
        <rFont val="inherit"/>
        <sz val="12.0"/>
      </rPr>
      <t>https://replay.pokemonshowdown.com/smogtours-gen3ou-795005?p2</t>
    </r>
  </si>
  <si>
    <r>
      <rPr>
        <rFont val="inherit"/>
        <sz val="12.0"/>
      </rPr>
      <t>https://replay.pokemonshowdown.com/smogtours-gen3ou-794955</t>
    </r>
  </si>
  <si>
    <r>
      <rPr>
        <rFont val="inherit"/>
        <sz val="12.0"/>
        <u/>
      </rPr>
      <t>https://replay.pokemonshowdown.com/smogtours-gen3ou-794968</t>
    </r>
  </si>
  <si>
    <r>
      <rPr>
        <rFont val="inherit"/>
        <sz val="12.0"/>
      </rPr>
      <t>https://replay.pokemonshowdown.com/smogtours-gen3ou-794974</t>
    </r>
  </si>
  <si>
    <t>https://replay.pokemonshowdown.com/smogtours-gen3ou-795114</t>
  </si>
  <si>
    <t>https://replay.pokemonshowdown.com/smogtours-gen3ou-795123</t>
  </si>
  <si>
    <t>https://replay.pokemonshowdown.com/smogtours-gen3ou-795117</t>
  </si>
  <si>
    <t>https://replay.pokemonshowdown.com/smogtours-gen3ou-795126</t>
  </si>
  <si>
    <t>https://replay.pokemonshowdown.com/smogtours-gen3ou-795104</t>
  </si>
  <si>
    <t>https://replay.pokemonshowdown.com/smogtours-gen3ou-795111</t>
  </si>
  <si>
    <t>https://replay.pokemonshowdown.com/smogtours-gen3ou-795121</t>
  </si>
  <si>
    <t>https://replay.pokemonshowdown.com/smogtours-gen3ou-794858</t>
  </si>
  <si>
    <t>https://replay.pokemonshowdown.com/smogtours-gen3ou-794861</t>
  </si>
  <si>
    <t>https://replay.pokemonshowdown.com/smogtours-gen3ou-794864</t>
  </si>
  <si>
    <t>https://replay.pokemonshowdown.com/smogtours-gen3ou-794846</t>
  </si>
  <si>
    <t>https://replay.pokemonshowdown.com/smogtours-gen3ou-794843</t>
  </si>
  <si>
    <t>https://replay.pokemonshowdown.com/smogtours-gen3ou-794970</t>
  </si>
  <si>
    <t>https://replay.pokemonshowdown.com/smogtours-gen3ou-794977</t>
  </si>
  <si>
    <t>https://replay.pokemonshowdown.com/smogtours-gen3ou-794985</t>
  </si>
  <si>
    <t>https://replay.pokemonshowdown.com/smogtours-gen3ou-794529</t>
  </si>
  <si>
    <t>https://replay.pokemonshowdown.com/smogtours-gen3ou-794530</t>
  </si>
  <si>
    <t>https://replay.pokemonshowdown.com/smogtours-gen3ou-794531</t>
  </si>
  <si>
    <t>https://replay.pokemonshowdown.com/smogtours-gen3ou-794772</t>
  </si>
  <si>
    <t>https://replay.pokemonshowdown.com/smogtours-gen3ou-794775</t>
  </si>
  <si>
    <t>https://replay.pokemonshowdown.com/smogtours-gen3ou-794827</t>
  </si>
  <si>
    <t>https://replay.pokemonshowdown.com/smogtours-gen3ou-794829</t>
  </si>
  <si>
    <t>https://replay.pokemonshowdown.com/smogtours-gen3ou-794287</t>
  </si>
  <si>
    <t>https://replay.pokemonshowdown.com/smogtours-gen3ou-794293</t>
  </si>
  <si>
    <t>https://replay.pokemonshowdown.com/smogtours-gen3ou-795148</t>
  </si>
  <si>
    <t>https://replay.pokemonshowdown.com/smogtours-gen3ou-795140</t>
  </si>
  <si>
    <t>https://replay.pokemonshowdown.com/smogtours-gen3ou-795157</t>
  </si>
  <si>
    <t>https://replay.pokemonshowdown.com/smogtours-gen3ou-794245</t>
  </si>
  <si>
    <t>https://replay.pokemonshowdown.com/smogtours-gen3ou-794266</t>
  </si>
  <si>
    <t>https://replay.pokemonshowdown.com/smogtours-gen3ou-794808</t>
  </si>
  <si>
    <t xml:space="preserve">https://replay.pokemonshowdown.com/smogtours-gen3ou-794812 </t>
  </si>
  <si>
    <t>https://replay.pokemonshowdown.com/smogtours-gen3ou-794641?p2</t>
  </si>
  <si>
    <t>https://replay.pokemonshowdown.com/smogtours-gen3ou-794645</t>
  </si>
  <si>
    <t xml:space="preserve">https://replay.pokemonshowdown.com/smogtours-gen3ou-794647 </t>
  </si>
  <si>
    <t>https://replay.pokemonshowdown.com/smogtours-gen3ou-794412</t>
  </si>
  <si>
    <t>https://replay.pokemonshowdown.com/smogtours-gen3ou-794416</t>
  </si>
  <si>
    <t xml:space="preserve">https://replay.pokemonshowdown.com/smogtours-gen3ou-794456 </t>
  </si>
  <si>
    <t>https://replay.pokemonshowdown.com/smogtours-gen3ou-794444</t>
  </si>
  <si>
    <t>https://replay.pokemonshowdown.com/smogtours-gen3ou-794254</t>
  </si>
  <si>
    <t>https://replay.pokemonshowdown.com/smogtours-gen3ou-794268</t>
  </si>
  <si>
    <t>https://replay.pokemonshowdown.com/smogtours-gen3ou-794273</t>
  </si>
  <si>
    <t>https://replay.pokemonshowdown.com/smogtours-gen3ou-795185</t>
  </si>
  <si>
    <t>https://replay.pokemonshowdown.com/smogtours-gen3ou-795192</t>
  </si>
  <si>
    <t>https://replay.pokemonshowdown.com/smogtours-gen3ou-794548</t>
  </si>
  <si>
    <t>https://replay.pokemonshowdown.com/smogtours-gen3ou-794549</t>
  </si>
  <si>
    <t>https://replay.pokemonshowdown.com/smogtours-gen3ou-794559</t>
  </si>
  <si>
    <t>https://replay.pokemonshowdown.com/smogtours-gen3ou-794563</t>
  </si>
  <si>
    <t>https://replay.pokemonshowdown.com/smogtours-gen3ou-794566</t>
  </si>
  <si>
    <t>https://replay.pokemonshowdown.com/smogtours-gen3ou-795063</t>
  </si>
  <si>
    <t>https://replay.pokemonshowdown.com/smogtours-gen3ou-795057?p2</t>
  </si>
  <si>
    <t>https://replay.pokemonshowdown.com/smogtours-gen3ou-795045</t>
  </si>
  <si>
    <t>https://replay.pokemonshowdown.com/smogtours-gen3ou-795052</t>
  </si>
  <si>
    <t>https://replay.pokemonshowdown.com/smogtours-gen3ou-795058</t>
  </si>
  <si>
    <t>https://replay.pokemonshowdown.com/smogtours-gen3ou-794443</t>
  </si>
  <si>
    <t>https://replay.pokemonshowdown.com/smogtours-gen3ou-794447</t>
  </si>
  <si>
    <t>https://replay.pokemonshowdown.com/smogtours-gen3ou-794432</t>
  </si>
  <si>
    <t>https://replay.pokemonshowdown.com/smogtours-gen3ou-794439</t>
  </si>
  <si>
    <t xml:space="preserve">https://replay.pokemonshowdown.com/smogtours-gen3ou-794795 </t>
  </si>
  <si>
    <t>https://replay.pokemonshowdown.com/smogtours-gen3ou-794798</t>
  </si>
  <si>
    <t>https://replay.pokemonshowdown.com/smogtours-gen3ou-795036</t>
  </si>
  <si>
    <t>https://replay.pokemonshowdown.com/smogtours-gen3ou-795044</t>
  </si>
  <si>
    <t>https://replay.pokemonshowdown.com/smogtours-gen3ou-795050</t>
  </si>
  <si>
    <t>https://replay.pokemonshowdown.com/smogtours-gen3ou-794434</t>
  </si>
  <si>
    <t>https://replay.pokemonshowdown.com/smogtours-gen3ou-794437</t>
  </si>
  <si>
    <t>https://replay.pokemonshowdown.com/smogtours-gen3ou-794505</t>
  </si>
  <si>
    <t>https://replay.pokemonshowdown.com/smogtours-gen3ou-794506</t>
  </si>
  <si>
    <t>https://replay.pokemonshowdown.com/smogtours-gen3ou-794507</t>
  </si>
  <si>
    <t>https://replay.pokemonshowdown.com/smogtours-gen3ou-794889</t>
  </si>
  <si>
    <t>https://replay.pokemonshowdown.com/smogtours-gen3ou-794898</t>
  </si>
  <si>
    <t>https://replay.pokemonshowdown.com/smogtours-gen3ou-795197</t>
  </si>
  <si>
    <r>
      <rPr>
        <rFont val="inherit"/>
        <sz val="12.0"/>
      </rPr>
      <t>https://replay.pokemonshowdown.com/smogtours-gen3ou-795207</t>
    </r>
  </si>
  <si>
    <r>
      <rPr>
        <rFont val="inherit"/>
        <sz val="12.0"/>
        <u/>
      </rPr>
      <t>https://replay.pokemonshowdown.com/smogtours-gen3ou-795212</t>
    </r>
  </si>
  <si>
    <t>https://replay.pokemonshowdown.com/smogtours-gen3ou-795200</t>
  </si>
  <si>
    <t>https://replay.pokemonshowdown.com/smogtours-gen3ou-795206</t>
  </si>
  <si>
    <t>https://replay.pokemonshowdown.com/smogtours-gen3ou-794281</t>
  </si>
  <si>
    <t>https://replay.pokemonshowdown.com/smogtours-gen3ou-794290</t>
  </si>
  <si>
    <t>https://replay.pokemonshowdown.com/gen3ou-2213874331</t>
  </si>
  <si>
    <t>https://replay.pokemonshowdown.com/gen3ou-2213879299</t>
  </si>
  <si>
    <t>https://replay.pokemonshowdown.com/gen3ou-2213882374</t>
  </si>
  <si>
    <t>https://replay.pokemonshowdown.com/smogtours-gen3ou-794360</t>
  </si>
  <si>
    <t>https://replay.pokemonshowdown.com/smogtours-gen3ou-794367</t>
  </si>
  <si>
    <t>https://replay.pokemonshowdown.com/smogtours-gen3ou-794239</t>
  </si>
  <si>
    <t>https://replay.pokemonshowdown.com/smogtours-gen3ou-794243</t>
  </si>
  <si>
    <t>https://replay.pokemonshowdown.com/smogtours-gen3ou-794725</t>
  </si>
  <si>
    <t>https://replay.pokemonshowdown.com/smogtours-gen3ou-794731</t>
  </si>
  <si>
    <t>https://replay.pokemonshowdown.com/smogtours-gen3ou-793897</t>
  </si>
  <si>
    <t>https://replay.pokemonshowdown.com/smogtours-gen3ou-793899</t>
  </si>
  <si>
    <t>https://replay.pokemonshowdown.com/smogtours-gen3ou-794457?p2</t>
  </si>
  <si>
    <t>https://replay.pokemonshowdown.com/smogtours-gen3ou-794460?p2</t>
  </si>
  <si>
    <t>https://replay.pokemonshowdown.com/smogtours-gen3ou-795204</t>
  </si>
  <si>
    <t>https://replay.pokemonshowdown.com/smogtours-gen3ou-795213</t>
  </si>
  <si>
    <t>https://replay.pokemonshowdown.com/smogtours-gen3ou-795216</t>
  </si>
  <si>
    <t>https://replay.pokemonshowdown.com/smogtours-gen3ou-794311</t>
  </si>
  <si>
    <t>https://replay.pokemonshowdown.com/smogtours-gen3ou-794316</t>
  </si>
  <si>
    <t>https://replay.pokemonshowdown.com/smogtours-gen3ou-794298</t>
  </si>
  <si>
    <t>https://replay.pokemonshowdown.com/smogtours-gen3ou-794301</t>
  </si>
  <si>
    <t>https://replay.pokemonshowdown.com/smogtours-gen3ou-794312</t>
  </si>
  <si>
    <t>https://replay.pokemonshowdown.com/smogtours-gen3ou-794406</t>
  </si>
  <si>
    <t>https://replay.pokemonshowdown.com/smogtours-gen3ou-794477</t>
  </si>
  <si>
    <t>https://replay.pokemonshowdown.com/smogtours-gen3ou-794478</t>
  </si>
  <si>
    <t>https://replay.pokemonshowdown.com/smogtours-gen3ou-794480</t>
  </si>
  <si>
    <t>https://replay.pokemonshowdown.com/smogtours-gen3ou-793878</t>
  </si>
  <si>
    <t>https://replay.pokemonshowdown.com/smogtours-gen3ou-793882</t>
  </si>
  <si>
    <t>http://replay.pokemonshowdown.com/smogtours-gen3ou-794774?p2</t>
  </si>
  <si>
    <t>http://replay.pokemonshowdown.com/smogtours-gen3ou-794777?p2</t>
  </si>
  <si>
    <t>http://replay.pokemonshowdown.com/smogtours-gen3ou-794778?p2</t>
  </si>
  <si>
    <t>https://replay.pokemonshowdown.com/smogtours-gen3ou-793872</t>
  </si>
  <si>
    <t>https://replay.pokemonshowdown.com/smogtours-gen3ou-793874</t>
  </si>
  <si>
    <t>https://replay.pokemonshowdown.com/smogtours-gen3ou-795224</t>
  </si>
  <si>
    <t>https://replay.pokemonshowdown.com/smogtours-gen3ou-795230?p2</t>
  </si>
  <si>
    <t>https://replay.pokemonshowdown.com/smogtours-gen3ou-795246?p2</t>
  </si>
  <si>
    <t>https://replay.pokemonshowdown.com/smogtours-gen3ou-794374?p2</t>
  </si>
  <si>
    <t>https://replay.pokemonshowdown.com/smogtours-gen3ou-794390?p2</t>
  </si>
  <si>
    <t>https://replay.pokemonshowdown.com/smogtours-gen3ou-794616</t>
  </si>
  <si>
    <t>https://replay.pokemonshowdown.com/smogtours-gen3ou-794624</t>
  </si>
  <si>
    <t>https://replay.pokemonshowdown.com/smogtours-gen3ou-794637</t>
  </si>
  <si>
    <t>https://replay.pokemonshowdown.com/smogtours-gen3ou-794002</t>
  </si>
  <si>
    <t>https://replay.pokemonshowdown.com/smogtours-gen3ou-794013</t>
  </si>
  <si>
    <t>https://replay.pokemonshowdown.com/smogtours-gen3ou-793808</t>
  </si>
  <si>
    <t>https://replay.pokemonshowdown.com/smogtours-gen3ou-793816</t>
  </si>
  <si>
    <t>https://replay.pokemonshowdown.com/smogtours-gen3ou-794329</t>
  </si>
  <si>
    <t>https://replay.pokemonshowdown.com/smogtours-gen3ou-794337</t>
  </si>
  <si>
    <t>https://replay.pokemonshowdown.com/smogtours-gen3ou-794527</t>
  </si>
  <si>
    <t>https://replay.pokemonshowdown.com/smogtours-gen3ou-794528</t>
  </si>
  <si>
    <t>https://replay.pokemonshowdown.com/smogtours-gen3ou-794490</t>
  </si>
  <si>
    <t>https://replay.pokemonshowdown.com/smogtours-gen3ou-794495</t>
  </si>
  <si>
    <t>https://replay.pokemonshowdown.com/smogtours-gen3ou-794193</t>
  </si>
  <si>
    <t>https://replay.pokemonshowdown.com/smogtours-gen3ou-794196</t>
  </si>
  <si>
    <t>https://replay.pokemonshowdown.com/smogtours-gen3ou-794200</t>
  </si>
  <si>
    <t>https://replay.pokemonshowdown.com/smogtours-gen3ou-794620</t>
  </si>
  <si>
    <t>https://replay.pokemonshowdown.com/smogtours-gen3ou-794632</t>
  </si>
  <si>
    <t>https://replay.pokemonshowdown.com/gen3ou-2214306333</t>
  </si>
  <si>
    <t>https://replay.pokemonshowdown.com/gen3ou-2214319118</t>
  </si>
  <si>
    <t>https://replay.pokemonshowdown.com/smogtours-gen3ou-793977</t>
  </si>
  <si>
    <t>https://replay.pokemonshowdown.com/smogtours-gen3ou-793980</t>
  </si>
  <si>
    <t>https://replay.pokemonshowdown.com/smogtours-gen3ou-793983</t>
  </si>
  <si>
    <t>https://replay.pokemonshowdown.com/smogtours-gen3ou-793974</t>
  </si>
  <si>
    <t>https://replay.pokemonshowdown.com/smogtours-gen3ou-793975</t>
  </si>
  <si>
    <t>https://replay.pokemonshowdown.com/smogtours-gen3ou-793976</t>
  </si>
  <si>
    <t>https://replay.pokemonshowdown.com/smogtours-gen3ou-794586</t>
  </si>
  <si>
    <t>https://replay.pokemonshowdown.com/smogtours-gen3ou-794595</t>
  </si>
  <si>
    <t>https://replay.pokemonshowdown.com/smogtours-gen3ou-795083</t>
  </si>
  <si>
    <t>https://replay.pokemonshowdown.com/smogtours-gen3ou-795072</t>
  </si>
  <si>
    <t>https://replay.pokemonshowdown.com/smogtours-gen3ou-795066</t>
  </si>
  <si>
    <t>https://replay.pokemonshowdown.com/smogtours-gen3ou-794652?p2</t>
  </si>
  <si>
    <t>https://replay.pokemonshowdown.com/smogtours-gen3ou-794668</t>
  </si>
  <si>
    <t>https://replay.pokemonshowdown.com/smogtours-gen3ou-794053</t>
  </si>
  <si>
    <t>https://replay.pokemonshowdown.com/smogtours-gen3ou-794061</t>
  </si>
  <si>
    <t>https://replay.pokemonshowdown.com/smogtours-gen3ou-795156</t>
  </si>
  <si>
    <t>https://replay.pokemonshowdown.com/smogtours-gen3ou-795167</t>
  </si>
  <si>
    <t>https://replay.pokemonshowdown.com/smogtours-gen3ou-795179</t>
  </si>
  <si>
    <t>https://replay.pokemonshowdown.com/smogtours-gen3ou-794055</t>
  </si>
  <si>
    <t>https://replay.pokemonshowdown.com/smogtours-gen3ou-794071</t>
  </si>
  <si>
    <t>https://replay.pokemonshowdown.com/smogtours-gen3ou-794077</t>
  </si>
  <si>
    <t>https://replay.pokemonshowdown.com/smogtours-gen3ou-794532</t>
  </si>
  <si>
    <t>https://replay.pokemonshowdown.com/smogtours-gen3ou-795293</t>
  </si>
  <si>
    <t>https://replay.pokemonshowdown.com/smogtours-gen3ou-795360</t>
  </si>
  <si>
    <t>https://replay.pokemonshowdown.com/smogtours-gen3ou-795365</t>
  </si>
  <si>
    <t>https://replay.pokemonshowdown.com/smogtours-gen3ou-795342</t>
  </si>
  <si>
    <t>https://replay.pokemonshowdown.com/smogtours-gen3ou-795366</t>
  </si>
  <si>
    <t>https://replay.pokemonshowdown.com/smogtours-gen3ou-795290</t>
  </si>
  <si>
    <t>https://replay.pokemonshowdown.com/smogtours-gen3ou-795303</t>
  </si>
  <si>
    <t>https://replay.pokemonshowdown.com/smogtours-gen3ou-795109</t>
  </si>
  <si>
    <t>https://replay.pokemonshowdown.com/smogtours-gen3ou-795131</t>
  </si>
  <si>
    <t>https://replay.pokemonshowdown.com/gen3ou-2216625981</t>
  </si>
  <si>
    <t>https://replay.pokemonshowdown.com/gen3ou-2216618442</t>
  </si>
  <si>
    <t>https://replay.pokemonshowdown.com/gen3ou-2216622294</t>
  </si>
  <si>
    <t>https://replay.pokemonshowdown.com/gen3ou-2216723295</t>
  </si>
  <si>
    <t>https://replay.pokemonshowdown.com/gen3ou-2216729131</t>
  </si>
  <si>
    <t>https://replay.pokemonshowdown.com/smogtours-gen3ou-795041</t>
  </si>
  <si>
    <t>https://replay.pokemonshowdown.com/smogtours-gen3ou-795055</t>
  </si>
  <si>
    <t>https://replay.pokemonshowdown.com/smogtours-gen3ou-795261</t>
  </si>
  <si>
    <t>https://replay.pokemonshowdown.com/smogtours-gen3ou-795266</t>
  </si>
  <si>
    <t>https://replay.pokemonshowdown.com/smogtours-gen3ou-795387</t>
  </si>
  <si>
    <t>https://replay.pokemonshowdown.com/smogtours-gen3ou-795389</t>
  </si>
  <si>
    <t>https://replay.pokemonshowdown.com/smogtours-gen3ou-795392</t>
  </si>
  <si>
    <t>https://replay.pokemonshowdown.com/smogtours-gen3ou-795395</t>
  </si>
  <si>
    <t>https://replay.pokemonshowdown.com/smogtours-gen3ou-795398</t>
  </si>
  <si>
    <t>https://replay.pokemonshowdown.com/smogtours-gen3ou-795415</t>
  </si>
  <si>
    <t>https://replay.pokemonshowdown.com/smogtours-gen3ou-795420</t>
  </si>
  <si>
    <t>https://replay.pokemonshowdown.com/smogtours-gen3ou-795428</t>
  </si>
  <si>
    <t>https://replay.pokemonshowdown.com/smogtours-gen3ou-794310</t>
  </si>
  <si>
    <t>https://replay.pokemonshowdown.com/smogtours-gen3ou-794319</t>
  </si>
  <si>
    <t>https://replay.pokemonshowdown.com/smogtours-gen3ou-794773</t>
  </si>
  <si>
    <t>https://replay.pokemonshowdown.com/smogtours-gen3ou-794776</t>
  </si>
  <si>
    <t>https://replay.pokemonshowdown.com/smogtours-gen3ou-794781</t>
  </si>
  <si>
    <t>http://replay.pokemonshowdown.com/smogtours-gen3ou-794421</t>
  </si>
  <si>
    <t>replay.pokemonshowdown.com/smogtours-gen3ou-794423</t>
  </si>
  <si>
    <t>http://replay.pokemonshowdown.com/smogtours-gen3ou-794427</t>
  </si>
  <si>
    <t>https://replay.pokemonshowdown.com/smogtours-gen3ou-794791</t>
  </si>
  <si>
    <t>https://replay.pokemonshowdown.com/smogtours-gen3ou-794792</t>
  </si>
  <si>
    <t>https://replay.pokemonshowdown.com/smogtours-gen3ou-794686</t>
  </si>
  <si>
    <t>https://replay.pokemonshowdown.com/smogtours-gen3ou-794705</t>
  </si>
  <si>
    <t>https://replay.pokemonshowdown.com/smogtours-gen3ou-794712</t>
  </si>
  <si>
    <t>https://replay.pokemonshowdown.com/smogtours-gen3ou-794379</t>
  </si>
  <si>
    <t>https://replay.pokemonshowdown.com/smogtours-gen3ou-794381</t>
  </si>
  <si>
    <t>https://replay.pokemonshowdown.com/gen3ou-2215915412</t>
  </si>
  <si>
    <t>https://replay.pokemonshowdown.com/gen3ou-2215926183</t>
  </si>
  <si>
    <t>https://replay.pokemonshowdown.com/smogtours-gen3ou-794727</t>
  </si>
  <si>
    <t>https://replay.pokemonshowdown.com/smogtours-gen3ou-794740</t>
  </si>
  <si>
    <t>https://replay.pokemonshowdown.com/smogtours-gen3ou-793958</t>
  </si>
  <si>
    <t>https://replay.pokemonshowdown.com/smogtours-gen3ou-793961</t>
  </si>
  <si>
    <t>https://replay.pokemonshowdown.com/smogtours-gen3ou-793964</t>
  </si>
  <si>
    <t>https://replay.pokemonshowdown.com/smogtours-gen3ou-794282</t>
  </si>
  <si>
    <t>https://replay.pokemonshowdown.com/smogtours-gen3ou-794289</t>
  </si>
  <si>
    <t>https://replay.pokemonshowdown.com/smogtours-gen3ou-794300</t>
  </si>
  <si>
    <t>https://replay.pokemonshowdown.com/gen3ou-2216219952-fvekb9ao9qcxa1xy22pvqa6rj94xs9opw</t>
  </si>
  <si>
    <t>https://replay.pokemonshowdown.com/gen3ou-2216229323-1sgeeb32p5s5du5di6faix5u04lnb4xpw</t>
  </si>
  <si>
    <t>https://replay.pokemonshowdown.com/smogtours-gen3ou-794522</t>
  </si>
  <si>
    <t>https://replay.pokemonshowdown.com/smogtours-gen3ou-794523</t>
  </si>
  <si>
    <t>https://replay.pokemonshowdown.com/smogtours-gen3ou-795364</t>
  </si>
  <si>
    <t>https://replay.pokemonshowdown.com/smogtours-gen3ou-795367</t>
  </si>
  <si>
    <t>https://replay.pokemonshowdown.com/smogtours-gen3ou-795768</t>
  </si>
  <si>
    <t>https://replay.pokemonshowdown.com/smogtours-gen3ou-795778</t>
  </si>
  <si>
    <t>https://replay.pokemonshowdown.com/smogtours-gen3ou-795796</t>
  </si>
  <si>
    <t>https://replay.pokemonshowdown.com/smogtours-gen3ou-796026</t>
  </si>
  <si>
    <t>https://replay.pokemonshowdown.com/smogtours-gen3ou-796035</t>
  </si>
  <si>
    <t>https://replay.pokemonshowdown.com/smogtours-gen3ou-795982</t>
  </si>
  <si>
    <t>https://replay.pokemonshowdown.com/smogtours-gen3ou-796004</t>
  </si>
  <si>
    <t>https://replay.pokemonshowdown.com/smogtours-gen3ou-796018</t>
  </si>
  <si>
    <t>https://replay.pokemonshowdown.com/smogtours-gen3ou-795957</t>
  </si>
  <si>
    <t>https://replay.pokemonshowdown.com/smogtours-gen3ou-795960</t>
  </si>
  <si>
    <t>https://replay.pokemonshowdown.com/smogtours-gen3ou-795958</t>
  </si>
  <si>
    <t>https://replay.pokemonshowdown.com/smogtours-gen3ou-795964</t>
  </si>
  <si>
    <t>https://replay.pokemonshowdown.com/smogtours-gen3ou-796075</t>
  </si>
  <si>
    <t>https://replay.pokemonshowdown.com/smogtours-gen3ou-796085</t>
  </si>
  <si>
    <t>https://replay.pokemonshowdown.com/smogtours-gen3ou-795493</t>
  </si>
  <si>
    <t>https://replay.pokemonshowdown.com/smogtours-gen3ou-795495</t>
  </si>
  <si>
    <t>https://replay.pokemonshowdown.com/smogtours-gen3ou-795980</t>
  </si>
  <si>
    <t>https://replay.pokemonshowdown.com/smogtours-gen3ou-795993</t>
  </si>
  <si>
    <t>https://replay.pokemonshowdown.com/gen3ou-2217280994-vxn9lbq55d31ftjm8wn4rjf2v94typzpw</t>
  </si>
  <si>
    <t>https://replay.pokemonshowdown.com/gen3ou-2217288603-ccssecubf84c8k4gt292gqisf6mttzipw</t>
  </si>
  <si>
    <t>https://replay.pokemonshowdown.com/gen3ou-2217295994-bzazen2zmx2vbwyqb6ds301nmw7d5bkpw</t>
  </si>
  <si>
    <t>https://replay.pokemonshowdown.com/smogtours-gen3ou-795892</t>
  </si>
  <si>
    <t>https://replay.pokemonshowdown.com/smogtours-gen3ou-795906</t>
  </si>
  <si>
    <t>https://replay.pokemonshowdown.com/smogtours-gen3ou-795916</t>
  </si>
  <si>
    <t>https://replay.pokemonshowdown.com/smogtours-gen3ou-795499</t>
  </si>
  <si>
    <t>https://replay.pokemonshowdown.com/smogtours-gen3ou-795509</t>
  </si>
  <si>
    <t>https://replay.pokemonshowdown.com/gen3ou-2217114662-5ld7tifg02mc4p6xp0sfu60ajtqufwxpw</t>
  </si>
  <si>
    <t>https://replay.pokemonshowdown.com/gen3ou-2217120092-eg1wtb9vxpnogkrvxwsnqlv58jmlrxapw</t>
  </si>
  <si>
    <t>https://replay.pokemonshowdown.com/smogtours-gen3ou-795941</t>
  </si>
  <si>
    <t>https://replay.pokemonshowdown.com/smogtours-gen3ou-795944</t>
  </si>
  <si>
    <t>https://replay.pokemonshowdown.com/smogtours-gen3ou-795713</t>
  </si>
  <si>
    <t>https://replay.pokemonshowdown.com/smogtours-gen3ou-795727</t>
  </si>
  <si>
    <t>https://replay.pokemonshowdown.com/smogtours-gen3ou-796093</t>
  </si>
  <si>
    <t>https://replay.pokemonshowdown.com/smogtours-gen3ou-796088</t>
  </si>
  <si>
    <t>https://replay.pokemonshowdown.com/smogtours-gen3ou-796133</t>
  </si>
  <si>
    <t>https://replay.pokemonshowdown.com/smogtours-gen3ou-796132</t>
  </si>
  <si>
    <t>https://replay.pokemonshowdown.com/smogtours-gen3ou-796244</t>
  </si>
  <si>
    <t>https://replay.pokemonshowdown.com/smogtours-gen3ou-796249</t>
  </si>
  <si>
    <t>https://replay.pokemonshowdown.com/smogtours-gen3ou-796255</t>
  </si>
  <si>
    <t>https://replay.pokemonshowdown.com/smogtours-gen3ou-796191</t>
  </si>
  <si>
    <t>https://replay.pokemonshowdown.com/smogtours-gen3ou-796194</t>
  </si>
  <si>
    <t>https://replay.pokemonshowdown.com/smogtours-gen3ou-796272</t>
  </si>
  <si>
    <t>https://replay.pokemonshowdown.com/smogtours-gen3ou-796274</t>
  </si>
  <si>
    <t>https://replay.pokemonshowdown.com/smogtours-gen3ou-796278?p2</t>
  </si>
  <si>
    <t>https://replay.pokemonshowdown.com/smogtours-gen3ou-796289</t>
  </si>
  <si>
    <t>https://replay.pokemonshowdown.com/smogtours-gen3ou-796291?p2</t>
  </si>
  <si>
    <t>https://replay.pokemonshowdown.com/smogtours-gen3ou-796242</t>
  </si>
  <si>
    <t>https://replay.pokemonshowdown.com/smogtours-gen3ou-796245</t>
  </si>
  <si>
    <t>https://replay.pokemonshowdown.com/smogtours-gen3ou-796214</t>
  </si>
  <si>
    <t>https://replay.pokemonshowdown.com/smogtours-gen3ou-796216</t>
  </si>
  <si>
    <t>https://replay.pokemonshowdown.com/smogtours-gen3ou-796220</t>
  </si>
  <si>
    <t>https://replay.pokemonshowdown.com/smogtours-gen3ou-796172</t>
  </si>
  <si>
    <t>https://replay.pokemonshowdown.com/smogtours-gen3ou-796173?p2</t>
  </si>
  <si>
    <t>https://replay.pokemonshowdown.com/smogtours-gen3ou-796280</t>
  </si>
  <si>
    <t>https://replay.pokemonshowdown.com/smogtours-gen3ou-796283</t>
  </si>
  <si>
    <r>
      <rPr>
        <rFont val="inherit"/>
        <sz val="12.0"/>
      </rPr>
      <t>https://replay.pokemonshowdown.com/smogtours-gen3ou-796259</t>
    </r>
  </si>
  <si>
    <r>
      <rPr>
        <rFont val="inherit"/>
        <sz val="12.0"/>
      </rPr>
      <t>https://replay.pokemonshowdown.com/smogtours-gen3ou-796263</t>
    </r>
  </si>
  <si>
    <r>
      <rPr>
        <rFont val="inherit"/>
        <sz val="12.0"/>
      </rPr>
      <t>https://replay.pokemonshowdown.com/smogtours-gen3ou-796276</t>
    </r>
  </si>
  <si>
    <t>https://replay.pokemonshowdown.com/smogtours-gen3ou-796342</t>
  </si>
  <si>
    <t>https://replay.pokemonshowdown.com/smogtours-gen3ou-796343</t>
  </si>
  <si>
    <t>https://replay.pokemonshowdown.com/smogtours-gen3ou-796345</t>
  </si>
  <si>
    <r>
      <rPr>
        <rFont val="inherit"/>
        <sz val="12.0"/>
        <u/>
      </rPr>
      <t>https://replay.pokemonshowdown.com/gen3ou-2217964503</t>
    </r>
  </si>
  <si>
    <r>
      <rPr>
        <rFont val="inherit"/>
        <sz val="12.0"/>
      </rPr>
      <t>https://replay.pokemonshowdown.com/gen3ou-2217968238</t>
    </r>
  </si>
  <si>
    <r>
      <rPr>
        <rFont val="inherit"/>
        <sz val="12.0"/>
      </rPr>
      <t>https://replay.pokemonshowdown.com/gen3ou-2217970980</t>
    </r>
  </si>
  <si>
    <r>
      <rPr>
        <rFont val="inherit"/>
        <sz val="12.0"/>
        <u/>
      </rPr>
      <t>https://replay.pokemonshowdown.com/smogtours-gen3ou-796264?p2</t>
    </r>
  </si>
  <si>
    <r>
      <rPr>
        <rFont val="inherit"/>
        <sz val="12.0"/>
      </rPr>
      <t>https://replay.pokemonshowdown.com/smogtours-gen3ou-796268</t>
    </r>
  </si>
  <si>
    <r>
      <rPr>
        <rFont val="inherit"/>
        <sz val="12.0"/>
      </rPr>
      <t>https://replay.pokemonshowdown.com/smogtours-gen3ou-796270</t>
    </r>
  </si>
  <si>
    <r>
      <rPr>
        <rFont val="inherit"/>
        <sz val="12.0"/>
      </rPr>
      <t>https://replay.pokemonshowdown.com/smogtours-gen3ou-796240</t>
    </r>
  </si>
  <si>
    <r>
      <rPr>
        <rFont val="inherit"/>
        <sz val="12.0"/>
      </rPr>
      <t>https://replay.pokemonshowdown.com/smogtours-gen3ou-796248</t>
    </r>
  </si>
  <si>
    <r>
      <rPr>
        <rFont val="inherit"/>
        <sz val="12.0"/>
      </rPr>
      <t>https://replay.pokemonshowdown.com/smogtours-gen3ou-796253</t>
    </r>
  </si>
  <si>
    <r>
      <rPr>
        <rFont val="inherit"/>
        <sz val="12.0"/>
      </rPr>
      <t>https://replay.pokemonshowdown.com/smogtours-gen3ou-795937</t>
    </r>
  </si>
  <si>
    <t>https://replay.pokemonshowdown.com/smogtours-gen3ou-795951?p2</t>
  </si>
  <si>
    <r>
      <rPr>
        <rFont val="inherit"/>
        <sz val="12.0"/>
      </rPr>
      <t>https://replay.pokemonshowdown.com/smogtours-gen3ou-795966</t>
    </r>
  </si>
  <si>
    <r>
      <rPr>
        <rFont val="inherit"/>
        <sz val="12.0"/>
      </rPr>
      <t>https://replay.pokemonshowdown.com/smogtours-gen3ou-796208</t>
    </r>
  </si>
  <si>
    <r>
      <rPr>
        <rFont val="inherit"/>
        <sz val="12.0"/>
        <u/>
      </rPr>
      <t>https://replay.pokemonshowdown.com/smogtours-gen3ou-796210</t>
    </r>
  </si>
  <si>
    <r>
      <rPr>
        <rFont val="inherit"/>
        <sz val="12.0"/>
        <u/>
      </rPr>
      <t>https://replay.pokemonshowdown.com/smogtours-gen3ou-796338</t>
    </r>
  </si>
  <si>
    <r>
      <rPr>
        <rFont val="inherit"/>
        <sz val="12.0"/>
        <u/>
      </rPr>
      <t>https://replay.pokemonshowdown.com/smogtours-gen3ou-796339</t>
    </r>
  </si>
  <si>
    <t>https://replay.pokemonshowdown.com/smogtours-gen3ou-796340</t>
  </si>
  <si>
    <t>https://replay.pokemonshowdown.com/smogtours-gen3ou-796341</t>
  </si>
  <si>
    <t>https://replay.pokemonshowdown.com/smogtours-gen3ou-796373</t>
  </si>
  <si>
    <t>https://replay.pokemonshowdown.com/smogtours-gen3ou-796375</t>
  </si>
  <si>
    <t>https://replay.pokemonshowdown.com/smogtours-gen3ou-796384</t>
  </si>
  <si>
    <t>https://replay.pokemonshowdown.com/smogtours-gen3ou-796399</t>
  </si>
  <si>
    <t>https://replay.pokemonshowdown.com/smogtours-gen3ou-796410</t>
  </si>
  <si>
    <t>https://replay.pokemonshowdown.com/smogtours-gen3ou-796389</t>
  </si>
  <si>
    <t>https://replay.pokemonshowdown.com/smogtours-gen3ou-796392</t>
  </si>
  <si>
    <t>https://replay.pokemonshowdown.com/smogtours-gen3ou-796398</t>
  </si>
  <si>
    <t>https://replay.pokemonshowdown.com/smogtours-gen3ou-796403</t>
  </si>
  <si>
    <t>https://replay.pokemonshowdown.com/smogtours-gen3ou-796409</t>
  </si>
  <si>
    <t>https://replay.pokemonshowdown.com/smogtours-gen3ou-796376</t>
  </si>
  <si>
    <t>https://replay.pokemonshowdown.com/smogtours-gen3ou-796378</t>
  </si>
  <si>
    <t>https://replay.pokemonshowdown.com/smogtours-gen3ou-796382</t>
  </si>
  <si>
    <t>https://replay.pokemonshowdown.com/smogtours-gen3ou-796333</t>
  </si>
  <si>
    <t>https://replay.pokemonshowdown.com/smogtours-gen3ou-796337</t>
  </si>
  <si>
    <t>https://replay.pokemonshowdown.com/smogtours-gen3ou-796351?p2</t>
  </si>
  <si>
    <t>https://replay.pokemonshowdown.com/smogtours-gen3ou-796349</t>
  </si>
  <si>
    <t>https://replay.pokemonshowdown.com/smogtours-gen3ou-796405</t>
  </si>
  <si>
    <t>https://replay.pokemonshowdown.com/smogtours-gen3ou-796402</t>
  </si>
  <si>
    <t>https://replay.pokemonshowdown.com/smogtours-gen3ou-796397</t>
  </si>
  <si>
    <r>
      <rPr>
        <rFont val="inherit"/>
        <sz val="12.0"/>
      </rPr>
      <t>https://replay.pokemonshowdown.com/smogtours-gen3ou-796380</t>
    </r>
  </si>
  <si>
    <r>
      <rPr>
        <rFont val="inherit"/>
        <sz val="12.0"/>
      </rPr>
      <t>https://replay.pokemonshowdown.com/smogtours-gen3ou-796387</t>
    </r>
  </si>
  <si>
    <t>https://replay.pokemonshowdown.com/gen3ou-2218173803</t>
  </si>
  <si>
    <t>https://replay.pokemonshowdown.com/gen3ou-2218178016</t>
  </si>
  <si>
    <t>https://replay.pokemonshowdown.com/smogtours-gen3ou-796247</t>
  </si>
  <si>
    <t>https://replay.pokemonshowdown.com/smogtours-gen3ou-796250</t>
  </si>
  <si>
    <t>https://replay.pokemonshowdown.com/smogtours-gen3ou-796251</t>
  </si>
  <si>
    <t>https://replay.pokemonshowdown.com/smogtours-gen3ou-796178</t>
  </si>
  <si>
    <t>https://replay.pokemonshowdown.com/smogtours-gen3ou-796183</t>
  </si>
  <si>
    <t>https://replay.pokemonshowdown.com/smogtours-gen3ou-795837</t>
  </si>
  <si>
    <t>https://replay.pokemonshowdown.com/smogtours-gen3ou-795851</t>
  </si>
  <si>
    <t>https://replay.pokemonshowdown.com/smogtours-gen3ou-796465</t>
  </si>
  <si>
    <t>https://replay.pokemonshowdown.com/smogtours-gen3ou-796473</t>
  </si>
  <si>
    <t>https://replay.pokemonshowdown.com/smogtours-gen3ou-796154</t>
  </si>
  <si>
    <t>https://replay.pokemonshowdown.com/smogtours-gen3ou-796157</t>
  </si>
  <si>
    <t>https://replay.pokemonshowdown.com/smogtours-gen3ou-796161</t>
  </si>
  <si>
    <t>https://replay.pokemonshowdown.com/smogtours-gen3ou-796461?p2</t>
  </si>
  <si>
    <t>https://replay.pokemonshowdown.com/smogtours-gen3ou-796464?p2</t>
  </si>
  <si>
    <t>https://replay.pokemonshowdown.com/smogtours-gen3ou-796468?p2</t>
  </si>
  <si>
    <t>https://replay.pokemonshowdown.com/smogtours-gen3ou-795591</t>
  </si>
  <si>
    <t>https://replay.pokemonshowdown.com/smogtours-gen3ou-795593</t>
  </si>
  <si>
    <t>https://replay.pokemonshowdown.com/smogtours-gen3ou-796503</t>
  </si>
  <si>
    <t>https://replay.pokemonshowdown.com/smogtours-gen3ou-796508</t>
  </si>
  <si>
    <t>https://replay.pokemonshowdown.com/smogtours-gen3ou-796442</t>
  </si>
  <si>
    <t>https://replay.pokemonshowdown.com/smogtours-gen3ou-796448</t>
  </si>
  <si>
    <t>https://replay.pokemonshowdown.com/smogtours-gen3ou-796221</t>
  </si>
  <si>
    <t>https://replay.pokemonshowdown.com/smogtours-gen3ou-796226</t>
  </si>
  <si>
    <t>https://replay.pokemonshowdown.com/smogtours-gen3ou-795683</t>
  </si>
  <si>
    <t>https://replay.pokemonshowdown.com/smogtours-gen3ou-795691</t>
  </si>
  <si>
    <t>https://replay.pokemonshowdown.com/smogtours-gen3ou-796416</t>
  </si>
  <si>
    <t>https://replay.pokemonshowdown.com/smogtours-gen3ou-796419</t>
  </si>
  <si>
    <t>https://replay.pokemonshowdown.com/smogtours-gen3ou-796423</t>
  </si>
  <si>
    <t>https://replay.pokemonshowdown.com/smogtours-gen3ou-796155</t>
  </si>
  <si>
    <t>https://replay.pokemonshowdown.com/smogtours-gen3ou-796158</t>
  </si>
  <si>
    <t>https://replay.pokemonshowdown.com/smogtours-gen3ou-796044</t>
  </si>
  <si>
    <t>https://replay.pokemonshowdown.com/smogtours-gen3ou-796048</t>
  </si>
  <si>
    <t>https://replay.pokemonshowdown.com/smogtours-gen3ou-796055</t>
  </si>
  <si>
    <t>https://replay.pokemonshowdown.com/smogtours-gen3ou-796490</t>
  </si>
  <si>
    <t>https://replay.pokemonshowdown.com/smogtours-gen3ou-796499</t>
  </si>
  <si>
    <t>https://replay.pokemonshowdown.com/smogtours-gen3ou-796421</t>
  </si>
  <si>
    <t>https://replay.pokemonshowdown.com/smogtours-gen3ou-796431</t>
  </si>
  <si>
    <t>https://replay.pokemonshowdown.com/smogtours-gen3ou-796434</t>
  </si>
  <si>
    <t>https://replay.pokemonshowdown.com/smogtours-gen3ou-796073</t>
  </si>
  <si>
    <t>https://replay.pokemonshowdown.com/smogtours-gen3ou-796078</t>
  </si>
  <si>
    <t>https://replay.pokemonshowdown.com/smogtours-gen3ou-796511</t>
  </si>
  <si>
    <t>https://replay.pokemonshowdown.com/smogtours-gen3ou-796516</t>
  </si>
  <si>
    <t>https://replay.pokemonshowdown.com/smogtours-gen3ou-796520</t>
  </si>
  <si>
    <t>https://replay.pokemonshowdown.com/smogtours-gen3ou-796547</t>
  </si>
  <si>
    <t>https://replay.pokemonshowdown.com/smogtours-gen3ou-796550</t>
  </si>
  <si>
    <t>https://replay.pokemonshowdown.com/smogtours-gen3ou-796424</t>
  </si>
  <si>
    <t>https://replay.pokemonshowdown.com/smogtours-gen3ou-796430</t>
  </si>
  <si>
    <t>https://replay.pokemonshowdown.com/smogtours-gen3ou-796433</t>
  </si>
  <si>
    <t>https://replay.pokemonshowdown.com/smogtours-gen3ou-796488</t>
  </si>
  <si>
    <t>https://replay.pokemonshowdown.com/smogtours-gen3ou-796489</t>
  </si>
  <si>
    <t>https://replay.pokemonshowdown.com/smogtours-gen3ou-796525</t>
  </si>
  <si>
    <t>https://replay.pokemonshowdown.com/smogtours-gen3ou-796527</t>
  </si>
  <si>
    <t>https://replay.pokemonshowdown.com/smogtours-gen3ou-796553</t>
  </si>
  <si>
    <t>https://replay.pokemonshowdown.com/smogtours-gen3ou-796556</t>
  </si>
  <si>
    <t>https://replay.pokemonshowdown.com/smogtours-gen3ou-796563</t>
  </si>
  <si>
    <t>https://replay.pokemonshowdown.com/smogtours-gen3ou-796505?p2</t>
  </si>
  <si>
    <r>
      <rPr>
        <rFont val="inherit"/>
        <sz val="12.0"/>
      </rPr>
      <t>https://replay.pokemonshowdown.com/smogtours-gen3ou-796507</t>
    </r>
  </si>
  <si>
    <r>
      <rPr>
        <rFont val="inherit"/>
        <sz val="12.0"/>
      </rPr>
      <t>https://replay.pokemonshowdown.com/smogtours-gen3ou-796513</t>
    </r>
  </si>
  <si>
    <r>
      <rPr>
        <rFont val="inherit"/>
        <sz val="12.0"/>
        <u/>
      </rPr>
      <t>https://replay.pokemonshowdown.com/smogtours-gen3ou-796532</t>
    </r>
  </si>
  <si>
    <r>
      <rPr>
        <rFont val="inherit"/>
        <sz val="12.0"/>
      </rPr>
      <t>https://replay.pokemonshowdown.com/smogtours-gen3ou-796535</t>
    </r>
  </si>
  <si>
    <r>
      <rPr>
        <rFont val="inherit"/>
        <sz val="12.0"/>
        <u/>
      </rPr>
      <t>https://replay.pokemonshowdown.com/smogtours-gen3ou-796601</t>
    </r>
  </si>
  <si>
    <r>
      <rPr>
        <rFont val="inherit"/>
        <sz val="12.0"/>
        <u/>
      </rPr>
      <t>https://replay.pokemonshowdown.com/smogtours-gen3ou-796602</t>
    </r>
  </si>
  <si>
    <r>
      <rPr>
        <rFont val="inherit"/>
        <sz val="12.0"/>
        <u/>
      </rPr>
      <t>https://replay.pokemonshowdown.com/smogtours-gen3ou-796603</t>
    </r>
  </si>
  <si>
    <t>https://replay.pokemonshowdown.com/smogtours-gen3ou-796302</t>
  </si>
  <si>
    <t>https://replay.pokemonshowdown.com/smogtours-gen3ou-796306</t>
  </si>
  <si>
    <t>https://replay.pokemonshowdown.com/smogtours-gen3ou-796307?p2</t>
  </si>
  <si>
    <t>https://replay.pokemonshowdown.com/smogtours-gen3ou-796615</t>
  </si>
  <si>
    <t>https://replay.pokemonshowdown.com/smogtours-gen3ou-796616</t>
  </si>
  <si>
    <t>https://replay.pokemonshowdown.com/smogtours-gen3ou-796617</t>
  </si>
  <si>
    <t>https://replay.pokemonshowdown.com/smogtours-gen3ou-796269</t>
  </si>
  <si>
    <t>https://replay.pokemonshowdown.com/smogtours-gen3ou-796271</t>
  </si>
  <si>
    <t>https://replay.pokemonshowdown.com/smogtours-gen3ou-796275</t>
  </si>
  <si>
    <t>https://replay.pokemonshowdown.com/smogtours-gen3ou-796099</t>
  </si>
  <si>
    <t>https://replay.pokemonshowdown.com/smogtours-gen3ou-796104</t>
  </si>
  <si>
    <t>https://replay.pokemonshowdown.com/smogtours-gen3ou-796528</t>
  </si>
  <si>
    <t>https://replay.pokemonshowdown.com/smogtours-gen3ou-796529</t>
  </si>
  <si>
    <t>https://replay.pokemonshowdown.com/smogtours-gen3ou-796530</t>
  </si>
  <si>
    <t>https://replay.pokemonshowdown.com/smogtours-gen3ou-796497</t>
  </si>
  <si>
    <t>https://replay.pokemonshowdown.com/smogtours-gen3ou-796501</t>
  </si>
  <si>
    <t>https://replay.pokemonshowdown.com/smogtours-gen3ou-796524</t>
  </si>
  <si>
    <t>https://replay.pokemonshowdown.com/smogtours-gen3ou-796098</t>
  </si>
  <si>
    <t>https://replay.pokemonshowdown.com/smogtours-gen3ou-796100</t>
  </si>
  <si>
    <t>https://replay.pokemonshowdown.com/smogtours-gen3ou-796106</t>
  </si>
  <si>
    <t>https://replay.pokemonshowdown.com/smogtours-gen3ou-796201</t>
  </si>
  <si>
    <t>https://replay.pokemonshowdown.com/smogtours-gen3ou-796207</t>
  </si>
  <si>
    <t>https://replay.pokemonshowdown.com/smogtours-gen3ou-796212</t>
  </si>
  <si>
    <t>https://replay.pokemonshowdown.com/smogtours-gen3ou-796444</t>
  </si>
  <si>
    <t>https://replay.pokemonshowdown.com/smogtours-gen3ou-796455</t>
  </si>
  <si>
    <t>https://replay.pokemonshowdown.com/smogtours-gen3ou-796315</t>
  </si>
  <si>
    <t>https://replay.pokemonshowdown.com/smogtours-gen3ou-796316</t>
  </si>
  <si>
    <t>https://replay.pokemonshowdown.com/smogtours-gen3ou-796318</t>
  </si>
  <si>
    <t>https://replay.pokemonshowdown.com/smogtours-gen3ou-796533</t>
  </si>
  <si>
    <t>https://replay.pokemonshowdown.com/smogtours-gen3ou-796534</t>
  </si>
  <si>
    <t>https://replay.pokemonshowdown.com/smogtours-gen3ou-795633</t>
  </si>
  <si>
    <t>https://replay.pokemonshowdown.com/smogtours-gen3ou-795658</t>
  </si>
  <si>
    <t>https://replay.pokemonshowdown.com/smogtours-gen3ou-795682</t>
  </si>
  <si>
    <t>https://replay.pokemonshowdown.com/smogtours-gen3ou-796235</t>
  </si>
  <si>
    <t>https://replay.pokemonshowdown.com/smogtours-gen3ou-796236</t>
  </si>
  <si>
    <t>https://replay.pokemonshowdown.com/smogtours-gen3ou-796239</t>
  </si>
  <si>
    <t>https://replay.pokemonshowdown.com/smogtours-gen3ou-796585</t>
  </si>
  <si>
    <t>https://replay.pokemonshowdown.com/smogtours-gen3ou-796587</t>
  </si>
  <si>
    <t>https://replay.pokemonshowdown.com/smogtours-gen3ou-795984</t>
  </si>
  <si>
    <t>https://replay.pokemonshowdown.com/smogtours-gen3ou-796000</t>
  </si>
  <si>
    <t>https://replay.pokemonshowdown.com/smogtours-gen3ou-796010</t>
  </si>
  <si>
    <t>https://replay.pokemonshowdown.com/gen3ou-2218823257-5pszl6phb859b4robine2ab667pqvg8pw</t>
  </si>
  <si>
    <t>https://replay.pokemonshowdown.com/smogtours-gen3ou-796500</t>
  </si>
  <si>
    <t>https://replay.pokemonshowdown.com/smogtours-gen3ou-796678</t>
  </si>
  <si>
    <t>https://replay.pokemonshowdown.com/smogtours-gen3ou-796680</t>
  </si>
  <si>
    <t>https://replay.pokemonshowdown.com/smogtours-gen3ou-796748</t>
  </si>
  <si>
    <t>https://replay.pokemonshowdown.com/smogtours-gen3ou-796751</t>
  </si>
  <si>
    <t>https://replay.pokemonshowdown.com/smogtours-gen3ou-796752</t>
  </si>
  <si>
    <t>https://replay.pokemonshowdown.com/smogtours-gen3ou-796798</t>
  </si>
  <si>
    <t>https://replay.pokemonshowdown.com/smogtours-gen3ou-796801?p2</t>
  </si>
  <si>
    <t>https://replay.pokemonshowdown.com/smogtours-gen3ou-796807</t>
  </si>
  <si>
    <t>https://replay.pokemonshowdown.com/smogtours-gen3ou-796707</t>
  </si>
  <si>
    <t>https://replay.pokemonshowdown.com/smogtours-gen3ou-796709</t>
  </si>
  <si>
    <t>https://replay.pokemonshowdown.com/smogtours-gen3ou-796635</t>
  </si>
  <si>
    <t>https://replay.pokemonshowdown.com/smogtours-gen3ou-796636</t>
  </si>
  <si>
    <t>https://replay.pokemonshowdown.com/smogtours-gen3ou-796653</t>
  </si>
  <si>
    <t>https://replay.pokemonshowdown.com/smogtours-gen3ou-796659?p2</t>
  </si>
  <si>
    <t>https://replay.pokemonshowdown.com/smogtours-gen3ou-796803</t>
  </si>
  <si>
    <t>https://replay.pokemonshowdown.com/smogtours-gen3ou-796805</t>
  </si>
  <si>
    <t>https://replay.pokemonshowdown.com/smogtours-gen3ou-796731</t>
  </si>
  <si>
    <t>https://replay.pokemonshowdown.com/smogtours-gen3ou-796735</t>
  </si>
  <si>
    <t>https://replay.pokemonshowdown.com/smogtours-gen3ou-796743</t>
  </si>
  <si>
    <t>https://replay.pokemonshowdown.com/smogtours-gen3ou-796706?p2</t>
  </si>
  <si>
    <t>https://replay.pokemonshowdown.com/smogtours-gen3ou-796710</t>
  </si>
  <si>
    <t>https://replay.pokemonshowdown.com/smogtours-gen3ou-796714</t>
  </si>
  <si>
    <t>https://replay.pokemonshowdown.com/smogtours-gen3ou-796595</t>
  </si>
  <si>
    <t>https://replay.pokemonshowdown.com/smogtours-gen3ou-796597</t>
  </si>
  <si>
    <t>https://replay.pokemonshowdown.com/smogtours-gen3ou-796599</t>
  </si>
  <si>
    <t>https://replay.pokemonshowdown.com/smogtours-gen3ou-796861</t>
  </si>
  <si>
    <t>https://replay.pokemonshowdown.com/smogtours-gen3ou-796862</t>
  </si>
  <si>
    <t>https://replay.pokemonshowdown.com/gen3ou-2219735945-12n92sc2f4wz9vjyml3bt9qtxtos495pw</t>
  </si>
  <si>
    <t>https://replay.pokemonshowdown.com/gen3ou-2219737659-03l9xftbgt7144cke8rfm58zn5cmd1ipw</t>
  </si>
  <si>
    <t>https://replay.pokemonshowdown.com/gen3ou-2217993160?p2</t>
  </si>
  <si>
    <t>https://replay.pokemonshowdown.com/gen3ou-2217996409</t>
  </si>
  <si>
    <t>https://replay.pokemonshowdown.com/gen3ou-2217999874</t>
  </si>
  <si>
    <t xml:space="preserve">https://replay.pokemonshowdown.com/smogtours-gen3ou-796576 </t>
  </si>
  <si>
    <t>https://replay.pokemonshowdown.com/smogtours-gen3ou-796578</t>
  </si>
  <si>
    <t>https://replay.pokemonshowdown.com/smogtours-gen3ou-796621</t>
  </si>
  <si>
    <t>https://replay.pokemonshowdown.com/smogtours-gen3ou-796623</t>
  </si>
  <si>
    <t>https://replay.pokemonshowdown.com/smogtours-gen3ou-796625</t>
  </si>
  <si>
    <t>https://replay.pokemonshowdown.com/smogtours-gen3ou-796299</t>
  </si>
  <si>
    <t>https://replay.pokemonshowdown.com/smogtours-gen3ou-796303</t>
  </si>
  <si>
    <t>https://replay.pokemonshowdown.com/smogtours-gen3ou-796819</t>
  </si>
  <si>
    <t>https://replay.pokemonshowdown.com/smogtours-gen3ou-796830</t>
  </si>
  <si>
    <t>https://replay.pokemonshowdown.com/smogtours-gen3ou-796804</t>
  </si>
  <si>
    <t>https://replay.pokemonshowdown.com/smogtours-gen3ou-796808</t>
  </si>
  <si>
    <t>https://replay.pokemonshowdown.com/smogtours-gen3ou-796425</t>
  </si>
  <si>
    <t>https://replay.pokemonshowdown.com/smogtours-gen3ou-796427</t>
  </si>
  <si>
    <t>https://replay.pokemonshowdown.com/smogtours-gen3ou-796429</t>
  </si>
  <si>
    <t>https://replay.pokemonshowdown.com/smogtours-gen3ou-796848</t>
  </si>
  <si>
    <t>https://replay.pokemonshowdown.com/smogtours-gen3ou-796857</t>
  </si>
  <si>
    <t>https://replay.pokemonshowdown.com/smogtours-gen3ou-796859</t>
  </si>
  <si>
    <t>https://replay.pokemonshowdown.com/smogtours-gen3ou-796811</t>
  </si>
  <si>
    <t>https://replay.pokemonshowdown.com/smogtours-gen3ou-796816</t>
  </si>
  <si>
    <t>https://replay.pokemonshowdown.com/smogtours-gen3ou-796509?p2</t>
  </si>
  <si>
    <t>https://replay.pokemonshowdown.com/smogtours-gen3ou-796512</t>
  </si>
  <si>
    <t>https://replay.pokemonshowdown.com/smogtours-gen3ou-796596</t>
  </si>
  <si>
    <t>https://replay.pokemonshowdown.com/smogtours-gen3ou-796598</t>
  </si>
  <si>
    <t>https://replay.pokemonshowdown.com/smogtours-gen3ou-796600</t>
  </si>
  <si>
    <t>https://replay.pokemonshowdown.com/smogtours-gen3ou-796168</t>
  </si>
  <si>
    <t>https://replay.pokemonshowdown.com/smogtours-gen3ou-796170</t>
  </si>
  <si>
    <t>https://replay.pokemonshowdown.com/smogtours-gen3ou-796441</t>
  </si>
  <si>
    <t>https://replay.pokemonshowdown.com/smogtours-gen3ou-796450</t>
  </si>
  <si>
    <t xml:space="preserve">https://replay.pokemonshowdown.com/smogtours-gen3ou-796865 </t>
  </si>
  <si>
    <t>https://replay.pokemonshowdown.com/smogtours-gen3ou-796866</t>
  </si>
  <si>
    <t>https://replay.pokemonshowdown.com/smogtours-gen3ou-796868</t>
  </si>
  <si>
    <t>https://replay.pokemonshowdown.com/smogtours-gen3ou-796871</t>
  </si>
  <si>
    <t>https://replay.pokemonshowdown.com/smogtours-gen3ou-796196</t>
  </si>
  <si>
    <t>https://replay.pokemonshowdown.com/smogtours-gen3ou-796200</t>
  </si>
  <si>
    <t>https://replay.pokemonshowdown.com/smogtours-gen3ou-796637</t>
  </si>
  <si>
    <t>https://replay.pokemonshowdown.com/smogtours-gen3ou-796647</t>
  </si>
  <si>
    <t>https://replay.pokemonshowdown.com/smogtours-gen3ou-796541</t>
  </si>
  <si>
    <t>https://replay.pokemonshowdown.com/smogtours-gen3ou-796544</t>
  </si>
  <si>
    <t>https://replay.pokemonshowdown.com/smogtours-gen3ou-796545</t>
  </si>
  <si>
    <t xml:space="preserve">https://replay.pokemonshowdown.com/smogtours-gen3ou-796699?p2 </t>
  </si>
  <si>
    <t>https://replay.pokemonshowdown.com/smogtours-gen3ou-796704</t>
  </si>
  <si>
    <t>https://replay.pokemonshowdown.com/smogtours-gen3ou-796771?p2</t>
  </si>
  <si>
    <t>https://replay.pokemonshowdown.com/smogtours-gen3ou-796778</t>
  </si>
  <si>
    <t>https://replay.pokemonshowdown.com/smogtours-gen3ou-796774</t>
  </si>
  <si>
    <r>
      <rPr>
        <color rgb="FF1155CC"/>
        <u/>
      </rPr>
      <t>https://replay.pokemonshowdown.com/smogtours-gen3ou-796560</t>
    </r>
  </si>
  <si>
    <t>https://replay.pokemonshowdown.com/smogtours-gen3ou-796567</t>
  </si>
  <si>
    <t xml:space="preserve">https://replay.pokemonshowdown.com/smogtours-gen3ou-796569 </t>
  </si>
  <si>
    <r>
      <rPr>
        <rFont val="inherit"/>
        <sz val="12.0"/>
      </rPr>
      <t>http://replay.pokemonshowdown.com/smogtours-gen3ou-796880</t>
    </r>
  </si>
  <si>
    <r>
      <rPr>
        <rFont val="inherit"/>
        <sz val="12.0"/>
      </rPr>
      <t>https://replay.pokemonshowdown.com/smogtours-gen3ou-796884</t>
    </r>
  </si>
  <si>
    <t>https://replay.pokemonshowdown.com/smogtours-gen3ou-796780</t>
  </si>
  <si>
    <r>
      <rPr>
        <rFont val="inherit"/>
        <sz val="12.0"/>
      </rPr>
      <t>https://replay.pokemonshowdown.com/smogtours-gen3ou-796782</t>
    </r>
  </si>
  <si>
    <r>
      <rPr>
        <rFont val="inherit"/>
        <sz val="12.0"/>
      </rPr>
      <t>https://replay.pokemonshowdown.com/smogtours-gen3ou-796787</t>
    </r>
  </si>
  <si>
    <r>
      <rPr>
        <rFont val="inherit"/>
        <sz val="12.0"/>
        <u/>
      </rPr>
      <t>https://replay.pokemonshowdown.com/smogtours-gen3ou-796762</t>
    </r>
  </si>
  <si>
    <r>
      <rPr>
        <rFont val="inherit"/>
        <sz val="12.0"/>
      </rPr>
      <t>https://replay.pokemonshowdown.com/smogtours-gen3ou-796764</t>
    </r>
  </si>
  <si>
    <r>
      <rPr>
        <rFont val="inherit"/>
        <sz val="12.0"/>
        <u/>
      </rPr>
      <t>https://replay.pokemonshowdown.com/smogtours-gen3ou-796519</t>
    </r>
  </si>
  <si>
    <r>
      <rPr>
        <rFont val="inherit"/>
        <sz val="12.0"/>
      </rPr>
      <t>https://replay.pokemonshowdown.com/smogtours-gen3ou-796522</t>
    </r>
  </si>
  <si>
    <r>
      <rPr>
        <rFont val="inherit"/>
        <sz val="12.0"/>
      </rPr>
      <t>https://replay.pokemonshowdown.com/smogtours-gen3ou-796712</t>
    </r>
  </si>
  <si>
    <r>
      <rPr>
        <rFont val="inherit"/>
        <sz val="12.0"/>
      </rPr>
      <t>https://replay.pokemonshowdown.com/smogtours-gen3ou-796716</t>
    </r>
  </si>
  <si>
    <r>
      <rPr>
        <rFont val="inherit"/>
        <sz val="12.0"/>
      </rPr>
      <t>https://replay.pokemonshowdown.com/smogtours-gen3ou-796716</t>
    </r>
  </si>
  <si>
    <r>
      <rPr>
        <rFont val="inherit"/>
        <sz val="12.0"/>
      </rPr>
      <t>https://replay.pokemonshowdown.com/smogtours-gen3ou-796648</t>
    </r>
  </si>
  <si>
    <r>
      <rPr>
        <rFont val="inherit"/>
        <sz val="12.0"/>
      </rPr>
      <t>https://replay.pokemonshowdown.com/smogtours-gen3ou-796651</t>
    </r>
  </si>
  <si>
    <r>
      <rPr>
        <rFont val="inherit"/>
        <sz val="12.0"/>
      </rPr>
      <t>https://replay.pokemonshowdown.com/smogtours-gen3ou-796733</t>
    </r>
  </si>
  <si>
    <r>
      <rPr>
        <rFont val="inherit"/>
        <sz val="12.0"/>
      </rPr>
      <t>https://replay.pokemonshowdown.com/smogtours-gen3ou-796740</t>
    </r>
  </si>
  <si>
    <r>
      <rPr>
        <rFont val="inherit"/>
        <sz val="12.0"/>
      </rPr>
      <t>https://replay.pokemonshowdown.com/smogtours-gen3ou-796744</t>
    </r>
  </si>
  <si>
    <r>
      <rPr>
        <rFont val="inherit"/>
        <sz val="12.0"/>
      </rPr>
      <t>https://replay.pokemonshowdown.com/smogtours-gen3ou-796515</t>
    </r>
  </si>
  <si>
    <r>
      <rPr>
        <rFont val="inherit"/>
        <sz val="12.0"/>
      </rPr>
      <t>https://replay.pokemonshowdown.com/smogtours-gen3ou-796518</t>
    </r>
  </si>
  <si>
    <r>
      <rPr>
        <rFont val="inherit"/>
        <sz val="12.0"/>
      </rPr>
      <t>https://replay.pokemonshowdown.com/smogtours-gen3ou-796523</t>
    </r>
  </si>
  <si>
    <r>
      <rPr>
        <rFont val="inherit"/>
        <sz val="12.0"/>
      </rPr>
      <t>https://replay.pokemonshowdown.com/smogtours-gen3ou-796835</t>
    </r>
  </si>
  <si>
    <t>https://replay.pokemonshowdown.com/smogtours-gen3ou-796836</t>
  </si>
  <si>
    <r>
      <rPr>
        <rFont val="inherit"/>
        <sz val="12.0"/>
      </rPr>
      <t>https://replay.pokemonshowdown.com/smogtours-gen3ou-796838</t>
    </r>
  </si>
  <si>
    <r>
      <rPr>
        <rFont val="inherit"/>
        <sz val="12.0"/>
        <u/>
      </rPr>
      <t>https://replay.pokemonshowdown.com/smogtours-gen3ou-796736</t>
    </r>
  </si>
  <si>
    <r>
      <rPr>
        <rFont val="inherit"/>
        <sz val="12.0"/>
      </rPr>
      <t>https://replay.pokemonshowdown.com/smogtours-gen3ou-796753</t>
    </r>
  </si>
  <si>
    <r>
      <rPr>
        <rFont val="inherit"/>
        <sz val="12.0"/>
      </rPr>
      <t>https://replay.pokemonshowdown.com/smogtours-gen3ou-796832</t>
    </r>
  </si>
  <si>
    <r>
      <rPr>
        <rFont val="inherit"/>
        <sz val="12.0"/>
        <u/>
      </rPr>
      <t>https://replay.pokemonshowdown.com/smogtours-gen3ou-796834</t>
    </r>
  </si>
  <si>
    <r>
      <rPr>
        <rFont val="inherit"/>
        <sz val="12.0"/>
        <u/>
      </rPr>
      <t>https://replay.pokemonshowdown.com/smogtours-gen3ou-796813</t>
    </r>
  </si>
  <si>
    <r>
      <rPr>
        <rFont val="inherit"/>
        <sz val="12.0"/>
      </rPr>
      <t>https://replay.pokemonshowdown.com/smogtours-gen3ou-796817?p2</t>
    </r>
  </si>
  <si>
    <r>
      <rPr>
        <rFont val="inherit"/>
        <sz val="12.0"/>
      </rPr>
      <t>https://replay.pokemonshowdown.com/smogtours-gen3ou-796823</t>
    </r>
  </si>
  <si>
    <t>https://replay.pokemonshowdown.com/smogtours-gen3ou-796609</t>
  </si>
  <si>
    <t>https://replay.pokemonshowdown.com/smogtours-gen3ou-796611</t>
  </si>
  <si>
    <t>https://replay.pokemonshowdown.com/smogtours-gen3ou-796613</t>
  </si>
  <si>
    <t>https://replay.pokemonshowdown.com/smogtours-gen3ou-796591</t>
  </si>
  <si>
    <t>https://replay.pokemonshowdown.com/smogtours-gen3ou-796593</t>
  </si>
  <si>
    <t>https://replay.pokemonshowdown.com/smogtours-gen3ou-796594</t>
  </si>
  <si>
    <t>https://replay.pokemonshowdown.com/smogtours-gen3ou-796467</t>
  </si>
  <si>
    <t>https://replay.pokemonshowdown.com/smogtours-gen3ou-796472</t>
  </si>
  <si>
    <t>https://replay.pokemonshowdown.com/smogtours-gen3ou-796779</t>
  </si>
  <si>
    <t>https://replay.pokemonshowdown.com/smogtours-gen3ou-796783</t>
  </si>
  <si>
    <t>https://replay.pokemonshowdown.com/smogtours-gen3ou-796792</t>
  </si>
  <si>
    <t>https://replay.pokemonshowdown.com/smogtours-gen3ou-796758</t>
  </si>
  <si>
    <t>https://replay.pokemonshowdown.com/smogtours-gen3ou-796763</t>
  </si>
  <si>
    <t>https://replay.pokemonshowdown.com/smogtours-gen3ou-796845?p2</t>
  </si>
  <si>
    <t>https://replay.pokemonshowdown.com/smogtours-gen3ou-796850</t>
  </si>
  <si>
    <t>https://replay.pokemonshowdown.com/smogtours-gen3ou-796853?p2</t>
  </si>
  <si>
    <t>https://replay.pokemonshowdown.com/smogtours-gen3ou-796687</t>
  </si>
  <si>
    <t>https://replay.pokemonshowdown.com/smogtours-gen3ou-796694</t>
  </si>
  <si>
    <t>https://replay.pokemonshowdown.com/smogtours-gen3ou-796696</t>
  </si>
  <si>
    <t>https://replay.pokemonshowdown.com/smogtours-gen3ou-796664</t>
  </si>
  <si>
    <t>https://replay.pokemonshowdown.com/smogtours-gen3ou-796673</t>
  </si>
  <si>
    <t>https://replay.pokemonshowdown.com/smogtours-gen3ou-796618</t>
  </si>
  <si>
    <t>https://replay.pokemonshowdown.com/smogtours-gen3ou-796620</t>
  </si>
  <si>
    <t>https://replay.pokemonshowdown.com/smogtours-gen3ou-796769</t>
  </si>
  <si>
    <t>https://replay.pokemonshowdown.com/smogtours-gen3ou-796773</t>
  </si>
  <si>
    <t>https://replay.pokemonshowdown.com/smogtours-gen3ou-796946</t>
  </si>
  <si>
    <t>https://replay.pokemonshowdown.com/smogtours-gen3ou-796954?p2</t>
  </si>
  <si>
    <t>https://replay.pokemonshowdown.com/smogtours-gen3ou-796919</t>
  </si>
  <si>
    <t>https://replay.pokemonshowdown.com/smogtours-gen3ou-796924?p2</t>
  </si>
  <si>
    <t>https://replay.pokemonshowdown.com/smogtours-gen3ou-796933?p2</t>
  </si>
  <si>
    <t>https://replay.pokemonshowdown.com/smogtours-gen3ou-796640</t>
  </si>
  <si>
    <t>https://replay.pokemonshowdown.com/smogtours-gen3ou-796644</t>
  </si>
  <si>
    <r>
      <rPr>
        <rFont val="inherit"/>
        <sz val="12.0"/>
      </rPr>
      <t>https://replay.pokemonshowdown.com/smogtours-gen3ou-796474</t>
    </r>
  </si>
  <si>
    <r>
      <rPr>
        <rFont val="inherit"/>
        <sz val="12.0"/>
      </rPr>
      <t>https://replay.pokemonshowdown.com/smogtours-gen3ou-796482</t>
    </r>
  </si>
  <si>
    <r>
      <rPr>
        <rFont val="inherit"/>
        <sz val="12.0"/>
      </rPr>
      <t>https://replay.pokemonshowdown.com/smogtours-gen3ou-796827</t>
    </r>
  </si>
  <si>
    <r>
      <rPr>
        <rFont val="inherit"/>
        <sz val="12.0"/>
      </rPr>
      <t>https://replay.pokemonshowdown.com/smogtours-gen3ou-796831</t>
    </r>
  </si>
  <si>
    <r>
      <rPr>
        <rFont val="inherit"/>
        <sz val="12.0"/>
      </rPr>
      <t>https://replay.pokemonshowdown.com/smogtours-gen3ou-796833</t>
    </r>
  </si>
  <si>
    <r>
      <rPr>
        <rFont val="inherit"/>
        <sz val="12.0"/>
      </rPr>
      <t>https://replay.pokemonshowdown.com/smogtours-gen3ou-796463?p2</t>
    </r>
  </si>
  <si>
    <r>
      <rPr>
        <rFont val="inherit"/>
        <sz val="12.0"/>
      </rPr>
      <t>https://replay.pokemonshowdown.com/smogtours-gen3ou-796469</t>
    </r>
  </si>
  <si>
    <r>
      <rPr>
        <rFont val="inherit"/>
        <sz val="12.0"/>
      </rPr>
      <t>https://replay.pokemonshowdown.com/smogtours-gen3ou-796374</t>
    </r>
  </si>
  <si>
    <r>
      <rPr>
        <rFont val="inherit"/>
        <sz val="12.0"/>
      </rPr>
      <t>https://replay.pokemonshowdown.com/smogtours-gen3ou-796390</t>
    </r>
  </si>
  <si>
    <t>https://replay.pokemonshowdown.com/smogtours-gen3ou-796729</t>
  </si>
  <si>
    <t>https://replay.pokemonshowdown.com/smogtours-gen3ou-796738</t>
  </si>
  <si>
    <t>https://replay.pokemonshowdown.com/smogtours-gen3ou-796684</t>
  </si>
  <si>
    <t>https://replay.pokemonshowdown.com/smogtours-gen3ou-796691</t>
  </si>
  <si>
    <t>https://replay.pokemonshowdown.com/smogtours-gen3ou-796700</t>
  </si>
  <si>
    <r>
      <rPr>
        <rFont val="inherit"/>
        <sz val="12.0"/>
      </rPr>
      <t>https://replay.pokemonshowdown.com/smogtours-gen3ou-796604</t>
    </r>
  </si>
  <si>
    <r>
      <rPr>
        <rFont val="inherit"/>
        <sz val="12.0"/>
      </rPr>
      <t>https://replay.pokemonshowdown.com/smogtours-gen3ou-796606</t>
    </r>
  </si>
  <si>
    <t>https://replay.pokemonshowdown.com/smogtours-gen3ou-796195</t>
  </si>
  <si>
    <r>
      <rPr>
        <rFont val="inherit"/>
        <sz val="12.0"/>
      </rPr>
      <t>https://replay.pokemonshowdown.com/smogtours-gen3ou-796199</t>
    </r>
  </si>
  <si>
    <r>
      <rPr>
        <rFont val="inherit"/>
        <sz val="12.0"/>
      </rPr>
      <t>https://replay.pokemonshowdown.com/smogtours-gen3ou-796206</t>
    </r>
  </si>
  <si>
    <r>
      <rPr>
        <rFont val="inherit"/>
        <sz val="12.0"/>
      </rPr>
      <t>https://replay.pokemonshowdown.com/smogtours-gen3ou-796844</t>
    </r>
  </si>
  <si>
    <r>
      <rPr>
        <rFont val="inherit"/>
        <sz val="12.0"/>
      </rPr>
      <t>https://replay.pokemonshowdown.com/smogtours-gen3ou-796849</t>
    </r>
  </si>
  <si>
    <t>https://replay.pokemonshowdown.com/smogtours-gen3ou-796824</t>
  </si>
  <si>
    <t>https://replay.pokemonshowdown.com/smogtours-gen3ou-796826</t>
  </si>
  <si>
    <t>https://replay.pokemonshowdown.com/smogtours-gen3ou-796829</t>
  </si>
  <si>
    <t>https://replay.pokemonshowdown.com/smogtours-gen3ou-796970</t>
  </si>
  <si>
    <t>https://replay.pokemonshowdown.com/smogtours-gen3ou-796975?p2</t>
  </si>
  <si>
    <r>
      <rPr>
        <rFont val="inherit"/>
        <sz val="12.0"/>
      </rPr>
      <t>https://replay.pokemonshowdown.com/smogtours-gen3ou-796169</t>
    </r>
  </si>
  <si>
    <r>
      <rPr>
        <rFont val="inherit"/>
        <sz val="12.0"/>
      </rPr>
      <t>https://replay.pokemonshowdown.com/smogtours-gen3ou-796951</t>
    </r>
  </si>
  <si>
    <r>
      <rPr>
        <rFont val="inherit"/>
        <sz val="12.0"/>
      </rPr>
      <t>https://replay.pokemonshowdown.com/smogtours-gen3ou-796958</t>
    </r>
  </si>
  <si>
    <r>
      <rPr>
        <rFont val="inherit"/>
        <sz val="12.0"/>
      </rPr>
      <t>https://replay.pokemonshowdown.com/smogtours-gen3ou-796945</t>
    </r>
  </si>
  <si>
    <r>
      <rPr>
        <rFont val="inherit"/>
        <sz val="12.0"/>
      </rPr>
      <t>https://replay.pokemonshowdown.com/smogtours-gen3ou-796948</t>
    </r>
  </si>
  <si>
    <r>
      <rPr>
        <rFont val="inherit"/>
        <sz val="12.0"/>
      </rPr>
      <t>https://replay.pokemonshowdown.com/smogtours-gen3ou-796956</t>
    </r>
  </si>
  <si>
    <r>
      <rPr>
        <rFont val="inherit"/>
        <sz val="12.0"/>
      </rPr>
      <t>https://replay.pokemonshowdown.com/smogtours-gen3ou-796960</t>
    </r>
  </si>
  <si>
    <t>https://replay.pokemonshowdown.com/smogtours-gen3ou-796965</t>
  </si>
  <si>
    <r>
      <rPr>
        <rFont val="inherit"/>
        <sz val="12.0"/>
        <u/>
      </rPr>
      <t>https://replay.pokemonshowdown.com/smogtours-gen3ou-796972</t>
    </r>
  </si>
  <si>
    <t>https://replay.pokemonshowdown.com/smogtours-gen3ou-796906</t>
  </si>
  <si>
    <t>https://replay.pokemonshowdown.com/smogtours-gen3ou-796915</t>
  </si>
  <si>
    <t>https://replay.pokemonshowdown.com/smogtours-gen3ou-796917</t>
  </si>
  <si>
    <r>
      <rPr>
        <rFont val="inherit"/>
        <sz val="12.0"/>
      </rPr>
      <t>https://replay.pokemonshowdown.com/smogtours-gen3ou-796185</t>
    </r>
  </si>
  <si>
    <r>
      <rPr>
        <rFont val="inherit"/>
        <sz val="12.0"/>
      </rPr>
      <t>https://replay.pokemonshowdown.com/smogtours-gen3ou-796197</t>
    </r>
  </si>
  <si>
    <r>
      <rPr>
        <rFont val="inherit"/>
        <sz val="12.0"/>
      </rPr>
      <t>https://replay.pokemonshowdown.com/smogtours-gen3ou-796204</t>
    </r>
  </si>
  <si>
    <r>
      <rPr>
        <rFont val="inherit"/>
        <sz val="12.0"/>
      </rPr>
      <t>https://replay.pokemonshowdown.com/smogtours-gen3ou-796193</t>
    </r>
  </si>
  <si>
    <r>
      <rPr>
        <rFont val="inherit"/>
        <sz val="12.0"/>
      </rPr>
      <t>https://replay.pokemonshowdown.com/smogtours-gen3ou-796198</t>
    </r>
  </si>
  <si>
    <r>
      <rPr>
        <rFont val="inherit"/>
        <sz val="12.0"/>
      </rPr>
      <t>https://replay.pokemonshowdown.com/smogtours-gen3ou-796737</t>
    </r>
  </si>
  <si>
    <r>
      <rPr>
        <rFont val="inherit"/>
        <sz val="12.0"/>
      </rPr>
      <t>https://replay.pokemonshowdown.com/smogtours-gen3ou-796742</t>
    </r>
  </si>
  <si>
    <r>
      <rPr>
        <rFont val="inherit"/>
        <sz val="12.0"/>
      </rPr>
      <t>https://replay.pokemonshowdown.com/smogtours-gen3ou-796746</t>
    </r>
  </si>
  <si>
    <r>
      <rPr>
        <rFont val="inherit"/>
        <sz val="12.0"/>
      </rPr>
      <t>https://replay.pokemonshowdown.com/gen3ou-2220179020-y8q9sh579bax5hot5gpyoocum2y3dy8pw</t>
    </r>
  </si>
  <si>
    <r>
      <rPr>
        <rFont val="inherit"/>
        <sz val="12.0"/>
      </rPr>
      <t>https://replay.pokemonshowdown.com/gen3ou-2220184800-ilj6az7vmjwz57817817khd3kcq242ypw</t>
    </r>
  </si>
  <si>
    <r>
      <rPr>
        <rFont val="inherit"/>
        <sz val="12.0"/>
      </rPr>
      <t>https://replay.pokemonshowdown.com/smogtours-gen3ou-796400</t>
    </r>
  </si>
  <si>
    <r>
      <rPr>
        <rFont val="inherit"/>
        <sz val="12.0"/>
      </rPr>
      <t>https://replay.pokemonshowdown.com/smogtours-gen3ou-796404</t>
    </r>
  </si>
  <si>
    <r>
      <rPr>
        <rFont val="inherit"/>
        <sz val="12.0"/>
      </rPr>
      <t>https://replay.pokemonshowdown.com/smogtours-gen3ou-796406</t>
    </r>
  </si>
  <si>
    <r>
      <rPr>
        <rFont val="inherit"/>
        <sz val="12.0"/>
      </rPr>
      <t>https://replay.pokemonshowdown.com/smogtours-gen3ou-796667</t>
    </r>
  </si>
  <si>
    <r>
      <rPr>
        <rFont val="inherit"/>
        <sz val="12.0"/>
      </rPr>
      <t>https://replay.pokemonshowdown.com/smogtours-gen3ou-796671?p2</t>
    </r>
  </si>
  <si>
    <r>
      <rPr>
        <rFont val="inherit"/>
        <sz val="12.0"/>
      </rPr>
      <t>https://replay.pokemonshowdown.com/smogtours-gen3ou-796175?p2</t>
    </r>
  </si>
  <si>
    <r>
      <rPr>
        <rFont val="inherit"/>
        <sz val="12.0"/>
      </rPr>
      <t>https://replay.pokemonshowdown.com/smogtours-gen3ou-796177</t>
    </r>
  </si>
  <si>
    <r>
      <rPr>
        <rFont val="inherit"/>
        <sz val="12.0"/>
      </rPr>
      <t>https://replay.pokemonshowdown.com/smogtours-gen3ou-796180?p2</t>
    </r>
  </si>
  <si>
    <r>
      <rPr>
        <rFont val="inherit"/>
        <sz val="12.0"/>
      </rPr>
      <t>https://replay.pokemonshowdown.com/smogtours-gen3ou-796627</t>
    </r>
  </si>
  <si>
    <r>
      <rPr>
        <rFont val="inherit"/>
        <sz val="12.0"/>
      </rPr>
      <t>https://replay.pokemonshowdown.com/smogtours-gen3ou-796631</t>
    </r>
  </si>
  <si>
    <r>
      <rPr>
        <rFont val="inherit"/>
        <sz val="12.0"/>
      </rPr>
      <t>https://replay.pokemonshowdown.com/smogtours-gen3ou-796435</t>
    </r>
  </si>
  <si>
    <r>
      <rPr>
        <rFont val="inherit"/>
        <sz val="12.0"/>
      </rPr>
      <t>https://replay.pokemonshowdown.com/smogtours-gen3ou-796443</t>
    </r>
  </si>
  <si>
    <r>
      <rPr>
        <rFont val="inherit"/>
        <sz val="12.0"/>
      </rPr>
      <t>https://replay.pokemonshowdown.com/smogtours-gen3ou-796457</t>
    </r>
  </si>
  <si>
    <r>
      <rPr>
        <rFont val="inherit"/>
        <sz val="12.0"/>
      </rPr>
      <t>https://replay.pokemonshowdown.com/smogtours-gen3ou-796781</t>
    </r>
  </si>
  <si>
    <r>
      <rPr>
        <rFont val="inherit"/>
        <sz val="12.0"/>
      </rPr>
      <t>https://replay.pokemonshowdown.com/smogtours-gen3ou-796788</t>
    </r>
  </si>
  <si>
    <r>
      <rPr>
        <rFont val="inherit"/>
        <sz val="12.0"/>
      </rPr>
      <t>https://replay.pokemonshowdown.com/smogtours-gen3ou-796791</t>
    </r>
  </si>
  <si>
    <t>https://replay.pokemonshowdown.com/smogtours-gen3ou-796492</t>
  </si>
  <si>
    <t>https://replay.pokemonshowdown.com/smogtours-gen3ou-796498</t>
  </si>
  <si>
    <r>
      <rPr>
        <rFont val="inherit"/>
        <sz val="12.0"/>
      </rPr>
      <t>https://replay.pokemonshowdown.com/smogtours-gen3ou-796174</t>
    </r>
  </si>
  <si>
    <r>
      <rPr>
        <rFont val="inherit"/>
        <sz val="12.0"/>
      </rPr>
      <t>https://replay.pokemonshowdown.com/smogtours-gen3ou-796667</t>
    </r>
  </si>
  <si>
    <r>
      <rPr>
        <rFont val="inherit"/>
        <sz val="12.0"/>
      </rPr>
      <t>https://replay.pokemonshowdown.com/smogtours-gen3ou-796671?p2</t>
    </r>
  </si>
  <si>
    <r>
      <rPr>
        <rFont val="inherit"/>
        <sz val="12.0"/>
      </rPr>
      <t>https://replay.pokemonshowdown.com/smogtours-gen3ou-796899</t>
    </r>
  </si>
  <si>
    <r>
      <rPr>
        <rFont val="inherit"/>
        <sz val="12.0"/>
      </rPr>
      <t>https://replay.pokemonshowdown.com/smogtours-gen3ou-796904</t>
    </r>
  </si>
  <si>
    <t>https://replay.pokemonshowdown.com/smogtours-gen3ou-796883</t>
  </si>
  <si>
    <t>https://replay.pokemonshowdown.com/smogtours-gen3ou-796881</t>
  </si>
  <si>
    <t xml:space="preserve">https://replay.pokemonshowdown.com/smogtours-gen3ou-796967?p2 </t>
  </si>
  <si>
    <r>
      <rPr>
        <rFont val="inherit"/>
        <sz val="12.0"/>
      </rPr>
      <t>https://replay.pokemonshowdown.com/smogtours-gen3ou-796980?p2</t>
    </r>
  </si>
  <si>
    <t>https://replay.pokemonshowdown.com/smogtours-gen3ou-796784</t>
  </si>
  <si>
    <t>https://replay.pokemonshowdown.com/smogtours-gen3ou-796793</t>
  </si>
  <si>
    <r>
      <rPr>
        <rFont val="inherit"/>
        <sz val="12.0"/>
      </rPr>
      <t>https://replay.pokemonshowdown.com/smogtours-gen3ou-796227</t>
    </r>
  </si>
  <si>
    <r>
      <rPr>
        <rFont val="inherit"/>
        <sz val="12.0"/>
      </rPr>
      <t>https://replay.pokemonshowdown.com/smogtours-gen3ou-796232</t>
    </r>
  </si>
  <si>
    <r>
      <rPr>
        <rFont val="inherit"/>
        <sz val="12.0"/>
      </rPr>
      <t>https://replay.pokemonshowdown.com/smogtours-gen3ou-796237</t>
    </r>
  </si>
  <si>
    <t>https://replay.pokemonshowdown.com/smogtours-gen3ou-796557</t>
  </si>
  <si>
    <t>https://replay.pokemonshowdown.com/smogtours-gen3ou-796565</t>
  </si>
  <si>
    <t>https://replay.pokemonshowdown.com/smogtours-gen3ou-796568</t>
  </si>
  <si>
    <t>https://replay.pokemonshowdown.com/smogtours-gen3ou-796517</t>
  </si>
  <si>
    <t>https://replay.pokemonshowdown.com/smogtours-gen3ou-796521</t>
  </si>
  <si>
    <t>https://replay.pokemonshowdown.com/smogtours-gen3ou-796526</t>
  </si>
  <si>
    <t>https://replay.pokemonshowdown.com/smogtours-gen3ou-796869</t>
  </si>
  <si>
    <t>https://replay.pokemonshowdown.com/smogtours-gen3ou-796870</t>
  </si>
  <si>
    <t>https://replay.pokemonshowdown.com/smogtours-gen3ou-796810</t>
  </si>
  <si>
    <t>https://replay.pokemonshowdown.com/smogtours-gen3ou-796818</t>
  </si>
  <si>
    <t>https://replay.pokemonshowdown.com/smogtours-gen3ou-796821</t>
  </si>
  <si>
    <t>https://replay.pokemonshowdown.com/smogtours-gen3ou-796554</t>
  </si>
  <si>
    <t>https://replay.pokemonshowdown.com/smogtours-gen3ou-796558</t>
  </si>
  <si>
    <t>https://replay.pokemonshowdown.com/smogtours-gen3ou-796766</t>
  </si>
  <si>
    <t>https://replay.pokemonshowdown.com/smogtours-gen3ou-796589</t>
  </si>
  <si>
    <t>https://replay.pokemonshowdown.com/smogtours-gen3ou-796590</t>
  </si>
  <si>
    <t>https://replay.pokemonshowdown.com/smogtours-gen3ou-796592</t>
  </si>
  <si>
    <r>
      <rPr>
        <rFont val="inherit"/>
        <sz val="12.0"/>
      </rPr>
      <t>https://replay.pokemonshowdown.com/smogtours-gen3ou-796080</t>
    </r>
  </si>
  <si>
    <r>
      <rPr>
        <rFont val="inherit"/>
        <sz val="12.0"/>
      </rPr>
      <t>https://replay.pokemonshowdown.com/smogtours-gen3ou-796092</t>
    </r>
  </si>
  <si>
    <r>
      <rPr>
        <rFont val="inherit"/>
        <sz val="12.0"/>
      </rPr>
      <t>https://replay.pokemonshowdown.com/smogtours-gen3ou-796926</t>
    </r>
  </si>
  <si>
    <r>
      <rPr>
        <rFont val="inherit"/>
        <sz val="12.0"/>
      </rPr>
      <t>https://replay.pokemonshowdown.com/smogtours-gen3ou-796936</t>
    </r>
  </si>
  <si>
    <t>https://match.conceeded.to.pkLeech</t>
  </si>
  <si>
    <t>https://replay.pokemonshowdown.com/smogtours-gen3ou-796734</t>
  </si>
  <si>
    <t>https://replay.pokemonshowdown.com/smogtours-gen3ou-796741</t>
  </si>
  <si>
    <t>https://replay.pokemonshowdown.com/smogtours-gen3ou-796775</t>
  </si>
  <si>
    <r>
      <rPr>
        <rFont val="inherit"/>
        <sz val="12.0"/>
      </rPr>
      <t>https://replay.pokemonshowdown.com/smogtours-gen3ou-796573</t>
    </r>
  </si>
  <si>
    <r>
      <rPr>
        <rFont val="inherit"/>
        <sz val="12.0"/>
      </rPr>
      <t>https://replay.pokemonshowdown.com/smogtours-gen3ou-796574</t>
    </r>
  </si>
  <si>
    <r>
      <rPr>
        <rFont val="inherit"/>
        <sz val="12.0"/>
      </rPr>
      <t>https://replay.pokemonshowdown.com/smogtours-gen3ou-796575</t>
    </r>
  </si>
  <si>
    <r>
      <rPr>
        <rFont val="inherit"/>
        <sz val="12.0"/>
      </rPr>
      <t>https://replay.pokemonshowdown.com/smogtours-gen3ou-796577</t>
    </r>
  </si>
  <si>
    <t>https://replay.pokemonshowdown.com/smogtours-gen3ou-796624</t>
  </si>
  <si>
    <t>https://replay.pokemonshowdown.com/smogtours-gen3ou-796626</t>
  </si>
  <si>
    <r>
      <rPr>
        <rFont val="inherit"/>
        <sz val="12.0"/>
      </rPr>
      <t>https://replay.pokemonshowdown.com/gen3ou-2217467522-093moahs6jk6e75i9tggjqvy41mau9jpw</t>
    </r>
  </si>
  <si>
    <r>
      <rPr>
        <rFont val="inherit"/>
        <sz val="12.0"/>
      </rPr>
      <t>https://replay.pokemonshowdown.com/gen3ou-2217473741-lp3fjbi1d5xdnwkz2bvy2ljx648hi65pw</t>
    </r>
  </si>
  <si>
    <r>
      <rPr>
        <rFont val="inherit"/>
        <sz val="12.0"/>
      </rPr>
      <t>https://replay.pokemonshowdown.com/smogtours-gen3ou-796923?p2</t>
    </r>
  </si>
  <si>
    <r>
      <rPr>
        <rFont val="inherit"/>
        <sz val="12.0"/>
      </rPr>
      <t>https://replay.pokemonshowdown.com/smogtours-gen3ou-796934</t>
    </r>
  </si>
  <si>
    <r>
      <rPr>
        <rFont val="inherit"/>
        <sz val="12.0"/>
      </rPr>
      <t>https://replay.pokemonshowdown.com/smogtours-gen3ou-797011</t>
    </r>
  </si>
  <si>
    <r>
      <rPr>
        <rFont val="inherit"/>
        <sz val="12.0"/>
      </rPr>
      <t>https://replay.pokemonshowdown.com/smogtours-gen3ou-797014</t>
    </r>
  </si>
  <si>
    <r>
      <rPr>
        <rFont val="inherit"/>
        <sz val="12.0"/>
      </rPr>
      <t>https://replay.pokemonshowdown.com/smogtours-gen3ou-796296</t>
    </r>
  </si>
  <si>
    <r>
      <rPr>
        <rFont val="inherit"/>
        <sz val="12.0"/>
      </rPr>
      <t>https://replay.pokemonshowdown.com/smogtours-gen3ou-796297</t>
    </r>
  </si>
  <si>
    <r>
      <rPr>
        <rFont val="inherit"/>
        <sz val="12.0"/>
      </rPr>
      <t>https://replay.pokemonshowdown.com/smogtours-gen3ou-796300</t>
    </r>
  </si>
  <si>
    <r>
      <rPr>
        <rFont val="inherit"/>
        <sz val="12.0"/>
      </rPr>
      <t>https://replay.pokemonshowdown.com/smogtours-gen3ou-796983</t>
    </r>
  </si>
  <si>
    <r>
      <rPr>
        <rFont val="inherit"/>
        <sz val="12.0"/>
      </rPr>
      <t>https://replay.pokemonshowdown.com/smogtours-gen3ou-796986</t>
    </r>
  </si>
  <si>
    <r>
      <rPr>
        <rFont val="inherit"/>
        <sz val="12.0"/>
      </rPr>
      <t>https://replay.pokemonshowdown.com/gen3ou-2218734386</t>
    </r>
  </si>
  <si>
    <r>
      <rPr>
        <rFont val="inherit"/>
        <sz val="12.0"/>
      </rPr>
      <t>https://replay.pokemonshowdown.com/gen3ou-2218741144</t>
    </r>
  </si>
  <si>
    <r>
      <rPr>
        <rFont val="inherit"/>
        <sz val="12.0"/>
      </rPr>
      <t>https://replay.pokemonshowdown.com/smogtours-gen3ou-797017</t>
    </r>
  </si>
  <si>
    <r>
      <rPr>
        <rFont val="inherit"/>
        <color rgb="FF1155CC"/>
        <sz val="12.0"/>
        <u/>
      </rPr>
      <t>https://replay.pokemonshowdown.com/smogtours-gen3ou-797021</t>
    </r>
  </si>
  <si>
    <r>
      <rPr>
        <rFont val="inherit"/>
        <sz val="12.0"/>
      </rPr>
      <t>https://replay.pokemonshowdown.com/smogtours-gen3ou-796996</t>
    </r>
  </si>
  <si>
    <r>
      <rPr>
        <rFont val="inherit"/>
        <sz val="12.0"/>
      </rPr>
      <t>https://replay.pokemonshowdown.com/smogtours-gen3ou-797001</t>
    </r>
  </si>
  <si>
    <r>
      <rPr>
        <rFont val="inherit"/>
        <sz val="12.0"/>
      </rPr>
      <t>https://replay.pokemonshowdown.com/smogtours-gen3ou-797006</t>
    </r>
  </si>
  <si>
    <r>
      <rPr>
        <rFont val="inherit"/>
        <sz val="12.0"/>
      </rPr>
      <t>https://replay.pokemonshowdown.com/smogtours-gen3ou-797022</t>
    </r>
  </si>
  <si>
    <r>
      <rPr>
        <rFont val="inherit"/>
        <sz val="12.0"/>
      </rPr>
      <t>https://replay.pokemonshowdown.com/smogtours-gen3ou-797027</t>
    </r>
  </si>
  <si>
    <t>https://replay.pokemonshowdown.com/smogtours-gen3ou-797032</t>
  </si>
  <si>
    <t>https://replay.pokemonshowdown.com/smogtours-gen3ou-797020</t>
  </si>
  <si>
    <t>https://replay.pokemonshowdown.com/smogtours-gen3ou-797026</t>
  </si>
  <si>
    <t>https://replay.pokemonshowdown.com/smogtours-gen3ou-797034</t>
  </si>
  <si>
    <t>https://replay.pokemonshowdown.com/smogtours-gen3ou-796992</t>
  </si>
  <si>
    <t>https://replay.pokemonshowdown.com/smogtours-gen3ou-796995</t>
  </si>
  <si>
    <t>https://replay.pokemonshowdown.com/smogtours-gen3ou-797000</t>
  </si>
  <si>
    <t>https://replay.pokemonshowdown.com/smogtours-gen3ou-797037</t>
  </si>
  <si>
    <t>https://replay.pokemonshowdown.com/smogtours-gen3ou-797043</t>
  </si>
  <si>
    <t>https://replay.pokemonshowdown.com/smogtours-gen3ou-797054</t>
  </si>
  <si>
    <t>https://replay.pokemonshowdown.com/smogtours-gen3ou-796223</t>
  </si>
  <si>
    <t>https://replay.pokemonshowdown.com/smogtours-gen3ou-796228</t>
  </si>
  <si>
    <t>https://replay.pokemonshowdown.com/smogtours-gen3ou-796230</t>
  </si>
  <si>
    <t>https://replay.pokemonshowdown.com/smogtours-gen3ou-796162</t>
  </si>
  <si>
    <t>https://replay.pokemonshowdown.com/smogtours-gen3ou-796163</t>
  </si>
  <si>
    <t>https://replay.pokemonshowdown.com/smogtours-gen3ou-796491</t>
  </si>
  <si>
    <t>https://replay.pokemonshowdown.com/smogtours-gen3ou-796496</t>
  </si>
  <si>
    <t>https://replay.pokemonshowdown.com/smogtours-gen3ou-795822</t>
  </si>
  <si>
    <t>https://replay.pokemonshowdown.com/smogtours-gen3ou-795835</t>
  </si>
  <si>
    <t>https://replay.pokemonshowdown.com/smogtours-gen3ou-795846</t>
  </si>
  <si>
    <t>https://replay.pokemonshowdown.com/smogtours-gen3ou-796202</t>
  </si>
  <si>
    <t>https://replay.pokemonshowdown.com/smogtours-gen3ou-796205</t>
  </si>
  <si>
    <t>https://replay.pokemonshowdown.com/smogtours-gen3ou-796209</t>
  </si>
  <si>
    <t>https://replay.pokemonshowdown.com/smogtours-gen3ou-797025</t>
  </si>
  <si>
    <t>https://replay.pokemonshowdown.com/smogtours-gen3ou-797033</t>
  </si>
  <si>
    <t>https://replay.pokemonshowdown.com/smogtours-gen3ou-796562</t>
  </si>
  <si>
    <t>https://replay.pokemonshowdown.com/smogtours-gen3ou-796570</t>
  </si>
  <si>
    <t>https://replay.pokemonshowdown.com/smogtours-gen3ou-796685</t>
  </si>
  <si>
    <t>https://replay.pokemonshowdown.com/smogtours-gen3ou-796690</t>
  </si>
  <si>
    <t>https://replay.pokemonshowdown.com/smogtours-gen3ou-796692</t>
  </si>
  <si>
    <t>https://replay.pokemonshowdown.com/smogtours-gen3ou-796439</t>
  </si>
  <si>
    <t>https://replay.pokemonshowdown.com/smogtours-gen3ou-796451</t>
  </si>
  <si>
    <t>https://replay.pokemonshowdown.com/smogtours-gen3ou-796456</t>
  </si>
  <si>
    <t>https://replay.pokemonshowdown.com/smogtours-gen3ou-796325</t>
  </si>
  <si>
    <t>https://replay.pokemonshowdown.com/smogtours-gen3ou-796328</t>
  </si>
  <si>
    <t>https://replay.pokemonshowdown.com/smogtours-gen3ou-796301</t>
  </si>
  <si>
    <t>https://replay.pokemonshowdown.com/smogtours-gen3ou-796304</t>
  </si>
  <si>
    <t>https://replay.pokemonshowdown.com/smogtours-gen3ou-796639</t>
  </si>
  <si>
    <t>https://replay.pokemonshowdown.com/smogtours-gen3ou-796643</t>
  </si>
  <si>
    <t>https://replay.pokemonshowdown.com/smogtours-gen3ou-796422</t>
  </si>
  <si>
    <t>https://replay.pokemonshowdown.com/smogtours-gen3ou-796428</t>
  </si>
  <si>
    <t>https://replay.pokemonshowdown.com/smogtours-gen3ou-796432</t>
  </si>
  <si>
    <t>https://replay.pokemonshowdown.com/smogtours-gen3ou-796677</t>
  </si>
  <si>
    <t>https://replay.pokemonshowdown.com/smogtours-gen3ou-796679</t>
  </si>
  <si>
    <t>https://replay.pokemonshowdown.com/smogtours-gen3ou-796681</t>
  </si>
  <si>
    <t>https://replay.pokemonshowdown.com/smogtours-gen3ou-796761</t>
  </si>
  <si>
    <t>https://replay.pokemonshowdown.com/smogtours-gen3ou-796757</t>
  </si>
  <si>
    <t>https://replay.pokemonshowdown.com/smogtours-gen3ou-796660</t>
  </si>
  <si>
    <t>https://replay.pokemonshowdown.com/smogtours-gen3ou-796666</t>
  </si>
  <si>
    <t>https://replay.pokemonshowdown.com/smogtours-gen3ou-796371</t>
  </si>
  <si>
    <t>https://replay.pokemonshowdown.com/smogtours-gen3ou-796379</t>
  </si>
  <si>
    <t>https://replay.pokemonshowdown.com/smogtours-gen3ou-796383</t>
  </si>
  <si>
    <t>https://replay.pokemonshowdown.com/smogtours-gen3ou-796789</t>
  </si>
  <si>
    <t>https://replay.pokemonshowdown.com/smogtours-gen3ou-796796</t>
  </si>
  <si>
    <t>https://replay.pokemonshowdown.com/smogtours-gen3ou-796864</t>
  </si>
  <si>
    <t>https://replay.pokemonshowdown.com/smogtours-gen3ou-796863</t>
  </si>
  <si>
    <t>https://replay.pokemonshowdown.com/smogtours-gen3ou-796273</t>
  </si>
  <si>
    <t>https://replay.pokemonshowdown.com/smogtours-gen3ou-796277</t>
  </si>
  <si>
    <t>https://replay.pokemonshowdown.com/smogtours-gen3ou-796279</t>
  </si>
  <si>
    <t>https://replay.pokemonshowdown.com/smogtours-gen3ou-796895</t>
  </si>
  <si>
    <t>https://replay.pokemonshowdown.com/smogtours-gen3ou-796898</t>
  </si>
  <si>
    <t>https://replay.pokemonshowdown.com/smogtours-gen3ou-796809</t>
  </si>
  <si>
    <t>https://replay.pokemonshowdown.com/smogtours-gen3ou-796815</t>
  </si>
  <si>
    <t>https://replay.pokemonshowdown.com/smogtours-gen3ou-796711</t>
  </si>
  <si>
    <t>https://replay.pokemonshowdown.com/smogtours-gen3ou-796718</t>
  </si>
  <si>
    <t>https://replay.pokemonshowdown.com/smogtours-gen3ou-796968</t>
  </si>
  <si>
    <t>https://replay.pokemonshowdown.com/smogtours-gen3ou-796974</t>
  </si>
  <si>
    <t>https://replay.pokemonshowdown.com/smogtours-gen3ou-796502</t>
  </si>
  <si>
    <t>https://replay.pokemonshowdown.com/smogtours-gen3ou-796504</t>
  </si>
  <si>
    <t>https://replay.pokemonshowdown.com/smogtours-gen3ou-796663</t>
  </si>
  <si>
    <t>https://replay.pokemonshowdown.com/smogtours-gen3ou-796670</t>
  </si>
  <si>
    <t>https://replay.pokemonshowdown.com/smogtours-gen3ou-796356</t>
  </si>
  <si>
    <t>https://replay.pokemonshowdown.com/smogtours-gen3ou-796357</t>
  </si>
  <si>
    <t>https://replay.pokemonshowdown.com/smogtours-gen3ou-796360</t>
  </si>
  <si>
    <t>https://replay.pokemonshowdown.com/smogtours-gen3ou-796284</t>
  </si>
  <si>
    <t>https://replay.pokemonshowdown.com/smogtours-gen3ou-796286</t>
  </si>
  <si>
    <t>https://replay.pokemonshowdown.com/smogtours-gen3ou-796287</t>
  </si>
  <si>
    <t>https://replay.pokemonshowdown.com/smogtours-gen3ou-796288</t>
  </si>
  <si>
    <t>https://replay.pokemonshowdown.com/smogtours-gen3ou-796292</t>
  </si>
  <si>
    <t>https://replay.pokemonshowdown.com/smogtours-gen3ou-796607</t>
  </si>
  <si>
    <t>https://replay.pokemonshowdown.com/smogtours-gen3ou-796610</t>
  </si>
  <si>
    <t>https://replay.pokemonshowdown.com/smogtours-gen3ou-796612</t>
  </si>
  <si>
    <t>https://replay.pokemonshowdown.com/smogtours-gen3ou-797015</t>
  </si>
  <si>
    <t>https://replay.pokemonshowdown.com/smogtours-gen3ou-797023?p2</t>
  </si>
  <si>
    <t>https://replay.pokemonshowdown.com/smogtours-gen3ou-796921</t>
  </si>
  <si>
    <t>https://replay.pokemonshowdown.com/smogtours-gen3ou-796925</t>
  </si>
  <si>
    <t>https://replay.pokemonshowdown.com/smogtours-gen3ou-796688</t>
  </si>
  <si>
    <t>https://replay.pokemonshowdown.com/smogtours-gen3ou-796697</t>
  </si>
  <si>
    <t>https://replay.pokemonshowdown.com/smogtours-gen3ou-797002</t>
  </si>
  <si>
    <t>https://replay.pokemonshowdown.com/smogtours-gen3ou-797005</t>
  </si>
  <si>
    <t>https://replay.pokemonshowdown.com/smogtours-gen3ou-797008</t>
  </si>
  <si>
    <t>https://replay.pokemonshowdown.com/smogtours-gen3ou-797012</t>
  </si>
  <si>
    <t>https://replay.pokemonshowdown.com/smogtours-gen3ou-796656</t>
  </si>
  <si>
    <t>https://replay.pokemonshowdown.com/smogtours-gen3ou-796662</t>
  </si>
  <si>
    <t>https://replay.pokemonshowdown.com/smogtours-gen3ou-796767</t>
  </si>
  <si>
    <t>https://replay.pokemonshowdown.com/smogtours-gen3ou-796772</t>
  </si>
  <si>
    <t>https://replay.pokemonshowdown.com/smogtours-gen3ou-796727</t>
  </si>
  <si>
    <t>https://replay.pokemonshowdown.com/smogtours-gen3ou-796728</t>
  </si>
  <si>
    <t>https://replay.pokemonshowdown.com/smogtours-gen3ou-796837</t>
  </si>
  <si>
    <t>https://replay.pokemonshowdown.com/smogtours-gen3ou-796839</t>
  </si>
  <si>
    <t>https://replay.pokemonshowdown.com/smogtours-gen3ou-796840</t>
  </si>
  <si>
    <t>https://replay.pokemonshowdown.com/smogtours-gen3ou-796708</t>
  </si>
  <si>
    <t>https://replay.pokemonshowdown.com/smogtours-gen3ou-796713</t>
  </si>
  <si>
    <t>https://replay.pokemonshowdown.com/smogtours-gen3ou-796717</t>
  </si>
  <si>
    <t>https://replay.pokemonshowdown.com/smogtours-gen3ou-796785</t>
  </si>
  <si>
    <t>https://replay.pokemonshowdown.com/smogtours-gen3ou-796790</t>
  </si>
  <si>
    <t>https://replay.pokemonshowdown.com/smogtours-gen3ou-796797</t>
  </si>
  <si>
    <t>https://replay.pokemonshowdown.com/smogtours-gen3ou-796642</t>
  </si>
  <si>
    <t>https://replay.pokemonshowdown.com/smogtours-gen3ou-796649</t>
  </si>
  <si>
    <t>https://replay.pokemonshowdown.com/smogtours-gen3ou-796701</t>
  </si>
  <si>
    <t>https://replay.pokemonshowdown.com/smogtours-gen3ou-796703</t>
  </si>
  <si>
    <t>https://replay.pokemonshowdown.com/smogtours-gen3ou-796941</t>
  </si>
  <si>
    <t>https://replay.pokemonshowdown.com/smogtours-gen3ou-796947</t>
  </si>
  <si>
    <t>https://replay.pokemonshowdown.com/smogtours-gen3ou-796715</t>
  </si>
  <si>
    <t>https://replay.pokemonshowdown.com/smogtours-gen3ou-796721</t>
  </si>
  <si>
    <t>https://replay.pokemonshowdown.com/smogtours-gen3ou-796724</t>
  </si>
  <si>
    <t>https://replay.pokemonshowdown.com/smogtours-gen3ou-797042</t>
  </si>
  <si>
    <t>https://replay.pokemonshowdown.com/smogtours-gen3ou-797047</t>
  </si>
  <si>
    <t>https://replay.pokemonshowdown.com/smogtours-gen3ou-796977</t>
  </si>
  <si>
    <t>https://replay.pokemonshowdown.com/smogtours-gen3ou-796985</t>
  </si>
  <si>
    <t>https://replay.pokemonshowdown.com/smogtours-gen3ou-797031</t>
  </si>
  <si>
    <t>https://replay.pokemonshowdown.com/smogtours-gen3ou-797036</t>
  </si>
  <si>
    <t>https://replay.pokemonshowdown.com/smogtours-gen3ou-797039?p2</t>
  </si>
  <si>
    <t>https://replay.pokemonshowdown.com/smogtours-gen3ou-797044</t>
  </si>
  <si>
    <t>https://replay.pokemonshowdown.com/smogtours-gen3ou-797051</t>
  </si>
  <si>
    <t>https://replay.pokemonshowdown.com/smogtours-gen3ou-797082</t>
  </si>
  <si>
    <t>https://replay.pokemonshowdown.com/smogtours-gen3ou-797084</t>
  </si>
  <si>
    <t>https://replay.pokemonshowdown.com/smogtours-gen3ou-797123</t>
  </si>
  <si>
    <t>https://replay.pokemonshowdown.com/smogtours-gen3ou-797131</t>
  </si>
  <si>
    <t>https://replay.pokemonshowdown.com/smogtours-gen3ou-797132</t>
  </si>
  <si>
    <t>https://replay.pokemonshowdown.com/smogtours-gen3ou-797124</t>
  </si>
  <si>
    <t>https://replay.pokemonshowdown.com/smogtours-gen3ou-797128</t>
  </si>
  <si>
    <t>https://replay.pokemonshowdown.com/smogtours-gen3ou-797129</t>
  </si>
  <si>
    <t>https://replay.pokemonshowdown.com/smogtours-gen3ou-797050</t>
  </si>
  <si>
    <t>https://replay.pokemonshowdown.com/smogtours-gen3ou-797057</t>
  </si>
  <si>
    <t>https://replay.pokemonshowdown.com/smogtours-gen3ou-797059</t>
  </si>
  <si>
    <t>https://replay.pokemonshowdown.com/smogtours-gen3ou-797083</t>
  </si>
  <si>
    <t>https://replay.pokemonshowdown.com/smogtours-gen3ou-797085</t>
  </si>
  <si>
    <t>https://replay.pokemonshowdown.com/smogtours-gen3ou-797088</t>
  </si>
  <si>
    <t>https://replay.pokemonshowdown.com/smogtours-gen3ou-797107</t>
  </si>
  <si>
    <t>https://replay.pokemonshowdown.com/smogtours-gen3ou-797109</t>
  </si>
  <si>
    <t>https://replay.pokemonshowdown.com/smogtours-gen3ou-797111</t>
  </si>
  <si>
    <t>https://replay.pokemonshowdown.com/smogtours-gen3ou-797094</t>
  </si>
  <si>
    <t>https://replay.pokemonshowdown.com/smogtours-gen3ou-797097</t>
  </si>
  <si>
    <t>https://replay.pokemonshowdown.com/smogtours-gen3ou-796293</t>
  </si>
  <si>
    <t>https://replay.pokemonshowdown.com/smogtours-gen3ou-796294</t>
  </si>
  <si>
    <t>https://replay.pokemonshowdown.com/smogtours-gen3ou-796295</t>
  </si>
  <si>
    <t>https://replay.pokemonshowdown.com/smogtours-gen3ou-796449</t>
  </si>
  <si>
    <t>https://replay.pokemonshowdown.com/smogtours-gen3ou-796458</t>
  </si>
  <si>
    <t>https://replay.pokemonshowdown.com/smogtours-gen3ou-796437</t>
  </si>
  <si>
    <t xml:space="preserve"> https://replay.pokemonshowdown.com/smogtours-gen3ou-796447</t>
  </si>
  <si>
    <t>https://replay.pokemonshowdown.com/smogtours-gen3ou-796358</t>
  </si>
  <si>
    <t>https://replay.pokemonshowdown.com/smogtours-gen3ou-796361</t>
  </si>
  <si>
    <t>https://replay.pokemonshowdown.com/smogtours-gen3ou-796364</t>
  </si>
  <si>
    <t>https://replay.pokemonshowdown.com/smogtours-gen3ou-797048</t>
  </si>
  <si>
    <t>https://replay.pokemonshowdown.com/smogtours-gen3ou-797055</t>
  </si>
  <si>
    <t>https://replay.pokemonshowdown.com/smogtours-gen3ou-796484</t>
  </si>
  <si>
    <t>https://replay.pokemonshowdown.com/smogtours-gen3ou-796485</t>
  </si>
  <si>
    <t>https://replay.pokemonshowdown.com/smogtours-gen3ou-796487</t>
  </si>
  <si>
    <t>https://replay.pokemonshowdown.com/smogtours-gen3ou-796309</t>
  </si>
  <si>
    <t>https://replay.pokemonshowdown.com/smogtours-gen3ou-796311</t>
  </si>
  <si>
    <t>https://replay.pokemonshowdown.com/smogtours-gen3ou-796440</t>
  </si>
  <si>
    <t>https://replay.pokemonshowdown.com/smogtours-gen3ou-796446</t>
  </si>
  <si>
    <t>https://replay.pokemonshowdown.com/smogtours-gen3ou-796452</t>
  </si>
  <si>
    <t>https://replay.pokemonshowdown.com/smogtours-gen3ou-796346</t>
  </si>
  <si>
    <t>https://replay.pokemonshowdown.com/smogtours-gen3ou-796347</t>
  </si>
  <si>
    <t>https://replay.pokemonshowdown.com/smogtours-gen3ou-797114</t>
  </si>
  <si>
    <t>https://replay.pokemonshowdown.com/smogtours-gen3ou-797117</t>
  </si>
  <si>
    <t>https://replay.pokemonshowdown.com/smogtours-gen3ou-796905</t>
  </si>
  <si>
    <t>https://replay.pokemonshowdown.com/smogtours-gen3ou-796910</t>
  </si>
  <si>
    <t>https://replay.pokemonshowdown.com/smogtours-gen3ou-796914</t>
  </si>
  <si>
    <t>https://replay.pokemonshowdown.com/smogtours-gen3ou-796262</t>
  </si>
  <si>
    <t>https://replay.pokemonshowdown.com/smogtours-gen3ou-796265</t>
  </si>
  <si>
    <t>https://replay.pokemonshowdown.com/smogtours-gen3ou-796930</t>
  </si>
  <si>
    <t>https://replay.pokemonshowdown.com/smogtours-gen3ou-796935</t>
  </si>
  <si>
    <t>https://replay.pokemonshowdown.com/smogtours-gen3ou-796949</t>
  </si>
  <si>
    <t>https://replay.pokemonshowdown.com/smogtours-gen3ou-796959</t>
  </si>
  <si>
    <t>https://replay.pokemonshowdown.com/smogtours-gen3ou-796586</t>
  </si>
  <si>
    <t>https://replay.pokemonshowdown.com/smogtours-gen3ou-796588</t>
  </si>
  <si>
    <t>https://replay.pokemonshowdown.com/smogtours-gen3ou-796396</t>
  </si>
  <si>
    <t>https://replay.pokemonshowdown.com/smogtours-gen3ou-796408</t>
  </si>
  <si>
    <t>https://replay.pokemonshowdown.com/smogtours-gen3ou-796415</t>
  </si>
  <si>
    <t>https://replay.pokemonshowdown.com/smogtours-gen3ou-796770</t>
  </si>
  <si>
    <t>https://replay.pokemonshowdown.com/smogtours-gen3ou-796777</t>
  </si>
  <si>
    <t>https://replay.pokemonshowdown.com/smogtours-gen3ou-796350</t>
  </si>
  <si>
    <t>https://replay.pokemonshowdown.com/smogtours-gen3ou-796352</t>
  </si>
  <si>
    <t>https://replay.pokemonshowdown.com/smogtours-gen3ou-796354</t>
  </si>
  <si>
    <t>https://replay.pokemonshowdown.com/smogtours-gen3ou-797067</t>
  </si>
  <si>
    <t>https://replay.pokemonshowdown.com/smogtours-gen3ou-797069</t>
  </si>
  <si>
    <t>https://replay.pokemonshowdown.com/smogtours-gen3ou-797076</t>
  </si>
  <si>
    <t>https://replay.pokemonshowdown.com/smogtours-gen3ou-796213</t>
  </si>
  <si>
    <t>https://replay.pokemonshowdown.com/smogtours-gen3ou-796217</t>
  </si>
  <si>
    <t>https://replay.pokemonshowdown.com/smogtours-gen3ou-797100</t>
  </si>
  <si>
    <t>https://replay.pokemonshowdown.com/smogtours-gen3ou-797103</t>
  </si>
  <si>
    <t>https://replay.pokemonshowdown.com/smogtours-gen3ou-797049</t>
  </si>
  <si>
    <t>https://replay.pokemonshowdown.com/smogtours-gen3ou-797056?p2</t>
  </si>
  <si>
    <t>https://replay.pokemonshowdown.com/smogtours-gen3ou-797101</t>
  </si>
  <si>
    <t>https://replay.pokemonshowdown.com/smogtours-gen3ou-797102</t>
  </si>
  <si>
    <t>https://replay.pokemonshowdown.com/smogtours-gen3ou-797104</t>
  </si>
  <si>
    <t>https://replay.pokemonshowdown.com/smogtours-gen3ou-797087</t>
  </si>
  <si>
    <t>https://replay.pokemonshowdown.com/smogtours-gen3ou-797062</t>
  </si>
  <si>
    <t>https://replay.pokemonshowdown.com/smogtours-gen3ou-797064</t>
  </si>
  <si>
    <t>https://replay.pokemonshowdown.com/smogtours-gen3ou-797112</t>
  </si>
  <si>
    <t>https://replay.pokemonshowdown.com/smogtours-gen3ou-797116?p2</t>
  </si>
  <si>
    <t>https://replay.pokemonshowdown.com/smogtours-gen3ou-797070</t>
  </si>
  <si>
    <t>https://replay.pokemonshowdown.com/smogtours-gen3ou-797073</t>
  </si>
  <si>
    <t>https://replay.pokemonshowdown.com/smogtours-gen3ou-797010</t>
  </si>
  <si>
    <t>https://replay.pokemonshowdown.com/smogtours-gen3ou-797013?p2</t>
  </si>
  <si>
    <t>https://replay.pokemonshowdown.com/smogtours-gen3ou-797071</t>
  </si>
  <si>
    <t>https://replay.pokemonshowdown.com/smogtours-gen3ou-797074?p2</t>
  </si>
  <si>
    <t>https://replay.pokemonshowdown.com/smogtours-gen3ou-797077</t>
  </si>
  <si>
    <t>https://replay.pokemonshowdown.com/smogtours-gen3ou-797079</t>
  </si>
  <si>
    <t>https://replay.pokemonshowdown.com/smogtours-gen3ou-797092</t>
  </si>
  <si>
    <t>https://replay.pokemonshowdown.com/smogtours-gen3ou-797096</t>
  </si>
  <si>
    <t>https://replay.pokemonshowdown.com/smogtours-gen3ou-797120</t>
  </si>
  <si>
    <t>https://replay.pokemonshowdown.com/smogtours-gen3ou-797126</t>
  </si>
  <si>
    <t>https://replay.pokemonshowdown.com/smogtours-gen3ou-797130</t>
  </si>
  <si>
    <t>https://replay.pokemonshowdown.com/smogtours-gen3ou-797090</t>
  </si>
  <si>
    <t>https://replay.pokemonshowdown.com/smogtours-gen3ou-797098?p2</t>
  </si>
  <si>
    <t>https://replay.pokemonshowdown.com/smogtours-gen3ou-797078</t>
  </si>
  <si>
    <t>https://replay.pokemonshowdown.com/smogtours-gen3ou-797081</t>
  </si>
  <si>
    <t>https://replay.pokemonshowdown.com/smogtours-gen3ou-797108</t>
  </si>
  <si>
    <t>https://replay.pokemonshowdown.com/smogtours-gen3ou-797110</t>
  </si>
  <si>
    <r>
      <rPr>
        <rFont val="inherit"/>
        <sz val="12.0"/>
      </rPr>
      <t>https://replay.pokemonshowdown.com/smogtours-gen3ou-796517</t>
    </r>
  </si>
  <si>
    <r>
      <rPr>
        <rFont val="inherit"/>
        <sz val="12.0"/>
      </rPr>
      <t>https://replay.pokemonshowdown.com/smogtours-gen3ou-796521</t>
    </r>
  </si>
  <si>
    <r>
      <rPr>
        <rFont val="inherit"/>
        <sz val="12.0"/>
      </rPr>
      <t>https://replay.pokemonshowdown.com/smogtours-gen3ou-796526</t>
    </r>
  </si>
  <si>
    <t>https://replay.pokemonshowdown.com/smogtours-gen3ou-797202</t>
  </si>
  <si>
    <t>https://replay.pokemonshowdown.com/smogtours-gen3ou-797205</t>
  </si>
  <si>
    <r>
      <rPr>
        <rFont val="inherit"/>
        <sz val="12.0"/>
      </rPr>
      <t>https://replay.pokemonshowdown.com/smogtours-gen3ou-797642</t>
    </r>
  </si>
  <si>
    <r>
      <rPr>
        <rFont val="inherit"/>
        <sz val="12.0"/>
        <u/>
      </rPr>
      <t>https://replay.pokemonshowdown.com/smogtours-gen3ou-797649</t>
    </r>
  </si>
  <si>
    <r>
      <rPr>
        <rFont val="inherit"/>
        <sz val="12.0"/>
      </rPr>
      <t>https://replay.pokemonshowdown.com/smogtours-gen3ou-797656</t>
    </r>
  </si>
  <si>
    <r>
      <rPr>
        <rFont val="inherit"/>
        <sz val="12.0"/>
      </rPr>
      <t>https://replay.pokemonshowdown.com/smogtours-gen3ou-797412</t>
    </r>
  </si>
  <si>
    <r>
      <rPr>
        <rFont val="inherit"/>
        <sz val="12.0"/>
        <u/>
      </rPr>
      <t>https://replay.pokemonshowdown.com/smogtours-gen3ou-797416</t>
    </r>
  </si>
  <si>
    <r>
      <rPr>
        <rFont val="inherit"/>
        <sz val="12.0"/>
      </rPr>
      <t>https://replay.pokemonshowdown.com/smogtours-gen3ou-797422</t>
    </r>
  </si>
  <si>
    <r>
      <rPr>
        <rFont val="inherit"/>
        <sz val="12.0"/>
      </rPr>
      <t>https://replay.pokemonshowdown.com/smogtours-gen3ou-797463</t>
    </r>
  </si>
  <si>
    <r>
      <rPr>
        <rFont val="inherit"/>
        <sz val="12.0"/>
      </rPr>
      <t>https://replay.pokemonshowdown.com/smogtours-gen3ou-797477</t>
    </r>
  </si>
  <si>
    <r>
      <rPr>
        <rFont val="inherit"/>
        <sz val="12.0"/>
      </rPr>
      <t>https://replay.pokemonshowdown.com/smogtours-gen3ou-797691?p2</t>
    </r>
  </si>
  <si>
    <r>
      <rPr>
        <rFont val="inherit"/>
        <sz val="12.0"/>
      </rPr>
      <t>https://replay.pokemonshowdown.com/smogtours-gen3ou-797700?p2</t>
    </r>
  </si>
  <si>
    <r>
      <rPr>
        <rFont val="inherit"/>
        <sz val="12.0"/>
      </rPr>
      <t>https://replay.pokemonshowdown.com/smogtours-gen3ou-797479</t>
    </r>
  </si>
  <si>
    <r>
      <rPr>
        <rFont val="inherit"/>
        <sz val="12.0"/>
      </rPr>
      <t>https://replay.pokemonshowdown.com/smogtours-gen3ou-797482</t>
    </r>
  </si>
  <si>
    <r>
      <rPr>
        <rFont val="inherit"/>
        <sz val="12.0"/>
      </rPr>
      <t>https://replay.pokemonshowdown.com/smogtours-gen3ou-797857</t>
    </r>
  </si>
  <si>
    <r>
      <rPr>
        <rFont val="inherit"/>
        <sz val="12.0"/>
      </rPr>
      <t>https://replay.pokemonshowdown.com/smogtours-gen3ou-797854</t>
    </r>
  </si>
  <si>
    <r>
      <rPr>
        <rFont val="inherit"/>
        <sz val="12.0"/>
      </rPr>
      <t>https://replay.pokemonshowdown.com/smogtours-gen3ou-797861</t>
    </r>
  </si>
  <si>
    <t>https://replay.pokemonshowdown.com/smogtours-gen3ou-797846</t>
  </si>
  <si>
    <t>https://replay.pokemonshowdown.com/smogtours-gen3ou-797850</t>
  </si>
  <si>
    <r>
      <rPr>
        <rFont val="inherit"/>
        <sz val="12.0"/>
      </rPr>
      <t>https://replay.pokemonshowdown.com/smogtours-gen3ou-797497</t>
    </r>
  </si>
  <si>
    <r>
      <rPr>
        <rFont val="inherit"/>
        <sz val="12.0"/>
      </rPr>
      <t>https://replay.pokemonshowdown.com/smogtours-gen3ou-797936</t>
    </r>
  </si>
  <si>
    <r>
      <rPr>
        <rFont val="inherit"/>
        <sz val="12.0"/>
      </rPr>
      <t>https://replay.pokemonshowdown.com/smogtours-gen3ou-797938</t>
    </r>
  </si>
  <si>
    <r>
      <rPr>
        <rFont val="inherit"/>
        <sz val="12.0"/>
      </rPr>
      <t>https://replay.pokemonshowdown.com/smogtours-gen3ou-797483</t>
    </r>
  </si>
  <si>
    <r>
      <rPr>
        <rFont val="inherit"/>
        <sz val="12.0"/>
      </rPr>
      <t>https://replay.pokemonshowdown.com/smogtours-gen3ou-797501</t>
    </r>
  </si>
  <si>
    <r>
      <rPr>
        <rFont val="inherit"/>
        <sz val="12.0"/>
      </rPr>
      <t>https://replay.pokemonshowdown.com/smogtours-gen3ou-797556</t>
    </r>
  </si>
  <si>
    <r>
      <rPr>
        <rFont val="inherit"/>
        <sz val="12.0"/>
      </rPr>
      <t>https://replay.pokemonshowdown.com/smogtours-gen3ou-797570</t>
    </r>
  </si>
  <si>
    <t>https://replay.pokemonshowdown.com/smogtours-gen3ou-797197</t>
  </si>
  <si>
    <t>https://replay.pokemonshowdown.com/smogtours-gen3ou-797203</t>
  </si>
  <si>
    <t>https://replay.pokemonshowdown.com/smogtours-gen3ou-797209</t>
  </si>
  <si>
    <t>https://replay.pokemonshowdown.com/smogtours-gen3ou-797688</t>
  </si>
  <si>
    <t>https://replay.pokemonshowdown.com/smogtours-gen3ou-797699</t>
  </si>
  <si>
    <t>https://replay.pokemonshowdown.com/smogtours-gen3ou-797704</t>
  </si>
  <si>
    <t>https://replay.pokemonshowdown.com/smogtours-gen3ou-797708</t>
  </si>
  <si>
    <t>https://replay.pokemonshowdown.com/smogtours-gen3ou-797714</t>
  </si>
  <si>
    <t>https://replay.pokemonshowdown.com/smogtours-gen3ou-797636</t>
  </si>
  <si>
    <t>https://replay.pokemonshowdown.com/smogtours-gen3ou-797661</t>
  </si>
  <si>
    <t>https://replay.pokemonshowdown.com/smogtours-gen3ou-797676?p2</t>
  </si>
  <si>
    <t>https://replay.pokemonshowdown.com/smogtours-gen3ou-797678</t>
  </si>
  <si>
    <t>https://replay.pokemonshowdown.com/smogtours-gen3ou-797547</t>
  </si>
  <si>
    <t>https://replay.pokemonshowdown.com/smogtours-gen3ou-797569</t>
  </si>
  <si>
    <t>https://replay.pokemonshowdown.com/smogtours-gen3ou-797474</t>
  </si>
  <si>
    <t>https://replay.pokemonshowdown.com/smogtours-gen3ou-797486</t>
  </si>
  <si>
    <t>https://replay.pokemonshowdown.com/smogtours-gen3ou-797498</t>
  </si>
  <si>
    <t>https://replay.pokemonshowdown.com/smogtours-gen3ou-797332</t>
  </si>
  <si>
    <t>https://replay.pokemonshowdown.com/smogtours-gen3ou-797334</t>
  </si>
  <si>
    <t>https://replay.pokemonshowdown.com/smogtours-gen3ou-797179</t>
  </si>
  <si>
    <t>https://replay.pokemonshowdown.com/smogtours-gen3ou-797183</t>
  </si>
  <si>
    <t>https://replay.pokemonshowdown.com/smogtours-gen3ou-797567</t>
  </si>
  <si>
    <t>https://replay.pokemonshowdown.com/smogtours-gen3ou-797574</t>
  </si>
  <si>
    <t>https://replay.pokemonshowdown.com/smogtours-gen3ou-797629</t>
  </si>
  <si>
    <t>https://replay.pokemonshowdown.com/smogtours-gen3ou-797650</t>
  </si>
  <si>
    <t>https://replay.pokemonshowdown.com/smogtours-gen3ou-797663</t>
  </si>
  <si>
    <t>https://replay.pokemonshowdown.com/smogtours-gen3ou-798021</t>
  </si>
  <si>
    <t>https://replay.pokemonshowdown.com/smogtours-gen3ou-798026</t>
  </si>
  <si>
    <t>https://replay.pokemonshowdown.com/smogtours-gen3ou-798032</t>
  </si>
  <si>
    <t>https://replay.pokemonshowdown.com/smogtours-gen3ou-798040</t>
  </si>
  <si>
    <t>https://replay.pokemonshowdown.com/smogtours-gen3ou-798044</t>
  </si>
  <si>
    <t>https://replay.pokemonshowdown.com/smogtours-gen3ou-798145</t>
  </si>
  <si>
    <t>https://replay.pokemonshowdown.com/smogtours-gen3ou-798146</t>
  </si>
  <si>
    <t>https://replay.pokemonshowdown.com/smogtours-gen3ou-797627</t>
  </si>
  <si>
    <t>https://replay.pokemonshowdown.com/smogtours-gen3ou-797638</t>
  </si>
  <si>
    <t>https://replay.pokemonshowdown.com/smogtours-gen3ou-797654</t>
  </si>
  <si>
    <t>https://replay.pokemonshowdown.com/smogtours-gen3ou-797156</t>
  </si>
  <si>
    <t>https://replay.pokemonshowdown.com/smogtours-gen3ou-797158</t>
  </si>
  <si>
    <t>https://replay.pokemonshowdown.com/smogtours-gen3ou-797160</t>
  </si>
  <si>
    <t>https://replay.pokemonshowdown.com/smogtours-gen3ou-797616?p2</t>
  </si>
  <si>
    <t>https://replay.pokemonshowdown.com/smogtours-gen3ou-797621?p2</t>
  </si>
  <si>
    <t>https://replay.pokemonshowdown.com/smogtours-gen3ou-798031</t>
  </si>
  <si>
    <t>https://replay.pokemonshowdown.com/smogtours-gen3ou-798041</t>
  </si>
  <si>
    <t>https://replay.pokemonshowdown.com/smogtours-gen3ou-797238</t>
  </si>
  <si>
    <t>https://replay.pokemonshowdown.com/smogtours-gen3ou-797239</t>
  </si>
  <si>
    <t>https://replay.pokemonshowdown.com/smogtours-gen3ou-797240</t>
  </si>
  <si>
    <t>https://replay.pokemonshowdown.com/smogtours-gen3ou-797507</t>
  </si>
  <si>
    <t>https://replay.pokemonshowdown.com/smogtours-gen3ou-797521</t>
  </si>
  <si>
    <t>https://replay.pokemonshowdown.com/smogtours-gen3ou-797196</t>
  </si>
  <si>
    <t>https://replay.pokemonshowdown.com/smogtours-gen3ou-797199</t>
  </si>
  <si>
    <t>https://replay.pokemonshowdown.com/smogtours-gen3ou-797368</t>
  </si>
  <si>
    <t>https://replay.pokemonshowdown.com/smogtours-gen3ou-797373</t>
  </si>
  <si>
    <t>https://replay.pokemonshowdown.com/smogtours-gen3ou-797376</t>
  </si>
  <si>
    <t>https://replay.pokemonshowdown.com/smogtours-gen3ou-797839</t>
  </si>
  <si>
    <t>https://replay.pokemonshowdown.com/smogtours-gen3ou-797845</t>
  </si>
  <si>
    <t>https://replay.pokemonshowdown.com/smogtours-gen3ou-797852</t>
  </si>
  <si>
    <t>https://replay.pokemonshowdown.com/smogtours-gen3ou-798179</t>
  </si>
  <si>
    <t>https://replay.pokemonshowdown.com/smogtours-gen3ou-798194</t>
  </si>
  <si>
    <t>https://replay.pokemonshowdown.com/smogtours-gen3ou-798331</t>
  </si>
  <si>
    <t>https://replay.pokemonshowdown.com/smogtours-gen3ou-798336</t>
  </si>
  <si>
    <t>https://replay.pokemonshowdown.com/smogtours-gen3ou-797518</t>
  </si>
  <si>
    <t>https://replay.pokemonshowdown.com/smogtours-gen3ou-797529</t>
  </si>
  <si>
    <t>https://replay.pokemonshowdown.com/smogtours-gen3ou-797871</t>
  </si>
  <si>
    <t>https://replay.pokemonshowdown.com/smogtours-gen3ou-797875</t>
  </si>
  <si>
    <t>https://replay.pokemonshowdown.com/smogtours-gen3ou-798207</t>
  </si>
  <si>
    <t>https://replay.pokemonshowdown.com/smogtours-gen3ou-798212</t>
  </si>
  <si>
    <t>https://replay.pokemonshowdown.com/smogtours-gen3ou-798225</t>
  </si>
  <si>
    <t>https://replay.pokemonshowdown.com/smogtours-gen3ou-798512</t>
  </si>
  <si>
    <t>https://replay.pokemonshowdown.com/smogtours-gen3ou-798515</t>
  </si>
  <si>
    <t>https://replay.pokemonshowdown.com/smogtours-gen3ou-798520</t>
  </si>
  <si>
    <r>
      <rPr>
        <rFont val="inherit"/>
        <sz val="12.0"/>
        <u/>
      </rPr>
      <t>https://replay.pokemonshowdown.com/smogtours-gen3ou-797998</t>
    </r>
  </si>
  <si>
    <r>
      <rPr>
        <rFont val="inherit"/>
        <sz val="12.0"/>
      </rPr>
      <t>https://replay.pokemonshowdown.com/smogtours-gen3ou-798000</t>
    </r>
  </si>
  <si>
    <r>
      <rPr>
        <rFont val="inherit"/>
        <sz val="12.0"/>
      </rPr>
      <t>https://replay.pokemonshowdown.com/smogtours-gen3ou-798197</t>
    </r>
  </si>
  <si>
    <r>
      <rPr>
        <rFont val="inherit"/>
        <sz val="12.0"/>
      </rPr>
      <t>https://replay.pokemonshowdown.com/smogtours-gen3ou-798204</t>
    </r>
  </si>
  <si>
    <r>
      <rPr>
        <rFont val="inherit"/>
        <sz val="12.0"/>
      </rPr>
      <t>https://replay.pokemonshowdown.com/smogtours-gen3ou-798210</t>
    </r>
  </si>
  <si>
    <t>https://replay.pokemonshowdown.com/smogtours-gen3ou-798278</t>
  </si>
  <si>
    <r>
      <rPr>
        <rFont val="inherit"/>
        <sz val="12.0"/>
      </rPr>
      <t>https://replay.pokemonshowdown.com/smogtours-gen3ou-798289</t>
    </r>
  </si>
  <si>
    <t>https://replay.pokemonshowdown.com/smogtours-gen3ou-798250</t>
  </si>
  <si>
    <t>https://replay.pokemonshowdown.com/smogtours-gen3ou-798256</t>
  </si>
  <si>
    <t>https://replay.pokemonshowdown.com/smogtours-gen3ou-798262</t>
  </si>
  <si>
    <t>https://replay.pokemonshowdown.com/smogtours-gen3ou-798546</t>
  </si>
  <si>
    <r>
      <rPr>
        <rFont val="inherit"/>
        <sz val="12.0"/>
      </rPr>
      <t>https://replay.pokemonshowdown.com/smogtours-gen3ou-798552</t>
    </r>
  </si>
  <si>
    <t>https://replay.pokemonshowdown.com/smogtours-gen3ou-798601</t>
  </si>
  <si>
    <t>https://replay.pokemonshowdown.com/smogtours-gen3ou-798602</t>
  </si>
  <si>
    <r>
      <rPr>
        <rFont val="inherit"/>
        <sz val="12.0"/>
      </rPr>
      <t>https://replay.pokemonshowdown.com/smogtours-gen3ou-798486</t>
    </r>
  </si>
  <si>
    <r>
      <rPr>
        <rFont val="inherit"/>
        <sz val="12.0"/>
      </rPr>
      <t>https://replay.pokemonshowdown.com/smogtours-gen3ou-798509</t>
    </r>
  </si>
  <si>
    <r>
      <rPr>
        <rFont val="inherit"/>
        <sz val="12.0"/>
      </rPr>
      <t>https://replay.pokemonshowdown.com/smogtours-gen3ou-798517</t>
    </r>
  </si>
  <si>
    <r>
      <rPr>
        <rFont val="inherit"/>
        <sz val="12.0"/>
      </rPr>
      <t>https://replay.pokemonshowdown.com/smogtours-gen3ou-798285</t>
    </r>
  </si>
  <si>
    <r>
      <rPr>
        <rFont val="inherit"/>
        <sz val="12.0"/>
      </rPr>
      <t>https://replay.pokemonshowdown.com/smogtours-gen3ou-798290</t>
    </r>
  </si>
  <si>
    <r>
      <rPr>
        <rFont val="inherit"/>
        <sz val="12.0"/>
      </rPr>
      <t>https://replay.pokemonshowdown.com/smogtours-gen3ou-798304</t>
    </r>
  </si>
  <si>
    <r>
      <rPr>
        <rFont val="inherit"/>
        <sz val="12.0"/>
        <u/>
      </rPr>
      <t>https://replay.pokemonshowdown.com/gen3ou-2222182979</t>
    </r>
  </si>
  <si>
    <r>
      <rPr>
        <rFont val="inherit"/>
        <sz val="12.0"/>
      </rPr>
      <t>https://replay.pokemonshowdown.com/gen3ou-2222188354</t>
    </r>
  </si>
  <si>
    <r>
      <rPr>
        <rFont val="inherit"/>
        <sz val="12.0"/>
      </rPr>
      <t>https://replay.pokemonshowdown.com/gen3ou-2222191167</t>
    </r>
  </si>
  <si>
    <t>https://replay.pokemonshowdown.com/smogtours-gen3ou-798166</t>
  </si>
  <si>
    <t>https://replay.pokemonshowdown.com/smogtours-gen3ou-798181</t>
  </si>
  <si>
    <t>https://replay.pokemonshowdown.com/smogtours-gen3ou-797513?p2</t>
  </si>
  <si>
    <t>https://replay.pokemonshowdown.com/smogtours-gen3ou-797535?p2</t>
  </si>
  <si>
    <t>https://replay.pokemonshowdown.com/smogtours-gen3ou-797554?p2</t>
  </si>
  <si>
    <t>https://replay.pokemonshowdown.com/smogtours-gen3ou-797662</t>
  </si>
  <si>
    <t>https://replay.pokemonshowdown.com/smogtours-gen3ou-797635</t>
  </si>
  <si>
    <t>https://replay.pokemonshowdown.com/smogtours-gen3ou-797667</t>
  </si>
  <si>
    <t>https://replay.pokemonshowdown.com/smogtours-gen3ou-797438</t>
  </si>
  <si>
    <t>https://replay.pokemonshowdown.com/smogtours-gen3ou-797442</t>
  </si>
  <si>
    <t>https://replay.pokemonshowdown.com/smogtours-gen3ou-797445</t>
  </si>
  <si>
    <t>https://replay.pokemonshowdown.com/smogtours-gen3ou-798353</t>
  </si>
  <si>
    <t>https://replay.pokemonshowdown.com/smogtours-gen3ou-798369</t>
  </si>
  <si>
    <t>https://replay.pokemonshowdown.com/smogtours-gen3ou-798377</t>
  </si>
  <si>
    <t>https://replay.pokemonshowdown.com/smogtours-gen3ou-798215</t>
  </si>
  <si>
    <t>https://replay.pokemonshowdown.com/smogtours-gen3ou-798233</t>
  </si>
  <si>
    <t>https://replay.pokemonshowdown.com/smogtours-gen3ou-798244</t>
  </si>
  <si>
    <t>https://replay.pokemonshowdown.com/smogtours-gen3ou-797546</t>
  </si>
  <si>
    <t>https://replay.pokemonshowdown.com/smogtours-gen3ou-797551</t>
  </si>
  <si>
    <t>https://replay.pokemonshowdown.com/smogtours-gen3ou-798053</t>
  </si>
  <si>
    <t>https://replay.pokemonshowdown.com/smogtours-gen3ou-798061</t>
  </si>
  <si>
    <t>https://replay.pokemonshowdown.com/smogtours-gen3ou-798068</t>
  </si>
  <si>
    <t>https://replay.pokemonshowdown.com/smogtours-gen3ou-797571</t>
  </si>
  <si>
    <t>https://replay.pokemonshowdown.com/smogtours-gen3ou-797593</t>
  </si>
  <si>
    <t>https://replay.pokemonshowdown.com/smogtours-gen3ou-797610</t>
  </si>
  <si>
    <t>https://replay.pokemonshowdown.com/gen3ou-2221989841-27ywjlfzq78jphd1wcbxwl2br5gqcm7pw</t>
  </si>
  <si>
    <t>https://replay.pokemonshowdown.com/gen3ou-2221991408-4ejss65hlegpm7d6m64xehmbu1jrvttpw</t>
  </si>
  <si>
    <t>https://replay.pokemonshowdown.com/gen3ou-2221993971-3sfeilhnlytaclo3yxj5zi8bmwcy248pw</t>
  </si>
  <si>
    <t>https://replay.pokemonshowdown.com/smogtours-gen3ou-798280</t>
  </si>
  <si>
    <t>https://replay.pokemonshowdown.com/smogtours-gen3ou-798301</t>
  </si>
  <si>
    <t>https://replay.pokemonshowdown.com/smogtours-gen3ou-798314</t>
  </si>
  <si>
    <t>https://replay.pokemonshowdown.com/smogtours-gen3ou-797504</t>
  </si>
  <si>
    <t>https://replay.pokemonshowdown.com/smogtours-gen3ou-797514</t>
  </si>
  <si>
    <t>https://replay.pokemonshowdown.com/smogtours-gen3ou-797526</t>
  </si>
  <si>
    <t>https://replay.pokemonshowdown.com/smogtours-gen3ou-797921</t>
  </si>
  <si>
    <t>https://replay.pokemonshowdown.com/smogtours-gen3ou-797926</t>
  </si>
  <si>
    <t>https://replay.pokemonshowdown.com/smogtours-gen3ou-797367</t>
  </si>
  <si>
    <t>https://replay.pokemonshowdown.com/smogtours-gen3ou-797369</t>
  </si>
  <si>
    <t>https://replay.pokemonshowdown.com/smogtours-gen3ou-797371</t>
  </si>
  <si>
    <t>https://replay.pokemonshowdown.com/smogtours-gen3ou-797522</t>
  </si>
  <si>
    <t>https://replay.pokemonshowdown.com/smogtours-gen3ou-797550</t>
  </si>
  <si>
    <t>https://replay.pokemonshowdown.com/smogtours-gen3ou-797229?p2</t>
  </si>
  <si>
    <t>https://replay.pokemonshowdown.com/smogtours-gen3ou-797230?p2</t>
  </si>
  <si>
    <t>https://replay.pokemonshowdown.com/smogtours-gen3ou-797233?p2</t>
  </si>
  <si>
    <t>https://replay.pokemonshowdown.com/smogtours-gen3ou-797815</t>
  </si>
  <si>
    <t>https://replay.pokemonshowdown.com/smogtours-gen3ou-797822</t>
  </si>
  <si>
    <t>https://replay.pokemonshowdown.com/smogtours-gen3ou-797824</t>
  </si>
  <si>
    <t>https://replay.pokemonshowdown.com/smogtours-gen3ou-797313</t>
  </si>
  <si>
    <t>https://replay.pokemonshowdown.com/smogtours-gen3ou-797311</t>
  </si>
  <si>
    <t>https://replay.pokemonshowdown.com/smogtours-gen3ou-797694</t>
  </si>
  <si>
    <t>https://replay.pokemonshowdown.com/smogtours-gen3ou-797707</t>
  </si>
  <si>
    <t>https://replay.pokemonshowdown.com/smogtours-gen3ou-798795</t>
  </si>
  <si>
    <t>https://replay.pokemonshowdown.com/smogtours-gen3ou-798802</t>
  </si>
  <si>
    <t>https://replay.pokemonshowdown.com/smogtours-gen3ou-798808</t>
  </si>
  <si>
    <t>https://replay.pokemonshowdown.com/smogtours-gen3ou-798703</t>
  </si>
  <si>
    <t>https://replay.pokemonshowdown.com/smogtours-gen3ou-798709</t>
  </si>
  <si>
    <t>https://replay.pokemonshowdown.com/smogtours-gen3ou-798812</t>
  </si>
  <si>
    <t>https://replay.pokemonshowdown.com/smogtours-gen3ou-798815</t>
  </si>
  <si>
    <t>https://replay.pokemonshowdown.com/smogtours-gen3ou-798811</t>
  </si>
  <si>
    <t>https://replay.pokemonshowdown.com/smogtours-gen3ou-798816</t>
  </si>
  <si>
    <t>https://replay.pokemonshowdown.com/smogtours-gen3ou-798818</t>
  </si>
  <si>
    <t>https://replay.pokemonshowdown.com/smogtours-gen3ou-798764</t>
  </si>
  <si>
    <t>https://replay.pokemonshowdown.com/smogtours-gen3ou-798769</t>
  </si>
  <si>
    <t>https://replay.pokemonshowdown.com/smogtours-gen3ou-798845</t>
  </si>
  <si>
    <t>https://replay.pokemonshowdown.com/smogtours-gen3ou-798847</t>
  </si>
  <si>
    <t>https://replay.pokemonshowdown.com/smogtours-gen3ou-798798</t>
  </si>
  <si>
    <t>https://replay.pokemonshowdown.com/smogtours-gen3ou-798801</t>
  </si>
  <si>
    <t>https://replay.pokemonshowdown.com/smogtours-gen3ou-798805</t>
  </si>
  <si>
    <t>https://replay.pokemonshowdown.com/smogtours-gen3ou-798848</t>
  </si>
  <si>
    <t>https://replay.pokemonshowdown.com/smogtours-gen3ou-798850</t>
  </si>
  <si>
    <t>https://replay.pokemonshowdown.com/smogtours-gen3ou-798855?p2</t>
  </si>
  <si>
    <t>https://replay.pokemonshowdown.com/smogtours-gen3ou-798379</t>
  </si>
  <si>
    <t>https://replay.pokemonshowdown.com/smogtours-gen3ou-798385</t>
  </si>
  <si>
    <t>https://replay.pokemonshowdown.com/smogtours-gen3ou-798395?p2</t>
  </si>
  <si>
    <t>https://replay.pokemonshowdown.com/smogtours-gen3ou-797655</t>
  </si>
  <si>
    <t>https://replay.pokemonshowdown.com/smogtours-gen3ou-797659</t>
  </si>
  <si>
    <t>https://replay.pokemonshowdown.com/smogtours-gen3ou-797806</t>
  </si>
  <si>
    <t>https://replay.pokemonshowdown.com/smogtours-gen3ou-797820</t>
  </si>
  <si>
    <t>https://replay.pokemonshowdown.com/smogtours-gen3ou-798219</t>
  </si>
  <si>
    <t>https://replay.pokemonshowdown.com/smogtours-gen3ou-798235</t>
  </si>
  <si>
    <t>https://replay.pokemonshowdown.com/smogtours-gen3ou-798251?p2</t>
  </si>
  <si>
    <t>https://replay.pokemonshowdown.com/smogtours-gen3ou-798519</t>
  </si>
  <si>
    <t>https://replay.pokemonshowdown.com/smogtours-gen3ou-798524?p2</t>
  </si>
  <si>
    <t>https://replay.pokemonshowdown.com/smogtours-gen3ou-798562</t>
  </si>
  <si>
    <t>https://replay.pokemonshowdown.com/smogtours-gen3ou-798565</t>
  </si>
  <si>
    <t>https://replay.pokemonshowdown.com/smogtours-gen3ou-798577</t>
  </si>
  <si>
    <t>https://replay.pokemonshowdown.com/smogtours-gen3ou-798807</t>
  </si>
  <si>
    <t>https://replay.pokemonshowdown.com/smogtours-gen3ou-798813</t>
  </si>
  <si>
    <t>https://replay.pokemonshowdown.com/smogtours-gen3ou-798817</t>
  </si>
  <si>
    <t>https://replay.pokemonshowdown.com/smogtours-gen3ou-798733</t>
  </si>
  <si>
    <t>https://replay.pokemonshowdown.com/smogtours-gen3ou-798744?p2</t>
  </si>
  <si>
    <t>https://replay.pokemonshowdown.com/smogtours-gen3ou-798748?p2</t>
  </si>
  <si>
    <t>https://replay.pokemonshowdown.com/smogtours-gen3ou-797832</t>
  </si>
  <si>
    <t>https://replay.pokemonshowdown.com/smogtours-gen3ou-797837</t>
  </si>
  <si>
    <t>https://replay.pokemonshowdown.com/smogtours-gen3ou-797840</t>
  </si>
  <si>
    <t>https://replay.pokemonshowdown.com/smogtours-gen3ou-797683</t>
  </si>
  <si>
    <t>https://replay.pokemonshowdown.com/smogtours-gen3ou-797690</t>
  </si>
  <si>
    <t>https://replay.pokemonshowdown.com/smogtours-gen3ou-797696</t>
  </si>
  <si>
    <t>https://replay.pokemonshowdown.com/smogtours-gen3ou-797966</t>
  </si>
  <si>
    <t>https://replay.pokemonshowdown.com/smogtours-gen3ou-797971</t>
  </si>
  <si>
    <t>https://replay.pokemonshowdown.com/smogtours-gen3ou-797964</t>
  </si>
  <si>
    <t>https://replay.pokemonshowdown.com/smogtours-gen3ou-797675</t>
  </si>
  <si>
    <t>https://replay.pokemonshowdown.com/smogtours-gen3ou-797689</t>
  </si>
  <si>
    <t>https://replay.pokemonshowdown.com/smogtours-gen3ou-798736</t>
  </si>
  <si>
    <t>https://replay.pokemonshowdown.com/smogtours-gen3ou-798746</t>
  </si>
  <si>
    <t>https://replay.pokemonshowdown.com/smogtours-gen3ou-798752</t>
  </si>
  <si>
    <t>https://replay.pokemonshowdown.com/smogtours-gen3ou-797786</t>
  </si>
  <si>
    <t>https://replay.pokemonshowdown.com/smogtours-gen3ou-797793</t>
  </si>
  <si>
    <t>https://replay.pokemonshowdown.com/smogtours-gen3ou-797994</t>
  </si>
  <si>
    <t>https://replay.pokemonshowdown.com/smogtours-gen3ou-797997?p2</t>
  </si>
  <si>
    <t>https://replay.pokemonshowdown.com/smogtours-gen3ou-797439</t>
  </si>
  <si>
    <t>https://replay.pokemonshowdown.com/smogtours-gen3ou-797443</t>
  </si>
  <si>
    <t>https://replay.pokemonshowdown.com/smogtours-gen3ou-797456</t>
  </si>
  <si>
    <t>https://replay.pokemonshowdown.com/smogtours-gen3ou-797449</t>
  </si>
  <si>
    <t>https://replay.pokemonshowdown.com/smogtours-gen3ou-797467</t>
  </si>
  <si>
    <t>https://replay.pokemonshowdown.com/smogtours-gen3ou-797478</t>
  </si>
  <si>
    <t>https://replay.pokemonshowdown.com/smogtours-gen3ou-798241</t>
  </si>
  <si>
    <t>https://replay.pokemonshowdown.com/smogtours-gen3ou-798249</t>
  </si>
  <si>
    <t>https://replay.pokemonshowdown.com/smogtours-gen3ou-798260</t>
  </si>
  <si>
    <t>https://replay.pokemonshowdown.com/smogtours-gen3ou-797741</t>
  </si>
  <si>
    <t>https://replay.pokemonshowdown.com/smogtours-gen3ou-797752</t>
  </si>
  <si>
    <t>https://replay.pokemonshowdown.com/smogtours-gen3ou-797762</t>
  </si>
  <si>
    <t>https://replay.pokemonshowdown.com/smogtours-gen3ou-798468</t>
  </si>
  <si>
    <t>https://replay.pokemonshowdown.com/smogtours-gen3ou-798476</t>
  </si>
  <si>
    <t>https://replay.pokemonshowdown.com/smogtours-gen3ou-797406</t>
  </si>
  <si>
    <t>https://replay.pokemonshowdown.com/smogtours-gen3ou-798669</t>
  </si>
  <si>
    <t>https://replay.pokemonshowdown.com/smogtours-gen3ou-798677</t>
  </si>
  <si>
    <t>https://replay.pokemonshowdown.com/smogtours-gen3ou-798700</t>
  </si>
  <si>
    <t>https://replay.pokemonshowdown.com/smogtours-gen3ou-798704</t>
  </si>
  <si>
    <t>https://replay.pokemonshowdown.com/smogtours-gen3ou-798852</t>
  </si>
  <si>
    <t>https://replay.pokemonshowdown.com/smogtours-gen3ou-798853</t>
  </si>
  <si>
    <t>https://replay.pokemonshowdown.com/smogtours-gen3ou-797147</t>
  </si>
  <si>
    <t>https://replay.pokemonshowdown.com/smogtours-gen3ou-797148</t>
  </si>
  <si>
    <t>https://replay.pokemonshowdown.com/smogtours-gen3ou-797968</t>
  </si>
  <si>
    <t>https://replay.pokemonshowdown.com/smogtours-gen3ou-797970</t>
  </si>
  <si>
    <t>https://replay.pokemonshowdown.com/smogtours-gen3ou-798347?p2</t>
  </si>
  <si>
    <t>https://replay.pokemonshowdown.com/smogtours-gen3ou-798375</t>
  </si>
  <si>
    <t>https://replay.pokemonshowdown.com/smogtours-gen3ou-798380</t>
  </si>
  <si>
    <t>https://replay.pokemonshowdown.com/smogtours-gen3ou-797312</t>
  </si>
  <si>
    <t>https://replay.pokemonshowdown.com/smogtours-gen3ou-797315</t>
  </si>
  <si>
    <t>https://replay.pokemonshowdown.com/smogtours-gen3ou-797258</t>
  </si>
  <si>
    <t>https://replay.pokemonshowdown.com/smogtours-gen3ou-797260</t>
  </si>
  <si>
    <t>https://replay.pokemonshowdown.com/smogtours-gen3ou-798221</t>
  </si>
  <si>
    <t>https://replay.pokemonshowdown.com/smogtours-gen3ou-798229</t>
  </si>
  <si>
    <t>https://replay.pokemonshowdown.com/smogtours-gen3ou-798237</t>
  </si>
  <si>
    <t>https://replay.pokemonshowdown.com/smogtours-gen3ou-798701</t>
  </si>
  <si>
    <t>https://replay.pokemonshowdown.com/smogtours-gen3ou-798705</t>
  </si>
  <si>
    <t>https://replay.pokemonshowdown.com/smogtours-gen3ou-798712</t>
  </si>
  <si>
    <t>https://replay.pokemonshowdown.com/smogtours-gen3ou-797759</t>
  </si>
  <si>
    <t>https://replay.pokemonshowdown.com/smogtours-gen3ou-797770</t>
  </si>
  <si>
    <t>https://replay.pokemonshowdown.com/smogtours-gen3ou-798272</t>
  </si>
  <si>
    <t>https://replay.pokemonshowdown.com/smogtours-gen3ou-798309</t>
  </si>
  <si>
    <t>https://replay.pokemonshowdown.com/smogtours-gen3ou-797191</t>
  </si>
  <si>
    <t>https://replay.pokemonshowdown.com/smogtours-gen3ou-797193</t>
  </si>
  <si>
    <t>https://replay.pokemonshowdown.com/smogtours-gen3ou-797227</t>
  </si>
  <si>
    <t>https://replay.pokemonshowdown.com/smogtours-gen3ou-797231</t>
  </si>
  <si>
    <t>https://replay.pokemonshowdown.com/smogtours-gen3ou-798528</t>
  </si>
  <si>
    <t>https://replay.pokemonshowdown.com/smogtours-gen3ou-798540</t>
  </si>
  <si>
    <t>https://replay.pokemonshowdown.com/smogtours-gen3ou-798822</t>
  </si>
  <si>
    <t>https://replay.pokemonshowdown.com/smogtours-gen3ou-798827</t>
  </si>
  <si>
    <t>https://replay.pokemonshowdown.com/smogtours-gen3ou-798836</t>
  </si>
  <si>
    <t>https://replay.pokemonshowdown.com/smogtours-gen3ou-798169</t>
  </si>
  <si>
    <t>https://replay.pokemonshowdown.com/smogtours-gen3ou-798191</t>
  </si>
  <si>
    <t>https://replay.pokemonshowdown.com/smogtours-gen3ou-797139?p2</t>
  </si>
  <si>
    <t>https://replay.pokemonshowdown.com/smogtours-gen3ou-797140</t>
  </si>
  <si>
    <t>https://replay.pokemonshowdown.com/smogtours-gen3ou-797142?p2</t>
  </si>
  <si>
    <t>https://replay.pokemonshowdown.com/smogtours-gen3ou-798091</t>
  </si>
  <si>
    <t>https://replay.pokemonshowdown.com/smogtours-gen3ou-798093</t>
  </si>
  <si>
    <t>https://replay.pokemonshowdown.com/smogtours-gen3ou-798102</t>
  </si>
  <si>
    <t>https://replay.pokemonshowdown.com/smogtours-gen3ou-798794</t>
  </si>
  <si>
    <t>https://replay.pokemonshowdown.com/smogtours-gen3ou-798799</t>
  </si>
  <si>
    <t>https://replay.pokemonshowdown.com/smogtours-gen3ou-798787</t>
  </si>
  <si>
    <t>https://replay.pokemonshowdown.com/smogtours-gen3ou-798797</t>
  </si>
  <si>
    <t>https://replay.pokemonshowdown.com/smogtours-gen3ou-798806</t>
  </si>
  <si>
    <t>https://replay.pokemonshowdown.com/smogtours-gen3ou-798529</t>
  </si>
  <si>
    <t>https://replay.pokemonshowdown.com/smogtours-gen3ou-798532</t>
  </si>
  <si>
    <t>https://replay.pokemonshowdown.com/smogtours-gen3ou-798655</t>
  </si>
  <si>
    <t>https://replay.pokemonshowdown.com/smogtours-gen3ou-798657</t>
  </si>
  <si>
    <t>https://replay.pokemonshowdown.com/smogtours-gen3ou-798664</t>
  </si>
  <si>
    <t>https://replay.pokemonshowdown.com/smogtours-gen3ou-798603</t>
  </si>
  <si>
    <t>https://replay.pokemonshowdown.com/smogtours-gen3ou-798604</t>
  </si>
  <si>
    <t>https://replay.pokemonshowdown.com/smogtours-gen3ou-798687</t>
  </si>
  <si>
    <t>https://replay.pokemonshowdown.com/smogtours-gen3ou-798689</t>
  </si>
  <si>
    <t>https://replay.pokemonshowdown.com/smogtours-gen3ou-798858</t>
  </si>
  <si>
    <t>https://replay.pokemonshowdown.com/smogtours-gen3ou-798861</t>
  </si>
  <si>
    <t>https://replay.pokemonshowdown.com/smogtours-gen3ou-798864</t>
  </si>
  <si>
    <t>https://replay.pokemonshowdown.com/smogtours-gen3ou-798597</t>
  </si>
  <si>
    <t>https://replay.pokemonshowdown.com/smogtours-gen3ou-798598</t>
  </si>
  <si>
    <t>https://replay.pokemonshowdown.com/smogtours-gen3ou-798599</t>
  </si>
  <si>
    <t>https://replay.pokemonshowdown.com/smogtours-gen3ou-797446?p2</t>
  </si>
  <si>
    <t>https://replay.pokemonshowdown.com/smogtours-gen3ou-797459</t>
  </si>
  <si>
    <t>https://replay.pokemonshowdown.com/smogtours-gen3ou-797470?p2</t>
  </si>
  <si>
    <t>https://replay.pokemonshowdown.com/smogtours-gen3ou-798464</t>
  </si>
  <si>
    <t>https://replay.pokemonshowdown.com/smogtours-gen3ou-798472</t>
  </si>
  <si>
    <t>https://replay.pokemonshowdown.com/smogtours-gen3ou-798483</t>
  </si>
  <si>
    <t>https://replay.pokemonshowdown.com/smogtours-gen3ou-798613</t>
  </si>
  <si>
    <t>https://replay.pokemonshowdown.com/smogtours-gen3ou-798614</t>
  </si>
  <si>
    <t>https://replay.pokemonshowdown.com/smogtours-gen3ou-798615</t>
  </si>
  <si>
    <t>https://replay.pokemonshowdown.com/smogtours-gen3ou-798659?p2</t>
  </si>
  <si>
    <t>https://replay.pokemonshowdown.com/smogtours-gen3ou-798662</t>
  </si>
  <si>
    <t>https://replay.pokemonshowdown.com/smogtours-gen3ou-798427</t>
  </si>
  <si>
    <t>https://replay.pokemonshowdown.com/smogtours-gen3ou-798438</t>
  </si>
  <si>
    <t>https://replay.pokemonshowdown.com/smogtours-gen3ou-798768</t>
  </si>
  <si>
    <t>https://replay.pokemonshowdown.com/smogtours-gen3ou-798771</t>
  </si>
  <si>
    <t>https://replay.pokemonshowdown.com/smogtours-gen3ou-798570</t>
  </si>
  <si>
    <t>https://replay.pokemonshowdown.com/smogtours-gen3ou-798574</t>
  </si>
  <si>
    <t>https://replay.pokemonshowdown.com/smogtours-gen3ou-797415?p2</t>
  </si>
  <si>
    <t>https://replay.pokemonshowdown.com/smogtours-gen3ou-798688</t>
  </si>
  <si>
    <t>https://replay.pokemonshowdown.com/smogtours-gen3ou-798692</t>
  </si>
  <si>
    <t>https://replay.pokemonshowdown.com/smogtours-gen3ou-797981</t>
  </si>
  <si>
    <t>https://replay.pokemonshowdown.com/smogtours-gen3ou-797983</t>
  </si>
  <si>
    <t>https://replay.pokemonshowdown.com/smogtours-gen3ou-798844</t>
  </si>
  <si>
    <t>https://replay.pokemonshowdown.com/smogtours-gen3ou-798846</t>
  </si>
  <si>
    <t>https://replay.pokemonshowdown.com/smogtours-gen3ou-798849</t>
  </si>
  <si>
    <t>https://replay.pokemonshowdown.com/smogtours-gen3ou-798717</t>
  </si>
  <si>
    <t>https://replay.pokemonshowdown.com/smogtours-gen3ou-798720?p2</t>
  </si>
  <si>
    <t>https://replay.pokemonshowdown.com/smogtours-gen3ou-798775</t>
  </si>
  <si>
    <t>https://replay.pokemonshowdown.com/smogtours-gen3ou-798781</t>
  </si>
  <si>
    <t>https://replay.pokemonshowdown.com/smogtours-gen3ou-798789</t>
  </si>
  <si>
    <t>https://replay.pokemonshowdown.com/smogtours-gen3ou-798508</t>
  </si>
  <si>
    <t>https://replay.pokemonshowdown.com/smogtours-gen3ou-798511</t>
  </si>
  <si>
    <t>https://replay.pokemonshowdown.com/smogtours-gen3ou-798516</t>
  </si>
  <si>
    <t>https://replay.pokemonshowdown.com/smogtours-gen3ou-798622</t>
  </si>
  <si>
    <t>https://replay.pokemonshowdown.com/smogtours-gen3ou-798624</t>
  </si>
  <si>
    <t>https://replay.pokemonshowdown.com/smogtours-gen3ou-798625</t>
  </si>
  <si>
    <t>https://replay.pokemonshowdown.com/smogtours-gen3ou-797200</t>
  </si>
  <si>
    <t>https://replay.pokemonshowdown.com/smogtours-gen3ou-797206</t>
  </si>
  <si>
    <t>https://replay.pokemonshowdown.com/smogtours-gen3ou-797212</t>
  </si>
  <si>
    <t>https://replay.pokemonshowdown.com/smogtours-gen3ou-798463</t>
  </si>
  <si>
    <t>https://replay.pokemonshowdown.com/smogtours-gen3ou-798477</t>
  </si>
  <si>
    <t>https://replay.pokemonshowdown.com/smogtours-gen3ou-797952</t>
  </si>
  <si>
    <t>https://replay.pokemonshowdown.com/smogtours-gen3ou-797949</t>
  </si>
  <si>
    <t>https://replay.pokemonshowdown.com/smogtours-gen3ou-798803</t>
  </si>
  <si>
    <t>https://replay.pokemonshowdown.com/smogtours-gen3ou-798804</t>
  </si>
  <si>
    <t>https://replay.pokemonshowdown.com/smogtours-gen3ou-798809</t>
  </si>
  <si>
    <t>https://replay.pokemonshowdown.com/smogtours-gen3ou-798686</t>
  </si>
  <si>
    <t>https://replay.pokemonshowdown.com/smogtours-gen3ou-798693</t>
  </si>
  <si>
    <t>https://replay.pokemonshowdown.com/smogtours-gen3ou-798698</t>
  </si>
  <si>
    <t>https://replay.pokemonshowdown.com/gen3ou-2222257341-oupo9p54aoobde6lregaajp0hore4ekpw</t>
  </si>
  <si>
    <t>https://replay.pokemonshowdown.com/gen3ou-2222251629-wxmqxa5vae866j3ed9qwzhcfnu0ndd5pw</t>
  </si>
  <si>
    <t>https://replay.pokemonshowdown.com/smogtours-gen3ou-798665</t>
  </si>
  <si>
    <t>https://replay.pokemonshowdown.com/smogtours-gen3ou-798674</t>
  </si>
  <si>
    <t>https://replay.pokemonshowdown.com/smogtours-gen3ou-798349</t>
  </si>
  <si>
    <t>https://replay.pokemonshowdown.com/smogtours-gen3ou-798370</t>
  </si>
  <si>
    <t>https://replay.pokemonshowdown.com/smogtours-gen3ou-797398</t>
  </si>
  <si>
    <t>https://replay.pokemonshowdown.com/smogtours-gen3ou-797401</t>
  </si>
  <si>
    <t>https://replay.pokemonshowdown.com/smogtours-gen3ou-797404</t>
  </si>
  <si>
    <t>https://replay.pokemonshowdown.com/smogtours-gen3ou-798118</t>
  </si>
  <si>
    <t>https://replay.pokemonshowdown.com/smogtours-gen3ou-798126</t>
  </si>
  <si>
    <t>https://replay.pokemonshowdown.com/smogtours-gen3ou-798131</t>
  </si>
  <si>
    <t>https://replay.pokemonshowdown.com/smogtours-gen3ou-798581</t>
  </si>
  <si>
    <t>https://replay.pokemonshowdown.com/smogtours-gen3ou-798584</t>
  </si>
  <si>
    <t>https://replay.pokemonshowdown.com/smogtours-gen3ou-797578</t>
  </si>
  <si>
    <t>https://replay.pokemonshowdown.com/smogtours-gen3ou-797590</t>
  </si>
  <si>
    <t>https://replay.pokemonshowdown.com/gen3ou-2222425217</t>
  </si>
  <si>
    <t>https://replay.pokemonshowdown.com/gen3ou-2222429904</t>
  </si>
  <si>
    <t>https://replay.pokemonshowdown.com/smogtours-gen3ou-797884</t>
  </si>
  <si>
    <t>https://replay.pokemonshowdown.com/smogtours-gen3ou-797888</t>
  </si>
  <si>
    <t>https://replay.pokemonshowdown.com/smogtours-gen3ou-797372</t>
  </si>
  <si>
    <t>https://replay.pokemonshowdown.com/smogtours-gen3ou-797374</t>
  </si>
  <si>
    <t>https://replay.pokemonshowdown.com/smogtours-gen3ou-797377</t>
  </si>
  <si>
    <t>https://replay.pokemonshowdown.com/smogtours-gen3ou-798830</t>
  </si>
  <si>
    <t>https://replay.pokemonshowdown.com/smogtours-gen3ou-798839</t>
  </si>
  <si>
    <t>https://replay.pokemonshowdown.com/smogtours-gen3ou-798856</t>
  </si>
  <si>
    <t>https://replay.pokemonshowdown.com/smogtours-gen3ou-798857</t>
  </si>
  <si>
    <t>https://replay.pokemonshowdown.com/smogtours-gen3ou-798766</t>
  </si>
  <si>
    <t>https://replay.pokemonshowdown.com/smogtours-gen3ou-798129</t>
  </si>
  <si>
    <t>https://replay.pokemonshowdown.com/smogtours-gen3ou-798124</t>
  </si>
  <si>
    <t>https://replay.pokemonshowdown.com/smogtours-gen3ou-798115</t>
  </si>
  <si>
    <t>https://replay.pokemonshowdown.com/smogtours-gen3ou-798784</t>
  </si>
  <si>
    <t>https://replay.pokemonshowdown.com/smogtours-gen3ou-798788</t>
  </si>
  <si>
    <t>https://replay.pokemonshowdown.com/smogtours-gen3ou-798770</t>
  </si>
  <si>
    <t>https://replay.pokemonshowdown.com/smogtours-gen3ou-798773</t>
  </si>
  <si>
    <t>https://replay.pokemonshowdown.com/smogtours-gen3ou-797300</t>
  </si>
  <si>
    <t>https://replay.pokemonshowdown.com/smogtours-gen3ou-797304</t>
  </si>
  <si>
    <t>https://replay.pokemonshowdown.com/smogtours-gen3ou-798274</t>
  </si>
  <si>
    <t>https://replay.pokemonshowdown.com/smogtours-gen3ou-798302</t>
  </si>
  <si>
    <t>https://replay.pokemonshowdown.com/smogtours-gen3ou-798315</t>
  </si>
  <si>
    <t>https://replay.pokemonshowdown.com/gen3ou-2222763214</t>
  </si>
  <si>
    <t>https://replay.pokemonshowdown.com/gen3ou-2222768386</t>
  </si>
  <si>
    <t>https://replay.pokemonshowdown.com/smogtours-gen3ou-798635</t>
  </si>
  <si>
    <t>https://replay.pokemonshowdown.com/smogtours-gen3ou-798638</t>
  </si>
  <si>
    <t>https://replay.pokemonshowdown.com/smogtours-gen3ou-798865</t>
  </si>
  <si>
    <t>https://replay.pokemonshowdown.com/smogtours-gen3ou-798866</t>
  </si>
  <si>
    <t>https://replay.pokemonshowdown.com/smogtours-gen3ou-797844</t>
  </si>
  <si>
    <t>https://replay.pokemonshowdown.com/smogtours-gen3ou-797849</t>
  </si>
  <si>
    <t>https://replay.pokemonshowdown.com/smogtours-gen3ou-797781</t>
  </si>
  <si>
    <t>https://replay.pokemonshowdown.com/smogtours-gen3ou-797792</t>
  </si>
  <si>
    <t>https://replay.pokemonshowdown.com/smogtours-gen3ou-798340</t>
  </si>
  <si>
    <t>https://replay.pokemonshowdown.com/smogtours-gen3ou-798350</t>
  </si>
  <si>
    <t>https://replay.pokemonshowdown.com/smogtours-gen3ou-798371</t>
  </si>
  <si>
    <t>https://replay.pokemonshowdown.com/smogtours-gen3ou-798644</t>
  </si>
  <si>
    <t>https://replay.pokemonshowdown.com/smogtours-gen3ou-798646</t>
  </si>
  <si>
    <t>https://replay.pokemonshowdown.com/smogtours-gen3ou-798648</t>
  </si>
  <si>
    <t>http://replay.pokemonshowdown.com/smogtours-gen3ou-798143</t>
  </si>
  <si>
    <t>http://replay.pokemonshowdown.com/smogtours-gen3ou-798149</t>
  </si>
  <si>
    <t>https://replay.pokemonshowdown.com/smogtours-gen3ou-798667</t>
  </si>
  <si>
    <t>https://replay.pokemonshowdown.com/smogtours-gen3ou-798672</t>
  </si>
  <si>
    <t>https://replay.pokemonshowdown.com/smogtours-gen3ou-797271</t>
  </si>
  <si>
    <t>https://replay.pokemonshowdown.com/smogtours-gen3ou-797275</t>
  </si>
  <si>
    <t>https://replay.pokemonshowdown.com/smogtours-gen3ou-797282</t>
  </si>
  <si>
    <t>https://replay.pokemonshowdown.com/smogtours-gen3ou-798761?p2</t>
  </si>
  <si>
    <t>https://replay.pokemonshowdown.com/smogtours-gen3ou-798765?p2</t>
  </si>
  <si>
    <t>https://replay.pokemonshowdown.com/smogtours-gen3ou-798772</t>
  </si>
  <si>
    <t>https://replay.pokemonshowdown.com/smogtours-gen3ou-798696</t>
  </si>
  <si>
    <t>https://replay.pokemonshowdown.com/smogtours-gen3ou-798699</t>
  </si>
  <si>
    <t>https://replay.pokemonshowdown.com/smogtours-gen3ou-798691</t>
  </si>
  <si>
    <t>https://replay.pokemonshowdown.com/smogtours-gen3ou-798695</t>
  </si>
  <si>
    <t>https://replay.pokemonshowdown.com/smogtours-gen3ou-798697</t>
  </si>
  <si>
    <t>https://replay.pokemonshowdown.com/smogtours-gen3ou-798739</t>
  </si>
  <si>
    <t>https://replay.pokemonshowdown.com/smogtours-gen3ou-798747?p2</t>
  </si>
  <si>
    <t>https://replay.pokemonshowdown.com/smogtours-gen3ou-798734?p2</t>
  </si>
  <si>
    <t>https://replay.pokemonshowdown.com/smogtours-gen3ou-798742?p2</t>
  </si>
  <si>
    <t>https://replay.pokemonshowdown.com/smogtours-gen3ou-798750?p2</t>
  </si>
  <si>
    <t>https://replay.pokemonshowdown.com/smogtours-gen3ou-797292</t>
  </si>
  <si>
    <t>https://replay.pokemonshowdown.com/smogtours-gen3ou-797299</t>
  </si>
  <si>
    <t>https://replay.pokemonshowdown.com/smogtours-gen3ou-798050</t>
  </si>
  <si>
    <t>https://replay.pokemonshowdown.com/smogtours-gen3ou-798059</t>
  </si>
  <si>
    <t>https://replay.pokemonshowdown.com/smogtours-gen3ou-798064</t>
  </si>
  <si>
    <t>https://replay.pokemonshowdown.com/smogtours-gen3ou-798175</t>
  </si>
  <si>
    <t>https://replay.pokemonshowdown.com/smogtours-gen3ou-798190</t>
  </si>
  <si>
    <t>https://replay.pokemonshowdown.com/smogtours-gen3ou-798810</t>
  </si>
  <si>
    <t>https://replay.pokemonshowdown.com/smogtours-gen3ou-798814</t>
  </si>
  <si>
    <t>https://replay.pokemonshowdown.com/smogtours-gen3ou-798039</t>
  </si>
  <si>
    <t>https://replay.pokemonshowdown.com/smogtours-gen3ou-798051</t>
  </si>
  <si>
    <t>https://replay.pokemonshowdown.com/smogtours-gen3ou-797984</t>
  </si>
  <si>
    <t>https://replay.pokemonshowdown.com/smogtours-gen3ou-797985</t>
  </si>
  <si>
    <t>https://replay.pokemonshowdown.com/smogtours-gen3ou-797987</t>
  </si>
  <si>
    <t>https://replay.pokemonshowdown.com/smogtours-gen3ou-797855</t>
  </si>
  <si>
    <t>https://replay.pokemonshowdown.com/smogtours-gen3ou-797859</t>
  </si>
  <si>
    <t>https://replay.pokemonshowdown.com/smogtours-gen3ou-797863</t>
  </si>
  <si>
    <t>https://replay.pokemonshowdown.com/smogtours-gen3ou-797807</t>
  </si>
  <si>
    <t>https://replay.pokemonshowdown.com/smogtours-gen3ou-797819</t>
  </si>
  <si>
    <t>https://replay.pokemonshowdown.com/smogtours-gen3ou-798783</t>
  </si>
  <si>
    <t>https://replay.pokemonshowdown.com/smogtours-gen3ou-798791</t>
  </si>
  <si>
    <r>
      <rPr>
        <rFont val="inherit"/>
        <sz val="12.0"/>
      </rPr>
      <t>https://replay.pokemonshowdown.com/smogtours-gen3ou-798874</t>
    </r>
  </si>
  <si>
    <r>
      <rPr>
        <rFont val="inherit"/>
        <sz val="12.0"/>
      </rPr>
      <t>https://replay.pokemonshowdown.com/smogtours-gen3ou-798877</t>
    </r>
  </si>
  <si>
    <r>
      <rPr>
        <rFont val="inherit"/>
        <sz val="12.0"/>
      </rPr>
      <t>https://replay.pokemonshowdown.com/smogtours-gen3ou-798727</t>
    </r>
  </si>
  <si>
    <r>
      <rPr>
        <rFont val="inherit"/>
        <sz val="12.0"/>
      </rPr>
      <t>https://replay.pokemonshowdown.com/smogtours-gen3ou-798735</t>
    </r>
  </si>
  <si>
    <r>
      <rPr>
        <rFont val="inherit"/>
        <sz val="12.0"/>
        <u/>
      </rPr>
      <t>https://replay.pokemonshowdown.com/smogtours-gen3ou-798737</t>
    </r>
  </si>
  <si>
    <r>
      <rPr>
        <rFont val="inherit"/>
        <sz val="12.0"/>
      </rPr>
      <t>https://replay.pokemonshowdown.com/smogtours-gen3ou-798757</t>
    </r>
  </si>
  <si>
    <r>
      <rPr>
        <rFont val="inherit"/>
        <sz val="12.0"/>
      </rPr>
      <t>https://replay.pokemonshowdown.com/smogtours-gen3ou-798759</t>
    </r>
  </si>
  <si>
    <r>
      <rPr>
        <rFont val="inherit"/>
        <sz val="12.0"/>
      </rPr>
      <t>https://replay.pokemonshowdown.com/smogtours-gen3ou-798676</t>
    </r>
  </si>
  <si>
    <r>
      <rPr>
        <rFont val="inherit"/>
        <sz val="12.0"/>
      </rPr>
      <t>https://replay.pokemonshowdown.com/smogtours-gen3ou-798681</t>
    </r>
  </si>
  <si>
    <r>
      <rPr>
        <rFont val="inherit"/>
        <sz val="12.0"/>
      </rPr>
      <t>https://replay.pokemonshowdown.com/smogtours-gen3ou-798685</t>
    </r>
  </si>
  <si>
    <r>
      <rPr>
        <rFont val="inherit"/>
        <sz val="12.0"/>
      </rPr>
      <t>https://replay.pokemonshowdown.com/smogtours-gen3ou-798859</t>
    </r>
  </si>
  <si>
    <r>
      <rPr>
        <rFont val="inherit"/>
        <sz val="12.0"/>
      </rPr>
      <t>https://replay.pokemonshowdown.com/smogtours-gen3ou-798862</t>
    </r>
  </si>
  <si>
    <r>
      <rPr>
        <rFont val="inherit"/>
        <sz val="12.0"/>
      </rPr>
      <t>https://replay.pokemonshowdown.com/smogtours-gen3ou-798702</t>
    </r>
  </si>
  <si>
    <r>
      <rPr>
        <rFont val="inherit"/>
        <sz val="12.0"/>
      </rPr>
      <t>https://replay.pokemonshowdown.com/smogtours-gen3ou-798707</t>
    </r>
  </si>
  <si>
    <t>https://replay.pokemonshowdown.com/smogtours-gen3ou-798870</t>
  </si>
  <si>
    <t>https://replay.pokemonshowdown.com/smogtours-gen3ou-798872</t>
  </si>
  <si>
    <t>https://replay.pokemonshowdown.com/smogtours-gen3ou-798875</t>
  </si>
  <si>
    <t>https://replay.pokemonshowdown.com/smogtours-gen3ou-798869</t>
  </si>
  <si>
    <t>https://replay.pokemonshowdown.com/smogtours-gen3ou-798868?p2</t>
  </si>
  <si>
    <t>https://replay.pokemonshowdown.com/smogtours-gen3ou-798217</t>
  </si>
  <si>
    <t>https://replay.pokemonshowdown.com/smogtours-gen3ou-798232</t>
  </si>
  <si>
    <t>https://replay.pokemonshowdown.com/smogtours-gen3ou-798522</t>
  </si>
  <si>
    <t>https://replay.pokemonshowdown.com/smogtours-gen3ou-798526</t>
  </si>
  <si>
    <t>https://replay.pokemonshowdown.com/smogtours-gen3ou-798165</t>
  </si>
  <si>
    <t>http://replay.pokemonshowdown.com/smogtours-gen3ou-798184?p2</t>
  </si>
  <si>
    <t>https://replay.pokemonshowdown.com/smogtours-gen3ou-798713</t>
  </si>
  <si>
    <t>https://replay.pokemonshowdown.com/smogtours-gen3ou-798719</t>
  </si>
  <si>
    <t>https://replay.pokemonshowdown.com/smogtours-gen3ou-798265</t>
  </si>
  <si>
    <t>https://replay.pokemonshowdown.com/smogtours-gen3ou-798277</t>
  </si>
  <si>
    <t>https://replay.pokemonshowdown.com/smogtours-gen3ou-798287</t>
  </si>
  <si>
    <t>https://replay.pokemonshowdown.com/smogtours-gen3ou-798176</t>
  </si>
  <si>
    <t>https://replay.pokemonshowdown.com/smogtours-gen3ou-798188</t>
  </si>
  <si>
    <t>https://replay.pokemonshowdown.com/smogtours-gen3ou-798317</t>
  </si>
  <si>
    <t>https://replay.pokemonshowdown.com/smogtours-gen3ou-798333</t>
  </si>
  <si>
    <t>https://replay.pokemonshowdown.com/smogtours-gen3ou-798365</t>
  </si>
  <si>
    <t>https://replay.pokemonshowdown.com/smogtours-gen3ou-798530</t>
  </si>
  <si>
    <t>https://replay.pokemonshowdown.com/smogtours-gen3ou-798538</t>
  </si>
  <si>
    <t>https://replay.pokemonshowdown.com/smogtours-gen3ou-798545</t>
  </si>
  <si>
    <t>https://replay.pokemonshowdown.com/smogtours-gen3ou-798307</t>
  </si>
  <si>
    <t>https://replay.pokemonshowdown.com/smogtours-gen3ou-798311</t>
  </si>
  <si>
    <t>https://replay.pokemonshowdown.com/smogtours-gen3ou-798782</t>
  </si>
  <si>
    <t>https://replay.pokemonshowdown.com/smogtours-gen3ou-798785</t>
  </si>
  <si>
    <t>https://replay.pokemonshowdown.com/smogtours-gen3ou-798790</t>
  </si>
  <si>
    <t>https://replay.pokemonshowdown.com/smogtours-gen3ou-798553</t>
  </si>
  <si>
    <t>https://replay.pokemonshowdown.com/smogtours-gen3ou-798550</t>
  </si>
  <si>
    <t>https://replay.pokemonshowdown.com/smogtours-gen3ou-798792</t>
  </si>
  <si>
    <t>https://replay.pokemonshowdown.com/smogtours-gen3ou-798796</t>
  </si>
  <si>
    <t>https://replay.pokemonshowdown.com/smogtours-gen3ou-798917?p2</t>
  </si>
  <si>
    <t>https://replay.pokemonshowdown.com/smogtours-gen3ou-798922?p2</t>
  </si>
  <si>
    <t>https://replay.pokemonshowdown.com/smogtours-gen3ou-798631?p2</t>
  </si>
  <si>
    <t>https://replay.pokemonshowdown.com/smogtours-gen3ou-798642</t>
  </si>
  <si>
    <t>https://replay.pokemonshowdown.com/smogtours-gen3ou-798636?p2</t>
  </si>
  <si>
    <t>https://replay.pokemonshowdown.com/smogtours-gen3ou-798915?p2</t>
  </si>
  <si>
    <t>https://replay.pokemonshowdown.com/smogtours-gen3ou-798920</t>
  </si>
  <si>
    <t>https://replay.pokemonshowdown.com/smogtours-gen3ou-798924</t>
  </si>
  <si>
    <t>https://replay.pokemonshowdown.com/smogtours-gen3ou-798903</t>
  </si>
  <si>
    <t>https://replay.pokemonshowdown.com/smogtours-gen3ou-798904</t>
  </si>
  <si>
    <t>https://replay.pokemonshowdown.com/smogtours-gen3ou-798213</t>
  </si>
  <si>
    <t>https://replay.pokemonshowdown.com/smogtours-gen3ou-798231</t>
  </si>
  <si>
    <t>https://replay.pokemonshowdown.com/smogtours-gen3ou-798236</t>
  </si>
  <si>
    <t>https://replay.pokemonshowdown.com/smogtours-gen3ou-798840</t>
  </si>
  <si>
    <t>https://replay.pokemonshowdown.com/smogtours-gen3ou-798842</t>
  </si>
  <si>
    <r>
      <rPr>
        <rFont val="inherit"/>
        <sz val="12.0"/>
        <u/>
      </rPr>
      <t>https://replay.pokemonshowdown.com/smogtours-gen3ou-798884</t>
    </r>
  </si>
  <si>
    <r>
      <rPr>
        <rFont val="inherit"/>
        <sz val="12.0"/>
      </rPr>
      <t>https://replay.pokemonshowdown.com/smogtours-gen3ou-798885</t>
    </r>
  </si>
  <si>
    <r>
      <rPr>
        <rFont val="inherit"/>
        <sz val="12.0"/>
      </rPr>
      <t>https://replay.pokemonshowdown.com/smogtours-gen3ou-798886</t>
    </r>
  </si>
  <si>
    <r>
      <rPr>
        <rFont val="inherit"/>
        <sz val="12.0"/>
      </rPr>
      <t>https://replay.pokemonshowdown.com/smogtours-gen3ou-798952</t>
    </r>
  </si>
  <si>
    <r>
      <rPr>
        <rFont val="inherit"/>
        <sz val="12.0"/>
      </rPr>
      <t>https://replay.pokemonshowdown.com/smogtours-gen3ou-798963</t>
    </r>
  </si>
  <si>
    <t>https://replay.pokemonshowdown.com/smogtours-gen3ou-798998</t>
  </si>
  <si>
    <t>https://replay.pokemonshowdown.com/smogtours-gen3ou-799009</t>
  </si>
  <si>
    <t>https://replay.pokemonshowdown.com/smogtours-gen3ou-799044</t>
  </si>
  <si>
    <t>https://replay.pokemonshowdown.com/smogtours-gen3ou-799046</t>
  </si>
  <si>
    <t>https://replay.pokemonshowdown.com/smogtours-gen3ou-799048</t>
  </si>
  <si>
    <t>https://replay.pokemonshowdown.com/smogtours-gen3ou-799051</t>
  </si>
  <si>
    <t>https://replay.pokemonshowdown.com/smogtours-gen3ou-798942</t>
  </si>
  <si>
    <t>https://replay.pokemonshowdown.com/smogtours-gen3ou-798937</t>
  </si>
  <si>
    <t>https://replay.pokemonshowdown.com/smogtours-gen3ou-798929</t>
  </si>
  <si>
    <t>https://replay.pokemonshowdown.com/smogtours-gen3ou-799083</t>
  </si>
  <si>
    <t>https://replay.pokemonshowdown.com/smogtours-gen3ou-799084</t>
  </si>
  <si>
    <t>https://replay.pokemonshowdown.com/smogtours-gen3ou-798956</t>
  </si>
  <si>
    <t>https://replay.pokemonshowdown.com/smogtours-gen3ou-798959?p2</t>
  </si>
  <si>
    <t>https://replay.pokemonshowdown.com/smogtours-gen3ou-798979</t>
  </si>
  <si>
    <t>https://replay.pokemonshowdown.com/smogtours-gen3ou-798991</t>
  </si>
  <si>
    <t>https://replay.pokemonshowdown.com/smogtours-gen3ou-798467</t>
  </si>
  <si>
    <t>https://replay.pokemonshowdown.com/smogtours-gen3ou-798473</t>
  </si>
  <si>
    <t>https://replay.pokemonshowdown.com/smogtours-gen3ou-798706</t>
  </si>
  <si>
    <t>https://replay.pokemonshowdown.com/smogtours-gen3ou-798710</t>
  </si>
  <si>
    <t>https://replay.pokemonshowdown.com/smogtours-gen3ou-798716</t>
  </si>
  <si>
    <t>https://replay.pokemonshowdown.com/smogtours-gen3ou-798986</t>
  </si>
  <si>
    <t>https://replay.pokemonshowdown.com/smogtours-gen3ou-798989</t>
  </si>
  <si>
    <t>https://replay.pokemonshowdown.com/smogtours-gen3ou-799077</t>
  </si>
  <si>
    <t>https://replay.pokemonshowdown.com/smogtours-gen3ou-799079</t>
  </si>
  <si>
    <t>https://replay.pokemonshowdown.com/smogtours-gen3ou-798731</t>
  </si>
  <si>
    <t>https://replay.pokemonshowdown.com/smogtours-gen3ou-798751</t>
  </si>
  <si>
    <t>https://replay.pokemonshowdown.com/smogtours-gen3ou-798070</t>
  </si>
  <si>
    <t>https://replay.pokemonshowdown.com/smogtours-gen3ou-798076</t>
  </si>
  <si>
    <t>https://replay.pokemonshowdown.com/smogtours-gen3ou-798312?p2</t>
  </si>
  <si>
    <t>https://replay.pokemonshowdown.com/smogtours-gen3ou-798321?p2</t>
  </si>
  <si>
    <t>https://replay.pokemonshowdown.com/smogtours-gen3ou-798330?p2</t>
  </si>
  <si>
    <t>https://replay.pokemonshowdown.com/smogtours-gen3ou-797892</t>
  </si>
  <si>
    <t>https://replay.pokemonshowdown.com/smogtours-gen3ou-797893</t>
  </si>
  <si>
    <t>https://replay.pokemonshowdown.com/smogtours-gen3ou-797895</t>
  </si>
  <si>
    <t>https://replay.pokemonshowdown.com/smogtours-gen3ou-798114</t>
  </si>
  <si>
    <t>https://replay.pokemonshowdown.com/smogtours-gen3ou-798120</t>
  </si>
  <si>
    <t>https://replay.pokemonshowdown.com/smogtours-gen3ou-798551</t>
  </si>
  <si>
    <t>https://replay.pokemonshowdown.com/smogtours-gen3ou-798557</t>
  </si>
  <si>
    <t>https://replay.pokemonshowdown.com/gen3ou-2221518195-h58754bxhi7v41th1css0musepaq3d6pw</t>
  </si>
  <si>
    <t>https://replay.pokemonshowdown.com/gen3ou-2221527659-gab7w67wruinn9wq7vpzunbwoeev8qfpw</t>
  </si>
  <si>
    <t>https://replay.pokemonshowdown.com/smogtours-gen3ou-798670</t>
  </si>
  <si>
    <t>https://replay.pokemonshowdown.com/smogtours-gen3ou-798679</t>
  </si>
  <si>
    <t>https://replay.pokemonshowdown.com/smogtours-gen3ou-798683</t>
  </si>
  <si>
    <t>https://replay.pokemonshowdown.com/smogtours-gen3ou-797419</t>
  </si>
  <si>
    <t>https://replay.pokemonshowdown.com/smogtours-gen3ou-797423</t>
  </si>
  <si>
    <t>https://replay.pokemonshowdown.com/smogtours-gen3ou-799047</t>
  </si>
  <si>
    <t>https://replay.pokemonshowdown.com/smogtours-gen3ou-799050</t>
  </si>
  <si>
    <t>https://replay.pokemonshowdown.com/smogtours-gen3ou-798585</t>
  </si>
  <si>
    <t>https://replay.pokemonshowdown.com/smogtours-gen3ou-798588</t>
  </si>
  <si>
    <t>https://replay.pokemonshowdown.com/smogtours-gen3ou-798187</t>
  </si>
  <si>
    <t>https://replay.pokemonshowdown.com/smogtours-gen3ou-798192</t>
  </si>
  <si>
    <t>https://replay.pokemonshowdown.com/smogtours-gen3ou-798164</t>
  </si>
  <si>
    <t>https://replay.pokemonshowdown.com/smogtours-gen3ou-798180</t>
  </si>
  <si>
    <t>https://replay.pokemonshowdown.com/smogtours-gen3ou-797155</t>
  </si>
  <si>
    <t>https://replay.pokemonshowdown.com/smogtours-gen3ou-797157</t>
  </si>
  <si>
    <t>https://replay.pokemonshowdown.com/smogtours-gen3ou-797159</t>
  </si>
  <si>
    <t>https://replay.pokemonshowdown.com/smogtours-gen3ou-799076</t>
  </si>
  <si>
    <t>https://replay.pokemonshowdown.com/smogtours-gen3ou-799078</t>
  </si>
  <si>
    <t>https://replay.pokemonshowdown.com/smogtours-gen3ou-797885</t>
  </si>
  <si>
    <t>https://replay.pokemonshowdown.com/smogtours-gen3ou-797887</t>
  </si>
  <si>
    <t>https://replay.pokemonshowdown.com/smogtours-gen3ou-797890</t>
  </si>
  <si>
    <t>https://replay.pokemonshowdown.com/smogtours-gen3ou-798900</t>
  </si>
  <si>
    <t>https://replay.pokemonshowdown.com/smogtours-gen3ou-798902</t>
  </si>
  <si>
    <t>https://replay.pokemonshowdown.com/smogtours-gen3ou-798901</t>
  </si>
  <si>
    <t>https://replay.pokemonshowdown.com/smogtours-gen3ou-798633?p2</t>
  </si>
  <si>
    <t>https://replay.pokemonshowdown.com/smogtours-gen3ou-798637?p2</t>
  </si>
  <si>
    <t>https://replay.pokemonshowdown.com/smogtours-gen3ou-798640?p2</t>
  </si>
  <si>
    <t>https://replay.pokemonshowdown.com/smogtours-gen3ou-797959</t>
  </si>
  <si>
    <t>https://replay.pokemonshowdown.com/smogtours-gen3ou-797960</t>
  </si>
  <si>
    <t>https://replay.pokemonshowdown.com/smogtours-gen3ou-797961</t>
  </si>
  <si>
    <t>https://replay.pokemonshowdown.com/smogtours-gen3ou-798649</t>
  </si>
  <si>
    <t>https://replay.pokemonshowdown.com/smogtours-gen3ou-798652</t>
  </si>
  <si>
    <t>https://replay.pokemonshowdown.com/smogtours-gen3ou-798654</t>
  </si>
  <si>
    <t>https://replay.pokemonshowdown.com/smogtours-gen3ou-798725?p2</t>
  </si>
  <si>
    <t>https://replay.pokemonshowdown.com/smogtours-gen3ou-798728?p2</t>
  </si>
  <si>
    <t>https://replay.pokemonshowdown.com/smogtours-gen3ou-798825</t>
  </si>
  <si>
    <t>https://replay.pokemonshowdown.com/smogtours-gen3ou-798832</t>
  </si>
  <si>
    <t>https://replay.pokemonshowdown.com/smogtours-gen3ou-797797</t>
  </si>
  <si>
    <t>https://replay.pokemonshowdown.com/smogtours-gen3ou-797802</t>
  </si>
  <si>
    <t>https://replay.pokemonshowdown.com/smogtours-gen3ou-798690</t>
  </si>
  <si>
    <t>https://replay.pokemonshowdown.com/smogtours-gen3ou-798694</t>
  </si>
  <si>
    <t>https://replay.pokemonshowdown.com/smogtours-gen3ou-797420</t>
  </si>
  <si>
    <t>https://replay.pokemonshowdown.com/smogtours-gen3ou-797426</t>
  </si>
  <si>
    <t>https://replay.pokemonshowdown.com/smogtours-gen3ou-798531</t>
  </si>
  <si>
    <t>https://replay.pokemonshowdown.com/smogtours-gen3ou-798537</t>
  </si>
  <si>
    <t>https://replay.pokemonshowdown.com/smogtours-gen3ou-798541</t>
  </si>
  <si>
    <t>https://replay.pokemonshowdown.com/smogtours-gen3ou-798930</t>
  </si>
  <si>
    <t>https://replay.pokemonshowdown.com/smogtours-gen3ou-798936</t>
  </si>
  <si>
    <t>https://replay.pokemonshowdown.com/smogtours-gen3ou-798999</t>
  </si>
  <si>
    <t>https://replay.pokemonshowdown.com/smogtours-gen3ou-799014</t>
  </si>
  <si>
    <t>https://replay.pokemonshowdown.com/smogtours-gen3ou-799025</t>
  </si>
  <si>
    <t>https://replay.pokemonshowdown.com/smogtours-gen3ou-798953</t>
  </si>
  <si>
    <t>https://replay.pokemonshowdown.com/smogtours-gen3ou-798962</t>
  </si>
  <si>
    <t>https://replay.pokemonshowdown.com/smogtours-gen3ou-799062</t>
  </si>
  <si>
    <t>https://replay.pokemonshowdown.com/smogtours-gen3ou-799066</t>
  </si>
  <si>
    <t>https://replay.pokemonshowdown.com/smogtours-gen3ou-799071</t>
  </si>
  <si>
    <t>https://replay.pokemonshowdown.com/smogtours-gen3ou-798887</t>
  </si>
  <si>
    <t>https://replay.pokemonshowdown.com/smogtours-gen3ou-798888</t>
  </si>
  <si>
    <t>https://replay.pokemonshowdown.com/smogtours-gen3ou-799055?p2</t>
  </si>
  <si>
    <t>https://replay.pokemonshowdown.com/smogtours-gen3ou-799057</t>
  </si>
  <si>
    <t>https://replay.pokemonshowdown.com/smogtours-gen3ou-799006</t>
  </si>
  <si>
    <t>https://replay.pokemonshowdown.com/smogtours-gen3ou-799022</t>
  </si>
  <si>
    <t>https://replay.pokemonshowdown.com/smogtours-gen3ou-798932</t>
  </si>
  <si>
    <t>https://replay.pokemonshowdown.com/smogtours-gen3ou-798939</t>
  </si>
  <si>
    <t>https://replay.pokemonshowdown.com/smogtours-gen3ou-799002</t>
  </si>
  <si>
    <t>https://replay.pokemonshowdown.com/smogtours-gen3ou-799024</t>
  </si>
  <si>
    <t>https://replay.pokemonshowdown.com/smogtours-gen3ou-799033</t>
  </si>
  <si>
    <t>https://replay.pokemonshowdown.com/smogtours-gen3ou-798995</t>
  </si>
  <si>
    <t>https://replay.pokemonshowdown.com/smogtours-gen3ou-798976</t>
  </si>
  <si>
    <t>https://replay.pokemonshowdown.com/smogtours-gen3ou-798982</t>
  </si>
  <si>
    <t>https://replay.pokemonshowdown.com/smogtours-gen3ou-798993</t>
  </si>
  <si>
    <t>https://replay.pokemonshowdown.com/smogtours-gen3ou-798984</t>
  </si>
  <si>
    <t>https://replay.pokemonshowdown.com/smogtours-gen3ou-798987</t>
  </si>
  <si>
    <t>https://replay.pokemonshowdown.com/smogtours-gen3ou-798931</t>
  </si>
  <si>
    <t>https://replay.pokemonshowdown.com/smogtours-gen3ou-798933</t>
  </si>
  <si>
    <t>https://replay.pokemonshowdown.com/smogtours-gen3ou-798938</t>
  </si>
  <si>
    <t>https://replay.pokemonshowdown.com/smogtours-gen3ou-798916</t>
  </si>
  <si>
    <t>https://replay.pokemonshowdown.com/smogtours-gen3ou-798921</t>
  </si>
  <si>
    <t>https://replay.pokemonshowdown.com/smogtours-gen3ou-798923</t>
  </si>
  <si>
    <t>https://replay.pokemonshowdown.com/smogtours-gen3ou-799080</t>
  </si>
  <si>
    <t>https://replay.pokemonshowdown.com/smogtours-gen3ou-799081</t>
  </si>
  <si>
    <t>https://replay.pokemonshowdown.com/smogtours-gen3ou-798834</t>
  </si>
  <si>
    <t>https://replay.pokemonshowdown.com/smogtours-gen3ou-798838?p2</t>
  </si>
  <si>
    <t>https://replay.pokemonshowdown.com/smogtours-gen3ou-798841</t>
  </si>
  <si>
    <t>https://replay.pokemonshowdown.com/smogtours-gen3ou-798893</t>
  </si>
  <si>
    <t>https://replay.pokemonshowdown.com/smogtours-gen3ou-798894</t>
  </si>
  <si>
    <t>https://replay.pokemonshowdown.com/smogtours-gen3ou-798895</t>
  </si>
  <si>
    <t>https://replay.pokemonshowdown.com/smogtours-gen3ou-798914</t>
  </si>
  <si>
    <t>https://replay.pokemonshowdown.com/smogtours-gen3ou-798919</t>
  </si>
  <si>
    <t>https://replay.pokemonshowdown.com/smogtours-gen3ou-798925</t>
  </si>
  <si>
    <t>https://replay.pokemonshowdown.com/smogtours-gen3ou-799000</t>
  </si>
  <si>
    <t>https://replay.pokemonshowdown.com/smogtours-gen3ou-799001</t>
  </si>
  <si>
    <t>https://replay.pokemonshowdown.com/smogtours-gen3ou-799011</t>
  </si>
  <si>
    <t>https://replay.pokemonshowdown.com/smogtours-gen3ou-799073</t>
  </si>
  <si>
    <t>https://replay.pokemonshowdown.com/smogtours-gen3ou-799074</t>
  </si>
  <si>
    <t>https://replay.pokemonshowdown.com/smogtours-gen3ou-799239</t>
  </si>
  <si>
    <t>https://replay.pokemonshowdown.com/smogtours-gen3ou-799240</t>
  </si>
  <si>
    <t>https://replay.pokemonshowdown.com/smogtours-gen3ou-799280</t>
  </si>
  <si>
    <t>https://replay.pokemonshowdown.com/smogtours-gen3ou-799281</t>
  </si>
  <si>
    <t>https://replay.pokemonshowdown.com/smogtours-gen3ou-799267</t>
  </si>
  <si>
    <t>https://replay.pokemonshowdown.com/smogtours-gen3ou-799269</t>
  </si>
  <si>
    <t>https://replay.pokemonshowdown.com/smogtours-gen3ou-799272</t>
  </si>
  <si>
    <t>https://replay.pokemonshowdown.com/smogtours-gen3ou-799202</t>
  </si>
  <si>
    <t>https://replay.pokemonshowdown.com/smogtours-gen3ou-799205</t>
  </si>
  <si>
    <t>https://replay.pokemonshowdown.com/smogtours-gen3ou-799227</t>
  </si>
  <si>
    <t>https://replay.pokemonshowdown.com/smogtours-gen3ou-799229</t>
  </si>
  <si>
    <t>https://replay.pokemonshowdown.com/smogtours-gen3ou-799230</t>
  </si>
  <si>
    <t>https://replay.pokemonshowdown.com/smogtours-gen3ou-799326</t>
  </si>
  <si>
    <t>https://replay.pokemonshowdown.com/smogtours-gen3ou-799334</t>
  </si>
  <si>
    <t>https://replay.pokemonshowdown.com/smogtours-gen3ou-799310</t>
  </si>
  <si>
    <t>https://replay.pokemonshowdown.com/smogtours-gen3ou-799315</t>
  </si>
  <si>
    <t>https://replay.pokemonshowdown.com/smogtours-gen3ou-799360</t>
  </si>
  <si>
    <t>https://replay.pokemonshowdown.com/smogtours-gen3ou-799366</t>
  </si>
  <si>
    <t>https://replay.pokemonshowdown.com/smogtours-gen3ou-799352</t>
  </si>
  <si>
    <t>https://replay.pokemonshowdown.com/smogtours-gen3ou-799357</t>
  </si>
  <si>
    <t>https://replay.pokemonshowdown.com/smogtours-gen3ou-799363</t>
  </si>
  <si>
    <t>https://replay.pokemonshowdown.com/smogtours-gen3ou-799262?p2</t>
  </si>
  <si>
    <t>https://replay.pokemonshowdown.com/smogtours-gen3ou-799265</t>
  </si>
  <si>
    <t>https://replay.pokemonshowdown.com/smogtours-gen3ou-799174</t>
  </si>
  <si>
    <t>https://replay.pokemonshowdown.com/smogtours-gen3ou-799176</t>
  </si>
  <si>
    <t>https://replay.pokemonshowdown.com/smogtours-gen3ou-799177</t>
  </si>
  <si>
    <t>https://replay.pokemonshowdown.com/smogtours-gen3ou-799113</t>
  </si>
  <si>
    <t>https://replay.pokemonshowdown.com/smogtours-gen3ou-799114</t>
  </si>
  <si>
    <t>https://replay.pokemonshowdown.com/smogtours-gen3ou-799401</t>
  </si>
  <si>
    <t>https://replay.pokemonshowdown.com/smogtours-gen3ou-799402</t>
  </si>
  <si>
    <t>https://replay.pokemonshowdown.com/smogtours-gen3ou-799405</t>
  </si>
  <si>
    <t>https://replay.pokemonshowdown.com/smogtours-gen3ou-799187</t>
  </si>
  <si>
    <t>https://replay.pokemonshowdown.com/smogtours-gen3ou-799190</t>
  </si>
  <si>
    <t>https://replay.pokemonshowdown.com/smogtours-gen3ou-799192</t>
  </si>
  <si>
    <t>https://replay.pokemonshowdown.com/smogtours-gen3ou-799108</t>
  </si>
  <si>
    <t>https://replay.pokemonshowdown.com/smogtours-gen3ou-799109</t>
  </si>
  <si>
    <t>https://replay.pokemonshowdown.com/smogtours-gen3ou-799110</t>
  </si>
  <si>
    <t>https://replay.pokemonshowdown.com/smogtours-gen3ou-799443</t>
  </si>
  <si>
    <t>https://replay.pokemonshowdown.com/smogtours-gen3ou-799449</t>
  </si>
  <si>
    <t>https://replay.pokemonshowdown.com/smogtours-gen3ou-799420</t>
  </si>
  <si>
    <t>https://replay.pokemonshowdown.com/smogtours-gen3ou-799423</t>
  </si>
  <si>
    <t>https://replay.pokemonshowdown.com/smogtours-gen3ou-799302</t>
  </si>
  <si>
    <t>https://replay.pokemonshowdown.com/smogtours-gen3ou-799306</t>
  </si>
  <si>
    <t>https://replay.pokemonshowdown.com/smogtours-gen3ou-799309</t>
  </si>
  <si>
    <t>https://replay.pokemonshowdown.com/smogtours-gen3ou-799421</t>
  </si>
  <si>
    <t>https://replay.pokemonshowdown.com/smogtours-gen3ou-799424</t>
  </si>
  <si>
    <t>https://replay.pokemonshowdown.com/smogtours-gen3ou-799425</t>
  </si>
  <si>
    <t>https://replay.pokemonshowdown.com/smogtours-gen3ou-799446</t>
  </si>
  <si>
    <t>https://replay.pokemonshowdown.com/smogtours-gen3ou-799450</t>
  </si>
  <si>
    <t>https://replay.pokemonshowdown.com/smogtours-gen3ou-799453</t>
  </si>
  <si>
    <r>
      <rPr>
        <rFont val="inherit"/>
        <sz val="12.0"/>
      </rPr>
      <t>https://replay.pokemonshowdown.com/smogtours-gen3ou-799442</t>
    </r>
  </si>
  <si>
    <r>
      <rPr>
        <rFont val="inherit"/>
        <sz val="12.0"/>
      </rPr>
      <t>https://replay.pokemonshowdown.com/smogtours-gen3ou-799444</t>
    </r>
  </si>
  <si>
    <r>
      <rPr>
        <rFont val="inherit"/>
        <sz val="12.0"/>
      </rPr>
      <t>https://replay.pokemonshowdown.com/smogtours-gen3ou-799448</t>
    </r>
  </si>
  <si>
    <r>
      <rPr>
        <rFont val="inherit"/>
        <sz val="12.0"/>
      </rPr>
      <t>https://replay.pokemonshowdown.com/smogtours-gen3ou-799209</t>
    </r>
  </si>
  <si>
    <r>
      <rPr>
        <rFont val="inherit"/>
        <sz val="12.0"/>
      </rPr>
      <t>https://replay.pokemonshowdown.com/smogtours-gen3ou-799212</t>
    </r>
  </si>
  <si>
    <r>
      <rPr>
        <rFont val="inherit"/>
        <sz val="12.0"/>
      </rPr>
      <t>https://replay.pokemonshowdown.com/smogtours-gen3ou-799213</t>
    </r>
  </si>
  <si>
    <r>
      <rPr>
        <rFont val="inherit"/>
        <sz val="12.0"/>
        <u/>
      </rPr>
      <t>https://replay.pokemonshowdown.com/smogtours-gen3ou-799211?p2</t>
    </r>
  </si>
  <si>
    <r>
      <rPr>
        <rFont val="inherit"/>
        <sz val="12.0"/>
      </rPr>
      <t>https://replay.pokemonshowdown.com/smogtours-gen3ou-799215?p2</t>
    </r>
  </si>
  <si>
    <r>
      <rPr>
        <rFont val="inherit"/>
        <sz val="12.0"/>
      </rPr>
      <t>https://replay.pokemonshowdown.com/smogtours-gen3ou-799313</t>
    </r>
  </si>
  <si>
    <r>
      <rPr>
        <rFont val="inherit"/>
        <sz val="12.0"/>
      </rPr>
      <t>https://replay.pokemonshowdown.com/smogtours-gen3ou-799316</t>
    </r>
  </si>
  <si>
    <r>
      <rPr>
        <rFont val="inherit"/>
        <sz val="12.0"/>
      </rPr>
      <t>https://replay.pokemonshowdown.com/smogtours-gen3ou-799429</t>
    </r>
  </si>
  <si>
    <r>
      <rPr>
        <rFont val="inherit"/>
        <sz val="12.0"/>
      </rPr>
      <t>https://replay.pokemonshowdown.com/smogtours-gen3ou-799431</t>
    </r>
  </si>
  <si>
    <r>
      <rPr>
        <rFont val="inherit"/>
        <sz val="12.0"/>
      </rPr>
      <t>https://replay.pokemonshowdown.com/smogtours-gen3ou-799381</t>
    </r>
  </si>
  <si>
    <r>
      <rPr>
        <rFont val="inherit"/>
        <sz val="12.0"/>
      </rPr>
      <t>https://replay.pokemonshowdown.com/smogtours-gen3ou-799383</t>
    </r>
  </si>
  <si>
    <r>
      <rPr>
        <rFont val="inherit"/>
        <sz val="12.0"/>
      </rPr>
      <t>https://replay.pokemonshowdown.com/smogtours-gen3ou-799388</t>
    </r>
  </si>
  <si>
    <r>
      <rPr>
        <rFont val="inherit"/>
        <sz val="12.0"/>
      </rPr>
      <t>https://replay.pokemonshowdown.com/smogtours-gen3ou-799220</t>
    </r>
  </si>
  <si>
    <r>
      <rPr>
        <rFont val="inherit"/>
        <sz val="12.0"/>
      </rPr>
      <t>https://replay.pokemonshowdown.com/smogtours-gen3ou-799218</t>
    </r>
  </si>
  <si>
    <r>
      <rPr>
        <rFont val="inherit"/>
        <sz val="12.0"/>
      </rPr>
      <t>https://replay.pokemonshowdown.com/smogtours-gen3ou-799319</t>
    </r>
  </si>
  <si>
    <r>
      <rPr>
        <rFont val="inherit"/>
        <sz val="12.0"/>
      </rPr>
      <t>https://replay.pokemonshowdown.com/smogtours-gen3ou-799329?p2</t>
    </r>
  </si>
  <si>
    <r>
      <rPr>
        <rFont val="inherit"/>
        <sz val="12.0"/>
      </rPr>
      <t>https://replay.pokemonshowdown.com/smogtours-gen3ou-799371</t>
    </r>
  </si>
  <si>
    <r>
      <rPr>
        <rFont val="inherit"/>
        <sz val="12.0"/>
        <u/>
      </rPr>
      <t>https://replay.pokemonshowdown.com/smogtours-gen3ou-799373</t>
    </r>
  </si>
  <si>
    <r>
      <rPr>
        <rFont val="inherit"/>
        <sz val="12.0"/>
      </rPr>
      <t>https://replay.pokemonshowdown.com/smogtours-gen3ou-799375</t>
    </r>
  </si>
  <si>
    <r>
      <rPr>
        <rFont val="inherit"/>
        <sz val="12.0"/>
      </rPr>
      <t>https://replay.pokemonshowdown.com/smogtours-gen3ou-799131</t>
    </r>
  </si>
  <si>
    <r>
      <rPr>
        <rFont val="inherit"/>
        <sz val="12.0"/>
      </rPr>
      <t>https://replay.pokemonshowdown.com/smogtours-gen3ou-799132</t>
    </r>
  </si>
  <si>
    <r>
      <rPr>
        <rFont val="inherit"/>
        <sz val="12.0"/>
      </rPr>
      <t>https://replay.pokemonshowdown.com/smogtours-gen3ou-799134</t>
    </r>
  </si>
  <si>
    <r>
      <rPr>
        <rFont val="inherit"/>
        <sz val="12.0"/>
      </rPr>
      <t>https://replay.pokemonshowdown.com/smogtours-gen3ou-799427</t>
    </r>
  </si>
  <si>
    <r>
      <rPr>
        <rFont val="inherit"/>
        <sz val="12.0"/>
      </rPr>
      <t>https://replay.pokemonshowdown.com/smogtours-gen3ou-799430</t>
    </r>
  </si>
  <si>
    <r>
      <rPr>
        <rFont val="inherit"/>
        <sz val="12.0"/>
      </rPr>
      <t>https://replay.pokemonshowdown.com/smogtours-gen3ou-799434</t>
    </r>
  </si>
  <si>
    <t>https://replay.pokemonshowdown.com/smogtours-gen3ou-799379</t>
  </si>
  <si>
    <t>https://replay.pokemonshowdown.com/smogtours-gen3ou-799385</t>
  </si>
  <si>
    <t>https://replay.pokemonshowdown.com/gen3ou-2225549903-qcq0dobjolcglyjajkqnpdqvdgmleelpw</t>
  </si>
  <si>
    <t>https://replay.pokemonshowdown.com/gen3ou-2225551475-zyd9odnxj9uy1gf345fnw3z3qzq7ncbpw</t>
  </si>
  <si>
    <t>https://replay.pokemonshowdown.com/smogtours-gen3ou-799408</t>
  </si>
  <si>
    <t>https://replay.pokemonshowdown.com/smogtours-gen3ou-799409</t>
  </si>
  <si>
    <t>https://replay.pokemonshowdown.com/smogtours-gen3ou-799115</t>
  </si>
  <si>
    <t>https://replay.pokemonshowdown.com/smogtours-gen3ou-799116</t>
  </si>
  <si>
    <t>https://replay.pokemonshowdown.com/smogtours-gen3ou-799415</t>
  </si>
  <si>
    <t>https://replay.pokemonshowdown.com/smogtours-gen3ou-799417</t>
  </si>
  <si>
    <r>
      <rPr>
        <rFont val="inherit"/>
        <sz val="12.0"/>
      </rPr>
      <t>https://replay.pokemonshowdown.com/smogtours-gen3ou-799517</t>
    </r>
  </si>
  <si>
    <r>
      <rPr>
        <rFont val="inherit"/>
        <sz val="12.0"/>
      </rPr>
      <t>https://replay.pokemonshowdown.com/smogtours-gen3ou-799522</t>
    </r>
  </si>
  <si>
    <r>
      <rPr>
        <rFont val="inherit"/>
        <sz val="12.0"/>
      </rPr>
      <t>https://replay.pokemonshowdown.com/smogtours-gen3ou-799492</t>
    </r>
  </si>
  <si>
    <r>
      <rPr>
        <rFont val="inherit"/>
        <sz val="12.0"/>
      </rPr>
      <t>https://replay.pokemonshowdown.com/smogtours-gen3ou-799496</t>
    </r>
  </si>
  <si>
    <r>
      <rPr>
        <rFont val="inherit"/>
        <sz val="12.0"/>
      </rPr>
      <t>https://replay.pokemonshowdown.com/smogtours-gen3ou-799498</t>
    </r>
  </si>
  <si>
    <t>https://replay.pokemonshowdown.com/smogtours-gen3ou-799632</t>
  </si>
  <si>
    <t>https://replay.pokemonshowdown.com/smogtours-gen3ou-799638</t>
  </si>
  <si>
    <t>https://replay.pokemonshowdown.com/smogtours-gen3ou-799509</t>
  </si>
  <si>
    <t>https://replay.pokemonshowdown.com/smogtours-gen3ou-799513</t>
  </si>
  <si>
    <t>https://replay.pokemonshowdown.com/smogtours-gen3ou-799503</t>
  </si>
  <si>
    <t>https://replay.pokemonshowdown.com/smogtours-gen3ou-799504</t>
  </si>
  <si>
    <t>https://replay.pokemonshowdown.com/smogtours-gen3ou-799506</t>
  </si>
  <si>
    <t>https://replay.pokemonshowdown.com/smogtours-gen3ou-799815</t>
  </si>
  <si>
    <t>https://replay.pokemonshowdown.com/smogtours-gen3ou-799816</t>
  </si>
  <si>
    <t>https://replay.pokemonshowdown.com/smogtours-gen3ou-799823?p2</t>
  </si>
  <si>
    <t>https://replay.pokemonshowdown.com/smogtours-gen3ou-799330</t>
  </si>
  <si>
    <t>https://replay.pokemonshowdown.com/smogtours-gen3ou-799336?p2</t>
  </si>
  <si>
    <t>https://replay.pokemonshowdown.com/smogtours-gen3ou-799332</t>
  </si>
  <si>
    <t>https://replay.pokemonshowdown.com/smogtours-gen3ou-799340</t>
  </si>
  <si>
    <t>https://replay.pokemonshowdown.com/smogtours-gen3ou-799347?p2</t>
  </si>
  <si>
    <t>https://replay.pokemonshowdown.com/smogtours-gen3ou-799301</t>
  </si>
  <si>
    <t>https://replay.pokemonshowdown.com/smogtours-gen3ou-799304</t>
  </si>
  <si>
    <t>https://replay.pokemonshowdown.com/smogtours-gen3ou-799307</t>
  </si>
  <si>
    <t>https://replay.pokemonshowdown.com/smogtours-gen3ou-799745</t>
  </si>
  <si>
    <t>https://replay.pokemonshowdown.com/smogtours-gen3ou-799749</t>
  </si>
  <si>
    <t>https://replay.pokemonshowdown.com/smogtours-gen3ou-799063</t>
  </si>
  <si>
    <t>https://replay.pokemonshowdown.com/smogtours-gen3ou-799067</t>
  </si>
  <si>
    <t>https://replay.pokemonshowdown.com/smogtours-gen3ou-799070</t>
  </si>
  <si>
    <t>https://replay.pokemonshowdown.com/smogtours-gen3ou-799091?p2</t>
  </si>
  <si>
    <t>https://replay.pokemonshowdown.com/smogtours-gen3ou-799093?p2</t>
  </si>
  <si>
    <t>https://replay.pokemonshowdown.com/smogtours-gen3ou-799064</t>
  </si>
  <si>
    <t>https://replay.pokemonshowdown.com/smogtours-gen3ou-799068</t>
  </si>
  <si>
    <t>https://replay.pokemonshowdown.com/smogtours-gen3ou-799069</t>
  </si>
  <si>
    <t>https://replay.pokemonshowdown.com/smogtours-gen3ou-799609</t>
  </si>
  <si>
    <t>https://replay.pokemonshowdown.com/smogtours-gen3ou-799614</t>
  </si>
  <si>
    <t>https://replay.pokemonshowdown.com/smogtours-gen3ou-799620</t>
  </si>
  <si>
    <t>https://replay.pokemonshowdown.com/smogtours-gen3ou-799668</t>
  </si>
  <si>
    <t>https://replay.pokemonshowdown.com/smogtours-gen3ou-799681</t>
  </si>
  <si>
    <t>https://replay.pokemonshowdown.com/smogtours-gen3ou-799753</t>
  </si>
  <si>
    <t>https://replay.pokemonshowdown.com/smogtours-gen3ou-799757</t>
  </si>
  <si>
    <t>https://replay.pokemonshowdown.com/smogtours-gen3ou-799761</t>
  </si>
  <si>
    <t>https://replay.pokemonshowdown.com/smogtours-gen3ou-799799</t>
  </si>
  <si>
    <t>https://replay.pokemonshowdown.com/smogtours-gen3ou-799800</t>
  </si>
  <si>
    <t>https://replay.pokemonshowdown.com/smogtours-gen3ou-799489</t>
  </si>
  <si>
    <t>https://replay.pokemonshowdown.com/smogtours-gen3ou-799495</t>
  </si>
  <si>
    <t>https://replay.pokemonshowdown.com/smogtours-gen3ou-799499</t>
  </si>
  <si>
    <t>https://replay.pokemonshowdown.com/smogtours-gen3ou-799125</t>
  </si>
  <si>
    <t>https://replay.pokemonshowdown.com/smogtours-gen3ou-799126</t>
  </si>
  <si>
    <t>https://replay.pokemonshowdown.com/smogtours-gen3ou-799130</t>
  </si>
  <si>
    <t>https://replay.pokemonshowdown.com/smogtours-gen3ou-799534</t>
  </si>
  <si>
    <t>https://replay.pokemonshowdown.com/smogtours-gen3ou-799539</t>
  </si>
  <si>
    <t>https://replay.pokemonshowdown.com/smogtours-gen3ou-799452</t>
  </si>
  <si>
    <t>https://replay.pokemonshowdown.com/smogtours-gen3ou-799456</t>
  </si>
  <si>
    <t>https://replay.pokemonshowdown.com/smogtours-gen3ou-799127?p2</t>
  </si>
  <si>
    <t>https://replay.pokemonshowdown.com/smogtours-gen3ou-799129?p2</t>
  </si>
  <si>
    <t>https://replay.pokemonshowdown.com/smogtours-gen3ou-799390</t>
  </si>
  <si>
    <t>https://replay.pokemonshowdown.com/smogtours-gen3ou-799393</t>
  </si>
  <si>
    <t>https://replay.pokemonshowdown.com/smogtours-gen3ou-799394</t>
  </si>
  <si>
    <t>https://replay.pokemonshowdown.com/smogtours-gen3ou-799646</t>
  </si>
  <si>
    <t>https://replay.pokemonshowdown.com/smogtours-gen3ou-799655</t>
  </si>
  <si>
    <t>https://replay.pokemonshowdown.com/smogtours-gen3ou-799891</t>
  </si>
  <si>
    <t>https://replay.pokemonshowdown.com/smogtours-gen3ou-799901</t>
  </si>
  <si>
    <t>https://replay.pokemonshowdown.com/smogtours-gen3ou-799908</t>
  </si>
  <si>
    <t>https://replay.pokemonshowdown.com/smogtours-gen3ou-799416</t>
  </si>
  <si>
    <t>https://replay.pokemonshowdown.com/smogtours-gen3ou-799419</t>
  </si>
  <si>
    <t>https://replay.pokemonshowdown.com/smogtours-gen3ou-799813</t>
  </si>
  <si>
    <t>https://replay.pokemonshowdown.com/smogtours-gen3ou-799819</t>
  </si>
  <si>
    <t>https://replay.pokemonshowdown.com/smogtours-gen3ou-799293</t>
  </si>
  <si>
    <t>https://replay.pokemonshowdown.com/smogtours-gen3ou-799294</t>
  </si>
  <si>
    <t>https://replay.pokemonshowdown.com/smogtours-gen3ou-799578</t>
  </si>
  <si>
    <t>https://replay.pokemonshowdown.com/smogtours-gen3ou-799591</t>
  </si>
  <si>
    <t>https://replay.pokemonshowdown.com/smogtours-gen3ou-799598</t>
  </si>
  <si>
    <t>https://replay.pokemonshowdown.com/smogtours-gen3ou-799518</t>
  </si>
  <si>
    <t>https://replay.pokemonshowdown.com/smogtours-gen3ou-799523</t>
  </si>
  <si>
    <t>https://replay.pokemonshowdown.com/smogtours-gen3ou-799742</t>
  </si>
  <si>
    <t>https://replay.pokemonshowdown.com/smogtours-gen3ou-799746</t>
  </si>
  <si>
    <t>https://replay.pokemonshowdown.com/smogtours-gen3ou-799750</t>
  </si>
  <si>
    <t>https://replay.pokemonshowdown.com/smogtours-gen3ou-800069</t>
  </si>
  <si>
    <t>https://replay.pokemonshowdown.com/smogtours-gen3ou-800076</t>
  </si>
  <si>
    <t>https://replay.pokemonshowdown.com/smogtours-gen3ou-800108</t>
  </si>
  <si>
    <t>https://replay.pokemonshowdown.com/smogtours-gen3ou-800118</t>
  </si>
  <si>
    <r>
      <rPr>
        <rFont val="inherit"/>
        <sz val="12.0"/>
        <u/>
      </rPr>
      <t>https://replay.pokemonshowdown.com/smogtours-gen3ou-799563</t>
    </r>
  </si>
  <si>
    <r>
      <rPr>
        <rFont val="inherit"/>
        <sz val="12.0"/>
      </rPr>
      <t>https://replay.pokemonshowdown.com/smogtours-gen3ou-799566</t>
    </r>
  </si>
  <si>
    <r>
      <rPr>
        <rFont val="inherit"/>
        <sz val="12.0"/>
      </rPr>
      <t>https://replay.pokemonshowdown.com/smogtours-gen3ou-799793</t>
    </r>
  </si>
  <si>
    <r>
      <rPr>
        <rFont val="inherit"/>
        <sz val="12.0"/>
      </rPr>
      <t>https://replay.pokemonshowdown.com/smogtours-gen3ou-799790</t>
    </r>
  </si>
  <si>
    <r>
      <rPr>
        <rFont val="inherit"/>
        <sz val="12.0"/>
      </rPr>
      <t>https://replay.pokemonshowdown.com/smogtours-gen3ou-800149</t>
    </r>
  </si>
  <si>
    <r>
      <rPr>
        <rFont val="inherit"/>
        <sz val="12.0"/>
      </rPr>
      <t>https://replay.pokemonshowdown.com/smogtours-gen3ou-800151</t>
    </r>
  </si>
  <si>
    <r>
      <rPr>
        <rFont val="inherit"/>
        <sz val="12.0"/>
      </rPr>
      <t>https://replay.pokemonshowdown.com/smogtours-gen3ou-800153</t>
    </r>
  </si>
  <si>
    <r>
      <rPr>
        <rFont val="inherit"/>
        <sz val="12.0"/>
      </rPr>
      <t>https://replay.pokemonshowdown.com/smogtours-gen3ou-799955?p2</t>
    </r>
  </si>
  <si>
    <r>
      <rPr>
        <rFont val="inherit"/>
        <sz val="12.0"/>
      </rPr>
      <t>https://replay.pokemonshowdown.com/smogtours-gen3ou-799967</t>
    </r>
  </si>
  <si>
    <r>
      <rPr>
        <rFont val="inherit"/>
        <sz val="12.0"/>
      </rPr>
      <t>https://replay.pokemonshowdown.com/smogtours-gen3ou-800259</t>
    </r>
  </si>
  <si>
    <r>
      <rPr>
        <rFont val="inherit"/>
        <sz val="12.0"/>
      </rPr>
      <t>https://replay.pokemonshowdown.com/smogtours-gen3ou-800272</t>
    </r>
  </si>
  <si>
    <r>
      <rPr>
        <rFont val="inherit"/>
        <sz val="12.0"/>
      </rPr>
      <t>https://replay.pokemonshowdown.com/smogtours-gen3ou-800276</t>
    </r>
  </si>
  <si>
    <r>
      <rPr>
        <rFont val="inherit"/>
        <sz val="12.0"/>
      </rPr>
      <t>https://replay.pokemonshowdown.com/smogtours-gen3ou-800065</t>
    </r>
  </si>
  <si>
    <r>
      <rPr>
        <rFont val="inherit"/>
        <sz val="12.0"/>
      </rPr>
      <t>https://replay.pokemonshowdown.com/smogtours-gen3ou-800073</t>
    </r>
  </si>
  <si>
    <r>
      <rPr>
        <rFont val="inherit"/>
        <sz val="12.0"/>
      </rPr>
      <t>https://replay.pokemonshowdown.com/smogtours-gen3ou-800083</t>
    </r>
  </si>
  <si>
    <r>
      <rPr>
        <rFont val="inherit"/>
        <sz val="12.0"/>
      </rPr>
      <t>https://replay.pokemonshowdown.com/smogtours-gen3ou-799670</t>
    </r>
  </si>
  <si>
    <r>
      <rPr>
        <rFont val="inherit"/>
        <sz val="12.0"/>
      </rPr>
      <t>https://replay.pokemonshowdown.com/smogtours-gen3ou-799684</t>
    </r>
  </si>
  <si>
    <r>
      <rPr>
        <rFont val="inherit"/>
        <sz val="12.0"/>
      </rPr>
      <t>https://replay.pokemonshowdown.com/smogtours-gen3ou-799687</t>
    </r>
  </si>
  <si>
    <r>
      <rPr>
        <rFont val="inherit"/>
        <sz val="12.0"/>
      </rPr>
      <t>https://replay.pokemonshowdown.com/smogtours-gen3ou-799676</t>
    </r>
  </si>
  <si>
    <r>
      <rPr>
        <rFont val="inherit"/>
        <sz val="12.0"/>
      </rPr>
      <t>https://replay.pokemonshowdown.com/smogtours-gen3ou-799682</t>
    </r>
  </si>
  <si>
    <r>
      <rPr>
        <rFont val="inherit"/>
        <sz val="12.0"/>
      </rPr>
      <t>https://replay.pokemonshowdown.com/smogtours-gen3ou-800308</t>
    </r>
  </si>
  <si>
    <r>
      <rPr>
        <rFont val="inherit"/>
        <sz val="12.0"/>
      </rPr>
      <t>https://replay.pokemonshowdown.com/smogtours-gen3ou-800310</t>
    </r>
  </si>
  <si>
    <r>
      <rPr>
        <rFont val="inherit"/>
        <sz val="12.0"/>
      </rPr>
      <t>https://replay.pokemonshowdown.com/smogtours-gen3ou-800312</t>
    </r>
  </si>
  <si>
    <r>
      <rPr>
        <rFont val="inherit"/>
        <sz val="12.0"/>
      </rPr>
      <t>https://replay.pokemonshowdown.com/smogtours-gen3ou-799727</t>
    </r>
  </si>
  <si>
    <r>
      <rPr>
        <rFont val="inherit"/>
        <sz val="12.0"/>
      </rPr>
      <t>https://replay.pokemonshowdown.com/smogtours-gen3ou-799725</t>
    </r>
  </si>
  <si>
    <r>
      <rPr>
        <rFont val="inherit"/>
        <sz val="12.0"/>
      </rPr>
      <t>https://replay.pokemonshowdown.com/smogtours-gen3ou-799713</t>
    </r>
  </si>
  <si>
    <r>
      <rPr>
        <rFont val="inherit"/>
        <sz val="12.0"/>
        <u/>
      </rPr>
      <t>https://replay.pokemonshowdown.com/smogtours-gen3ou-800064</t>
    </r>
  </si>
  <si>
    <r>
      <rPr>
        <rFont val="inherit"/>
        <sz val="12.0"/>
      </rPr>
      <t>https://replay.pokemonshowdown.com/smogtours-gen3ou-800081</t>
    </r>
  </si>
  <si>
    <r>
      <rPr>
        <rFont val="inherit"/>
        <sz val="12.0"/>
      </rPr>
      <t>https://replay.pokemonshowdown.com/smogtours-gen3ou-800257</t>
    </r>
  </si>
  <si>
    <r>
      <rPr>
        <rFont val="inherit"/>
        <sz val="12.0"/>
      </rPr>
      <t>https://replay.pokemonshowdown.com/smogtours-gen3ou-800261</t>
    </r>
  </si>
  <si>
    <r>
      <rPr>
        <rFont val="inherit"/>
        <sz val="12.0"/>
        <u/>
      </rPr>
      <t>https://replay.pokemonshowdown.com/smogtours-gen3ou-800269</t>
    </r>
  </si>
  <si>
    <r>
      <rPr>
        <rFont val="inherit"/>
        <sz val="12.0"/>
      </rPr>
      <t>https://replay.pokemonshowdown.com/smogtours-gen3ou-799951</t>
    </r>
  </si>
  <si>
    <r>
      <rPr>
        <rFont val="inherit"/>
        <sz val="12.0"/>
        <u/>
      </rPr>
      <t>https://replay.pokemonshowdown.com/smogtours-gen3ou-799956</t>
    </r>
  </si>
  <si>
    <r>
      <rPr>
        <rFont val="inherit"/>
        <sz val="12.0"/>
      </rPr>
      <t>https://replay.pokemonshowdown.com/smogtours-gen3ou-799890</t>
    </r>
  </si>
  <si>
    <r>
      <rPr>
        <rFont val="inherit"/>
        <sz val="12.0"/>
      </rPr>
      <t>https://replay.pokemonshowdown.com/smogtours-gen3ou-799897</t>
    </r>
  </si>
  <si>
    <r>
      <rPr>
        <rFont val="inherit"/>
        <sz val="12.0"/>
      </rPr>
      <t>https://replay.pokemonshowdown.com/smogtours-gen3ou-799902</t>
    </r>
  </si>
  <si>
    <r>
      <rPr>
        <rFont val="inherit"/>
        <sz val="12.0"/>
      </rPr>
      <t>https://replay.pokemonshowdown.com/smogtours-gen3ou-799918</t>
    </r>
  </si>
  <si>
    <r>
      <rPr>
        <rFont val="inherit"/>
        <sz val="12.0"/>
        <u/>
      </rPr>
      <t>https://replay.pokemonshowdown.com/smogtours-gen3ou-799922</t>
    </r>
  </si>
  <si>
    <r>
      <rPr>
        <rFont val="inherit"/>
        <sz val="12.0"/>
      </rPr>
      <t>https://replay.pokemonshowdown.com/smogtours-gen3ou-799925</t>
    </r>
  </si>
  <si>
    <r>
      <rPr>
        <rFont val="inherit"/>
        <sz val="12.0"/>
      </rPr>
      <t>https://replay.pokemonshowdown.com/smogtours-gen3ou-799574</t>
    </r>
  </si>
  <si>
    <r>
      <rPr>
        <rFont val="inherit"/>
        <sz val="12.0"/>
      </rPr>
      <t>https://replay.pokemonshowdown.com/smogtours-gen3ou-799584</t>
    </r>
  </si>
  <si>
    <t>https://replay.pokemonshowdown.com/smogtours-gen3ou-799728</t>
  </si>
  <si>
    <t>https://replay.pokemonshowdown.com/smogtours-gen3ou-799733</t>
  </si>
  <si>
    <t>https://replay.pokemonshowdown.com/smogtours-gen3ou-799736</t>
  </si>
  <si>
    <t>https://replay.pokemonshowdown.com/smogtours-gen3ou-799666</t>
  </si>
  <si>
    <t>https://replay.pokemonshowdown.com/smogtours-gen3ou-799680</t>
  </si>
  <si>
    <t>https://replay.pokemonshowdown.com/smogtours-gen3ou-799248</t>
  </si>
  <si>
    <t>https://replay.pokemonshowdown.com/smogtours-gen3ou-799250?p2</t>
  </si>
  <si>
    <t>https://replay.pokemonshowdown.com/smogtours-gen3ou-800212</t>
  </si>
  <si>
    <t>https://replay.pokemonshowdown.com/smogtours-gen3ou-800224</t>
  </si>
  <si>
    <t>https://replay.pokemonshowdown.com/smogtours-gen3ou-800227</t>
  </si>
  <si>
    <t>https://replay.pokemonshowdown.com/smogtours-gen3ou-799926?p2</t>
  </si>
  <si>
    <t>https://replay.pokemonshowdown.com/smogtours-gen3ou-799938</t>
  </si>
  <si>
    <t>https://replay.pokemonshowdown.com/smogtours-gen3ou-799467</t>
  </si>
  <si>
    <t>https://replay.pokemonshowdown.com/smogtours-gen3ou-799468</t>
  </si>
  <si>
    <t>https://replay.pokemonshowdown.com/smogtours-gen3ou-799802</t>
  </si>
  <si>
    <t>https://replay.pokemonshowdown.com/smogtours-gen3ou-799803</t>
  </si>
  <si>
    <t>https://replay.pokemonshowdown.com/smogtours-gen3ou-799533</t>
  </si>
  <si>
    <t>https://replay.pokemonshowdown.com/smogtours-gen3ou-799542</t>
  </si>
  <si>
    <t>https://replay.pokemonshowdown.com/smogtours-gen3ou-799355</t>
  </si>
  <si>
    <t>https://replay.pokemonshowdown.com/smogtours-gen3ou-799362</t>
  </si>
  <si>
    <t>https://replay.pokemonshowdown.com/smogtours-gen3ou-799367</t>
  </si>
  <si>
    <t>https://replay.pokemonshowdown.com/smogtours-gen3ou-799297</t>
  </si>
  <si>
    <t>https://replay.pokemonshowdown.com/smogtours-gen3ou-799299</t>
  </si>
  <si>
    <t>https://replay.pokemonshowdown.com/smogtours-gen3ou-799300</t>
  </si>
  <si>
    <t>https://replay.pokemonshowdown.com/smogtours-gen3ou-800136</t>
  </si>
  <si>
    <t>https://replay.pokemonshowdown.com/smogtours-gen3ou-800121</t>
  </si>
  <si>
    <t>https://replay.pokemonshowdown.com/smogtours-gen3ou-800130</t>
  </si>
  <si>
    <t>https://replay.pokemonshowdown.com/smogtours-gen3ou-799982</t>
  </si>
  <si>
    <t>https://replay.pokemonshowdown.com/smogtours-gen3ou-799990</t>
  </si>
  <si>
    <t>https://replay.pokemonshowdown.com/smogtours-gen3ou-799549</t>
  </si>
  <si>
    <t>https://replay.pokemonshowdown.com/smogtours-gen3ou-799552</t>
  </si>
  <si>
    <t>https://replay.pokemonshowdown.com/smogtours-gen3ou-799561</t>
  </si>
  <si>
    <t>https://replay.pokemonshowdown.com/smogtours-gen3ou-799581</t>
  </si>
  <si>
    <t>https://replay.pokemonshowdown.com/smogtours-gen3ou-799594</t>
  </si>
  <si>
    <t>https://replay.pokemonshowdown.com/smogtours-gen3ou-799583</t>
  </si>
  <si>
    <t>https://replay.pokemonshowdown.com/smogtours-gen3ou-799596</t>
  </si>
  <si>
    <t>https://replay.pokemonshowdown.com/smogtours-gen3ou-799610</t>
  </si>
  <si>
    <t>https://replay.pokemonshowdown.com/smogtours-gen3ou-800217</t>
  </si>
  <si>
    <t>https://replay.pokemonshowdown.com/smogtours-gen3ou-800221</t>
  </si>
  <si>
    <t>https://replay.pokemonshowdown.com/smogtours-gen3ou-799607</t>
  </si>
  <si>
    <t>https://replay.pokemonshowdown.com/smogtours-gen3ou-799613</t>
  </si>
  <si>
    <t>https://replay.pokemonshowdown.com/smogtours-gen3ou-799618</t>
  </si>
  <si>
    <t>https://replay.pokemonshowdown.com/gen3ou-2225762032</t>
  </si>
  <si>
    <t>https://replay.pokemonshowdown.com/gen3ou-2225768040</t>
  </si>
  <si>
    <t>https://replay.pokemonshowdown.com/gen3ou-2225773722</t>
  </si>
  <si>
    <t>https://replay.pokemonshowdown.com/smogtours-gen3ou-799276</t>
  </si>
  <si>
    <t>https://replay.pokemonshowdown.com/smogtours-gen3ou-799270</t>
  </si>
  <si>
    <t>https://replay.pokemonshowdown.com/smogtours-gen3ou-799274</t>
  </si>
  <si>
    <t>https://replay.pokemonshowdown.com/smogtours-gen3ou-799734</t>
  </si>
  <si>
    <t>https://replay.pokemonshowdown.com/smogtours-gen3ou-799737</t>
  </si>
  <si>
    <t>https://replay.pokemonshowdown.com/smogtours-gen3ou-799535</t>
  </si>
  <si>
    <t>https://replay.pokemonshowdown.com/smogtours-gen3ou-799543?p2</t>
  </si>
  <si>
    <t>https://replay.pokemonshowdown.com/smogtours-gen3ou-799921</t>
  </si>
  <si>
    <t>https://replay.pokemonshowdown.com/smogtours-gen3ou-799924</t>
  </si>
  <si>
    <t>https://replay.pokemonshowdown.com/smogtours-gen3ou-800068</t>
  </si>
  <si>
    <t>https://replay.pokemonshowdown.com/smogtours-gen3ou-800079</t>
  </si>
  <si>
    <t>https://replay.pokemonshowdown.com/smogtours-gen3ou-800086</t>
  </si>
  <si>
    <t>https://replay.pokemonshowdown.com/smogtours-gen3ou-799556</t>
  </si>
  <si>
    <t>https://replay.pokemonshowdown.com/smogtours-gen3ou-799548</t>
  </si>
  <si>
    <t>https://replay.pokemonshowdown.com/smogtours-gen3ou-799120</t>
  </si>
  <si>
    <t>https://replay.pokemonshowdown.com/smogtours-gen3ou-799122</t>
  </si>
  <si>
    <t>https://replay.pokemonshowdown.com/smogtours-gen3ou-799123</t>
  </si>
  <si>
    <t>https://replay.pokemonshowdown.com/smogtours-gen3ou-799225?p2</t>
  </si>
  <si>
    <t>https://replay.pokemonshowdown.com/smogtours-gen3ou-799226?p2</t>
  </si>
  <si>
    <t>https://replay.pokemonshowdown.com/smogtours-gen3ou-799228</t>
  </si>
  <si>
    <t>https://replay.pokemonshowdown.com/smogtours-gen3ou-799664</t>
  </si>
  <si>
    <t>https://replay.pokemonshowdown.com/smogtours-gen3ou-799662</t>
  </si>
  <si>
    <t>https://replay.pokemonshowdown.com/smogtours-gen3ou-799595</t>
  </si>
  <si>
    <t>https://replay.pokemonshowdown.com/smogtours-gen3ou-799603</t>
  </si>
  <si>
    <t>https://replay.pokemonshowdown.com/smogtours-gen3ou-799271</t>
  </si>
  <si>
    <t>https://replay.pokemonshowdown.com/smogtours-gen3ou-799278</t>
  </si>
  <si>
    <t>https://replay.pokemonshowdown.com/smogtours-gen3ou-799862</t>
  </si>
  <si>
    <t>https://replay.pokemonshowdown.com/smogtours-gen3ou-799866</t>
  </si>
  <si>
    <t>https://replay.pokemonshowdown.com/smogtours-gen3ou-799948</t>
  </si>
  <si>
    <t>https://replay.pokemonshowdown.com/smogtours-gen3ou-799957</t>
  </si>
  <si>
    <t>https://replay.pokemonshowdown.com/smogtours-gen3ou-799964</t>
  </si>
  <si>
    <t>https://replay.pokemonshowdown.com/smogtours-gen3ou-800236</t>
  </si>
  <si>
    <t>https://replay.pokemonshowdown.com/smogtours-gen3ou-800240</t>
  </si>
  <si>
    <t>https://replay.pokemonshowdown.com/smogtours-gen3ou-799853</t>
  </si>
  <si>
    <t>https://replay.pokemonshowdown.com/smogtours-gen3ou-799857</t>
  </si>
  <si>
    <t>https://replay.pokemonshowdown.com/smogtours-gen3ou-799952</t>
  </si>
  <si>
    <t>https://replay.pokemonshowdown.com/smogtours-gen3ou-799962</t>
  </si>
  <si>
    <t>https://replay.pokemonshowdown.com/smogtours-gen3ou-799969</t>
  </si>
  <si>
    <t>https://replay.pokemonshowdown.com/smogtours-gen3ou-800003</t>
  </si>
  <si>
    <t>https://replay.pokemonshowdown.com/smogtours-gen3ou-800006</t>
  </si>
  <si>
    <t>https://replay.pokemonshowdown.com/smogtours-gen3ou-800126</t>
  </si>
  <si>
    <t>https://replay.pokemonshowdown.com/smogtours-gen3ou-800129</t>
  </si>
  <si>
    <t>https://replay.pokemonshowdown.com/smogtours-gen3ou-800054</t>
  </si>
  <si>
    <t>https://replay.pokemonshowdown.com/smogtours-gen3ou-800067</t>
  </si>
  <si>
    <t>https://replay.pokemonshowdown.com/smogtours-gen3ou-800356</t>
  </si>
  <si>
    <t>https://replay.pokemonshowdown.com/smogtours-gen3ou-800362</t>
  </si>
  <si>
    <t>https://replay.pokemonshowdown.com/smogtours-gen3ou-800374</t>
  </si>
  <si>
    <t>https://replay.pokemonshowdown.com/smogtours-gen3ou-799744</t>
  </si>
  <si>
    <t>https://replay.pokemonshowdown.com/smogtours-gen3ou-799748</t>
  </si>
  <si>
    <t>https://replay.pokemonshowdown.com/smogtours-gen3ou-800235</t>
  </si>
  <si>
    <t>https://replay.pokemonshowdown.com/smogtours-gen3ou-800230</t>
  </si>
  <si>
    <t>https://replay.pokemonshowdown.com/smogtours-gen3ou-799696</t>
  </si>
  <si>
    <t>https://replay.pokemonshowdown.com/smogtours-gen3ou-799700</t>
  </si>
  <si>
    <t>https://replay.pokemonshowdown.com/smogtours-gen3ou-799703</t>
  </si>
  <si>
    <t>https://replay.pokemonshowdown.com/smogtours-gen3ou-800185</t>
  </si>
  <si>
    <t>https://replay.pokemonshowdown.com/smogtours-gen3ou-800189</t>
  </si>
  <si>
    <t>https://replay.pokemonshowdown.com/smogtours-gen3ou-800190</t>
  </si>
  <si>
    <t>https://replay.pokemonshowdown.com/smogtours-gen3ou-800194</t>
  </si>
  <si>
    <t>https://replay.pokemonshowdown.com/smogtours-gen3ou-799950</t>
  </si>
  <si>
    <t>https://replay.pokemonshowdown.com/smogtours-gen3ou-799965</t>
  </si>
  <si>
    <t>https://replay.pokemonshowdown.com/smogtours-gen3ou-799970</t>
  </si>
  <si>
    <t>https://replay.pokemonshowdown.com/smogtours-gen3ou-799820</t>
  </si>
  <si>
    <t>https://replay.pokemonshowdown.com/smogtours-gen3ou-799825</t>
  </si>
  <si>
    <t>https://replay.pokemonshowdown.com/smogtours-gen3ou-799573</t>
  </si>
  <si>
    <t>https://replay.pokemonshowdown.com/smogtours-gen3ou-799586</t>
  </si>
  <si>
    <t>https://replay.pokemonshowdown.com/smogtours-gen3ou-799602</t>
  </si>
  <si>
    <t>https://replay.pokemonshowdown.com/smogtours-gen3ou-799770</t>
  </si>
  <si>
    <t>https://replay.pokemonshowdown.com/smogtours-gen3ou-799771</t>
  </si>
  <si>
    <t>https://replay.pokemonshowdown.com/smogtours-gen3ou-799772</t>
  </si>
  <si>
    <t>https://replay.pokemonshowdown.com/smogtours-gen3ou-800211</t>
  </si>
  <si>
    <t>https://replay.pokemonshowdown.com/smogtours-gen3ou-800222</t>
  </si>
  <si>
    <t>https://replay.pokemonshowdown.com/smogtours-gen3ou-800404</t>
  </si>
  <si>
    <t>https://replay.pokemonshowdown.com/smogtours-gen3ou-800427</t>
  </si>
  <si>
    <t>https://replay.pokemonshowdown.com/smogtours-gen3ou-799365</t>
  </si>
  <si>
    <t>https://replay.pokemonshowdown.com/smogtours-gen3ou-799370</t>
  </si>
  <si>
    <t>https://replay.pokemonshowdown.com/smogtours-gen3ou-799875</t>
  </si>
  <si>
    <t>https://replay.pokemonshowdown.com/smogtours-gen3ou-799884</t>
  </si>
  <si>
    <t>https://replay.pokemonshowdown.com/smogtours-gen3ou-799878</t>
  </si>
  <si>
    <t>https://replay.pokemonshowdown.com/smogtours-gen3ou-799606</t>
  </si>
  <si>
    <t>https://replay.pokemonshowdown.com/smogtours-gen3ou-799608</t>
  </si>
  <si>
    <t>https://replay.pokemonshowdown.com/smogtours-gen3ou-799617</t>
  </si>
  <si>
    <t>https://replay.pokemonshowdown.com/smogtours-gen3ou-799808</t>
  </si>
  <si>
    <t>https://replay.pokemonshowdown.com/smogtours-gen3ou-799809</t>
  </si>
  <si>
    <t>https://replay.pokemonshowdown.com/smogtours-gen3ou-800399</t>
  </si>
  <si>
    <t>https://replay.pokemonshowdown.com/smogtours-gen3ou-800447</t>
  </si>
  <si>
    <t>https://replay.pokemonshowdown.com/smogtours-gen3ou-799178</t>
  </si>
  <si>
    <t>https://replay.pokemonshowdown.com/smogtours-gen3ou-799182</t>
  </si>
  <si>
    <t>https://replay.pokemonshowdown.com/smogtours-gen3ou-799285</t>
  </si>
  <si>
    <t>https://replay.pokemonshowdown.com/smogtours-gen3ou-799288</t>
  </si>
  <si>
    <t>https://replay.pokemonshowdown.com/smogtours-gen3ou-799256</t>
  </si>
  <si>
    <t>https://replay.pokemonshowdown.com/smogtours-gen3ou-799257</t>
  </si>
  <si>
    <t>https://replay.pokemonshowdown.com/smogtours-gen3ou-800353</t>
  </si>
  <si>
    <t>https://replay.pokemonshowdown.com/smogtours-gen3ou-800358</t>
  </si>
  <si>
    <t>https://replay.pokemonshowdown.com/smogtours-gen3ou-800361</t>
  </si>
  <si>
    <t>https://replay.pokemonshowdown.com/smogtours-gen3ou-799665</t>
  </si>
  <si>
    <t>https://replay.pokemonshowdown.com/smogtours-gen3ou-799675</t>
  </si>
  <si>
    <t>https://replay.pokemonshowdown.com/smogtours-gen3ou-799685</t>
  </si>
  <si>
    <t>https://replay.pokemonshowdown.com/smogtours-gen3ou-799428</t>
  </si>
  <si>
    <t>https://replay.pokemonshowdown.com/smogtours-gen3ou-799432</t>
  </si>
  <si>
    <t>https://replay.pokemonshowdown.com/smogtours-gen3ou-799396</t>
  </si>
  <si>
    <t>https://replay.pokemonshowdown.com/smogtours-gen3ou-799399</t>
  </si>
  <si>
    <t>https://replay.pokemonshowdown.com/smogtours-gen3ou-799413</t>
  </si>
  <si>
    <t>https://replay.pokemonshowdown.com/smogtours-gen3ou-799414</t>
  </si>
  <si>
    <t>https://replay.pokemonshowdown.com/smogtours-gen3ou-799917</t>
  </si>
  <si>
    <t>https://replay.pokemonshowdown.com/smogtours-gen3ou-799928</t>
  </si>
  <si>
    <t>https://replay.pokemonshowdown.com/smogtours-gen3ou-799936</t>
  </si>
  <si>
    <t>https://replay.pokemonshowdown.com/smogtours-gen3ou-799814</t>
  </si>
  <si>
    <t>https://replay.pokemonshowdown.com/smogtours-gen3ou-799818</t>
  </si>
  <si>
    <t>https://replay.pokemonshowdown.com/smogtours-gen3ou-799537</t>
  </si>
  <si>
    <t>https://replay.pokemonshowdown.com/smogtours-gen3ou-799544</t>
  </si>
  <si>
    <t>https://replay.pokemonshowdown.com/smogtours-gen3ou-799868</t>
  </si>
  <si>
    <t>https://replay.pokemonshowdown.com/smogtours-gen3ou-799870</t>
  </si>
  <si>
    <t>https://replay.pokemonshowdown.com/smogtours-gen3ou-799874</t>
  </si>
  <si>
    <t>https://replay.pokemonshowdown.com/smogtours-gen3ou-799268</t>
  </si>
  <si>
    <t>https://replay.pokemonshowdown.com/smogtours-gen3ou-799273</t>
  </si>
  <si>
    <t>https://replay.pokemonshowdown.com/smogtours-gen3ou-799536</t>
  </si>
  <si>
    <t>https://replay.pokemonshowdown.com/smogtours-gen3ou-799540</t>
  </si>
  <si>
    <t>https://replay.pokemonshowdown.com/smogtours-gen3ou-799546</t>
  </si>
  <si>
    <t>https://replay.pokemonshowdown.com/smogtours-gen3ou-799526</t>
  </si>
  <si>
    <t>https://replay.pokemonshowdown.com/smogtours-gen3ou-799530</t>
  </si>
  <si>
    <t>https://replay.pokemonshowdown.com/smogtours-gen3ou-799532</t>
  </si>
  <si>
    <t>https://replay.pokemonshowdown.com/smogtours-gen3ou-799354</t>
  </si>
  <si>
    <t>https://replay.pokemonshowdown.com/smogtours-gen3ou-799359</t>
  </si>
  <si>
    <t>https://replay.pokemonshowdown.com/smogtours-gen3ou-799511</t>
  </si>
  <si>
    <t>https://replay.pokemonshowdown.com/smogtours-gen3ou-799512</t>
  </si>
  <si>
    <t>https://replay.pokemonshowdown.com/smogtours-gen3ou-799516</t>
  </si>
  <si>
    <t>https://replay.pokemonshowdown.com/smogtours-gen3ou-800123</t>
  </si>
  <si>
    <t>https://replay.pokemonshowdown.com/smogtours-gen3ou-800131</t>
  </si>
  <si>
    <t>https://replay.pokemonshowdown.com/smogtours-gen3ou-800140</t>
  </si>
  <si>
    <t>https://replay.pokemonshowdown.com/smogtours-gen3ou-799553</t>
  </si>
  <si>
    <t>https://replay.pokemonshowdown.com/smogtours-gen3ou-799560</t>
  </si>
  <si>
    <t>https://replay.pokemonshowdown.com/smogtours-gen3ou-799755</t>
  </si>
  <si>
    <t>https://replay.pokemonshowdown.com/smogtours-gen3ou-799758</t>
  </si>
  <si>
    <t>https://replay.pokemonshowdown.com/smogtours-gen3ou-800043</t>
  </si>
  <si>
    <t>https://replay.pokemonshowdown.com/smogtours-gen3ou-800047</t>
  </si>
  <si>
    <t>https://replay.pokemonshowdown.com/smogtours-gen3ou-800511</t>
  </si>
  <si>
    <t>https://replay.pokemonshowdown.com/smogtours-gen3ou-800501</t>
  </si>
  <si>
    <t>https://replay.pokemonshowdown.com/smogtours-gen3ou-799117</t>
  </si>
  <si>
    <t>https://replay.pokemonshowdown.com/smogtours-gen3ou-799119</t>
  </si>
  <si>
    <t>https://replay.pokemonshowdown.com/smogtours-gen3ou-799121</t>
  </si>
  <si>
    <t>https://replay.pokemonshowdown.com/smogtours-gen3ou-799782</t>
  </si>
  <si>
    <t>https://replay.pokemonshowdown.com/smogtours-gen3ou-799784</t>
  </si>
  <si>
    <t>https://replay.pokemonshowdown.com/smogtours-gen3ou-799786</t>
  </si>
  <si>
    <t>https://replay.pokemonshowdown.com/smogtours-gen3ou-799986</t>
  </si>
  <si>
    <t>https://replay.pokemonshowdown.com/smogtours-gen3ou-799995</t>
  </si>
  <si>
    <t>https://replay.pokemonshowdown.com/smogtours-gen3ou-799622</t>
  </si>
  <si>
    <t>https://replay.pokemonshowdown.com/smogtours-gen3ou-799630</t>
  </si>
  <si>
    <t>https://replay.pokemonshowdown.com/smogtours-gen3ou-799637</t>
  </si>
  <si>
    <t>https://replay.pokemonshowdown.com/smogtours-gen3ou-800152</t>
  </si>
  <si>
    <t>https://replay.pokemonshowdown.com/smogtours-gen3ou-800156</t>
  </si>
  <si>
    <t>https://replay.pokemonshowdown.com/smogtours-gen3ou-800159</t>
  </si>
  <si>
    <t>https://replay.pokemonshowdown.com/smogtours-gen3ou-799147</t>
  </si>
  <si>
    <t>https://replay.pokemonshowdown.com/smogtours-gen3ou-799149</t>
  </si>
  <si>
    <t>https://replay.pokemonshowdown.com/smogtours-gen3ou-799150</t>
  </si>
  <si>
    <r>
      <rPr>
        <rFont val="inherit"/>
        <sz val="12.0"/>
        <u/>
      </rPr>
      <t>https://replay.pokemonshowdown.com/smogtours-gen3ou-800414</t>
    </r>
  </si>
  <si>
    <r>
      <rPr>
        <rFont val="inherit"/>
        <sz val="12.0"/>
      </rPr>
      <t>https://replay.pokemonshowdown.com/smogtours-gen3ou-800425</t>
    </r>
  </si>
  <si>
    <r>
      <rPr>
        <rFont val="inherit"/>
        <sz val="12.0"/>
      </rPr>
      <t>https://replay.pokemonshowdown.com/smogtours-gen3ou-800403</t>
    </r>
  </si>
  <si>
    <r>
      <rPr>
        <rFont val="inherit"/>
        <sz val="12.0"/>
      </rPr>
      <t>https://replay.pokemonshowdown.com/smogtours-gen3ou-800420</t>
    </r>
  </si>
  <si>
    <r>
      <rPr>
        <rFont val="inherit"/>
        <sz val="12.0"/>
      </rPr>
      <t>https://replay.pokemonshowdown.com/smogtours-gen3ou-800443</t>
    </r>
  </si>
  <si>
    <r>
      <rPr>
        <rFont val="inherit"/>
        <sz val="12.0"/>
      </rPr>
      <t>https://replay.pokemonshowdown.com/smogtours-gen3ou-800398</t>
    </r>
  </si>
  <si>
    <r>
      <rPr>
        <rFont val="inherit"/>
        <sz val="12.0"/>
        <u/>
      </rPr>
      <t>https://replay.pokemonshowdown.com/smogtours-gen3ou-800432</t>
    </r>
  </si>
  <si>
    <r>
      <rPr>
        <rFont val="inherit"/>
        <sz val="12.0"/>
      </rPr>
      <t>https://replay.pokemonshowdown.com/smogtours-gen3ou-800495</t>
    </r>
  </si>
  <si>
    <r>
      <rPr>
        <rFont val="inherit"/>
        <sz val="12.0"/>
        <u/>
      </rPr>
      <t>https://replay.pokemonshowdown.com/smogtours-gen3ou-800513</t>
    </r>
  </si>
  <si>
    <r>
      <rPr>
        <rFont val="inherit"/>
        <sz val="12.0"/>
        <u/>
      </rPr>
      <t>https://replay.pokemonshowdown.com/smogtours-gen3ou-800608</t>
    </r>
  </si>
  <si>
    <r>
      <rPr>
        <rFont val="inherit"/>
        <sz val="12.0"/>
      </rPr>
      <t>https://replay.pokemonshowdown.com/smogtours-gen3ou-800615</t>
    </r>
  </si>
  <si>
    <t>https://replay.pokemonshowdown.com/smogtours-gen3ou-801067</t>
  </si>
  <si>
    <t>https://replay.pokemonshowdown.com/smogtours-gen3ou-801069</t>
  </si>
  <si>
    <t>https://replay.pokemonshowdown.com/smogtours-gen3ou-801071</t>
  </si>
  <si>
    <t>https://replay.pokemonshowdown.com/smogtours-gen3ou-801046</t>
  </si>
  <si>
    <t>https://replay.pokemonshowdown.com/smogtours-gen3ou-801048</t>
  </si>
  <si>
    <t>https://replay.pokemonshowdown.com/smogtours-gen3ou-801218</t>
  </si>
  <si>
    <t>https://replay.pokemonshowdown.com/smogtours-gen3ou-801221</t>
  </si>
  <si>
    <t>https://replay.pokemonshowdown.com/smogtours-gen3ou-801249</t>
  </si>
  <si>
    <t>https://replay.pokemonshowdown.com/smogtours-gen3ou-801254</t>
  </si>
  <si>
    <t>https://replay.pokemonshowdown.com/smogtours-gen3ou-801257</t>
  </si>
  <si>
    <t>https://replay.pokemonshowdown.com/smogtours-gen3ou-800480</t>
  </si>
  <si>
    <t>https://replay.pokemonshowdown.com/smogtours-gen3ou-800503</t>
  </si>
  <si>
    <t>https://replay.pokemonshowdown.com/smogtours-gen3ou-800579</t>
  </si>
  <si>
    <t>https://replay.pokemonshowdown.com/smogtours-gen3ou-800595</t>
  </si>
  <si>
    <t>https://replay.pokemonshowdown.com/smogtours-gen3ou-800392</t>
  </si>
  <si>
    <t>https://replay.pokemonshowdown.com/smogtours-gen3ou-800454</t>
  </si>
  <si>
    <t>https://replay.pokemonshowdown.com/smogtours-gen3ou-800481</t>
  </si>
  <si>
    <t>https://replay.pokemonshowdown.com/smogtours-gen3ou-799754</t>
  </si>
  <si>
    <t>https://replay.pokemonshowdown.com/smogtours-gen3ou-799759</t>
  </si>
  <si>
    <t>https://replay.pokemonshowdown.com/smogtours-gen3ou-799683</t>
  </si>
  <si>
    <t>https://replay.pokemonshowdown.com/smogtours-gen3ou-799688</t>
  </si>
  <si>
    <t>https://replay.pokemonshowdown.com/smogtours-gen3ou-800160</t>
  </si>
  <si>
    <t>https://replay.pokemonshowdown.com/smogtours-gen3ou-800163</t>
  </si>
  <si>
    <t>https://replay.pokemonshowdown.com/smogtours-gen3ou-799483</t>
  </si>
  <si>
    <t>https://replay.pokemonshowdown.com/smogtours-gen3ou-799485</t>
  </si>
  <si>
    <t>https://replay.pokemonshowdown.com/smogtours-gen3ou-799811</t>
  </si>
  <si>
    <t>https://replay.pokemonshowdown.com/smogtours-gen3ou-799812</t>
  </si>
  <si>
    <t>https://replay.pokemonshowdown.com/smogtours-gen3ou-800246</t>
  </si>
  <si>
    <t>https://replay.pokemonshowdown.com/smogtours-gen3ou-800251</t>
  </si>
  <si>
    <t>https://replay.pokemonshowdown.com/smogtours-gen3ou-800253</t>
  </si>
  <si>
    <t>https://replay.pokemonshowdown.com/smogtours-gen3ou-799521</t>
  </si>
  <si>
    <t>https://replay.pokemonshowdown.com/smogtours-gen3ou-799525</t>
  </si>
  <si>
    <t>https://replay.pokemonshowdown.com/smogtours-gen3ou-799527</t>
  </si>
  <si>
    <t>https://replay.pokemonshowdown.com/smogtours-gen3ou-799843</t>
  </si>
  <si>
    <t>https://replay.pokemonshowdown.com/smogtours-gen3ou-799846</t>
  </si>
  <si>
    <t>https://replay.pokemonshowdown.com/smogtours-gen3ou-800080</t>
  </si>
  <si>
    <t>https://replay.pokemonshowdown.com/smogtours-gen3ou-800087</t>
  </si>
  <si>
    <t>https://replay.pokemonshowdown.com/smogtours-gen3ou-800095</t>
  </si>
  <si>
    <t>https://replay.pokemonshowdown.com/smogtours-gen3ou-800165</t>
  </si>
  <si>
    <t>https://replay.pokemonshowdown.com/smogtours-gen3ou-800171</t>
  </si>
  <si>
    <t>https://replay.pokemonshowdown.com/smogtours-gen3ou-800049</t>
  </si>
  <si>
    <t>https://replay.pokemonshowdown.com/smogtours-gen3ou-800055</t>
  </si>
  <si>
    <t>https://replay.pokemonshowdown.com/smogtours-gen3ou-800063</t>
  </si>
  <si>
    <t>https://replay.pokemonshowdown.com/smogtours-gen3ou-799804</t>
  </si>
  <si>
    <t>https://replay.pokemonshowdown.com/smogtours-gen3ou-799805</t>
  </si>
  <si>
    <t>https://replay.pokemonshowdown.com/smogtours-gen3ou-799806</t>
  </si>
  <si>
    <t>https://replay.pokemonshowdown.com/smogtours-gen3ou-800745</t>
  </si>
  <si>
    <t>https://replay.pokemonshowdown.com/smogtours-gen3ou-800758</t>
  </si>
  <si>
    <t>https://replay.pokemonshowdown.com/smogtours-gen3ou-800737</t>
  </si>
  <si>
    <t>https://replay.pokemonshowdown.com/smogtours-gen3ou-800752</t>
  </si>
  <si>
    <t>https://replay.pokemonshowdown.com/smogtours-gen3ou-800762</t>
  </si>
  <si>
    <t>https://replay.pokemonshowdown.com/smogtours-gen3ou-800683</t>
  </si>
  <si>
    <t>https://replay.pokemonshowdown.com/smogtours-gen3ou-800732</t>
  </si>
  <si>
    <t>https://replay.pokemonshowdown.com/smogtours-gen3ou-800759</t>
  </si>
  <si>
    <t>https://replay.pokemonshowdown.com/smogtours-gen3ou-800703</t>
  </si>
  <si>
    <t>https://replay.pokemonshowdown.com/smogtours-gen3ou-800665</t>
  </si>
  <si>
    <t>https://replay.pokemonshowdown.com/smogtours-gen3ou-800682</t>
  </si>
  <si>
    <t>https://replay.pokemonshowdown.com/smogtours-gen3ou-800691</t>
  </si>
  <si>
    <t>https://replay.pokemonshowdown.com/smogtours-gen3ou-800802</t>
  </si>
  <si>
    <t>https://replay.pokemonshowdown.com/smogtours-gen3ou-800793</t>
  </si>
  <si>
    <t>https://replay.pokemonshowdown.com/smogtours-gen3ou-800743</t>
  </si>
  <si>
    <t>https://replay.pokemonshowdown.com/smogtours-gen3ou-800764</t>
  </si>
  <si>
    <r>
      <rPr>
        <rFont val="inherit"/>
        <sz val="12.0"/>
      </rPr>
      <t>https://replay.pokemonshowdown.com/smogtours-gen3ou-800724</t>
    </r>
  </si>
  <si>
    <t>https://replay.pokemonshowdown.com/smogtours-gen3ou-800727</t>
  </si>
  <si>
    <r>
      <rPr>
        <rFont val="inherit"/>
        <sz val="12.0"/>
      </rPr>
      <t>https://replay.pokemonshowdown.com/smogtours-gen3ou-800733</t>
    </r>
  </si>
  <si>
    <r>
      <rPr>
        <rFont val="inherit"/>
        <sz val="12.0"/>
      </rPr>
      <t>https://replay.pokemonshowdown.com/smogtours-gen3ou-800668</t>
    </r>
  </si>
  <si>
    <r>
      <rPr>
        <rFont val="inherit"/>
        <sz val="12.0"/>
      </rPr>
      <t>https://replay.pokemonshowdown.com/smogtours-gen3ou-800690</t>
    </r>
  </si>
  <si>
    <r>
      <rPr>
        <rFont val="inherit"/>
        <sz val="12.0"/>
      </rPr>
      <t>https://replay.pokemonshowdown.com/smogtours-gen3ou-800715</t>
    </r>
  </si>
  <si>
    <r>
      <rPr>
        <rFont val="inherit"/>
        <sz val="12.0"/>
      </rPr>
      <t>https://replay.pokemonshowdown.com/gen3ou-2227180375-2zb7wr6rdmlvqi3drezcvjhb5qt28k9pw</t>
    </r>
  </si>
  <si>
    <r>
      <rPr>
        <rFont val="inherit"/>
        <sz val="12.0"/>
      </rPr>
      <t>https://replay.pokemonshowdown.com/gen3ou-2227185966-rqr61rbbuinp8uc52g2t8xd3j79x32mpw</t>
    </r>
  </si>
  <si>
    <t>https://replay.pokemonshowdown.com/smogtours-gen3ou-800637</t>
  </si>
  <si>
    <t>https://replay.pokemonshowdown.com/smogtours-gen3ou-800650</t>
  </si>
  <si>
    <t>https://replay.pokemonshowdown.com/smogtours-gen3ou-800821</t>
  </si>
  <si>
    <t>https://replay.pokemonshowdown.com/smogtours-gen3ou-800826</t>
  </si>
  <si>
    <t>https://replay.pokemonshowdown.com/smogtours-gen3ou-800609</t>
  </si>
  <si>
    <t>https://replay.pokemonshowdown.com/smogtours-gen3ou-800620</t>
  </si>
  <si>
    <t>https://replay.pokemonshowdown.com/smogtours-gen3ou-800643</t>
  </si>
  <si>
    <t>https://replay.pokemonshowdown.com/smogtours-gen3ou-800957</t>
  </si>
  <si>
    <t>https://replay.pokemonshowdown.com/smogtours-gen3ou-800964</t>
  </si>
  <si>
    <t>https://replay.pokemonshowdown.com/smogtours-gen3ou-800527</t>
  </si>
  <si>
    <t>https://replay.pokemonshowdown.com/smogtours-gen3ou-800532</t>
  </si>
  <si>
    <t>https://replay.pokemonshowdown.com/smogtours-gen3ou-800760</t>
  </si>
  <si>
    <t>https://replay.pokemonshowdown.com/smogtours-gen3ou-800769</t>
  </si>
  <si>
    <t>https://replay.pokemonshowdown.com/smogtours-gen3ou-800773</t>
  </si>
  <si>
    <t>https://replay.pokemonshowdown.com/smogtours-gen3ou-800754</t>
  </si>
  <si>
    <t>https://replay.pokemonshowdown.com/smogtours-gen3ou-800779</t>
  </si>
  <si>
    <t>https://replay.pokemonshowdown.com/smogtours-gen3ou-800790</t>
  </si>
  <si>
    <t>https://replay.pokemonshowdown.com/smogtours-gen3ou-800476</t>
  </si>
  <si>
    <t>https://replay.pokemonshowdown.com/smogtours-gen3ou-800488</t>
  </si>
  <si>
    <t>https://replay.pokemonshowdown.com/smogtours-gen3ou-800504</t>
  </si>
  <si>
    <t>https://replay.pokemonshowdown.com/smogtours-gen3ou-800677</t>
  </si>
  <si>
    <t>https://replay.pokemonshowdown.com/smogtours-gen3ou-800702</t>
  </si>
  <si>
    <t>https://replay.pokemonshowdown.com/smogtours-gen3ou-800786?p2</t>
  </si>
  <si>
    <t>https://replay.pokemonshowdown.com/smogtours-gen3ou-800796?p2</t>
  </si>
  <si>
    <t>https://replay.pokemonshowdown.com/smogtours-gen3ou-800807?p2</t>
  </si>
  <si>
    <t>https://replay.pokemonshowdown.com/smogtours-gen3ou-800493</t>
  </si>
  <si>
    <t>https://replay.pokemonshowdown.com/smogtours-gen3ou-800507</t>
  </si>
  <si>
    <t>https://replay.pokemonshowdown.com/smogtours-gen3ou-800523</t>
  </si>
  <si>
    <t>https://replay.pokemonshowdown.com/smogtours-gen3ou-800904</t>
  </si>
  <si>
    <t>https://replay.pokemonshowdown.com/smogtours-gen3ou-800910</t>
  </si>
  <si>
    <t>https://replay.pokemonshowdown.com/smogtours-gen3ou-800943</t>
  </si>
  <si>
    <t>https://replay.pokemonshowdown.com/smogtours-gen3ou-800573</t>
  </si>
  <si>
    <t>https://replay.pokemonshowdown.com/smogtours-gen3ou-800590</t>
  </si>
  <si>
    <t>https://replay.pokemonshowdown.com/smogtours-gen3ou-800606</t>
  </si>
  <si>
    <t>https://replay.pokemonshowdown.com/smogtours-gen3ou-800626</t>
  </si>
  <si>
    <t>https://replay.pokemonshowdown.com/smogtours-gen3ou-800736</t>
  </si>
  <si>
    <t>https://replay.pokemonshowdown.com/smogtours-gen3ou-800753</t>
  </si>
  <si>
    <t>https://replay.pokemonshowdown.com/smogtours-gen3ou-800178</t>
  </si>
  <si>
    <t>https://replay.pokemonshowdown.com/smogtours-gen3ou-800188</t>
  </si>
  <si>
    <t>https://replay.pokemonshowdown.com/smogtours-gen3ou-800196</t>
  </si>
  <si>
    <t>https://replay.pokemonshowdown.com/smogtours-gen3ou-800740</t>
  </si>
  <si>
    <t>https://replay.pokemonshowdown.com/smogtours-gen3ou-800768</t>
  </si>
  <si>
    <t>https://replay.pokemonshowdown.com/smogtours-gen3ou-800791</t>
  </si>
  <si>
    <t>https://replay.pokemonshowdown.com/smogtours-gen3ou-800988</t>
  </si>
  <si>
    <t>https://replay.pokemonshowdown.com/smogtours-gen3ou-800990</t>
  </si>
  <si>
    <t>https://replay.pokemonshowdown.com/smogtours-gen3ou-800442</t>
  </si>
  <si>
    <t>https://replay.pokemonshowdown.com/smogtours-gen3ou-800453</t>
  </si>
  <si>
    <t>https://replay.pokemonshowdown.com/smogtours-gen3ou-800959</t>
  </si>
  <si>
    <t>https://replay.pokemonshowdown.com/smogtours-gen3ou-800962</t>
  </si>
  <si>
    <t>https://replay.pokemonshowdown.com/smogtours-gen3ou-800971</t>
  </si>
  <si>
    <t>https://replay.pokemonshowdown.com/smogtours-gen3ou-800907</t>
  </si>
  <si>
    <t>https://replay.pokemonshowdown.com/smogtours-gen3ou-800911</t>
  </si>
  <si>
    <t>https://replay.pokemonshowdown.com/smogtours-gen3ou-800975</t>
  </si>
  <si>
    <t>https://replay.pokemonshowdown.com/smogtours-gen3ou-800980</t>
  </si>
  <si>
    <t>https://replay.pokemonshowdown.com/smogtours-gen3ou-800981</t>
  </si>
  <si>
    <t>https://replay.pokemonshowdown.com/smogtours-gen3ou-800982</t>
  </si>
  <si>
    <t>https://replay.pokemonshowdown.com/smogtours-gen3ou-801040</t>
  </si>
  <si>
    <t>https://replay.pokemonshowdown.com/smogtours-gen3ou-801041</t>
  </si>
  <si>
    <t>https://replay.pokemonshowdown.com/smogtours-gen3ou-801175</t>
  </si>
  <si>
    <t>https://replay.pokemonshowdown.com/smogtours-gen3ou-801177</t>
  </si>
  <si>
    <t>https://replay.pokemonshowdown.com/smogtours-gen3ou-801207?p2</t>
  </si>
  <si>
    <t>https://replay.pokemonshowdown.com/smogtours-gen3ou-801209</t>
  </si>
  <si>
    <t>https://replay.pokemonshowdown.com/smogtours-gen3ou-801210?p2</t>
  </si>
  <si>
    <t>https://replay.pokemonshowdown.com/smogtours-gen3ou-801236</t>
  </si>
  <si>
    <t>https://replay.pokemonshowdown.com/smogtours-gen3ou-801238</t>
  </si>
  <si>
    <t>https://replay.pokemonshowdown.com/smogtours-gen3ou-801235</t>
  </si>
  <si>
    <t>https://replay.pokemonshowdown.com/smogtours-gen3ou-801237</t>
  </si>
  <si>
    <t>https://replay.pokemonshowdown.com/smogtours-gen3ou-801285</t>
  </si>
  <si>
    <t>https://replay.pokemonshowdown.com/smogtours-gen3ou-801289</t>
  </si>
  <si>
    <t>https://replay.pokemonshowdown.com/smogtours-gen3ou-801281</t>
  </si>
  <si>
    <t>https://replay.pokemonshowdown.com/smogtours-gen3ou-801284</t>
  </si>
  <si>
    <t>https://replay.pokemonshowdown.com/smogtours-gen3ou-801290</t>
  </si>
  <si>
    <t>https://replay.pokemonshowdown.com/smogtours-gen3ou-801314</t>
  </si>
  <si>
    <t>https://replay.pokemonshowdown.com/smogtours-gen3ou-801317</t>
  </si>
  <si>
    <t>https://replay.pokemonshowdown.com/smogtours-gen3ou-801263</t>
  </si>
  <si>
    <t>https://replay.pokemonshowdown.com/smogtours-gen3ou-801264</t>
  </si>
  <si>
    <r>
      <rPr>
        <rFont val="inherit"/>
        <color rgb="FF1155CC"/>
        <sz val="12.0"/>
        <u/>
      </rPr>
      <t>https://replay.pokemonshowdown.com/smogtours-gen3ou-801301</t>
    </r>
  </si>
  <si>
    <r>
      <rPr>
        <rFont val="inherit"/>
        <color rgb="FF1155CC"/>
        <sz val="12.0"/>
        <u/>
      </rPr>
      <t>https://replay.pokemonshowdown.com/smogtours-gen3ou-801308</t>
    </r>
  </si>
  <si>
    <r>
      <rPr>
        <rFont val="inherit"/>
        <color rgb="FF1155CC"/>
        <sz val="12.0"/>
        <u/>
      </rPr>
      <t>https://replay.pokemonshowdown.com/smogtours-gen3ou-801051</t>
    </r>
  </si>
  <si>
    <r>
      <rPr>
        <rFont val="inherit"/>
        <color rgb="FF1155CC"/>
        <sz val="12.0"/>
        <u/>
      </rPr>
      <t>https://replay.pokemonshowdown.com/smogtours-gen3ou-801053</t>
    </r>
  </si>
  <si>
    <r>
      <rPr>
        <rFont val="inherit"/>
        <color rgb="FF1155CC"/>
        <sz val="12.0"/>
        <u/>
      </rPr>
      <t>https://replay.pokemonshowdown.com/smogtours-gen3ou-801294</t>
    </r>
  </si>
  <si>
    <r>
      <rPr>
        <rFont val="inherit"/>
        <color rgb="FF1155CC"/>
        <sz val="12.0"/>
        <u/>
      </rPr>
      <t>https://replay.pokemonshowdown.com/smogtours-gen3ou-801300</t>
    </r>
  </si>
  <si>
    <r>
      <rPr>
        <rFont val="inherit"/>
        <color rgb="FF1155CC"/>
        <sz val="12.0"/>
        <u/>
      </rPr>
      <t>https://replay.pokemonshowdown.com/smogtours-gen3ou-801342</t>
    </r>
  </si>
  <si>
    <r>
      <rPr>
        <rFont val="inherit"/>
        <color rgb="FF1155CC"/>
        <sz val="12.0"/>
        <u/>
      </rPr>
      <t>https://replay.pokemonshowdown.com/smogtours-gen3ou-801345</t>
    </r>
  </si>
  <si>
    <r>
      <rPr>
        <rFont val="inherit"/>
        <color rgb="FF1155CC"/>
        <sz val="12.0"/>
        <u/>
      </rPr>
      <t>https://replay.pokemonshowdown.com/smogtours-gen3ou-801347</t>
    </r>
  </si>
  <si>
    <r>
      <rPr>
        <rFont val="inherit"/>
        <color rgb="FF1155CC"/>
        <sz val="12.0"/>
        <u/>
      </rPr>
      <t>https://replay.pokemonshowdown.com/smogtours-gen3ou-801206</t>
    </r>
  </si>
  <si>
    <r>
      <rPr>
        <rFont val="inherit"/>
        <color rgb="FF1155CC"/>
        <sz val="12.0"/>
        <u/>
      </rPr>
      <t>https://replay.pokemonshowdown.com/smogtours-gen3ou-801208</t>
    </r>
  </si>
  <si>
    <r>
      <rPr>
        <rFont val="inherit"/>
        <color rgb="FF1155CC"/>
        <sz val="12.0"/>
        <u/>
      </rPr>
      <t>https://replay.pokemonshowdown.com/smogtours-gen3ou-801223</t>
    </r>
  </si>
  <si>
    <r>
      <rPr>
        <rFont val="inherit"/>
        <color rgb="FF1155CC"/>
        <sz val="12.0"/>
        <u/>
      </rPr>
      <t>https://replay.pokemonshowdown.com/smogtours-gen3ou-801226</t>
    </r>
  </si>
  <si>
    <r>
      <rPr>
        <rFont val="inherit"/>
        <color rgb="FF1155CC"/>
        <sz val="12.0"/>
        <u/>
      </rPr>
      <t>https://replay.pokemonshowdown.com/smogtours-gen3ou-801230</t>
    </r>
  </si>
  <si>
    <r>
      <rPr>
        <rFont val="inherit"/>
        <color rgb="FF1155CC"/>
        <sz val="12.0"/>
        <u/>
      </rPr>
      <t>https://replay.pokemonshowdown.com/smogtours-gen3ou-801256</t>
    </r>
  </si>
  <si>
    <r>
      <rPr>
        <rFont val="inherit"/>
        <color rgb="FF1155CC"/>
        <sz val="12.0"/>
        <u/>
      </rPr>
      <t>https://replay.pokemonshowdown.com/smogtours-gen3ou-801258</t>
    </r>
  </si>
  <si>
    <r>
      <rPr>
        <rFont val="inherit"/>
        <color rgb="FF1155CC"/>
        <sz val="12.0"/>
        <u/>
      </rPr>
      <t>https://replay.pokemonshowdown.com/smogtours-gen3ou-801260</t>
    </r>
  </si>
  <si>
    <r>
      <rPr>
        <rFont val="inherit"/>
        <color rgb="FF1155CC"/>
        <sz val="12.0"/>
        <u/>
      </rPr>
      <t>https://replay.pokemonshowdown.com/smogtours-gen3ou-801202</t>
    </r>
  </si>
  <si>
    <r>
      <rPr>
        <rFont val="inherit"/>
        <color rgb="FF1155CC"/>
        <sz val="12.0"/>
        <u/>
      </rPr>
      <t>https://replay.pokemonshowdown.com/smogtours-gen3ou-801205</t>
    </r>
  </si>
  <si>
    <r>
      <rPr>
        <rFont val="inherit"/>
        <color rgb="FF1155CC"/>
        <sz val="12.0"/>
        <u/>
      </rPr>
      <t>https://replay.pokemonshowdown.com/smogtours-gen3ou-801322</t>
    </r>
  </si>
  <si>
    <r>
      <rPr>
        <rFont val="inherit"/>
        <color rgb="FF1155CC"/>
        <sz val="12.0"/>
        <u/>
      </rPr>
      <t>https://replay.pokemonshowdown.com/smogtours-gen3ou-801325</t>
    </r>
  </si>
  <si>
    <r>
      <rPr>
        <rFont val="inherit"/>
        <color rgb="FF1155CC"/>
        <sz val="12.0"/>
        <u/>
      </rPr>
      <t>https://replay.pokemonshowdown.com/smogtours-gen3ou-801327</t>
    </r>
  </si>
  <si>
    <t>https://replay.pokemonshowdown.com/smogtours-gen3ou-801379</t>
  </si>
  <si>
    <t>https://replay.pokemonshowdown.com/smogtours-gen3ou-801380</t>
  </si>
  <si>
    <t>https://replay.pokemonshowdown.com/smogtours-gen3ou-801388</t>
  </si>
  <si>
    <t>https://replay.pokemonshowdown.com/smogtours-gen3ou-801393</t>
  </si>
  <si>
    <t>https://replay.pokemonshowdown.com/gen3ou-2228816226-bduuddd53puhlk30fwb16uboomsblf9pw</t>
  </si>
  <si>
    <t>https://replay.pokemonshowdown.com/gen3ou-2228820741-xea7y8c01odvckvujgbn7ztna17ijd1pw</t>
  </si>
  <si>
    <t>https://replay.pokemonshowdown.com/gen3ou-2228823245-1r82i8te9eat8ta8zzrxdqbjb2aiq1xpw</t>
  </si>
  <si>
    <t>https://replay.pokemonshowdown.com/smogtours-gen3ou-801416</t>
  </si>
  <si>
    <t>https://replay.pokemonshowdown.com/smogtours-gen3ou-801418</t>
  </si>
  <si>
    <t>https://replay.pokemonshowdown.com/smogtours-gen3ou-801332</t>
  </si>
  <si>
    <t>https://replay.pokemonshowdown.com/smogtours-gen3ou-801333</t>
  </si>
  <si>
    <t>https://replay.pokemonshowdown.com/smogtours-gen3ou-801334</t>
  </si>
  <si>
    <t>https://replay.pokemonshowdown.com/smogtours-gen3ou-801340</t>
  </si>
  <si>
    <r>
      <rPr>
        <rFont val="inherit"/>
        <color rgb="FF1155CC"/>
        <sz val="12.0"/>
        <u/>
      </rPr>
      <t>https://replay.pokemonshowdown.com/smogtours-gen3ou-801277</t>
    </r>
  </si>
  <si>
    <t>https://replay.pokemonshowdown.com/smogtours-gen3ou-801280</t>
  </si>
  <si>
    <t>https://replay.pokemonshowdown.com/smogtours-gen3ou-801392</t>
  </si>
  <si>
    <t>https://replay.pokemonshowdown.com/smogtours-gen3ou-801398</t>
  </si>
  <si>
    <t>https://replay.pokemonshowdown.com/smogtours-gen3ou-801399</t>
  </si>
  <si>
    <t>https://replay.pokemonshowdown.com/smogtours-gen3ou-801412</t>
  </si>
  <si>
    <t>https://replay.pokemonshowdown.com/smogtours-gen3ou-801414</t>
  </si>
  <si>
    <t>https://replay.pokemonshowdown.com/smogtours-gen3ou-801321</t>
  </si>
  <si>
    <t>https://replay.pokemonshowdown.com/smogtours-gen3ou-801323</t>
  </si>
  <si>
    <t>https://replay.pokemonshowdown.com/smogtours-gen3ou-801330</t>
  </si>
  <si>
    <t>https://replay.pokemonshowdown.com/smogtours-gen3ou-801459</t>
  </si>
  <si>
    <t>https://replay.pokemonshowdown.com/smogtours-gen3ou-801468</t>
  </si>
  <si>
    <t>https://replay.pokemonshowdown.com/smogtours-gen3ou-801484</t>
  </si>
  <si>
    <t>https://replay.pokemonshowdown.com/smogtours-gen3ou-801487</t>
  </si>
  <si>
    <t>https://replay.pokemonshowdown.com/smogtours-gen3ou-801502</t>
  </si>
  <si>
    <t>https://replay.pokemonshowdown.com/smogtours-gen3ou-801505</t>
  </si>
  <si>
    <t>https://replay.pokemonshowdown.com/smogtours-gen3ou-801329?p2</t>
  </si>
  <si>
    <t>https://replay.pokemonshowdown.com/smogtours-gen3ou-801326</t>
  </si>
  <si>
    <t>https://replay.pokemonshowdown.com/smogtours-gen3ou-801525</t>
  </si>
  <si>
    <t>https://replay.pokemonshowdown.com/smogtours-gen3ou-801526?p2</t>
  </si>
  <si>
    <t>https://replay.pokemonshowdown.com/smogtours-gen3ou-801528?p2</t>
  </si>
  <si>
    <r>
      <rPr>
        <rFont val="inherit"/>
        <color rgb="FF1155CC"/>
        <sz val="12.0"/>
        <u/>
      </rPr>
      <t>https://replay.pokemonshowdown.com/smogtours-gen3ou-801501</t>
    </r>
  </si>
  <si>
    <r>
      <rPr>
        <rFont val="inherit"/>
        <color rgb="FF1155CC"/>
        <sz val="12.0"/>
        <u/>
      </rPr>
      <t>https://replay.pokemonshowdown.com/smogtours-gen3ou-801503</t>
    </r>
  </si>
  <si>
    <r>
      <rPr>
        <rFont val="inherit"/>
        <color rgb="FF1155CC"/>
        <sz val="12.0"/>
        <u/>
      </rPr>
      <t>https://replay.pokemonshowdown.com/smogtours-gen3ou-801387</t>
    </r>
  </si>
  <si>
    <r>
      <rPr>
        <rFont val="inherit"/>
        <color rgb="FF1155CC"/>
        <sz val="12.0"/>
        <u/>
      </rPr>
      <t>https://replay.pokemonshowdown.com/smogtours-gen3ou-801390</t>
    </r>
  </si>
  <si>
    <r>
      <rPr>
        <rFont val="inherit"/>
        <color rgb="FF1155CC"/>
        <sz val="12.0"/>
        <u/>
      </rPr>
      <t>https://replay.pokemonshowdown.com/smogtours-gen3ou-801471</t>
    </r>
  </si>
  <si>
    <r>
      <rPr>
        <rFont val="inherit"/>
        <color rgb="FF1155CC"/>
        <sz val="12.0"/>
        <u/>
      </rPr>
      <t>https://replay.pokemonshowdown.com/smogtours-gen3ou-801476</t>
    </r>
  </si>
  <si>
    <r>
      <rPr>
        <rFont val="inherit"/>
        <color rgb="FF1155CC"/>
        <sz val="12.0"/>
        <u/>
      </rPr>
      <t>https://replay.pokemonshowdown.com/smogtours-gen3ou-801359</t>
    </r>
  </si>
  <si>
    <r>
      <rPr>
        <rFont val="inherit"/>
        <color rgb="FF1155CC"/>
        <sz val="12.0"/>
        <u/>
      </rPr>
      <t>https://replay.pokemonshowdown.com/smogtours-gen3ou-801361</t>
    </r>
  </si>
  <si>
    <r>
      <rPr>
        <rFont val="inherit"/>
        <color rgb="FF1155CC"/>
        <sz val="12.0"/>
        <u/>
      </rPr>
      <t>https://replay.pokemonshowdown.com/smogtours-gen3ou-801362</t>
    </r>
  </si>
  <si>
    <r>
      <rPr>
        <rFont val="inherit"/>
        <color rgb="FF1155CC"/>
        <sz val="12.0"/>
        <u/>
      </rPr>
      <t>https://replay.pokemonshowdown.com/smogtours-gen3ou-801477</t>
    </r>
  </si>
  <si>
    <r>
      <rPr>
        <rFont val="inherit"/>
        <color rgb="FF1155CC"/>
        <sz val="12.0"/>
        <u/>
      </rPr>
      <t>https://replay.pokemonshowdown.com/smogtours-gen3ou-801479</t>
    </r>
  </si>
  <si>
    <r>
      <rPr>
        <rFont val="inherit"/>
        <color rgb="FF1155CC"/>
        <sz val="12.0"/>
        <u/>
      </rPr>
      <t>https://replay.pokemonshowdown.com/smogtours-gen3ou-801480</t>
    </r>
  </si>
  <si>
    <r>
      <rPr>
        <rFont val="inherit"/>
        <color rgb="FF1155CC"/>
        <sz val="12.0"/>
        <u/>
      </rPr>
      <t>https://replay.pokemonshowdown.com/smogtours-gen3ou-801441?p2</t>
    </r>
  </si>
  <si>
    <r>
      <rPr>
        <rFont val="inherit"/>
        <color rgb="FF1155CC"/>
        <sz val="12.0"/>
        <u/>
      </rPr>
      <t>https://replay.pokemonshowdown.com/smogtours-gen3ou-801449?p2</t>
    </r>
  </si>
  <si>
    <r>
      <rPr>
        <rFont val="inherit"/>
        <color rgb="FF1155CC"/>
        <sz val="12.0"/>
        <u/>
      </rPr>
      <t>https://replay.pokemonshowdown.com/smogtours-gen3ou-801485</t>
    </r>
  </si>
  <si>
    <r>
      <rPr>
        <rFont val="inherit"/>
        <color rgb="FF1155CC"/>
        <sz val="12.0"/>
        <u/>
      </rPr>
      <t>https://replay.pokemonshowdown.com/smogtours-gen3ou-801488</t>
    </r>
  </si>
  <si>
    <r>
      <rPr>
        <rFont val="inherit"/>
        <color rgb="FF1155CC"/>
        <sz val="12.0"/>
        <u/>
      </rPr>
      <t>https://replay.pokemonshowdown.com/smogtours-gen3ou-801491</t>
    </r>
  </si>
  <si>
    <r>
      <rPr>
        <rFont val="inherit"/>
        <color rgb="FF1155CC"/>
        <sz val="12.0"/>
        <u/>
      </rPr>
      <t>https://replay.pokemonshowdown.com/smogtours-gen3ou-801472</t>
    </r>
  </si>
  <si>
    <r>
      <rPr>
        <rFont val="inherit"/>
        <color rgb="FF1155CC"/>
        <sz val="12.0"/>
        <u/>
      </rPr>
      <t>https://replay.pokemonshowdown.com/smogtours-gen3ou-801474</t>
    </r>
  </si>
  <si>
    <r>
      <rPr>
        <rFont val="inherit"/>
        <color rgb="FF1155CC"/>
        <sz val="12.0"/>
        <u/>
      </rPr>
      <t>https://replay.pokemonshowdown.com/smogtours-gen3ou-801482</t>
    </r>
  </si>
  <si>
    <r>
      <rPr>
        <rFont val="inherit"/>
        <color rgb="FF1155CC"/>
        <sz val="12.0"/>
        <u/>
      </rPr>
      <t>https://replay.pokemonshowdown.com/smogtours-gen3ou-801483</t>
    </r>
  </si>
  <si>
    <t>https://replay.pokemonshowdown.com/smogtours-gen3ou-801542</t>
  </si>
  <si>
    <t>https://replay.pokemonshowdown.com/smogtours-gen3ou-801544</t>
  </si>
  <si>
    <t>https://replay.pokemonshowdown.com/smogtours-gen3ou-801547</t>
  </si>
  <si>
    <t>https://replay.pokemonshowdown.com/smogtours-gen3ou-801438</t>
  </si>
  <si>
    <t>https://replay.pokemonshowdown.com/smogtours-gen3ou-801445</t>
  </si>
  <si>
    <t>https://replay.pokemonshowdown.com/smogtours-gen3ou-801448</t>
  </si>
  <si>
    <t>https://replay.pokemonshowdown.com/smogtours-gen3ou-801454</t>
  </si>
  <si>
    <t>https://replay.pokemonshowdown.com/smogtours-gen3ou-801558</t>
  </si>
  <si>
    <t>https://replay.pokemonshowdown.com/smogtours-gen3ou-801563</t>
  </si>
  <si>
    <t>https://replay.pokemonshowdown.com/smogtours-gen3ou-801567</t>
  </si>
  <si>
    <t>https://replay.pokemonshowdown.com/smogtours-gen3ou-801433</t>
  </si>
  <si>
    <t>https://replay.pokemonshowdown.com/smogtours-gen3ou-801436</t>
  </si>
  <si>
    <t>https://replay.pokemonshowdown.com/smogtours-gen3ou-801440</t>
  </si>
  <si>
    <t>https://replay.pokemonshowdown.com/smogtours-gen3ou-801286</t>
  </si>
  <si>
    <t>https://replay.pokemonshowdown.com/smogtours-gen3ou-801287</t>
  </si>
  <si>
    <t>https://replay.pokemonshowdown.com/smogtours-gen3ou-801291</t>
  </si>
  <si>
    <t>https://replay.pokemonshowdown.com/smogtours-gen3ou-801661</t>
  </si>
  <si>
    <t>https://replay.pokemonshowdown.com/smogtours-gen3ou-801666</t>
  </si>
  <si>
    <t>https://replay.pokemonshowdown.com/smogtours-gen3ou-801595</t>
  </si>
  <si>
    <t>https://replay.pokemonshowdown.com/smogtours-gen3ou-801600</t>
  </si>
  <si>
    <t>https://replay.pokemonshowdown.com/smogtours-gen3ou-801586?p2</t>
  </si>
  <si>
    <t>https://replay.pokemonshowdown.com/smogtours-gen3ou-801590</t>
  </si>
  <si>
    <t>https://replay.pokemonshowdown.com/smogtours-gen3ou-801632</t>
  </si>
  <si>
    <t>https://replay.pokemonshowdown.com/smogtours-gen3ou-801637</t>
  </si>
  <si>
    <t>https://replay.pokemonshowdown.com/smogtours-gen3ou-801493</t>
  </si>
  <si>
    <t>https://replay.pokemonshowdown.com/smogtours-gen3ou-801494</t>
  </si>
  <si>
    <t>https://replay.pokemonshowdown.com/smogtours-gen3ou-801446</t>
  </si>
  <si>
    <t>https://replay.pokemonshowdown.com/smogtours-gen3ou-801450</t>
  </si>
  <si>
    <t>https://replay.pokemonshowdown.com/smogtours-gen3ou-801458</t>
  </si>
  <si>
    <t>https://replay.pokemonshowdown.com/smogtours-gen3ou-801522</t>
  </si>
  <si>
    <t>https://replay.pokemonshowdown.com/smogtours-gen3ou-801523</t>
  </si>
  <si>
    <t>https://replay.pokemonshowdown.com/smogtours-gen3ou-801524</t>
  </si>
  <si>
    <t>https://replay.pokemonshowdown.com/smogtours-gen3ou-801255</t>
  </si>
  <si>
    <t>https://replay.pokemonshowdown.com/smogtours-gen3ou-801253</t>
  </si>
  <si>
    <t>https://replay.pokemonshowdown.com/smogtours-gen3ou-801430</t>
  </si>
  <si>
    <t>https://replay.pokemonshowdown.com/smogtours-gen3ou-801434</t>
  </si>
  <si>
    <t>https://replay.pokemonshowdown.com/smogtours-gen3ou-801288</t>
  </si>
  <si>
    <t>https://replay.pokemonshowdown.com/smogtours-gen3ou-801293</t>
  </si>
  <si>
    <t>https://replay.pokemonshowdown.com/smogtours-gen3ou-801421</t>
  </si>
  <si>
    <t>https://replay.pokemonshowdown.com/smogtours-gen3ou-801424</t>
  </si>
  <si>
    <t>http://replay.pokemonshowdown.com/smogtours-gen3ou-801626</t>
  </si>
  <si>
    <t>http://replay.pokemonshowdown.com/smogtours-gen3ou-801643?p2</t>
  </si>
  <si>
    <t>https://replay.pokemonshowdown.com/smogtours-gen3ou-801266</t>
  </si>
  <si>
    <t>https://replay.pokemonshowdown.com/smogtours-gen3ou-801271</t>
  </si>
  <si>
    <t>https://replay.pokemonshowdown.com/smogtours-gen3ou-801354</t>
  </si>
  <si>
    <t>https://replay.pokemonshowdown.com/smogtours-gen3ou-801356</t>
  </si>
  <si>
    <t>https://replay.pokemonshowdown.com/smogtours-gen3ou-801357</t>
  </si>
  <si>
    <t>https://replay.pokemonshowdown.com/smogtours-gen3ou-801328</t>
  </si>
  <si>
    <t>https://replay.pokemonshowdown.com/smogtours-gen3ou-801331</t>
  </si>
  <si>
    <t>https://replay.pokemonshowdown.com/smogtours-gen3ou-801598</t>
  </si>
  <si>
    <t>https://replay.pokemonshowdown.com/smogtours-gen3ou-801603</t>
  </si>
  <si>
    <t>https://replay.pokemonshowdown.com/smogtours-gen3ou-801607</t>
  </si>
  <si>
    <t>https://replay.pokemonshowdown.com/smogtours-gen3ou-801074</t>
  </si>
  <si>
    <t>https://replay.pokemonshowdown.com/smogtours-gen3ou-801075</t>
  </si>
  <si>
    <t>https://replay.pokemonshowdown.com/smogtours-gen3ou-801078</t>
  </si>
  <si>
    <t>https://replay.pokemonshowdown.com/smogtours-gen3ou-801358</t>
  </si>
  <si>
    <t>https://replay.pokemonshowdown.com/smogtours-gen3ou-801360</t>
  </si>
  <si>
    <t>https://replay.pokemonshowdown.com/smogtours-gen3ou-801385</t>
  </si>
  <si>
    <t>https://replay.pokemonshowdown.com/smogtours-gen3ou-801386</t>
  </si>
  <si>
    <t>https://replay.pokemonshowdown.com/smogtours-gen3ou-801506</t>
  </si>
  <si>
    <t>https://replay.pokemonshowdown.com/smogtours-gen3ou-801509</t>
  </si>
  <si>
    <t>https://replay.pokemonshowdown.com/smogtours-gen3ou-801585</t>
  </si>
  <si>
    <t>https://replay.pokemonshowdown.com/smogtours-gen3ou-801587</t>
  </si>
  <si>
    <t>https://replay.pokemonshowdown.com/smogtours-gen3ou-801572</t>
  </si>
  <si>
    <t>https://replay.pokemonshowdown.com/smogtours-gen3ou-801575</t>
  </si>
  <si>
    <t>https://replay.pokemonshowdown.com/smogtours-gen3ou-801580</t>
  </si>
  <si>
    <t>https://replay.pokemonshowdown.com/smogtours-gen3ou-799433</t>
  </si>
  <si>
    <t>https://replay.pokemonshowdown.com/smogtours-gen3ou-799435</t>
  </si>
  <si>
    <t>https://replay.pokemonshowdown.com/smogtours-gen3ou-799437</t>
  </si>
  <si>
    <t>https://replay.pokemonshowdown.com/smogtours-gen3ou-799656</t>
  </si>
  <si>
    <t>https://replay.pokemonshowdown.com/smogtours-gen3ou-799667</t>
  </si>
  <si>
    <t>https://replay.pokemonshowdown.com/smogtours-gen3ou-799669</t>
  </si>
  <si>
    <t>https://replay.pokemonshowdown.com/smogtours-gen3ou-799576</t>
  </si>
  <si>
    <t>https://replay.pokemonshowdown.com/smogtours-gen3ou-799582</t>
  </si>
  <si>
    <t>https://replay.pokemonshowdown.com/smogtours-gen3ou-799588</t>
  </si>
  <si>
    <t>https://replay.pokemonshowdown.com/smogtours-gen3ou-799697</t>
  </si>
  <si>
    <t>https://replay.pokemonshowdown.com/smogtours-gen3ou-799702</t>
  </si>
  <si>
    <t>https://replay.pokemonshowdown.com/smogtours-gen3ou-799436</t>
  </si>
  <si>
    <t>https://replay.pokemonshowdown.com/smogtours-gen3ou-799439</t>
  </si>
  <si>
    <t>https://replay.pokemonshowdown.com/smogtours-gen3ou-799440</t>
  </si>
  <si>
    <t>https://replay.pokemonshowdown.com/smogtours-gen3ou-800175</t>
  </si>
  <si>
    <t>https://replay.pokemonshowdown.com/smogtours-gen3ou-800180</t>
  </si>
  <si>
    <t>https://replay.pokemonshowdown.com/smogtours-gen3ou-800484</t>
  </si>
  <si>
    <t>https://replay.pokemonshowdown.com/smogtours-gen3ou-800505</t>
  </si>
  <si>
    <t>https://replay.pokemonshowdown.com/smogtours-gen3ou-800515</t>
  </si>
  <si>
    <t>https://replay.pokemonshowdown.com/smogtours-gen3ou-799358</t>
  </si>
  <si>
    <t>https://replay.pokemonshowdown.com/smogtours-gen3ou-799364</t>
  </si>
  <si>
    <t>https://replay.pokemonshowdown.com/smogtours-gen3ou-800111</t>
  </si>
  <si>
    <t>https://replay.pokemonshowdown.com/smogtours-gen3ou-800117</t>
  </si>
  <si>
    <t>https://replay.pokemonshowdown.com/smogtours-gen3ou-800128?p2</t>
  </si>
  <si>
    <t>https://replay.pokemonshowdown.com/smogtours-gen3ou-799577</t>
  </si>
  <si>
    <t>https://replay.pokemonshowdown.com/smogtours-gen3ou-799585</t>
  </si>
  <si>
    <t>https://replay.pokemonshowdown.com/smogtours-gen3ou-800263</t>
  </si>
  <si>
    <t>https://replay.pokemonshowdown.com/smogtours-gen3ou-800267</t>
  </si>
  <si>
    <t>https://replay.pokemonshowdown.com/smogtours-gen3ou-800268</t>
  </si>
  <si>
    <t>https://replay.pokemonshowdown.com/smogtours-gen3ou-799562</t>
  </si>
  <si>
    <t>https://replay.pokemonshowdown.com/smogtours-gen3ou-799559?p2</t>
  </si>
  <si>
    <t>https://replay.pokemonshowdown.com/smogtours-gen3ou-800347</t>
  </si>
  <si>
    <t>https://replay.pokemonshowdown.com/smogtours-gen3ou-800354</t>
  </si>
  <si>
    <t>https://replay.pokemonshowdown.com/smogtours-gen3ou-800359</t>
  </si>
  <si>
    <t>https://replay.pokemonshowdown.com/gen3ou-2226585147-r99s9a4fq600igcthicq3tn5zz77oz8pw</t>
  </si>
  <si>
    <t>https://replay.pokemonshowdown.com/gen3ou-2226590819-32a6jv0ljmv7fn4kyinv7088yt6fqcypw</t>
  </si>
  <si>
    <t>https://replay.pokemonshowdown.com/smogtours-gen3ou-799625</t>
  </si>
  <si>
    <t>https://replay.pokemonshowdown.com/smogtours-gen3ou-799631</t>
  </si>
  <si>
    <t>https://replay.pokemonshowdown.com/smogtours-gen3ou-800198</t>
  </si>
  <si>
    <t>https://replay.pokemonshowdown.com/smogtours-gen3ou-800204</t>
  </si>
  <si>
    <t>https://replay.pokemonshowdown.com/smogtours-gen3ou-800206</t>
  </si>
  <si>
    <t>https://replay.pokemonshowdown.com/smogtours-gen3ou-799303</t>
  </si>
  <si>
    <t>https://replay.pokemonshowdown.com/smogtours-gen3ou-799305</t>
  </si>
  <si>
    <t>https://replay.pokemonshowdown.com/smogtours-gen3ou-799308</t>
  </si>
  <si>
    <t>https://replay.pokemonshowdown.com/smogtours-gen3ou-800333</t>
  </si>
  <si>
    <t>https://replay.pokemonshowdown.com/smogtours-gen3ou-800335</t>
  </si>
  <si>
    <t>https://replay.pokemonshowdown.com/smogtours-gen3ou-799335</t>
  </si>
  <si>
    <t>https://replay.pokemonshowdown.com/smogtours-gen3ou-799346</t>
  </si>
  <si>
    <t>https://replay.pokemonshowdown.com/smogtours-gen3ou-799350</t>
  </si>
  <si>
    <t>https://replay.pokemonshowdown.com/smogtours-gen3ou-800648</t>
  </si>
  <si>
    <t>https://replay.pokemonshowdown.com/smogtours-gen3ou-800654</t>
  </si>
  <si>
    <t>https://replay.pokemonshowdown.com/smogtours-gen3ou-800658</t>
  </si>
  <si>
    <t>https://replay.pokemonshowdown.com/smogtours-gen3ou-799717</t>
  </si>
  <si>
    <t>https://replay.pokemonshowdown.com/smogtours-gen3ou-799719</t>
  </si>
  <si>
    <t>https://replay.pokemonshowdown.com/smogtours-gen3ou-799724</t>
  </si>
  <si>
    <t>https://replay.pokemonshowdown.com/smogtours-gen3ou-799407</t>
  </si>
  <si>
    <t>https://replay.pokemonshowdown.com/smogtours-gen3ou-799411</t>
  </si>
  <si>
    <t>https://replay.pokemonshowdown.com/smogtours-gen3ou-799412</t>
  </si>
  <si>
    <t>https://replay.pokemonshowdown.com/smogtours-gen3ou-799600</t>
  </si>
  <si>
    <t>https://replay.pokemonshowdown.com/smogtours-gen3ou-799612</t>
  </si>
  <si>
    <t>https://replay.pokemonshowdown.com/smogtours-gen3ou-800226</t>
  </si>
  <si>
    <t>https://replay.pokemonshowdown.com/smogtours-gen3ou-800228</t>
  </si>
  <si>
    <t>https://replay.pokemonshowdown.com/smogtours-gen3ou-800229</t>
  </si>
  <si>
    <t>https://replay.pokemonshowdown.com/smogtours-gen3ou-800559</t>
  </si>
  <si>
    <t>https://replay.pokemonshowdown.com/smogtours-gen3ou-800576</t>
  </si>
  <si>
    <t>https://replay.pokemonshowdown.com/smogtours-gen3ou-800591</t>
  </si>
  <si>
    <t>https://replay.pokemonshowdown.com/smogtours-gen3ou-800018</t>
  </si>
  <si>
    <t>https://replay.pokemonshowdown.com/smogtours-gen3ou-800022</t>
  </si>
  <si>
    <t>https://replay.pokemonshowdown.com/smogtours-gen3ou-799579</t>
  </si>
  <si>
    <t>https://replay.pokemonshowdown.com/smogtours-gen3ou-799592</t>
  </si>
  <si>
    <t>https://replay.pokemonshowdown.com/smogtours-gen3ou-800770</t>
  </si>
  <si>
    <t>https://replay.pokemonshowdown.com/smogtours-gen3ou-800781</t>
  </si>
  <si>
    <t>https://replay.pokemonshowdown.com/smogtours-gen3ou-799747</t>
  </si>
  <si>
    <t>https://replay.pokemonshowdown.com/smogtours-gen3ou-799752</t>
  </si>
  <si>
    <t>https://replay.pokemonshowdown.com/smogtours-gen3ou-799756</t>
  </si>
  <si>
    <t>https://replay.pokemonshowdown.com/smogtours-gen3ou-799999</t>
  </si>
  <si>
    <t>https://replay.pokemonshowdown.com/smogtours-gen3ou-800001</t>
  </si>
  <si>
    <t>https://replay.pokemonshowdown.com/smogtours-gen3ou-800004</t>
  </si>
  <si>
    <t>https://replay.pokemonshowdown.com/smogtours-gen3ou-799645</t>
  </si>
  <si>
    <t>https://replay.pokemonshowdown.com/smogtours-gen3ou-799647</t>
  </si>
  <si>
    <t>https://replay.pokemonshowdown.com/smogtours-gen3ou-800278</t>
  </si>
  <si>
    <t>https://replay.pokemonshowdown.com/smogtours-gen3ou-800280</t>
  </si>
  <si>
    <t>https://replay.pokemonshowdown.com/smogtours-gen3ou-800281</t>
  </si>
  <si>
    <t>https://replay.pokemonshowdown.com/smogtours-gen3ou-799141</t>
  </si>
  <si>
    <t>https://replay.pokemonshowdown.com/smogtours-gen3ou-799146</t>
  </si>
  <si>
    <t>https://replay.pokemonshowdown.com/smogtours-gen3ou-799151</t>
  </si>
  <si>
    <r>
      <rPr>
        <rFont val="inherit"/>
        <color rgb="FF1155CC"/>
        <sz val="12.0"/>
        <u/>
      </rPr>
      <t>https://replay.pokemonshowdown.com/smogtours-gen3ou-801612?p2</t>
    </r>
  </si>
  <si>
    <r>
      <rPr>
        <rFont val="inherit"/>
        <color rgb="FF1155CC"/>
        <sz val="12.0"/>
        <u/>
      </rPr>
      <t>https://replay.pokemonshowdown.com/smogtours-gen3ou-801617?p2</t>
    </r>
  </si>
  <si>
    <r>
      <rPr>
        <rFont val="inherit"/>
        <color rgb="FF1155CC"/>
        <sz val="12.0"/>
        <u/>
      </rPr>
      <t>https://replay.pokemonshowdown.com/smogtours-gen3ou-801620</t>
    </r>
  </si>
  <si>
    <r>
      <rPr>
        <rFont val="inherit"/>
        <color rgb="FF1155CC"/>
        <sz val="12.0"/>
        <u/>
      </rPr>
      <t>https://replay.pokemonshowdown.com/smogtours-gen3ou-801556</t>
    </r>
  </si>
  <si>
    <r>
      <rPr>
        <rFont val="inherit"/>
        <color rgb="FF1155CC"/>
        <sz val="12.0"/>
        <u/>
      </rPr>
      <t>https://replay.pokemonshowdown.com/smogtours-gen3ou-801562</t>
    </r>
  </si>
  <si>
    <r>
      <rPr>
        <rFont val="inherit"/>
        <color rgb="FF1155CC"/>
        <sz val="12.0"/>
        <u/>
      </rPr>
      <t>https://replay.pokemonshowdown.com/smogtours-gen3ou-801565</t>
    </r>
  </si>
  <si>
    <r>
      <rPr>
        <rFont val="inherit"/>
        <color rgb="FF1155CC"/>
        <sz val="12.0"/>
        <u/>
      </rPr>
      <t>https://replay.pokemonshowdown.com/smogtours-gen3ou-801629</t>
    </r>
  </si>
  <si>
    <r>
      <rPr>
        <rFont val="inherit"/>
        <color rgb="FF1155CC"/>
        <sz val="12.0"/>
        <u/>
      </rPr>
      <t>https://replay.pokemonshowdown.com/smogtours-gen3ou-801635</t>
    </r>
  </si>
  <si>
    <t>https://replay.pokemonshowdown.com/smogtours-gen3ou-801701</t>
  </si>
  <si>
    <t>https://replay.pokemonshowdown.com/smogtours-gen3ou-801704</t>
  </si>
  <si>
    <t>https://replay.pokemonshowdown.com/smogtours-gen3ou-801707</t>
  </si>
  <si>
    <t>https://replay.pokemonshowdown.com/smogtours-gen3ou-801428</t>
  </si>
  <si>
    <t>https://replay.pokemonshowdown.com/smogtours-gen3ou-801431</t>
  </si>
  <si>
    <t>https://replay.pokemonshowdown.com/smogtours-gen3ou-801191</t>
  </si>
  <si>
    <t>https://replay.pokemonshowdown.com/smogtours-gen3ou-801194</t>
  </si>
  <si>
    <t>https://replay.pokemonshowdown.com/smogtours-gen3ou-801242</t>
  </si>
  <si>
    <t>https://replay.pokemonshowdown.com/smogtours-gen3ou-801244</t>
  </si>
  <si>
    <t>https://replay.pokemonshowdown.com/smogtours-gen3ou-801245</t>
  </si>
  <si>
    <t>https://replay.pokemonshowdown.com/smogtours-gen3ou-801262</t>
  </si>
  <si>
    <t>https://replay.pokemonshowdown.com/smogtours-gen3ou-801265</t>
  </si>
  <si>
    <t>https://replay.pokemonshowdown.com/smogtours-gen3ou-801269</t>
  </si>
  <si>
    <t>https://replay.pokemonshowdown.com/smogtours-gen3ou-801341</t>
  </si>
  <si>
    <t>https://replay.pokemonshowdown.com/smogtours-gen3ou-801344</t>
  </si>
  <si>
    <t>https://replay.pokemonshowdown.com/smogtours-gen3ou-801346</t>
  </si>
  <si>
    <t>https://replay.pokemonshowdown.com/smogtours-gen3ou-801072</t>
  </si>
  <si>
    <t>https://replay.pokemonshowdown.com/smogtours-gen3ou-801073</t>
  </si>
  <si>
    <t>https://replay.pokemonshowdown.com/smogtours-gen3ou-801569</t>
  </si>
  <si>
    <t>https://replay.pokemonshowdown.com/smogtours-gen3ou-801577</t>
  </si>
  <si>
    <t>https://replay.pokemonshowdown.com/smogtours-gen3ou-801583</t>
  </si>
  <si>
    <t>https://replay.pokemonshowdown.com/smogtours-gen3ou-801273</t>
  </si>
  <si>
    <t>https://replay.pokemonshowdown.com/smogtours-gen3ou-801275</t>
  </si>
  <si>
    <t>https://replay.pokemonshowdown.com/smogtours-gen3ou-801276</t>
  </si>
  <si>
    <t>https://replay.pokemonshowdown.com/smogtours-gen3ou-801310</t>
  </si>
  <si>
    <t>https://replay.pokemonshowdown.com/smogtours-gen3ou-801311</t>
  </si>
  <si>
    <t>https://replay.pokemonshowdown.com/gen3ou-2228681264-97yc8ynjupo2ho5zc47qgqrhufxei9dpw</t>
  </si>
  <si>
    <t>https://replay.pokemonshowdown.com/gen3ou-2228689775-ngztrrv0jssnm1po56f19vvy4gt0dvlpw</t>
  </si>
  <si>
    <t>https://replay.pokemonshowdown.com/smogtours-gen3ou-801627</t>
  </si>
  <si>
    <t>https://replay.pokemonshowdown.com/smogtours-gen3ou-801638</t>
  </si>
  <si>
    <t>https://replay.pokemonshowdown.com/smogtours-gen3ou-801614</t>
  </si>
  <si>
    <t>https://replay.pokemonshowdown.com/smogtours-gen3ou-801619</t>
  </si>
  <si>
    <t>https://replay.pokemonshowdown.com/smogtours-gen3ou-801621</t>
  </si>
  <si>
    <t>https://replay.pokemonshowdown.com/smogtours-gen3ou-801541</t>
  </si>
  <si>
    <t>https://replay.pokemonshowdown.com/smogtours-gen3ou-801543</t>
  </si>
  <si>
    <t>https://replay.pokemonshowdown.com/smogtours-gen3ou-801545</t>
  </si>
  <si>
    <t>https://replay.pokemonshowdown.com/smogtours-gen3ou-801292</t>
  </si>
  <si>
    <t>https://replay.pokemonshowdown.com/smogtours-gen3ou-801298</t>
  </si>
  <si>
    <t>https://replay.pokemonshowdown.com/smogtours-gen3ou-801307</t>
  </si>
  <si>
    <t>https://replay.pokemonshowdown.com/smogtours-gen3ou-801486</t>
  </si>
  <si>
    <t>https://replay.pokemonshowdown.com/smogtours-gen3ou-801489</t>
  </si>
  <si>
    <t>https://replay.pokemonshowdown.com/smogtours-gen3ou-801492</t>
  </si>
  <si>
    <t>https://replay.pokemonshowdown.com/smogtours-gen3ou-801365</t>
  </si>
  <si>
    <t>https://replay.pokemonshowdown.com/smogtours-gen3ou-801367</t>
  </si>
  <si>
    <t>https://replay.pokemonshowdown.com/smogtours-gen3ou-801469</t>
  </si>
  <si>
    <t>https://replay.pokemonshowdown.com/smogtours-gen3ou-801473</t>
  </si>
  <si>
    <t>https://replay.pokemonshowdown.com/smogtours-gen3ou-801481</t>
  </si>
  <si>
    <t>https://replay.pokemonshowdown.com/smogtours-gen3ou-801630</t>
  </si>
  <si>
    <t>https://replay.pokemonshowdown.com/smogtours-gen3ou-801640</t>
  </si>
  <si>
    <t>https://replay.pokemonshowdown.com/smogtours-gen3ou-801377</t>
  </si>
  <si>
    <t>https://replay.pokemonshowdown.com/smogtours-gen3ou-801378</t>
  </si>
  <si>
    <t>https://replay.pokemonshowdown.com/smogtours-gen3ou-801389</t>
  </si>
  <si>
    <t>https://replay.pokemonshowdown.com/smogtours-gen3ou-801394</t>
  </si>
  <si>
    <t>https://replay.pokemonshowdown.com/smogtours-gen3ou-801496</t>
  </si>
  <si>
    <t>https://replay.pokemonshowdown.com/smogtours-gen3ou-801499</t>
  </si>
  <si>
    <t>https://replay.pokemonshowdown.com/smogtours-gen3ou-801456</t>
  </si>
  <si>
    <t>https://replay.pokemonshowdown.com/smogtours-gen3ou-801463</t>
  </si>
  <si>
    <t>https://replay.pokemonshowdown.com/smogtours-gen3ou-801279</t>
  </si>
  <si>
    <t>https://replay.pokemonshowdown.com/smogtours-gen3ou-801283</t>
  </si>
  <si>
    <t>https://replay.pokemonshowdown.com/smogtours-gen3ou-801408</t>
  </si>
  <si>
    <t>https://replay.pokemonshowdown.com/smogtours-gen3ou-801415</t>
  </si>
  <si>
    <t>https://replay.pokemonshowdown.com/smogtours-gen3ou-801671</t>
  </si>
  <si>
    <t>https://replay.pokemonshowdown.com/smogtours-gen3ou-801677</t>
  </si>
  <si>
    <t>https://replay.pokemonshowdown.com/smogtours-gen3ou-801667</t>
  </si>
  <si>
    <t>https://replay.pokemonshowdown.com/smogtours-gen3ou-801669</t>
  </si>
  <si>
    <t>https://replay.pokemonshowdown.com/smogtours-gen3ou-801673</t>
  </si>
  <si>
    <t>https://replay.pokemonshowdown.com/smogtours-gen3ou-801596</t>
  </si>
  <si>
    <t>https://replay.pokemonshowdown.com/smogtours-gen3ou-801604</t>
  </si>
  <si>
    <t>https://replay.pokemonshowdown.com/smogtours-gen3ou-801608</t>
  </si>
  <si>
    <t>https://replay.pokemonshowdown.com/smogtours-gen3ou-801146</t>
  </si>
  <si>
    <t>https://replay.pokemonshowdown.com/smogtours-gen3ou-801152</t>
  </si>
  <si>
    <t>https://replay.pokemonshowdown.com/smogtours-gen3ou-801495?p2</t>
  </si>
  <si>
    <t>https://replay.pokemonshowdown.com/smogtours-gen3ou-801500</t>
  </si>
  <si>
    <r>
      <rPr>
        <rFont val="inherit"/>
        <color rgb="FF1155CC"/>
        <sz val="12.0"/>
        <u/>
      </rPr>
      <t>https://replay.pokemonshowdown.com/smogtours-gen3ou-801712</t>
    </r>
  </si>
  <si>
    <r>
      <rPr>
        <rFont val="inherit"/>
        <color rgb="FF1155CC"/>
        <sz val="12.0"/>
        <u/>
      </rPr>
      <t>https://replay.pokemonshowdown.com/smogtours-gen3ou-801716</t>
    </r>
  </si>
  <si>
    <r>
      <rPr>
        <rFont val="inherit"/>
        <color rgb="FF1155CC"/>
        <sz val="12.0"/>
        <u/>
      </rPr>
      <t>https://replay.pokemonshowdown.com/smogtours-gen3ou-801771</t>
    </r>
  </si>
  <si>
    <r>
      <rPr>
        <rFont val="inherit"/>
        <color rgb="FF1155CC"/>
        <sz val="12.0"/>
        <u/>
      </rPr>
      <t>https://replay.pokemonshowdown.com/smogtours-gen3ou-801772</t>
    </r>
  </si>
  <si>
    <r>
      <rPr>
        <rFont val="inherit"/>
        <color rgb="FF1155CC"/>
        <sz val="12.0"/>
        <u/>
      </rPr>
      <t>https://replay.pokemonshowdown.com/smogtours-gen3ou-801781</t>
    </r>
  </si>
  <si>
    <r>
      <rPr>
        <rFont val="inherit"/>
        <color rgb="FF1155CC"/>
        <sz val="12.0"/>
        <u/>
      </rPr>
      <t>https://replay.pokemonshowdown.com/smogtours-gen3ou-801782</t>
    </r>
  </si>
  <si>
    <t>https://replay.pokemonshowdown.com/smogtours-gen3ou-801700</t>
  </si>
  <si>
    <t>https://replay.pokemonshowdown.com/smogtours-gen3ou-801705</t>
  </si>
  <si>
    <t>https://replay.pokemonshowdown.com/smogtours-gen3ou-801767</t>
  </si>
  <si>
    <t>https://replay.pokemonshowdown.com/smogtours-gen3ou-801769</t>
  </si>
  <si>
    <t>https://replay.pokemonshowdown.com/smogtours-gen3ou-801770</t>
  </si>
  <si>
    <t>https://replay.pokemonshowdown.com/smogtours-gen3ou-801734</t>
  </si>
  <si>
    <t>https://replay.pokemonshowdown.com/smogtours-gen3ou-801736</t>
  </si>
  <si>
    <r>
      <rPr>
        <rFont val="inherit"/>
        <color rgb="FF1155CC"/>
        <sz val="12.0"/>
        <u/>
      </rPr>
      <t>https://replay.pokemonshowdown.com/smogtours-gen3ou-801824</t>
    </r>
  </si>
  <si>
    <r>
      <rPr>
        <rFont val="inherit"/>
        <color rgb="FF1155CC"/>
        <sz val="12.0"/>
        <u/>
      </rPr>
      <t>https://replay.pokemonshowdown.com/smogtours-gen3ou-801834</t>
    </r>
  </si>
  <si>
    <r>
      <rPr>
        <rFont val="inherit"/>
        <color rgb="FF1155CC"/>
        <sz val="12.0"/>
        <u/>
      </rPr>
      <t>https://replay.pokemonshowdown.com/smogtours-gen3ou-801835</t>
    </r>
  </si>
  <si>
    <t>https://replay.pokemonshowdown.com/smogtours-gen3ou-801746</t>
  </si>
  <si>
    <t>https://replay.pokemonshowdown.com/smogtours-gen3ou-801748</t>
  </si>
  <si>
    <t>https://replay.pokemonshowdown.com/smogtours-gen3ou-801753</t>
  </si>
  <si>
    <t>https://replay.pokemonshowdown.com/smogtours-gen3ou-801733</t>
  </si>
  <si>
    <t>https://replay.pokemonshowdown.com/smogtours-gen3ou-801735</t>
  </si>
  <si>
    <t>https://replay.pokemonshowdown.com/smogtours-gen3ou-801738</t>
  </si>
  <si>
    <t>https://replay.pokemonshowdown.com/smogtours-gen3ou-801749</t>
  </si>
  <si>
    <t>https://replay.pokemonshowdown.com/smogtours-gen3ou-801754</t>
  </si>
  <si>
    <t>https://replay.pokemonshowdown.com/smogtours-gen3ou-801755</t>
  </si>
  <si>
    <t>https://replay.pokemonshowdown.com/smogtours-gen3ou-801576</t>
  </si>
  <si>
    <t>https://replay.pokemonshowdown.com/smogtours-gen3ou-801579</t>
  </si>
  <si>
    <t>https://replay.pokemonshowdown.com/smogtours-gen3ou-801582</t>
  </si>
  <si>
    <t>https://replay.pokemonshowdown.com/smogtours-gen3ou-801728</t>
  </si>
  <si>
    <t>https://replay.pokemonshowdown.com/smogtours-gen3ou-801730</t>
  </si>
  <si>
    <t>https://replay.pokemonshowdown.com/smogtours-gen3ou-801404</t>
  </si>
  <si>
    <t>https://replay.pokemonshowdown.com/smogtours-gen3ou-801407</t>
  </si>
  <si>
    <t>https://replay.pokemonshowdown.com/smogtours-gen3ou-801044</t>
  </si>
  <si>
    <t>https://replay.pokemonshowdown.com/smogtours-gen3ou-801045</t>
  </si>
  <si>
    <t>https://replay.pokemonshowdown.com/smogtours-gen3ou-801616</t>
  </si>
  <si>
    <t>https://replay.pokemonshowdown.com/smogtours-gen3ou-801628</t>
  </si>
  <si>
    <t>https://replay.pokemonshowdown.com/smogtours-gen3ou-801713</t>
  </si>
  <si>
    <t>https://replay.pokemonshowdown.com/smogtours-gen3ou-801724</t>
  </si>
  <si>
    <t>https://replay.pokemonshowdown.com/smogtours-gen3ou-801222</t>
  </si>
  <si>
    <t>https://replay.pokemonshowdown.com/smogtours-gen3ou-801225</t>
  </si>
  <si>
    <t>https://replay.pokemonshowdown.com/smogtours-gen3ou-801233</t>
  </si>
  <si>
    <t>https://replay.pokemonshowdown.com/smogtours-gen3ou-801527</t>
  </si>
  <si>
    <t>https://replay.pokemonshowdown.com/smogtours-gen3ou-801529</t>
  </si>
  <si>
    <t>https://replay.pokemonshowdown.com/smogtours-gen3ou-801530</t>
  </si>
  <si>
    <t>https://replay.pokemonshowdown.com/smogtours-gen3ou-801296</t>
  </si>
  <si>
    <t>https://replay.pokemonshowdown.com/smogtours-gen3ou-801302</t>
  </si>
  <si>
    <t>https://replay.pokemonshowdown.com/smogtours-gen3ou-801305</t>
  </si>
  <si>
    <t>https://replay.pokemonshowdown.com/smogtours-gen3ou-801609</t>
  </si>
  <si>
    <t>https://replay.pokemonshowdown.com/smogtours-gen3ou-801611</t>
  </si>
  <si>
    <t>https://replay.pokemonshowdown.com/smogtours-gen3ou-801190</t>
  </si>
  <si>
    <t>https://replay.pokemonshowdown.com/smogtours-gen3ou-801195</t>
  </si>
  <si>
    <t>https://replay.pokemonshowdown.com/smogtours-gen3ou-801197</t>
  </si>
  <si>
    <t>https://replay.pokemonshowdown.com/smogtours-gen3ou-801555</t>
  </si>
  <si>
    <t>https://replay.pokemonshowdown.com/smogtours-gen3ou-801561</t>
  </si>
  <si>
    <t>https://replay.pokemonshowdown.com/smogtours-gen3ou-801228</t>
  </si>
  <si>
    <t>https://replay.pokemonshowdown.com/smogtours-gen3ou-801231</t>
  </si>
  <si>
    <t>https://replay.pokemonshowdown.com/smogtours-gen3ou-801729</t>
  </si>
  <si>
    <t>https://replay.pokemonshowdown.com/smogtours-gen3ou-801731</t>
  </si>
  <si>
    <t>https://replay.pokemonshowdown.com/smogtours-gen3ou-801335</t>
  </si>
  <si>
    <t>https://replay.pokemonshowdown.com/smogtours-gen3ou-801337</t>
  </si>
  <si>
    <t>https://replay.pokemonshowdown.com/smogtours-gen3ou-801339</t>
  </si>
  <si>
    <t>https://replay.pokemonshowdown.com/gen3ou-2228044396-15e8lf1rum5up5kd7gcyv59n5af55agpw</t>
  </si>
  <si>
    <t>https://replay.pokemonshowdown.com/gen3ou-2228046712-5n3c01vsaighd322t2sibjy41o2p7yipw</t>
  </si>
  <si>
    <t>https://replay.pokemonshowdown.com/gen3ou-2228050146-s4cjpth8nggccyphhhf89dog31b5jdbpw</t>
  </si>
  <si>
    <t>https://replay.pokemonshowdown.com/smogtours-gen3ou-801615</t>
  </si>
  <si>
    <t>https://replay.pokemonshowdown.com/smogtours-gen3ou-801622</t>
  </si>
  <si>
    <t>https://replay.pokemonshowdown.com/smogtours-gen3ou-801475</t>
  </si>
  <si>
    <t>https://replay.pokemonshowdown.com/smogtours-gen3ou-801478</t>
  </si>
  <si>
    <t>https://replay.pokemonshowdown.com/smogtours-gen3ou-801213</t>
  </si>
  <si>
    <t>https://replay.pokemonshowdown.com/smogtours-gen3ou-801215</t>
  </si>
  <si>
    <t>https://replay.pokemonshowdown.com/smogtours-gen3ou-801247</t>
  </si>
  <si>
    <t>https://replay.pokemonshowdown.com/smogtours-gen3ou-801252</t>
  </si>
  <si>
    <t>https://replay.pokemonshowdown.com/smogtours-gen3ou-801179</t>
  </si>
  <si>
    <t>https://replay.pokemonshowdown.com/smogtours-gen3ou-801181</t>
  </si>
  <si>
    <t>https://replay.pokemonshowdown.com/smogtours-gen3ou-801533</t>
  </si>
  <si>
    <t>https://replay.pokemonshowdown.com/smogtours-gen3ou-801534</t>
  </si>
  <si>
    <t>https://replay.pokemonshowdown.com/smogtours-gen3ou-801419</t>
  </si>
  <si>
    <t>https://replay.pokemonshowdown.com/smogtours-gen3ou-801420</t>
  </si>
  <si>
    <t>https://replay.pokemonshowdown.com/smogtours-gen3ou-801156</t>
  </si>
  <si>
    <t>https://replay.pokemonshowdown.com/smogtours-gen3ou-801157</t>
  </si>
  <si>
    <t>https://replay.pokemonshowdown.com/smogtours-gen3ou-801650</t>
  </si>
  <si>
    <t>https://replay.pokemonshowdown.com/smogtours-gen3ou-801653</t>
  </si>
  <si>
    <t>https://replay.pokemonshowdown.com/smogtours-gen3ou-801511</t>
  </si>
  <si>
    <t>https://replay.pokemonshowdown.com/smogtours-gen3ou-801513</t>
  </si>
  <si>
    <t>https://replay.pokemonshowdown.com/smogtours-gen3ou-801514</t>
  </si>
  <si>
    <t>https://replay.pokemonshowdown.com/smogtours-gen3ou-801423</t>
  </si>
  <si>
    <t>https://replay.pokemonshowdown.com/smogtours-gen3ou-801427</t>
  </si>
  <si>
    <t>https://replay.pokemonshowdown.com/smogtours-gen3ou-801278</t>
  </si>
  <si>
    <t>https://replay.pokemonshowdown.com/smogtours-gen3ou-801282</t>
  </si>
  <si>
    <t>https://replay.pokemonshowdown.com/smogtours-gen3ou-801410</t>
  </si>
  <si>
    <t>https://replay.pokemonshowdown.com/smogtours-gen3ou-801411</t>
  </si>
  <si>
    <t>https://replay.pokemonshowdown.com/smogtours-gen3ou-801425</t>
  </si>
  <si>
    <t>https://replay.pokemonshowdown.com/smogtours-gen3ou-801426</t>
  </si>
  <si>
    <t>https://replay.pokemonshowdown.com/smogtours-gen3ou-801183</t>
  </si>
  <si>
    <t>https://replay.pokemonshowdown.com/smogtours-gen3ou-801185</t>
  </si>
  <si>
    <t>https://replay.pokemonshowdown.com/smogtours-gen3ou-801058</t>
  </si>
  <si>
    <t>https://replay.pokemonshowdown.com/smogtours-gen3ou-801061</t>
  </si>
  <si>
    <t>https://replay.pokemonshowdown.com/smogtours-gen3ou-801232</t>
  </si>
  <si>
    <t>https://replay.pokemonshowdown.com/smogtours-gen3ou-801234</t>
  </si>
  <si>
    <t>https://replay.pokemonshowdown.com/smogtours-gen3ou-801740</t>
  </si>
  <si>
    <t>https://replay.pokemonshowdown.com/smogtours-gen3ou-801741</t>
  </si>
  <si>
    <t>https://replay.pokemonshowdown.com/smogtours-gen3ou-801817</t>
  </si>
  <si>
    <t>https://replay.pokemonshowdown.com/smogtours-gen3ou-801826</t>
  </si>
  <si>
    <t>https://replay.pokemonshowdown.com/smogtours-gen3ou-801832</t>
  </si>
  <si>
    <t>https://replay.pokemonshowdown.com/smogtours-gen3ou-801823</t>
  </si>
  <si>
    <t>https://replay.pokemonshowdown.com/smogtours-gen3ou-801830</t>
  </si>
  <si>
    <t>https://replay.pokemonshowdown.com/smogtours-gen3ou-801821</t>
  </si>
  <si>
    <t>https://replay.pokemonshowdown.com/smogtours-gen3ou-801828</t>
  </si>
  <si>
    <t>https://replay.pokemonshowdown.com/smogtours-gen3ou-801841</t>
  </si>
  <si>
    <t>https://replay.pokemonshowdown.com/smogtours-gen3ou-801852</t>
  </si>
  <si>
    <t>https://replay.pokemonshowdown.com/smogtours-gen3ou-801855</t>
  </si>
  <si>
    <r>
      <rPr>
        <rFont val="inherit"/>
        <color rgb="FF1155CC"/>
        <sz val="12.0"/>
        <u/>
      </rPr>
      <t>https://replay.pokemonshowdown.com/smogtours-gen3ou-801903</t>
    </r>
  </si>
  <si>
    <r>
      <rPr>
        <rFont val="inherit"/>
        <color rgb="FF1155CC"/>
        <sz val="12.0"/>
        <u/>
      </rPr>
      <t>https://replay.pokemonshowdown.com/smogtours-gen3ou-801911</t>
    </r>
  </si>
  <si>
    <r>
      <rPr>
        <rFont val="inherit"/>
        <color rgb="FF1155CC"/>
        <sz val="12.0"/>
        <u/>
      </rPr>
      <t>https://replay.pokemonshowdown.com/smogtours-gen3ou-801924</t>
    </r>
  </si>
  <si>
    <t>https://replay.pokemonshowdown.com/smogtours-gen3ou-801857</t>
  </si>
  <si>
    <r>
      <rPr>
        <rFont val="inherit"/>
        <color rgb="FF1155CC"/>
        <sz val="12.0"/>
        <u/>
      </rPr>
      <t>https://replay.pokemonshowdown.com/smogtours-gen3ou-801860</t>
    </r>
  </si>
  <si>
    <r>
      <rPr>
        <rFont val="inherit"/>
        <color rgb="FF1155CC"/>
        <sz val="12.0"/>
        <u/>
      </rPr>
      <t>https://replay.pokemonshowdown.com/smogtours-gen3ou-801863</t>
    </r>
  </si>
  <si>
    <r>
      <rPr>
        <rFont val="inherit"/>
        <color rgb="FF1155CC"/>
        <sz val="12.0"/>
        <u/>
      </rPr>
      <t>https://replay.pokemonshowdown.com/smogtours-gen3ou-801859</t>
    </r>
  </si>
  <si>
    <r>
      <rPr>
        <rFont val="inherit"/>
        <color rgb="FF1155CC"/>
        <sz val="12.0"/>
        <u/>
      </rPr>
      <t>https://replay.pokemonshowdown.com/smogtours-gen3ou-801870</t>
    </r>
  </si>
  <si>
    <r>
      <rPr>
        <rFont val="inherit"/>
        <color rgb="FF1155CC"/>
        <sz val="12.0"/>
        <u/>
      </rPr>
      <t>https://replay.pokemonshowdown.com/smogtours-gen3ou-801876</t>
    </r>
  </si>
  <si>
    <t>https://replay.pokemonshowdown.com/smogtours-gen3ou-801900</t>
  </si>
  <si>
    <t>https://replay.pokemonshowdown.com/smogtours-gen3ou-801912</t>
  </si>
  <si>
    <t>https://replay.pokemonshowdown.com/smogtours-gen3ou-801886</t>
  </si>
  <si>
    <t>https://replay.pokemonshowdown.com/smogtours-gen3ou-801889</t>
  </si>
  <si>
    <t>https://replay.pokemonshowdown.com/smogtours-gen3ou-801901</t>
  </si>
  <si>
    <t>https://replay.pokemonshowdown.com/smogtours-gen3ou-801953</t>
  </si>
  <si>
    <t>https://replay.pokemonshowdown.com/smogtours-gen3ou-801956</t>
  </si>
  <si>
    <t>https://replay.pokemonshowdown.com/smogtours-gen3ou-801875</t>
  </si>
  <si>
    <t>https://replay.pokemonshowdown.com/smogtours-gen3ou-801883</t>
  </si>
  <si>
    <t>https://replay.pokemonshowdown.com/smogtours-gen3ou-801907</t>
  </si>
  <si>
    <t>https://replay.pokemonshowdown.com/smogtours-gen3ou-801916</t>
  </si>
  <si>
    <t>http://replay.pokemonshowdown.com/smogtours-gen3ou-801887?p2</t>
  </si>
  <si>
    <t>http://replay.pokemonshowdown.com/smogtours-gen3ou-801896</t>
  </si>
  <si>
    <t>https://replay.pokemonshowdown.com/smogtours-gen3ou-801917</t>
  </si>
  <si>
    <t>https://replay.pokemonshowdown.com/smogtours-gen3ou-801905</t>
  </si>
  <si>
    <t>https://replay.pokemonshowdown.com/smogtours-gen3ou-801940</t>
  </si>
  <si>
    <t>https://replay.pokemonshowdown.com/smogtours-gen3ou-801944</t>
  </si>
  <si>
    <t>https://replay.pokemonshowdown.com/smogtours-gen3ou-801948</t>
  </si>
  <si>
    <t>https://replay.pokemonshowdown.com/smogtours-gen3ou-801965</t>
  </si>
  <si>
    <t>https://replay.pokemonshowdown.com/smogtours-gen3ou-801971</t>
  </si>
  <si>
    <t>https://replay.pokemonshowdown.com/smogtours-gen3ou-801969</t>
  </si>
  <si>
    <t>https://replay.pokemonshowdown.com/smogtours-gen3ou-801957</t>
  </si>
  <si>
    <t>https://replay.pokemonshowdown.com/smogtours-gen3ou-801949</t>
  </si>
  <si>
    <t>https://replay.pokemonshowdown.com/smogtours-gen3ou-801891</t>
  </si>
  <si>
    <t>https://replay.pokemonshowdown.com/smogtours-gen3ou-801898</t>
  </si>
  <si>
    <t>https://replay.pokemonshowdown.com/smogtours-gen3ou-801908</t>
  </si>
  <si>
    <t>https://replay.pokemonshowdown.com/smogtours-gen3ou-801943</t>
  </si>
  <si>
    <t>https://replay.pokemonshowdown.com/smogtours-gen3ou-801939</t>
  </si>
  <si>
    <t>https://replay.pokemonshowdown.com/smogtours-gen3ou-801348</t>
  </si>
  <si>
    <t>https://replay.pokemonshowdown.com/smogtours-gen3ou-801349</t>
  </si>
  <si>
    <t>https://replay.pokemonshowdown.com/smogtours-gen3ou-801350</t>
  </si>
  <si>
    <t>https://replay.pokemonshowdown.com/smogtours-gen3ou-801745</t>
  </si>
  <si>
    <t>https://replay.pokemonshowdown.com/smogtours-gen3ou-801750</t>
  </si>
  <si>
    <t>https://replay.pokemonshowdown.com/smogtours-gen3ou-801752</t>
  </si>
  <si>
    <t>https://replay.pokemonshowdown.com/smogtours-gen3ou-801873</t>
  </si>
  <si>
    <t>https://replay.pokemonshowdown.com/smogtours-gen3ou-801877</t>
  </si>
  <si>
    <t>https://replay.pokemonshowdown.com/smogtours-gen3ou-801880</t>
  </si>
  <si>
    <t>https://replay.pokemonshowdown.com/smogtours-gen3ou-801819</t>
  </si>
  <si>
    <t>https://replay.pokemonshowdown.com/smogtours-gen3ou-801825</t>
  </si>
  <si>
    <t>https://replay.pokemonshowdown.com/smogtours-gen3ou-801831</t>
  </si>
  <si>
    <t>https://replay.pokemonshowdown.com/smogtours-gen3ou-801715</t>
  </si>
  <si>
    <r>
      <rPr/>
      <t xml:space="preserve"> </t>
    </r>
    <r>
      <rPr>
        <color rgb="FF1155CC"/>
        <u/>
      </rPr>
      <t>https://replay.pokemonshowdown.com/smogtours-gen3ou-801717?p2</t>
    </r>
  </si>
  <si>
    <t>https://replay.pokemonshowdown.com/smogtours-gen3ou-801721?p2</t>
  </si>
  <si>
    <t>https://replay.pokemonshowdown.com/smogtours-gen3ou-801968</t>
  </si>
  <si>
    <t>https://replay.pokemonshowdown.com/smogtours-gen3ou-801972</t>
  </si>
  <si>
    <t>https://replay.pokemonshowdown.com/smogtours-gen3ou-801931?p2</t>
  </si>
  <si>
    <t>https://replay.pokemonshowdown.com/smogtours-gen3ou-801932</t>
  </si>
  <si>
    <t>https://replay.pokemonshowdown.com/smogtours-gen3ou-801936</t>
  </si>
  <si>
    <t>https://replay.pokemonshowdown.com/smogtours-gen3ou-801690</t>
  </si>
  <si>
    <t>https://replay.pokemonshowdown.com/smogtours-gen3ou-801692</t>
  </si>
  <si>
    <t>https://replay.pokemonshowdown.com/smogtours-gen3ou-801696</t>
  </si>
  <si>
    <t>https://replay.pokemonshowdown.com/smogtours-gen3ou-801952</t>
  </si>
  <si>
    <t>https://replay.pokemonshowdown.com/smogtours-gen3ou-801958</t>
  </si>
  <si>
    <t>https://replay.pokemonshowdown.com/smogtours-gen3ou-801964</t>
  </si>
  <si>
    <t>https://replay.pokemonshowdown.com/smogtours-gen3ou-801959</t>
  </si>
  <si>
    <t>https://replay.pokemonshowdown.com/smogtours-gen3ou-801961</t>
  </si>
  <si>
    <t>https://replay.pokemonshowdown.com/smogtours-gen3ou-801963</t>
  </si>
  <si>
    <t>https://replay.pokemonshowdown.com/smogtours-gen3ou-801719</t>
  </si>
  <si>
    <t>https://replay.pokemonshowdown.com/smogtours-gen3ou-801726</t>
  </si>
  <si>
    <t>https://replay.pokemonshowdown.com/smogtours-gen3ou-801910</t>
  </si>
  <si>
    <t>https://replay.pokemonshowdown.com/smogtours-gen3ou-801915</t>
  </si>
  <si>
    <t>https://replay.pokemonshowdown.com/smogtours-gen3ou-801923</t>
  </si>
  <si>
    <t>https://replay.pokemonshowdown.com/smogtours-gen3ou-801990?p2</t>
  </si>
  <si>
    <t>https://replay.pokemonshowdown.com/smogtours-gen3ou-801995</t>
  </si>
  <si>
    <t>https://replay.pokemonshowdown.com/smogtours-gen3ou-802005</t>
  </si>
  <si>
    <t>https://replay.pokemonshowdown.com/smogtours-gen3ou-802060?p2</t>
  </si>
  <si>
    <t>https://replay.pokemonshowdown.com/smogtours-gen3ou-802061?p2</t>
  </si>
  <si>
    <t>https://replay.pokemonshowdown.com/smogtours-gen3ou-802067?p2</t>
  </si>
  <si>
    <t>https://replay.pokemonshowdown.com/smogtours-gen3ou-802148</t>
  </si>
  <si>
    <t>https://replay.pokemonshowdown.com/smogtours-gen3ou-802153</t>
  </si>
  <si>
    <t>https://replay.pokemonshowdown.com/smogtours-gen3ou-802159</t>
  </si>
  <si>
    <t>https://replay.pokemonshowdown.com/smogtours-gen3ou-802226</t>
  </si>
  <si>
    <t>https://replay.pokemonshowdown.com/smogtours-gen3ou-802231</t>
  </si>
  <si>
    <t>https://replay.pokemonshowdown.com/smogtours-gen3ou-802243</t>
  </si>
  <si>
    <t>https://replay.pokemonshowdown.com/smogtours-gen3ou-802280</t>
  </si>
  <si>
    <t>https://replay.pokemonshowdown.com/smogtours-gen3ou-802285</t>
  </si>
  <si>
    <t>https://replay.pokemonshowdown.com/smogtours-gen3ou-802328</t>
  </si>
  <si>
    <t>https://replay.pokemonshowdown.com/smogtours-gen3ou-802331</t>
  </si>
  <si>
    <t>https://replay.pokemonshowdown.com/smogtours-gen3ou-802312</t>
  </si>
  <si>
    <t>https://replay.pokemonshowdown.com/smogtours-gen3ou-802306</t>
  </si>
  <si>
    <t>https://replay.pokemonshowdown.com/smogtours-gen3ou-802382</t>
  </si>
  <si>
    <t>https://replay.pokemonshowdown.com/smogtours-gen3ou-802383</t>
  </si>
  <si>
    <t>https://replay.pokemonshowdown.com/smogtours-gen3ou-802351</t>
  </si>
  <si>
    <t>https://replay.pokemonshowdown.com/smogtours-gen3ou-802354</t>
  </si>
  <si>
    <t>https://replay.pokemonshowdown.com/smogtours-gen3ou-802357</t>
  </si>
  <si>
    <t>https://replay.pokemonshowdown.com/smogtours-gen3ou-802409</t>
  </si>
  <si>
    <t>https://replay.pokemonshowdown.com/smogtours-gen3ou-802410</t>
  </si>
  <si>
    <t>https://replay.pokemonshowdown.com/smogtours-gen3ou-802452</t>
  </si>
  <si>
    <t>https://replay.pokemonshowdown.com/smogtours-gen3ou-802454</t>
  </si>
  <si>
    <t>https://replay.pokemonshowdown.com/smogtours-gen3ou-802448</t>
  </si>
  <si>
    <t>https://replay.pokemonshowdown.com/smogtours-gen3ou-802451</t>
  </si>
  <si>
    <t>https://replay.pokemonshowdown.com/smogtours-gen3ou-802456</t>
  </si>
  <si>
    <t>https://replay.pokemonshowdown.com/smogtours-gen3ou-802710</t>
  </si>
  <si>
    <t>https://replay.pokemonshowdown.com/smogtours-gen3ou-802721</t>
  </si>
  <si>
    <t>https://replay.pokemonshowdown.com/smogtours-gen3ou-802725</t>
  </si>
  <si>
    <t>https://replay.pokemonshowdown.com/smogtours-gen3ou-802509?p2</t>
  </si>
  <si>
    <t>https://replay.pokemonshowdown.com/smogtours-gen3ou-802514?p2</t>
  </si>
  <si>
    <t>https://replay.pokemonshowdown.com/smogtours-gen3ou-802517?p2</t>
  </si>
  <si>
    <t>https://replay.pokemonshowdown.com/smogtours-gen3ou-802313</t>
  </si>
  <si>
    <t>https://replay.pokemonshowdown.com/smogtours-gen3ou-802321</t>
  </si>
  <si>
    <t>https://replay.pokemonshowdown.com/smogtours-gen3ou-802659</t>
  </si>
  <si>
    <t>https://replay.pokemonshowdown.com/smogtours-gen3ou-802675</t>
  </si>
  <si>
    <t>https://replay.pokemonshowdown.com/smogtours-gen3ou-802417?p2</t>
  </si>
  <si>
    <t>https://replay.pokemonshowdown.com/smogtours-gen3ou-802419?p2</t>
  </si>
  <si>
    <t>https://replay.pokemonshowdown.com/smogtours-gen3ou-802420?p2</t>
  </si>
  <si>
    <t>https://replay.pokemonshowdown.com/smogtours-gen3ou-802938</t>
  </si>
  <si>
    <t>https://replay.pokemonshowdown.com/smogtours-gen3ou-802944</t>
  </si>
  <si>
    <t>https://replay.pokemonshowdown.com/smogtours-gen3ou-802797</t>
  </si>
  <si>
    <t>https://replay.pokemonshowdown.com/smogtours-gen3ou-801935</t>
  </si>
  <si>
    <t>https://replay.pokemonshowdown.com/smogtours-gen3ou-801937</t>
  </si>
  <si>
    <t>https://replay.pokemonshowdown.com/smogtours-gen3ou-801942</t>
  </si>
  <si>
    <t>https://replay.pokemonshowdown.com/smogtours-gen3ou-801904</t>
  </si>
  <si>
    <t>https://replay.pokemonshowdown.com/smogtours-gen3ou-801921</t>
  </si>
  <si>
    <t>https://replay.pokemonshowdown.com/smogtours-gen3ou-801929</t>
  </si>
  <si>
    <t>https://replay.pokemonshowdown.com/smogtours-gen3ou-801784</t>
  </si>
  <si>
    <t>https://replay.pokemonshowdown.com/smogtours-gen3ou-801785</t>
  </si>
  <si>
    <t>https://replay.pokemonshowdown.com/smogtours-gen3ou-801786</t>
  </si>
  <si>
    <t>https://replay.pokemonshowdown.com/smogtours-gen3ou-801941</t>
  </si>
  <si>
    <t>https://replay.pokemonshowdown.com/smogtours-gen3ou-801945</t>
  </si>
  <si>
    <t>https://replay.pokemonshowdown.com/smogtours-gen3ou-801955</t>
  </si>
  <si>
    <t>https://replay.pokemonshowdown.com/smogtours-gen3ou-801892</t>
  </si>
  <si>
    <t>https://replay.pokemonshowdown.com/smogtours-gen3ou-801920</t>
  </si>
  <si>
    <t>https://replay.pokemonshowdown.com/smogtours-gen3ou-801927</t>
  </si>
  <si>
    <t>https://replay.pokemonshowdown.com/smogtours-gen3ou-801858</t>
  </si>
  <si>
    <t>https://replay.pokemonshowdown.com/smogtours-gen3ou-801861</t>
  </si>
  <si>
    <t>https://replay.pokemonshowdown.com/smogtours-gen3ou-801954</t>
  </si>
  <si>
    <t>https://replay.pokemonshowdown.com/smogtours-gen3ou-801960</t>
  </si>
  <si>
    <t>https://replay.pokemonshowdown.com/smogtours-gen3ou-801962</t>
  </si>
  <si>
    <t>https://replay.pokemonshowdown.com/smogtours-gen3ou-801845</t>
  </si>
  <si>
    <t>https://replay.pokemonshowdown.com/smogtours-gen3ou-801856</t>
  </si>
  <si>
    <t>https://replay.pokemonshowdown.com/smogtours-gen3ou-802011?p2</t>
  </si>
  <si>
    <t>https://replay.pokemonshowdown.com/smogtours-gen3ou-802013</t>
  </si>
  <si>
    <t>https://replay.pokemonshowdown.com/smogtours-gen3ou-802014?p2</t>
  </si>
  <si>
    <t>https://replay.pokemonshowdown.com/smogtours-gen3ou-801985</t>
  </si>
  <si>
    <t>https://replay.pokemonshowdown.com/smogtours-gen3ou-802000</t>
  </si>
  <si>
    <t>https://replay.pokemonshowdown.com/smogtours-gen3ou-801989?p2</t>
  </si>
  <si>
    <t>https://replay.pokemonshowdown.com/smogtours-gen3ou-802002?p2</t>
  </si>
  <si>
    <t>https://replay.pokemonshowdown.com/smogtours-gen3ou-802015?p2</t>
  </si>
  <si>
    <t>https://replay.pokemonshowdown.com/smogtours-gen3ou-801847</t>
  </si>
  <si>
    <t>https://replay.pokemonshowdown.com/smogtours-gen3ou-801851</t>
  </si>
  <si>
    <t>https://replay.pokemonshowdown.com/smogtours-gen3ou-801854</t>
  </si>
  <si>
    <t>https://replay.pokemonshowdown.com/smogtours-gen3ou-801977</t>
  </si>
  <si>
    <t>https://replay.pokemonshowdown.com/smogtours-gen3ou-801980</t>
  </si>
  <si>
    <t>https://replay.pokemonshowdown.com/smogtours-gen3ou-801850</t>
  </si>
  <si>
    <t>https://replay.pokemonshowdown.com/smogtours-gen3ou-801853</t>
  </si>
  <si>
    <t>https://replay.pokemonshowdown.com/smogtours-gen3ou-801991</t>
  </si>
  <si>
    <t>https://replay.pokemonshowdown.com/smogtours-gen3ou-801997</t>
  </si>
  <si>
    <t>https://replay.pokemonshowdown.com/smogtours-gen3ou-801816?p2</t>
  </si>
  <si>
    <t>https://replay.pokemonshowdown.com/smogtours-gen3ou-801820?p2</t>
  </si>
  <si>
    <t>https://replay.pokemonshowdown.com/smogtours-gen3ou-801827?p2</t>
  </si>
  <si>
    <t>https://replay.pokemonshowdown.com/smogtours-gen3ou-801992</t>
  </si>
  <si>
    <t>https://replay.pokemonshowdown.com/smogtours-gen3ou-802001</t>
  </si>
  <si>
    <t>https://replay.pokemonshowdown.com/smogtours-gen3ou-802007</t>
  </si>
  <si>
    <t>https://replay.pokemonshowdown.com/smogtours-gen3ou-801987</t>
  </si>
  <si>
    <t>https://replay.pokemonshowdown.com/smogtours-gen3ou-801998</t>
  </si>
  <si>
    <t>https://replay.pokemonshowdown.com/gen3ou-2231073181</t>
  </si>
  <si>
    <t>https://replay.pokemonshowdown.com/gen3ou-2231058038</t>
  </si>
  <si>
    <t>https://replay.pokemonshowdown.com/smogtours-gen3ou-802016</t>
  </si>
  <si>
    <t>https://replay.pokemonshowdown.com/smogtours-gen3ou-802017</t>
  </si>
  <si>
    <t>https://replay.pokemonshowdown.com/smogtours-gen3ou-801996</t>
  </si>
  <si>
    <t>https://replay.pokemonshowdown.com/smogtours-gen3ou-802003</t>
  </si>
  <si>
    <t>https://replay.pokemonshowdown.com/smogtours-gen3ou-802010</t>
  </si>
  <si>
    <t>https://replay.pokemonshowdown.com/smogtours-gen3ou-802023</t>
  </si>
  <si>
    <t>https://replay.pokemonshowdown.com/smogtours-gen3ou-802028</t>
  </si>
  <si>
    <t>https://replay.pokemonshowdown.com/smogtours-gen3ou-802033</t>
  </si>
  <si>
    <t>https://replay.pokemonshowdown.com/smogtours-gen3ou-802026</t>
  </si>
  <si>
    <t>https://replay.pokemonshowdown.com/smogtours-gen3ou-802039</t>
  </si>
  <si>
    <t>https://replay.pokemonshowdown.com/smogtours-gen3ou-802042</t>
  </si>
  <si>
    <t>https://replay.pokemonshowdown.com/smogtours-gen3ou-802050</t>
  </si>
  <si>
    <t>https://replay.pokemonshowdown.com/smogtours-gen3ou-802052</t>
  </si>
  <si>
    <t>https://replay.pokemonshowdown.com/smogtours-gen3ou-802534</t>
  </si>
  <si>
    <t>https://replay.pokemonshowdown.com/smogtours-gen3ou-802539</t>
  </si>
  <si>
    <t>https://replay.pokemonshowdown.com/smogtours-gen3ou-802813</t>
  </si>
  <si>
    <t>https://replay.pokemonshowdown.com/smogtours-gen3ou-802854</t>
  </si>
  <si>
    <t>https://replay.pokemonshowdown.com/smogtours-gen3ou-802557</t>
  </si>
  <si>
    <t>https://replay.pokemonshowdown.com/smogtours-gen3ou-802572</t>
  </si>
  <si>
    <t>https://replay.pokemonshowdown.com/smogtours-gen3ou-802577</t>
  </si>
  <si>
    <t>https://replay.pokemonshowdown.com/smogtours-gen3ou-802565</t>
  </si>
  <si>
    <t>https://replay.pokemonshowdown.com/smogtours-gen3ou-802574</t>
  </si>
  <si>
    <t>https://replay.pokemonshowdown.com/smogtours-gen3ou-802580</t>
  </si>
  <si>
    <t>https://replay.pokemonshowdown.com/smogtours-gen3ou-802656</t>
  </si>
  <si>
    <t>https://replay.pokemonshowdown.com/smogtours-gen3ou-802667</t>
  </si>
  <si>
    <t>https://replay.pokemonshowdown.com/smogtours-gen3ou-802677</t>
  </si>
  <si>
    <t>https://replay.pokemonshowdown.com/smogtours-gen3ou-802484</t>
  </si>
  <si>
    <t>https://replay.pokemonshowdown.com/smogtours-gen3ou-802487</t>
  </si>
  <si>
    <t>https://replay.pokemonshowdown.com/smogtours-gen3ou-802665</t>
  </si>
  <si>
    <t>https://replay.pokemonshowdown.com/smogtours-gen3ou-802674</t>
  </si>
  <si>
    <t>https://replay.pokemonshowdown.com/smogtours-gen3ou-802681</t>
  </si>
  <si>
    <t>https://replay.pokemonshowdown.com/smogtours-gen3ou-802346</t>
  </si>
  <si>
    <t>https://replay.pokemonshowdown.com/smogtours-gen3ou-802349</t>
  </si>
  <si>
    <t>https://replay.pokemonshowdown.com/smogtours-gen3ou-802627</t>
  </si>
  <si>
    <t>https://replay.pokemonshowdown.com/smogtours-gen3ou-802648</t>
  </si>
  <si>
    <t>https://replay.pokemonshowdown.com/smogtours-gen3ou-802995</t>
  </si>
  <si>
    <t>https://replay.pokemonshowdown.com/smogtours-gen3ou-803005</t>
  </si>
  <si>
    <t>https://replay.pokemonshowdown.com/smogtours-gen3ou-803012</t>
  </si>
  <si>
    <t>https://replay.pokemonshowdown.com/smogtours-gen3ou-802527</t>
  </si>
  <si>
    <t>https://replay.pokemonshowdown.com/smogtours-gen3ou-802531</t>
  </si>
  <si>
    <t>https://replay.pokemonshowdown.com/smogtours-gen3ou-803051</t>
  </si>
  <si>
    <t>https://replay.pokemonshowdown.com/smogtours-gen3ou-803052</t>
  </si>
  <si>
    <t>https://replay.pokemonshowdown.com/smogtours-gen3ou-803126</t>
  </si>
  <si>
    <t>https://replay.pokemonshowdown.com/smogtours-gen3ou-803128</t>
  </si>
  <si>
    <t>https://replay.pokemonshowdown.com/smogtours-gen3ou-803130</t>
  </si>
  <si>
    <t>https://replay.pokemonshowdown.com/smogtours-gen3ou-803109</t>
  </si>
  <si>
    <t>https://replay.pokemonshowdown.com/smogtours-gen3ou-803115</t>
  </si>
  <si>
    <t>https://replay.pokemonshowdown.com/smogtours-gen3ou-803118</t>
  </si>
  <si>
    <t>https://replay.pokemonshowdown.com/smogtours-gen3ou-803129</t>
  </si>
  <si>
    <t>https://replay.pokemonshowdown.com/smogtours-gen3ou-803134</t>
  </si>
  <si>
    <t>https://replay.pokemonshowdown.com/smogtours-gen3ou-803162</t>
  </si>
  <si>
    <t>https://replay.pokemonshowdown.com/smogtours-gen3ou-803166</t>
  </si>
  <si>
    <t>https://replay.pokemonshowdown.com/smogtours-gen3ou-803171</t>
  </si>
  <si>
    <t>https://replay.pokemonshowdown.com/smogtours-gen3ou-803099</t>
  </si>
  <si>
    <t>https://replay.pokemonshowdown.com/smogtours-gen3ou-803104</t>
  </si>
  <si>
    <t>https://replay.pokemonshowdown.com/smogtours-gen3ou-803057</t>
  </si>
  <si>
    <t>https://replay.pokemonshowdown.com/smogtours-gen3ou-803055</t>
  </si>
  <si>
    <t>https://replay.pokemonshowdown.com/smogtours-gen3ou-802375</t>
  </si>
  <si>
    <t>https://replay.pokemonshowdown.com/smogtours-gen3ou-802376</t>
  </si>
  <si>
    <t>https://replay.pokemonshowdown.com/smogtours-gen3ou-803085</t>
  </si>
  <si>
    <t>https://replay.pokemonshowdown.com/smogtours-gen3ou-803092</t>
  </si>
  <si>
    <t>https://replay.pokemonshowdown.com/smogtours-gen3ou-802556?p2</t>
  </si>
  <si>
    <t>https://replay.pokemonshowdown.com/smogtours-gen3ou-802569?p2</t>
  </si>
  <si>
    <t>https://replay.pokemonshowdown.com/smogtours-gen3ou-803196</t>
  </si>
  <si>
    <t>https://replay.pokemonshowdown.com/smogtours-gen3ou-803200</t>
  </si>
  <si>
    <t>https://replay.pokemonshowdown.com/smogtours-gen3ou-803195</t>
  </si>
  <si>
    <t>https://replay.pokemonshowdown.com/smogtours-gen3ou-803199</t>
  </si>
  <si>
    <t>https://replay.pokemonshowdown.com/smogtours-gen3ou-802696</t>
  </si>
  <si>
    <t>https://replay.pokemonshowdown.com/smogtours-gen3ou-802700</t>
  </si>
  <si>
    <t>https://replay.pokemonshowdown.com/smogtours-gen3ou-802763</t>
  </si>
  <si>
    <t>https://replay.pokemonshowdown.com/smogtours-gen3ou-802776</t>
  </si>
  <si>
    <t>https://replay.pokemonshowdown.com/smogtours-gen3ou-802543</t>
  </si>
  <si>
    <t>https://replay.pokemonshowdown.com/smogtours-gen3ou-802549</t>
  </si>
  <si>
    <t>https://replay.pokemonshowdown.com/smogtours-gen3ou-803096</t>
  </si>
  <si>
    <t>https://replay.pokemonshowdown.com/smogtours-gen3ou-803100</t>
  </si>
  <si>
    <t>https://replay.pokemonshowdown.com/smogtours-gen3ou-803220</t>
  </si>
  <si>
    <t>https://replay.pokemonshowdown.com/smogtours-gen3ou-803221</t>
  </si>
  <si>
    <t>https://replay.pokemonshowdown.com/smogtours-gen3ou-803222</t>
  </si>
  <si>
    <t>https://replay.pokemonshowdown.com/smogtours-gen3ou-803226</t>
  </si>
  <si>
    <t>https://replay.pokemonshowdown.com/smogtours-gen3ou-803227</t>
  </si>
  <si>
    <t>https://replay.pokemonshowdown.com/smogtours-gen3ou-803202</t>
  </si>
  <si>
    <t>https://replay.pokemonshowdown.com/smogtours-gen3ou-803206</t>
  </si>
  <si>
    <t>https://replay.pokemonshowdown.com/smogtours-gen3ou-803210</t>
  </si>
  <si>
    <t>https://replay.pokemonshowdown.com/smogtours-gen3ou-803248</t>
  </si>
  <si>
    <t>https://replay.pokemonshowdown.com/smogtours-gen3ou-803252</t>
  </si>
  <si>
    <t>https://replay.pokemonshowdown.com/smogtours-gen3ou-803262</t>
  </si>
  <si>
    <t>https://replay.pokemonshowdown.com/smogtours-gen3ou-803264</t>
  </si>
  <si>
    <t>https://replay.pokemonshowdown.com/smogtours-gen3ou-803244</t>
  </si>
  <si>
    <t>https://replay.pokemonshowdown.com/smogtours-gen3ou-803245</t>
  </si>
  <si>
    <t>https://replay.pokemonshowdown.com/smogtours-gen3ou-803246</t>
  </si>
  <si>
    <t>https://replay.pokemonshowdown.com/smogtours-gen3ou-803136</t>
  </si>
  <si>
    <t>https://replay.pokemonshowdown.com/smogtours-gen3ou-803141</t>
  </si>
  <si>
    <t>https://replay.pokemonshowdown.com/smogtours-gen3ou-803149</t>
  </si>
  <si>
    <t>https://replay.pokemonshowdown.com/smogtours-gen3ou-803158</t>
  </si>
  <si>
    <t>https://replay.pokemonshowdown.com/smogtours-gen3ou-803263</t>
  </si>
  <si>
    <t>https://replay.pokemonshowdown.com/smogtours-gen3ou-803265?p2</t>
  </si>
  <si>
    <t>https://replay.pokemonshowdown.com/smogtours-gen3ou-803269?p2</t>
  </si>
  <si>
    <t>https://replay.pokemonshowdown.com/smogtours-gen3ou-802336</t>
  </si>
  <si>
    <t>https://replay.pokemonshowdown.com/smogtours-gen3ou-802339</t>
  </si>
  <si>
    <t>https://replay.pokemonshowdown.com/smogtours-gen3ou-802795</t>
  </si>
  <si>
    <t>https://replay.pokemonshowdown.com/smogtours-gen3ou-802818</t>
  </si>
  <si>
    <t>https://replay.pokemonshowdown.com/smogtours-gen3ou-802672</t>
  </si>
  <si>
    <t>https://replay.pokemonshowdown.com/smogtours-gen3ou-802679</t>
  </si>
  <si>
    <t>https://replay.pokemonshowdown.com/smogtours-gen3ou-802686</t>
  </si>
  <si>
    <t>https://replay.pokemonshowdown.com/smogtours-gen3ou-802495</t>
  </si>
  <si>
    <t>https://replay.pokemonshowdown.com/smogtours-gen3ou-802506</t>
  </si>
  <si>
    <t>https://replay.pokemonshowdown.com/smogtours-gen3ou-803101</t>
  </si>
  <si>
    <t>https://replay.pokemonshowdown.com/smogtours-gen3ou-803105</t>
  </si>
  <si>
    <t>https://replay.pokemonshowdown.com/smogtours-gen3ou-803250</t>
  </si>
  <si>
    <t>https://replay.pokemonshowdown.com/smogtours-gen3ou-803256</t>
  </si>
  <si>
    <t>https://replay.pokemonshowdown.com/smogtours-gen3ou-802303</t>
  </si>
  <si>
    <t>https://replay.pokemonshowdown.com/smogtours-gen3ou-802316</t>
  </si>
  <si>
    <t>https://replay.pokemonshowdown.com/smogtours-gen3ou-803056</t>
  </si>
  <si>
    <t>https://replay.pokemonshowdown.com/smogtours-gen3ou-803058</t>
  </si>
  <si>
    <t>https://replay.pokemonshowdown.com/smogtours-gen3ou-803186</t>
  </si>
  <si>
    <t>https://replay.pokemonshowdown.com/smogtours-gen3ou-803188</t>
  </si>
  <si>
    <t>https://replay.pokemonshowdown.com/smogtours-gen3ou-803190</t>
  </si>
  <si>
    <t>https://replay.pokemonshowdown.com/smogtours-gen3ou-802750</t>
  </si>
  <si>
    <t>https://replay.pokemonshowdown.com/smogtours-gen3ou-802757</t>
  </si>
  <si>
    <t>https://replay.pokemonshowdown.com/smogtours-gen3ou-803093</t>
  </si>
  <si>
    <t>https://replay.pokemonshowdown.com/smogtours-gen3ou-803097</t>
  </si>
  <si>
    <t>https://replay.pokemonshowdown.com/smogtours-gen3ou-803107</t>
  </si>
  <si>
    <t>https://replay.pokemonshowdown.com/smogtours-gen3ou-803116</t>
  </si>
  <si>
    <t>https://replay.pokemonshowdown.com/smogtours-gen3ou-803177</t>
  </si>
  <si>
    <t>https://replay.pokemonshowdown.com/smogtours-gen3ou-803178</t>
  </si>
  <si>
    <t>https://replay.pokemonshowdown.com/smogtours-gen3ou-803242</t>
  </si>
  <si>
    <t>https://replay.pokemonshowdown.com/smogtours-gen3ou-803243</t>
  </si>
  <si>
    <t>https://replay.pokemonshowdown.com/smogtours-gen3ou-803154</t>
  </si>
  <si>
    <t>https://replay.pokemonshowdown.com/smogtours-gen3ou-803163</t>
  </si>
  <si>
    <t>https://replay.pokemonshowdown.com/smogtours-gen3ou-803289</t>
  </si>
  <si>
    <t>https://replay.pokemonshowdown.com/smogtours-gen3ou-803311</t>
  </si>
  <si>
    <t>https://replay.pokemonshowdown.com/smogtours-gen3ou-803321</t>
  </si>
  <si>
    <t>https://replay.pokemonshowdown.com/smogtours-gen3ou-803341</t>
  </si>
  <si>
    <t>https://replay.pokemonshowdown.com/smogtours-gen3ou-803348</t>
  </si>
  <si>
    <t>https://replay.pokemonshowdown.com/smogtours-gen3ou-803347</t>
  </si>
  <si>
    <t xml:space="preserve"> https://replay.pokemonshowdown.com/smogtours-gen3ou-803351</t>
  </si>
  <si>
    <t xml:space="preserve"> https://replay.pokemonshowdown.com/smogtours-gen3ou-803355</t>
  </si>
  <si>
    <t xml:space="preserve"> https://replay.pokemonshowdown.com/smogtours-gen3ou-803361</t>
  </si>
  <si>
    <t xml:space="preserve"> https://replay.pokemonshowdown.com/smogtours-gen3ou-803365</t>
  </si>
  <si>
    <t>https://replay.pokemonshowdown.com/smogtours-gen3ou-803358</t>
  </si>
  <si>
    <t>https://replay.pokemonshowdown.com/smogtours-gen3ou-803366</t>
  </si>
  <si>
    <t>https://replay.pokemonshowdown.com/smogtours-gen3ou-803376</t>
  </si>
  <si>
    <t>https://replay.pokemonshowdown.com/smogtours-gen3ou-803380</t>
  </si>
  <si>
    <t>https://replay.pokemonshowdown.com/smogtours-gen3ou-803385</t>
  </si>
  <si>
    <t>https://replay.pokemonshowdown.com/smogtours-gen3ou-803369</t>
  </si>
  <si>
    <t>https://replay.pokemonshowdown.com/smogtours-gen3ou-803372</t>
  </si>
  <si>
    <t>https://replay.pokemonshowdown.com/smogtours-gen3ou-803374</t>
  </si>
  <si>
    <t>https://replay.pokemonshowdown.com/smogtours-gen3ou-803379</t>
  </si>
  <si>
    <t>https://replay.pokemonshowdown.com/smogtours-gen3ou-803383</t>
  </si>
  <si>
    <t>https://replay.pokemonshowdown.com/smogtours-gen3ou-803081</t>
  </si>
  <si>
    <t>https://replay.pokemonshowdown.com/smogtours-gen3ou-803083</t>
  </si>
  <si>
    <t>https://replay.pokemonshowdown.com/smogtours-gen3ou-803240</t>
  </si>
  <si>
    <t>https://replay.pokemonshowdown.com/smogtours-gen3ou-803241</t>
  </si>
  <si>
    <t>https://replay.pokemonshowdown.com/smogtours-gen3ou-803106</t>
  </si>
  <si>
    <t>https://replay.pokemonshowdown.com/smogtours-gen3ou-803108</t>
  </si>
  <si>
    <t>https://replay.pokemonshowdown.com/smogtours-gen3ou-803114</t>
  </si>
  <si>
    <t>https://replay.pokemonshowdown.com/smogtours-gen3ou-803062</t>
  </si>
  <si>
    <t>https://replay.pokemonshowdown.com/smogtours-gen3ou-803064</t>
  </si>
  <si>
    <t>https://replay.pokemonshowdown.com/smogtours-gen3ou-803066</t>
  </si>
  <si>
    <t>https://replay.pokemonshowdown.com/smogtours-gen3ou-803111</t>
  </si>
  <si>
    <t>https://replay.pokemonshowdown.com/smogtours-gen3ou-803113</t>
  </si>
  <si>
    <t>https://replay.pokemonshowdown.com/smogtours-gen3ou-803181</t>
  </si>
  <si>
    <t>https://replay.pokemonshowdown.com/smogtours-gen3ou-803183</t>
  </si>
  <si>
    <t>https://replay.pokemonshowdown.com/smogtours-gen3ou-803165</t>
  </si>
  <si>
    <t>https://replay.pokemonshowdown.com/smogtours-gen3ou-803173</t>
  </si>
  <si>
    <t>https://replay.pokemonshowdown.com/smogtours-gen3ou-803193</t>
  </si>
  <si>
    <t>https://replay.pokemonshowdown.com/smogtours-gen3ou-803198</t>
  </si>
  <si>
    <t>https://replay.pokemonshowdown.com/smogtours-gen3ou-803205</t>
  </si>
  <si>
    <t>https://replay.pokemonshowdown.com/smogtours-gen3ou-803209</t>
  </si>
  <si>
    <t>https://replay.pokemonshowdown.com/smogtours-gen3ou-803343</t>
  </si>
  <si>
    <t>https://replay.pokemonshowdown.com/smogtours-gen3ou-803353</t>
  </si>
  <si>
    <t>https://replay.pokemonshowdown.com/smogtours-gen3ou-803356</t>
  </si>
  <si>
    <t>https://replay.pokemonshowdown.com/smogtours-gen3ou-803095</t>
  </si>
  <si>
    <t>https://replay.pokemonshowdown.com/smogtours-gen3ou-803098</t>
  </si>
  <si>
    <t>https://replay.pokemonshowdown.com/smogtours-gen3ou-803103</t>
  </si>
  <si>
    <t>https://replay.pokemonshowdown.com/smogtours-gen3ou-803334</t>
  </si>
  <si>
    <t>https://replay.pokemonshowdown.com/smogtours-gen3ou-803337</t>
  </si>
  <si>
    <t>https://replay.pokemonshowdown.com/smogtours-gen3ou-803349</t>
  </si>
  <si>
    <t>https://replay.pokemonshowdown.com/smogtours-gen3ou-803275</t>
  </si>
  <si>
    <t>https://replay.pokemonshowdown.com/smogtours-gen3ou-803276</t>
  </si>
  <si>
    <t>https://replay.pokemonshowdown.com/smogtours-gen3ou-803278</t>
  </si>
  <si>
    <t>https://replay.pokemonshowdown.com/smogtours-gen3ou-802991</t>
  </si>
  <si>
    <t>https://replay.pokemonshowdown.com/smogtours-gen3ou-802999</t>
  </si>
  <si>
    <t>https://replay.pokemonshowdown.com/smogtours-gen3ou-803004</t>
  </si>
  <si>
    <t>https://replay.pokemonshowdown.com/smogtours-gen3ou-803377</t>
  </si>
  <si>
    <t>https://replay.pokemonshowdown.com/smogtours-gen3ou-803384</t>
  </si>
  <si>
    <t>https://replay.pokemonshowdown.com/smogtours-gen3ou-803214</t>
  </si>
  <si>
    <t>https://replay.pokemonshowdown.com/smogtours-gen3ou-803216</t>
  </si>
  <si>
    <t>https://replay.pokemonshowdown.com/smogtours-gen3ou-803201</t>
  </si>
  <si>
    <t>https://replay.pokemonshowdown.com/smogtours-gen3ou-803204</t>
  </si>
  <si>
    <t>https://replay.pokemonshowdown.com/smogtours-gen3ou-803208</t>
  </si>
  <si>
    <t>https://replay.pokemonshowdown.com/smogtours-gen3ou-803297</t>
  </si>
  <si>
    <t>https://replay.pokemonshowdown.com/smogtours-gen3ou-803316</t>
  </si>
  <si>
    <t>https://replay.pokemonshowdown.com/smogtours-gen3ou-803359</t>
  </si>
  <si>
    <t>https://replay.pokemonshowdown.com/smogtours-gen3ou-803363</t>
  </si>
  <si>
    <t>https://replay.pokemonshowdown.com/smogtours-gen3ou-803203</t>
  </si>
  <si>
    <t>https://replay.pokemonshowdown.com/smogtours-gen3ou-803207</t>
  </si>
  <si>
    <t>https://replay.pokemonshowdown.com/smogtours-gen3ou-803284</t>
  </si>
  <si>
    <t>https://replay.pokemonshowdown.com/smogtours-gen3ou-803295</t>
  </si>
  <si>
    <t>https://replay.pokemonshowdown.com/smogtours-gen3ou-803303</t>
  </si>
  <si>
    <t>https://replay.pokemonshowdown.com/smogtours-gen3ou-803335</t>
  </si>
  <si>
    <t>https://replay.pokemonshowdown.com/smogtours-gen3ou-803342</t>
  </si>
  <si>
    <t>https://replay.pokemonshowdown.com/smogtours-gen3ou-802958</t>
  </si>
  <si>
    <t>https://replay.pokemonshowdown.com/smogtours-gen3ou-802989</t>
  </si>
  <si>
    <t>https://replay.pokemonshowdown.com/smogtours-gen3ou-803059</t>
  </si>
  <si>
    <t>https://replay.pokemonshowdown.com/smogtours-gen3ou-803061</t>
  </si>
  <si>
    <t>https://replay.pokemonshowdown.com/smogtours-gen3ou-803318</t>
  </si>
  <si>
    <t>https://replay.pokemonshowdown.com/smogtours-gen3ou-803324</t>
  </si>
  <si>
    <t>https://replay.pokemonshowdown.com/smogtours-gen3ou-803140</t>
  </si>
  <si>
    <t>https://replay.pokemonshowdown.com/smogtours-gen3ou-803144</t>
  </si>
  <si>
    <t>https://replay.pokemonshowdown.com/smogtours-gen3ou-803146</t>
  </si>
  <si>
    <t>https://replay.pokemonshowdown.com/smogtours-gen3ou-803191</t>
  </si>
  <si>
    <t>https://replay.pokemonshowdown.com/smogtours-gen3ou-803192</t>
  </si>
  <si>
    <t>https://replay.pokemonshowdown.com/smogtours-gen3ou-803161</t>
  </si>
  <si>
    <t>https://replay.pokemonshowdown.com/smogtours-gen3ou-803169</t>
  </si>
  <si>
    <t>https://replay.pokemonshowdown.com/smogtours-gen3ou-803172</t>
  </si>
  <si>
    <t>https://replay.pokemonshowdown.com/smogtours-gen3ou-803087</t>
  </si>
  <si>
    <t>https://replay.pokemonshowdown.com/smogtours-gen3ou-803090</t>
  </si>
  <si>
    <t>https://replay.pokemonshowdown.com/smogtours-gen3ou-803091</t>
  </si>
  <si>
    <t>https://replay.pokemonshowdown.com/smogtours-gen3ou-803110</t>
  </si>
  <si>
    <t>https://replay.pokemonshowdown.com/smogtours-gen3ou-803112</t>
  </si>
  <si>
    <t>https://replay.pokemonshowdown.com/smogtours-gen3ou-803218</t>
  </si>
  <si>
    <t>https://replay.pokemonshowdown.com/smogtours-gen3ou-803219</t>
  </si>
  <si>
    <t>https://replay.pokemonshowdown.com/smogtours-gen3ou-803398</t>
  </si>
  <si>
    <t>https://replay.pokemonshowdown.com/smogtours-gen3ou-803400</t>
  </si>
  <si>
    <t>https://replay.pokemonshowdown.com/smogtours-gen3ou-803389</t>
  </si>
  <si>
    <t>https://replay.pokemonshowdown.com/smogtours-gen3ou-803392</t>
  </si>
  <si>
    <t>https://replay.pokemonshowdown.com/smogtours-gen3ou-803405</t>
  </si>
  <si>
    <t>https://replay.pokemonshowdown.com/smogtours-gen3ou-803406</t>
  </si>
  <si>
    <t>https://replay.pokemonshowdown.com/smogtours-gen3ou-803407</t>
  </si>
  <si>
    <t>https://replay.pokemonshowdown.com/smogtours-gen3ou-803391</t>
  </si>
  <si>
    <t>https://replay.pokemonshowdown.com/smogtours-gen3ou-803393</t>
  </si>
  <si>
    <t>https://replay.pokemonshowdown.com/smogtours-gen3ou-803408</t>
  </si>
  <si>
    <t>https://replay.pokemonshowdown.com/smogtours-gen3ou-803409</t>
  </si>
  <si>
    <t>https://replay.pokemonshowdown.com/smogtours-gen3ou-803410</t>
  </si>
  <si>
    <t>https://replay.pokemonshowdown.com/smogtours-gen3ou-803364</t>
  </si>
  <si>
    <t>https://replay.pokemonshowdown.com/smogtours-gen3ou-803367</t>
  </si>
  <si>
    <t>https://replay.pokemonshowdown.com/smogtours-gen3ou-803370</t>
  </si>
  <si>
    <t>https://replay.pokemonshowdown.com/smogtours-gen3ou-803253</t>
  </si>
  <si>
    <t>https://replay.pokemonshowdown.com/smogtours-gen3ou-803259</t>
  </si>
  <si>
    <t>https://replay.pokemonshowdown.com/smogtours-gen3ou-803270</t>
  </si>
  <si>
    <t>https://replay.pokemonshowdown.com/smogtours-gen3ou-803346</t>
  </si>
  <si>
    <t>https://replay.pokemonshowdown.com/smogtours-gen3ou-803352</t>
  </si>
  <si>
    <t>https://replay.pokemonshowdown.com/smogtours-gen3ou-803378</t>
  </si>
  <si>
    <t>https://replay.pokemonshowdown.com/smogtours-gen3ou-803381</t>
  </si>
  <si>
    <t>https://replay.pokemonshowdown.com/smogtours-gen3ou-803290</t>
  </si>
  <si>
    <t>https://replay.pokemonshowdown.com/smogtours-gen3ou-803305</t>
  </si>
  <si>
    <t>https://replay.pokemonshowdown.com/smogtours-gen3ou-803312</t>
  </si>
  <si>
    <t>https://replay.pokemonshowdown.com/smogtours-gen3ou-803371</t>
  </si>
  <si>
    <t>https://replay.pokemonshowdown.com/smogtours-gen3ou-803373</t>
  </si>
  <si>
    <t>https://replay.pokemonshowdown.com/smogtours-gen3ou-803375</t>
  </si>
  <si>
    <t>https://replay.pokemonshowdown.com/smogtours-gen3ou-803382</t>
  </si>
  <si>
    <t>https://replay.pokemonshowdown.com/smogtours-gen3ou-803387</t>
  </si>
  <si>
    <t>https://replay.pokemonshowdown.com/smogtours-gen3ou-803394</t>
  </si>
  <si>
    <t>https://replay.pokemonshowdown.com/smogtours-gen3ou-803395</t>
  </si>
  <si>
    <t>https://replay.pokemonshowdown.com/smogtours-gen3ou-803386</t>
  </si>
  <si>
    <t>https://replay.pokemonshowdown.com/smogtours-gen3ou-803388</t>
  </si>
  <si>
    <t>https://replay.pokemonshowdown.com/smogtours-gen3ou-803288</t>
  </si>
  <si>
    <t>https://replay.pokemonshowdown.com/smogtours-gen3ou-803304</t>
  </si>
  <si>
    <t>https://replay.pokemonshowdown.com/smogtours-gen3ou-803330</t>
  </si>
  <si>
    <t>https://replay.pokemonshowdown.com/smogtours-gen3ou-803336</t>
  </si>
  <si>
    <t>https://replay.pokemonshowdown.com/smogtours-gen3ou-803345</t>
  </si>
  <si>
    <t>https://replay.pokemonshowdown.com/smogtours-gen3ou-803231</t>
  </si>
  <si>
    <t>https://replay.pokemonshowdown.com/smogtours-gen3ou-803232</t>
  </si>
  <si>
    <t>https://replay.pokemonshowdown.com/smogtours-gen3ou-803228</t>
  </si>
  <si>
    <t>https://replay.pokemonshowdown.com/smogtours-gen3ou-803229</t>
  </si>
  <si>
    <t>https://replay.pokemonshowdown.com/smogtours-gen3ou-803277</t>
  </si>
  <si>
    <t>https://replay.pokemonshowdown.com/smogtours-gen3ou-803279</t>
  </si>
  <si>
    <t>https://replay.pokemonshowdown.com/smogtours-gen3ou-803281</t>
  </si>
  <si>
    <t>https://replay.pokemonshowdown.com/smogtours-gen3ou-803249</t>
  </si>
  <si>
    <t>https://replay.pokemonshowdown.com/smogtours-gen3ou-803254</t>
  </si>
  <si>
    <t>https://replay.pokemonshowdown.com/smogtours-gen3ou-803257</t>
  </si>
  <si>
    <t>https://replay.pokemonshowdown.com/smogtours-gen3ou-803360</t>
  </si>
  <si>
    <t>https://replay.pokemonshowdown.com/smogtours-gen3ou-803362</t>
  </si>
  <si>
    <t>https://replay.pokemonshowdown.com/smogtours-gen3ou-803317?p2</t>
  </si>
  <si>
    <t>https://replay.pokemonshowdown.com/smogtours-gen3ou-803308?p2</t>
  </si>
  <si>
    <t>https://replay.pokemonshowdown.com/smogtours-gen3ou-803294?p2</t>
  </si>
  <si>
    <t>https://replay.pokemonshowdown.com/smogtours-gen3ou-803292?p2</t>
  </si>
  <si>
    <t>https://replay.pokemonshowdown.com/smogtours-gen3ou-803300?p2</t>
  </si>
  <si>
    <t>https://replay.pokemonshowdown.com/smogtours-gen3ou-803399</t>
  </si>
  <si>
    <t>https://replay.pokemonshowdown.com/smogtours-gen3ou-803402</t>
  </si>
  <si>
    <t>https://replay.pokemonshowdown.com/smogtours-gen3ou-803403</t>
  </si>
  <si>
    <t>https://replay.pokemonshowdown.com/smogtours-gen3ou-803344</t>
  </si>
  <si>
    <t>https://replay.pokemonshowdown.com/smogtours-gen3ou-803354</t>
  </si>
  <si>
    <t>https://replay.pokemonshowdown.com/smogtours-gen3ou-803287</t>
  </si>
  <si>
    <t>https://replay.pokemonshowdown.com/smogtours-gen3ou-803293</t>
  </si>
  <si>
    <t>https://replay.pokemonshowdown.com/smogtours-gen3ou-803313</t>
  </si>
  <si>
    <t>https://replay.pokemonshowdown.com/smogtours-gen3ou-803168</t>
  </si>
  <si>
    <t>https://replay.pokemonshowdown.com/smogtours-gen3ou-803175</t>
  </si>
  <si>
    <t>https://replay.pokemonshowdown.com/smogtours-gen3ou-803176</t>
  </si>
  <si>
    <t>https://replay.pokemonshowdown.com/smogtours-gen3ou-803418</t>
  </si>
  <si>
    <t>https://replay.pokemonshowdown.com/smogtours-gen3ou-803421</t>
  </si>
  <si>
    <t>https://replay.pokemonshowdown.com/smogtours-gen3ou-803422</t>
  </si>
  <si>
    <t>https://replay.pokemonshowdown.com/smogtours-gen3ou-803437?p2</t>
  </si>
  <si>
    <t>https://replay.pokemonshowdown.com/smogtours-gen3ou-803438?p2</t>
  </si>
  <si>
    <t>https://replay.pokemonshowdown.com/smogtours-gen3ou-803440</t>
  </si>
  <si>
    <t>https://replay.pokemonshowdown.com/smogtours-gen3ou-803443</t>
  </si>
  <si>
    <t>https://replay.pokemonshowdown.com/smogtours-gen3ou-803439</t>
  </si>
  <si>
    <t>https://replay.pokemonshowdown.com/smogtours-gen3ou-803442</t>
  </si>
  <si>
    <t>https://replay.pokemonshowdown.com/smogtours-gen3ou-803448</t>
  </si>
  <si>
    <t>https://replay.pokemonshowdown.com/smogtours-gen3ou-803441</t>
  </si>
  <si>
    <t>https://replay.pokemonshowdown.com/smogtours-gen3ou-803445</t>
  </si>
  <si>
    <t>https://replay.pokemonshowdown.com/smogtours-gen3ou-803451</t>
  </si>
  <si>
    <t>https://replay.pokemonshowdown.com/smogtours-gen3ou-803456</t>
  </si>
  <si>
    <t>https://replay.pokemonshowdown.com/smogtours-gen3ou-803515</t>
  </si>
  <si>
    <t>https://replay.pokemonshowdown.com/smogtours-gen3ou-803512</t>
  </si>
  <si>
    <t>https://replay.pokemonshowdown.com/smogtours-gen3ou-803505</t>
  </si>
  <si>
    <t>https://replay.pokemonshowdown.com/gen3ou-2234127789-kkwj9baoafvjiawxrenrtw97xoqwjv1pw</t>
  </si>
  <si>
    <t>https://replay.pokemonshowdown.com/gen3ou-2234137657-w9kcovejcrdsjgm4zui08gd47k3znq8pw?p2</t>
  </si>
  <si>
    <t>https://replay.pokemonshowdown.com/gen3ou-2234142429-gwzqutz3evj21v3khdlrnegkyoq26okpw</t>
  </si>
  <si>
    <t>https://replay.pokemonshowdown.com/gen3ou-2234146657-xvhf440bkwg28bch1w6wd7jlwln2j31pw?p2</t>
  </si>
  <si>
    <t>https://replay.pokemonshowdown.com/smogtours-gen3ou-803476</t>
  </si>
  <si>
    <t>https://replay.pokemonshowdown.com/smogtours-gen3ou-803481</t>
  </si>
  <si>
    <t>https://replay.pokemonshowdown.com/smogtours-gen3ou-803478</t>
  </si>
  <si>
    <t>https://replay.pokemonshowdown.com/smogtours-gen3ou-803487</t>
  </si>
  <si>
    <t>https://replay.pokemonshowdown.com/smogtours-gen3ou-803419</t>
  </si>
  <si>
    <t>https://replay.pokemonshowdown.com/smogtours-gen3ou-803428</t>
  </si>
  <si>
    <t>https://replay.pokemonshowdown.com/smogtours-gen3ou-803431</t>
  </si>
  <si>
    <t>https://replay.pokemonshowdown.com/smogtours-gen3ou-803436?p2</t>
  </si>
  <si>
    <t>https://replay.pokemonshowdown.com/smogtours-gen3ou-803503</t>
  </si>
  <si>
    <t>https://replay.pokemonshowdown.com/smogtours-gen3ou-803510</t>
  </si>
  <si>
    <t>https://replay.pokemonshowdown.com/smogtours-gen3ou-803474</t>
  </si>
  <si>
    <t>https://replay.pokemonshowdown.com/smogtours-gen3ou-803486</t>
  </si>
  <si>
    <t>https://replay.pokemonshowdown.com/smogtours-gen3ou-803522</t>
  </si>
  <si>
    <t>https://replay.pokemonshowdown.com/smogtours-gen3ou-803525</t>
  </si>
  <si>
    <t>https://replay.pokemonshowdown.com/smogtours-gen3ou-803526</t>
  </si>
  <si>
    <t>https://replay.pokemonshowdown.com/smogtours-gen3ou-803504?p2</t>
  </si>
  <si>
    <t>https://replay.pokemonshowdown.com/smogtours-gen3ou-803508?p2</t>
  </si>
  <si>
    <t>https://replay.pokemonshowdown.com/smogtours-gen3ou-803468</t>
  </si>
  <si>
    <t>https://replay.pokemonshowdown.com/smogtours-gen3ou-803480</t>
  </si>
  <si>
    <t>https://replay.pokemonshowdown.com/smogtours-gen3ou-803488</t>
  </si>
  <si>
    <t>https://replay.pokemonshowdown.com/smogtours-gen3ou-803452</t>
  </si>
  <si>
    <t>https://replay.pokemonshowdown.com/smogtours-gen3ou-803464</t>
  </si>
  <si>
    <t>https://replay.pokemonshowdown.com/smogtours-gen3ou-803473</t>
  </si>
  <si>
    <t>https://replay.pokemonshowdown.com/smogtours-gen3ou-803531</t>
  </si>
  <si>
    <t>https://replay.pokemonshowdown.com/smogtours-gen3ou-803537</t>
  </si>
  <si>
    <t>https://replay.pokemonshowdown.com/smogtours-gen3ou-803477</t>
  </si>
  <si>
    <t>https://replay.pokemonshowdown.com/smogtours-gen3ou-803482</t>
  </si>
  <si>
    <t>https://replay.pokemonshowdown.com/smogtours-gen3ou-803485</t>
  </si>
  <si>
    <t>https://replay.pokemonshowdown.com/smogtours-gen3ou-803490</t>
  </si>
  <si>
    <t>https://replay.pokemonshowdown.com/smogtours-gen3ou-803491</t>
  </si>
  <si>
    <t>https://replay.pokemonshowdown.com/smogtours-gen3ou-803494</t>
  </si>
  <si>
    <t>http://smogtours.psim.us/battle-gen3ou-803514</t>
  </si>
  <si>
    <t>http://smogtours.psim.us/battle-gen3ou-803518</t>
  </si>
  <si>
    <t>https://replay.pokemonshowdown.com/smogtours-gen3ou-803520</t>
  </si>
  <si>
    <t>https://replay.pokemonshowdown.com/smogtours-gen3ou-803527</t>
  </si>
  <si>
    <t>https://replay.pokemonshowdown.com/smogtours-gen3ou-803529</t>
  </si>
  <si>
    <t>https://replay.pokemonshowdown.com/smogtours-gen3ou-803475</t>
  </si>
  <si>
    <t>https://replay.pokemonshowdown.com/smogtours-gen3ou-803483</t>
  </si>
  <si>
    <t>https://replay.pokemonshowdown.com/smogtours-gen3ou-803506</t>
  </si>
  <si>
    <t>https://replay.pokemonshowdown.com/smogtours-gen3ou-803513</t>
  </si>
  <si>
    <t>https://replay.pokemonshowdown.com/smogtours-gen3ou-803479</t>
  </si>
  <si>
    <t>https://replay.pokemonshowdown.com/smogtours-gen3ou-803484</t>
  </si>
  <si>
    <t>https://smogtours.psim.us/battle-gen3ou-803501</t>
  </si>
  <si>
    <t>https://smogtours.psim.us/battle-gen3ou-803507</t>
  </si>
  <si>
    <t>https://replay.pokemonshowdown.com/smogtours-gen3ou-803530?p2</t>
  </si>
  <si>
    <t>https://replay.pokemonshowdown.com/smogtours-gen3ou-803536?p2</t>
  </si>
  <si>
    <t>https://replay.pokemonshowdown.com/smogtours-gen3ou-803533?p2</t>
  </si>
  <si>
    <t>https://replay.pokemonshowdown.com/smogtours-gen3ou-803552</t>
  </si>
  <si>
    <t>https://replay.pokemonshowdown.com/smogtours-gen3ou-803553</t>
  </si>
  <si>
    <t>https://replay.pokemonshowdown.com/smogtours-gen3ou-803554</t>
  </si>
  <si>
    <t>https://replay.pokemonshowdown.com/smogtours-gen3ou-803542</t>
  </si>
  <si>
    <t>https://replay.pokemonshowdown.com/smogtours-gen3ou-803543</t>
  </si>
  <si>
    <t>https://replay.pokemonshowdown.com/smogtours-gen3ou-803547</t>
  </si>
  <si>
    <t>https://replay.pokemonshowdown.com/smogtours-gen3ou-803548</t>
  </si>
  <si>
    <t>https://replay.pokemonshowdown.com/smogtours-gen3ou-803551</t>
  </si>
  <si>
    <t>https://replay.pokemonshowdown.com/smogtours-gen3ou-803555</t>
  </si>
  <si>
    <t>https://replay.pokemonshowdown.com/smogtours-gen3ou-803556</t>
  </si>
  <si>
    <t>https://replay.pokemonshowdown.com/smogtours-gen3ou-803557</t>
  </si>
  <si>
    <t>https://replay.pokemonshowdown.com/smogtours-gen3ou-803581</t>
  </si>
  <si>
    <t>https://replay.pokemonshowdown.com/smogtours-gen3ou-803582</t>
  </si>
  <si>
    <t>https://replay.pokemonshowdown.com/smogtours-gen3ou-803671?p2</t>
  </si>
  <si>
    <t>https://replay.pokemonshowdown.com/smogtours-gen3ou-803670</t>
  </si>
  <si>
    <t>https://replay.pokemonshowdown.com/smogtours-gen3ou-803669?p2</t>
  </si>
  <si>
    <t>https://replay.pokemonshowdown.com/smogtours-gen3ou-803692</t>
  </si>
  <si>
    <t>https://replay.pokemonshowdown.com/smogtours-gen3ou-803693</t>
  </si>
  <si>
    <t>https://replay.pokemonshowdown.com/smogtours-gen3ou-803753</t>
  </si>
  <si>
    <t>https://replay.pokemonshowdown.com/smogtours-gen3ou-803756</t>
  </si>
  <si>
    <t>https://replay.pokemonshowdown.com/smogtours-gen3ou-803796</t>
  </si>
  <si>
    <t>https://replay.pokemonshowdown.com/smogtours-gen3ou-803798?p2</t>
  </si>
  <si>
    <t>https://replay.pokemonshowdown.com/smogtours-gen3ou-803799</t>
  </si>
  <si>
    <t>https://replay.pokemonshowdown.com/gen3ou-2235416130</t>
  </si>
  <si>
    <t>https://replay.pokemonshowdown.com/gen3ou-2235422221</t>
  </si>
  <si>
    <t>https://replay.pokemonshowdown.com/smogtours-gen3ou-803629</t>
  </si>
  <si>
    <t>https://replay.pokemonshowdown.com/smogtours-gen3ou-803633</t>
  </si>
  <si>
    <t>https://replay.pokemonshowdown.com/smogtours-gen3ou-803636</t>
  </si>
  <si>
    <t>https://replay.pokemonshowdown.com/smogtours-gen3ou-803809</t>
  </si>
  <si>
    <t>https://replay.pokemonshowdown.com/smogtours-gen3ou-803811</t>
  </si>
  <si>
    <t>https://replay.pokemonshowdown.com/smogtours-gen3ou-804060</t>
  </si>
  <si>
    <t>https://replay.pokemonshowdown.com/smogtours-gen3ou-804066</t>
  </si>
  <si>
    <t>https://replay.pokemonshowdown.com/smogtours-gen3ou-804074</t>
  </si>
  <si>
    <t>https://replay.pokemonshowdown.com/smogtours-gen3ou-803770</t>
  </si>
  <si>
    <t>https://replay.pokemonshowdown.com/smogtours-gen3ou-803772</t>
  </si>
  <si>
    <t>https://replay.pokemonshowdown.com/smogtours-gen3ou-803657</t>
  </si>
  <si>
    <t>https://replay.pokemonshowdown.com/smogtours-gen3ou-803659</t>
  </si>
  <si>
    <t>https://replay.pokemonshowdown.com/smogtours-gen3ou-804149</t>
  </si>
  <si>
    <t>https://replay.pokemonshowdown.com/smogtours-gen3ou-804159</t>
  </si>
  <si>
    <t>https://replay.pokemonshowdown.com/smogtours-gen3ou-804163</t>
  </si>
  <si>
    <t>https://replay.pokemonshowdown.com/smogtours-gen3ou-803986</t>
  </si>
  <si>
    <t>https://replay.pokemonshowdown.com/smogtours-gen3ou-803994</t>
  </si>
  <si>
    <t>https://replay.pokemonshowdown.com/smogtours-gen3ou-804151</t>
  </si>
  <si>
    <t>https://replay.pokemonshowdown.com/smogtours-gen3ou-804155</t>
  </si>
  <si>
    <t>https://replay.pokemonshowdown.com/smogtours-gen3ou-803985</t>
  </si>
  <si>
    <t>https://replay.pokemonshowdown.com/smogtours-gen3ou-803988</t>
  </si>
  <si>
    <t>https://replay.pokemonshowdown.com/smogtours-gen3ou-803997</t>
  </si>
  <si>
    <t>https://replay.pokemonshowdown.com/smogtours-gen3ou-803832</t>
  </si>
  <si>
    <t>https://replay.pokemonshowdown.com/smogtours-gen3ou-803840</t>
  </si>
  <si>
    <t>https://replay.pokemonshowdown.com/smogtours-gen3ou-803599</t>
  </si>
  <si>
    <t>https://replay.pokemonshowdown.com/smogtours-gen3ou-803601</t>
  </si>
  <si>
    <t>https://replay.pokemonshowdown.com/smogtours-gen3ou-803602</t>
  </si>
  <si>
    <t>https://replay.pokemonshowdown.com/smogtours-gen3ou-803948</t>
  </si>
  <si>
    <t>https://replay.pokemonshowdown.com/smogtours-gen3ou-803951</t>
  </si>
  <si>
    <t>https://replay.pokemonshowdown.com/smogtours-gen3ou-803955</t>
  </si>
  <si>
    <t>https://replay.pokemonshowdown.com/smogtours-gen3ou-804363</t>
  </si>
  <si>
    <t>https://replay.pokemonshowdown.com/smogtours-gen3ou-804370</t>
  </si>
  <si>
    <t>https://replay.pokemonshowdown.com/smogtours-gen3ou-804449</t>
  </si>
  <si>
    <t>https://replay.pokemonshowdown.com/smogtours-gen3ou-804458</t>
  </si>
  <si>
    <t>https://replay.pokemonshowdown.com/smogtours-gen3ou-804173</t>
  </si>
  <si>
    <t>https://replay.pokemonshowdown.com/smogtours-gen3ou-804174</t>
  </si>
  <si>
    <t>https://replay.pokemonshowdown.com/smogtours-gen3ou-804176</t>
  </si>
  <si>
    <t>https://replay.pokemonshowdown.com/smogtours-gen3ou-804027</t>
  </si>
  <si>
    <t>https://replay.pokemonshowdown.com/smogtours-gen3ou-804012</t>
  </si>
  <si>
    <t>https://replay.pokemonshowdown.com/smogtours-gen3ou-804340</t>
  </si>
  <si>
    <t>https://replay.pokemonshowdown.com/smogtours-gen3ou-804349</t>
  </si>
  <si>
    <t>https://replay.pokemonshowdown.com/smogtours-gen3ou-804355</t>
  </si>
  <si>
    <t>https://replay.pokemonshowdown.com/smogtours-gen3ou-803855</t>
  </si>
  <si>
    <t>https://replay.pokemonshowdown.com/smogtours-gen3ou-803857</t>
  </si>
  <si>
    <t>https://replay.pokemonshowdown.com/smogtours-gen3ou-804198</t>
  </si>
  <si>
    <t>https://replay.pokemonshowdown.com/smogtours-gen3ou-804203</t>
  </si>
  <si>
    <t>https://replay.pokemonshowdown.com/smogtours-gen3ou-803800</t>
  </si>
  <si>
    <t>https://replay.pokemonshowdown.com/smogtours-gen3ou-803802</t>
  </si>
  <si>
    <t>https://replay.pokemonshowdown.com/smogtours-gen3ou-803806</t>
  </si>
  <si>
    <t>https://replay.pokemonshowdown.com/smogtours-gen3ou-803944</t>
  </si>
  <si>
    <t>https://replay.pokemonshowdown.com/smogtours-gen3ou-803947</t>
  </si>
  <si>
    <t>https://replay.pokemonshowdown.com/smogtours-gen3ou-804407</t>
  </si>
  <si>
    <t>https://replay.pokemonshowdown.com/smogtours-gen3ou-804416</t>
  </si>
  <si>
    <t>https://replay.pokemonshowdown.com/smogtours-gen3ou-804427</t>
  </si>
  <si>
    <t>https://replay.pokemonshowdown.com/smogtours-gen3ou-803961</t>
  </si>
  <si>
    <t>https://replay.pokemonshowdown.com/smogtours-gen3ou-803966</t>
  </si>
  <si>
    <t>http://replay.pokemonshowdown.com/smogtours-gen3ou-803995?p2</t>
  </si>
  <si>
    <t>http://replay.pokemonshowdown.com/smogtours-gen3ou-804004</t>
  </si>
  <si>
    <t>http://replay.pokemonshowdown.com/smogtours-gen3ou-804010</t>
  </si>
  <si>
    <t>https://replay.pokemonshowdown.com/smogtours-gen3ou-803939?p2</t>
  </si>
  <si>
    <t>https://replay.pokemonshowdown.com/smogtours-gen3ou-803941</t>
  </si>
  <si>
    <t>https://replay.pokemonshowdown.com/smogtours-gen3ou-803977?p2</t>
  </si>
  <si>
    <t>https://replay.pokemonshowdown.com/smogtours-gen3ou-803978?p2</t>
  </si>
  <si>
    <t>https://replay.pokemonshowdown.com/smogtours-gen3ou-804504</t>
  </si>
  <si>
    <t>https://replay.pokemonshowdown.com/smogtours-gen3ou-804516</t>
  </si>
  <si>
    <t>https://replay.pokemonshowdown.com/smogtours-gen3ou-804520</t>
  </si>
  <si>
    <t>https://replay.pokemonshowdown.com/smogtours-gen3ou-804531</t>
  </si>
  <si>
    <t>https://replay.pokemonshowdown.com/smogtours-gen3ou-804540</t>
  </si>
  <si>
    <t>https://replay.pokemonshowdown.com/smogtours-gen3ou-804545</t>
  </si>
  <si>
    <t>https://replay.pokemonshowdown.com/smogtours-gen3ou-804608</t>
  </si>
  <si>
    <t>https://replay.pokemonshowdown.com/smogtours-gen3ou-804614</t>
  </si>
  <si>
    <t>https://replay.pokemonshowdown.com/smogtours-gen3ou-804381</t>
  </si>
  <si>
    <t>https://replay.pokemonshowdown.com/smogtours-gen3ou-804384</t>
  </si>
  <si>
    <t>https://replay.pokemonshowdown.com/smogtours-gen3ou-804535</t>
  </si>
  <si>
    <t>https://replay.pokemonshowdown.com/smogtours-gen3ou-804543</t>
  </si>
  <si>
    <t>https://replay.pokemonshowdown.com/smogtours-gen3ou-804554</t>
  </si>
  <si>
    <t>https://replay.pokemonshowdown.com/smogtours-gen3ou-804490</t>
  </si>
  <si>
    <t>https://replay.pokemonshowdown.com/smogtours-gen3ou-804496</t>
  </si>
  <si>
    <t>https://replay.pokemonshowdown.com/smogtours-gen3ou-804502</t>
  </si>
  <si>
    <t>https://replay.pokemonshowdown.com/smogtours-gen3ou-804588</t>
  </si>
  <si>
    <t>https://replay.pokemonshowdown.com/smogtours-gen3ou-804595</t>
  </si>
  <si>
    <t>https://replay.pokemonshowdown.com/smogtours-gen3ou-804365</t>
  </si>
  <si>
    <t>https://replay.pokemonshowdown.com/smogtours-gen3ou-804372</t>
  </si>
  <si>
    <t>https://replay.pokemonshowdown.com/smogtours-gen3ou-804446</t>
  </si>
  <si>
    <t>https://replay.pokemonshowdown.com/smogtours-gen3ou-804455</t>
  </si>
  <si>
    <t>https://replay.pokemonshowdown.com/smogtours-gen3ou-804660</t>
  </si>
  <si>
    <t>https://replay.pokemonshowdown.com/smogtours-gen3ou-804662</t>
  </si>
  <si>
    <t>https://replay.pokemonshowdown.com/smogtours-gen3ou-804177</t>
  </si>
  <si>
    <t>https://replay.pokemonshowdown.com/smogtours-gen3ou-804180</t>
  </si>
  <si>
    <t>https://replay.pokemonshowdown.com/smogtours-gen3ou-804489</t>
  </si>
  <si>
    <t>https://replay.pokemonshowdown.com/smogtours-gen3ou-804501?p2</t>
  </si>
  <si>
    <t>https://replay.pokemonshowdown.com/smogtours-gen3ou-804503?p2</t>
  </si>
  <si>
    <t>https://replay.pokemonshowdown.com/smogtours-gen3ou-804411?p2</t>
  </si>
  <si>
    <t>https://replay.pokemonshowdown.com/smogtours-gen3ou-804413?p2</t>
  </si>
  <si>
    <t>https://replay.pokemonshowdown.com/smogtours-gen3ou-804422?p2</t>
  </si>
  <si>
    <t>https://replay.pokemonshowdown.com/smogtours-gen3ou-804697?p2</t>
  </si>
  <si>
    <t>https://replay.pokemonshowdown.com/smogtours-gen3ou-804698</t>
  </si>
  <si>
    <t>https://replay.pokemonshowdown.com/smogtours-gen3ou-804702</t>
  </si>
  <si>
    <t>https://replay.pokemonshowdown.com/smogtours-gen3ou-804456?p2</t>
  </si>
  <si>
    <t>https://replay.pokemonshowdown.com/smogtours-gen3ou-804462</t>
  </si>
  <si>
    <t>https://replay.pokemonshowdown.com/smogtours-gen3ou-804467?p2</t>
  </si>
  <si>
    <t>https://replay.pokemonshowdown.com/smogtours-gen3ou-804438</t>
  </si>
  <si>
    <t>https://replay.pokemonshowdown.com/smogtours-gen3ou-804445</t>
  </si>
  <si>
    <t>https://replay.pokemonshowdown.com/smogtours-gen3ou-804482</t>
  </si>
  <si>
    <t>https://replay.pokemonshowdown.com/smogtours-gen3ou-804499</t>
  </si>
  <si>
    <t>https://replay.pokemonshowdown.com/smogtours-gen3ou-804703</t>
  </si>
  <si>
    <t>https://replay.pokemonshowdown.com/smogtours-gen3ou-804708</t>
  </si>
  <si>
    <t>https://replay.pokemonshowdown.com/smogtours-gen3ou-804057</t>
  </si>
  <si>
    <t>https://replay.pokemonshowdown.com/smogtours-gen3ou-804063</t>
  </si>
  <si>
    <t>https://replay.pokemonshowdown.com/smogtours-gen3ou-804302</t>
  </si>
  <si>
    <t>https://replay.pokemonshowdown.com/smogtours-gen3ou-804307</t>
  </si>
  <si>
    <t>https://replay.pokemonshowdown.com/smogtours-gen3ou-803967</t>
  </si>
  <si>
    <t>https://replay.pokemonshowdown.com/smogtours-gen3ou-803975</t>
  </si>
  <si>
    <t>https://replay.pokemonshowdown.com/smogtours-gen3ou-803989</t>
  </si>
  <si>
    <t>https://replay.pokemonshowdown.com/smogtours-gen3ou-804388</t>
  </si>
  <si>
    <t>https://replay.pokemonshowdown.com/smogtours-gen3ou-804390</t>
  </si>
  <si>
    <t>https://replay.pokemonshowdown.com/smogtours-gen3ou-804393?p2</t>
  </si>
  <si>
    <t>https://replay.pokemonshowdown.com/smogtours-gen3ou-804081</t>
  </si>
  <si>
    <t>https://replay.pokemonshowdown.com/smogtours-gen3ou-804084</t>
  </si>
  <si>
    <t>https://replay.pokemonshowdown.com/smogtours-gen3ou-804695</t>
  </si>
  <si>
    <t>https://replay.pokemonshowdown.com/smogtours-gen3ou-804696</t>
  </si>
  <si>
    <t>https://replay.pokemonshowdown.com/smogtours-gen3ou-803651</t>
  </si>
  <si>
    <t>https://replay.pokemonshowdown.com/smogtours-gen3ou-803653</t>
  </si>
  <si>
    <t>https://replay.pokemonshowdown.com/smogtours-gen3ou-803654</t>
  </si>
  <si>
    <t>https://replay.pokemonshowdown.com/smogtours-gen3ou-803584</t>
  </si>
  <si>
    <t>https://replay.pokemonshowdown.com/smogtours-gen3ou-803586</t>
  </si>
  <si>
    <t>https://replay.pokemonshowdown.com/smogtours-gen3ou-804192</t>
  </si>
  <si>
    <t>https://replay.pokemonshowdown.com/smogtours-gen3ou-804194</t>
  </si>
  <si>
    <t>https://replay.pokemonshowdown.com/smogtours-gen3ou-804511</t>
  </si>
  <si>
    <t>https://replay.pokemonshowdown.com/smogtours-gen3ou-804513</t>
  </si>
  <si>
    <t>https://replay.pokemonshowdown.com/smogtours-gen3ou-804565</t>
  </si>
  <si>
    <t>https://replay.pokemonshowdown.com/smogtours-gen3ou-804573</t>
  </si>
  <si>
    <t>https://replay.pokemonshowdown.com/smogtours-gen3ou-803666</t>
  </si>
  <si>
    <t>https://replay.pokemonshowdown.com/smogtours-gen3ou-803667</t>
  </si>
  <si>
    <t>https://replay.pokemonshowdown.com/smogtours-gen3ou-803914</t>
  </si>
  <si>
    <t>https://replay.pokemonshowdown.com/smogtours-gen3ou-803917</t>
  </si>
  <si>
    <t>https://replay.pokemonshowdown.com/smogtours-gen3ou-803918</t>
  </si>
  <si>
    <t>https://replay.pokemonshowdown.com/smogtours-gen3ou-803765</t>
  </si>
  <si>
    <t>https://replay.pokemonshowdown.com/smogtours-gen3ou-803767</t>
  </si>
  <si>
    <t>https://replay.pokemonshowdown.com/smogtours-gen3ou-803769</t>
  </si>
  <si>
    <t>https://replay.pokemonshowdown.com/smogtours-gen3ou-804065</t>
  </si>
  <si>
    <t>https://replay.pokemonshowdown.com/smogtours-gen3ou-804070</t>
  </si>
  <si>
    <t>https://replay.pokemonshowdown.com/smogtours-gen3ou-803831</t>
  </si>
  <si>
    <t>https://replay.pokemonshowdown.com/smogtours-gen3ou-803839</t>
  </si>
  <si>
    <t>https://replay.pokemonshowdown.com/smogtours-gen3ou-803752</t>
  </si>
  <si>
    <t>https://replay.pokemonshowdown.com/smogtours-gen3ou-803757</t>
  </si>
  <si>
    <t>https://replay.pokemonshowdown.com/smogtours-gen3ou-803760</t>
  </si>
  <si>
    <t>https://replay.pokemonshowdown.com/smogtours-gen3ou-804162</t>
  </si>
  <si>
    <t>https://replay.pokemonshowdown.com/smogtours-gen3ou-804164</t>
  </si>
  <si>
    <t>https://replay.pokemonshowdown.com/smogtours-gen3ou-804312</t>
  </si>
  <si>
    <t>https://replay.pokemonshowdown.com/smogtours-gen3ou-804317</t>
  </si>
  <si>
    <t>https://replay.pokemonshowdown.com/smogtours-gen3ou-804322</t>
  </si>
  <si>
    <t>https://replay.pokemonshowdown.com/smogtours-gen3ou-803990</t>
  </si>
  <si>
    <t>https://replay.pokemonshowdown.com/smogtours-gen3ou-804000</t>
  </si>
  <si>
    <t>https://replay.pokemonshowdown.com/smogtours-gen3ou-804011</t>
  </si>
  <si>
    <t>https://replay.pokemonshowdown.com/smogtours-gen3ou-803858</t>
  </si>
  <si>
    <t>https://replay.pokemonshowdown.com/smogtours-gen3ou-803856</t>
  </si>
  <si>
    <t>https://replay.pokemonshowdown.com/smogtours-gen3ou-803859</t>
  </si>
  <si>
    <t>https://replay.pokemonshowdown.com/smogtours-gen3ou-804477?p2</t>
  </si>
  <si>
    <t>https://replay.pokemonshowdown.com/smogtours-gen3ou-804486</t>
  </si>
  <si>
    <t>https://replay.pokemonshowdown.com/smogtours-gen3ou-804494</t>
  </si>
  <si>
    <t>https://replay.pokemonshowdown.com/smogtours-gen3ou-804645</t>
  </si>
  <si>
    <t>https://replay.pokemonshowdown.com/smogtours-gen3ou-804641</t>
  </si>
  <si>
    <t>https://replay.pokemonshowdown.com/smogtours-gen3ou-803908</t>
  </si>
  <si>
    <t>https://replay.pokemonshowdown.com/smogtours-gen3ou-803913</t>
  </si>
  <si>
    <t>https://replay.pokemonshowdown.com/smogtours-gen3ou-803916</t>
  </si>
  <si>
    <t>https://replay.pokemonshowdown.com/smogtours-gen3ou-804749</t>
  </si>
  <si>
    <t>https://replay.pokemonshowdown.com/smogtours-gen3ou-804750</t>
  </si>
  <si>
    <t>https://replay.pokemonshowdown.com/smogtours-gen3ou-804618</t>
  </si>
  <si>
    <t>https://replay.pokemonshowdown.com/smogtours-gen3ou-804621</t>
  </si>
  <si>
    <t>https://replay.pokemonshowdown.com/smogtours-gen3ou-804646</t>
  </si>
  <si>
    <t>https://replay.pokemonshowdown.com/smogtours-gen3ou-804714</t>
  </si>
  <si>
    <t>https://replay.pokemonshowdown.com/smogtours-gen3ou-804715</t>
  </si>
  <si>
    <t>https://replay.pokemonshowdown.com/smogtours-gen3ou-804717</t>
  </si>
  <si>
    <t>https://replay.pokemonshowdown.com/smogtours-gen3ou-804700</t>
  </si>
  <si>
    <t>https://replay.pokemonshowdown.com/smogtours-gen3ou-804706</t>
  </si>
  <si>
    <t>https://replay.pokemonshowdown.com/smogtours-gen3ou-804827</t>
  </si>
  <si>
    <t>https://replay.pokemonshowdown.com/smogtours-gen3ou-804831</t>
  </si>
  <si>
    <t>https://replay.pokemonshowdown.com/smogtours-gen3ou-804835</t>
  </si>
  <si>
    <t>https://replay.pokemonshowdown.com/smogtours-gen3ou-804837</t>
  </si>
  <si>
    <t>https://replay.pokemonshowdown.com/smogtours-gen3ou-804727</t>
  </si>
  <si>
    <t>https://replay.pokemonshowdown.com/smogtours-gen3ou-804729</t>
  </si>
  <si>
    <t>https://replay.pokemonshowdown.com/smogtours-gen3ou-804732</t>
  </si>
  <si>
    <t>https://replay.pokemonshowdown.com/smogtours-gen3ou-804821</t>
  </si>
  <si>
    <t>https://replay.pokemonshowdown.com/smogtours-gen3ou-804823</t>
  </si>
  <si>
    <t>https://replay.pokemonshowdown.com/smogtours-gen3ou-804826</t>
  </si>
  <si>
    <t>https://replay.pokemonshowdown.com/smogtours-gen3ou-804783</t>
  </si>
  <si>
    <t>https://replay.pokemonshowdown.com/smogtours-gen3ou-804788</t>
  </si>
  <si>
    <t>https://replay.pokemonshowdown.com/smogtours-gen3ou-804793</t>
  </si>
  <si>
    <t>https://replay.pokemonshowdown.com/smogtours-gen3ou-804784</t>
  </si>
  <si>
    <t>https://replay.pokemonshowdown.com/smogtours-gen3ou-804802</t>
  </si>
  <si>
    <t>https://replay.pokemonshowdown.com/smogtours-gen3ou-804824</t>
  </si>
  <si>
    <t>https://replay.pokemonshowdown.com/smogtours-gen3ou-804828</t>
  </si>
  <si>
    <t>https://replay.pokemonshowdown.com/smogtours-gen3ou-804830</t>
  </si>
  <si>
    <t>https://replay.pokemonshowdown.com/smogtours-gen3ou-804763</t>
  </si>
  <si>
    <t>https://replay.pokemonshowdown.com/smogtours-gen3ou-804765</t>
  </si>
  <si>
    <t>https://replay.pokemonshowdown.com/smogtours-gen3ou-804770</t>
  </si>
  <si>
    <t>https://replay.pokemonshowdown.com/smogtours-gen3ou-804832</t>
  </si>
  <si>
    <t>https://replay.pokemonshowdown.com/smogtours-gen3ou-804834?p2</t>
  </si>
  <si>
    <t>https://replay.pokemonshowdown.com/smogtours-gen3ou-804757</t>
  </si>
  <si>
    <t>https://replay.pokemonshowdown.com/smogtours-gen3ou-804758</t>
  </si>
  <si>
    <t>https://replay.pokemonshowdown.com/smogtours-gen3ou-804843</t>
  </si>
  <si>
    <t>https://replay.pokemonshowdown.com/smogtours-gen3ou-804846</t>
  </si>
  <si>
    <t>https://replay.pokemonshowdown.com/smogtours-gen3ou-804849</t>
  </si>
  <si>
    <t>https://replay.pokemonshowdown.com/smogtours-gen3ou-804781</t>
  </si>
  <si>
    <t>https://replay.pokemonshowdown.com/smogtours-gen3ou-804787</t>
  </si>
  <si>
    <t>https://replay.pokemonshowdown.com/smogtours-gen3ou-804798</t>
  </si>
  <si>
    <t>https://replay.pokemonshowdown.com/smogtours-gen3ou-804839</t>
  </si>
  <si>
    <t>https://replay.pokemonshowdown.com/smogtours-gen3ou-804840</t>
  </si>
  <si>
    <t>https://replay.pokemonshowdown.com/smogtours-gen3ou-804841</t>
  </si>
  <si>
    <t>https://replay.pokemonshowdown.com/smogtours-gen3ou-804844</t>
  </si>
  <si>
    <t>https://replay.pokemonshowdown.com/smogtours-gen3ou-804848</t>
  </si>
  <si>
    <t>https://replay.pokemonshowdown.com/smogtours-gen3ou-804851</t>
  </si>
  <si>
    <t>https://replay.pokemonshowdown.com/smogtours-gen3ou-804790</t>
  </si>
  <si>
    <t>https://replay.pokemonshowdown.com/smogtours-gen3ou-804797</t>
  </si>
  <si>
    <t>https://replay.pokemonshowdown.com/smogtours-gen3ou-804799</t>
  </si>
  <si>
    <t>https://replay.pokemonshowdown.com/smogtours-gen3ou-804761</t>
  </si>
  <si>
    <t>https://replay.pokemonshowdown.com/smogtours-gen3ou-804762</t>
  </si>
  <si>
    <t>https://replay.pokemonshowdown.com/smogtours-gen3ou-804764</t>
  </si>
  <si>
    <t>https://replay.pokemonshowdown.com/smogtours-gen3ou-804853</t>
  </si>
  <si>
    <t>https://replay.pokemonshowdown.com/smogtours-gen3ou-804854</t>
  </si>
  <si>
    <t>https://replay.pokemonshowdown.com/smogtours-gen3ou-804856</t>
  </si>
  <si>
    <t>https://replay.pokemonshowdown.com/smogtours-gen3ou-804786</t>
  </si>
  <si>
    <t>https://replay.pokemonshowdown.com/smogtours-gen3ou-804791</t>
  </si>
  <si>
    <t>https://replay.pokemonshowdown.com/smogtours-gen3ou-804845</t>
  </si>
  <si>
    <t>https://replay.pokemonshowdown.com/smogtours-gen3ou-804847</t>
  </si>
  <si>
    <t>https://replay.pokemonshowdown.com/smogtours-gen3ou-804812</t>
  </si>
  <si>
    <t>https://replay.pokemonshowdown.com/smogtours-gen3ou-804813</t>
  </si>
  <si>
    <t>https://replay.pokemonshowdown.com/smogtours-gen3ou-804782</t>
  </si>
  <si>
    <t>https://replay.pokemonshowdown.com/smogtours-gen3ou-804789</t>
  </si>
  <si>
    <t>https://replay.pokemonshowdown.com/smogtours-gen3ou-804842</t>
  </si>
  <si>
    <t>https://replay.pokemonshowdown.com/smogtours-gen3ou-804850</t>
  </si>
  <si>
    <t>https://replay.pokemonshowdown.com/smogtours-gen3ou-804852</t>
  </si>
  <si>
    <t>https://replay.pokemonshowdown.com/smogtours-gen3ou-804767</t>
  </si>
  <si>
    <t>https://replay.pokemonshowdown.com/smogtours-gen3ou-804771</t>
  </si>
  <si>
    <t>https://replay.pokemonshowdown.com/smogtours-gen3ou-804778</t>
  </si>
  <si>
    <t>https://replay.pokemonshowdown.com/smogtours-gen3ou-804855</t>
  </si>
  <si>
    <t>https://replay.pokemonshowdown.com/smogtours-gen3ou-804857</t>
  </si>
  <si>
    <t>https://replay.pokemonshowdown.com/smogtours-gen3ou-804743?p2</t>
  </si>
  <si>
    <t>https://replay.pokemonshowdown.com/smogtours-gen3ou-804744?p2</t>
  </si>
  <si>
    <t>https://replay.pokemonshowdown.com/smogtours-gen3ou-804745?p2</t>
  </si>
  <si>
    <t>https://replay.pokemonshowdown.com/smogtours-gen3ou-804518</t>
  </si>
  <si>
    <t>https://replay.pokemonshowdown.com/smogtours-gen3ou-804525</t>
  </si>
  <si>
    <t>https://replay.pokemonshowdown.com/smogtours-gen3ou-804755</t>
  </si>
  <si>
    <t>https://replay.pokemonshowdown.com/smogtours-gen3ou-804756</t>
  </si>
  <si>
    <t>https://replay.pokemonshowdown.com/smogtours-gen3ou-804804</t>
  </si>
  <si>
    <t>https://replay.pokemonshowdown.com/smogtours-gen3ou-804807</t>
  </si>
  <si>
    <t>https://replay.pokemonshowdown.com/smogtours-gen3ou-804785</t>
  </si>
  <si>
    <t>https://replay.pokemonshowdown.com/smogtours-gen3ou-804795</t>
  </si>
  <si>
    <t>https://replay.pokemonshowdown.com/smogtours-gen3ou-804800</t>
  </si>
  <si>
    <t>https://replay.pokemonshowdown.com/smogtours-gen3ou-804833</t>
  </si>
  <si>
    <t>https://replay.pokemonshowdown.com/smogtours-gen3ou-804836</t>
  </si>
  <si>
    <t>https://replay.pokemonshowdown.com/smogtours-gen3ou-804794</t>
  </si>
  <si>
    <t>https://replay.pokemonshowdown.com/smogtours-gen3ou-804801</t>
  </si>
  <si>
    <t>https://replay.pokemonshowdown.com/smogtours-gen3ou-804858</t>
  </si>
  <si>
    <t>https://replay.pokemonshowdown.com/smogtours-gen3ou-804859</t>
  </si>
  <si>
    <t>https://replay.pokemonshowdown.com/smogtours-gen3ou-804860</t>
  </si>
  <si>
    <t>https://replay.pokemonshowdown.com/smogtours-gen3ou-804536</t>
  </si>
  <si>
    <t>https://replay.pokemonshowdown.com/smogtours-gen3ou-804900</t>
  </si>
  <si>
    <t>https://replay.pokemonshowdown.com/smogtours-gen3ou-804905</t>
  </si>
  <si>
    <t>https://replay.pokemonshowdown.com/smogtours-gen3ou-804907</t>
  </si>
  <si>
    <t>https://replay.pokemonshowdown.com/smogtours-gen3ou-804918</t>
  </si>
  <si>
    <t>https://replay.pokemonshowdown.com/smogtours-gen3ou-804922</t>
  </si>
  <si>
    <t>https://replay.pokemonshowdown.com/smogtours-gen3ou-804949</t>
  </si>
  <si>
    <t>https://replay.pokemonshowdown.com/smogtours-gen3ou-804950</t>
  </si>
  <si>
    <t>https://replay.pokemonshowdown.com/smogtours-gen3ou-804951</t>
  </si>
  <si>
    <t>https://replay.pokemonshowdown.com/smogtours-gen3ou-804986</t>
  </si>
  <si>
    <t>https://replay.pokemonshowdown.com/smogtours-gen3ou-804987</t>
  </si>
  <si>
    <t>https://replay.pokemonshowdown.com/smogtours-gen3ou-804988</t>
  </si>
  <si>
    <t>https://replay.pokemonshowdown.com/smogtours-gen3ou-805044</t>
  </si>
  <si>
    <t>https://replay.pokemonshowdown.com/smogtours-gen3ou-805046</t>
  </si>
  <si>
    <t>https://replay.pokemonshowdown.com/smogtours-gen3ou-805011</t>
  </si>
  <si>
    <t>https://replay.pokemonshowdown.com/smogtours-gen3ou-805018</t>
  </si>
  <si>
    <t>https://replay.pokemonshowdown.com/smogtours-gen3ou-805051</t>
  </si>
  <si>
    <t>https://replay.pokemonshowdown.com/smogtours-gen3ou-805052</t>
  </si>
  <si>
    <t>https://replay.pokemonshowdown.com/smogtours-gen3ou-805103</t>
  </si>
  <si>
    <t>https://replay.pokemonshowdown.com/smogtours-gen3ou-805105</t>
  </si>
  <si>
    <t>https://replay.pokemonshowdown.com/smogtours-gen3ou-805093</t>
  </si>
  <si>
    <t>https://replay.pokemonshowdown.com/smogtours-gen3ou-805094</t>
  </si>
  <si>
    <t>https://replay.pokemonshowdown.com/smogtours-gen3ou-805118</t>
  </si>
  <si>
    <t>https://replay.pokemonshowdown.com/smogtours-gen3ou-805122</t>
  </si>
  <si>
    <t>https://replay.pokemonshowdown.com/smogtours-gen3ou-805124</t>
  </si>
  <si>
    <t>https://replay.pokemonshowdown.com/smogtours-gen3ou-804970</t>
  </si>
  <si>
    <t>https://replay.pokemonshowdown.com/smogtours-gen3ou-804968</t>
  </si>
  <si>
    <t>https://replay.pokemonshowdown.com/smogtours-gen3ou-804969</t>
  </si>
  <si>
    <t>https://replay.pokemonshowdown.com/smogtours-gen3ou-805072</t>
  </si>
  <si>
    <t>https://replay.pokemonshowdown.com/smogtours-gen3ou-805074</t>
  </si>
  <si>
    <t>https://replay.pokemonshowdown.com/smogtours-gen3ou-805053</t>
  </si>
  <si>
    <t>https://replay.pokemonshowdown.com/smogtours-gen3ou-805054</t>
  </si>
  <si>
    <t>https://replay.pokemonshowdown.com/smogtours-gen3ou-805169</t>
  </si>
  <si>
    <t>https://replay.pokemonshowdown.com/smogtours-gen3ou-805175</t>
  </si>
  <si>
    <t>https://replay.pokemonshowdown.com/smogtours-gen3ou-805177</t>
  </si>
  <si>
    <t>https://replay.pokemonshowdown.com/smogtours-gen3ou-805058</t>
  </si>
  <si>
    <t>https://replay.pokemonshowdown.com/smogtours-gen3ou-805062</t>
  </si>
  <si>
    <t>https://replay.pokemonshowdown.com/smogtours-gen3ou-805065</t>
  </si>
  <si>
    <t>https://replay.pokemonshowdown.com/smogtours-gen3ou-805240</t>
  </si>
  <si>
    <t>https://replay.pokemonshowdown.com/smogtours-gen3ou-805243</t>
  </si>
  <si>
    <t>https://replay.pokemonshowdown.com/smogtours-gen3ou-805190</t>
  </si>
  <si>
    <t>https://replay.pokemonshowdown.com/smogtours-gen3ou-805191</t>
  </si>
  <si>
    <t>https://replay.pokemonshowdown.com/smogtours-gen3ou-805226</t>
  </si>
  <si>
    <t>https://replay.pokemonshowdown.com/smogtours-gen3ou-805228</t>
  </si>
  <si>
    <t>https://replay.pokemonshowdown.com/smogtours-gen3ou-805242</t>
  </si>
  <si>
    <t>https://replay.pokemonshowdown.com/smogtours-gen3ou-805244</t>
  </si>
  <si>
    <t>https://replay.pokemonshowdown.com/smogtours-gen3ou-805195</t>
  </si>
  <si>
    <t>https://replay.pokemonshowdown.com/smogtours-gen3ou-805196</t>
  </si>
  <si>
    <t>https://replay.pokemonshowdown.com/smogtours-gen3ou-805163?p2</t>
  </si>
  <si>
    <t>https://replay.pokemonshowdown.com/smogtours-gen3ou-805166?p2</t>
  </si>
  <si>
    <t>https://replay.pokemonshowdown.com/smogtours-gen3ou-805250</t>
  </si>
  <si>
    <t>https://replay.pokemonshowdown.com/smogtours-gen3ou-805252</t>
  </si>
  <si>
    <t>https://replay.pokemonshowdown.com/smogtours-gen3ou-805276</t>
  </si>
  <si>
    <t>https://replay.pokemonshowdown.com/smogtours-gen3ou-805282</t>
  </si>
  <si>
    <t>https://replay.pokemonshowdown.com/smogtours-gen3ou-805285</t>
  </si>
  <si>
    <t>https://replay.pokemonshowdown.com/smogtours-gen3ou-805309</t>
  </si>
  <si>
    <t>https://replay.pokemonshowdown.com/smogtours-gen3ou-805311</t>
  </si>
  <si>
    <t>https://replay.pokemonshowdown.com/smogtours-gen3ou-805312</t>
  </si>
  <si>
    <t>https://replay.pokemonshowdown.com/smogtours-gen3ou-805314</t>
  </si>
  <si>
    <t>https://replay.pokemonshowdown.com/smogtours-gen3ou-805256</t>
  </si>
  <si>
    <t>https://replay.pokemonshowdown.com/smogtours-gen3ou-805258</t>
  </si>
  <si>
    <t>https://replay.pokemonshowdown.com/smogtours-gen3ou-805233</t>
  </si>
  <si>
    <t>https://replay.pokemonshowdown.com/smogtours-gen3ou-805234</t>
  </si>
  <si>
    <t>https://replay.pokemonshowdown.com/smogtours-gen3ou-805265</t>
  </si>
  <si>
    <t>https://replay.pokemonshowdown.com/smogtours-gen3ou-805271</t>
  </si>
  <si>
    <t>https://replay.pokemonshowdown.com/smogtours-gen3ou-805319</t>
  </si>
  <si>
    <t>https://replay.pokemonshowdown.com/smogtours-gen3ou-805322</t>
  </si>
  <si>
    <t>https://replay.pokemonshowdown.com/smogtours-gen3ou-805324</t>
  </si>
  <si>
    <t>https://replay.pokemonshowdown.com/smogtours-gen3ou-805472</t>
  </si>
  <si>
    <t>https://replay.pokemonshowdown.com/smogtours-gen3ou-805476</t>
  </si>
  <si>
    <t>https://replay.pokemonshowdown.com/smogtours-gen3ou-805482</t>
  </si>
  <si>
    <t>https://replay.pokemonshowdown.com/smogtours-gen3ou-805334?p2</t>
  </si>
  <si>
    <t>https://replay.pokemonshowdown.com/smogtours-gen3ou-805337?p2</t>
  </si>
  <si>
    <t>https://replay.pokemonshowdown.com/smogtours-gen3ou-805341</t>
  </si>
  <si>
    <t>https://replay.pokemonshowdown.com/smogtours-gen3ou-805346</t>
  </si>
  <si>
    <t>https://replay.pokemonshowdown.com/smogtours-gen3ou-805348</t>
  </si>
  <si>
    <t>https://replay.pokemonshowdown.com/smogtours-gen3ou-805446</t>
  </si>
  <si>
    <t>https://replay.pokemonshowdown.com/smogtours-gen3ou-805451</t>
  </si>
  <si>
    <t>https://replay.pokemonshowdown.com/smogtours-gen3ou-805383</t>
  </si>
  <si>
    <t>https://replay.pokemonshowdown.com/smogtours-gen3ou-805390</t>
  </si>
  <si>
    <t>https://replay.pokemonshowdown.com/smogtours-gen3ou-805116?p2</t>
  </si>
  <si>
    <t>https://replay.pokemonshowdown.com/smogtours-gen3ou-805120?p2</t>
  </si>
  <si>
    <t>https://replay.pokemonshowdown.com/smogtours-gen3ou-805127?p2</t>
  </si>
  <si>
    <t>https://replay.pokemonshowdown.com/smogtours-gen3ou-805512</t>
  </si>
  <si>
    <t>https://replay.pokemonshowdown.com/smogtours-gen3ou-805530</t>
  </si>
  <si>
    <t>https://replay.pokemonshowdown.com/smogtours-gen3ou-804971</t>
  </si>
  <si>
    <t>https://replay.pokemonshowdown.com/smogtours-gen3ou-804972</t>
  </si>
  <si>
    <t>https://replay.pokemonshowdown.com/smogtours-gen3ou-804973</t>
  </si>
  <si>
    <t>https://replay.pokemonshowdown.com/smogtours-gen3ou-805113</t>
  </si>
  <si>
    <t>https://replay.pokemonshowdown.com/smogtours-gen3ou-805117?p2</t>
  </si>
  <si>
    <t>https://replay.pokemonshowdown.com/smogtours-gen3ou-805526</t>
  </si>
  <si>
    <t>https://replay.pokemonshowdown.com/smogtours-gen3ou-805542</t>
  </si>
  <si>
    <t>https://replay.pokemonshowdown.com/smogtours-gen3ou-805079</t>
  </si>
  <si>
    <t>https://replay.pokemonshowdown.com/smogtours-gen3ou-805082</t>
  </si>
  <si>
    <t>https://replay.pokemonshowdown.com/smogtours-gen3ou-805561</t>
  </si>
  <si>
    <t>https://replay.pokemonshowdown.com/smogtours-gen3ou-805565</t>
  </si>
  <si>
    <t>https://replay.pokemonshowdown.com/smogtours-gen3ou-805137?p2</t>
  </si>
  <si>
    <t>https://replay.pokemonshowdown.com/smogtours-gen3ou-805138?p2</t>
  </si>
  <si>
    <t>https://replay.pokemonshowdown.com/smogtours-gen3ou-805140?p2</t>
  </si>
  <si>
    <t>https://replay.pokemonshowdown.com/smogtours-gen3ou-805419?p2</t>
  </si>
  <si>
    <t>https://replay.pokemonshowdown.com/smogtours-gen3ou-805424?p2</t>
  </si>
  <si>
    <t>https://replay.pokemonshowdown.com/smogtours-gen3ou-805431?p2</t>
  </si>
  <si>
    <t>https://replay.pokemonshowdown.com/smogtours-gen3ou-805213</t>
  </si>
  <si>
    <t>https://replay.pokemonshowdown.com/smogtours-gen3ou-805214</t>
  </si>
  <si>
    <t>https://replay.pokemonshowdown.com/smogtours-gen3ou-805215</t>
  </si>
  <si>
    <t>https://replay.pokemonshowdown.com/smogtours-gen3ou-805559</t>
  </si>
  <si>
    <t>https://replay.pokemonshowdown.com/smogtours-gen3ou-805562</t>
  </si>
  <si>
    <t>https://replay.pokemonshowdown.com/smogtours-gen3ou-805100</t>
  </si>
  <si>
    <t>https://replay.pokemonshowdown.com/smogtours-gen3ou-805104</t>
  </si>
  <si>
    <t>https://replay.pokemonshowdown.com/smogtours-gen3ou-805111</t>
  </si>
  <si>
    <t>https://replay.pokemonshowdown.com/smogtours-gen3ou-805481</t>
  </si>
  <si>
    <t>https://replay.pokemonshowdown.com/smogtours-gen3ou-805493?p2</t>
  </si>
  <si>
    <t>https://replay.pokemonshowdown.com/smogtours-gen3ou-805552</t>
  </si>
  <si>
    <t>https://replay.pokemonshowdown.com/smogtours-gen3ou-805554</t>
  </si>
  <si>
    <t>https://replay.pokemonshowdown.com/smogtours-gen3ou-804882</t>
  </si>
  <si>
    <t>https://replay.pokemonshowdown.com/smogtours-gen3ou-804884</t>
  </si>
  <si>
    <t>https://replay.pokemonshowdown.com/smogtours-gen3ou-804886</t>
  </si>
  <si>
    <t>https://replay.pokemonshowdown.com/smogtours-gen3ou-805162</t>
  </si>
  <si>
    <t>https://replay.pokemonshowdown.com/smogtours-gen3ou-805164</t>
  </si>
  <si>
    <t>https://replay.pokemonshowdown.com/smogtours-gen3ou-805168</t>
  </si>
  <si>
    <t>https://replay.pokemonshowdown.com/smogtours-gen3ou-805133</t>
  </si>
  <si>
    <t>https://replay.pokemonshowdown.com/smogtours-gen3ou-805136</t>
  </si>
  <si>
    <t>https://replay.pokemonshowdown.com/smogtours-gen3ou-805222</t>
  </si>
  <si>
    <t>https://replay.pokemonshowdown.com/smogtours-gen3ou-805223</t>
  </si>
  <si>
    <t>https://replay.pokemonshowdown.com/smogtours-gen3ou-805224</t>
  </si>
  <si>
    <t>https://replay.pokemonshowdown.com/smogtours-gen3ou-805487</t>
  </si>
  <si>
    <t>https://replay.pokemonshowdown.com/smogtours-gen3ou-805497</t>
  </si>
  <si>
    <t>https://replay.pokemonshowdown.com/smogtours-gen3ou-805501</t>
  </si>
  <si>
    <t>https://replay.pokemonshowdown.com/smogtours-gen3ou-805165</t>
  </si>
  <si>
    <t>https://replay.pokemonshowdown.com/smogtours-gen3ou-805170</t>
  </si>
  <si>
    <t>https://replay.pokemonshowdown.com/gen3ou-2238933685-oeghcrluy4f4zyrkctxla4fu0j2bznspw</t>
  </si>
  <si>
    <t>https://replay.pokemonshowdown.com/gen3ou-2238935961-8pym5usya00k11sh8bun09210wk3mr5pw?p2</t>
  </si>
  <si>
    <t>https://replay.pokemonshowdown.com/gen3ou-2238938550-ei7ts8dmtklhztdrqf577nwqodgtwnxpw</t>
  </si>
  <si>
    <t>https://replay.pokemonshowdown.com/smogtours-gen3ou-805216</t>
  </si>
  <si>
    <t>https://replay.pokemonshowdown.com/smogtours-gen3ou-805217</t>
  </si>
  <si>
    <t>https://replay.pokemonshowdown.com/smogtours-gen3ou-805333</t>
  </si>
  <si>
    <t>https://replay.pokemonshowdown.com/smogtours-gen3ou-805330</t>
  </si>
  <si>
    <t>https://replay.pokemonshowdown.com/smogtours-gen3ou-805327</t>
  </si>
  <si>
    <t>https://replay.pokemonshowdown.com/smogtours-gen3ou-805142</t>
  </si>
  <si>
    <t>https://replay.pokemonshowdown.com/smogtours-gen3ou-805144</t>
  </si>
  <si>
    <t>https://replay.pokemonshowdown.com/smogtours-gen3ou-805149</t>
  </si>
  <si>
    <t>https://replay.pokemonshowdown.com/smogtours-gen3ou-805047</t>
  </si>
  <si>
    <t>https://replay.pokemonshowdown.com/smogtours-gen3ou-805049</t>
  </si>
  <si>
    <t>https://replay.pokemonshowdown.com/smogtours-gen3ou-805364</t>
  </si>
  <si>
    <t>https://replay.pokemonshowdown.com/smogtours-gen3ou-805365</t>
  </si>
  <si>
    <t>https://replay.pokemonshowdown.com/smogtours-gen3ou-805366</t>
  </si>
  <si>
    <t>https://replay.pokemonshowdown.com/smogtours-gen3ou-805571</t>
  </si>
  <si>
    <t>https://replay.pokemonshowdown.com/smogtours-gen3ou-805576</t>
  </si>
  <si>
    <t>https://replay.pokemonshowdown.com/smogtours-gen3ou-805581</t>
  </si>
  <si>
    <t>https://replay.pokemonshowdown.com/smogtours-gen3ou-805596</t>
  </si>
  <si>
    <t>https://replay.pokemonshowdown.com/smogtours-gen3ou-805598</t>
  </si>
  <si>
    <t>https://replay.pokemonshowdown.com/smogtours-gen3ou-805602</t>
  </si>
  <si>
    <t>https://replay.pokemonshowdown.com/smogtours-gen3ou-805606</t>
  </si>
  <si>
    <t>https://replay.pokemonshowdown.com/smogtours-gen3ou-805615</t>
  </si>
  <si>
    <t>https://replay.pokemonshowdown.com/smogtours-gen3ou-805619</t>
  </si>
  <si>
    <t>https://replay.pokemonshowdown.com/smogtours-gen3ou-805622</t>
  </si>
  <si>
    <t>https://replay.pokemonshowdown.com/smogtours-gen3ou-805629</t>
  </si>
  <si>
    <t>https://replay.pokemonshowdown.com/smogtours-gen3ou-805634</t>
  </si>
  <si>
    <t>https://replay.pokemonshowdown.com/smogtours-gen3ou-805352</t>
  </si>
  <si>
    <t>https://replay.pokemonshowdown.com/smogtours-gen3ou-805355</t>
  </si>
  <si>
    <t>https://replay.pokemonshowdown.com/smogtours-gen3ou-805358</t>
  </si>
  <si>
    <t>https://replay.pokemonshowdown.com/smogtours-gen3ou-805439</t>
  </si>
  <si>
    <t>https://replay.pokemonshowdown.com/smogtours-gen3ou-805442</t>
  </si>
  <si>
    <t>https://replay.pokemonshowdown.com/smogtours-gen3ou-805450</t>
  </si>
  <si>
    <t>https://replay.pokemonshowdown.com/smogtours-gen3ou-805553</t>
  </si>
  <si>
    <t>https://replay.pokemonshowdown.com/smogtours-gen3ou-805555</t>
  </si>
  <si>
    <t>https://replay.pokemonshowdown.com/smogtours-gen3ou-805486</t>
  </si>
  <si>
    <t>https://replay.pokemonshowdown.com/smogtours-gen3ou-805492</t>
  </si>
  <si>
    <t>https://replay.pokemonshowdown.com/smogtours-gen3ou-805398</t>
  </si>
  <si>
    <t>https://replay.pokemonshowdown.com/smogtours-gen3ou-805403</t>
  </si>
  <si>
    <t>https://replay.pokemonshowdown.com/smogtours-gen3ou-805409</t>
  </si>
  <si>
    <t>https://replay.pokemonshowdown.com/smogtours-gen3ou-805342</t>
  </si>
  <si>
    <t>https://replay.pokemonshowdown.com/smogtours-gen3ou-805345</t>
  </si>
  <si>
    <t>https://replay.pokemonshowdown.com/smogtours-gen3ou-805350</t>
  </si>
  <si>
    <t>https://replay.pokemonshowdown.com/smogtours-gen3ou-805367</t>
  </si>
  <si>
    <t>https://replay.pokemonshowdown.com/smogtours-gen3ou-805369</t>
  </si>
  <si>
    <t>https://replay.pokemonshowdown.com/smogtours-gen3ou-805320</t>
  </si>
  <si>
    <t>https://replay.pokemonshowdown.com/smogtours-gen3ou-805321</t>
  </si>
  <si>
    <t>https://replay.pokemonshowdown.com/smogtours-gen3ou-805608</t>
  </si>
  <si>
    <t>https://replay.pokemonshowdown.com/smogtours-gen3ou-805612</t>
  </si>
  <si>
    <t>https://replay.pokemonshowdown.com/smogtours-gen3ou-805662</t>
  </si>
  <si>
    <t>https://replay.pokemonshowdown.com/smogtours-gen3ou-805663</t>
  </si>
  <si>
    <t>https://replay.pokemonshowdown.com/smogtours-gen3ou-806092</t>
  </si>
  <si>
    <t>https://replay.pokemonshowdown.com/smogtours-gen3ou-806093</t>
  </si>
  <si>
    <t>https://replay.pokemonshowdown.com/smogtours-gen3ou-806040</t>
  </si>
  <si>
    <t>https://replay.pokemonshowdown.com/smogtours-gen3ou-806041</t>
  </si>
  <si>
    <t>https://replay.pokemonshowdown.com/smogtours-gen3ou-806042</t>
  </si>
  <si>
    <t>https://replay.pokemonshowdown.com/smogtours-gen3ou-806045</t>
  </si>
  <si>
    <t>https://replay.pokemonshowdown.com/smogtours-gen3ou-806047</t>
  </si>
  <si>
    <t>https://replay.pokemonshowdown.com/smogtours-gen3ou-806049</t>
  </si>
  <si>
    <t>https://replay.pokemonshowdown.com/smogtours-gen3ou-805992</t>
  </si>
  <si>
    <t>https://replay.pokemonshowdown.com/smogtours-gen3ou-805993</t>
  </si>
  <si>
    <t>https://replay.pokemonshowdown.com/smogtours-gen3ou-805836</t>
  </si>
  <si>
    <t>https://replay.pokemonshowdown.com/smogtours-gen3ou-805838</t>
  </si>
  <si>
    <t>https://replay.pokemonshowdown.com/smogtours-gen3ou-805843</t>
  </si>
  <si>
    <t>https://replay.pokemonshowdown.com/smogtours-gen3ou-806086</t>
  </si>
  <si>
    <t>https://replay.pokemonshowdown.com/smogtours-gen3ou-806087</t>
  </si>
  <si>
    <t>https://replay.pokemonshowdown.com/smogtours-gen3ou-806088</t>
  </si>
  <si>
    <t>https://replay.pokemonshowdown.com/smogtours-gen3ou-805811?p2</t>
  </si>
  <si>
    <t>https://replay.pokemonshowdown.com/smogtours-gen3ou-805816?p2</t>
  </si>
  <si>
    <t>https://replay.pokemonshowdown.com/smogtours-gen3ou-806029</t>
  </si>
  <si>
    <t>https://replay.pokemonshowdown.com/smogtours-gen3ou-806033</t>
  </si>
  <si>
    <t>https://replay.pokemonshowdown.com/smogtours-gen3ou-806052</t>
  </si>
  <si>
    <t>https://replay.pokemonshowdown.com/smogtours-gen3ou-806054</t>
  </si>
  <si>
    <t>https://replay.pokemonshowdown.com/smogtours-gen3ou-806059?p2</t>
  </si>
  <si>
    <t>https://replay.pokemonshowdown.com/smogtours-gen3ou-806060</t>
  </si>
  <si>
    <t>https://replay.pokemonshowdown.com/smogtours-gen3ou-806061</t>
  </si>
  <si>
    <t>https://replay.pokemonshowdown.com/smogtours-gen3ou-806051</t>
  </si>
  <si>
    <t>https://replay.pokemonshowdown.com/smogtours-gen3ou-806053</t>
  </si>
  <si>
    <t>https://replay.pokemonshowdown.com/smogtours-gen3ou-805850</t>
  </si>
  <si>
    <t>https://replay.pokemonshowdown.com/smogtours-gen3ou-805868</t>
  </si>
  <si>
    <t>https://replay.pokemonshowdown.com/smogtours-gen3ou-806095</t>
  </si>
  <si>
    <t>https://replay.pokemonshowdown.com/smogtours-gen3ou-806096</t>
  </si>
  <si>
    <t>https://replay.pokemonshowdown.com/smogtours-gen3ou-806097</t>
  </si>
  <si>
    <t>https://replay.pokemonshowdown.com/smogtours-gen3ou-806101</t>
  </si>
  <si>
    <t>https://replay.pokemonshowdown.com/smogtours-gen3ou-806102</t>
  </si>
  <si>
    <t>https://replay.pokemonshowdown.com/smogtours-gen3ou-806104</t>
  </si>
  <si>
    <t>https://replay.pokemonshowdown.com/smogtours-gen3ou-806135</t>
  </si>
  <si>
    <t>https://replay.pokemonshowdown.com/smogtours-gen3ou-806137</t>
  </si>
  <si>
    <t>https://replay.pokemonshowdown.com/smogtours-gen3ou-806138</t>
  </si>
  <si>
    <t>https://replay.pokemonshowdown.com/smogtours-gen3ou-806112?p2</t>
  </si>
  <si>
    <t>https://replay.pokemonshowdown.com/smogtours-gen3ou-806113?p2</t>
  </si>
  <si>
    <t>https://replay.pokemonshowdown.com/smogtours-gen3ou-806114</t>
  </si>
  <si>
    <t>https://replay.pokemonshowdown.com/smogtours-gen3ou-806120</t>
  </si>
  <si>
    <t>https://replay.pokemonshowdown.com/smogtours-gen3ou-806121</t>
  </si>
  <si>
    <t>https://replay.pokemonshowdown.com/smogtours-gen3ou-806134</t>
  </si>
  <si>
    <t>https://replay.pokemonshowdown.com/smogtours-gen3ou-806136</t>
  </si>
  <si>
    <t>https://replay.pokemonshowdown.com/smogtours-gen3ou-806139</t>
  </si>
  <si>
    <t>https://replay.pokemonshowdown.com/smogtours-gen3ou-806144</t>
  </si>
  <si>
    <t>https://replay.pokemonshowdown.com/smogtours-gen3ou-806145</t>
  </si>
  <si>
    <t>https://replay.pokemonshowdown.com/smogtours-gen3ou-806180</t>
  </si>
  <si>
    <t>https://replay.pokemonshowdown.com/smogtours-gen3ou-806181</t>
  </si>
  <si>
    <t>https://replay.pokemonshowdown.com/smogtours-gen3ou-806165</t>
  </si>
  <si>
    <t>https://replay.pokemonshowdown.com/smogtours-gen3ou-806168</t>
  </si>
  <si>
    <t>https://replay.pokemonshowdown.com/smogtours-gen3ou-806169</t>
  </si>
  <si>
    <t>https://replay.pokemonshowdown.com/smogtours-gen3ou-806170</t>
  </si>
  <si>
    <t>https://replay.pokemonshowdown.com/smogtours-gen3ou-806172</t>
  </si>
  <si>
    <t>https://replay.pokemonshowdown.com/smogtours-gen3ou-806146</t>
  </si>
  <si>
    <t>https://replay.pokemonshowdown.com/smogtours-gen3ou-806148</t>
  </si>
  <si>
    <t>https://replay.pokemonshowdown.com/smogtours-gen3ou-806149</t>
  </si>
  <si>
    <t>https://replay.pokemonshowdown.com/smogtours-gen3ou-806158</t>
  </si>
  <si>
    <t>https://replay.pokemonshowdown.com/smogtours-gen3ou-806163</t>
  </si>
  <si>
    <t>https://replay.pokemonshowdown.com/smogtours-gen3ou-806199</t>
  </si>
  <si>
    <t>https://replay.pokemonshowdown.com/smogtours-gen3ou-806200</t>
  </si>
  <si>
    <t>https://replay.pokemonshowdown.com/smogtours-gen3ou-806186</t>
  </si>
  <si>
    <t>https://replay.pokemonshowdown.com/smogtours-gen3ou-806187</t>
  </si>
  <si>
    <t>https://replay.pokemonshowdown.com/smogtours-gen3ou-806189</t>
  </si>
  <si>
    <t>https://replay.pokemonshowdown.com/smogtours-gen3ou-806160</t>
  </si>
  <si>
    <t>https://replay.pokemonshowdown.com/smogtours-gen3ou-806162</t>
  </si>
  <si>
    <t>https://replay.pokemonshowdown.com/smogtours-gen3ou-806166</t>
  </si>
  <si>
    <t>https://replay.pokemonshowdown.com/smogtours-gen3ou-806182</t>
  </si>
  <si>
    <t>https://replay.pokemonshowdown.com/smogtours-gen3ou-806183</t>
  </si>
  <si>
    <t>https://replay.pokemonshowdown.com/smogtours-gen3ou-806155</t>
  </si>
  <si>
    <t xml:space="preserve"> https://replay.pokemonshowdown.com/smogtours-gen3ou-806157</t>
  </si>
  <si>
    <t>https://replay.pokemonshowdown.com/smogtours-gen3ou-806159</t>
  </si>
  <si>
    <t>https://replay.pokemonshowdown.com/smogtours-gen3ou-806132</t>
  </si>
  <si>
    <t>https://replay.pokemonshowdown.com/smogtours-gen3ou-806133</t>
  </si>
  <si>
    <t>https://replay.pokemonshowdown.com/smogtours-gen3ou-806150</t>
  </si>
  <si>
    <t>https://replay.pokemonshowdown.com/smogtours-gen3ou-806151</t>
  </si>
  <si>
    <t>https://replay.pokemonshowdown.com/smogtours-gen3ou-806152</t>
  </si>
  <si>
    <t>https://replay.pokemonshowdown.com/smogtours-gen3ou-806194</t>
  </si>
  <si>
    <t>https://replay.pokemonshowdown.com/smogtours-gen3ou-806195</t>
  </si>
  <si>
    <t>https://replay.pokemonshowdown.com/smogtours-gen3ou-806197</t>
  </si>
  <si>
    <t>https://replay.pokemonshowdown.com/smogtours-gen3ou-806231</t>
  </si>
  <si>
    <t>https://replay.pokemonshowdown.com/smogtours-gen3ou-806232</t>
  </si>
  <si>
    <t>https://replay.pokemonshowdown.com/smogtours-gen3ou-806233</t>
  </si>
  <si>
    <t>https://replay.pokemonshowdown.com/smogtours-gen3ou-806227</t>
  </si>
  <si>
    <t>https://replay.pokemonshowdown.com/smogtours-gen3ou-806229</t>
  </si>
  <si>
    <t>https://replay.pokemonshowdown.com/smogtours-gen3ou-806242?p2</t>
  </si>
  <si>
    <t>https://replay.pokemonshowdown.com/smogtours-gen3ou-806243?p2</t>
  </si>
  <si>
    <t>https://replay.pokemonshowdown.com/smogtours-gen3ou-806213</t>
  </si>
  <si>
    <t>https://replay.pokemonshowdown.com/smogtours-gen3ou-806214</t>
  </si>
  <si>
    <t>https://replay.pokemonshowdown.com/smogtours-gen3ou-806255</t>
  </si>
  <si>
    <t>https://replay.pokemonshowdown.com/smogtours-gen3ou-806256</t>
  </si>
  <si>
    <t>https://replay.pokemonshowdown.com/smogtours-gen3ou-806286</t>
  </si>
  <si>
    <t>https://replay.pokemonshowdown.com/smogtours-gen3ou-806289</t>
  </si>
  <si>
    <t>https://replay.pokemonshowdown.com/smogtours-gen3ou-806282?p2</t>
  </si>
  <si>
    <t>https://replay.pokemonshowdown.com/smogtours-gen3ou-806284</t>
  </si>
  <si>
    <t>https://replay.pokemonshowdown.com/smogtours-gen3ou-806290</t>
  </si>
  <si>
    <t>https://replay.pokemonshowdown.com/smogtours-gen3ou-806283</t>
  </si>
  <si>
    <t>https://replay.pokemonshowdown.com/smogtours-gen3ou-806294</t>
  </si>
  <si>
    <t>https://replay.pokemonshowdown.com/smogtours-gen3ou-806264</t>
  </si>
  <si>
    <t>https://replay.pokemonshowdown.com/smogtours-gen3ou-806275</t>
  </si>
  <si>
    <t>https://replay.pokemonshowdown.com/smogtours-gen3ou-806248</t>
  </si>
  <si>
    <t>https://replay.pokemonshowdown.com/smogtours-gen3ou-806250</t>
  </si>
  <si>
    <t>https://replay.pokemonshowdown.com/smogtours-gen3ou-806257</t>
  </si>
  <si>
    <t>https://replay.pokemonshowdown.com/smogtours-gen3ou-806258</t>
  </si>
  <si>
    <t>https://replay.pokemonshowdown.com/smogtours-gen3ou-806261</t>
  </si>
  <si>
    <t>https://replay.pokemonshowdown.com/smogtours-gen3ou-806204</t>
  </si>
  <si>
    <t>https://replay.pokemonshowdown.com/smogtours-gen3ou-806208</t>
  </si>
  <si>
    <t>https://replay.pokemonshowdown.com/smogtours-gen3ou-806298</t>
  </si>
  <si>
    <t>https://replay.pokemonshowdown.com/smogtours-gen3ou-806301</t>
  </si>
  <si>
    <r>
      <rPr>
        <rFont val="Arial"/>
        <color rgb="FF1155CC"/>
        <u/>
      </rPr>
      <t>https://replay.pokemonshowdown.com/smogtours-gen3ou-806305?p2</t>
    </r>
    <r>
      <rPr>
        <rFont val="Arial"/>
      </rPr>
      <t xml:space="preserve"> </t>
    </r>
  </si>
  <si>
    <t>https://replay.pokemonshowdown.com/smogtours-gen3ou-806306</t>
  </si>
  <si>
    <t>https://replay.pokemonshowdown.com/gen3ou-2244108147-6m1pptggbj4s26d2lejfcksilgp4z78pw</t>
  </si>
  <si>
    <t>https://replay.pokemonshowdown.com/gen3ou-2244111914-hs8h66yat5fe44sbl0fqiozzdianr0opw</t>
  </si>
  <si>
    <t>https://replay.pokemonshowdown.com/gen3ou-2244083572-fvk5hxbmt8jx03sp1tz3g2bfsfaut0upw</t>
  </si>
  <si>
    <t>https://replay.pokemonshowdown.com/gen3ou-2244081525-d11brrvr9uy76xhbsj8ymljpop5op2qpw</t>
  </si>
  <si>
    <t>https://replay.pokemonshowdown.com/gen3ou-2244079039-6nhzfy9ftf9ndxqyfftwctcyxlswfpepw</t>
  </si>
  <si>
    <t>https://replay.pokemonshowdown.com/smogtours-gen3ou-806310</t>
  </si>
  <si>
    <t>https://replay.pokemonshowdown.com/smogtours-gen3ou-806311</t>
  </si>
  <si>
    <t>https://replay.pokemonshowdown.com/smogtours-gen3ou-806357</t>
  </si>
  <si>
    <t>https://replay.pokemonshowdown.com/smogtours-gen3ou-806363</t>
  </si>
  <si>
    <t>https://replay.pokemonshowdown.com/smogtours-gen3ou-806330</t>
  </si>
  <si>
    <t>https://replay.pokemonshowdown.com/smogtours-gen3ou-806331</t>
  </si>
  <si>
    <t>https://replay.pokemonshowdown.com/smogtours-gen3ou-806333</t>
  </si>
  <si>
    <t>New Seed</t>
  </si>
  <si>
    <t>Swiss Seed</t>
  </si>
  <si>
    <t>Resistance</t>
  </si>
  <si>
    <t>Playin</t>
  </si>
  <si>
    <t>R32</t>
  </si>
  <si>
    <t>R16</t>
  </si>
  <si>
    <t>QF</t>
  </si>
  <si>
    <t>SF</t>
  </si>
  <si>
    <t>F</t>
  </si>
  <si>
    <t>N/A</t>
  </si>
  <si>
    <t>ABR</t>
  </si>
  <si>
    <t>Jimvite Win</t>
  </si>
  <si>
    <t>164550391990583296</t>
  </si>
  <si>
    <t>McMeghan</t>
  </si>
  <si>
    <t>Rev 1 2nd</t>
  </si>
  <si>
    <t>186465756186148864</t>
  </si>
  <si>
    <t>Sapientia</t>
  </si>
  <si>
    <t>Rev 1 Win</t>
  </si>
  <si>
    <t>359718537113108490</t>
  </si>
  <si>
    <t>BiHi</t>
  </si>
  <si>
    <t>Jimvite 2nd</t>
  </si>
  <si>
    <t>737268109014204442</t>
  </si>
  <si>
    <t>TBC</t>
  </si>
  <si>
    <t>R2 seed</t>
  </si>
  <si>
    <t>R1 Seed</t>
  </si>
  <si>
    <t>Swiss Record</t>
  </si>
  <si>
    <t>Pool 1</t>
  </si>
  <si>
    <t>Pool 2</t>
  </si>
  <si>
    <t>Pool 3</t>
  </si>
  <si>
    <t>Pool 4</t>
  </si>
  <si>
    <t>Pool 5</t>
  </si>
  <si>
    <t>Pool 6</t>
  </si>
  <si>
    <t>Pool 7</t>
  </si>
  <si>
    <t>Pool 8</t>
  </si>
  <si>
    <t>Pool 9</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</si>
</sst>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000000"/>
    <numFmt numFmtId="166" formatCode="&quot;$&quot;#,##0.00"/>
    <numFmt numFmtId="167" formatCode="0000"/>
  </numFmts>
  <fonts count="77">
    <font>
      <sz val="10.0"/>
      <color rgb="FF000000"/>
      <name val="Arial"/>
      <scheme val="minor"/>
    </font>
    <font>
      <b/>
      <sz val="24.0"/>
      <color theme="1"/>
      <name val="Google Sans Mono"/>
    </font>
    <font>
      <b/>
      <sz val="8.0"/>
      <color rgb="FF000000"/>
      <name val="Overlock"/>
    </font>
    <font>
      <sz val="20.0"/>
      <color theme="1"/>
      <name val="Bebas Neue"/>
    </font>
    <font/>
    <font>
      <b/>
      <color theme="1"/>
      <name val="Courier New"/>
    </font>
    <font>
      <b/>
      <sz val="10.0"/>
      <color theme="1"/>
      <name val="Overlock"/>
    </font>
    <font>
      <color theme="1"/>
      <name val="Arial"/>
      <scheme val="minor"/>
    </font>
    <font>
      <sz val="20.0"/>
      <color theme="1"/>
      <name val="Impact"/>
    </font>
    <font>
      <b/>
      <sz val="14.0"/>
      <color theme="1"/>
      <name val="Arial"/>
      <scheme val="minor"/>
    </font>
    <font>
      <sz val="9.0"/>
      <color theme="1"/>
      <name val="Overlock"/>
    </font>
    <font>
      <color theme="1"/>
      <name val="Overlock SC"/>
    </font>
    <font>
      <u/>
      <sz val="14.0"/>
      <color rgb="FF0000FF"/>
    </font>
    <font>
      <color theme="1"/>
      <name val="Overlock"/>
    </font>
    <font>
      <sz val="8.0"/>
      <color theme="1"/>
      <name val="Overlock SC"/>
    </font>
    <font>
      <u/>
      <sz val="12.0"/>
      <color rgb="FF0000FF"/>
    </font>
    <font>
      <u/>
      <sz val="18.0"/>
      <color rgb="FF0000FF"/>
    </font>
    <font>
      <sz val="10.0"/>
      <color theme="1"/>
      <name val="Arial"/>
      <scheme val="minor"/>
    </font>
    <font>
      <u/>
      <sz val="18.0"/>
      <color rgb="FF0000FF"/>
    </font>
    <font>
      <u/>
      <sz val="20.0"/>
      <color rgb="FF0000FF"/>
    </font>
    <font>
      <u/>
      <sz val="14.0"/>
      <color rgb="FF0000FF"/>
    </font>
    <font>
      <sz val="8.0"/>
      <color theme="1"/>
      <name val="Overlock"/>
    </font>
    <font>
      <b/>
      <u/>
      <sz val="20.0"/>
      <color rgb="FF0000FF"/>
    </font>
    <font>
      <sz val="24.0"/>
      <color theme="1"/>
      <name val="Impact"/>
    </font>
    <font>
      <u/>
      <sz val="8.0"/>
      <color theme="1"/>
      <name val="Arial"/>
      <scheme val="minor"/>
    </font>
    <font>
      <u/>
      <sz val="22.0"/>
      <color rgb="FF0000FF"/>
    </font>
    <font>
      <b/>
      <sz val="10.0"/>
      <color theme="1"/>
      <name val="Courier New"/>
    </font>
    <font>
      <u/>
      <sz val="20.0"/>
      <color rgb="FF0000FF"/>
    </font>
    <font>
      <b/>
      <sz val="8.0"/>
      <color theme="1"/>
      <name val="Courier New"/>
    </font>
    <font>
      <b/>
      <sz val="12.0"/>
      <color theme="1"/>
      <name val="Arial"/>
      <scheme val="minor"/>
    </font>
    <font>
      <u/>
      <sz val="16.0"/>
      <color rgb="FF0000FF"/>
    </font>
    <font>
      <u/>
      <sz val="14.0"/>
      <color rgb="FF0000FF"/>
    </font>
    <font>
      <u/>
      <sz val="16.0"/>
      <color rgb="FF0000FF"/>
    </font>
    <font>
      <b/>
      <sz val="13.0"/>
      <color theme="1"/>
      <name val="Arial"/>
      <scheme val="minor"/>
    </font>
    <font>
      <u/>
      <sz val="14.0"/>
      <color rgb="FF0000FF"/>
    </font>
    <font>
      <u/>
      <sz val="24.0"/>
      <color rgb="FF0000FF"/>
    </font>
    <font>
      <b/>
      <sz val="24.0"/>
      <color theme="1"/>
      <name val="Arial"/>
      <scheme val="minor"/>
    </font>
    <font>
      <b/>
      <color theme="1"/>
      <name val="Arial"/>
      <scheme val="minor"/>
    </font>
    <font>
      <b/>
      <color rgb="FF000000"/>
      <name val="Arial"/>
      <scheme val="minor"/>
    </font>
    <font>
      <color rgb="FF000000"/>
      <name val="Arial"/>
      <scheme val="minor"/>
    </font>
    <font>
      <color theme="1"/>
      <name val="Arial"/>
    </font>
    <font>
      <b/>
      <color theme="1"/>
      <name val="Verdana"/>
    </font>
    <font>
      <color theme="1"/>
      <name val="Verdana"/>
    </font>
    <font>
      <b/>
      <sz val="10.0"/>
      <color theme="1"/>
      <name val="Verdana"/>
    </font>
    <font>
      <color rgb="FF999999"/>
      <name val="Verdana"/>
    </font>
    <font>
      <u/>
      <color rgb="FF0000FF"/>
      <name val="Verdana"/>
    </font>
    <font>
      <u/>
      <sz val="10.0"/>
      <color rgb="FF0000FF"/>
      <name val="Verdana"/>
    </font>
    <font>
      <u/>
      <color rgb="FF0000FF"/>
      <name val="Verdana"/>
    </font>
    <font>
      <sz val="10.0"/>
      <color theme="1"/>
      <name val="Verdana"/>
    </font>
    <font>
      <b/>
      <sz val="11.0"/>
      <color theme="1"/>
      <name val="Verdana"/>
    </font>
    <font>
      <color rgb="FFFF0000"/>
      <name val="Verdana"/>
    </font>
    <font>
      <u/>
      <color rgb="FF0000FF"/>
      <name val="Verdana"/>
    </font>
    <font>
      <u/>
      <sz val="10.0"/>
      <color rgb="FF0000FF"/>
      <name val="Verdana"/>
    </font>
    <font>
      <u/>
      <color rgb="FF0000FF"/>
      <name val="Verdana"/>
    </font>
    <font>
      <b/>
      <color rgb="FF000000"/>
      <name val="Verdana"/>
    </font>
    <font>
      <color rgb="FF000000"/>
      <name val="Verdana"/>
    </font>
    <font>
      <b/>
      <color rgb="FF999999"/>
      <name val="Verdana"/>
    </font>
    <font>
      <b/>
      <sz val="10.0"/>
      <color rgb="FF000000"/>
      <name val="Verdana"/>
    </font>
    <font>
      <sz val="10.0"/>
      <color rgb="FF000000"/>
      <name val="Verdana"/>
    </font>
    <font>
      <sz val="8.0"/>
      <color theme="1"/>
      <name val="Verdana"/>
    </font>
    <font>
      <u/>
      <color rgb="FF0000FF"/>
    </font>
    <font>
      <u/>
      <color rgb="FF0000FF"/>
    </font>
    <font>
      <u/>
      <color rgb="FF0000FF"/>
    </font>
    <font>
      <u/>
      <sz val="12.0"/>
      <color rgb="FF0000FF"/>
      <name val="&quot;gg sans&quot;"/>
    </font>
    <font>
      <u/>
      <color rgb="FF0000FF"/>
    </font>
    <font>
      <u/>
      <sz val="12.0"/>
      <color rgb="FF0000FF"/>
      <name val="Inherit"/>
    </font>
    <font>
      <u/>
      <sz val="12.0"/>
      <color rgb="FF0000FF"/>
      <name val="&quot;gg sans&quot;"/>
    </font>
    <font>
      <u/>
      <sz val="12.0"/>
      <color rgb="FF0000FF"/>
      <name val="Arial"/>
    </font>
    <font>
      <u/>
      <color rgb="FF0000FF"/>
    </font>
    <font>
      <u/>
      <color rgb="FF0000FF"/>
    </font>
    <font>
      <color rgb="FF000000"/>
    </font>
    <font>
      <u/>
      <sz val="12.0"/>
      <color rgb="FF0000FF"/>
      <name val="Arial"/>
    </font>
    <font>
      <u/>
      <color rgb="FF000000"/>
      <name val="Inherit"/>
    </font>
    <font>
      <u/>
      <sz val="12.0"/>
      <color rgb="FF0000FF"/>
    </font>
    <font>
      <u/>
      <color rgb="FF0000FF"/>
      <name val="Inherit"/>
    </font>
    <font>
      <u/>
      <sz val="12.0"/>
      <color rgb="FF0000FF"/>
      <name val="&quot;gg sans&quot;"/>
    </font>
    <font>
      <u/>
      <sz val="9.0"/>
      <color rgb="FF0000FF"/>
      <name val="&quot;Google Sans&quot;"/>
    </font>
  </fonts>
  <fills count="8">
    <fill>
      <patternFill patternType="none"/>
    </fill>
    <fill>
      <patternFill patternType="lightGray"/>
    </fill>
    <fill>
      <patternFill patternType="solid">
        <fgColor rgb="FFEFD8BD"/>
        <bgColor rgb="FFEFD8BD"/>
      </patternFill>
    </fill>
    <fill>
      <patternFill patternType="solid">
        <fgColor rgb="FF000000"/>
        <bgColor rgb="FF000000"/>
      </patternFill>
    </fill>
    <fill>
      <patternFill patternType="solid">
        <fgColor rgb="FF999999"/>
        <bgColor rgb="FF999999"/>
      </patternFill>
    </fill>
    <fill>
      <patternFill patternType="solid">
        <fgColor rgb="FFA4C2F4"/>
        <bgColor rgb="FFA4C2F4"/>
      </patternFill>
    </fill>
    <fill>
      <patternFill patternType="solid">
        <fgColor rgb="FFFFE599"/>
        <bgColor rgb="FFFFE599"/>
      </patternFill>
    </fill>
    <fill>
      <patternFill patternType="solid">
        <fgColor rgb="FFFFFFFF"/>
        <bgColor rgb="FFFFFFFF"/>
      </patternFill>
    </fill>
  </fills>
  <borders count="13">
    <border/>
    <border>
      <left style="medium">
        <color rgb="FF000000"/>
      </left>
    </border>
    <border>
      <top style="medium">
        <color rgb="FF000000"/>
      </top>
    </border>
    <border>
      <right style="thick">
        <color rgb="FF000000"/>
      </right>
      <top style="medium">
        <color rgb="FF000000"/>
      </top>
    </border>
    <border>
      <right style="thick">
        <color rgb="FF000000"/>
      </right>
    </border>
    <border>
      <right style="thin">
        <color rgb="FF000000"/>
      </right>
    </border>
    <border>
      <top style="thick">
        <color rgb="FF000000"/>
      </top>
    </border>
    <border>
      <right style="thin">
        <color rgb="FF000000"/>
      </right>
      <top style="thick">
        <color rgb="FF000000"/>
      </top>
    </border>
    <border>
      <right style="thick">
        <color rgb="FF999999"/>
      </right>
      <top style="medium">
        <color rgb="FF999999"/>
      </top>
      <bottom style="medium">
        <color rgb="FF999999"/>
      </bottom>
    </border>
    <border>
      <top style="medium">
        <color rgb="FF999999"/>
      </top>
    </border>
    <border>
      <right style="thick">
        <color rgb="FF999999"/>
      </right>
      <top style="medium">
        <color rgb="FF999999"/>
      </top>
    </border>
    <border>
      <top style="thin">
        <color rgb="FF999999"/>
      </top>
    </border>
    <border>
      <bottom style="thin">
        <color rgb="FF999999"/>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0" fontId="2" numFmtId="0" xfId="0" applyAlignment="1" applyBorder="1" applyFont="1">
      <alignment horizontal="left" readingOrder="0" shrinkToFit="0" vertical="bottom" wrapText="1"/>
    </xf>
    <xf borderId="2" fillId="0" fontId="3"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5" numFmtId="0" xfId="0" applyAlignment="1" applyFont="1">
      <alignment horizontal="center" readingOrder="0"/>
    </xf>
    <xf borderId="4" fillId="0" fontId="4" numFmtId="0" xfId="0" applyBorder="1" applyFont="1"/>
    <xf borderId="0" fillId="0" fontId="6" numFmtId="0" xfId="0" applyAlignment="1" applyFont="1">
      <alignment horizontal="left" readingOrder="0" shrinkToFit="0" wrapText="1"/>
    </xf>
    <xf borderId="0" fillId="0" fontId="5" numFmtId="0" xfId="0" applyAlignment="1" applyFont="1">
      <alignment horizontal="center" readingOrder="0" vertical="center"/>
    </xf>
    <xf borderId="0" fillId="3" fontId="7" numFmtId="0" xfId="0" applyFill="1" applyFont="1"/>
    <xf borderId="0" fillId="3" fontId="7" numFmtId="0" xfId="0" applyAlignment="1" applyFont="1">
      <alignment horizontal="left" readingOrder="0" shrinkToFit="0" wrapText="1"/>
    </xf>
    <xf borderId="0" fillId="0" fontId="8" numFmtId="0" xfId="0" applyAlignment="1" applyFont="1">
      <alignment horizontal="center" readingOrder="0" vertical="center"/>
    </xf>
    <xf borderId="0" fillId="0" fontId="9" numFmtId="0" xfId="0" applyAlignment="1" applyFont="1">
      <alignment horizontal="center" readingOrder="0" vertical="center"/>
    </xf>
    <xf borderId="5" fillId="0" fontId="4" numFmtId="0" xfId="0" applyBorder="1" applyFont="1"/>
    <xf borderId="0" fillId="0" fontId="10" numFmtId="0" xfId="0" applyAlignment="1" applyFont="1">
      <alignment readingOrder="0" shrinkToFit="0" wrapText="1"/>
    </xf>
    <xf borderId="0" fillId="0" fontId="11" numFmtId="0" xfId="0" applyAlignment="1" applyFont="1">
      <alignment readingOrder="0" shrinkToFit="0" vertical="center" wrapText="1"/>
    </xf>
    <xf borderId="0" fillId="0" fontId="12" numFmtId="0" xfId="0" applyFont="1"/>
    <xf borderId="0" fillId="0" fontId="13" numFmtId="0" xfId="0" applyAlignment="1" applyFont="1">
      <alignment readingOrder="0" shrinkToFit="0" wrapText="1"/>
    </xf>
    <xf borderId="0" fillId="0" fontId="14" numFmtId="0" xfId="0" applyAlignment="1" applyFont="1">
      <alignment readingOrder="0" shrinkToFit="0" vertical="center" wrapText="1"/>
    </xf>
    <xf borderId="0" fillId="0" fontId="15" numFmtId="0" xfId="0" applyFont="1"/>
    <xf borderId="0" fillId="0" fontId="16" numFmtId="0" xfId="0" applyFont="1"/>
    <xf borderId="0" fillId="0" fontId="17" numFmtId="0" xfId="0" applyAlignment="1" applyFont="1">
      <alignment readingOrder="0" shrinkToFit="0" wrapText="1"/>
    </xf>
    <xf borderId="0" fillId="0" fontId="18" numFmtId="0" xfId="0" applyAlignment="1" applyFont="1">
      <alignment readingOrder="0"/>
    </xf>
    <xf borderId="0" fillId="0" fontId="13" numFmtId="0" xfId="0" applyAlignment="1" applyFont="1">
      <alignment readingOrder="0" shrinkToFit="0" vertical="center" wrapText="1"/>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shrinkToFit="0" vertical="center" wrapText="1"/>
    </xf>
    <xf borderId="0" fillId="0" fontId="7" numFmtId="0" xfId="0" applyFont="1"/>
    <xf borderId="0" fillId="0" fontId="22" numFmtId="0" xfId="0" applyAlignment="1" applyFont="1">
      <alignment readingOrder="0"/>
    </xf>
    <xf borderId="0" fillId="0" fontId="21" numFmtId="0" xfId="0" applyAlignment="1" applyFont="1">
      <alignment readingOrder="0" shrinkToFit="0" wrapText="1"/>
    </xf>
    <xf borderId="4" fillId="3" fontId="7" numFmtId="0" xfId="0" applyBorder="1" applyFont="1"/>
    <xf borderId="5" fillId="3" fontId="7" numFmtId="0" xfId="0" applyBorder="1" applyFont="1"/>
    <xf borderId="0" fillId="3" fontId="13" numFmtId="0" xfId="0" applyAlignment="1" applyFont="1">
      <alignment shrinkToFit="0" wrapText="1"/>
    </xf>
    <xf borderId="2" fillId="0" fontId="23" numFmtId="0" xfId="0" applyAlignment="1" applyBorder="1" applyFont="1">
      <alignment horizontal="center" readingOrder="0" vertical="center"/>
    </xf>
    <xf borderId="0" fillId="0" fontId="9" numFmtId="0" xfId="0" applyAlignment="1" applyFont="1">
      <alignment horizontal="center" readingOrder="0" shrinkToFit="0" vertical="center" wrapText="1"/>
    </xf>
    <xf borderId="0" fillId="0" fontId="24" numFmtId="0" xfId="0" applyAlignment="1" applyFont="1">
      <alignment readingOrder="0" shrinkToFit="0" vertical="center" wrapText="1"/>
    </xf>
    <xf borderId="0" fillId="0" fontId="25" numFmtId="0" xfId="0" applyAlignment="1" applyFont="1">
      <alignment horizontal="center" readingOrder="0"/>
    </xf>
    <xf borderId="0" fillId="0" fontId="26" numFmtId="0" xfId="0" applyAlignment="1" applyFont="1">
      <alignment horizontal="center" readingOrder="0" shrinkToFit="0" vertical="top" wrapText="1"/>
    </xf>
    <xf borderId="0" fillId="0" fontId="27" numFmtId="0" xfId="0" applyAlignment="1" applyFont="1">
      <alignment horizontal="center" readingOrder="0"/>
    </xf>
    <xf borderId="0" fillId="0" fontId="28" numFmtId="0" xfId="0" applyAlignment="1" applyFont="1">
      <alignment horizontal="center" readingOrder="0" shrinkToFit="0" vertical="top" wrapText="1"/>
    </xf>
    <xf borderId="6" fillId="0" fontId="29" numFmtId="0" xfId="0" applyAlignment="1" applyBorder="1" applyFont="1">
      <alignment horizontal="center" readingOrder="0" vertical="center"/>
    </xf>
    <xf borderId="6" fillId="0" fontId="4" numFmtId="0" xfId="0" applyBorder="1" applyFont="1"/>
    <xf borderId="7" fillId="0" fontId="4" numFmtId="0" xfId="0" applyBorder="1" applyFont="1"/>
    <xf borderId="6" fillId="0" fontId="21" numFmtId="0" xfId="0" applyAlignment="1" applyBorder="1" applyFont="1">
      <alignment readingOrder="0" shrinkToFit="0" wrapText="1"/>
    </xf>
    <xf borderId="0" fillId="0" fontId="30" numFmtId="0" xfId="0" applyAlignment="1" applyFont="1">
      <alignment horizontal="center" readingOrder="0"/>
    </xf>
    <xf borderId="0" fillId="0" fontId="31" numFmtId="0" xfId="0" applyAlignment="1" applyFont="1">
      <alignment horizontal="center" readingOrder="0" shrinkToFit="0" wrapText="1"/>
    </xf>
    <xf borderId="4" fillId="0" fontId="7" numFmtId="0" xfId="0" applyBorder="1" applyFont="1"/>
    <xf borderId="0" fillId="0" fontId="32" numFmtId="0" xfId="0" applyAlignment="1" applyFont="1">
      <alignment horizontal="center" readingOrder="0"/>
    </xf>
    <xf borderId="6" fillId="0" fontId="33" numFmtId="0" xfId="0" applyAlignment="1" applyBorder="1" applyFont="1">
      <alignment horizontal="center" readingOrder="0" shrinkToFit="0" vertical="center" wrapText="1"/>
    </xf>
    <xf borderId="6" fillId="0" fontId="13" numFmtId="0" xfId="0" applyAlignment="1" applyBorder="1" applyFont="1">
      <alignment readingOrder="0" shrinkToFit="0" wrapText="1"/>
    </xf>
    <xf borderId="0" fillId="0" fontId="34" numFmtId="0" xfId="0" applyAlignment="1" applyFont="1">
      <alignment horizontal="center" readingOrder="0"/>
    </xf>
    <xf borderId="6" fillId="0" fontId="29" numFmtId="0" xfId="0" applyAlignment="1" applyBorder="1" applyFont="1">
      <alignment horizontal="center" readingOrder="0" shrinkToFit="0" vertical="center" wrapText="1"/>
    </xf>
    <xf borderId="6" fillId="0" fontId="10" numFmtId="0" xfId="0" applyAlignment="1" applyBorder="1" applyFont="1">
      <alignment readingOrder="0" shrinkToFit="0" wrapText="1"/>
    </xf>
    <xf borderId="0" fillId="0" fontId="35" numFmtId="0" xfId="0" applyAlignment="1" applyFont="1">
      <alignment horizontal="center" readingOrder="0"/>
    </xf>
    <xf borderId="6" fillId="0" fontId="36" numFmtId="0" xfId="0" applyAlignment="1" applyBorder="1" applyFont="1">
      <alignment horizontal="center" readingOrder="0"/>
    </xf>
    <xf borderId="6" fillId="0" fontId="9" numFmtId="0" xfId="0" applyAlignment="1" applyBorder="1" applyFont="1">
      <alignment horizontal="center" readingOrder="0" shrinkToFit="0" vertical="center" wrapText="1"/>
    </xf>
    <xf borderId="0" fillId="0" fontId="7" numFmtId="0" xfId="0" applyAlignment="1" applyFont="1">
      <alignment horizontal="center"/>
    </xf>
    <xf borderId="0" fillId="0" fontId="13" numFmtId="0" xfId="0" applyAlignment="1" applyFont="1">
      <alignment shrinkToFit="0" wrapText="1"/>
    </xf>
    <xf borderId="0" fillId="0" fontId="37" numFmtId="0" xfId="0" applyAlignment="1" applyFont="1">
      <alignment readingOrder="0"/>
    </xf>
    <xf borderId="0" fillId="0" fontId="37" numFmtId="0" xfId="0" applyAlignment="1" applyFont="1">
      <alignment horizontal="center" readingOrder="0"/>
    </xf>
    <xf borderId="0" fillId="0" fontId="38" numFmtId="0" xfId="0" applyAlignment="1" applyFont="1">
      <alignment readingOrder="0"/>
    </xf>
    <xf borderId="0" fillId="0" fontId="7" numFmtId="49" xfId="0" applyAlignment="1" applyFont="1" applyNumberFormat="1">
      <alignment horizontal="center" readingOrder="0"/>
    </xf>
    <xf borderId="0" fillId="0" fontId="7" numFmtId="164" xfId="0" applyAlignment="1" applyFont="1" applyNumberFormat="1">
      <alignment readingOrder="0"/>
    </xf>
    <xf borderId="0" fillId="0" fontId="7" numFmtId="0" xfId="0" applyAlignment="1" applyFont="1">
      <alignment readingOrder="0"/>
    </xf>
    <xf borderId="0" fillId="0" fontId="37" numFmtId="0" xfId="0" applyAlignment="1" applyFont="1">
      <alignment horizontal="center"/>
    </xf>
    <xf borderId="0" fillId="0" fontId="38" numFmtId="0" xfId="0" applyAlignment="1" applyFont="1">
      <alignment horizontal="center" readingOrder="0"/>
    </xf>
    <xf borderId="0" fillId="0" fontId="38" numFmtId="0" xfId="0" applyAlignment="1" applyFont="1">
      <alignment horizontal="center"/>
    </xf>
    <xf borderId="0" fillId="0" fontId="38" numFmtId="0" xfId="0" applyAlignment="1" applyFont="1">
      <alignment horizontal="center"/>
    </xf>
    <xf borderId="0" fillId="0" fontId="7" numFmtId="0" xfId="0" applyAlignment="1" applyFont="1">
      <alignment horizontal="left" readingOrder="0"/>
    </xf>
    <xf borderId="0" fillId="0" fontId="39" numFmtId="0" xfId="0" applyAlignment="1" applyFont="1">
      <alignment readingOrder="0"/>
    </xf>
    <xf borderId="0" fillId="0" fontId="40" numFmtId="0" xfId="0" applyAlignment="1" applyFont="1">
      <alignment readingOrder="0" vertical="bottom"/>
    </xf>
    <xf borderId="0" fillId="0" fontId="7" numFmtId="0" xfId="0" applyAlignment="1" applyFont="1">
      <alignment horizontal="center" readingOrder="0"/>
    </xf>
    <xf borderId="0" fillId="0" fontId="39" numFmtId="0" xfId="0" applyAlignment="1" applyFont="1">
      <alignment readingOrder="0"/>
    </xf>
    <xf borderId="8" fillId="4" fontId="41" numFmtId="164" xfId="0" applyAlignment="1" applyBorder="1" applyFill="1" applyFont="1" applyNumberFormat="1">
      <alignment horizontal="left" readingOrder="0" vertical="bottom"/>
    </xf>
    <xf borderId="8" fillId="4" fontId="41" numFmtId="0" xfId="0" applyAlignment="1" applyBorder="1" applyFont="1">
      <alignment readingOrder="0" vertical="bottom"/>
    </xf>
    <xf borderId="9" fillId="0" fontId="41" numFmtId="0" xfId="0" applyAlignment="1" applyBorder="1" applyFont="1">
      <alignment horizontal="center" readingOrder="0" vertical="bottom"/>
    </xf>
    <xf borderId="9" fillId="0" fontId="4" numFmtId="0" xfId="0" applyBorder="1" applyFont="1"/>
    <xf borderId="10" fillId="0" fontId="4" numFmtId="0" xfId="0" applyBorder="1" applyFont="1"/>
    <xf borderId="8" fillId="4" fontId="41" numFmtId="0" xfId="0" applyAlignment="1" applyBorder="1" applyFont="1">
      <alignment horizontal="right" readingOrder="0" vertical="bottom"/>
    </xf>
    <xf borderId="0" fillId="4" fontId="42" numFmtId="164" xfId="0" applyAlignment="1" applyFont="1" applyNumberFormat="1">
      <alignment horizontal="center"/>
    </xf>
    <xf borderId="0" fillId="4" fontId="42" numFmtId="0" xfId="0" applyAlignment="1" applyFont="1">
      <alignment horizontal="center"/>
    </xf>
    <xf borderId="0" fillId="4" fontId="43" numFmtId="0" xfId="0" applyAlignment="1" applyFont="1">
      <alignment horizontal="center" readingOrder="0" shrinkToFit="0" wrapText="0"/>
    </xf>
    <xf borderId="0" fillId="4" fontId="44" numFmtId="165" xfId="0" applyAlignment="1" applyFont="1" applyNumberFormat="1">
      <alignment readingOrder="0" shrinkToFit="0" wrapText="0"/>
    </xf>
    <xf borderId="0" fillId="0" fontId="42" numFmtId="164" xfId="0" applyAlignment="1" applyFont="1" applyNumberFormat="1">
      <alignment horizontal="center" readingOrder="0"/>
    </xf>
    <xf borderId="0" fillId="0" fontId="42" numFmtId="0" xfId="0" applyAlignment="1" applyFont="1">
      <alignment readingOrder="0"/>
    </xf>
    <xf borderId="0" fillId="0" fontId="45" numFmtId="0" xfId="0" applyAlignment="1" applyFont="1">
      <alignment horizontal="right"/>
    </xf>
    <xf borderId="0" fillId="0" fontId="46" numFmtId="0" xfId="0" applyAlignment="1" applyFont="1">
      <alignment horizontal="center" shrinkToFit="0" wrapText="0"/>
    </xf>
    <xf borderId="0" fillId="0" fontId="47" numFmtId="0" xfId="0" applyAlignment="1" applyFont="1">
      <alignment horizontal="left"/>
    </xf>
    <xf borderId="0" fillId="0" fontId="42" numFmtId="0" xfId="0" applyAlignment="1" applyFont="1">
      <alignment horizontal="left"/>
    </xf>
    <xf borderId="0" fillId="0" fontId="42" numFmtId="0" xfId="0" applyAlignment="1" applyFont="1">
      <alignment horizontal="right"/>
    </xf>
    <xf borderId="0" fillId="0" fontId="48" numFmtId="0" xfId="0" applyAlignment="1" applyFont="1">
      <alignment horizontal="center" shrinkToFit="0" wrapText="0"/>
    </xf>
    <xf borderId="11" fillId="4" fontId="44" numFmtId="165" xfId="0" applyAlignment="1" applyBorder="1" applyFont="1" applyNumberFormat="1">
      <alignment readingOrder="0" vertical="bottom"/>
    </xf>
    <xf borderId="0" fillId="4" fontId="44" numFmtId="165" xfId="0" applyAlignment="1" applyFont="1" applyNumberFormat="1">
      <alignment readingOrder="0" vertical="bottom"/>
    </xf>
    <xf borderId="0" fillId="0" fontId="42" numFmtId="0" xfId="0" applyAlignment="1" applyFont="1">
      <alignment horizontal="left" readingOrder="0"/>
    </xf>
    <xf borderId="12" fillId="4" fontId="44" numFmtId="165" xfId="0" applyAlignment="1" applyBorder="1" applyFont="1" applyNumberFormat="1">
      <alignment readingOrder="0" vertical="bottom"/>
    </xf>
    <xf borderId="0" fillId="4" fontId="49" numFmtId="0" xfId="0" applyAlignment="1" applyFont="1">
      <alignment horizontal="center" readingOrder="0" shrinkToFit="0" wrapText="0"/>
    </xf>
    <xf borderId="0" fillId="0" fontId="48" numFmtId="0" xfId="0" applyAlignment="1" applyFont="1">
      <alignment horizontal="center" readingOrder="0" shrinkToFit="0" wrapText="0"/>
    </xf>
    <xf borderId="0" fillId="0" fontId="50" numFmtId="0" xfId="0" applyAlignment="1" applyFont="1">
      <alignment readingOrder="0"/>
    </xf>
    <xf borderId="8" fillId="4" fontId="41" numFmtId="164" xfId="0" applyAlignment="1" applyBorder="1" applyFont="1" applyNumberFormat="1">
      <alignment horizontal="right" readingOrder="0" vertical="bottom"/>
    </xf>
    <xf borderId="0" fillId="5" fontId="41" numFmtId="164" xfId="0" applyAlignment="1" applyFill="1" applyFont="1" applyNumberFormat="1">
      <alignment horizontal="left" readingOrder="0" vertical="bottom"/>
    </xf>
    <xf borderId="0" fillId="6" fontId="41" numFmtId="164" xfId="0" applyAlignment="1" applyFill="1" applyFont="1" applyNumberFormat="1">
      <alignment horizontal="left" readingOrder="0" vertical="bottom"/>
    </xf>
    <xf borderId="0" fillId="5" fontId="44" numFmtId="165" xfId="0" applyAlignment="1" applyFont="1" applyNumberFormat="1">
      <alignment readingOrder="0" shrinkToFit="0" wrapText="0"/>
    </xf>
    <xf borderId="0" fillId="6" fontId="44" numFmtId="165" xfId="0" applyAlignment="1" applyFont="1" applyNumberFormat="1">
      <alignment readingOrder="0" shrinkToFit="0" wrapText="0"/>
    </xf>
    <xf borderId="0" fillId="0" fontId="42" numFmtId="164" xfId="0" applyAlignment="1" applyFont="1" applyNumberFormat="1">
      <alignment readingOrder="0"/>
    </xf>
    <xf borderId="0" fillId="0" fontId="51" numFmtId="0" xfId="0" applyAlignment="1" applyFont="1">
      <alignment horizontal="right"/>
    </xf>
    <xf borderId="0" fillId="0" fontId="52" numFmtId="0" xfId="0" applyAlignment="1" applyFont="1">
      <alignment horizontal="center" shrinkToFit="0" wrapText="0"/>
    </xf>
    <xf borderId="0" fillId="0" fontId="42" numFmtId="0" xfId="0" applyAlignment="1" applyFont="1">
      <alignment horizontal="left"/>
    </xf>
    <xf borderId="0" fillId="5" fontId="42" numFmtId="49" xfId="0" applyAlignment="1" applyFont="1" applyNumberFormat="1">
      <alignment readingOrder="0"/>
    </xf>
    <xf borderId="0" fillId="6" fontId="42" numFmtId="49" xfId="0" applyAlignment="1" applyFont="1" applyNumberFormat="1">
      <alignment readingOrder="0"/>
    </xf>
    <xf borderId="0" fillId="0" fontId="53" numFmtId="0" xfId="0" applyAlignment="1" applyFont="1">
      <alignment horizontal="left"/>
    </xf>
    <xf borderId="0" fillId="0" fontId="42" numFmtId="0" xfId="0" applyAlignment="1" applyFont="1">
      <alignment horizontal="right"/>
    </xf>
    <xf borderId="0" fillId="0" fontId="48" numFmtId="0" xfId="0" applyAlignment="1" applyFont="1">
      <alignment horizontal="center" shrinkToFit="0" wrapText="0"/>
    </xf>
    <xf borderId="0" fillId="0" fontId="42" numFmtId="164" xfId="0" applyAlignment="1" applyFont="1" applyNumberFormat="1">
      <alignment horizontal="left" readingOrder="0"/>
    </xf>
    <xf borderId="0" fillId="4" fontId="40" numFmtId="164" xfId="0" applyAlignment="1" applyFont="1" applyNumberFormat="1">
      <alignment vertical="bottom"/>
    </xf>
    <xf borderId="0" fillId="4" fontId="40" numFmtId="0" xfId="0" applyAlignment="1" applyFont="1">
      <alignment vertical="bottom"/>
    </xf>
    <xf borderId="0" fillId="5" fontId="42" numFmtId="0" xfId="0" applyAlignment="1" applyFont="1">
      <alignment readingOrder="0"/>
    </xf>
    <xf borderId="0" fillId="6" fontId="42" numFmtId="0" xfId="0" applyAlignment="1" applyFont="1">
      <alignment readingOrder="0"/>
    </xf>
    <xf borderId="8" fillId="4" fontId="54" numFmtId="164" xfId="0" applyAlignment="1" applyBorder="1" applyFont="1" applyNumberFormat="1">
      <alignment horizontal="right" readingOrder="0" vertical="bottom"/>
    </xf>
    <xf borderId="8" fillId="4" fontId="54" numFmtId="0" xfId="0" applyAlignment="1" applyBorder="1" applyFont="1">
      <alignment horizontal="left" readingOrder="0" vertical="bottom"/>
    </xf>
    <xf borderId="8" fillId="4" fontId="54" numFmtId="0" xfId="0" applyAlignment="1" applyBorder="1" applyFont="1">
      <alignment horizontal="right" readingOrder="0" vertical="bottom"/>
    </xf>
    <xf borderId="8" fillId="4" fontId="54" numFmtId="164" xfId="0" applyAlignment="1" applyBorder="1" applyFont="1" applyNumberFormat="1">
      <alignment horizontal="left" readingOrder="0" vertical="bottom"/>
    </xf>
    <xf borderId="0" fillId="4" fontId="55" numFmtId="0" xfId="0" applyAlignment="1" applyFont="1">
      <alignment horizontal="left"/>
    </xf>
    <xf borderId="0" fillId="4" fontId="55" numFmtId="0" xfId="0" applyAlignment="1" applyFont="1">
      <alignment horizontal="center"/>
    </xf>
    <xf borderId="0" fillId="4" fontId="55" numFmtId="164" xfId="0" applyAlignment="1" applyFont="1" applyNumberFormat="1">
      <alignment horizontal="center"/>
    </xf>
    <xf borderId="0" fillId="0" fontId="55" numFmtId="0" xfId="0" applyAlignment="1" applyFont="1">
      <alignment horizontal="left" readingOrder="0"/>
    </xf>
    <xf borderId="0" fillId="0" fontId="55" numFmtId="0" xfId="0" applyAlignment="1" applyFont="1">
      <alignment readingOrder="0"/>
    </xf>
    <xf borderId="0" fillId="0" fontId="55" numFmtId="164" xfId="0" applyAlignment="1" applyFont="1" applyNumberFormat="1">
      <alignment horizontal="center" readingOrder="0"/>
    </xf>
    <xf borderId="0" fillId="4" fontId="42" numFmtId="164" xfId="0" applyAlignment="1" applyFont="1" applyNumberFormat="1">
      <alignment horizontal="center" readingOrder="0"/>
    </xf>
    <xf borderId="0" fillId="4" fontId="55" numFmtId="164" xfId="0" applyAlignment="1" applyFont="1" applyNumberFormat="1">
      <alignment horizontal="center" readingOrder="0"/>
    </xf>
    <xf borderId="0" fillId="0" fontId="42" numFmtId="164" xfId="0" applyAlignment="1" applyFont="1" applyNumberFormat="1">
      <alignment horizontal="center"/>
    </xf>
    <xf borderId="0" fillId="0" fontId="55" numFmtId="164" xfId="0" applyAlignment="1" applyFont="1" applyNumberFormat="1">
      <alignment horizontal="center"/>
    </xf>
    <xf borderId="0" fillId="4" fontId="55" numFmtId="164" xfId="0" applyAlignment="1" applyFont="1" applyNumberFormat="1">
      <alignment horizontal="center"/>
    </xf>
    <xf borderId="0" fillId="4" fontId="44" numFmtId="165" xfId="0" applyAlignment="1" applyFont="1" applyNumberFormat="1">
      <alignment horizontal="center" readingOrder="0" shrinkToFit="0" wrapText="0"/>
    </xf>
    <xf borderId="9" fillId="0" fontId="54" numFmtId="0" xfId="0" applyAlignment="1" applyBorder="1" applyFont="1">
      <alignment horizontal="center" readingOrder="0" vertical="bottom"/>
    </xf>
    <xf borderId="8" fillId="4" fontId="56" numFmtId="164" xfId="0" applyAlignment="1" applyBorder="1" applyFont="1" applyNumberFormat="1">
      <alignment horizontal="left" readingOrder="0" vertical="bottom"/>
    </xf>
    <xf borderId="0" fillId="5" fontId="54" numFmtId="164" xfId="0" applyAlignment="1" applyFont="1" applyNumberFormat="1">
      <alignment horizontal="center" readingOrder="0" vertical="bottom"/>
    </xf>
    <xf borderId="0" fillId="6" fontId="54" numFmtId="164" xfId="0" applyAlignment="1" applyFont="1" applyNumberFormat="1">
      <alignment horizontal="center" readingOrder="0" vertical="bottom"/>
    </xf>
    <xf borderId="0" fillId="4" fontId="57" numFmtId="0" xfId="0" applyAlignment="1" applyFont="1">
      <alignment horizontal="center" readingOrder="0" shrinkToFit="0" wrapText="0"/>
    </xf>
    <xf borderId="0" fillId="4" fontId="55" numFmtId="165" xfId="0" applyAlignment="1" applyFont="1" applyNumberFormat="1">
      <alignment horizontal="center" readingOrder="0" shrinkToFit="0" wrapText="0"/>
    </xf>
    <xf borderId="0" fillId="0" fontId="55" numFmtId="164" xfId="0" applyAlignment="1" applyFont="1" applyNumberFormat="1">
      <alignment horizontal="center" readingOrder="0"/>
    </xf>
    <xf borderId="0" fillId="5" fontId="55" numFmtId="49" xfId="0" applyAlignment="1" applyFont="1" applyNumberFormat="1">
      <alignment horizontal="center" readingOrder="0"/>
    </xf>
    <xf borderId="0" fillId="6" fontId="55" numFmtId="49" xfId="0" applyAlignment="1" applyFont="1" applyNumberFormat="1">
      <alignment horizontal="center" readingOrder="0"/>
    </xf>
    <xf borderId="0" fillId="4" fontId="44" numFmtId="0" xfId="0" applyAlignment="1" applyFont="1">
      <alignment readingOrder="0" vertical="bottom"/>
    </xf>
    <xf borderId="0" fillId="0" fontId="48" numFmtId="0" xfId="0" applyAlignment="1" applyFont="1">
      <alignment horizontal="center" readingOrder="0" shrinkToFit="0" wrapText="0"/>
    </xf>
    <xf borderId="0" fillId="0" fontId="48" numFmtId="0" xfId="0" applyAlignment="1" applyFont="1">
      <alignment horizontal="left" readingOrder="0"/>
    </xf>
    <xf borderId="0" fillId="4" fontId="58" numFmtId="164" xfId="0" applyAlignment="1" applyFont="1" applyNumberFormat="1">
      <alignment horizontal="center"/>
    </xf>
    <xf borderId="0" fillId="6" fontId="55" numFmtId="0" xfId="0" applyAlignment="1" applyFont="1">
      <alignment horizontal="center" readingOrder="0"/>
    </xf>
    <xf borderId="0" fillId="7" fontId="55" numFmtId="0" xfId="0" applyAlignment="1" applyFill="1" applyFont="1">
      <alignment horizontal="left" readingOrder="0"/>
    </xf>
    <xf borderId="0" fillId="0" fontId="59" numFmtId="0" xfId="0" applyAlignment="1" applyFont="1">
      <alignment horizontal="center" shrinkToFit="0" wrapText="0"/>
    </xf>
    <xf borderId="0" fillId="4" fontId="44" numFmtId="166" xfId="0" applyAlignment="1" applyFont="1" applyNumberFormat="1">
      <alignment readingOrder="0" vertical="bottom"/>
    </xf>
    <xf borderId="0" fillId="0" fontId="60" numFmtId="0" xfId="0" applyFont="1"/>
    <xf borderId="0" fillId="0" fontId="7" numFmtId="49" xfId="0" applyFont="1" applyNumberFormat="1"/>
    <xf borderId="10" fillId="4" fontId="54" numFmtId="164" xfId="0" applyAlignment="1" applyBorder="1" applyFont="1" applyNumberFormat="1">
      <alignment horizontal="right" readingOrder="0" vertical="bottom"/>
    </xf>
    <xf borderId="0" fillId="5" fontId="55" numFmtId="0" xfId="0" applyAlignment="1" applyFont="1">
      <alignment horizontal="center" readingOrder="0"/>
    </xf>
    <xf borderId="0" fillId="0" fontId="48" numFmtId="0" xfId="0" applyAlignment="1" applyFont="1">
      <alignment readingOrder="0" vertical="bottom"/>
    </xf>
    <xf borderId="0" fillId="0" fontId="48" numFmtId="0" xfId="0" applyAlignment="1" applyFont="1">
      <alignment horizontal="center" readingOrder="0" vertical="bottom"/>
    </xf>
    <xf borderId="0" fillId="0" fontId="48" numFmtId="167" xfId="0" applyAlignment="1" applyFont="1" applyNumberFormat="1">
      <alignment readingOrder="0"/>
    </xf>
    <xf borderId="0" fillId="0" fontId="61" numFmtId="0" xfId="0" applyAlignment="1" applyFont="1">
      <alignment readingOrder="0"/>
    </xf>
    <xf borderId="0" fillId="0" fontId="62" numFmtId="0" xfId="0" applyAlignment="1" applyFont="1">
      <alignment readingOrder="0"/>
    </xf>
    <xf borderId="0" fillId="0" fontId="63" numFmtId="0" xfId="0" applyAlignment="1" applyFont="1">
      <alignment horizontal="left" readingOrder="0"/>
    </xf>
    <xf borderId="0" fillId="0" fontId="64" numFmtId="167" xfId="0" applyAlignment="1" applyFont="1" applyNumberFormat="1">
      <alignment readingOrder="0"/>
    </xf>
    <xf borderId="0" fillId="0" fontId="65" numFmtId="0" xfId="0" applyAlignment="1" applyFont="1">
      <alignment readingOrder="0" shrinkToFit="0" wrapText="1"/>
    </xf>
    <xf borderId="0" fillId="0" fontId="66" numFmtId="0" xfId="0" applyAlignment="1" applyFont="1">
      <alignment horizontal="left" readingOrder="0" shrinkToFit="0" wrapText="1"/>
    </xf>
    <xf borderId="0" fillId="0" fontId="67" numFmtId="0" xfId="0" applyAlignment="1" applyFont="1">
      <alignment horizontal="left" readingOrder="0"/>
    </xf>
    <xf borderId="0" fillId="0" fontId="68" numFmtId="0" xfId="0" applyAlignment="1" applyFont="1">
      <alignment readingOrder="0" shrinkToFit="0" wrapText="0"/>
    </xf>
    <xf borderId="0" fillId="0" fontId="69" numFmtId="0" xfId="0" applyAlignment="1" applyFont="1">
      <alignment readingOrder="0" shrinkToFit="0" wrapText="0"/>
    </xf>
    <xf borderId="0" fillId="0" fontId="70" numFmtId="0" xfId="0" applyAlignment="1" applyFont="1">
      <alignment readingOrder="0" shrinkToFit="0" wrapText="0"/>
    </xf>
    <xf borderId="0" fillId="0" fontId="71" numFmtId="0" xfId="0" applyAlignment="1" applyFont="1">
      <alignment horizontal="left" readingOrder="0" shrinkToFit="0" wrapText="1"/>
    </xf>
    <xf borderId="0" fillId="0" fontId="72" numFmtId="0" xfId="0" applyAlignment="1" applyFont="1">
      <alignment readingOrder="0" shrinkToFit="0" wrapText="1"/>
    </xf>
    <xf borderId="0" fillId="0" fontId="73" numFmtId="0" xfId="0" applyAlignment="1" applyFont="1">
      <alignment readingOrder="0"/>
    </xf>
    <xf borderId="0" fillId="0" fontId="74" numFmtId="0" xfId="0" applyAlignment="1" applyFont="1">
      <alignment readingOrder="0" shrinkToFit="0" wrapText="1"/>
    </xf>
    <xf borderId="0" fillId="0" fontId="75" numFmtId="0" xfId="0" applyAlignment="1" applyFont="1">
      <alignment horizontal="left" readingOrder="0"/>
    </xf>
    <xf borderId="0" fillId="0" fontId="76" numFmtId="0" xfId="0" applyAlignment="1" applyFont="1">
      <alignment readingOrder="0"/>
    </xf>
    <xf borderId="0" fillId="0" fontId="7" numFmtId="164" xfId="0" applyAlignment="1" applyFont="1" applyNumberFormat="1">
      <alignment horizontal="right" readingOrder="0"/>
    </xf>
    <xf borderId="0" fillId="0" fontId="7" numFmtId="164" xfId="0" applyAlignment="1" applyFont="1" applyNumberFormat="1">
      <alignment horizontal="left" readingOrder="0"/>
    </xf>
    <xf borderId="0" fillId="0" fontId="7" numFmtId="164" xfId="0" applyFont="1" applyNumberFormat="1"/>
    <xf borderId="8" fillId="4" fontId="41" numFmtId="0" xfId="0" applyAlignment="1" applyBorder="1" applyFont="1">
      <alignment horizontal="left" readingOrder="0" vertical="bottom"/>
    </xf>
    <xf borderId="0" fillId="4" fontId="42" numFmtId="0" xfId="0" applyAlignment="1" applyFont="1">
      <alignment horizontal="left"/>
    </xf>
    <xf borderId="11" fillId="4" fontId="44" numFmtId="165" xfId="0" applyAlignment="1" applyBorder="1" applyFont="1" applyNumberFormat="1">
      <alignment vertical="bottom"/>
    </xf>
    <xf borderId="0" fillId="4" fontId="44" numFmtId="165" xfId="0" applyAlignment="1" applyFont="1" applyNumberFormat="1">
      <alignment vertical="bottom"/>
    </xf>
    <xf borderId="12" fillId="4" fontId="44" numFmtId="165" xfId="0" applyAlignment="1" applyBorder="1" applyFont="1" applyNumberFormat="1">
      <alignment vertical="bottom"/>
    </xf>
    <xf borderId="0" fillId="4" fontId="44" numFmtId="165" xfId="0" applyAlignment="1" applyFont="1" applyNumberFormat="1">
      <alignment shrinkToFit="0" wrapText="0"/>
    </xf>
  </cellXfs>
  <cellStyles count="1">
    <cellStyle xfId="0" name="Normal" builtinId="0"/>
  </cellStyles>
  <dxfs count="11">
    <dxf>
      <font/>
      <fill>
        <patternFill patternType="solid">
          <fgColor rgb="FFEA4335"/>
          <bgColor rgb="FFEA4335"/>
        </patternFill>
      </fill>
      <border/>
    </dxf>
    <dxf>
      <font/>
      <fill>
        <patternFill patternType="solid">
          <fgColor rgb="FF34A853"/>
          <bgColor rgb="FF34A853"/>
        </patternFill>
      </fill>
      <border/>
    </dxf>
    <dxf>
      <font/>
      <fill>
        <patternFill patternType="solid">
          <fgColor rgb="FFB7E1CD"/>
          <bgColor rgb="FFB7E1CD"/>
        </patternFill>
      </fill>
      <border/>
    </dxf>
    <dxf>
      <font/>
      <fill>
        <patternFill patternType="solid">
          <fgColor rgb="FFF4CCCC"/>
          <bgColor rgb="FFF4CCCC"/>
        </patternFill>
      </fill>
      <border/>
    </dxf>
    <dxf>
      <font>
        <color theme="0"/>
      </font>
      <fill>
        <patternFill patternType="solid">
          <fgColor rgb="FFFFFFFF"/>
          <bgColor rgb="FFFFFFFF"/>
        </patternFill>
      </fill>
      <border/>
    </dxf>
    <dxf>
      <font>
        <b/>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0000"/>
          <bgColor rgb="FFFF0000"/>
        </patternFill>
      </fill>
      <border/>
    </dxf>
  </dxfs>
  <tableStyles count="53">
    <tableStyle count="3" pivot="0" name="Round 2-style">
      <tableStyleElement dxfId="8" type="headerRow"/>
      <tableStyleElement dxfId="9" type="firstRowStripe"/>
      <tableStyleElement dxfId="8" type="secondRowStripe"/>
    </tableStyle>
    <tableStyle count="3" pivot="0" name="Round 2-style 2">
      <tableStyleElement dxfId="8" type="headerRow"/>
      <tableStyleElement dxfId="9" type="firstRowStripe"/>
      <tableStyleElement dxfId="8" type="secondRowStripe"/>
    </tableStyle>
    <tableStyle count="2" pivot="0" name="Round 2-style 3">
      <tableStyleElement dxfId="9" type="firstRowStripe"/>
      <tableStyleElement dxfId="8" type="secondRowStripe"/>
    </tableStyle>
    <tableStyle count="3" pivot="0" name="Round 2-style 4">
      <tableStyleElement dxfId="8" type="headerRow"/>
      <tableStyleElement dxfId="9" type="firstRowStripe"/>
      <tableStyleElement dxfId="8" type="secondRowStripe"/>
    </tableStyle>
    <tableStyle count="3" pivot="0" name="Round 2-style 5">
      <tableStyleElement dxfId="8" type="headerRow"/>
      <tableStyleElement dxfId="9" type="firstRowStripe"/>
      <tableStyleElement dxfId="8" type="secondRowStripe"/>
    </tableStyle>
    <tableStyle count="2" pivot="0" name="Round 2-style 6">
      <tableStyleElement dxfId="9" type="firstRowStripe"/>
      <tableStyleElement dxfId="8" type="secondRowStripe"/>
    </tableStyle>
    <tableStyle count="3" pivot="0" name="Round 2-style 7">
      <tableStyleElement dxfId="8" type="headerRow"/>
      <tableStyleElement dxfId="9" type="firstRowStripe"/>
      <tableStyleElement dxfId="8" type="secondRowStripe"/>
    </tableStyle>
    <tableStyle count="2" pivot="0" name="Round 2-style 8">
      <tableStyleElement dxfId="9" type="firstRowStripe"/>
      <tableStyleElement dxfId="8" type="secondRowStripe"/>
    </tableStyle>
    <tableStyle count="3" pivot="0" name="Round 2-style 9">
      <tableStyleElement dxfId="8" type="headerRow"/>
      <tableStyleElement dxfId="9" type="firstRowStripe"/>
      <tableStyleElement dxfId="8" type="secondRowStripe"/>
    </tableStyle>
    <tableStyle count="3" pivot="0" name="Round 3-style">
      <tableStyleElement dxfId="8" type="headerRow"/>
      <tableStyleElement dxfId="9" type="firstRowStripe"/>
      <tableStyleElement dxfId="8" type="secondRowStripe"/>
    </tableStyle>
    <tableStyle count="3" pivot="0" name="Round 3-style 2">
      <tableStyleElement dxfId="8" type="headerRow"/>
      <tableStyleElement dxfId="9" type="firstRowStripe"/>
      <tableStyleElement dxfId="8" type="secondRowStripe"/>
    </tableStyle>
    <tableStyle count="2" pivot="0" name="Round 3-style 3">
      <tableStyleElement dxfId="9" type="firstRowStripe"/>
      <tableStyleElement dxfId="8" type="secondRowStripe"/>
    </tableStyle>
    <tableStyle count="3" pivot="0" name="Round 3-style 4">
      <tableStyleElement dxfId="8" type="headerRow"/>
      <tableStyleElement dxfId="9" type="firstRowStripe"/>
      <tableStyleElement dxfId="8" type="secondRowStripe"/>
    </tableStyle>
    <tableStyle count="3" pivot="0" name="Round 3-style 5">
      <tableStyleElement dxfId="8" type="headerRow"/>
      <tableStyleElement dxfId="9" type="firstRowStripe"/>
      <tableStyleElement dxfId="8" type="secondRowStripe"/>
    </tableStyle>
    <tableStyle count="2" pivot="0" name="Round 3-style 6">
      <tableStyleElement dxfId="9" type="firstRowStripe"/>
      <tableStyleElement dxfId="8" type="secondRowStripe"/>
    </tableStyle>
    <tableStyle count="3" pivot="0" name="Round 3-style 7">
      <tableStyleElement dxfId="8" type="headerRow"/>
      <tableStyleElement dxfId="9" type="firstRowStripe"/>
      <tableStyleElement dxfId="8" type="secondRowStripe"/>
    </tableStyle>
    <tableStyle count="2" pivot="0" name="Round 3-style 8">
      <tableStyleElement dxfId="9" type="firstRowStripe"/>
      <tableStyleElement dxfId="8" type="secondRowStripe"/>
    </tableStyle>
    <tableStyle count="3" pivot="0" name="Round 3-style 9">
      <tableStyleElement dxfId="8" type="headerRow"/>
      <tableStyleElement dxfId="9" type="firstRowStripe"/>
      <tableStyleElement dxfId="8" type="secondRowStripe"/>
    </tableStyle>
    <tableStyle count="3" pivot="0" name="Round 4-style">
      <tableStyleElement dxfId="8" type="headerRow"/>
      <tableStyleElement dxfId="9" type="firstRowStripe"/>
      <tableStyleElement dxfId="8" type="secondRowStripe"/>
    </tableStyle>
    <tableStyle count="3" pivot="0" name="Round 4-style 2">
      <tableStyleElement dxfId="8" type="headerRow"/>
      <tableStyleElement dxfId="9" type="firstRowStripe"/>
      <tableStyleElement dxfId="8" type="secondRowStripe"/>
    </tableStyle>
    <tableStyle count="2" pivot="0" name="Round 4-style 3">
      <tableStyleElement dxfId="9" type="firstRowStripe"/>
      <tableStyleElement dxfId="8" type="secondRowStripe"/>
    </tableStyle>
    <tableStyle count="3" pivot="0" name="Round 4-style 4">
      <tableStyleElement dxfId="8" type="headerRow"/>
      <tableStyleElement dxfId="9" type="firstRowStripe"/>
      <tableStyleElement dxfId="8" type="secondRowStripe"/>
    </tableStyle>
    <tableStyle count="3" pivot="0" name="Round 4-style 5">
      <tableStyleElement dxfId="8" type="headerRow"/>
      <tableStyleElement dxfId="9" type="firstRowStripe"/>
      <tableStyleElement dxfId="8" type="secondRowStripe"/>
    </tableStyle>
    <tableStyle count="2" pivot="0" name="Round 4-style 6">
      <tableStyleElement dxfId="9" type="firstRowStripe"/>
      <tableStyleElement dxfId="8" type="secondRowStripe"/>
    </tableStyle>
    <tableStyle count="3" pivot="0" name="Round 4-style 7">
      <tableStyleElement dxfId="8" type="headerRow"/>
      <tableStyleElement dxfId="9" type="firstRowStripe"/>
      <tableStyleElement dxfId="8" type="secondRowStripe"/>
    </tableStyle>
    <tableStyle count="2" pivot="0" name="Round 4-style 8">
      <tableStyleElement dxfId="9" type="firstRowStripe"/>
      <tableStyleElement dxfId="8" type="secondRowStripe"/>
    </tableStyle>
    <tableStyle count="3" pivot="0" name="Round 5-style">
      <tableStyleElement dxfId="8" type="headerRow"/>
      <tableStyleElement dxfId="9" type="firstRowStripe"/>
      <tableStyleElement dxfId="8" type="secondRowStripe"/>
    </tableStyle>
    <tableStyle count="3" pivot="0" name="Round 5-style 2">
      <tableStyleElement dxfId="8" type="headerRow"/>
      <tableStyleElement dxfId="9" type="firstRowStripe"/>
      <tableStyleElement dxfId="8" type="secondRowStripe"/>
    </tableStyle>
    <tableStyle count="2" pivot="0" name="Round 5-style 3">
      <tableStyleElement dxfId="9" type="firstRowStripe"/>
      <tableStyleElement dxfId="8" type="secondRowStripe"/>
    </tableStyle>
    <tableStyle count="3" pivot="0" name="Round 5-style 4">
      <tableStyleElement dxfId="8" type="headerRow"/>
      <tableStyleElement dxfId="9" type="firstRowStripe"/>
      <tableStyleElement dxfId="8" type="secondRowStripe"/>
    </tableStyle>
    <tableStyle count="3" pivot="0" name="Round 5-style 5">
      <tableStyleElement dxfId="8" type="headerRow"/>
      <tableStyleElement dxfId="9" type="firstRowStripe"/>
      <tableStyleElement dxfId="8" type="secondRowStripe"/>
    </tableStyle>
    <tableStyle count="2" pivot="0" name="Round 5-style 6">
      <tableStyleElement dxfId="9" type="firstRowStripe"/>
      <tableStyleElement dxfId="8" type="secondRowStripe"/>
    </tableStyle>
    <tableStyle count="3" pivot="0" name="Round 5-style 7">
      <tableStyleElement dxfId="8" type="headerRow"/>
      <tableStyleElement dxfId="9" type="firstRowStripe"/>
      <tableStyleElement dxfId="8" type="secondRowStripe"/>
    </tableStyle>
    <tableStyle count="3" pivot="0" name="Round 6-style">
      <tableStyleElement dxfId="8" type="headerRow"/>
      <tableStyleElement dxfId="9" type="firstRowStripe"/>
      <tableStyleElement dxfId="8" type="secondRowStripe"/>
    </tableStyle>
    <tableStyle count="3" pivot="0" name="Round 6-style 2">
      <tableStyleElement dxfId="8" type="headerRow"/>
      <tableStyleElement dxfId="9" type="firstRowStripe"/>
      <tableStyleElement dxfId="8" type="secondRowStripe"/>
    </tableStyle>
    <tableStyle count="2" pivot="0" name="Round 6-style 3">
      <tableStyleElement dxfId="9" type="firstRowStripe"/>
      <tableStyleElement dxfId="8" type="secondRowStripe"/>
    </tableStyle>
    <tableStyle count="3" pivot="0" name="Round 6-style 4">
      <tableStyleElement dxfId="8" type="headerRow"/>
      <tableStyleElement dxfId="9" type="firstRowStripe"/>
      <tableStyleElement dxfId="8" type="secondRowStripe"/>
    </tableStyle>
    <tableStyle count="3" pivot="0" name="Round 6-style 5">
      <tableStyleElement dxfId="8" type="headerRow"/>
      <tableStyleElement dxfId="9" type="firstRowStripe"/>
      <tableStyleElement dxfId="8" type="secondRowStripe"/>
    </tableStyle>
    <tableStyle count="3" pivot="0" name="Round 7-style">
      <tableStyleElement dxfId="8" type="headerRow"/>
      <tableStyleElement dxfId="9" type="firstRowStripe"/>
      <tableStyleElement dxfId="8" type="secondRowStripe"/>
    </tableStyle>
    <tableStyle count="3" pivot="0" name="Round 7-style 2">
      <tableStyleElement dxfId="8" type="headerRow"/>
      <tableStyleElement dxfId="9" type="firstRowStripe"/>
      <tableStyleElement dxfId="8" type="secondRowStripe"/>
    </tableStyle>
    <tableStyle count="2" pivot="0" name="Round 7-style 3">
      <tableStyleElement dxfId="8" type="firstRowStripe"/>
      <tableStyleElement dxfId="9" type="secondRowStripe"/>
    </tableStyle>
    <tableStyle count="3" pivot="0" name="Round 7-style 4">
      <tableStyleElement dxfId="8" type="headerRow"/>
      <tableStyleElement dxfId="9" type="firstRowStripe"/>
      <tableStyleElement dxfId="8" type="secondRowStripe"/>
    </tableStyle>
    <tableStyle count="2" pivot="0" name="Round 7-style 5">
      <tableStyleElement dxfId="9" type="firstRowStripe"/>
      <tableStyleElement dxfId="8" type="secondRowStripe"/>
    </tableStyle>
    <tableStyle count="2" pivot="0" name="Round 7-style 6">
      <tableStyleElement dxfId="9" type="firstRowStripe"/>
      <tableStyleElement dxfId="8" type="secondRowStripe"/>
    </tableStyle>
    <tableStyle count="2" pivot="0" name="Round 7-style 7">
      <tableStyleElement dxfId="9" type="firstRowStripe"/>
      <tableStyleElement dxfId="8" type="secondRowStripe"/>
    </tableStyle>
    <tableStyle count="3" pivot="0" name="Round 7-style 8">
      <tableStyleElement dxfId="8" type="headerRow"/>
      <tableStyleElement dxfId="9" type="firstRowStripe"/>
      <tableStyleElement dxfId="8" type="secondRowStripe"/>
    </tableStyle>
    <tableStyle count="3" pivot="0" name="Round 8-style">
      <tableStyleElement dxfId="8" type="headerRow"/>
      <tableStyleElement dxfId="9" type="firstRowStripe"/>
      <tableStyleElement dxfId="8" type="secondRowStripe"/>
    </tableStyle>
    <tableStyle count="3" pivot="0" name="Round 8-style 2">
      <tableStyleElement dxfId="8" type="headerRow"/>
      <tableStyleElement dxfId="9" type="firstRowStripe"/>
      <tableStyleElement dxfId="8" type="secondRowStripe"/>
    </tableStyle>
    <tableStyle count="2" pivot="0" name="Round 8-style 3">
      <tableStyleElement dxfId="9" type="firstRowStripe"/>
      <tableStyleElement dxfId="8" type="secondRowStripe"/>
    </tableStyle>
    <tableStyle count="3" pivot="0" name="Round 9-style">
      <tableStyleElement dxfId="8" type="headerRow"/>
      <tableStyleElement dxfId="9" type="firstRowStripe"/>
      <tableStyleElement dxfId="8" type="secondRowStripe"/>
    </tableStyle>
    <tableStyle count="3" pivot="0" name="Round 9-style 2">
      <tableStyleElement dxfId="8" type="headerRow"/>
      <tableStyleElement dxfId="9" type="firstRowStripe"/>
      <tableStyleElement dxfId="8" type="secondRowStripe"/>
    </tableStyle>
    <tableStyle count="3" pivot="0" name="Round 10-style">
      <tableStyleElement dxfId="8" type="headerRow"/>
      <tableStyleElement dxfId="9" type="firstRowStripe"/>
      <tableStyleElement dxfId="8" type="secondRowStripe"/>
    </tableStyle>
    <tableStyle count="3" pivot="0" name="Play In Round-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3:G41" displayName="Table_1" name="Table_1" id="1">
  <tableColumns count="5">
    <tableColumn name="Altina" id="1"/>
    <tableColumn name="Game 1" id="2"/>
    <tableColumn name="Game 2" id="3"/>
    <tableColumn name="" id="4"/>
    <tableColumn name="luisin" id="5"/>
  </tableColumns>
  <tableStyleInfo name="Round 2-style" showColumnStripes="0" showFirstColumn="1" showLastColumn="1" showRowStripes="1"/>
</table>
</file>

<file path=xl/tables/table2.xml><?xml version="1.0" encoding="utf-8"?>
<table xmlns="http://schemas.openxmlformats.org/spreadsheetml/2006/main" ref="C43:G81" displayName="Table_2" name="Table_2" id="2">
  <tableColumns count="5">
    <tableColumn name="Don Tonionie" id="1"/>
    <tableColumn name="Game 1" id="2"/>
    <tableColumn name="Game 2" id="3"/>
    <tableColumn name="" id="4"/>
    <tableColumn name="scurrying_snail" id="5"/>
  </tableColumns>
  <tableStyleInfo name="Round 2-style 2" showColumnStripes="0" showFirstColumn="1" showLastColumn="1" showRowStripes="1"/>
</table>
</file>

<file path=xl/tables/table3.xml><?xml version="1.0" encoding="utf-8"?>
<table xmlns="http://schemas.openxmlformats.org/spreadsheetml/2006/main" headerRowCount="0" ref="C83:G121" displayName="Table_3" name="Table_3" id="3">
  <tableColumns count="5">
    <tableColumn name="Column1" id="1"/>
    <tableColumn name="Column2" id="2"/>
    <tableColumn name="Column3" id="3"/>
    <tableColumn name="Column4" id="4"/>
    <tableColumn name="Column5" id="5"/>
  </tableColumns>
  <tableStyleInfo name="Round 2-style 3" showColumnStripes="0" showFirstColumn="1" showLastColumn="1" showRowStripes="1"/>
</table>
</file>

<file path=xl/tables/table4.xml><?xml version="1.0" encoding="utf-8"?>
<table xmlns="http://schemas.openxmlformats.org/spreadsheetml/2006/main" ref="C123:G161" displayName="Table_4" name="Table_4" id="4">
  <tableColumns count="5">
    <tableColumn name="Aahaahaah" id="1"/>
    <tableColumn name="Game 1" id="2"/>
    <tableColumn name="Game 2" id="3"/>
    <tableColumn name="Game 3" id="4"/>
    <tableColumn name="Typlion" id="5"/>
  </tableColumns>
  <tableStyleInfo name="Round 2-style 4" showColumnStripes="0" showFirstColumn="1" showLastColumn="1" showRowStripes="1"/>
</table>
</file>

<file path=xl/tables/table5.xml><?xml version="1.0" encoding="utf-8"?>
<table xmlns="http://schemas.openxmlformats.org/spreadsheetml/2006/main" ref="C163:G201" displayName="Table_5" name="Table_5" id="5">
  <tableColumns count="5">
    <tableColumn name="swope" id="1"/>
    <tableColumn name="Game 1" id="2"/>
    <tableColumn name="Game 2" id="3"/>
    <tableColumn name="" id="4"/>
    <tableColumn name="_uka" id="5"/>
  </tableColumns>
  <tableStyleInfo name="Round 2-style 5" showColumnStripes="0" showFirstColumn="1" showLastColumn="1" showRowStripes="1"/>
</table>
</file>

<file path=xl/tables/table6.xml><?xml version="1.0" encoding="utf-8"?>
<table xmlns="http://schemas.openxmlformats.org/spreadsheetml/2006/main" headerRowCount="0" ref="C203:G241" displayName="Table_6" name="Table_6" id="6">
  <tableColumns count="5">
    <tableColumn name="Column1" id="1"/>
    <tableColumn name="Column2" id="2"/>
    <tableColumn name="Column3" id="3"/>
    <tableColumn name="Column4" id="4"/>
    <tableColumn name="Column5" id="5"/>
  </tableColumns>
  <tableStyleInfo name="Round 2-style 6" showColumnStripes="0" showFirstColumn="1" showLastColumn="1" showRowStripes="1"/>
</table>
</file>

<file path=xl/tables/table7.xml><?xml version="1.0" encoding="utf-8"?>
<table xmlns="http://schemas.openxmlformats.org/spreadsheetml/2006/main" ref="C243:G281" displayName="Table_7" name="Table_7" id="7">
  <tableColumns count="5">
    <tableColumn name="enkiduofficial" id="1"/>
    <tableColumn name="Game 1" id="2"/>
    <tableColumn name="Game 2" id="3"/>
    <tableColumn name="Game 3" id="4"/>
    <tableColumn name="ViciousCricket" id="5"/>
  </tableColumns>
  <tableStyleInfo name="Round 2-style 7" showColumnStripes="0" showFirstColumn="1" showLastColumn="1" showRowStripes="1"/>
</table>
</file>

<file path=xl/tables/table8.xml><?xml version="1.0" encoding="utf-8"?>
<table xmlns="http://schemas.openxmlformats.org/spreadsheetml/2006/main" headerRowCount="0" ref="C283:G321" displayName="Table_8" name="Table_8" id="8">
  <tableColumns count="5">
    <tableColumn name="Column1" id="1"/>
    <tableColumn name="Column2" id="2"/>
    <tableColumn name="Column3" id="3"/>
    <tableColumn name="Column4" id="4"/>
    <tableColumn name="Column5" id="5"/>
  </tableColumns>
  <tableStyleInfo name="Round 2-style 8" showColumnStripes="0" showFirstColumn="1" showLastColumn="1" showRowStripes="1"/>
</table>
</file>

<file path=xl/tables/table9.xml><?xml version="1.0" encoding="utf-8"?>
<table xmlns="http://schemas.openxmlformats.org/spreadsheetml/2006/main" ref="C323:G361" displayName="Table_9" name="Table_9" id="9">
  <tableColumns count="5">
    <tableColumn name="Fierros47" id="1"/>
    <tableColumn name="Game 1" id="2"/>
    <tableColumn name="Game 2" id="3"/>
    <tableColumn name="Game 3" id="4"/>
    <tableColumn name="treeshhhh" id="5"/>
  </tableColumns>
  <tableStyleInfo name="Round 2-style 9" showColumnStripes="0" showFirstColumn="1" showLastColumn="1" showRowStripes="1"/>
</table>
</file>

<file path=xl/tables/table10.xml><?xml version="1.0" encoding="utf-8"?>
<table xmlns="http://schemas.openxmlformats.org/spreadsheetml/2006/main" headerRowCount="0" ref="B3:H41"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Round 3-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B43:H81"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Round 3-style 2"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83:H121" displayName="Table_12" name="Table_12" id="12">
  <tableColumns count="7">
    <tableColumn name="Column1" id="1"/>
    <tableColumn name="Column2" id="2"/>
    <tableColumn name="Column3" id="3"/>
    <tableColumn name="Column4" id="4"/>
    <tableColumn name="Column5" id="5"/>
    <tableColumn name="Column6" id="6"/>
    <tableColumn name="Column7" id="7"/>
  </tableColumns>
  <tableStyleInfo name="Round 3-style 3" showColumnStripes="0" showFirstColumn="1" showLastColumn="1" showRowStripes="1"/>
</table>
</file>

<file path=xl/tables/table13.xml><?xml version="1.0" encoding="utf-8"?>
<table xmlns="http://schemas.openxmlformats.org/spreadsheetml/2006/main" headerRowCount="0" ref="B123:H161"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Round 3-style 4"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B163:H201"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Round 3-style 5"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B203:H241"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Round 3-style 6" showColumnStripes="0" showFirstColumn="1" showLastColumn="1" showRowStripes="1"/>
</table>
</file>

<file path=xl/tables/table16.xml><?xml version="1.0" encoding="utf-8"?>
<table xmlns="http://schemas.openxmlformats.org/spreadsheetml/2006/main" headerRowCount="0" ref="B243:H281"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Round 3-style 7"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B283:H321"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Round 3-style 8" showColumnStripes="0" showFirstColumn="1" showLastColumn="1" showRowStripes="1"/>
</table>
</file>

<file path=xl/tables/table18.xml><?xml version="1.0" encoding="utf-8"?>
<table xmlns="http://schemas.openxmlformats.org/spreadsheetml/2006/main" headerRowCount="0" ref="B323:H361" displayName="Table_18" name="Table_18" id="18">
  <tableColumns count="7">
    <tableColumn name="Column1" id="1"/>
    <tableColumn name="Column2" id="2"/>
    <tableColumn name="Column3" id="3"/>
    <tableColumn name="Column4" id="4"/>
    <tableColumn name="Column5" id="5"/>
    <tableColumn name="Column6" id="6"/>
    <tableColumn name="Column7" id="7"/>
  </tableColumns>
  <tableStyleInfo name="Round 3-style 9"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B3:H41"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Round 4-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B42:H81" displayName="Table_20" name="Table_20" id="20">
  <tableColumns count="7">
    <tableColumn name="Column1" id="1"/>
    <tableColumn name="Column2" id="2"/>
    <tableColumn name="Column3" id="3"/>
    <tableColumn name="Column4" id="4"/>
    <tableColumn name="Column5" id="5"/>
    <tableColumn name="Column6" id="6"/>
    <tableColumn name="Column7" id="7"/>
  </tableColumns>
  <tableStyleInfo name="Round 4-style 2"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B82:H121"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Round 4-style 3" showColumnStripes="0" showFirstColumn="1" showLastColumn="1" showRowStripes="1"/>
</table>
</file>

<file path=xl/tables/table22.xml><?xml version="1.0" encoding="utf-8"?>
<table xmlns="http://schemas.openxmlformats.org/spreadsheetml/2006/main" headerRowCount="0" ref="B122:H161"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Round 4-style 4"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B162:H201"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Round 4-style 5"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B202:H241" displayName="Table_24" name="Table_24" id="24">
  <tableColumns count="7">
    <tableColumn name="Column1" id="1"/>
    <tableColumn name="Column2" id="2"/>
    <tableColumn name="Column3" id="3"/>
    <tableColumn name="Column4" id="4"/>
    <tableColumn name="Column5" id="5"/>
    <tableColumn name="Column6" id="6"/>
    <tableColumn name="Column7" id="7"/>
  </tableColumns>
  <tableStyleInfo name="Round 4-style 6" showColumnStripes="0" showFirstColumn="1" showLastColumn="1" showRowStripes="1"/>
</table>
</file>

<file path=xl/tables/table25.xml><?xml version="1.0" encoding="utf-8"?>
<table xmlns="http://schemas.openxmlformats.org/spreadsheetml/2006/main" headerRowCount="0" ref="B242:H281" displayName="Table_25" name="Table_25" id="25">
  <tableColumns count="7">
    <tableColumn name="Column1" id="1"/>
    <tableColumn name="Column2" id="2"/>
    <tableColumn name="Column3" id="3"/>
    <tableColumn name="Column4" id="4"/>
    <tableColumn name="Column5" id="5"/>
    <tableColumn name="Column6" id="6"/>
    <tableColumn name="Column7" id="7"/>
  </tableColumns>
  <tableStyleInfo name="Round 4-style 7"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B282:H315"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Round 4-style 8" showColumnStripes="0" showFirstColumn="1" showLastColumn="1" showRowStripes="1"/>
</table>
</file>

<file path=xl/tables/table27.xml><?xml version="1.0" encoding="utf-8"?>
<table xmlns="http://schemas.openxmlformats.org/spreadsheetml/2006/main" headerRowCount="0" ref="B3:H41" displayName="Table_27" name="Table_27" id="27">
  <tableColumns count="7">
    <tableColumn name="Column1" id="1"/>
    <tableColumn name="Column2" id="2"/>
    <tableColumn name="Column3" id="3"/>
    <tableColumn name="Column4" id="4"/>
    <tableColumn name="Column5" id="5"/>
    <tableColumn name="Column6" id="6"/>
    <tableColumn name="Column7" id="7"/>
  </tableColumns>
  <tableStyleInfo name="Round 5-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B42:H81" displayName="Table_28" name="Table_28" id="28">
  <tableColumns count="7">
    <tableColumn name="Column1" id="1"/>
    <tableColumn name="Column2" id="2"/>
    <tableColumn name="Column3" id="3"/>
    <tableColumn name="Column4" id="4"/>
    <tableColumn name="Column5" id="5"/>
    <tableColumn name="Column6" id="6"/>
    <tableColumn name="Column7" id="7"/>
  </tableColumns>
  <tableStyleInfo name="Round 5-style 2"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B82:H121"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Round 5-style 3" showColumnStripes="0" showFirstColumn="1" showLastColumn="1" showRowStripes="1"/>
</table>
</file>

<file path=xl/tables/table30.xml><?xml version="1.0" encoding="utf-8"?>
<table xmlns="http://schemas.openxmlformats.org/spreadsheetml/2006/main" headerRowCount="0" ref="B122:H161"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Round 5-style 4"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B162:H201"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Round 5-style 5"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B202:H241" displayName="Table_32" name="Table_32" id="32">
  <tableColumns count="7">
    <tableColumn name="Column1" id="1"/>
    <tableColumn name="Column2" id="2"/>
    <tableColumn name="Column3" id="3"/>
    <tableColumn name="Column4" id="4"/>
    <tableColumn name="Column5" id="5"/>
    <tableColumn name="Column6" id="6"/>
    <tableColumn name="Column7" id="7"/>
  </tableColumns>
  <tableStyleInfo name="Round 5-style 6" showColumnStripes="0" showFirstColumn="1" showLastColumn="1" showRowStripes="1"/>
</table>
</file>

<file path=xl/tables/table33.xml><?xml version="1.0" encoding="utf-8"?>
<table xmlns="http://schemas.openxmlformats.org/spreadsheetml/2006/main" headerRowCount="0" ref="B242:H249" displayName="Table_33" name="Table_33" id="33">
  <tableColumns count="7">
    <tableColumn name="Column1" id="1"/>
    <tableColumn name="Column2" id="2"/>
    <tableColumn name="Column3" id="3"/>
    <tableColumn name="Column4" id="4"/>
    <tableColumn name="Column5" id="5"/>
    <tableColumn name="Column6" id="6"/>
    <tableColumn name="Column7" id="7"/>
  </tableColumns>
  <tableStyleInfo name="Round 5-style 7"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B3:H42"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Round 6-style"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B43:H82" displayName="Table_35" name="Table_35" id="35">
  <tableColumns count="7">
    <tableColumn name="Column1" id="1"/>
    <tableColumn name="Column2" id="2"/>
    <tableColumn name="Column3" id="3"/>
    <tableColumn name="Column4" id="4"/>
    <tableColumn name="Column5" id="5"/>
    <tableColumn name="Column6" id="6"/>
    <tableColumn name="Column7" id="7"/>
  </tableColumns>
  <tableStyleInfo name="Round 6-style 2"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B83:H122" displayName="Table_36" name="Table_36" id="36">
  <tableColumns count="7">
    <tableColumn name="Column1" id="1"/>
    <tableColumn name="Column2" id="2"/>
    <tableColumn name="Column3" id="3"/>
    <tableColumn name="Column4" id="4"/>
    <tableColumn name="Column5" id="5"/>
    <tableColumn name="Column6" id="6"/>
    <tableColumn name="Column7" id="7"/>
  </tableColumns>
  <tableStyleInfo name="Round 6-style 3" showColumnStripes="0" showFirstColumn="1" showLastColumn="1" showRowStripes="1"/>
</table>
</file>

<file path=xl/tables/table37.xml><?xml version="1.0" encoding="utf-8"?>
<table xmlns="http://schemas.openxmlformats.org/spreadsheetml/2006/main" headerRowCount="0" ref="B123:H162" displayName="Table_37" name="Table_37" id="37">
  <tableColumns count="7">
    <tableColumn name="Column1" id="1"/>
    <tableColumn name="Column2" id="2"/>
    <tableColumn name="Column3" id="3"/>
    <tableColumn name="Column4" id="4"/>
    <tableColumn name="Column5" id="5"/>
    <tableColumn name="Column6" id="6"/>
    <tableColumn name="Column7" id="7"/>
  </tableColumns>
  <tableStyleInfo name="Round 6-style 4"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B163:H182" displayName="Table_38" name="Table_38" id="38">
  <tableColumns count="7">
    <tableColumn name="Column1" id="1"/>
    <tableColumn name="Column2" id="2"/>
    <tableColumn name="Column3" id="3"/>
    <tableColumn name="Column4" id="4"/>
    <tableColumn name="Column5" id="5"/>
    <tableColumn name="Column6" id="6"/>
    <tableColumn name="Column7" id="7"/>
  </tableColumns>
  <tableStyleInfo name="Round 6-style 5"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B3:H42" displayName="Table_39" name="Table_39" id="39">
  <tableColumns count="7">
    <tableColumn name="Column1" id="1"/>
    <tableColumn name="Column2" id="2"/>
    <tableColumn name="Column3" id="3"/>
    <tableColumn name="Column4" id="4"/>
    <tableColumn name="Column5" id="5"/>
    <tableColumn name="Column6" id="6"/>
    <tableColumn name="Column7" id="7"/>
  </tableColumns>
  <tableStyleInfo name="Round 7-style"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B43:H82" displayName="Table_40" name="Table_40" id="40">
  <tableColumns count="7">
    <tableColumn name="Column1" id="1"/>
    <tableColumn name="Column2" id="2"/>
    <tableColumn name="Column3" id="3"/>
    <tableColumn name="Column4" id="4"/>
    <tableColumn name="Column5" id="5"/>
    <tableColumn name="Column6" id="6"/>
    <tableColumn name="Column7" id="7"/>
  </tableColumns>
  <tableStyleInfo name="Round 7-style 2"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66:A73" displayName="Table_41" name="Table_41" id="41">
  <tableColumns count="1">
    <tableColumn name="Column1" id="1"/>
  </tableColumns>
  <tableStyleInfo name="Round 7-style 3" showColumnStripes="0" showFirstColumn="1" showLastColumn="1" showRowStripes="1"/>
</table>
</file>

<file path=xl/tables/table42.xml><?xml version="1.0" encoding="utf-8"?>
<table xmlns="http://schemas.openxmlformats.org/spreadsheetml/2006/main" headerRowCount="0" ref="A74:A95" displayName="Table_42" name="Table_42" id="42">
  <tableColumns count="1">
    <tableColumn name="Column1" id="1"/>
  </tableColumns>
  <tableStyleInfo name="Round 7-style 4"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B83:H122" displayName="Table_43" name="Table_43" id="43">
  <tableColumns count="7">
    <tableColumn name="Column1" id="1"/>
    <tableColumn name="Column2" id="2"/>
    <tableColumn name="Column3" id="3"/>
    <tableColumn name="Column4" id="4"/>
    <tableColumn name="Column5" id="5"/>
    <tableColumn name="Column6" id="6"/>
    <tableColumn name="Column7" id="7"/>
  </tableColumns>
  <tableStyleInfo name="Round 7-style 5" showColumnStripes="0" showFirstColumn="1" showLastColumn="1" showRowStripes="1"/>
</table>
</file>

<file path=xl/tables/table44.xml><?xml version="1.0" encoding="utf-8"?>
<table xmlns="http://schemas.openxmlformats.org/spreadsheetml/2006/main" headerRowCount="0" ref="A97:A113" displayName="Table_44" name="Table_44" id="44">
  <tableColumns count="1">
    <tableColumn name="Column1" id="1"/>
  </tableColumns>
  <tableStyleInfo name="Round 7-style 6" showColumnStripes="0" showFirstColumn="1" showLastColumn="1" showRowStripes="1"/>
</table>
</file>

<file path=xl/tables/table45.xml><?xml version="1.0" encoding="utf-8"?>
<table xmlns="http://schemas.openxmlformats.org/spreadsheetml/2006/main" headerRowCount="0" ref="A114:A126" displayName="Table_45" name="Table_45" id="45">
  <tableColumns count="1">
    <tableColumn name="Column1" id="1"/>
  </tableColumns>
  <tableStyleInfo name="Round 7-style 7" showColumnStripes="0" showFirstColumn="1" showLastColumn="1" showRowStripes="1"/>
</table>
</file>

<file path=xl/tables/table46.xml><?xml version="1.0" encoding="utf-8"?>
<table xmlns="http://schemas.openxmlformats.org/spreadsheetml/2006/main" headerRowCount="0" ref="B123:H126" displayName="Table_46" name="Table_46" id="46">
  <tableColumns count="7">
    <tableColumn name="Column1" id="1"/>
    <tableColumn name="Column2" id="2"/>
    <tableColumn name="Column3" id="3"/>
    <tableColumn name="Column4" id="4"/>
    <tableColumn name="Column5" id="5"/>
    <tableColumn name="Column6" id="6"/>
    <tableColumn name="Column7" id="7"/>
  </tableColumns>
  <tableStyleInfo name="Round 7-style 8"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B3:H40"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Round 8-style" showColumnStripes="0" showFirstColumn="1" showLastColumn="1" showRowStripes="1"/>
  <extLst>
    <ext uri="GoogleSheetsCustomDataVersion1">
      <go:sheetsCustomData xmlns:go="http://customooxmlschemas.google.com/" headerRowCount="1"/>
    </ext>
  </extLst>
</table>
</file>

<file path=xl/tables/table48.xml><?xml version="1.0" encoding="utf-8"?>
<table xmlns="http://schemas.openxmlformats.org/spreadsheetml/2006/main" headerRowCount="0" ref="B41:H80" displayName="Table_48" name="Table_48" id="48">
  <tableColumns count="7">
    <tableColumn name="Column1" id="1"/>
    <tableColumn name="Column2" id="2"/>
    <tableColumn name="Column3" id="3"/>
    <tableColumn name="Column4" id="4"/>
    <tableColumn name="Column5" id="5"/>
    <tableColumn name="Column6" id="6"/>
    <tableColumn name="Column7" id="7"/>
  </tableColumns>
  <tableStyleInfo name="Round 8-style 2"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B81:H84" displayName="Table_49" name="Table_49" id="49">
  <tableColumns count="7">
    <tableColumn name="Column1" id="1"/>
    <tableColumn name="Column2" id="2"/>
    <tableColumn name="Column3" id="3"/>
    <tableColumn name="Column4" id="4"/>
    <tableColumn name="Column5" id="5"/>
    <tableColumn name="Column6" id="6"/>
    <tableColumn name="Column7" id="7"/>
  </tableColumns>
  <tableStyleInfo name="Round 8-style 3" showColumnStripes="0" showFirstColumn="1" showLastColumn="1" showRowStripes="1"/>
</table>
</file>

<file path=xl/tables/table50.xml><?xml version="1.0" encoding="utf-8"?>
<table xmlns="http://schemas.openxmlformats.org/spreadsheetml/2006/main" headerRowCount="0" ref="B3:H39" displayName="Table_50" name="Table_50" id="50">
  <tableColumns count="7">
    <tableColumn name="Column1" id="1"/>
    <tableColumn name="Column2" id="2"/>
    <tableColumn name="Column3" id="3"/>
    <tableColumn name="Column4" id="4"/>
    <tableColumn name="Column5" id="5"/>
    <tableColumn name="Column6" id="6"/>
    <tableColumn name="Column7" id="7"/>
  </tableColumns>
  <tableStyleInfo name="Round 9-style"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B40:H55" displayName="Table_51" name="Table_51" id="51">
  <tableColumns count="7">
    <tableColumn name="Column1" id="1"/>
    <tableColumn name="Column2" id="2"/>
    <tableColumn name="Column3" id="3"/>
    <tableColumn name="Column4" id="4"/>
    <tableColumn name="Column5" id="5"/>
    <tableColumn name="Column6" id="6"/>
    <tableColumn name="Column7" id="7"/>
  </tableColumns>
  <tableStyleInfo name="Round 9-style 2"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B4:H35" displayName="Table_52" name="Table_52" id="52">
  <tableColumns count="7">
    <tableColumn name="Column1" id="1"/>
    <tableColumn name="Column2" id="2"/>
    <tableColumn name="Column3" id="3"/>
    <tableColumn name="Column4" id="4"/>
    <tableColumn name="Column5" id="5"/>
    <tableColumn name="Column6" id="6"/>
    <tableColumn name="Column7" id="7"/>
  </tableColumns>
  <tableStyleInfo name="Round 10-style"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B3:H34" displayName="Table_53" name="Table_53" id="53">
  <tableColumns count="7">
    <tableColumn name="Column1" id="1"/>
    <tableColumn name="Column2" id="2"/>
    <tableColumn name="Column3" id="3"/>
    <tableColumn name="Column4" id="4"/>
    <tableColumn name="Column5" id="5"/>
    <tableColumn name="Column6" id="6"/>
    <tableColumn name="Column7" id="7"/>
  </tableColumns>
  <tableStyleInfo name="Play In Roun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20" Type="http://schemas.openxmlformats.org/officeDocument/2006/relationships/table" Target="../tables/table8.xml"/><Relationship Id="rId21" Type="http://schemas.openxmlformats.org/officeDocument/2006/relationships/table" Target="../tables/table9.xml"/><Relationship Id="rId13" Type="http://schemas.openxmlformats.org/officeDocument/2006/relationships/table" Target="../tables/table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20" Type="http://schemas.openxmlformats.org/officeDocument/2006/relationships/table" Target="../tables/table17.xml"/><Relationship Id="rId21" Type="http://schemas.openxmlformats.org/officeDocument/2006/relationships/table" Target="../tables/table18.xml"/><Relationship Id="rId13" Type="http://schemas.openxmlformats.org/officeDocument/2006/relationships/table" Target="../tables/table10.xml"/><Relationship Id="rId15" Type="http://schemas.openxmlformats.org/officeDocument/2006/relationships/table" Target="../tables/table12.xml"/><Relationship Id="rId14" Type="http://schemas.openxmlformats.org/officeDocument/2006/relationships/table" Target="../tables/table11.xml"/><Relationship Id="rId17" Type="http://schemas.openxmlformats.org/officeDocument/2006/relationships/table" Target="../tables/table14.xml"/><Relationship Id="rId16" Type="http://schemas.openxmlformats.org/officeDocument/2006/relationships/table" Target="../tables/table13.xml"/><Relationship Id="rId19" Type="http://schemas.openxmlformats.org/officeDocument/2006/relationships/table" Target="../tables/table16.xml"/><Relationship Id="rId18"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 Id="rId19" Type="http://schemas.openxmlformats.org/officeDocument/2006/relationships/table" Target="../tables/table26.xml"/><Relationship Id="rId18" Type="http://schemas.openxmlformats.org/officeDocument/2006/relationships/table" Target="../tables/table2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 Id="rId11" Type="http://schemas.openxmlformats.org/officeDocument/2006/relationships/table" Target="../tables/table27.xml"/><Relationship Id="rId13" Type="http://schemas.openxmlformats.org/officeDocument/2006/relationships/table" Target="../tables/table29.xml"/><Relationship Id="rId12" Type="http://schemas.openxmlformats.org/officeDocument/2006/relationships/table" Target="../tables/table28.xml"/><Relationship Id="rId15" Type="http://schemas.openxmlformats.org/officeDocument/2006/relationships/table" Target="../tables/table31.xml"/><Relationship Id="rId14" Type="http://schemas.openxmlformats.org/officeDocument/2006/relationships/table" Target="../tables/table30.xml"/><Relationship Id="rId17" Type="http://schemas.openxmlformats.org/officeDocument/2006/relationships/table" Target="../tables/table33.xml"/><Relationship Id="rId16" Type="http://schemas.openxmlformats.org/officeDocument/2006/relationships/table" Target="../tables/table32.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 Id="rId11" Type="http://schemas.openxmlformats.org/officeDocument/2006/relationships/table" Target="../tables/table36.xml"/><Relationship Id="rId10" Type="http://schemas.openxmlformats.org/officeDocument/2006/relationships/table" Target="../tables/table35.xml"/><Relationship Id="rId13" Type="http://schemas.openxmlformats.org/officeDocument/2006/relationships/table" Target="../tables/table38.xml"/><Relationship Id="rId12" Type="http://schemas.openxmlformats.org/officeDocument/2006/relationships/table" Target="../tables/table37.xml"/><Relationship Id="rId9" Type="http://schemas.openxmlformats.org/officeDocument/2006/relationships/table" Target="../tables/table3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 Id="rId13" Type="http://schemas.openxmlformats.org/officeDocument/2006/relationships/table" Target="../tables/table40.xml"/><Relationship Id="rId12" Type="http://schemas.openxmlformats.org/officeDocument/2006/relationships/table" Target="../tables/table39.xml"/><Relationship Id="rId15" Type="http://schemas.openxmlformats.org/officeDocument/2006/relationships/table" Target="../tables/table42.xml"/><Relationship Id="rId14" Type="http://schemas.openxmlformats.org/officeDocument/2006/relationships/table" Target="../tables/table41.xml"/><Relationship Id="rId17" Type="http://schemas.openxmlformats.org/officeDocument/2006/relationships/table" Target="../tables/table44.xml"/><Relationship Id="rId16" Type="http://schemas.openxmlformats.org/officeDocument/2006/relationships/table" Target="../tables/table43.xml"/><Relationship Id="rId19" Type="http://schemas.openxmlformats.org/officeDocument/2006/relationships/table" Target="../tables/table46.xml"/><Relationship Id="rId18" Type="http://schemas.openxmlformats.org/officeDocument/2006/relationships/table" Target="../tables/table4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9" Type="http://schemas.openxmlformats.org/officeDocument/2006/relationships/table" Target="../tables/table49.xml"/><Relationship Id="rId7" Type="http://schemas.openxmlformats.org/officeDocument/2006/relationships/table" Target="../tables/table47.xml"/><Relationship Id="rId8" Type="http://schemas.openxmlformats.org/officeDocument/2006/relationships/table" Target="../tables/table4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6" Type="http://schemas.openxmlformats.org/officeDocument/2006/relationships/table" Target="../tables/table50.xml"/><Relationship Id="rId7" Type="http://schemas.openxmlformats.org/officeDocument/2006/relationships/table" Target="../tables/table5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 Id="rId5" Type="http://schemas.openxmlformats.org/officeDocument/2006/relationships/table" Target="../tables/table52.xml"/></Relationships>
</file>

<file path=xl/worksheets/_rels/sheet13.xml.rels><?xml version="1.0" encoding="UTF-8" standalone="yes"?><Relationships xmlns="http://schemas.openxmlformats.org/package/2006/relationships"><Relationship Id="rId392" Type="http://schemas.openxmlformats.org/officeDocument/2006/relationships/hyperlink" Target="https://replay.pokemonshowdown.com/smogtours-gen3ou-793996" TargetMode="External"/><Relationship Id="rId391" Type="http://schemas.openxmlformats.org/officeDocument/2006/relationships/hyperlink" Target="https://replay.pokemonshowdown.com/smogtours-gen3ou-793993" TargetMode="External"/><Relationship Id="rId390" Type="http://schemas.openxmlformats.org/officeDocument/2006/relationships/hyperlink" Target="https://replay.pokemonshowdown.com/smogtours-gen3ou-794547" TargetMode="External"/><Relationship Id="rId2180" Type="http://schemas.openxmlformats.org/officeDocument/2006/relationships/hyperlink" Target="https://replay.pokemonshowdown.com/smogtours-gen3ou-799632" TargetMode="External"/><Relationship Id="rId2181" Type="http://schemas.openxmlformats.org/officeDocument/2006/relationships/hyperlink" Target="https://replay.pokemonshowdown.com/smogtours-gen3ou-799638" TargetMode="External"/><Relationship Id="rId2182" Type="http://schemas.openxmlformats.org/officeDocument/2006/relationships/hyperlink" Target="https://replay.pokemonshowdown.com/smogtours-gen3ou-799509" TargetMode="External"/><Relationship Id="rId2183" Type="http://schemas.openxmlformats.org/officeDocument/2006/relationships/hyperlink" Target="https://replay.pokemonshowdown.com/smogtours-gen3ou-799513" TargetMode="External"/><Relationship Id="rId385" Type="http://schemas.openxmlformats.org/officeDocument/2006/relationships/hyperlink" Target="https://replay.pokemonshowdown.com/smogtours-gen3ou-794345" TargetMode="External"/><Relationship Id="rId2184" Type="http://schemas.openxmlformats.org/officeDocument/2006/relationships/hyperlink" Target="https://replay.pokemonshowdown.com/smogtours-gen3ou-799503" TargetMode="External"/><Relationship Id="rId384" Type="http://schemas.openxmlformats.org/officeDocument/2006/relationships/hyperlink" Target="https://replay.pokemonshowdown.com/smogtours-gen3ou-794811" TargetMode="External"/><Relationship Id="rId2185" Type="http://schemas.openxmlformats.org/officeDocument/2006/relationships/hyperlink" Target="https://replay.pokemonshowdown.com/smogtours-gen3ou-799504" TargetMode="External"/><Relationship Id="rId383" Type="http://schemas.openxmlformats.org/officeDocument/2006/relationships/hyperlink" Target="https://replay.pokemonshowdown.com/smogtours-gen3ou-794807?p2" TargetMode="External"/><Relationship Id="rId2186" Type="http://schemas.openxmlformats.org/officeDocument/2006/relationships/hyperlink" Target="https://replay.pokemonshowdown.com/smogtours-gen3ou-799506" TargetMode="External"/><Relationship Id="rId382" Type="http://schemas.openxmlformats.org/officeDocument/2006/relationships/hyperlink" Target="https://replay.pokemonshowdown.com/smogtours-gen3ou-794800" TargetMode="External"/><Relationship Id="rId2187" Type="http://schemas.openxmlformats.org/officeDocument/2006/relationships/hyperlink" Target="https://replay.pokemonshowdown.com/smogtours-gen3ou-799815" TargetMode="External"/><Relationship Id="rId389" Type="http://schemas.openxmlformats.org/officeDocument/2006/relationships/hyperlink" Target="https://replay.pokemonshowdown.com/smogtours-gen3ou-794545" TargetMode="External"/><Relationship Id="rId2188" Type="http://schemas.openxmlformats.org/officeDocument/2006/relationships/hyperlink" Target="https://replay.pokemonshowdown.com/smogtours-gen3ou-799816" TargetMode="External"/><Relationship Id="rId388" Type="http://schemas.openxmlformats.org/officeDocument/2006/relationships/hyperlink" Target="https://replay.pokemonshowdown.com/smogtours-gen3ou-794539" TargetMode="External"/><Relationship Id="rId2189" Type="http://schemas.openxmlformats.org/officeDocument/2006/relationships/hyperlink" Target="https://replay.pokemonshowdown.com/smogtours-gen3ou-799823?p2" TargetMode="External"/><Relationship Id="rId387" Type="http://schemas.openxmlformats.org/officeDocument/2006/relationships/hyperlink" Target="https://replay.pokemonshowdown.com/smogtours-gen3ou-794366" TargetMode="External"/><Relationship Id="rId386" Type="http://schemas.openxmlformats.org/officeDocument/2006/relationships/hyperlink" Target="https://replay.pokemonshowdown.com/smogtours-gen3ou-794353" TargetMode="External"/><Relationship Id="rId381" Type="http://schemas.openxmlformats.org/officeDocument/2006/relationships/hyperlink" Target="https://replay.pokemonshowdown.com/smogtours-gen3ou-794814" TargetMode="External"/><Relationship Id="rId380" Type="http://schemas.openxmlformats.org/officeDocument/2006/relationships/hyperlink" Target="https://replay.pokemonshowdown.com/smogtours-gen3ou-794806" TargetMode="External"/><Relationship Id="rId379" Type="http://schemas.openxmlformats.org/officeDocument/2006/relationships/hyperlink" Target="https://replay.pokemonshowdown.com/smogtours-gen3ou-794223" TargetMode="External"/><Relationship Id="rId2170" Type="http://schemas.openxmlformats.org/officeDocument/2006/relationships/hyperlink" Target="https://replay.pokemonshowdown.com/smogtours-gen3ou-799409" TargetMode="External"/><Relationship Id="rId2171" Type="http://schemas.openxmlformats.org/officeDocument/2006/relationships/hyperlink" Target="https://replay.pokemonshowdown.com/smogtours-gen3ou-799115" TargetMode="External"/><Relationship Id="rId2172" Type="http://schemas.openxmlformats.org/officeDocument/2006/relationships/hyperlink" Target="https://replay.pokemonshowdown.com/smogtours-gen3ou-799116" TargetMode="External"/><Relationship Id="rId374" Type="http://schemas.openxmlformats.org/officeDocument/2006/relationships/hyperlink" Target="https://replay.pokemonshowdown.com/smogtours-gen3ou-793849" TargetMode="External"/><Relationship Id="rId2173" Type="http://schemas.openxmlformats.org/officeDocument/2006/relationships/hyperlink" Target="https://replay.pokemonshowdown.com/smogtours-gen3ou-799415" TargetMode="External"/><Relationship Id="rId373" Type="http://schemas.openxmlformats.org/officeDocument/2006/relationships/hyperlink" Target="https://replay.pokemonshowdown.com/smogtours-gen3ou-793848" TargetMode="External"/><Relationship Id="rId2174" Type="http://schemas.openxmlformats.org/officeDocument/2006/relationships/hyperlink" Target="https://replay.pokemonshowdown.com/smogtours-gen3ou-799417" TargetMode="External"/><Relationship Id="rId372" Type="http://schemas.openxmlformats.org/officeDocument/2006/relationships/hyperlink" Target="https://replay.pokemonshowdown.com/smogtours-gen3ou-793842" TargetMode="External"/><Relationship Id="rId2175" Type="http://schemas.openxmlformats.org/officeDocument/2006/relationships/hyperlink" Target="https://replay.pokemonshowdown.com/smogtours-gen3ou-799517" TargetMode="External"/><Relationship Id="rId371" Type="http://schemas.openxmlformats.org/officeDocument/2006/relationships/hyperlink" Target="https://replay.pokemonshowdown.com/smogtours-gen3ou-794463" TargetMode="External"/><Relationship Id="rId2176" Type="http://schemas.openxmlformats.org/officeDocument/2006/relationships/hyperlink" Target="https://replay.pokemonshowdown.com/smogtours-gen3ou-799522" TargetMode="External"/><Relationship Id="rId378" Type="http://schemas.openxmlformats.org/officeDocument/2006/relationships/hyperlink" Target="https://replay.pokemonshowdown.com/smogtours-gen3ou-794220?p2" TargetMode="External"/><Relationship Id="rId2177" Type="http://schemas.openxmlformats.org/officeDocument/2006/relationships/hyperlink" Target="https://replay.pokemonshowdown.com/smogtours-gen3ou-799492" TargetMode="External"/><Relationship Id="rId377" Type="http://schemas.openxmlformats.org/officeDocument/2006/relationships/hyperlink" Target="https://replay.pokemonshowdown.com/smogtours-gen3ou-794504?p2" TargetMode="External"/><Relationship Id="rId2178" Type="http://schemas.openxmlformats.org/officeDocument/2006/relationships/hyperlink" Target="https://replay.pokemonshowdown.com/smogtours-gen3ou-799496" TargetMode="External"/><Relationship Id="rId376" Type="http://schemas.openxmlformats.org/officeDocument/2006/relationships/hyperlink" Target="https://replay.pokemonshowdown.com/smogtours-gen3ou-794503?p2" TargetMode="External"/><Relationship Id="rId2179" Type="http://schemas.openxmlformats.org/officeDocument/2006/relationships/hyperlink" Target="https://replay.pokemonshowdown.com/smogtours-gen3ou-799498" TargetMode="External"/><Relationship Id="rId375" Type="http://schemas.openxmlformats.org/officeDocument/2006/relationships/hyperlink" Target="https://replay.pokemonshowdown.com/smogtours-gen3ou-794502" TargetMode="External"/><Relationship Id="rId2190" Type="http://schemas.openxmlformats.org/officeDocument/2006/relationships/hyperlink" Target="https://replay.pokemonshowdown.com/smogtours-gen3ou-799330" TargetMode="External"/><Relationship Id="rId2191" Type="http://schemas.openxmlformats.org/officeDocument/2006/relationships/hyperlink" Target="https://replay.pokemonshowdown.com/smogtours-gen3ou-799336?p2" TargetMode="External"/><Relationship Id="rId2192" Type="http://schemas.openxmlformats.org/officeDocument/2006/relationships/hyperlink" Target="https://replay.pokemonshowdown.com/smogtours-gen3ou-799332" TargetMode="External"/><Relationship Id="rId2193" Type="http://schemas.openxmlformats.org/officeDocument/2006/relationships/hyperlink" Target="https://replay.pokemonshowdown.com/smogtours-gen3ou-799340" TargetMode="External"/><Relationship Id="rId2194" Type="http://schemas.openxmlformats.org/officeDocument/2006/relationships/hyperlink" Target="https://replay.pokemonshowdown.com/smogtours-gen3ou-799347?p2" TargetMode="External"/><Relationship Id="rId396" Type="http://schemas.openxmlformats.org/officeDocument/2006/relationships/hyperlink" Target="https://replay.pokemonshowdown.com/smogtours-gen3ou-794471" TargetMode="External"/><Relationship Id="rId2195" Type="http://schemas.openxmlformats.org/officeDocument/2006/relationships/hyperlink" Target="https://replay.pokemonshowdown.com/smogtours-gen3ou-799301" TargetMode="External"/><Relationship Id="rId395" Type="http://schemas.openxmlformats.org/officeDocument/2006/relationships/hyperlink" Target="https://replay.pokemonshowdown.com/smogtours-gen3ou-794106" TargetMode="External"/><Relationship Id="rId2196" Type="http://schemas.openxmlformats.org/officeDocument/2006/relationships/hyperlink" Target="https://replay.pokemonshowdown.com/smogtours-gen3ou-799304" TargetMode="External"/><Relationship Id="rId394" Type="http://schemas.openxmlformats.org/officeDocument/2006/relationships/hyperlink" Target="https://replay.pokemonshowdown.com/smogtours-gen3ou-794103" TargetMode="External"/><Relationship Id="rId2197" Type="http://schemas.openxmlformats.org/officeDocument/2006/relationships/hyperlink" Target="https://replay.pokemonshowdown.com/smogtours-gen3ou-799307" TargetMode="External"/><Relationship Id="rId393" Type="http://schemas.openxmlformats.org/officeDocument/2006/relationships/hyperlink" Target="https://replay.pokemonshowdown.com/smogtours-gen3ou-794097" TargetMode="External"/><Relationship Id="rId2198" Type="http://schemas.openxmlformats.org/officeDocument/2006/relationships/hyperlink" Target="https://replay.pokemonshowdown.com/smogtours-gen3ou-799745" TargetMode="External"/><Relationship Id="rId2199" Type="http://schemas.openxmlformats.org/officeDocument/2006/relationships/hyperlink" Target="https://replay.pokemonshowdown.com/smogtours-gen3ou-799749" TargetMode="External"/><Relationship Id="rId399" Type="http://schemas.openxmlformats.org/officeDocument/2006/relationships/hyperlink" Target="https://replay.pokemonshowdown.com/smogtours-gen3ou-794784" TargetMode="External"/><Relationship Id="rId398" Type="http://schemas.openxmlformats.org/officeDocument/2006/relationships/hyperlink" Target="https://replay.pokemonshowdown.com/smogtours-gen3ou-794476" TargetMode="External"/><Relationship Id="rId397" Type="http://schemas.openxmlformats.org/officeDocument/2006/relationships/hyperlink" Target="https://replay.pokemonshowdown.com/smogtours-gen3ou-794473" TargetMode="External"/><Relationship Id="rId1730" Type="http://schemas.openxmlformats.org/officeDocument/2006/relationships/hyperlink" Target="https://replay.pokemonshowdown.com/smogtours-gen3ou-798604" TargetMode="External"/><Relationship Id="rId1731" Type="http://schemas.openxmlformats.org/officeDocument/2006/relationships/hyperlink" Target="https://replay.pokemonshowdown.com/smogtours-gen3ou-798687" TargetMode="External"/><Relationship Id="rId1732" Type="http://schemas.openxmlformats.org/officeDocument/2006/relationships/hyperlink" Target="https://replay.pokemonshowdown.com/smogtours-gen3ou-798689" TargetMode="External"/><Relationship Id="rId1733" Type="http://schemas.openxmlformats.org/officeDocument/2006/relationships/hyperlink" Target="https://replay.pokemonshowdown.com/smogtours-gen3ou-798858" TargetMode="External"/><Relationship Id="rId1734" Type="http://schemas.openxmlformats.org/officeDocument/2006/relationships/hyperlink" Target="https://replay.pokemonshowdown.com/smogtours-gen3ou-798861" TargetMode="External"/><Relationship Id="rId1735" Type="http://schemas.openxmlformats.org/officeDocument/2006/relationships/hyperlink" Target="https://replay.pokemonshowdown.com/smogtours-gen3ou-798864" TargetMode="External"/><Relationship Id="rId1736" Type="http://schemas.openxmlformats.org/officeDocument/2006/relationships/hyperlink" Target="https://replay.pokemonshowdown.com/smogtours-gen3ou-798597" TargetMode="External"/><Relationship Id="rId1737" Type="http://schemas.openxmlformats.org/officeDocument/2006/relationships/hyperlink" Target="https://replay.pokemonshowdown.com/smogtours-gen3ou-798598" TargetMode="External"/><Relationship Id="rId1738" Type="http://schemas.openxmlformats.org/officeDocument/2006/relationships/hyperlink" Target="https://replay.pokemonshowdown.com/smogtours-gen3ou-798599" TargetMode="External"/><Relationship Id="rId1739" Type="http://schemas.openxmlformats.org/officeDocument/2006/relationships/hyperlink" Target="https://replay.pokemonshowdown.com/smogtours-gen3ou-797446?p2" TargetMode="External"/><Relationship Id="rId1720" Type="http://schemas.openxmlformats.org/officeDocument/2006/relationships/hyperlink" Target="https://replay.pokemonshowdown.com/smogtours-gen3ou-798799" TargetMode="External"/><Relationship Id="rId1721" Type="http://schemas.openxmlformats.org/officeDocument/2006/relationships/hyperlink" Target="https://replay.pokemonshowdown.com/smogtours-gen3ou-798787" TargetMode="External"/><Relationship Id="rId1722" Type="http://schemas.openxmlformats.org/officeDocument/2006/relationships/hyperlink" Target="https://replay.pokemonshowdown.com/smogtours-gen3ou-798797" TargetMode="External"/><Relationship Id="rId1723" Type="http://schemas.openxmlformats.org/officeDocument/2006/relationships/hyperlink" Target="https://replay.pokemonshowdown.com/smogtours-gen3ou-798806" TargetMode="External"/><Relationship Id="rId1724" Type="http://schemas.openxmlformats.org/officeDocument/2006/relationships/hyperlink" Target="https://replay.pokemonshowdown.com/smogtours-gen3ou-798529" TargetMode="External"/><Relationship Id="rId1725" Type="http://schemas.openxmlformats.org/officeDocument/2006/relationships/hyperlink" Target="https://replay.pokemonshowdown.com/smogtours-gen3ou-798532" TargetMode="External"/><Relationship Id="rId1726" Type="http://schemas.openxmlformats.org/officeDocument/2006/relationships/hyperlink" Target="https://replay.pokemonshowdown.com/smogtours-gen3ou-798655" TargetMode="External"/><Relationship Id="rId1727" Type="http://schemas.openxmlformats.org/officeDocument/2006/relationships/hyperlink" Target="https://replay.pokemonshowdown.com/smogtours-gen3ou-798657" TargetMode="External"/><Relationship Id="rId1728" Type="http://schemas.openxmlformats.org/officeDocument/2006/relationships/hyperlink" Target="https://replay.pokemonshowdown.com/smogtours-gen3ou-798664" TargetMode="External"/><Relationship Id="rId1729" Type="http://schemas.openxmlformats.org/officeDocument/2006/relationships/hyperlink" Target="https://replay.pokemonshowdown.com/smogtours-gen3ou-798603" TargetMode="External"/><Relationship Id="rId1752" Type="http://schemas.openxmlformats.org/officeDocument/2006/relationships/hyperlink" Target="https://replay.pokemonshowdown.com/smogtours-gen3ou-798768" TargetMode="External"/><Relationship Id="rId1753" Type="http://schemas.openxmlformats.org/officeDocument/2006/relationships/hyperlink" Target="https://replay.pokemonshowdown.com/smogtours-gen3ou-798771" TargetMode="External"/><Relationship Id="rId1754" Type="http://schemas.openxmlformats.org/officeDocument/2006/relationships/hyperlink" Target="https://replay.pokemonshowdown.com/smogtours-gen3ou-798570" TargetMode="External"/><Relationship Id="rId1755" Type="http://schemas.openxmlformats.org/officeDocument/2006/relationships/hyperlink" Target="https://replay.pokemonshowdown.com/smogtours-gen3ou-798574" TargetMode="External"/><Relationship Id="rId1756" Type="http://schemas.openxmlformats.org/officeDocument/2006/relationships/hyperlink" Target="https://replay.pokemonshowdown.com/smogtours-gen3ou-797415?p2" TargetMode="External"/><Relationship Id="rId1757" Type="http://schemas.openxmlformats.org/officeDocument/2006/relationships/hyperlink" Target="https://replay.pokemonshowdown.com/smogtours-gen3ou-798688" TargetMode="External"/><Relationship Id="rId1758" Type="http://schemas.openxmlformats.org/officeDocument/2006/relationships/hyperlink" Target="https://replay.pokemonshowdown.com/smogtours-gen3ou-798692" TargetMode="External"/><Relationship Id="rId1759" Type="http://schemas.openxmlformats.org/officeDocument/2006/relationships/hyperlink" Target="https://replay.pokemonshowdown.com/smogtours-gen3ou-797981" TargetMode="External"/><Relationship Id="rId1750" Type="http://schemas.openxmlformats.org/officeDocument/2006/relationships/hyperlink" Target="https://replay.pokemonshowdown.com/smogtours-gen3ou-798427" TargetMode="External"/><Relationship Id="rId1751" Type="http://schemas.openxmlformats.org/officeDocument/2006/relationships/hyperlink" Target="https://replay.pokemonshowdown.com/smogtours-gen3ou-798438" TargetMode="External"/><Relationship Id="rId1741" Type="http://schemas.openxmlformats.org/officeDocument/2006/relationships/hyperlink" Target="https://replay.pokemonshowdown.com/smogtours-gen3ou-797470?p2" TargetMode="External"/><Relationship Id="rId1742" Type="http://schemas.openxmlformats.org/officeDocument/2006/relationships/hyperlink" Target="https://replay.pokemonshowdown.com/smogtours-gen3ou-798464" TargetMode="External"/><Relationship Id="rId1743" Type="http://schemas.openxmlformats.org/officeDocument/2006/relationships/hyperlink" Target="https://replay.pokemonshowdown.com/smogtours-gen3ou-798472" TargetMode="External"/><Relationship Id="rId1744" Type="http://schemas.openxmlformats.org/officeDocument/2006/relationships/hyperlink" Target="https://replay.pokemonshowdown.com/smogtours-gen3ou-798483" TargetMode="External"/><Relationship Id="rId1745" Type="http://schemas.openxmlformats.org/officeDocument/2006/relationships/hyperlink" Target="https://replay.pokemonshowdown.com/smogtours-gen3ou-798613" TargetMode="External"/><Relationship Id="rId1746" Type="http://schemas.openxmlformats.org/officeDocument/2006/relationships/hyperlink" Target="https://replay.pokemonshowdown.com/smogtours-gen3ou-798614" TargetMode="External"/><Relationship Id="rId1747" Type="http://schemas.openxmlformats.org/officeDocument/2006/relationships/hyperlink" Target="https://replay.pokemonshowdown.com/smogtours-gen3ou-798615" TargetMode="External"/><Relationship Id="rId1748" Type="http://schemas.openxmlformats.org/officeDocument/2006/relationships/hyperlink" Target="https://replay.pokemonshowdown.com/smogtours-gen3ou-798659?p2" TargetMode="External"/><Relationship Id="rId1749" Type="http://schemas.openxmlformats.org/officeDocument/2006/relationships/hyperlink" Target="https://replay.pokemonshowdown.com/smogtours-gen3ou-798662" TargetMode="External"/><Relationship Id="rId1740" Type="http://schemas.openxmlformats.org/officeDocument/2006/relationships/hyperlink" Target="https://replay.pokemonshowdown.com/smogtours-gen3ou-797459" TargetMode="External"/><Relationship Id="rId1710" Type="http://schemas.openxmlformats.org/officeDocument/2006/relationships/hyperlink" Target="https://replay.pokemonshowdown.com/smogtours-gen3ou-798836" TargetMode="External"/><Relationship Id="rId1711" Type="http://schemas.openxmlformats.org/officeDocument/2006/relationships/hyperlink" Target="https://replay.pokemonshowdown.com/smogtours-gen3ou-798169" TargetMode="External"/><Relationship Id="rId1712" Type="http://schemas.openxmlformats.org/officeDocument/2006/relationships/hyperlink" Target="https://replay.pokemonshowdown.com/smogtours-gen3ou-798191" TargetMode="External"/><Relationship Id="rId1713" Type="http://schemas.openxmlformats.org/officeDocument/2006/relationships/hyperlink" Target="https://replay.pokemonshowdown.com/smogtours-gen3ou-797139?p2" TargetMode="External"/><Relationship Id="rId1714" Type="http://schemas.openxmlformats.org/officeDocument/2006/relationships/hyperlink" Target="https://replay.pokemonshowdown.com/smogtours-gen3ou-797140" TargetMode="External"/><Relationship Id="rId1715" Type="http://schemas.openxmlformats.org/officeDocument/2006/relationships/hyperlink" Target="https://replay.pokemonshowdown.com/smogtours-gen3ou-797142?p2" TargetMode="External"/><Relationship Id="rId1716" Type="http://schemas.openxmlformats.org/officeDocument/2006/relationships/hyperlink" Target="https://replay.pokemonshowdown.com/smogtours-gen3ou-798091" TargetMode="External"/><Relationship Id="rId1717" Type="http://schemas.openxmlformats.org/officeDocument/2006/relationships/hyperlink" Target="https://replay.pokemonshowdown.com/smogtours-gen3ou-798093" TargetMode="External"/><Relationship Id="rId1718" Type="http://schemas.openxmlformats.org/officeDocument/2006/relationships/hyperlink" Target="https://replay.pokemonshowdown.com/smogtours-gen3ou-798102" TargetMode="External"/><Relationship Id="rId1719" Type="http://schemas.openxmlformats.org/officeDocument/2006/relationships/hyperlink" Target="https://replay.pokemonshowdown.com/smogtours-gen3ou-798794" TargetMode="External"/><Relationship Id="rId1700" Type="http://schemas.openxmlformats.org/officeDocument/2006/relationships/hyperlink" Target="https://replay.pokemonshowdown.com/smogtours-gen3ou-798272" TargetMode="External"/><Relationship Id="rId1701" Type="http://schemas.openxmlformats.org/officeDocument/2006/relationships/hyperlink" Target="https://replay.pokemonshowdown.com/smogtours-gen3ou-798309" TargetMode="External"/><Relationship Id="rId1702" Type="http://schemas.openxmlformats.org/officeDocument/2006/relationships/hyperlink" Target="https://replay.pokemonshowdown.com/smogtours-gen3ou-797191" TargetMode="External"/><Relationship Id="rId1703" Type="http://schemas.openxmlformats.org/officeDocument/2006/relationships/hyperlink" Target="https://replay.pokemonshowdown.com/smogtours-gen3ou-797193" TargetMode="External"/><Relationship Id="rId1704" Type="http://schemas.openxmlformats.org/officeDocument/2006/relationships/hyperlink" Target="https://replay.pokemonshowdown.com/smogtours-gen3ou-797227" TargetMode="External"/><Relationship Id="rId1705" Type="http://schemas.openxmlformats.org/officeDocument/2006/relationships/hyperlink" Target="https://replay.pokemonshowdown.com/smogtours-gen3ou-797231" TargetMode="External"/><Relationship Id="rId1706" Type="http://schemas.openxmlformats.org/officeDocument/2006/relationships/hyperlink" Target="https://replay.pokemonshowdown.com/smogtours-gen3ou-798528" TargetMode="External"/><Relationship Id="rId1707" Type="http://schemas.openxmlformats.org/officeDocument/2006/relationships/hyperlink" Target="https://replay.pokemonshowdown.com/smogtours-gen3ou-798540" TargetMode="External"/><Relationship Id="rId1708" Type="http://schemas.openxmlformats.org/officeDocument/2006/relationships/hyperlink" Target="https://replay.pokemonshowdown.com/smogtours-gen3ou-798822" TargetMode="External"/><Relationship Id="rId1709" Type="http://schemas.openxmlformats.org/officeDocument/2006/relationships/hyperlink" Target="https://replay.pokemonshowdown.com/smogtours-gen3ou-798827" TargetMode="External"/><Relationship Id="rId40" Type="http://schemas.openxmlformats.org/officeDocument/2006/relationships/hyperlink" Target="https://replay.pokemonshowdown.com/smogtours-gen3ou-793777" TargetMode="External"/><Relationship Id="rId3513" Type="http://schemas.openxmlformats.org/officeDocument/2006/relationships/hyperlink" Target="https://replay.pokemonshowdown.com/smogtours-gen3ou-803228" TargetMode="External"/><Relationship Id="rId3512" Type="http://schemas.openxmlformats.org/officeDocument/2006/relationships/hyperlink" Target="https://replay.pokemonshowdown.com/smogtours-gen3ou-803232" TargetMode="External"/><Relationship Id="rId42" Type="http://schemas.openxmlformats.org/officeDocument/2006/relationships/hyperlink" Target="https://replay.pokemonshowdown.com/gen3ou-2213759809" TargetMode="External"/><Relationship Id="rId3515" Type="http://schemas.openxmlformats.org/officeDocument/2006/relationships/hyperlink" Target="https://replay.pokemonshowdown.com/smogtours-gen3ou-803277" TargetMode="External"/><Relationship Id="rId41" Type="http://schemas.openxmlformats.org/officeDocument/2006/relationships/hyperlink" Target="https://replay.pokemonshowdown.com/smogtours-gen3ou-793778" TargetMode="External"/><Relationship Id="rId3514" Type="http://schemas.openxmlformats.org/officeDocument/2006/relationships/hyperlink" Target="https://replay.pokemonshowdown.com/smogtours-gen3ou-803229" TargetMode="External"/><Relationship Id="rId44" Type="http://schemas.openxmlformats.org/officeDocument/2006/relationships/hyperlink" Target="https://replay.pokemonshowdown.com/smogtours-gen3ou-793900" TargetMode="External"/><Relationship Id="rId3517" Type="http://schemas.openxmlformats.org/officeDocument/2006/relationships/hyperlink" Target="https://replay.pokemonshowdown.com/smogtours-gen3ou-803281" TargetMode="External"/><Relationship Id="rId43" Type="http://schemas.openxmlformats.org/officeDocument/2006/relationships/hyperlink" Target="https://replay.pokemonshowdown.com/gen3ou-2213761993" TargetMode="External"/><Relationship Id="rId3516" Type="http://schemas.openxmlformats.org/officeDocument/2006/relationships/hyperlink" Target="https://replay.pokemonshowdown.com/smogtours-gen3ou-803279" TargetMode="External"/><Relationship Id="rId46" Type="http://schemas.openxmlformats.org/officeDocument/2006/relationships/hyperlink" Target="https://replay.pokemonshowdown.com/smogtours-gen3ou-793922" TargetMode="External"/><Relationship Id="rId3519" Type="http://schemas.openxmlformats.org/officeDocument/2006/relationships/hyperlink" Target="https://replay.pokemonshowdown.com/smogtours-gen3ou-803254" TargetMode="External"/><Relationship Id="rId45" Type="http://schemas.openxmlformats.org/officeDocument/2006/relationships/hyperlink" Target="https://replay.pokemonshowdown.com/smogtours-gen3ou-793901" TargetMode="External"/><Relationship Id="rId3518" Type="http://schemas.openxmlformats.org/officeDocument/2006/relationships/hyperlink" Target="https://replay.pokemonshowdown.com/smogtours-gen3ou-803249" TargetMode="External"/><Relationship Id="rId48" Type="http://schemas.openxmlformats.org/officeDocument/2006/relationships/hyperlink" Target="https://replay.pokemonshowdown.com/smogtours-gen3ou-793856" TargetMode="External"/><Relationship Id="rId47" Type="http://schemas.openxmlformats.org/officeDocument/2006/relationships/hyperlink" Target="https://replay.pokemonshowdown.com/smogtours-gen3ou-793923" TargetMode="External"/><Relationship Id="rId49" Type="http://schemas.openxmlformats.org/officeDocument/2006/relationships/hyperlink" Target="https://replay.pokemonshowdown.com/smogtours-gen3ou-793857" TargetMode="External"/><Relationship Id="rId3511" Type="http://schemas.openxmlformats.org/officeDocument/2006/relationships/hyperlink" Target="https://replay.pokemonshowdown.com/smogtours-gen3ou-803231" TargetMode="External"/><Relationship Id="rId3510" Type="http://schemas.openxmlformats.org/officeDocument/2006/relationships/hyperlink" Target="https://replay.pokemonshowdown.com/smogtours-gen3ou-803345" TargetMode="External"/><Relationship Id="rId3502" Type="http://schemas.openxmlformats.org/officeDocument/2006/relationships/hyperlink" Target="https://replay.pokemonshowdown.com/smogtours-gen3ou-803394" TargetMode="External"/><Relationship Id="rId3501" Type="http://schemas.openxmlformats.org/officeDocument/2006/relationships/hyperlink" Target="https://replay.pokemonshowdown.com/smogtours-gen3ou-803387" TargetMode="External"/><Relationship Id="rId31" Type="http://schemas.openxmlformats.org/officeDocument/2006/relationships/hyperlink" Target="https://replay.pokemonshowdown.com/smogtours-gen3ou-793787" TargetMode="External"/><Relationship Id="rId3504" Type="http://schemas.openxmlformats.org/officeDocument/2006/relationships/hyperlink" Target="https://replay.pokemonshowdown.com/smogtours-gen3ou-803386" TargetMode="External"/><Relationship Id="rId30" Type="http://schemas.openxmlformats.org/officeDocument/2006/relationships/hyperlink" Target="https://replay.pokemonshowdown.com/smogtours-gen3ou-793781" TargetMode="External"/><Relationship Id="rId3503" Type="http://schemas.openxmlformats.org/officeDocument/2006/relationships/hyperlink" Target="https://replay.pokemonshowdown.com/smogtours-gen3ou-803395" TargetMode="External"/><Relationship Id="rId33" Type="http://schemas.openxmlformats.org/officeDocument/2006/relationships/hyperlink" Target="https://replay.pokemonshowdown.com/gen3ou-2213772581-q32iwncstf9dmkes3lic2all9d7xog2pw" TargetMode="External"/><Relationship Id="rId3506" Type="http://schemas.openxmlformats.org/officeDocument/2006/relationships/hyperlink" Target="https://replay.pokemonshowdown.com/smogtours-gen3ou-803288" TargetMode="External"/><Relationship Id="rId32" Type="http://schemas.openxmlformats.org/officeDocument/2006/relationships/hyperlink" Target="https://replay.pokemonshowdown.com/gen3ou-2213760778-871i4top30wu9d5mle9llaad6xqjhyfpw" TargetMode="External"/><Relationship Id="rId3505" Type="http://schemas.openxmlformats.org/officeDocument/2006/relationships/hyperlink" Target="https://replay.pokemonshowdown.com/smogtours-gen3ou-803388" TargetMode="External"/><Relationship Id="rId35" Type="http://schemas.openxmlformats.org/officeDocument/2006/relationships/hyperlink" Target="https://replay.pokemonshowdown.com/gen3ou-2213626355-1nnlmcc6qff6qk5y0xoaj6cglcgdlkapw" TargetMode="External"/><Relationship Id="rId3508" Type="http://schemas.openxmlformats.org/officeDocument/2006/relationships/hyperlink" Target="https://replay.pokemonshowdown.com/smogtours-gen3ou-803330" TargetMode="External"/><Relationship Id="rId34" Type="http://schemas.openxmlformats.org/officeDocument/2006/relationships/hyperlink" Target="https://replay.pokemonshowdown.com/gen3ou-2213780205-olsnvnf2aiox1ely5ct1iue94n528u4pw" TargetMode="External"/><Relationship Id="rId3507" Type="http://schemas.openxmlformats.org/officeDocument/2006/relationships/hyperlink" Target="https://replay.pokemonshowdown.com/smogtours-gen3ou-803304" TargetMode="External"/><Relationship Id="rId3509" Type="http://schemas.openxmlformats.org/officeDocument/2006/relationships/hyperlink" Target="https://replay.pokemonshowdown.com/smogtours-gen3ou-803336" TargetMode="External"/><Relationship Id="rId37" Type="http://schemas.openxmlformats.org/officeDocument/2006/relationships/hyperlink" Target="https://replay.pokemonshowdown.com/smogtours-gen3ou-793766" TargetMode="External"/><Relationship Id="rId36" Type="http://schemas.openxmlformats.org/officeDocument/2006/relationships/hyperlink" Target="https://replay.pokemonshowdown.com/gen3ou-2213633888-g94y0m0pz7huw3p7oi97yvjrz6gb4tgpw" TargetMode="External"/><Relationship Id="rId39" Type="http://schemas.openxmlformats.org/officeDocument/2006/relationships/hyperlink" Target="https://replay.pokemonshowdown.com/smogtours-gen3ou-793776" TargetMode="External"/><Relationship Id="rId38" Type="http://schemas.openxmlformats.org/officeDocument/2006/relationships/hyperlink" Target="https://replay.pokemonshowdown.com/smogtours-gen3ou-793769" TargetMode="External"/><Relationship Id="rId3500" Type="http://schemas.openxmlformats.org/officeDocument/2006/relationships/hyperlink" Target="https://replay.pokemonshowdown.com/smogtours-gen3ou-803382" TargetMode="External"/><Relationship Id="rId2203" Type="http://schemas.openxmlformats.org/officeDocument/2006/relationships/hyperlink" Target="https://replay.pokemonshowdown.com/smogtours-gen3ou-799091?p2" TargetMode="External"/><Relationship Id="rId3535" Type="http://schemas.openxmlformats.org/officeDocument/2006/relationships/hyperlink" Target="https://replay.pokemonshowdown.com/smogtours-gen3ou-803313" TargetMode="External"/><Relationship Id="rId2204" Type="http://schemas.openxmlformats.org/officeDocument/2006/relationships/hyperlink" Target="https://replay.pokemonshowdown.com/smogtours-gen3ou-799093?p2" TargetMode="External"/><Relationship Id="rId3534" Type="http://schemas.openxmlformats.org/officeDocument/2006/relationships/hyperlink" Target="https://replay.pokemonshowdown.com/smogtours-gen3ou-803293" TargetMode="External"/><Relationship Id="rId20" Type="http://schemas.openxmlformats.org/officeDocument/2006/relationships/hyperlink" Target="https://replay.pokemonshowdown.com/smogtours-gen3ou-793815" TargetMode="External"/><Relationship Id="rId2205" Type="http://schemas.openxmlformats.org/officeDocument/2006/relationships/hyperlink" Target="https://replay.pokemonshowdown.com/smogtours-gen3ou-799064" TargetMode="External"/><Relationship Id="rId3537" Type="http://schemas.openxmlformats.org/officeDocument/2006/relationships/hyperlink" Target="https://replay.pokemonshowdown.com/smogtours-gen3ou-803175" TargetMode="External"/><Relationship Id="rId2206" Type="http://schemas.openxmlformats.org/officeDocument/2006/relationships/hyperlink" Target="https://replay.pokemonshowdown.com/smogtours-gen3ou-799068" TargetMode="External"/><Relationship Id="rId3536" Type="http://schemas.openxmlformats.org/officeDocument/2006/relationships/hyperlink" Target="https://replay.pokemonshowdown.com/smogtours-gen3ou-803168" TargetMode="External"/><Relationship Id="rId22" Type="http://schemas.openxmlformats.org/officeDocument/2006/relationships/hyperlink" Target="https://replay.pokemonshowdown.com/smogtours-gen3ou-793888" TargetMode="External"/><Relationship Id="rId2207" Type="http://schemas.openxmlformats.org/officeDocument/2006/relationships/hyperlink" Target="https://replay.pokemonshowdown.com/smogtours-gen3ou-799069" TargetMode="External"/><Relationship Id="rId3539" Type="http://schemas.openxmlformats.org/officeDocument/2006/relationships/hyperlink" Target="https://replay.pokemonshowdown.com/smogtours-gen3ou-803418" TargetMode="External"/><Relationship Id="rId21" Type="http://schemas.openxmlformats.org/officeDocument/2006/relationships/hyperlink" Target="https://replay.pokemonshowdown.com/smogtours-gen3ou-793822" TargetMode="External"/><Relationship Id="rId2208" Type="http://schemas.openxmlformats.org/officeDocument/2006/relationships/hyperlink" Target="https://replay.pokemonshowdown.com/smogtours-gen3ou-799301" TargetMode="External"/><Relationship Id="rId3538" Type="http://schemas.openxmlformats.org/officeDocument/2006/relationships/hyperlink" Target="https://replay.pokemonshowdown.com/smogtours-gen3ou-803176" TargetMode="External"/><Relationship Id="rId24" Type="http://schemas.openxmlformats.org/officeDocument/2006/relationships/hyperlink" Target="https://replay.pokemonshowdown.com/smogtours-gen3ou-793861" TargetMode="External"/><Relationship Id="rId2209" Type="http://schemas.openxmlformats.org/officeDocument/2006/relationships/hyperlink" Target="https://replay.pokemonshowdown.com/smogtours-gen3ou-799304" TargetMode="External"/><Relationship Id="rId23" Type="http://schemas.openxmlformats.org/officeDocument/2006/relationships/hyperlink" Target="https://replay.pokemonshowdown.com/smogtours-gen3ou-793890" TargetMode="External"/><Relationship Id="rId26" Type="http://schemas.openxmlformats.org/officeDocument/2006/relationships/hyperlink" Target="https://replay.pokemonshowdown.com/smogtours-gen3ou-793868" TargetMode="External"/><Relationship Id="rId25" Type="http://schemas.openxmlformats.org/officeDocument/2006/relationships/hyperlink" Target="https://replay.pokemonshowdown.com/smogtours-gen3ou-793863?p2" TargetMode="External"/><Relationship Id="rId28" Type="http://schemas.openxmlformats.org/officeDocument/2006/relationships/hyperlink" Target="https://replay.pokemonshowdown.com/smogtours-gen3ou-793894" TargetMode="External"/><Relationship Id="rId27" Type="http://schemas.openxmlformats.org/officeDocument/2006/relationships/hyperlink" Target="https://replay.pokemonshowdown.com/smogtours-gen3ou-793893" TargetMode="External"/><Relationship Id="rId3531" Type="http://schemas.openxmlformats.org/officeDocument/2006/relationships/hyperlink" Target="https://replay.pokemonshowdown.com/smogtours-gen3ou-803344" TargetMode="External"/><Relationship Id="rId29" Type="http://schemas.openxmlformats.org/officeDocument/2006/relationships/hyperlink" Target="https://replay.pokemonshowdown.com/smogtours-gen3ou-793780" TargetMode="External"/><Relationship Id="rId2200" Type="http://schemas.openxmlformats.org/officeDocument/2006/relationships/hyperlink" Target="https://replay.pokemonshowdown.com/smogtours-gen3ou-799063" TargetMode="External"/><Relationship Id="rId3530" Type="http://schemas.openxmlformats.org/officeDocument/2006/relationships/hyperlink" Target="https://replay.pokemonshowdown.com/smogtours-gen3ou-803403" TargetMode="External"/><Relationship Id="rId2201" Type="http://schemas.openxmlformats.org/officeDocument/2006/relationships/hyperlink" Target="https://replay.pokemonshowdown.com/smogtours-gen3ou-799067" TargetMode="External"/><Relationship Id="rId3533" Type="http://schemas.openxmlformats.org/officeDocument/2006/relationships/hyperlink" Target="https://replay.pokemonshowdown.com/smogtours-gen3ou-803287" TargetMode="External"/><Relationship Id="rId2202" Type="http://schemas.openxmlformats.org/officeDocument/2006/relationships/hyperlink" Target="https://replay.pokemonshowdown.com/smogtours-gen3ou-799070" TargetMode="External"/><Relationship Id="rId3532" Type="http://schemas.openxmlformats.org/officeDocument/2006/relationships/hyperlink" Target="https://replay.pokemonshowdown.com/smogtours-gen3ou-803354" TargetMode="External"/><Relationship Id="rId3524" Type="http://schemas.openxmlformats.org/officeDocument/2006/relationships/hyperlink" Target="https://replay.pokemonshowdown.com/smogtours-gen3ou-803308?p2" TargetMode="External"/><Relationship Id="rId3523" Type="http://schemas.openxmlformats.org/officeDocument/2006/relationships/hyperlink" Target="https://replay.pokemonshowdown.com/smogtours-gen3ou-803317?p2" TargetMode="External"/><Relationship Id="rId3526" Type="http://schemas.openxmlformats.org/officeDocument/2006/relationships/hyperlink" Target="https://replay.pokemonshowdown.com/smogtours-gen3ou-803292?p2" TargetMode="External"/><Relationship Id="rId3525" Type="http://schemas.openxmlformats.org/officeDocument/2006/relationships/hyperlink" Target="https://replay.pokemonshowdown.com/smogtours-gen3ou-803294?p2" TargetMode="External"/><Relationship Id="rId11" Type="http://schemas.openxmlformats.org/officeDocument/2006/relationships/hyperlink" Target="https://replay.pokemonshowdown.com/smogtours-gen3ou-793806" TargetMode="External"/><Relationship Id="rId3528" Type="http://schemas.openxmlformats.org/officeDocument/2006/relationships/hyperlink" Target="https://replay.pokemonshowdown.com/smogtours-gen3ou-803399" TargetMode="External"/><Relationship Id="rId10" Type="http://schemas.openxmlformats.org/officeDocument/2006/relationships/hyperlink" Target="https://replay.pokemonshowdown.com/smogtours-gen3ou-793801" TargetMode="External"/><Relationship Id="rId3527" Type="http://schemas.openxmlformats.org/officeDocument/2006/relationships/hyperlink" Target="https://replay.pokemonshowdown.com/smogtours-gen3ou-803300?p2" TargetMode="External"/><Relationship Id="rId13" Type="http://schemas.openxmlformats.org/officeDocument/2006/relationships/hyperlink" Target="https://replay.pokemonshowdown.com/smogtours-gen3ou-793761" TargetMode="External"/><Relationship Id="rId12" Type="http://schemas.openxmlformats.org/officeDocument/2006/relationships/hyperlink" Target="https://replay.pokemonshowdown.com/smogtours-gen3ou-793813" TargetMode="External"/><Relationship Id="rId3529" Type="http://schemas.openxmlformats.org/officeDocument/2006/relationships/hyperlink" Target="https://replay.pokemonshowdown.com/smogtours-gen3ou-803402" TargetMode="External"/><Relationship Id="rId15" Type="http://schemas.openxmlformats.org/officeDocument/2006/relationships/hyperlink" Target="https://replay.pokemonshowdown.com/smogtours-gen3ou-793812" TargetMode="External"/><Relationship Id="rId14" Type="http://schemas.openxmlformats.org/officeDocument/2006/relationships/hyperlink" Target="https://replay.pokemonshowdown.com/smogtours-gen3ou-793762" TargetMode="External"/><Relationship Id="rId17" Type="http://schemas.openxmlformats.org/officeDocument/2006/relationships/hyperlink" Target="https://replay.pokemonshowdown.com/smogtours-gen3ou-793836" TargetMode="External"/><Relationship Id="rId16" Type="http://schemas.openxmlformats.org/officeDocument/2006/relationships/hyperlink" Target="https://replay.pokemonshowdown.com/smogtours-gen3ou-793818" TargetMode="External"/><Relationship Id="rId19" Type="http://schemas.openxmlformats.org/officeDocument/2006/relationships/hyperlink" Target="https://replay.pokemonshowdown.com/smogtours-gen3ou-793811" TargetMode="External"/><Relationship Id="rId3520" Type="http://schemas.openxmlformats.org/officeDocument/2006/relationships/hyperlink" Target="https://replay.pokemonshowdown.com/smogtours-gen3ou-803257" TargetMode="External"/><Relationship Id="rId18" Type="http://schemas.openxmlformats.org/officeDocument/2006/relationships/hyperlink" Target="https://replay.pokemonshowdown.com/smogtours-gen3ou-793838" TargetMode="External"/><Relationship Id="rId3522" Type="http://schemas.openxmlformats.org/officeDocument/2006/relationships/hyperlink" Target="https://replay.pokemonshowdown.com/smogtours-gen3ou-803362" TargetMode="External"/><Relationship Id="rId3521" Type="http://schemas.openxmlformats.org/officeDocument/2006/relationships/hyperlink" Target="https://replay.pokemonshowdown.com/smogtours-gen3ou-803360" TargetMode="External"/><Relationship Id="rId84" Type="http://schemas.openxmlformats.org/officeDocument/2006/relationships/hyperlink" Target="https://replay.pokemonshowdown.com/smogtours-gen3ou-794047" TargetMode="External"/><Relationship Id="rId1774" Type="http://schemas.openxmlformats.org/officeDocument/2006/relationships/hyperlink" Target="https://replay.pokemonshowdown.com/smogtours-gen3ou-798625" TargetMode="External"/><Relationship Id="rId83" Type="http://schemas.openxmlformats.org/officeDocument/2006/relationships/hyperlink" Target="https://replay.pokemonshowdown.com/smogtours-gen3ou-794075" TargetMode="External"/><Relationship Id="rId1775" Type="http://schemas.openxmlformats.org/officeDocument/2006/relationships/hyperlink" Target="https://replay.pokemonshowdown.com/smogtours-gen3ou-797200" TargetMode="External"/><Relationship Id="rId86" Type="http://schemas.openxmlformats.org/officeDocument/2006/relationships/hyperlink" Target="https://replay.pokemonshowdown.com/smogtours-gen3ou-794093" TargetMode="External"/><Relationship Id="rId1776" Type="http://schemas.openxmlformats.org/officeDocument/2006/relationships/hyperlink" Target="https://replay.pokemonshowdown.com/smogtours-gen3ou-797206" TargetMode="External"/><Relationship Id="rId85" Type="http://schemas.openxmlformats.org/officeDocument/2006/relationships/hyperlink" Target="https://replay.pokemonshowdown.com/smogtours-gen3ou-794054" TargetMode="External"/><Relationship Id="rId1777" Type="http://schemas.openxmlformats.org/officeDocument/2006/relationships/hyperlink" Target="https://replay.pokemonshowdown.com/smogtours-gen3ou-797212" TargetMode="External"/><Relationship Id="rId88" Type="http://schemas.openxmlformats.org/officeDocument/2006/relationships/hyperlink" Target="https://replay.pokemonshowdown.com/smogtours-gen3ou-794039" TargetMode="External"/><Relationship Id="rId1778" Type="http://schemas.openxmlformats.org/officeDocument/2006/relationships/hyperlink" Target="https://replay.pokemonshowdown.com/smogtours-gen3ou-798463" TargetMode="External"/><Relationship Id="rId87" Type="http://schemas.openxmlformats.org/officeDocument/2006/relationships/hyperlink" Target="https://replay.pokemonshowdown.com/smogtours-gen3ou-794100" TargetMode="External"/><Relationship Id="rId1779" Type="http://schemas.openxmlformats.org/officeDocument/2006/relationships/hyperlink" Target="https://replay.pokemonshowdown.com/smogtours-gen3ou-798477" TargetMode="External"/><Relationship Id="rId89" Type="http://schemas.openxmlformats.org/officeDocument/2006/relationships/hyperlink" Target="https://replay.pokemonshowdown.com/smogtours-gen3ou-794042" TargetMode="External"/><Relationship Id="rId80" Type="http://schemas.openxmlformats.org/officeDocument/2006/relationships/hyperlink" Target="https://replay.pokemonshowdown.com/smogtours-gen3ou-794034" TargetMode="External"/><Relationship Id="rId82" Type="http://schemas.openxmlformats.org/officeDocument/2006/relationships/hyperlink" Target="https://replay.pokemonshowdown.com/smogtours-gen3ou-794062" TargetMode="External"/><Relationship Id="rId81" Type="http://schemas.openxmlformats.org/officeDocument/2006/relationships/hyperlink" Target="https://replay.pokemonshowdown.com/smogtours-gen3ou-794050" TargetMode="External"/><Relationship Id="rId1770" Type="http://schemas.openxmlformats.org/officeDocument/2006/relationships/hyperlink" Target="https://replay.pokemonshowdown.com/smogtours-gen3ou-798511" TargetMode="External"/><Relationship Id="rId1771" Type="http://schemas.openxmlformats.org/officeDocument/2006/relationships/hyperlink" Target="https://replay.pokemonshowdown.com/smogtours-gen3ou-798516" TargetMode="External"/><Relationship Id="rId1772" Type="http://schemas.openxmlformats.org/officeDocument/2006/relationships/hyperlink" Target="https://replay.pokemonshowdown.com/smogtours-gen3ou-798622" TargetMode="External"/><Relationship Id="rId1773" Type="http://schemas.openxmlformats.org/officeDocument/2006/relationships/hyperlink" Target="https://replay.pokemonshowdown.com/smogtours-gen3ou-798624" TargetMode="External"/><Relationship Id="rId73" Type="http://schemas.openxmlformats.org/officeDocument/2006/relationships/hyperlink" Target="https://replay.pokemonshowdown.com/smogtours-gen3ou-794009" TargetMode="External"/><Relationship Id="rId1763" Type="http://schemas.openxmlformats.org/officeDocument/2006/relationships/hyperlink" Target="https://replay.pokemonshowdown.com/smogtours-gen3ou-798849" TargetMode="External"/><Relationship Id="rId72" Type="http://schemas.openxmlformats.org/officeDocument/2006/relationships/hyperlink" Target="https://replay.pokemonshowdown.com/smogtours-gen3ou-794007" TargetMode="External"/><Relationship Id="rId1764" Type="http://schemas.openxmlformats.org/officeDocument/2006/relationships/hyperlink" Target="https://replay.pokemonshowdown.com/smogtours-gen3ou-798717" TargetMode="External"/><Relationship Id="rId75" Type="http://schemas.openxmlformats.org/officeDocument/2006/relationships/hyperlink" Target="https://replay.pokemonshowdown.com/smogtours-gen3ou-794015" TargetMode="External"/><Relationship Id="rId1765" Type="http://schemas.openxmlformats.org/officeDocument/2006/relationships/hyperlink" Target="https://replay.pokemonshowdown.com/smogtours-gen3ou-798720?p2" TargetMode="External"/><Relationship Id="rId74" Type="http://schemas.openxmlformats.org/officeDocument/2006/relationships/hyperlink" Target="https://replay.pokemonshowdown.com/smogtours-gen3ou-794008" TargetMode="External"/><Relationship Id="rId1766" Type="http://schemas.openxmlformats.org/officeDocument/2006/relationships/hyperlink" Target="https://replay.pokemonshowdown.com/smogtours-gen3ou-798775" TargetMode="External"/><Relationship Id="rId77" Type="http://schemas.openxmlformats.org/officeDocument/2006/relationships/hyperlink" Target="https://replay.pokemonshowdown.com/gen3ou-2214591815-rrw96vmyo8w7up2w1258i02ezyd3hfupw?p2" TargetMode="External"/><Relationship Id="rId1767" Type="http://schemas.openxmlformats.org/officeDocument/2006/relationships/hyperlink" Target="https://replay.pokemonshowdown.com/smogtours-gen3ou-798781" TargetMode="External"/><Relationship Id="rId76" Type="http://schemas.openxmlformats.org/officeDocument/2006/relationships/hyperlink" Target="https://replay.pokemonshowdown.com/gen3ou-2214586563-nmmps9q0ref5c55pa0rs9cssytgwnstpw?p2" TargetMode="External"/><Relationship Id="rId1768" Type="http://schemas.openxmlformats.org/officeDocument/2006/relationships/hyperlink" Target="https://replay.pokemonshowdown.com/smogtours-gen3ou-798789" TargetMode="External"/><Relationship Id="rId79" Type="http://schemas.openxmlformats.org/officeDocument/2006/relationships/hyperlink" Target="https://replay.pokemonshowdown.com/smogtours-gen3ou-794032" TargetMode="External"/><Relationship Id="rId1769" Type="http://schemas.openxmlformats.org/officeDocument/2006/relationships/hyperlink" Target="https://replay.pokemonshowdown.com/smogtours-gen3ou-798508" TargetMode="External"/><Relationship Id="rId78" Type="http://schemas.openxmlformats.org/officeDocument/2006/relationships/hyperlink" Target="https://replay.pokemonshowdown.com/smogtours-gen3ou-794028" TargetMode="External"/><Relationship Id="rId71" Type="http://schemas.openxmlformats.org/officeDocument/2006/relationships/hyperlink" Target="https://replay.pokemonshowdown.com/smogtours-gen3ou-793999" TargetMode="External"/><Relationship Id="rId70" Type="http://schemas.openxmlformats.org/officeDocument/2006/relationships/hyperlink" Target="https://replay.pokemonshowdown.com/smogtours-gen3ou-793997" TargetMode="External"/><Relationship Id="rId1760" Type="http://schemas.openxmlformats.org/officeDocument/2006/relationships/hyperlink" Target="https://replay.pokemonshowdown.com/smogtours-gen3ou-797983" TargetMode="External"/><Relationship Id="rId1761" Type="http://schemas.openxmlformats.org/officeDocument/2006/relationships/hyperlink" Target="https://replay.pokemonshowdown.com/smogtours-gen3ou-798844" TargetMode="External"/><Relationship Id="rId1762" Type="http://schemas.openxmlformats.org/officeDocument/2006/relationships/hyperlink" Target="https://replay.pokemonshowdown.com/smogtours-gen3ou-798846" TargetMode="External"/><Relationship Id="rId62" Type="http://schemas.openxmlformats.org/officeDocument/2006/relationships/hyperlink" Target="https://replay.pokemonshowdown.com/smogtours-gen3ou-793884" TargetMode="External"/><Relationship Id="rId1796" Type="http://schemas.openxmlformats.org/officeDocument/2006/relationships/hyperlink" Target="https://replay.pokemonshowdown.com/smogtours-gen3ou-797404" TargetMode="External"/><Relationship Id="rId61" Type="http://schemas.openxmlformats.org/officeDocument/2006/relationships/hyperlink" Target="https://replay.pokemonshowdown.com/smogtours-gen3ou-793879" TargetMode="External"/><Relationship Id="rId1797" Type="http://schemas.openxmlformats.org/officeDocument/2006/relationships/hyperlink" Target="https://replay.pokemonshowdown.com/smogtours-gen3ou-798118" TargetMode="External"/><Relationship Id="rId64" Type="http://schemas.openxmlformats.org/officeDocument/2006/relationships/hyperlink" Target="https://replay.pokemonshowdown.com/smogtours-gen3ou-793960" TargetMode="External"/><Relationship Id="rId1798" Type="http://schemas.openxmlformats.org/officeDocument/2006/relationships/hyperlink" Target="https://replay.pokemonshowdown.com/smogtours-gen3ou-798126" TargetMode="External"/><Relationship Id="rId63" Type="http://schemas.openxmlformats.org/officeDocument/2006/relationships/hyperlink" Target="https://replay.pokemonshowdown.com/smogtours-gen3ou-793887" TargetMode="External"/><Relationship Id="rId1799" Type="http://schemas.openxmlformats.org/officeDocument/2006/relationships/hyperlink" Target="https://replay.pokemonshowdown.com/smogtours-gen3ou-798131" TargetMode="External"/><Relationship Id="rId66" Type="http://schemas.openxmlformats.org/officeDocument/2006/relationships/hyperlink" Target="https://replay.pokemonshowdown.com/smogtours-gen3ou-793971?p2" TargetMode="External"/><Relationship Id="rId65" Type="http://schemas.openxmlformats.org/officeDocument/2006/relationships/hyperlink" Target="https://replay.pokemonshowdown.com/smogtours-gen3ou-793967" TargetMode="External"/><Relationship Id="rId68" Type="http://schemas.openxmlformats.org/officeDocument/2006/relationships/hyperlink" Target="https://replay.pokemonshowdown.com/smogtours-gen3ou-793990?p2" TargetMode="External"/><Relationship Id="rId67" Type="http://schemas.openxmlformats.org/officeDocument/2006/relationships/hyperlink" Target="https://replay.pokemonshowdown.com/smogtours-gen3ou-793986" TargetMode="External"/><Relationship Id="rId60" Type="http://schemas.openxmlformats.org/officeDocument/2006/relationships/hyperlink" Target="https://replay.pokemonshowdown.com/smogtours-gen3ou-793916" TargetMode="External"/><Relationship Id="rId69" Type="http://schemas.openxmlformats.org/officeDocument/2006/relationships/hyperlink" Target="https://replay.pokemonshowdown.com/smogtours-gen3ou-793995" TargetMode="External"/><Relationship Id="rId1790" Type="http://schemas.openxmlformats.org/officeDocument/2006/relationships/hyperlink" Target="https://replay.pokemonshowdown.com/smogtours-gen3ou-798665" TargetMode="External"/><Relationship Id="rId1791" Type="http://schemas.openxmlformats.org/officeDocument/2006/relationships/hyperlink" Target="https://replay.pokemonshowdown.com/smogtours-gen3ou-798674" TargetMode="External"/><Relationship Id="rId1792" Type="http://schemas.openxmlformats.org/officeDocument/2006/relationships/hyperlink" Target="https://replay.pokemonshowdown.com/smogtours-gen3ou-798349" TargetMode="External"/><Relationship Id="rId1793" Type="http://schemas.openxmlformats.org/officeDocument/2006/relationships/hyperlink" Target="https://replay.pokemonshowdown.com/smogtours-gen3ou-798370" TargetMode="External"/><Relationship Id="rId1794" Type="http://schemas.openxmlformats.org/officeDocument/2006/relationships/hyperlink" Target="https://replay.pokemonshowdown.com/smogtours-gen3ou-797398" TargetMode="External"/><Relationship Id="rId1795" Type="http://schemas.openxmlformats.org/officeDocument/2006/relationships/hyperlink" Target="https://replay.pokemonshowdown.com/smogtours-gen3ou-797401" TargetMode="External"/><Relationship Id="rId51" Type="http://schemas.openxmlformats.org/officeDocument/2006/relationships/hyperlink" Target="https://replay.pokemonshowdown.com/smogtours-gen3ou-793937" TargetMode="External"/><Relationship Id="rId1785" Type="http://schemas.openxmlformats.org/officeDocument/2006/relationships/hyperlink" Target="https://replay.pokemonshowdown.com/smogtours-gen3ou-798686" TargetMode="External"/><Relationship Id="rId50" Type="http://schemas.openxmlformats.org/officeDocument/2006/relationships/hyperlink" Target="https://replay.pokemonshowdown.com/smogtours-gen3ou-793934" TargetMode="External"/><Relationship Id="rId1786" Type="http://schemas.openxmlformats.org/officeDocument/2006/relationships/hyperlink" Target="https://replay.pokemonshowdown.com/smogtours-gen3ou-798693" TargetMode="External"/><Relationship Id="rId53" Type="http://schemas.openxmlformats.org/officeDocument/2006/relationships/hyperlink" Target="https://replay.pokemonshowdown.com/smogtours-gen3ou-793911" TargetMode="External"/><Relationship Id="rId1787" Type="http://schemas.openxmlformats.org/officeDocument/2006/relationships/hyperlink" Target="https://replay.pokemonshowdown.com/smogtours-gen3ou-798698" TargetMode="External"/><Relationship Id="rId52" Type="http://schemas.openxmlformats.org/officeDocument/2006/relationships/hyperlink" Target="https://replay.pokemonshowdown.com/smogtours-gen3ou-793910" TargetMode="External"/><Relationship Id="rId1788" Type="http://schemas.openxmlformats.org/officeDocument/2006/relationships/hyperlink" Target="https://replay.pokemonshowdown.com/gen3ou-2222257341-oupo9p54aoobde6lregaajp0hore4ekpw" TargetMode="External"/><Relationship Id="rId55" Type="http://schemas.openxmlformats.org/officeDocument/2006/relationships/hyperlink" Target="https://replay.pokemonshowdown.com/smogtours-gen3ou-793946" TargetMode="External"/><Relationship Id="rId1789" Type="http://schemas.openxmlformats.org/officeDocument/2006/relationships/hyperlink" Target="https://replay.pokemonshowdown.com/gen3ou-2222251629-wxmqxa5vae866j3ed9qwzhcfnu0ndd5pw" TargetMode="External"/><Relationship Id="rId54" Type="http://schemas.openxmlformats.org/officeDocument/2006/relationships/hyperlink" Target="https://replay.pokemonshowdown.com/smogtours-gen3ou-793912" TargetMode="External"/><Relationship Id="rId57" Type="http://schemas.openxmlformats.org/officeDocument/2006/relationships/hyperlink" Target="https://replay.pokemonshowdown.com/smogtours-gen3ou-793970" TargetMode="External"/><Relationship Id="rId56" Type="http://schemas.openxmlformats.org/officeDocument/2006/relationships/hyperlink" Target="https://replay.pokemonshowdown.com/smogtours-gen3ou-793943" TargetMode="External"/><Relationship Id="rId59" Type="http://schemas.openxmlformats.org/officeDocument/2006/relationships/hyperlink" Target="https://replay.pokemonshowdown.com/smogtours-gen3ou-793915" TargetMode="External"/><Relationship Id="rId58" Type="http://schemas.openxmlformats.org/officeDocument/2006/relationships/hyperlink" Target="https://replay.pokemonshowdown.com/smogtours-gen3ou-793972" TargetMode="External"/><Relationship Id="rId1780" Type="http://schemas.openxmlformats.org/officeDocument/2006/relationships/hyperlink" Target="https://replay.pokemonshowdown.com/smogtours-gen3ou-797952" TargetMode="External"/><Relationship Id="rId1781" Type="http://schemas.openxmlformats.org/officeDocument/2006/relationships/hyperlink" Target="https://replay.pokemonshowdown.com/smogtours-gen3ou-797949" TargetMode="External"/><Relationship Id="rId1782" Type="http://schemas.openxmlformats.org/officeDocument/2006/relationships/hyperlink" Target="https://replay.pokemonshowdown.com/smogtours-gen3ou-798803" TargetMode="External"/><Relationship Id="rId1783" Type="http://schemas.openxmlformats.org/officeDocument/2006/relationships/hyperlink" Target="https://replay.pokemonshowdown.com/smogtours-gen3ou-798804" TargetMode="External"/><Relationship Id="rId1784" Type="http://schemas.openxmlformats.org/officeDocument/2006/relationships/hyperlink" Target="https://replay.pokemonshowdown.com/smogtours-gen3ou-798809" TargetMode="External"/><Relationship Id="rId2269" Type="http://schemas.openxmlformats.org/officeDocument/2006/relationships/hyperlink" Target="https://replay.pokemonshowdown.com/smogtours-gen3ou-800272" TargetMode="External"/><Relationship Id="rId349" Type="http://schemas.openxmlformats.org/officeDocument/2006/relationships/hyperlink" Target="https://replay.pokemonshowdown.com/smogtours-gen3ou-794744" TargetMode="External"/><Relationship Id="rId348" Type="http://schemas.openxmlformats.org/officeDocument/2006/relationships/hyperlink" Target="https://replay.pokemonshowdown.com/smogtours-gen3ou-794649" TargetMode="External"/><Relationship Id="rId347" Type="http://schemas.openxmlformats.org/officeDocument/2006/relationships/hyperlink" Target="https://replay.pokemonshowdown.com/smogtours-gen3ou-794646" TargetMode="External"/><Relationship Id="rId346" Type="http://schemas.openxmlformats.org/officeDocument/2006/relationships/hyperlink" Target="https://replay.pokemonshowdown.com/smogtours-gen3ou-794640" TargetMode="External"/><Relationship Id="rId3591" Type="http://schemas.openxmlformats.org/officeDocument/2006/relationships/hyperlink" Target="http://smogtours.psim.us/battle-gen3ou-803514" TargetMode="External"/><Relationship Id="rId2260" Type="http://schemas.openxmlformats.org/officeDocument/2006/relationships/hyperlink" Target="https://replay.pokemonshowdown.com/smogtours-gen3ou-799566" TargetMode="External"/><Relationship Id="rId3590" Type="http://schemas.openxmlformats.org/officeDocument/2006/relationships/hyperlink" Target="https://replay.pokemonshowdown.com/smogtours-gen3ou-803494" TargetMode="External"/><Relationship Id="rId341" Type="http://schemas.openxmlformats.org/officeDocument/2006/relationships/hyperlink" Target="https://replay.pokemonshowdown.com/gen3ou-2215133870-5oykw6sscnabj3hluf67kgcrwletihbpw" TargetMode="External"/><Relationship Id="rId2261" Type="http://schemas.openxmlformats.org/officeDocument/2006/relationships/hyperlink" Target="https://replay.pokemonshowdown.com/smogtours-gen3ou-799793" TargetMode="External"/><Relationship Id="rId3593" Type="http://schemas.openxmlformats.org/officeDocument/2006/relationships/hyperlink" Target="https://replay.pokemonshowdown.com/smogtours-gen3ou-803520" TargetMode="External"/><Relationship Id="rId340" Type="http://schemas.openxmlformats.org/officeDocument/2006/relationships/hyperlink" Target="https://replay.pokemonshowdown.com/smogtours-gen3ou-794277" TargetMode="External"/><Relationship Id="rId2262" Type="http://schemas.openxmlformats.org/officeDocument/2006/relationships/hyperlink" Target="https://replay.pokemonshowdown.com/smogtours-gen3ou-799790" TargetMode="External"/><Relationship Id="rId3592" Type="http://schemas.openxmlformats.org/officeDocument/2006/relationships/hyperlink" Target="http://smogtours.psim.us/battle-gen3ou-803518" TargetMode="External"/><Relationship Id="rId2263" Type="http://schemas.openxmlformats.org/officeDocument/2006/relationships/hyperlink" Target="https://replay.pokemonshowdown.com/smogtours-gen3ou-800149" TargetMode="External"/><Relationship Id="rId3595" Type="http://schemas.openxmlformats.org/officeDocument/2006/relationships/hyperlink" Target="https://replay.pokemonshowdown.com/smogtours-gen3ou-803529" TargetMode="External"/><Relationship Id="rId2264" Type="http://schemas.openxmlformats.org/officeDocument/2006/relationships/hyperlink" Target="https://replay.pokemonshowdown.com/smogtours-gen3ou-800151" TargetMode="External"/><Relationship Id="rId3594" Type="http://schemas.openxmlformats.org/officeDocument/2006/relationships/hyperlink" Target="https://replay.pokemonshowdown.com/smogtours-gen3ou-803527" TargetMode="External"/><Relationship Id="rId345" Type="http://schemas.openxmlformats.org/officeDocument/2006/relationships/hyperlink" Target="https://replay.pokemonshowdown.com/gen3ou-2215307132-af010zixt01adfyr7kqnq7n6yiifipapw?p2" TargetMode="External"/><Relationship Id="rId2265" Type="http://schemas.openxmlformats.org/officeDocument/2006/relationships/hyperlink" Target="https://replay.pokemonshowdown.com/smogtours-gen3ou-800153" TargetMode="External"/><Relationship Id="rId3597" Type="http://schemas.openxmlformats.org/officeDocument/2006/relationships/hyperlink" Target="https://replay.pokemonshowdown.com/smogtours-gen3ou-803483" TargetMode="External"/><Relationship Id="rId344" Type="http://schemas.openxmlformats.org/officeDocument/2006/relationships/hyperlink" Target="https://replay.pokemonshowdown.com/gen3ou-2215295236-efk0tn8opgqoqr13vig89fbhiahgqz1pw?p2" TargetMode="External"/><Relationship Id="rId2266" Type="http://schemas.openxmlformats.org/officeDocument/2006/relationships/hyperlink" Target="https://replay.pokemonshowdown.com/smogtours-gen3ou-799955?p2" TargetMode="External"/><Relationship Id="rId3596" Type="http://schemas.openxmlformats.org/officeDocument/2006/relationships/hyperlink" Target="https://replay.pokemonshowdown.com/smogtours-gen3ou-803475" TargetMode="External"/><Relationship Id="rId343" Type="http://schemas.openxmlformats.org/officeDocument/2006/relationships/hyperlink" Target="https://replay.pokemonshowdown.com/gen3ou-2215302968-9sgnlm5g1tz7l6cdcv5ebs3f1um71o0pw" TargetMode="External"/><Relationship Id="rId2267" Type="http://schemas.openxmlformats.org/officeDocument/2006/relationships/hyperlink" Target="https://replay.pokemonshowdown.com/smogtours-gen3ou-799967" TargetMode="External"/><Relationship Id="rId3599" Type="http://schemas.openxmlformats.org/officeDocument/2006/relationships/hyperlink" Target="https://replay.pokemonshowdown.com/smogtours-gen3ou-803513" TargetMode="External"/><Relationship Id="rId342" Type="http://schemas.openxmlformats.org/officeDocument/2006/relationships/hyperlink" Target="https://replay.pokemonshowdown.com/gen3ou-2215138127-4fapx1232uawg55uhknxp4598jakvcbpw" TargetMode="External"/><Relationship Id="rId2268" Type="http://schemas.openxmlformats.org/officeDocument/2006/relationships/hyperlink" Target="https://replay.pokemonshowdown.com/smogtours-gen3ou-800259" TargetMode="External"/><Relationship Id="rId3598" Type="http://schemas.openxmlformats.org/officeDocument/2006/relationships/hyperlink" Target="https://replay.pokemonshowdown.com/smogtours-gen3ou-803506" TargetMode="External"/><Relationship Id="rId2258" Type="http://schemas.openxmlformats.org/officeDocument/2006/relationships/hyperlink" Target="https://replay.pokemonshowdown.com/smogtours-gen3ou-800118" TargetMode="External"/><Relationship Id="rId2259" Type="http://schemas.openxmlformats.org/officeDocument/2006/relationships/hyperlink" Target="https://replay.pokemonshowdown.com/smogtours-gen3ou-799563" TargetMode="External"/><Relationship Id="rId3589" Type="http://schemas.openxmlformats.org/officeDocument/2006/relationships/hyperlink" Target="https://replay.pokemonshowdown.com/smogtours-gen3ou-803491" TargetMode="External"/><Relationship Id="rId338" Type="http://schemas.openxmlformats.org/officeDocument/2006/relationships/hyperlink" Target="https://replay.pokemonshowdown.com/smogtours-gen3ou-794639" TargetMode="External"/><Relationship Id="rId337" Type="http://schemas.openxmlformats.org/officeDocument/2006/relationships/hyperlink" Target="https://replay.pokemonshowdown.com/smogtours-gen3ou-794635?p2" TargetMode="External"/><Relationship Id="rId336" Type="http://schemas.openxmlformats.org/officeDocument/2006/relationships/hyperlink" Target="https://replay.pokemonshowdown.com/smogtours-gen3ou-794628" TargetMode="External"/><Relationship Id="rId335" Type="http://schemas.openxmlformats.org/officeDocument/2006/relationships/hyperlink" Target="https://replay.pokemonshowdown.com/smogtours-gen3ou-794521" TargetMode="External"/><Relationship Id="rId3580" Type="http://schemas.openxmlformats.org/officeDocument/2006/relationships/hyperlink" Target="https://replay.pokemonshowdown.com/smogtours-gen3ou-803452" TargetMode="External"/><Relationship Id="rId339" Type="http://schemas.openxmlformats.org/officeDocument/2006/relationships/hyperlink" Target="https://replay.pokemonshowdown.com/smogtours-gen3ou-794271" TargetMode="External"/><Relationship Id="rId330" Type="http://schemas.openxmlformats.org/officeDocument/2006/relationships/hyperlink" Target="https://replay.pokemonshowdown.com/smogtours-gen3ou-794498" TargetMode="External"/><Relationship Id="rId2250" Type="http://schemas.openxmlformats.org/officeDocument/2006/relationships/hyperlink" Target="https://replay.pokemonshowdown.com/smogtours-gen3ou-799518" TargetMode="External"/><Relationship Id="rId3582" Type="http://schemas.openxmlformats.org/officeDocument/2006/relationships/hyperlink" Target="https://replay.pokemonshowdown.com/smogtours-gen3ou-803473" TargetMode="External"/><Relationship Id="rId2251" Type="http://schemas.openxmlformats.org/officeDocument/2006/relationships/hyperlink" Target="https://replay.pokemonshowdown.com/smogtours-gen3ou-799523" TargetMode="External"/><Relationship Id="rId3581" Type="http://schemas.openxmlformats.org/officeDocument/2006/relationships/hyperlink" Target="https://replay.pokemonshowdown.com/smogtours-gen3ou-803464" TargetMode="External"/><Relationship Id="rId2252" Type="http://schemas.openxmlformats.org/officeDocument/2006/relationships/hyperlink" Target="https://replay.pokemonshowdown.com/smogtours-gen3ou-799742" TargetMode="External"/><Relationship Id="rId3584" Type="http://schemas.openxmlformats.org/officeDocument/2006/relationships/hyperlink" Target="https://replay.pokemonshowdown.com/smogtours-gen3ou-803537" TargetMode="External"/><Relationship Id="rId2253" Type="http://schemas.openxmlformats.org/officeDocument/2006/relationships/hyperlink" Target="https://replay.pokemonshowdown.com/smogtours-gen3ou-799746" TargetMode="External"/><Relationship Id="rId3583" Type="http://schemas.openxmlformats.org/officeDocument/2006/relationships/hyperlink" Target="https://replay.pokemonshowdown.com/smogtours-gen3ou-803531" TargetMode="External"/><Relationship Id="rId334" Type="http://schemas.openxmlformats.org/officeDocument/2006/relationships/hyperlink" Target="https://replay.pokemonshowdown.com/smogtours-gen3ou-794520?p2" TargetMode="External"/><Relationship Id="rId2254" Type="http://schemas.openxmlformats.org/officeDocument/2006/relationships/hyperlink" Target="https://replay.pokemonshowdown.com/smogtours-gen3ou-799750" TargetMode="External"/><Relationship Id="rId3586" Type="http://schemas.openxmlformats.org/officeDocument/2006/relationships/hyperlink" Target="https://replay.pokemonshowdown.com/smogtours-gen3ou-803482" TargetMode="External"/><Relationship Id="rId333" Type="http://schemas.openxmlformats.org/officeDocument/2006/relationships/hyperlink" Target="https://replay.pokemonshowdown.com/smogtours-gen3ou-794292" TargetMode="External"/><Relationship Id="rId2255" Type="http://schemas.openxmlformats.org/officeDocument/2006/relationships/hyperlink" Target="https://replay.pokemonshowdown.com/smogtours-gen3ou-800069" TargetMode="External"/><Relationship Id="rId3585" Type="http://schemas.openxmlformats.org/officeDocument/2006/relationships/hyperlink" Target="https://replay.pokemonshowdown.com/smogtours-gen3ou-803477" TargetMode="External"/><Relationship Id="rId332" Type="http://schemas.openxmlformats.org/officeDocument/2006/relationships/hyperlink" Target="https://replay.pokemonshowdown.com/smogtours-gen3ou-794286?p2" TargetMode="External"/><Relationship Id="rId2256" Type="http://schemas.openxmlformats.org/officeDocument/2006/relationships/hyperlink" Target="https://replay.pokemonshowdown.com/smogtours-gen3ou-800076" TargetMode="External"/><Relationship Id="rId3588" Type="http://schemas.openxmlformats.org/officeDocument/2006/relationships/hyperlink" Target="https://replay.pokemonshowdown.com/smogtours-gen3ou-803490" TargetMode="External"/><Relationship Id="rId331" Type="http://schemas.openxmlformats.org/officeDocument/2006/relationships/hyperlink" Target="https://replay.pokemonshowdown.com/smogtours-gen3ou-794501" TargetMode="External"/><Relationship Id="rId2257" Type="http://schemas.openxmlformats.org/officeDocument/2006/relationships/hyperlink" Target="https://replay.pokemonshowdown.com/smogtours-gen3ou-800108" TargetMode="External"/><Relationship Id="rId3587" Type="http://schemas.openxmlformats.org/officeDocument/2006/relationships/hyperlink" Target="https://replay.pokemonshowdown.com/smogtours-gen3ou-803485" TargetMode="External"/><Relationship Id="rId370" Type="http://schemas.openxmlformats.org/officeDocument/2006/relationships/hyperlink" Target="https://replay.pokemonshowdown.com/gen3ou-2215451430-jtfgmk1ew1d09g59x3mn3qj8geoua3kpw" TargetMode="External"/><Relationship Id="rId369" Type="http://schemas.openxmlformats.org/officeDocument/2006/relationships/hyperlink" Target="https://replay.pokemonshowdown.com/smogtours-gen3ou-794763" TargetMode="External"/><Relationship Id="rId368" Type="http://schemas.openxmlformats.org/officeDocument/2006/relationships/hyperlink" Target="https://replay.pokemonshowdown.com/smogtours-gen3ou-794760" TargetMode="External"/><Relationship Id="rId2280" Type="http://schemas.openxmlformats.org/officeDocument/2006/relationships/hyperlink" Target="https://replay.pokemonshowdown.com/smogtours-gen3ou-800310" TargetMode="External"/><Relationship Id="rId2281" Type="http://schemas.openxmlformats.org/officeDocument/2006/relationships/hyperlink" Target="https://replay.pokemonshowdown.com/smogtours-gen3ou-800312" TargetMode="External"/><Relationship Id="rId2282" Type="http://schemas.openxmlformats.org/officeDocument/2006/relationships/hyperlink" Target="https://replay.pokemonshowdown.com/smogtours-gen3ou-799727" TargetMode="External"/><Relationship Id="rId363" Type="http://schemas.openxmlformats.org/officeDocument/2006/relationships/hyperlink" Target="https://replay.pokemonshowdown.com/smogtours-gen3ou-794313" TargetMode="External"/><Relationship Id="rId2283" Type="http://schemas.openxmlformats.org/officeDocument/2006/relationships/hyperlink" Target="https://replay.pokemonshowdown.com/smogtours-gen3ou-799725" TargetMode="External"/><Relationship Id="rId362" Type="http://schemas.openxmlformats.org/officeDocument/2006/relationships/hyperlink" Target="https://replay.pokemonshowdown.com/smogtours-gen3ou-794306" TargetMode="External"/><Relationship Id="rId2284" Type="http://schemas.openxmlformats.org/officeDocument/2006/relationships/hyperlink" Target="https://replay.pokemonshowdown.com/smogtours-gen3ou-799713" TargetMode="External"/><Relationship Id="rId361" Type="http://schemas.openxmlformats.org/officeDocument/2006/relationships/hyperlink" Target="https://replay.pokemonshowdown.com/smogtours-gen3ou-794698" TargetMode="External"/><Relationship Id="rId2285" Type="http://schemas.openxmlformats.org/officeDocument/2006/relationships/hyperlink" Target="https://replay.pokemonshowdown.com/smogtours-gen3ou-800064" TargetMode="External"/><Relationship Id="rId360" Type="http://schemas.openxmlformats.org/officeDocument/2006/relationships/hyperlink" Target="https://replay.pokemonshowdown.com/smogtours-gen3ou-794692" TargetMode="External"/><Relationship Id="rId2286" Type="http://schemas.openxmlformats.org/officeDocument/2006/relationships/hyperlink" Target="https://replay.pokemonshowdown.com/smogtours-gen3ou-800081" TargetMode="External"/><Relationship Id="rId367" Type="http://schemas.openxmlformats.org/officeDocument/2006/relationships/hyperlink" Target="https://replay.pokemonshowdown.com/smogtours-gen3ou-794757" TargetMode="External"/><Relationship Id="rId2287" Type="http://schemas.openxmlformats.org/officeDocument/2006/relationships/hyperlink" Target="https://replay.pokemonshowdown.com/smogtours-gen3ou-800257" TargetMode="External"/><Relationship Id="rId366" Type="http://schemas.openxmlformats.org/officeDocument/2006/relationships/hyperlink" Target="https://replay.pokemonshowdown.com/smogtours-gen3ou-794169?p2" TargetMode="External"/><Relationship Id="rId2288" Type="http://schemas.openxmlformats.org/officeDocument/2006/relationships/hyperlink" Target="https://replay.pokemonshowdown.com/smogtours-gen3ou-800261" TargetMode="External"/><Relationship Id="rId365" Type="http://schemas.openxmlformats.org/officeDocument/2006/relationships/hyperlink" Target="https://replay.pokemonshowdown.com/smogtours-gen3ou-794168" TargetMode="External"/><Relationship Id="rId2289" Type="http://schemas.openxmlformats.org/officeDocument/2006/relationships/hyperlink" Target="https://replay.pokemonshowdown.com/smogtours-gen3ou-800269" TargetMode="External"/><Relationship Id="rId364" Type="http://schemas.openxmlformats.org/officeDocument/2006/relationships/hyperlink" Target="https://replay.pokemonshowdown.com/smogtours-gen3ou-794167" TargetMode="External"/><Relationship Id="rId95" Type="http://schemas.openxmlformats.org/officeDocument/2006/relationships/hyperlink" Target="https://replay.pokemonshowdown.com/smogtours-gen3ou-794035" TargetMode="External"/><Relationship Id="rId94" Type="http://schemas.openxmlformats.org/officeDocument/2006/relationships/hyperlink" Target="https://replay.pokemonshowdown.com/smogtours-gen3ou-794030" TargetMode="External"/><Relationship Id="rId97" Type="http://schemas.openxmlformats.org/officeDocument/2006/relationships/hyperlink" Target="https://replay.pokemonshowdown.com/smogtours-gen3ou-794133" TargetMode="External"/><Relationship Id="rId96" Type="http://schemas.openxmlformats.org/officeDocument/2006/relationships/hyperlink" Target="https://replay.pokemonshowdown.com/smogtours-gen3ou-794037" TargetMode="External"/><Relationship Id="rId99" Type="http://schemas.openxmlformats.org/officeDocument/2006/relationships/hyperlink" Target="https://replay.pokemonshowdown.com/smogtours-gen3ou-794155" TargetMode="External"/><Relationship Id="rId98" Type="http://schemas.openxmlformats.org/officeDocument/2006/relationships/hyperlink" Target="https://replay.pokemonshowdown.com/smogtours-gen3ou-794136" TargetMode="External"/><Relationship Id="rId91" Type="http://schemas.openxmlformats.org/officeDocument/2006/relationships/hyperlink" Target="https://replay.pokemonshowdown.com/smogtours-gen3ou-794025" TargetMode="External"/><Relationship Id="rId90" Type="http://schemas.openxmlformats.org/officeDocument/2006/relationships/hyperlink" Target="https://replay.pokemonshowdown.com/smogtours-gen3ou-794022" TargetMode="External"/><Relationship Id="rId93" Type="http://schemas.openxmlformats.org/officeDocument/2006/relationships/hyperlink" Target="https://replay.pokemonshowdown.com/smogtours-gen3ou-794044" TargetMode="External"/><Relationship Id="rId92" Type="http://schemas.openxmlformats.org/officeDocument/2006/relationships/hyperlink" Target="https://replay.pokemonshowdown.com/smogtours-gen3ou-794040" TargetMode="External"/><Relationship Id="rId359" Type="http://schemas.openxmlformats.org/officeDocument/2006/relationships/hyperlink" Target="https://replay.pokemonshowdown.com/smogtours-gen3ou-794688" TargetMode="External"/><Relationship Id="rId358" Type="http://schemas.openxmlformats.org/officeDocument/2006/relationships/hyperlink" Target="https://replay.pokemonshowdown.com/smogtours-gen3ou-794671" TargetMode="External"/><Relationship Id="rId357" Type="http://schemas.openxmlformats.org/officeDocument/2006/relationships/hyperlink" Target="https://replay.pokemonshowdown.com/smogtours-gen3ou-794664" TargetMode="External"/><Relationship Id="rId2270" Type="http://schemas.openxmlformats.org/officeDocument/2006/relationships/hyperlink" Target="https://replay.pokemonshowdown.com/smogtours-gen3ou-800276" TargetMode="External"/><Relationship Id="rId2271" Type="http://schemas.openxmlformats.org/officeDocument/2006/relationships/hyperlink" Target="https://replay.pokemonshowdown.com/smogtours-gen3ou-800065" TargetMode="External"/><Relationship Id="rId352" Type="http://schemas.openxmlformats.org/officeDocument/2006/relationships/hyperlink" Target="https://replay.pokemonshowdown.com/gen3ou-2216145981-eb3kp5bkph1jqam5f6fr6ivb1yi7tdwpw" TargetMode="External"/><Relationship Id="rId2272" Type="http://schemas.openxmlformats.org/officeDocument/2006/relationships/hyperlink" Target="https://replay.pokemonshowdown.com/smogtours-gen3ou-800073" TargetMode="External"/><Relationship Id="rId351" Type="http://schemas.openxmlformats.org/officeDocument/2006/relationships/hyperlink" Target="https://replay.pokemonshowdown.com/gen3ou-2216138728-or0s93qliccsnwa1a8tgha54p26iddhpw" TargetMode="External"/><Relationship Id="rId2273" Type="http://schemas.openxmlformats.org/officeDocument/2006/relationships/hyperlink" Target="https://replay.pokemonshowdown.com/smogtours-gen3ou-800083" TargetMode="External"/><Relationship Id="rId350" Type="http://schemas.openxmlformats.org/officeDocument/2006/relationships/hyperlink" Target="https://replay.pokemonshowdown.com/smogtours-gen3ou-794750" TargetMode="External"/><Relationship Id="rId2274" Type="http://schemas.openxmlformats.org/officeDocument/2006/relationships/hyperlink" Target="https://replay.pokemonshowdown.com/smogtours-gen3ou-799670" TargetMode="External"/><Relationship Id="rId2275" Type="http://schemas.openxmlformats.org/officeDocument/2006/relationships/hyperlink" Target="https://replay.pokemonshowdown.com/smogtours-gen3ou-799684" TargetMode="External"/><Relationship Id="rId356" Type="http://schemas.openxmlformats.org/officeDocument/2006/relationships/hyperlink" Target="https://replay.pokemonshowdown.com/smogtours-gen3ou-794659" TargetMode="External"/><Relationship Id="rId2276" Type="http://schemas.openxmlformats.org/officeDocument/2006/relationships/hyperlink" Target="https://replay.pokemonshowdown.com/smogtours-gen3ou-799687" TargetMode="External"/><Relationship Id="rId355" Type="http://schemas.openxmlformats.org/officeDocument/2006/relationships/hyperlink" Target="https://replay.pokemonshowdown.com/smogtours-gen3ou-794485" TargetMode="External"/><Relationship Id="rId2277" Type="http://schemas.openxmlformats.org/officeDocument/2006/relationships/hyperlink" Target="https://replay.pokemonshowdown.com/smogtours-gen3ou-799676" TargetMode="External"/><Relationship Id="rId354" Type="http://schemas.openxmlformats.org/officeDocument/2006/relationships/hyperlink" Target="https://replay.pokemonshowdown.com/smogtours-gen3ou-794483" TargetMode="External"/><Relationship Id="rId2278" Type="http://schemas.openxmlformats.org/officeDocument/2006/relationships/hyperlink" Target="https://replay.pokemonshowdown.com/smogtours-gen3ou-799682" TargetMode="External"/><Relationship Id="rId353" Type="http://schemas.openxmlformats.org/officeDocument/2006/relationships/hyperlink" Target="https://replay.pokemonshowdown.com/gen3ou-2216151657-yzpdzqyzwh77vjiu6iox36dyn129xg5pw" TargetMode="External"/><Relationship Id="rId2279" Type="http://schemas.openxmlformats.org/officeDocument/2006/relationships/hyperlink" Target="https://replay.pokemonshowdown.com/smogtours-gen3ou-800308" TargetMode="External"/><Relationship Id="rId2225" Type="http://schemas.openxmlformats.org/officeDocument/2006/relationships/hyperlink" Target="https://replay.pokemonshowdown.com/smogtours-gen3ou-799126" TargetMode="External"/><Relationship Id="rId3557" Type="http://schemas.openxmlformats.org/officeDocument/2006/relationships/hyperlink" Target="https://replay.pokemonshowdown.com/gen3ou-2234137657-w9kcovejcrdsjgm4zui08gd47k3znq8pw?p2" TargetMode="External"/><Relationship Id="rId2226" Type="http://schemas.openxmlformats.org/officeDocument/2006/relationships/hyperlink" Target="https://replay.pokemonshowdown.com/smogtours-gen3ou-799130" TargetMode="External"/><Relationship Id="rId3556" Type="http://schemas.openxmlformats.org/officeDocument/2006/relationships/hyperlink" Target="https://replay.pokemonshowdown.com/gen3ou-2234127789-kkwj9baoafvjiawxrenrtw97xoqwjv1pw" TargetMode="External"/><Relationship Id="rId2227" Type="http://schemas.openxmlformats.org/officeDocument/2006/relationships/hyperlink" Target="https://replay.pokemonshowdown.com/smogtours-gen3ou-799534" TargetMode="External"/><Relationship Id="rId3559" Type="http://schemas.openxmlformats.org/officeDocument/2006/relationships/hyperlink" Target="https://replay.pokemonshowdown.com/gen3ou-2234146657-xvhf440bkwg28bch1w6wd7jlwln2j31pw?p2" TargetMode="External"/><Relationship Id="rId2228" Type="http://schemas.openxmlformats.org/officeDocument/2006/relationships/hyperlink" Target="https://replay.pokemonshowdown.com/smogtours-gen3ou-799539" TargetMode="External"/><Relationship Id="rId3558" Type="http://schemas.openxmlformats.org/officeDocument/2006/relationships/hyperlink" Target="https://replay.pokemonshowdown.com/gen3ou-2234142429-gwzqutz3evj21v3khdlrnegkyoq26okpw" TargetMode="External"/><Relationship Id="rId2229" Type="http://schemas.openxmlformats.org/officeDocument/2006/relationships/hyperlink" Target="https://replay.pokemonshowdown.com/smogtours-gen3ou-799452" TargetMode="External"/><Relationship Id="rId305" Type="http://schemas.openxmlformats.org/officeDocument/2006/relationships/hyperlink" Target="https://replay.pokemonshowdown.com/smogtours-gen3ou-794633" TargetMode="External"/><Relationship Id="rId304" Type="http://schemas.openxmlformats.org/officeDocument/2006/relationships/hyperlink" Target="https://replay.pokemonshowdown.com/smogtours-gen3ou-794618" TargetMode="External"/><Relationship Id="rId303" Type="http://schemas.openxmlformats.org/officeDocument/2006/relationships/hyperlink" Target="https://replay.pokemonshowdown.com/gen3ou-2215962736" TargetMode="External"/><Relationship Id="rId302" Type="http://schemas.openxmlformats.org/officeDocument/2006/relationships/hyperlink" Target="https://replay.pokemonshowdown.com/gen3ou-2215959740" TargetMode="External"/><Relationship Id="rId309" Type="http://schemas.openxmlformats.org/officeDocument/2006/relationships/hyperlink" Target="https://replay.pokemonshowdown.com/smogtours-gen3ou-794714" TargetMode="External"/><Relationship Id="rId308" Type="http://schemas.openxmlformats.org/officeDocument/2006/relationships/hyperlink" Target="https://replay.pokemonshowdown.com/smogtours-gen3ou-794709" TargetMode="External"/><Relationship Id="rId307" Type="http://schemas.openxmlformats.org/officeDocument/2006/relationships/hyperlink" Target="https://replay.pokemonshowdown.com/smogtours-gen3ou-794702" TargetMode="External"/><Relationship Id="rId306" Type="http://schemas.openxmlformats.org/officeDocument/2006/relationships/hyperlink" Target="https://replay.pokemonshowdown.com/smogtours-gen3ou-794696" TargetMode="External"/><Relationship Id="rId3551" Type="http://schemas.openxmlformats.org/officeDocument/2006/relationships/hyperlink" Target="https://replay.pokemonshowdown.com/smogtours-gen3ou-803451" TargetMode="External"/><Relationship Id="rId2220" Type="http://schemas.openxmlformats.org/officeDocument/2006/relationships/hyperlink" Target="https://replay.pokemonshowdown.com/smogtours-gen3ou-799800" TargetMode="External"/><Relationship Id="rId3550" Type="http://schemas.openxmlformats.org/officeDocument/2006/relationships/hyperlink" Target="https://replay.pokemonshowdown.com/smogtours-gen3ou-803445" TargetMode="External"/><Relationship Id="rId301" Type="http://schemas.openxmlformats.org/officeDocument/2006/relationships/hyperlink" Target="https://replay.pokemonshowdown.com/smogtours-gen3ou-794592" TargetMode="External"/><Relationship Id="rId2221" Type="http://schemas.openxmlformats.org/officeDocument/2006/relationships/hyperlink" Target="https://replay.pokemonshowdown.com/smogtours-gen3ou-799489" TargetMode="External"/><Relationship Id="rId3553" Type="http://schemas.openxmlformats.org/officeDocument/2006/relationships/hyperlink" Target="https://replay.pokemonshowdown.com/smogtours-gen3ou-803515" TargetMode="External"/><Relationship Id="rId300" Type="http://schemas.openxmlformats.org/officeDocument/2006/relationships/hyperlink" Target="https://replay.pokemonshowdown.com/smogtours-gen3ou-794585" TargetMode="External"/><Relationship Id="rId2222" Type="http://schemas.openxmlformats.org/officeDocument/2006/relationships/hyperlink" Target="https://replay.pokemonshowdown.com/smogtours-gen3ou-799495" TargetMode="External"/><Relationship Id="rId3552" Type="http://schemas.openxmlformats.org/officeDocument/2006/relationships/hyperlink" Target="https://replay.pokemonshowdown.com/smogtours-gen3ou-803456" TargetMode="External"/><Relationship Id="rId2223" Type="http://schemas.openxmlformats.org/officeDocument/2006/relationships/hyperlink" Target="https://replay.pokemonshowdown.com/smogtours-gen3ou-799499" TargetMode="External"/><Relationship Id="rId3555" Type="http://schemas.openxmlformats.org/officeDocument/2006/relationships/hyperlink" Target="https://replay.pokemonshowdown.com/smogtours-gen3ou-803505" TargetMode="External"/><Relationship Id="rId2224" Type="http://schemas.openxmlformats.org/officeDocument/2006/relationships/hyperlink" Target="https://replay.pokemonshowdown.com/smogtours-gen3ou-799125" TargetMode="External"/><Relationship Id="rId3554" Type="http://schemas.openxmlformats.org/officeDocument/2006/relationships/hyperlink" Target="https://replay.pokemonshowdown.com/smogtours-gen3ou-803512" TargetMode="External"/><Relationship Id="rId2214" Type="http://schemas.openxmlformats.org/officeDocument/2006/relationships/hyperlink" Target="https://replay.pokemonshowdown.com/smogtours-gen3ou-799668" TargetMode="External"/><Relationship Id="rId3546" Type="http://schemas.openxmlformats.org/officeDocument/2006/relationships/hyperlink" Target="https://replay.pokemonshowdown.com/smogtours-gen3ou-803439" TargetMode="External"/><Relationship Id="rId2215" Type="http://schemas.openxmlformats.org/officeDocument/2006/relationships/hyperlink" Target="https://replay.pokemonshowdown.com/smogtours-gen3ou-799681" TargetMode="External"/><Relationship Id="rId3545" Type="http://schemas.openxmlformats.org/officeDocument/2006/relationships/hyperlink" Target="https://replay.pokemonshowdown.com/smogtours-gen3ou-803443" TargetMode="External"/><Relationship Id="rId2216" Type="http://schemas.openxmlformats.org/officeDocument/2006/relationships/hyperlink" Target="https://replay.pokemonshowdown.com/smogtours-gen3ou-799753" TargetMode="External"/><Relationship Id="rId3548" Type="http://schemas.openxmlformats.org/officeDocument/2006/relationships/hyperlink" Target="https://replay.pokemonshowdown.com/smogtours-gen3ou-803448" TargetMode="External"/><Relationship Id="rId2217" Type="http://schemas.openxmlformats.org/officeDocument/2006/relationships/hyperlink" Target="https://replay.pokemonshowdown.com/smogtours-gen3ou-799757" TargetMode="External"/><Relationship Id="rId3547" Type="http://schemas.openxmlformats.org/officeDocument/2006/relationships/hyperlink" Target="https://replay.pokemonshowdown.com/smogtours-gen3ou-803442" TargetMode="External"/><Relationship Id="rId2218" Type="http://schemas.openxmlformats.org/officeDocument/2006/relationships/hyperlink" Target="https://replay.pokemonshowdown.com/smogtours-gen3ou-799761" TargetMode="External"/><Relationship Id="rId2219" Type="http://schemas.openxmlformats.org/officeDocument/2006/relationships/hyperlink" Target="https://replay.pokemonshowdown.com/smogtours-gen3ou-799799" TargetMode="External"/><Relationship Id="rId3549" Type="http://schemas.openxmlformats.org/officeDocument/2006/relationships/hyperlink" Target="https://replay.pokemonshowdown.com/smogtours-gen3ou-803441" TargetMode="External"/><Relationship Id="rId3540" Type="http://schemas.openxmlformats.org/officeDocument/2006/relationships/hyperlink" Target="https://replay.pokemonshowdown.com/smogtours-gen3ou-803421" TargetMode="External"/><Relationship Id="rId2210" Type="http://schemas.openxmlformats.org/officeDocument/2006/relationships/hyperlink" Target="https://replay.pokemonshowdown.com/smogtours-gen3ou-799307" TargetMode="External"/><Relationship Id="rId3542" Type="http://schemas.openxmlformats.org/officeDocument/2006/relationships/hyperlink" Target="https://replay.pokemonshowdown.com/smogtours-gen3ou-803437?p2" TargetMode="External"/><Relationship Id="rId2211" Type="http://schemas.openxmlformats.org/officeDocument/2006/relationships/hyperlink" Target="https://replay.pokemonshowdown.com/smogtours-gen3ou-799609" TargetMode="External"/><Relationship Id="rId3541" Type="http://schemas.openxmlformats.org/officeDocument/2006/relationships/hyperlink" Target="https://replay.pokemonshowdown.com/smogtours-gen3ou-803422" TargetMode="External"/><Relationship Id="rId2212" Type="http://schemas.openxmlformats.org/officeDocument/2006/relationships/hyperlink" Target="https://replay.pokemonshowdown.com/smogtours-gen3ou-799614" TargetMode="External"/><Relationship Id="rId3544" Type="http://schemas.openxmlformats.org/officeDocument/2006/relationships/hyperlink" Target="https://replay.pokemonshowdown.com/smogtours-gen3ou-803440" TargetMode="External"/><Relationship Id="rId2213" Type="http://schemas.openxmlformats.org/officeDocument/2006/relationships/hyperlink" Target="https://replay.pokemonshowdown.com/smogtours-gen3ou-799620" TargetMode="External"/><Relationship Id="rId3543" Type="http://schemas.openxmlformats.org/officeDocument/2006/relationships/hyperlink" Target="https://replay.pokemonshowdown.com/smogtours-gen3ou-803437?p2" TargetMode="External"/><Relationship Id="rId2247" Type="http://schemas.openxmlformats.org/officeDocument/2006/relationships/hyperlink" Target="https://replay.pokemonshowdown.com/smogtours-gen3ou-799578" TargetMode="External"/><Relationship Id="rId3579" Type="http://schemas.openxmlformats.org/officeDocument/2006/relationships/hyperlink" Target="https://replay.pokemonshowdown.com/smogtours-gen3ou-803488" TargetMode="External"/><Relationship Id="rId2248" Type="http://schemas.openxmlformats.org/officeDocument/2006/relationships/hyperlink" Target="https://replay.pokemonshowdown.com/smogtours-gen3ou-799591" TargetMode="External"/><Relationship Id="rId3578" Type="http://schemas.openxmlformats.org/officeDocument/2006/relationships/hyperlink" Target="https://replay.pokemonshowdown.com/smogtours-gen3ou-803480" TargetMode="External"/><Relationship Id="rId2249" Type="http://schemas.openxmlformats.org/officeDocument/2006/relationships/hyperlink" Target="https://replay.pokemonshowdown.com/smogtours-gen3ou-799598" TargetMode="External"/><Relationship Id="rId327" Type="http://schemas.openxmlformats.org/officeDocument/2006/relationships/hyperlink" Target="https://replay.pokemonshowdown.com/smogtours-gen3ou-794332" TargetMode="External"/><Relationship Id="rId326" Type="http://schemas.openxmlformats.org/officeDocument/2006/relationships/hyperlink" Target="https://replay.pokemonshowdown.com/smogtours-gen3ou-794315" TargetMode="External"/><Relationship Id="rId325" Type="http://schemas.openxmlformats.org/officeDocument/2006/relationships/hyperlink" Target="https://replay.pokemonshowdown.com/smogtours-gen3ou-794247" TargetMode="External"/><Relationship Id="rId324" Type="http://schemas.openxmlformats.org/officeDocument/2006/relationships/hyperlink" Target="https://replay.pokemonshowdown.com/smogtours-gen3ou-794244" TargetMode="External"/><Relationship Id="rId329" Type="http://schemas.openxmlformats.org/officeDocument/2006/relationships/hyperlink" Target="https://replay.pokemonshowdown.com/smogtours-gen3ou-794347" TargetMode="External"/><Relationship Id="rId328" Type="http://schemas.openxmlformats.org/officeDocument/2006/relationships/hyperlink" Target="https://replay.pokemonshowdown.com/smogtours-gen3ou-794339" TargetMode="External"/><Relationship Id="rId3571" Type="http://schemas.openxmlformats.org/officeDocument/2006/relationships/hyperlink" Target="https://replay.pokemonshowdown.com/smogtours-gen3ou-803486" TargetMode="External"/><Relationship Id="rId2240" Type="http://schemas.openxmlformats.org/officeDocument/2006/relationships/hyperlink" Target="https://replay.pokemonshowdown.com/smogtours-gen3ou-799908" TargetMode="External"/><Relationship Id="rId3570" Type="http://schemas.openxmlformats.org/officeDocument/2006/relationships/hyperlink" Target="https://replay.pokemonshowdown.com/smogtours-gen3ou-803474" TargetMode="External"/><Relationship Id="rId2241" Type="http://schemas.openxmlformats.org/officeDocument/2006/relationships/hyperlink" Target="https://replay.pokemonshowdown.com/smogtours-gen3ou-799416" TargetMode="External"/><Relationship Id="rId3573" Type="http://schemas.openxmlformats.org/officeDocument/2006/relationships/hyperlink" Target="https://replay.pokemonshowdown.com/smogtours-gen3ou-803525" TargetMode="External"/><Relationship Id="rId2242" Type="http://schemas.openxmlformats.org/officeDocument/2006/relationships/hyperlink" Target="https://replay.pokemonshowdown.com/smogtours-gen3ou-799419" TargetMode="External"/><Relationship Id="rId3572" Type="http://schemas.openxmlformats.org/officeDocument/2006/relationships/hyperlink" Target="https://replay.pokemonshowdown.com/smogtours-gen3ou-803522" TargetMode="External"/><Relationship Id="rId323" Type="http://schemas.openxmlformats.org/officeDocument/2006/relationships/hyperlink" Target="https://replay.pokemonshowdown.com/smogtours-gen3ou-794630" TargetMode="External"/><Relationship Id="rId2243" Type="http://schemas.openxmlformats.org/officeDocument/2006/relationships/hyperlink" Target="https://replay.pokemonshowdown.com/smogtours-gen3ou-799813" TargetMode="External"/><Relationship Id="rId3575" Type="http://schemas.openxmlformats.org/officeDocument/2006/relationships/hyperlink" Target="https://replay.pokemonshowdown.com/smogtours-gen3ou-803504?p2" TargetMode="External"/><Relationship Id="rId322" Type="http://schemas.openxmlformats.org/officeDocument/2006/relationships/hyperlink" Target="https://replay.pokemonshowdown.com/smogtours-gen3ou-794622" TargetMode="External"/><Relationship Id="rId2244" Type="http://schemas.openxmlformats.org/officeDocument/2006/relationships/hyperlink" Target="https://replay.pokemonshowdown.com/smogtours-gen3ou-799819" TargetMode="External"/><Relationship Id="rId3574" Type="http://schemas.openxmlformats.org/officeDocument/2006/relationships/hyperlink" Target="https://replay.pokemonshowdown.com/smogtours-gen3ou-803526" TargetMode="External"/><Relationship Id="rId321" Type="http://schemas.openxmlformats.org/officeDocument/2006/relationships/hyperlink" Target="https://replay.pokemonshowdown.com/smogtours-gen3ou-794617" TargetMode="External"/><Relationship Id="rId2245" Type="http://schemas.openxmlformats.org/officeDocument/2006/relationships/hyperlink" Target="https://replay.pokemonshowdown.com/smogtours-gen3ou-799293" TargetMode="External"/><Relationship Id="rId3577" Type="http://schemas.openxmlformats.org/officeDocument/2006/relationships/hyperlink" Target="https://replay.pokemonshowdown.com/smogtours-gen3ou-803468" TargetMode="External"/><Relationship Id="rId320" Type="http://schemas.openxmlformats.org/officeDocument/2006/relationships/hyperlink" Target="https://replay.pokemonshowdown.com/smogtours-gen3ou-794604" TargetMode="External"/><Relationship Id="rId2246" Type="http://schemas.openxmlformats.org/officeDocument/2006/relationships/hyperlink" Target="https://replay.pokemonshowdown.com/smogtours-gen3ou-799294" TargetMode="External"/><Relationship Id="rId3576" Type="http://schemas.openxmlformats.org/officeDocument/2006/relationships/hyperlink" Target="https://replay.pokemonshowdown.com/smogtours-gen3ou-803508?p2" TargetMode="External"/><Relationship Id="rId2236" Type="http://schemas.openxmlformats.org/officeDocument/2006/relationships/hyperlink" Target="https://replay.pokemonshowdown.com/smogtours-gen3ou-799646" TargetMode="External"/><Relationship Id="rId3568" Type="http://schemas.openxmlformats.org/officeDocument/2006/relationships/hyperlink" Target="https://replay.pokemonshowdown.com/smogtours-gen3ou-803503" TargetMode="External"/><Relationship Id="rId2237" Type="http://schemas.openxmlformats.org/officeDocument/2006/relationships/hyperlink" Target="https://replay.pokemonshowdown.com/smogtours-gen3ou-799655" TargetMode="External"/><Relationship Id="rId3567" Type="http://schemas.openxmlformats.org/officeDocument/2006/relationships/hyperlink" Target="https://replay.pokemonshowdown.com/smogtours-gen3ou-803436?p2" TargetMode="External"/><Relationship Id="rId2238" Type="http://schemas.openxmlformats.org/officeDocument/2006/relationships/hyperlink" Target="https://replay.pokemonshowdown.com/smogtours-gen3ou-799891" TargetMode="External"/><Relationship Id="rId2239" Type="http://schemas.openxmlformats.org/officeDocument/2006/relationships/hyperlink" Target="https://replay.pokemonshowdown.com/smogtours-gen3ou-799901" TargetMode="External"/><Relationship Id="rId3569" Type="http://schemas.openxmlformats.org/officeDocument/2006/relationships/hyperlink" Target="https://replay.pokemonshowdown.com/smogtours-gen3ou-803510" TargetMode="External"/><Relationship Id="rId316" Type="http://schemas.openxmlformats.org/officeDocument/2006/relationships/hyperlink" Target="https://replay.pokemonshowdown.com/smogtours-gen3ou-794761" TargetMode="External"/><Relationship Id="rId315" Type="http://schemas.openxmlformats.org/officeDocument/2006/relationships/hyperlink" Target="https://replay.pokemonshowdown.com/smogtours-gen3ou-794758" TargetMode="External"/><Relationship Id="rId314" Type="http://schemas.openxmlformats.org/officeDocument/2006/relationships/hyperlink" Target="https://replay.pokemonshowdown.com/smogtours-gen3ou-794756" TargetMode="External"/><Relationship Id="rId313" Type="http://schemas.openxmlformats.org/officeDocument/2006/relationships/hyperlink" Target="https://replay.pokemonshowdown.com/smogtours-gen3ou-794605?p2" TargetMode="External"/><Relationship Id="rId319" Type="http://schemas.openxmlformats.org/officeDocument/2006/relationships/hyperlink" Target="https://replay.pokemonshowdown.com/smogtours-gen3ou-794600" TargetMode="External"/><Relationship Id="rId318" Type="http://schemas.openxmlformats.org/officeDocument/2006/relationships/hyperlink" Target="https://replay.pokemonshowdown.com/gen3ou-2216026923" TargetMode="External"/><Relationship Id="rId317" Type="http://schemas.openxmlformats.org/officeDocument/2006/relationships/hyperlink" Target="https://replay.pokemonshowdown.com/gen3ou-2216020489?p2" TargetMode="External"/><Relationship Id="rId3560" Type="http://schemas.openxmlformats.org/officeDocument/2006/relationships/hyperlink" Target="https://replay.pokemonshowdown.com/smogtours-gen3ou-803476" TargetMode="External"/><Relationship Id="rId2230" Type="http://schemas.openxmlformats.org/officeDocument/2006/relationships/hyperlink" Target="https://replay.pokemonshowdown.com/smogtours-gen3ou-799456" TargetMode="External"/><Relationship Id="rId3562" Type="http://schemas.openxmlformats.org/officeDocument/2006/relationships/hyperlink" Target="https://replay.pokemonshowdown.com/smogtours-gen3ou-803478" TargetMode="External"/><Relationship Id="rId2231" Type="http://schemas.openxmlformats.org/officeDocument/2006/relationships/hyperlink" Target="https://replay.pokemonshowdown.com/smogtours-gen3ou-799127?p2" TargetMode="External"/><Relationship Id="rId3561" Type="http://schemas.openxmlformats.org/officeDocument/2006/relationships/hyperlink" Target="https://replay.pokemonshowdown.com/smogtours-gen3ou-803481" TargetMode="External"/><Relationship Id="rId312" Type="http://schemas.openxmlformats.org/officeDocument/2006/relationships/hyperlink" Target="https://replay.pokemonshowdown.com/smogtours-gen3ou-794597" TargetMode="External"/><Relationship Id="rId2232" Type="http://schemas.openxmlformats.org/officeDocument/2006/relationships/hyperlink" Target="https://replay.pokemonshowdown.com/smogtours-gen3ou-799129?p2" TargetMode="External"/><Relationship Id="rId3564" Type="http://schemas.openxmlformats.org/officeDocument/2006/relationships/hyperlink" Target="https://replay.pokemonshowdown.com/smogtours-gen3ou-803419" TargetMode="External"/><Relationship Id="rId311" Type="http://schemas.openxmlformats.org/officeDocument/2006/relationships/hyperlink" Target="https://replay.pokemonshowdown.com/smogtours-gen3ou-794680" TargetMode="External"/><Relationship Id="rId2233" Type="http://schemas.openxmlformats.org/officeDocument/2006/relationships/hyperlink" Target="https://replay.pokemonshowdown.com/smogtours-gen3ou-799390" TargetMode="External"/><Relationship Id="rId3563" Type="http://schemas.openxmlformats.org/officeDocument/2006/relationships/hyperlink" Target="https://replay.pokemonshowdown.com/smogtours-gen3ou-803487" TargetMode="External"/><Relationship Id="rId310" Type="http://schemas.openxmlformats.org/officeDocument/2006/relationships/hyperlink" Target="https://replay.pokemonshowdown.com/smogtours-gen3ou-794676" TargetMode="External"/><Relationship Id="rId2234" Type="http://schemas.openxmlformats.org/officeDocument/2006/relationships/hyperlink" Target="https://replay.pokemonshowdown.com/smogtours-gen3ou-799393" TargetMode="External"/><Relationship Id="rId3566" Type="http://schemas.openxmlformats.org/officeDocument/2006/relationships/hyperlink" Target="https://replay.pokemonshowdown.com/smogtours-gen3ou-803431" TargetMode="External"/><Relationship Id="rId2235" Type="http://schemas.openxmlformats.org/officeDocument/2006/relationships/hyperlink" Target="https://replay.pokemonshowdown.com/smogtours-gen3ou-799394" TargetMode="External"/><Relationship Id="rId3565" Type="http://schemas.openxmlformats.org/officeDocument/2006/relationships/hyperlink" Target="https://replay.pokemonshowdown.com/smogtours-gen3ou-803428" TargetMode="External"/><Relationship Id="rId4040" Type="http://schemas.openxmlformats.org/officeDocument/2006/relationships/hyperlink" Target="https://replay.pokemonshowdown.com/smogtours-gen3ou-805602" TargetMode="External"/><Relationship Id="rId4042" Type="http://schemas.openxmlformats.org/officeDocument/2006/relationships/hyperlink" Target="https://replay.pokemonshowdown.com/smogtours-gen3ou-805615" TargetMode="External"/><Relationship Id="rId4041" Type="http://schemas.openxmlformats.org/officeDocument/2006/relationships/hyperlink" Target="https://replay.pokemonshowdown.com/smogtours-gen3ou-805606" TargetMode="External"/><Relationship Id="rId4044" Type="http://schemas.openxmlformats.org/officeDocument/2006/relationships/hyperlink" Target="https://replay.pokemonshowdown.com/smogtours-gen3ou-805622" TargetMode="External"/><Relationship Id="rId4043" Type="http://schemas.openxmlformats.org/officeDocument/2006/relationships/hyperlink" Target="https://replay.pokemonshowdown.com/smogtours-gen3ou-805619" TargetMode="External"/><Relationship Id="rId4046" Type="http://schemas.openxmlformats.org/officeDocument/2006/relationships/hyperlink" Target="https://replay.pokemonshowdown.com/smogtours-gen3ou-805634" TargetMode="External"/><Relationship Id="rId4045" Type="http://schemas.openxmlformats.org/officeDocument/2006/relationships/hyperlink" Target="https://replay.pokemonshowdown.com/smogtours-gen3ou-805629" TargetMode="External"/><Relationship Id="rId4048" Type="http://schemas.openxmlformats.org/officeDocument/2006/relationships/hyperlink" Target="https://replay.pokemonshowdown.com/smogtours-gen3ou-805355" TargetMode="External"/><Relationship Id="rId4047" Type="http://schemas.openxmlformats.org/officeDocument/2006/relationships/hyperlink" Target="https://replay.pokemonshowdown.com/smogtours-gen3ou-805352" TargetMode="External"/><Relationship Id="rId4049" Type="http://schemas.openxmlformats.org/officeDocument/2006/relationships/hyperlink" Target="https://replay.pokemonshowdown.com/smogtours-gen3ou-805358" TargetMode="External"/><Relationship Id="rId4031" Type="http://schemas.openxmlformats.org/officeDocument/2006/relationships/hyperlink" Target="https://replay.pokemonshowdown.com/smogtours-gen3ou-805049" TargetMode="External"/><Relationship Id="rId4030" Type="http://schemas.openxmlformats.org/officeDocument/2006/relationships/hyperlink" Target="https://replay.pokemonshowdown.com/smogtours-gen3ou-805047" TargetMode="External"/><Relationship Id="rId297" Type="http://schemas.openxmlformats.org/officeDocument/2006/relationships/hyperlink" Target="https://replay.pokemonshowdown.com/smogtours-gen3ou-794397" TargetMode="External"/><Relationship Id="rId4033" Type="http://schemas.openxmlformats.org/officeDocument/2006/relationships/hyperlink" Target="https://replay.pokemonshowdown.com/smogtours-gen3ou-805365" TargetMode="External"/><Relationship Id="rId296" Type="http://schemas.openxmlformats.org/officeDocument/2006/relationships/hyperlink" Target="https://replay.pokemonshowdown.com/smogtours-gen3ou-794388" TargetMode="External"/><Relationship Id="rId4032" Type="http://schemas.openxmlformats.org/officeDocument/2006/relationships/hyperlink" Target="https://replay.pokemonshowdown.com/smogtours-gen3ou-805364" TargetMode="External"/><Relationship Id="rId295" Type="http://schemas.openxmlformats.org/officeDocument/2006/relationships/hyperlink" Target="https://replay.pokemonshowdown.com/smogtours-gen3ou-794602" TargetMode="External"/><Relationship Id="rId4035" Type="http://schemas.openxmlformats.org/officeDocument/2006/relationships/hyperlink" Target="https://replay.pokemonshowdown.com/smogtours-gen3ou-805571" TargetMode="External"/><Relationship Id="rId294" Type="http://schemas.openxmlformats.org/officeDocument/2006/relationships/hyperlink" Target="https://replay.pokemonshowdown.com/smogtours-gen3ou-794589?p2" TargetMode="External"/><Relationship Id="rId4034" Type="http://schemas.openxmlformats.org/officeDocument/2006/relationships/hyperlink" Target="https://replay.pokemonshowdown.com/smogtours-gen3ou-805366" TargetMode="External"/><Relationship Id="rId4037" Type="http://schemas.openxmlformats.org/officeDocument/2006/relationships/hyperlink" Target="https://replay.pokemonshowdown.com/smogtours-gen3ou-805581" TargetMode="External"/><Relationship Id="rId4036" Type="http://schemas.openxmlformats.org/officeDocument/2006/relationships/hyperlink" Target="https://replay.pokemonshowdown.com/smogtours-gen3ou-805576" TargetMode="External"/><Relationship Id="rId299" Type="http://schemas.openxmlformats.org/officeDocument/2006/relationships/hyperlink" Target="https://replay.pokemonshowdown.com/smogtours-gen3ou-794580" TargetMode="External"/><Relationship Id="rId4039" Type="http://schemas.openxmlformats.org/officeDocument/2006/relationships/hyperlink" Target="https://replay.pokemonshowdown.com/smogtours-gen3ou-805598" TargetMode="External"/><Relationship Id="rId298" Type="http://schemas.openxmlformats.org/officeDocument/2006/relationships/hyperlink" Target="https://replay.pokemonshowdown.com/smogtours-gen3ou-794402" TargetMode="External"/><Relationship Id="rId4038" Type="http://schemas.openxmlformats.org/officeDocument/2006/relationships/hyperlink" Target="https://replay.pokemonshowdown.com/smogtours-gen3ou-805596" TargetMode="External"/><Relationship Id="rId4060" Type="http://schemas.openxmlformats.org/officeDocument/2006/relationships/hyperlink" Target="https://replay.pokemonshowdown.com/smogtours-gen3ou-805342" TargetMode="External"/><Relationship Id="rId4062" Type="http://schemas.openxmlformats.org/officeDocument/2006/relationships/hyperlink" Target="https://replay.pokemonshowdown.com/smogtours-gen3ou-805350" TargetMode="External"/><Relationship Id="rId4061" Type="http://schemas.openxmlformats.org/officeDocument/2006/relationships/hyperlink" Target="https://replay.pokemonshowdown.com/smogtours-gen3ou-805345" TargetMode="External"/><Relationship Id="rId4064" Type="http://schemas.openxmlformats.org/officeDocument/2006/relationships/hyperlink" Target="https://replay.pokemonshowdown.com/smogtours-gen3ou-805369" TargetMode="External"/><Relationship Id="rId4063" Type="http://schemas.openxmlformats.org/officeDocument/2006/relationships/hyperlink" Target="https://replay.pokemonshowdown.com/smogtours-gen3ou-805367" TargetMode="External"/><Relationship Id="rId4066" Type="http://schemas.openxmlformats.org/officeDocument/2006/relationships/hyperlink" Target="https://replay.pokemonshowdown.com/smogtours-gen3ou-805321" TargetMode="External"/><Relationship Id="rId4065" Type="http://schemas.openxmlformats.org/officeDocument/2006/relationships/hyperlink" Target="https://replay.pokemonshowdown.com/smogtours-gen3ou-805320" TargetMode="External"/><Relationship Id="rId4068" Type="http://schemas.openxmlformats.org/officeDocument/2006/relationships/hyperlink" Target="https://replay.pokemonshowdown.com/smogtours-gen3ou-805612" TargetMode="External"/><Relationship Id="rId4067" Type="http://schemas.openxmlformats.org/officeDocument/2006/relationships/hyperlink" Target="https://replay.pokemonshowdown.com/smogtours-gen3ou-805608" TargetMode="External"/><Relationship Id="rId4069" Type="http://schemas.openxmlformats.org/officeDocument/2006/relationships/hyperlink" Target="https://replay.pokemonshowdown.com/smogtours-gen3ou-805662" TargetMode="External"/><Relationship Id="rId4051" Type="http://schemas.openxmlformats.org/officeDocument/2006/relationships/hyperlink" Target="https://replay.pokemonshowdown.com/smogtours-gen3ou-805442" TargetMode="External"/><Relationship Id="rId4050" Type="http://schemas.openxmlformats.org/officeDocument/2006/relationships/hyperlink" Target="https://replay.pokemonshowdown.com/smogtours-gen3ou-805439" TargetMode="External"/><Relationship Id="rId4053" Type="http://schemas.openxmlformats.org/officeDocument/2006/relationships/hyperlink" Target="https://replay.pokemonshowdown.com/smogtours-gen3ou-805553" TargetMode="External"/><Relationship Id="rId4052" Type="http://schemas.openxmlformats.org/officeDocument/2006/relationships/hyperlink" Target="https://replay.pokemonshowdown.com/smogtours-gen3ou-805450" TargetMode="External"/><Relationship Id="rId4055" Type="http://schemas.openxmlformats.org/officeDocument/2006/relationships/hyperlink" Target="https://replay.pokemonshowdown.com/smogtours-gen3ou-805486" TargetMode="External"/><Relationship Id="rId4054" Type="http://schemas.openxmlformats.org/officeDocument/2006/relationships/hyperlink" Target="https://replay.pokemonshowdown.com/smogtours-gen3ou-805555" TargetMode="External"/><Relationship Id="rId4057" Type="http://schemas.openxmlformats.org/officeDocument/2006/relationships/hyperlink" Target="https://replay.pokemonshowdown.com/smogtours-gen3ou-805398" TargetMode="External"/><Relationship Id="rId4056" Type="http://schemas.openxmlformats.org/officeDocument/2006/relationships/hyperlink" Target="https://replay.pokemonshowdown.com/smogtours-gen3ou-805492" TargetMode="External"/><Relationship Id="rId4059" Type="http://schemas.openxmlformats.org/officeDocument/2006/relationships/hyperlink" Target="https://replay.pokemonshowdown.com/smogtours-gen3ou-805409" TargetMode="External"/><Relationship Id="rId4058" Type="http://schemas.openxmlformats.org/officeDocument/2006/relationships/hyperlink" Target="https://replay.pokemonshowdown.com/smogtours-gen3ou-805403" TargetMode="External"/><Relationship Id="rId4008" Type="http://schemas.openxmlformats.org/officeDocument/2006/relationships/hyperlink" Target="https://replay.pokemonshowdown.com/smogtours-gen3ou-805168" TargetMode="External"/><Relationship Id="rId4007" Type="http://schemas.openxmlformats.org/officeDocument/2006/relationships/hyperlink" Target="https://replay.pokemonshowdown.com/smogtours-gen3ou-805164" TargetMode="External"/><Relationship Id="rId4009" Type="http://schemas.openxmlformats.org/officeDocument/2006/relationships/hyperlink" Target="https://replay.pokemonshowdown.com/smogtours-gen3ou-805133" TargetMode="External"/><Relationship Id="rId271" Type="http://schemas.openxmlformats.org/officeDocument/2006/relationships/hyperlink" Target="https://replay.pokemonshowdown.com/smogtours-gen3ou-794393" TargetMode="External"/><Relationship Id="rId270" Type="http://schemas.openxmlformats.org/officeDocument/2006/relationships/hyperlink" Target="https://replay.pokemonshowdown.com/smogtours-gen3ou-794479" TargetMode="External"/><Relationship Id="rId269" Type="http://schemas.openxmlformats.org/officeDocument/2006/relationships/hyperlink" Target="https://replay.pokemonshowdown.com/smogtours-gen3ou-794475" TargetMode="External"/><Relationship Id="rId264" Type="http://schemas.openxmlformats.org/officeDocument/2006/relationships/hyperlink" Target="https://replay.pokemonshowdown.com/smogtours-gen3ou-794342?p2" TargetMode="External"/><Relationship Id="rId4000" Type="http://schemas.openxmlformats.org/officeDocument/2006/relationships/hyperlink" Target="https://replay.pokemonshowdown.com/smogtours-gen3ou-805493?p2" TargetMode="External"/><Relationship Id="rId263" Type="http://schemas.openxmlformats.org/officeDocument/2006/relationships/hyperlink" Target="https://replay.pokemonshowdown.com/smogtours-gen3ou-794338" TargetMode="External"/><Relationship Id="rId262" Type="http://schemas.openxmlformats.org/officeDocument/2006/relationships/hyperlink" Target="https://replay.pokemonshowdown.com/smogtours-gen3ou-794336?p2" TargetMode="External"/><Relationship Id="rId4002" Type="http://schemas.openxmlformats.org/officeDocument/2006/relationships/hyperlink" Target="https://replay.pokemonshowdown.com/smogtours-gen3ou-805554" TargetMode="External"/><Relationship Id="rId261" Type="http://schemas.openxmlformats.org/officeDocument/2006/relationships/hyperlink" Target="https://replay.pokemonshowdown.com/smogtours-gen3ou-794560" TargetMode="External"/><Relationship Id="rId4001" Type="http://schemas.openxmlformats.org/officeDocument/2006/relationships/hyperlink" Target="https://replay.pokemonshowdown.com/smogtours-gen3ou-805552" TargetMode="External"/><Relationship Id="rId268" Type="http://schemas.openxmlformats.org/officeDocument/2006/relationships/hyperlink" Target="https://replay.pokemonshowdown.com/smogtours-gen3ou-794465?p2" TargetMode="External"/><Relationship Id="rId4004" Type="http://schemas.openxmlformats.org/officeDocument/2006/relationships/hyperlink" Target="https://replay.pokemonshowdown.com/smogtours-gen3ou-804884" TargetMode="External"/><Relationship Id="rId267" Type="http://schemas.openxmlformats.org/officeDocument/2006/relationships/hyperlink" Target="https://replay.pokemonshowdown.com/smogtours-gen3ou-794174" TargetMode="External"/><Relationship Id="rId4003" Type="http://schemas.openxmlformats.org/officeDocument/2006/relationships/hyperlink" Target="https://replay.pokemonshowdown.com/smogtours-gen3ou-804882" TargetMode="External"/><Relationship Id="rId266" Type="http://schemas.openxmlformats.org/officeDocument/2006/relationships/hyperlink" Target="https://replay.pokemonshowdown.com/smogtours-gen3ou-794173" TargetMode="External"/><Relationship Id="rId4006" Type="http://schemas.openxmlformats.org/officeDocument/2006/relationships/hyperlink" Target="https://replay.pokemonshowdown.com/smogtours-gen3ou-805162" TargetMode="External"/><Relationship Id="rId265" Type="http://schemas.openxmlformats.org/officeDocument/2006/relationships/hyperlink" Target="https://replay.pokemonshowdown.com/smogtours-gen3ou-794172" TargetMode="External"/><Relationship Id="rId4005" Type="http://schemas.openxmlformats.org/officeDocument/2006/relationships/hyperlink" Target="https://replay.pokemonshowdown.com/smogtours-gen3ou-804886" TargetMode="External"/><Relationship Id="rId260" Type="http://schemas.openxmlformats.org/officeDocument/2006/relationships/hyperlink" Target="https://replay.pokemonshowdown.com/smogtours-gen3ou-794558" TargetMode="External"/><Relationship Id="rId259" Type="http://schemas.openxmlformats.org/officeDocument/2006/relationships/hyperlink" Target="https://replay.pokemonshowdown.com/smogtours-gen3ou-794555" TargetMode="External"/><Relationship Id="rId258" Type="http://schemas.openxmlformats.org/officeDocument/2006/relationships/hyperlink" Target="https://replay.pokemonshowdown.com/smogtours-gen3ou-794557" TargetMode="External"/><Relationship Id="rId2290" Type="http://schemas.openxmlformats.org/officeDocument/2006/relationships/hyperlink" Target="https://replay.pokemonshowdown.com/smogtours-gen3ou-799951" TargetMode="External"/><Relationship Id="rId2291" Type="http://schemas.openxmlformats.org/officeDocument/2006/relationships/hyperlink" Target="https://replay.pokemonshowdown.com/smogtours-gen3ou-799956" TargetMode="External"/><Relationship Id="rId2292" Type="http://schemas.openxmlformats.org/officeDocument/2006/relationships/hyperlink" Target="https://replay.pokemonshowdown.com/smogtours-gen3ou-799890" TargetMode="External"/><Relationship Id="rId2293" Type="http://schemas.openxmlformats.org/officeDocument/2006/relationships/hyperlink" Target="https://replay.pokemonshowdown.com/smogtours-gen3ou-799897" TargetMode="External"/><Relationship Id="rId253" Type="http://schemas.openxmlformats.org/officeDocument/2006/relationships/hyperlink" Target="https://replay.pokemonshowdown.com/smogtours-gen3ou-794514" TargetMode="External"/><Relationship Id="rId2294" Type="http://schemas.openxmlformats.org/officeDocument/2006/relationships/hyperlink" Target="https://replay.pokemonshowdown.com/smogtours-gen3ou-799902" TargetMode="External"/><Relationship Id="rId252" Type="http://schemas.openxmlformats.org/officeDocument/2006/relationships/hyperlink" Target="https://replay.pokemonshowdown.com/smogtours-gen3ou-794414" TargetMode="External"/><Relationship Id="rId2295" Type="http://schemas.openxmlformats.org/officeDocument/2006/relationships/hyperlink" Target="https://replay.pokemonshowdown.com/smogtours-gen3ou-799918" TargetMode="External"/><Relationship Id="rId251" Type="http://schemas.openxmlformats.org/officeDocument/2006/relationships/hyperlink" Target="https://replay.pokemonshowdown.com/smogtours-gen3ou-794411" TargetMode="External"/><Relationship Id="rId2296" Type="http://schemas.openxmlformats.org/officeDocument/2006/relationships/hyperlink" Target="https://replay.pokemonshowdown.com/smogtours-gen3ou-799922" TargetMode="External"/><Relationship Id="rId250" Type="http://schemas.openxmlformats.org/officeDocument/2006/relationships/hyperlink" Target="https://replay.pokemonshowdown.com/smogtours-gen3ou-794491" TargetMode="External"/><Relationship Id="rId2297" Type="http://schemas.openxmlformats.org/officeDocument/2006/relationships/hyperlink" Target="https://replay.pokemonshowdown.com/smogtours-gen3ou-799925" TargetMode="External"/><Relationship Id="rId257" Type="http://schemas.openxmlformats.org/officeDocument/2006/relationships/hyperlink" Target="https://replay.pokemonshowdown.com/smogtours-gen3ou-794554" TargetMode="External"/><Relationship Id="rId2298" Type="http://schemas.openxmlformats.org/officeDocument/2006/relationships/hyperlink" Target="https://replay.pokemonshowdown.com/smogtours-gen3ou-799574" TargetMode="External"/><Relationship Id="rId256" Type="http://schemas.openxmlformats.org/officeDocument/2006/relationships/hyperlink" Target="https://replay.pokemonshowdown.com/gen3ou-2215825152-fe2rsehhai0sj5y0tnld2220vktgfiipw" TargetMode="External"/><Relationship Id="rId2299" Type="http://schemas.openxmlformats.org/officeDocument/2006/relationships/hyperlink" Target="https://replay.pokemonshowdown.com/smogtours-gen3ou-799584" TargetMode="External"/><Relationship Id="rId255" Type="http://schemas.openxmlformats.org/officeDocument/2006/relationships/hyperlink" Target="https://replay.pokemonshowdown.com/gen3ou-2215818740" TargetMode="External"/><Relationship Id="rId254" Type="http://schemas.openxmlformats.org/officeDocument/2006/relationships/hyperlink" Target="https://replay.pokemonshowdown.com/smogtours-gen3ou-794515" TargetMode="External"/><Relationship Id="rId4029" Type="http://schemas.openxmlformats.org/officeDocument/2006/relationships/hyperlink" Target="https://replay.pokemonshowdown.com/smogtours-gen3ou-805149" TargetMode="External"/><Relationship Id="rId293" Type="http://schemas.openxmlformats.org/officeDocument/2006/relationships/hyperlink" Target="https://replay.pokemonshowdown.com/smogtours-gen3ou-794583?p2" TargetMode="External"/><Relationship Id="rId292" Type="http://schemas.openxmlformats.org/officeDocument/2006/relationships/hyperlink" Target="https://replay.pokemonshowdown.com/smogtours-gen3ou-794596" TargetMode="External"/><Relationship Id="rId291" Type="http://schemas.openxmlformats.org/officeDocument/2006/relationships/hyperlink" Target="https://replay.pokemonshowdown.com/smogtours-gen3ou-794590" TargetMode="External"/><Relationship Id="rId290" Type="http://schemas.openxmlformats.org/officeDocument/2006/relationships/hyperlink" Target="https://replay.pokemonshowdown.com/smogtours-gen3ou-794372" TargetMode="External"/><Relationship Id="rId4020" Type="http://schemas.openxmlformats.org/officeDocument/2006/relationships/hyperlink" Target="https://replay.pokemonshowdown.com/gen3ou-2238935961-8pym5usya00k11sh8bun09210wk3mr5pw?p2" TargetMode="External"/><Relationship Id="rId286" Type="http://schemas.openxmlformats.org/officeDocument/2006/relationships/hyperlink" Target="https://replay.pokemonshowdown.com/smogtours-gen3ou-794533" TargetMode="External"/><Relationship Id="rId4022" Type="http://schemas.openxmlformats.org/officeDocument/2006/relationships/hyperlink" Target="https://replay.pokemonshowdown.com/smogtours-gen3ou-805216" TargetMode="External"/><Relationship Id="rId285" Type="http://schemas.openxmlformats.org/officeDocument/2006/relationships/hyperlink" Target="https://replay.pokemonshowdown.com/smogtours-gen3ou-794536" TargetMode="External"/><Relationship Id="rId4021" Type="http://schemas.openxmlformats.org/officeDocument/2006/relationships/hyperlink" Target="https://replay.pokemonshowdown.com/gen3ou-2238938550-ei7ts8dmtklhztdrqf577nwqodgtwnxpw" TargetMode="External"/><Relationship Id="rId284" Type="http://schemas.openxmlformats.org/officeDocument/2006/relationships/hyperlink" Target="https://replay.pokemonshowdown.com/smogtours-gen3ou-794534" TargetMode="External"/><Relationship Id="rId4024" Type="http://schemas.openxmlformats.org/officeDocument/2006/relationships/hyperlink" Target="https://replay.pokemonshowdown.com/smogtours-gen3ou-805333" TargetMode="External"/><Relationship Id="rId283" Type="http://schemas.openxmlformats.org/officeDocument/2006/relationships/hyperlink" Target="https://replay.pokemonshowdown.com/smogtours-gen3ou-794426" TargetMode="External"/><Relationship Id="rId4023" Type="http://schemas.openxmlformats.org/officeDocument/2006/relationships/hyperlink" Target="https://replay.pokemonshowdown.com/smogtours-gen3ou-805217" TargetMode="External"/><Relationship Id="rId4026" Type="http://schemas.openxmlformats.org/officeDocument/2006/relationships/hyperlink" Target="https://replay.pokemonshowdown.com/smogtours-gen3ou-805327" TargetMode="External"/><Relationship Id="rId289" Type="http://schemas.openxmlformats.org/officeDocument/2006/relationships/hyperlink" Target="https://replay.pokemonshowdown.com/smogtours-gen3ou-794369" TargetMode="External"/><Relationship Id="rId4025" Type="http://schemas.openxmlformats.org/officeDocument/2006/relationships/hyperlink" Target="https://replay.pokemonshowdown.com/smogtours-gen3ou-805330" TargetMode="External"/><Relationship Id="rId288" Type="http://schemas.openxmlformats.org/officeDocument/2006/relationships/hyperlink" Target="https://replay.pokemonshowdown.com/smogtours-gen3ou-794537" TargetMode="External"/><Relationship Id="rId4028" Type="http://schemas.openxmlformats.org/officeDocument/2006/relationships/hyperlink" Target="https://replay.pokemonshowdown.com/smogtours-gen3ou-805144" TargetMode="External"/><Relationship Id="rId287" Type="http://schemas.openxmlformats.org/officeDocument/2006/relationships/hyperlink" Target="https://replay.pokemonshowdown.com/smogtours-gen3ou-794535" TargetMode="External"/><Relationship Id="rId4027" Type="http://schemas.openxmlformats.org/officeDocument/2006/relationships/hyperlink" Target="https://replay.pokemonshowdown.com/smogtours-gen3ou-805142" TargetMode="External"/><Relationship Id="rId4019" Type="http://schemas.openxmlformats.org/officeDocument/2006/relationships/hyperlink" Target="https://replay.pokemonshowdown.com/gen3ou-2238933685-oeghcrluy4f4zyrkctxla4fu0j2bznspw" TargetMode="External"/><Relationship Id="rId4018" Type="http://schemas.openxmlformats.org/officeDocument/2006/relationships/hyperlink" Target="https://replay.pokemonshowdown.com/smogtours-gen3ou-805170" TargetMode="External"/><Relationship Id="rId282" Type="http://schemas.openxmlformats.org/officeDocument/2006/relationships/hyperlink" Target="https://replay.pokemonshowdown.com/smogtours-gen3ou-794424" TargetMode="External"/><Relationship Id="rId281" Type="http://schemas.openxmlformats.org/officeDocument/2006/relationships/hyperlink" Target="https://replay.pokemonshowdown.com/gen3ou-2215474939" TargetMode="External"/><Relationship Id="rId280" Type="http://schemas.openxmlformats.org/officeDocument/2006/relationships/hyperlink" Target="https://replay.pokemonshowdown.com/gen3ou-2215468591" TargetMode="External"/><Relationship Id="rId275" Type="http://schemas.openxmlformats.org/officeDocument/2006/relationships/hyperlink" Target="https://replay.pokemonshowdown.com/gen3ou-2214831188" TargetMode="External"/><Relationship Id="rId4011" Type="http://schemas.openxmlformats.org/officeDocument/2006/relationships/hyperlink" Target="https://replay.pokemonshowdown.com/smogtours-gen3ou-805222" TargetMode="External"/><Relationship Id="rId274" Type="http://schemas.openxmlformats.org/officeDocument/2006/relationships/hyperlink" Target="https://replay.pokemonshowdown.com/gen3ou-2214829763" TargetMode="External"/><Relationship Id="rId4010" Type="http://schemas.openxmlformats.org/officeDocument/2006/relationships/hyperlink" Target="https://replay.pokemonshowdown.com/smogtours-gen3ou-805136" TargetMode="External"/><Relationship Id="rId273" Type="http://schemas.openxmlformats.org/officeDocument/2006/relationships/hyperlink" Target="https://replay.pokemonshowdown.com/smogtours-gen3ou-794404" TargetMode="External"/><Relationship Id="rId4013" Type="http://schemas.openxmlformats.org/officeDocument/2006/relationships/hyperlink" Target="https://replay.pokemonshowdown.com/smogtours-gen3ou-805224" TargetMode="External"/><Relationship Id="rId272" Type="http://schemas.openxmlformats.org/officeDocument/2006/relationships/hyperlink" Target="https://replay.pokemonshowdown.com/smogtours-gen3ou-794400" TargetMode="External"/><Relationship Id="rId4012" Type="http://schemas.openxmlformats.org/officeDocument/2006/relationships/hyperlink" Target="https://replay.pokemonshowdown.com/smogtours-gen3ou-805223" TargetMode="External"/><Relationship Id="rId279" Type="http://schemas.openxmlformats.org/officeDocument/2006/relationships/hyperlink" Target="https://replay.pokemonshowdown.com/smogtours-gen3ou-794264" TargetMode="External"/><Relationship Id="rId4015" Type="http://schemas.openxmlformats.org/officeDocument/2006/relationships/hyperlink" Target="https://replay.pokemonshowdown.com/smogtours-gen3ou-805497" TargetMode="External"/><Relationship Id="rId278" Type="http://schemas.openxmlformats.org/officeDocument/2006/relationships/hyperlink" Target="https://replay.pokemonshowdown.com/smogtours-gen3ou-794262" TargetMode="External"/><Relationship Id="rId4014" Type="http://schemas.openxmlformats.org/officeDocument/2006/relationships/hyperlink" Target="https://replay.pokemonshowdown.com/smogtours-gen3ou-805487" TargetMode="External"/><Relationship Id="rId277" Type="http://schemas.openxmlformats.org/officeDocument/2006/relationships/hyperlink" Target="https://replay.pokemonshowdown.com/smogtours-gen3ou-794259" TargetMode="External"/><Relationship Id="rId4017" Type="http://schemas.openxmlformats.org/officeDocument/2006/relationships/hyperlink" Target="https://replay.pokemonshowdown.com/smogtours-gen3ou-805165" TargetMode="External"/><Relationship Id="rId276" Type="http://schemas.openxmlformats.org/officeDocument/2006/relationships/hyperlink" Target="https://replay.pokemonshowdown.com/gen3ou-2214833867" TargetMode="External"/><Relationship Id="rId4016" Type="http://schemas.openxmlformats.org/officeDocument/2006/relationships/hyperlink" Target="https://replay.pokemonshowdown.com/smogtours-gen3ou-805501" TargetMode="External"/><Relationship Id="rId1851" Type="http://schemas.openxmlformats.org/officeDocument/2006/relationships/hyperlink" Target="https://replay.pokemonshowdown.com/smogtours-gen3ou-798761?p2" TargetMode="External"/><Relationship Id="rId1852" Type="http://schemas.openxmlformats.org/officeDocument/2006/relationships/hyperlink" Target="https://replay.pokemonshowdown.com/smogtours-gen3ou-798765?p2" TargetMode="External"/><Relationship Id="rId1853" Type="http://schemas.openxmlformats.org/officeDocument/2006/relationships/hyperlink" Target="https://replay.pokemonshowdown.com/smogtours-gen3ou-798772" TargetMode="External"/><Relationship Id="rId1854" Type="http://schemas.openxmlformats.org/officeDocument/2006/relationships/hyperlink" Target="https://replay.pokemonshowdown.com/smogtours-gen3ou-798696" TargetMode="External"/><Relationship Id="rId1855" Type="http://schemas.openxmlformats.org/officeDocument/2006/relationships/hyperlink" Target="https://replay.pokemonshowdown.com/smogtours-gen3ou-798699" TargetMode="External"/><Relationship Id="rId1856" Type="http://schemas.openxmlformats.org/officeDocument/2006/relationships/hyperlink" Target="https://replay.pokemonshowdown.com/smogtours-gen3ou-798691" TargetMode="External"/><Relationship Id="rId1857" Type="http://schemas.openxmlformats.org/officeDocument/2006/relationships/hyperlink" Target="https://replay.pokemonshowdown.com/smogtours-gen3ou-798695" TargetMode="External"/><Relationship Id="rId1858" Type="http://schemas.openxmlformats.org/officeDocument/2006/relationships/hyperlink" Target="https://replay.pokemonshowdown.com/smogtours-gen3ou-798697" TargetMode="External"/><Relationship Id="rId1859" Type="http://schemas.openxmlformats.org/officeDocument/2006/relationships/hyperlink" Target="https://replay.pokemonshowdown.com/smogtours-gen3ou-798739" TargetMode="External"/><Relationship Id="rId1850" Type="http://schemas.openxmlformats.org/officeDocument/2006/relationships/hyperlink" Target="https://replay.pokemonshowdown.com/smogtours-gen3ou-797282" TargetMode="External"/><Relationship Id="rId1840" Type="http://schemas.openxmlformats.org/officeDocument/2006/relationships/hyperlink" Target="https://replay.pokemonshowdown.com/smogtours-gen3ou-798371" TargetMode="External"/><Relationship Id="rId1841" Type="http://schemas.openxmlformats.org/officeDocument/2006/relationships/hyperlink" Target="https://replay.pokemonshowdown.com/smogtours-gen3ou-798644" TargetMode="External"/><Relationship Id="rId1842" Type="http://schemas.openxmlformats.org/officeDocument/2006/relationships/hyperlink" Target="https://replay.pokemonshowdown.com/smogtours-gen3ou-798646" TargetMode="External"/><Relationship Id="rId1843" Type="http://schemas.openxmlformats.org/officeDocument/2006/relationships/hyperlink" Target="https://replay.pokemonshowdown.com/smogtours-gen3ou-798648" TargetMode="External"/><Relationship Id="rId1844" Type="http://schemas.openxmlformats.org/officeDocument/2006/relationships/hyperlink" Target="http://replay.pokemonshowdown.com/smogtours-gen3ou-798143" TargetMode="External"/><Relationship Id="rId1845" Type="http://schemas.openxmlformats.org/officeDocument/2006/relationships/hyperlink" Target="http://replay.pokemonshowdown.com/smogtours-gen3ou-798149" TargetMode="External"/><Relationship Id="rId1846" Type="http://schemas.openxmlformats.org/officeDocument/2006/relationships/hyperlink" Target="https://replay.pokemonshowdown.com/smogtours-gen3ou-798667" TargetMode="External"/><Relationship Id="rId1847" Type="http://schemas.openxmlformats.org/officeDocument/2006/relationships/hyperlink" Target="https://replay.pokemonshowdown.com/smogtours-gen3ou-798672" TargetMode="External"/><Relationship Id="rId1848" Type="http://schemas.openxmlformats.org/officeDocument/2006/relationships/hyperlink" Target="https://replay.pokemonshowdown.com/smogtours-gen3ou-797271" TargetMode="External"/><Relationship Id="rId1849" Type="http://schemas.openxmlformats.org/officeDocument/2006/relationships/hyperlink" Target="https://replay.pokemonshowdown.com/smogtours-gen3ou-797275" TargetMode="External"/><Relationship Id="rId1873" Type="http://schemas.openxmlformats.org/officeDocument/2006/relationships/hyperlink" Target="https://replay.pokemonshowdown.com/smogtours-gen3ou-798039" TargetMode="External"/><Relationship Id="rId1874" Type="http://schemas.openxmlformats.org/officeDocument/2006/relationships/hyperlink" Target="https://replay.pokemonshowdown.com/smogtours-gen3ou-798051" TargetMode="External"/><Relationship Id="rId1875" Type="http://schemas.openxmlformats.org/officeDocument/2006/relationships/hyperlink" Target="https://replay.pokemonshowdown.com/smogtours-gen3ou-797984" TargetMode="External"/><Relationship Id="rId1876" Type="http://schemas.openxmlformats.org/officeDocument/2006/relationships/hyperlink" Target="https://replay.pokemonshowdown.com/smogtours-gen3ou-797985" TargetMode="External"/><Relationship Id="rId1877" Type="http://schemas.openxmlformats.org/officeDocument/2006/relationships/hyperlink" Target="https://replay.pokemonshowdown.com/smogtours-gen3ou-797987" TargetMode="External"/><Relationship Id="rId1878" Type="http://schemas.openxmlformats.org/officeDocument/2006/relationships/hyperlink" Target="https://replay.pokemonshowdown.com/smogtours-gen3ou-797855" TargetMode="External"/><Relationship Id="rId1879" Type="http://schemas.openxmlformats.org/officeDocument/2006/relationships/hyperlink" Target="https://replay.pokemonshowdown.com/smogtours-gen3ou-797859" TargetMode="External"/><Relationship Id="rId1870" Type="http://schemas.openxmlformats.org/officeDocument/2006/relationships/hyperlink" Target="https://replay.pokemonshowdown.com/smogtours-gen3ou-798190" TargetMode="External"/><Relationship Id="rId1871" Type="http://schemas.openxmlformats.org/officeDocument/2006/relationships/hyperlink" Target="https://replay.pokemonshowdown.com/smogtours-gen3ou-798810" TargetMode="External"/><Relationship Id="rId1872" Type="http://schemas.openxmlformats.org/officeDocument/2006/relationships/hyperlink" Target="https://replay.pokemonshowdown.com/smogtours-gen3ou-798814" TargetMode="External"/><Relationship Id="rId1862" Type="http://schemas.openxmlformats.org/officeDocument/2006/relationships/hyperlink" Target="https://replay.pokemonshowdown.com/smogtours-gen3ou-798742?p2" TargetMode="External"/><Relationship Id="rId1863" Type="http://schemas.openxmlformats.org/officeDocument/2006/relationships/hyperlink" Target="https://replay.pokemonshowdown.com/smogtours-gen3ou-798750?p2" TargetMode="External"/><Relationship Id="rId1864" Type="http://schemas.openxmlformats.org/officeDocument/2006/relationships/hyperlink" Target="https://replay.pokemonshowdown.com/smogtours-gen3ou-797292" TargetMode="External"/><Relationship Id="rId1865" Type="http://schemas.openxmlformats.org/officeDocument/2006/relationships/hyperlink" Target="https://replay.pokemonshowdown.com/smogtours-gen3ou-797299" TargetMode="External"/><Relationship Id="rId1866" Type="http://schemas.openxmlformats.org/officeDocument/2006/relationships/hyperlink" Target="https://replay.pokemonshowdown.com/smogtours-gen3ou-798050" TargetMode="External"/><Relationship Id="rId1867" Type="http://schemas.openxmlformats.org/officeDocument/2006/relationships/hyperlink" Target="https://replay.pokemonshowdown.com/smogtours-gen3ou-798059" TargetMode="External"/><Relationship Id="rId1868" Type="http://schemas.openxmlformats.org/officeDocument/2006/relationships/hyperlink" Target="https://replay.pokemonshowdown.com/smogtours-gen3ou-798064" TargetMode="External"/><Relationship Id="rId1869" Type="http://schemas.openxmlformats.org/officeDocument/2006/relationships/hyperlink" Target="https://replay.pokemonshowdown.com/smogtours-gen3ou-798175" TargetMode="External"/><Relationship Id="rId1860" Type="http://schemas.openxmlformats.org/officeDocument/2006/relationships/hyperlink" Target="https://replay.pokemonshowdown.com/smogtours-gen3ou-798747?p2" TargetMode="External"/><Relationship Id="rId1861" Type="http://schemas.openxmlformats.org/officeDocument/2006/relationships/hyperlink" Target="https://replay.pokemonshowdown.com/smogtours-gen3ou-798734?p2" TargetMode="External"/><Relationship Id="rId1810" Type="http://schemas.openxmlformats.org/officeDocument/2006/relationships/hyperlink" Target="https://replay.pokemonshowdown.com/smogtours-gen3ou-797377" TargetMode="External"/><Relationship Id="rId1811" Type="http://schemas.openxmlformats.org/officeDocument/2006/relationships/hyperlink" Target="https://replay.pokemonshowdown.com/smogtours-gen3ou-798830" TargetMode="External"/><Relationship Id="rId1812" Type="http://schemas.openxmlformats.org/officeDocument/2006/relationships/hyperlink" Target="https://replay.pokemonshowdown.com/smogtours-gen3ou-798839" TargetMode="External"/><Relationship Id="rId1813" Type="http://schemas.openxmlformats.org/officeDocument/2006/relationships/hyperlink" Target="https://replay.pokemonshowdown.com/smogtours-gen3ou-798856" TargetMode="External"/><Relationship Id="rId1814" Type="http://schemas.openxmlformats.org/officeDocument/2006/relationships/hyperlink" Target="https://replay.pokemonshowdown.com/smogtours-gen3ou-798857" TargetMode="External"/><Relationship Id="rId1815" Type="http://schemas.openxmlformats.org/officeDocument/2006/relationships/hyperlink" Target="https://replay.pokemonshowdown.com/smogtours-gen3ou-798766" TargetMode="External"/><Relationship Id="rId1816" Type="http://schemas.openxmlformats.org/officeDocument/2006/relationships/hyperlink" Target="https://replay.pokemonshowdown.com/smogtours-gen3ou-798129" TargetMode="External"/><Relationship Id="rId1817" Type="http://schemas.openxmlformats.org/officeDocument/2006/relationships/hyperlink" Target="https://replay.pokemonshowdown.com/smogtours-gen3ou-798124" TargetMode="External"/><Relationship Id="rId1818" Type="http://schemas.openxmlformats.org/officeDocument/2006/relationships/hyperlink" Target="https://replay.pokemonshowdown.com/smogtours-gen3ou-798115" TargetMode="External"/><Relationship Id="rId1819" Type="http://schemas.openxmlformats.org/officeDocument/2006/relationships/hyperlink" Target="https://replay.pokemonshowdown.com/smogtours-gen3ou-798784" TargetMode="External"/><Relationship Id="rId4080" Type="http://schemas.openxmlformats.org/officeDocument/2006/relationships/hyperlink" Target="https://replay.pokemonshowdown.com/smogtours-gen3ou-805993" TargetMode="External"/><Relationship Id="rId4082" Type="http://schemas.openxmlformats.org/officeDocument/2006/relationships/hyperlink" Target="https://replay.pokemonshowdown.com/smogtours-gen3ou-805838" TargetMode="External"/><Relationship Id="rId4081" Type="http://schemas.openxmlformats.org/officeDocument/2006/relationships/hyperlink" Target="https://replay.pokemonshowdown.com/smogtours-gen3ou-805836" TargetMode="External"/><Relationship Id="rId4084" Type="http://schemas.openxmlformats.org/officeDocument/2006/relationships/hyperlink" Target="https://replay.pokemonshowdown.com/smogtours-gen3ou-806086" TargetMode="External"/><Relationship Id="rId4083" Type="http://schemas.openxmlformats.org/officeDocument/2006/relationships/hyperlink" Target="https://replay.pokemonshowdown.com/smogtours-gen3ou-805843" TargetMode="External"/><Relationship Id="rId4086" Type="http://schemas.openxmlformats.org/officeDocument/2006/relationships/hyperlink" Target="https://replay.pokemonshowdown.com/smogtours-gen3ou-806088" TargetMode="External"/><Relationship Id="rId4085" Type="http://schemas.openxmlformats.org/officeDocument/2006/relationships/hyperlink" Target="https://replay.pokemonshowdown.com/smogtours-gen3ou-806087" TargetMode="External"/><Relationship Id="rId4088" Type="http://schemas.openxmlformats.org/officeDocument/2006/relationships/hyperlink" Target="https://replay.pokemonshowdown.com/smogtours-gen3ou-805816?p2" TargetMode="External"/><Relationship Id="rId4087" Type="http://schemas.openxmlformats.org/officeDocument/2006/relationships/hyperlink" Target="https://replay.pokemonshowdown.com/smogtours-gen3ou-805811?p2" TargetMode="External"/><Relationship Id="rId4089" Type="http://schemas.openxmlformats.org/officeDocument/2006/relationships/hyperlink" Target="https://replay.pokemonshowdown.com/smogtours-gen3ou-806029" TargetMode="External"/><Relationship Id="rId1800" Type="http://schemas.openxmlformats.org/officeDocument/2006/relationships/hyperlink" Target="https://replay.pokemonshowdown.com/smogtours-gen3ou-798581" TargetMode="External"/><Relationship Id="rId1801" Type="http://schemas.openxmlformats.org/officeDocument/2006/relationships/hyperlink" Target="https://replay.pokemonshowdown.com/smogtours-gen3ou-798584" TargetMode="External"/><Relationship Id="rId1802" Type="http://schemas.openxmlformats.org/officeDocument/2006/relationships/hyperlink" Target="https://replay.pokemonshowdown.com/smogtours-gen3ou-797578" TargetMode="External"/><Relationship Id="rId1803" Type="http://schemas.openxmlformats.org/officeDocument/2006/relationships/hyperlink" Target="https://replay.pokemonshowdown.com/smogtours-gen3ou-797590" TargetMode="External"/><Relationship Id="rId1804" Type="http://schemas.openxmlformats.org/officeDocument/2006/relationships/hyperlink" Target="https://replay.pokemonshowdown.com/gen3ou-2222425217" TargetMode="External"/><Relationship Id="rId1805" Type="http://schemas.openxmlformats.org/officeDocument/2006/relationships/hyperlink" Target="https://replay.pokemonshowdown.com/gen3ou-2222429904" TargetMode="External"/><Relationship Id="rId1806" Type="http://schemas.openxmlformats.org/officeDocument/2006/relationships/hyperlink" Target="https://replay.pokemonshowdown.com/smogtours-gen3ou-797884" TargetMode="External"/><Relationship Id="rId1807" Type="http://schemas.openxmlformats.org/officeDocument/2006/relationships/hyperlink" Target="https://replay.pokemonshowdown.com/smogtours-gen3ou-797888" TargetMode="External"/><Relationship Id="rId1808" Type="http://schemas.openxmlformats.org/officeDocument/2006/relationships/hyperlink" Target="https://replay.pokemonshowdown.com/smogtours-gen3ou-797372" TargetMode="External"/><Relationship Id="rId1809" Type="http://schemas.openxmlformats.org/officeDocument/2006/relationships/hyperlink" Target="https://replay.pokemonshowdown.com/smogtours-gen3ou-797374" TargetMode="External"/><Relationship Id="rId4071" Type="http://schemas.openxmlformats.org/officeDocument/2006/relationships/hyperlink" Target="https://replay.pokemonshowdown.com/smogtours-gen3ou-806092" TargetMode="External"/><Relationship Id="rId4070" Type="http://schemas.openxmlformats.org/officeDocument/2006/relationships/hyperlink" Target="https://replay.pokemonshowdown.com/smogtours-gen3ou-805663" TargetMode="External"/><Relationship Id="rId4073" Type="http://schemas.openxmlformats.org/officeDocument/2006/relationships/hyperlink" Target="https://replay.pokemonshowdown.com/smogtours-gen3ou-806040" TargetMode="External"/><Relationship Id="rId4072" Type="http://schemas.openxmlformats.org/officeDocument/2006/relationships/hyperlink" Target="https://replay.pokemonshowdown.com/smogtours-gen3ou-806093" TargetMode="External"/><Relationship Id="rId4075" Type="http://schemas.openxmlformats.org/officeDocument/2006/relationships/hyperlink" Target="https://replay.pokemonshowdown.com/smogtours-gen3ou-806042" TargetMode="External"/><Relationship Id="rId4074" Type="http://schemas.openxmlformats.org/officeDocument/2006/relationships/hyperlink" Target="https://replay.pokemonshowdown.com/smogtours-gen3ou-806041" TargetMode="External"/><Relationship Id="rId4077" Type="http://schemas.openxmlformats.org/officeDocument/2006/relationships/hyperlink" Target="https://replay.pokemonshowdown.com/smogtours-gen3ou-806047" TargetMode="External"/><Relationship Id="rId4076" Type="http://schemas.openxmlformats.org/officeDocument/2006/relationships/hyperlink" Target="https://replay.pokemonshowdown.com/smogtours-gen3ou-806045" TargetMode="External"/><Relationship Id="rId4079" Type="http://schemas.openxmlformats.org/officeDocument/2006/relationships/hyperlink" Target="https://replay.pokemonshowdown.com/smogtours-gen3ou-805992" TargetMode="External"/><Relationship Id="rId4078" Type="http://schemas.openxmlformats.org/officeDocument/2006/relationships/hyperlink" Target="https://replay.pokemonshowdown.com/smogtours-gen3ou-806049" TargetMode="External"/><Relationship Id="rId1830" Type="http://schemas.openxmlformats.org/officeDocument/2006/relationships/hyperlink" Target="https://replay.pokemonshowdown.com/smogtours-gen3ou-798635" TargetMode="External"/><Relationship Id="rId1831" Type="http://schemas.openxmlformats.org/officeDocument/2006/relationships/hyperlink" Target="https://replay.pokemonshowdown.com/smogtours-gen3ou-798638" TargetMode="External"/><Relationship Id="rId1832" Type="http://schemas.openxmlformats.org/officeDocument/2006/relationships/hyperlink" Target="https://replay.pokemonshowdown.com/smogtours-gen3ou-798865" TargetMode="External"/><Relationship Id="rId1833" Type="http://schemas.openxmlformats.org/officeDocument/2006/relationships/hyperlink" Target="https://replay.pokemonshowdown.com/smogtours-gen3ou-798866" TargetMode="External"/><Relationship Id="rId1834" Type="http://schemas.openxmlformats.org/officeDocument/2006/relationships/hyperlink" Target="https://replay.pokemonshowdown.com/smogtours-gen3ou-797844" TargetMode="External"/><Relationship Id="rId1835" Type="http://schemas.openxmlformats.org/officeDocument/2006/relationships/hyperlink" Target="https://replay.pokemonshowdown.com/smogtours-gen3ou-797849" TargetMode="External"/><Relationship Id="rId1836" Type="http://schemas.openxmlformats.org/officeDocument/2006/relationships/hyperlink" Target="https://replay.pokemonshowdown.com/smogtours-gen3ou-797781" TargetMode="External"/><Relationship Id="rId1837" Type="http://schemas.openxmlformats.org/officeDocument/2006/relationships/hyperlink" Target="https://replay.pokemonshowdown.com/smogtours-gen3ou-797792" TargetMode="External"/><Relationship Id="rId1838" Type="http://schemas.openxmlformats.org/officeDocument/2006/relationships/hyperlink" Target="https://replay.pokemonshowdown.com/smogtours-gen3ou-798340" TargetMode="External"/><Relationship Id="rId1839" Type="http://schemas.openxmlformats.org/officeDocument/2006/relationships/hyperlink" Target="https://replay.pokemonshowdown.com/smogtours-gen3ou-798350" TargetMode="External"/><Relationship Id="rId1820" Type="http://schemas.openxmlformats.org/officeDocument/2006/relationships/hyperlink" Target="https://replay.pokemonshowdown.com/smogtours-gen3ou-798788" TargetMode="External"/><Relationship Id="rId1821" Type="http://schemas.openxmlformats.org/officeDocument/2006/relationships/hyperlink" Target="https://replay.pokemonshowdown.com/smogtours-gen3ou-798770" TargetMode="External"/><Relationship Id="rId1822" Type="http://schemas.openxmlformats.org/officeDocument/2006/relationships/hyperlink" Target="https://replay.pokemonshowdown.com/smogtours-gen3ou-798773" TargetMode="External"/><Relationship Id="rId1823" Type="http://schemas.openxmlformats.org/officeDocument/2006/relationships/hyperlink" Target="https://replay.pokemonshowdown.com/smogtours-gen3ou-797300" TargetMode="External"/><Relationship Id="rId1824" Type="http://schemas.openxmlformats.org/officeDocument/2006/relationships/hyperlink" Target="https://replay.pokemonshowdown.com/smogtours-gen3ou-797304" TargetMode="External"/><Relationship Id="rId1825" Type="http://schemas.openxmlformats.org/officeDocument/2006/relationships/hyperlink" Target="https://replay.pokemonshowdown.com/smogtours-gen3ou-798274" TargetMode="External"/><Relationship Id="rId1826" Type="http://schemas.openxmlformats.org/officeDocument/2006/relationships/hyperlink" Target="https://replay.pokemonshowdown.com/smogtours-gen3ou-798302" TargetMode="External"/><Relationship Id="rId1827" Type="http://schemas.openxmlformats.org/officeDocument/2006/relationships/hyperlink" Target="https://replay.pokemonshowdown.com/smogtours-gen3ou-798315" TargetMode="External"/><Relationship Id="rId1828" Type="http://schemas.openxmlformats.org/officeDocument/2006/relationships/hyperlink" Target="https://replay.pokemonshowdown.com/gen3ou-2222763214" TargetMode="External"/><Relationship Id="rId1829" Type="http://schemas.openxmlformats.org/officeDocument/2006/relationships/hyperlink" Target="https://replay.pokemonshowdown.com/gen3ou-2222768386" TargetMode="External"/><Relationship Id="rId4091" Type="http://schemas.openxmlformats.org/officeDocument/2006/relationships/hyperlink" Target="https://replay.pokemonshowdown.com/smogtours-gen3ou-806052" TargetMode="External"/><Relationship Id="rId4090" Type="http://schemas.openxmlformats.org/officeDocument/2006/relationships/hyperlink" Target="https://replay.pokemonshowdown.com/smogtours-gen3ou-806033" TargetMode="External"/><Relationship Id="rId4093" Type="http://schemas.openxmlformats.org/officeDocument/2006/relationships/hyperlink" Target="https://replay.pokemonshowdown.com/smogtours-gen3ou-806059?p2" TargetMode="External"/><Relationship Id="rId4092" Type="http://schemas.openxmlformats.org/officeDocument/2006/relationships/hyperlink" Target="https://replay.pokemonshowdown.com/smogtours-gen3ou-806054" TargetMode="External"/><Relationship Id="rId4095" Type="http://schemas.openxmlformats.org/officeDocument/2006/relationships/hyperlink" Target="https://replay.pokemonshowdown.com/smogtours-gen3ou-806061" TargetMode="External"/><Relationship Id="rId4094" Type="http://schemas.openxmlformats.org/officeDocument/2006/relationships/hyperlink" Target="https://replay.pokemonshowdown.com/smogtours-gen3ou-806060" TargetMode="External"/><Relationship Id="rId4097" Type="http://schemas.openxmlformats.org/officeDocument/2006/relationships/hyperlink" Target="https://replay.pokemonshowdown.com/smogtours-gen3ou-806053" TargetMode="External"/><Relationship Id="rId4096" Type="http://schemas.openxmlformats.org/officeDocument/2006/relationships/hyperlink" Target="https://replay.pokemonshowdown.com/smogtours-gen3ou-806051" TargetMode="External"/><Relationship Id="rId4099" Type="http://schemas.openxmlformats.org/officeDocument/2006/relationships/hyperlink" Target="https://replay.pokemonshowdown.com/smogtours-gen3ou-805868" TargetMode="External"/><Relationship Id="rId4098" Type="http://schemas.openxmlformats.org/officeDocument/2006/relationships/hyperlink" Target="https://replay.pokemonshowdown.com/smogtours-gen3ou-805850" TargetMode="External"/><Relationship Id="rId2302" Type="http://schemas.openxmlformats.org/officeDocument/2006/relationships/hyperlink" Target="https://replay.pokemonshowdown.com/smogtours-gen3ou-799736" TargetMode="External"/><Relationship Id="rId3634" Type="http://schemas.openxmlformats.org/officeDocument/2006/relationships/hyperlink" Target="https://replay.pokemonshowdown.com/smogtours-gen3ou-803636" TargetMode="External"/><Relationship Id="rId2303" Type="http://schemas.openxmlformats.org/officeDocument/2006/relationships/hyperlink" Target="https://replay.pokemonshowdown.com/smogtours-gen3ou-799666" TargetMode="External"/><Relationship Id="rId3633" Type="http://schemas.openxmlformats.org/officeDocument/2006/relationships/hyperlink" Target="https://replay.pokemonshowdown.com/smogtours-gen3ou-803633" TargetMode="External"/><Relationship Id="rId2304" Type="http://schemas.openxmlformats.org/officeDocument/2006/relationships/hyperlink" Target="https://replay.pokemonshowdown.com/smogtours-gen3ou-799680" TargetMode="External"/><Relationship Id="rId3636" Type="http://schemas.openxmlformats.org/officeDocument/2006/relationships/hyperlink" Target="https://replay.pokemonshowdown.com/smogtours-gen3ou-803811" TargetMode="External"/><Relationship Id="rId2305" Type="http://schemas.openxmlformats.org/officeDocument/2006/relationships/hyperlink" Target="https://replay.pokemonshowdown.com/smogtours-gen3ou-799248" TargetMode="External"/><Relationship Id="rId3635" Type="http://schemas.openxmlformats.org/officeDocument/2006/relationships/hyperlink" Target="https://replay.pokemonshowdown.com/smogtours-gen3ou-803809" TargetMode="External"/><Relationship Id="rId2306" Type="http://schemas.openxmlformats.org/officeDocument/2006/relationships/hyperlink" Target="https://replay.pokemonshowdown.com/smogtours-gen3ou-799250?p2" TargetMode="External"/><Relationship Id="rId3638" Type="http://schemas.openxmlformats.org/officeDocument/2006/relationships/hyperlink" Target="https://replay.pokemonshowdown.com/smogtours-gen3ou-804066" TargetMode="External"/><Relationship Id="rId2307" Type="http://schemas.openxmlformats.org/officeDocument/2006/relationships/hyperlink" Target="https://replay.pokemonshowdown.com/smogtours-gen3ou-800212" TargetMode="External"/><Relationship Id="rId3637" Type="http://schemas.openxmlformats.org/officeDocument/2006/relationships/hyperlink" Target="https://replay.pokemonshowdown.com/smogtours-gen3ou-804060" TargetMode="External"/><Relationship Id="rId2308" Type="http://schemas.openxmlformats.org/officeDocument/2006/relationships/hyperlink" Target="https://replay.pokemonshowdown.com/smogtours-gen3ou-800224" TargetMode="External"/><Relationship Id="rId2309" Type="http://schemas.openxmlformats.org/officeDocument/2006/relationships/hyperlink" Target="https://replay.pokemonshowdown.com/smogtours-gen3ou-800227" TargetMode="External"/><Relationship Id="rId3639" Type="http://schemas.openxmlformats.org/officeDocument/2006/relationships/hyperlink" Target="https://replay.pokemonshowdown.com/smogtours-gen3ou-804074" TargetMode="External"/><Relationship Id="rId3630" Type="http://schemas.openxmlformats.org/officeDocument/2006/relationships/hyperlink" Target="https://replay.pokemonshowdown.com/gen3ou-2235416130" TargetMode="External"/><Relationship Id="rId2300" Type="http://schemas.openxmlformats.org/officeDocument/2006/relationships/hyperlink" Target="https://replay.pokemonshowdown.com/smogtours-gen3ou-799728" TargetMode="External"/><Relationship Id="rId3632" Type="http://schemas.openxmlformats.org/officeDocument/2006/relationships/hyperlink" Target="https://replay.pokemonshowdown.com/smogtours-gen3ou-803629" TargetMode="External"/><Relationship Id="rId2301" Type="http://schemas.openxmlformats.org/officeDocument/2006/relationships/hyperlink" Target="https://replay.pokemonshowdown.com/smogtours-gen3ou-799733" TargetMode="External"/><Relationship Id="rId3631" Type="http://schemas.openxmlformats.org/officeDocument/2006/relationships/hyperlink" Target="https://replay.pokemonshowdown.com/gen3ou-2235422221" TargetMode="External"/><Relationship Id="rId3623" Type="http://schemas.openxmlformats.org/officeDocument/2006/relationships/hyperlink" Target="https://replay.pokemonshowdown.com/smogtours-gen3ou-803692" TargetMode="External"/><Relationship Id="rId3622" Type="http://schemas.openxmlformats.org/officeDocument/2006/relationships/hyperlink" Target="https://replay.pokemonshowdown.com/smogtours-gen3ou-803669?p2" TargetMode="External"/><Relationship Id="rId3625" Type="http://schemas.openxmlformats.org/officeDocument/2006/relationships/hyperlink" Target="https://replay.pokemonshowdown.com/smogtours-gen3ou-803753" TargetMode="External"/><Relationship Id="rId3624" Type="http://schemas.openxmlformats.org/officeDocument/2006/relationships/hyperlink" Target="https://replay.pokemonshowdown.com/smogtours-gen3ou-803693" TargetMode="External"/><Relationship Id="rId3627" Type="http://schemas.openxmlformats.org/officeDocument/2006/relationships/hyperlink" Target="https://replay.pokemonshowdown.com/smogtours-gen3ou-803796" TargetMode="External"/><Relationship Id="rId3626" Type="http://schemas.openxmlformats.org/officeDocument/2006/relationships/hyperlink" Target="https://replay.pokemonshowdown.com/smogtours-gen3ou-803756" TargetMode="External"/><Relationship Id="rId3629" Type="http://schemas.openxmlformats.org/officeDocument/2006/relationships/hyperlink" Target="https://replay.pokemonshowdown.com/smogtours-gen3ou-803799" TargetMode="External"/><Relationship Id="rId3628" Type="http://schemas.openxmlformats.org/officeDocument/2006/relationships/hyperlink" Target="https://replay.pokemonshowdown.com/smogtours-gen3ou-803798?p2" TargetMode="External"/><Relationship Id="rId3621" Type="http://schemas.openxmlformats.org/officeDocument/2006/relationships/hyperlink" Target="https://replay.pokemonshowdown.com/smogtours-gen3ou-803670" TargetMode="External"/><Relationship Id="rId3620" Type="http://schemas.openxmlformats.org/officeDocument/2006/relationships/hyperlink" Target="https://replay.pokemonshowdown.com/smogtours-gen3ou-803671?p2" TargetMode="External"/><Relationship Id="rId2324" Type="http://schemas.openxmlformats.org/officeDocument/2006/relationships/hyperlink" Target="https://replay.pokemonshowdown.com/smogtours-gen3ou-800136" TargetMode="External"/><Relationship Id="rId3656" Type="http://schemas.openxmlformats.org/officeDocument/2006/relationships/hyperlink" Target="https://replay.pokemonshowdown.com/smogtours-gen3ou-803599" TargetMode="External"/><Relationship Id="rId2325" Type="http://schemas.openxmlformats.org/officeDocument/2006/relationships/hyperlink" Target="https://replay.pokemonshowdown.com/smogtours-gen3ou-800121" TargetMode="External"/><Relationship Id="rId3655" Type="http://schemas.openxmlformats.org/officeDocument/2006/relationships/hyperlink" Target="https://replay.pokemonshowdown.com/smogtours-gen3ou-803840" TargetMode="External"/><Relationship Id="rId2326" Type="http://schemas.openxmlformats.org/officeDocument/2006/relationships/hyperlink" Target="https://replay.pokemonshowdown.com/smogtours-gen3ou-800130" TargetMode="External"/><Relationship Id="rId3658" Type="http://schemas.openxmlformats.org/officeDocument/2006/relationships/hyperlink" Target="https://replay.pokemonshowdown.com/smogtours-gen3ou-803602" TargetMode="External"/><Relationship Id="rId2327" Type="http://schemas.openxmlformats.org/officeDocument/2006/relationships/hyperlink" Target="https://replay.pokemonshowdown.com/smogtours-gen3ou-799982" TargetMode="External"/><Relationship Id="rId3657" Type="http://schemas.openxmlformats.org/officeDocument/2006/relationships/hyperlink" Target="https://replay.pokemonshowdown.com/smogtours-gen3ou-803601" TargetMode="External"/><Relationship Id="rId2328" Type="http://schemas.openxmlformats.org/officeDocument/2006/relationships/hyperlink" Target="https://replay.pokemonshowdown.com/smogtours-gen3ou-799990" TargetMode="External"/><Relationship Id="rId2329" Type="http://schemas.openxmlformats.org/officeDocument/2006/relationships/hyperlink" Target="https://replay.pokemonshowdown.com/smogtours-gen3ou-799549" TargetMode="External"/><Relationship Id="rId3659" Type="http://schemas.openxmlformats.org/officeDocument/2006/relationships/hyperlink" Target="https://replay.pokemonshowdown.com/smogtours-gen3ou-803948" TargetMode="External"/><Relationship Id="rId3650" Type="http://schemas.openxmlformats.org/officeDocument/2006/relationships/hyperlink" Target="https://replay.pokemonshowdown.com/smogtours-gen3ou-804155" TargetMode="External"/><Relationship Id="rId2320" Type="http://schemas.openxmlformats.org/officeDocument/2006/relationships/hyperlink" Target="https://replay.pokemonshowdown.com/smogtours-gen3ou-799367" TargetMode="External"/><Relationship Id="rId3652" Type="http://schemas.openxmlformats.org/officeDocument/2006/relationships/hyperlink" Target="https://replay.pokemonshowdown.com/smogtours-gen3ou-803988" TargetMode="External"/><Relationship Id="rId2321" Type="http://schemas.openxmlformats.org/officeDocument/2006/relationships/hyperlink" Target="https://replay.pokemonshowdown.com/smogtours-gen3ou-799297" TargetMode="External"/><Relationship Id="rId3651" Type="http://schemas.openxmlformats.org/officeDocument/2006/relationships/hyperlink" Target="https://replay.pokemonshowdown.com/smogtours-gen3ou-803985" TargetMode="External"/><Relationship Id="rId2322" Type="http://schemas.openxmlformats.org/officeDocument/2006/relationships/hyperlink" Target="https://replay.pokemonshowdown.com/smogtours-gen3ou-799299" TargetMode="External"/><Relationship Id="rId3654" Type="http://schemas.openxmlformats.org/officeDocument/2006/relationships/hyperlink" Target="https://replay.pokemonshowdown.com/smogtours-gen3ou-803832" TargetMode="External"/><Relationship Id="rId2323" Type="http://schemas.openxmlformats.org/officeDocument/2006/relationships/hyperlink" Target="https://replay.pokemonshowdown.com/smogtours-gen3ou-799300" TargetMode="External"/><Relationship Id="rId3653" Type="http://schemas.openxmlformats.org/officeDocument/2006/relationships/hyperlink" Target="https://replay.pokemonshowdown.com/smogtours-gen3ou-803997" TargetMode="External"/><Relationship Id="rId2313" Type="http://schemas.openxmlformats.org/officeDocument/2006/relationships/hyperlink" Target="https://replay.pokemonshowdown.com/smogtours-gen3ou-799468" TargetMode="External"/><Relationship Id="rId3645" Type="http://schemas.openxmlformats.org/officeDocument/2006/relationships/hyperlink" Target="https://replay.pokemonshowdown.com/smogtours-gen3ou-804159" TargetMode="External"/><Relationship Id="rId2314" Type="http://schemas.openxmlformats.org/officeDocument/2006/relationships/hyperlink" Target="https://replay.pokemonshowdown.com/smogtours-gen3ou-799802" TargetMode="External"/><Relationship Id="rId3644" Type="http://schemas.openxmlformats.org/officeDocument/2006/relationships/hyperlink" Target="https://replay.pokemonshowdown.com/smogtours-gen3ou-804149" TargetMode="External"/><Relationship Id="rId2315" Type="http://schemas.openxmlformats.org/officeDocument/2006/relationships/hyperlink" Target="https://replay.pokemonshowdown.com/smogtours-gen3ou-799803" TargetMode="External"/><Relationship Id="rId3647" Type="http://schemas.openxmlformats.org/officeDocument/2006/relationships/hyperlink" Target="https://replay.pokemonshowdown.com/smogtours-gen3ou-803986" TargetMode="External"/><Relationship Id="rId2316" Type="http://schemas.openxmlformats.org/officeDocument/2006/relationships/hyperlink" Target="https://replay.pokemonshowdown.com/smogtours-gen3ou-799533" TargetMode="External"/><Relationship Id="rId3646" Type="http://schemas.openxmlformats.org/officeDocument/2006/relationships/hyperlink" Target="https://replay.pokemonshowdown.com/smogtours-gen3ou-804163" TargetMode="External"/><Relationship Id="rId2317" Type="http://schemas.openxmlformats.org/officeDocument/2006/relationships/hyperlink" Target="https://replay.pokemonshowdown.com/smogtours-gen3ou-799542" TargetMode="External"/><Relationship Id="rId3649" Type="http://schemas.openxmlformats.org/officeDocument/2006/relationships/hyperlink" Target="https://replay.pokemonshowdown.com/smogtours-gen3ou-804151" TargetMode="External"/><Relationship Id="rId2318" Type="http://schemas.openxmlformats.org/officeDocument/2006/relationships/hyperlink" Target="https://replay.pokemonshowdown.com/smogtours-gen3ou-799355" TargetMode="External"/><Relationship Id="rId3648" Type="http://schemas.openxmlformats.org/officeDocument/2006/relationships/hyperlink" Target="https://replay.pokemonshowdown.com/smogtours-gen3ou-803994" TargetMode="External"/><Relationship Id="rId2319" Type="http://schemas.openxmlformats.org/officeDocument/2006/relationships/hyperlink" Target="https://replay.pokemonshowdown.com/smogtours-gen3ou-799362" TargetMode="External"/><Relationship Id="rId3641" Type="http://schemas.openxmlformats.org/officeDocument/2006/relationships/hyperlink" Target="https://replay.pokemonshowdown.com/smogtours-gen3ou-803772" TargetMode="External"/><Relationship Id="rId2310" Type="http://schemas.openxmlformats.org/officeDocument/2006/relationships/hyperlink" Target="https://replay.pokemonshowdown.com/smogtours-gen3ou-799926?p2" TargetMode="External"/><Relationship Id="rId3640" Type="http://schemas.openxmlformats.org/officeDocument/2006/relationships/hyperlink" Target="https://replay.pokemonshowdown.com/smogtours-gen3ou-803770" TargetMode="External"/><Relationship Id="rId2311" Type="http://schemas.openxmlformats.org/officeDocument/2006/relationships/hyperlink" Target="https://replay.pokemonshowdown.com/smogtours-gen3ou-799938" TargetMode="External"/><Relationship Id="rId3643" Type="http://schemas.openxmlformats.org/officeDocument/2006/relationships/hyperlink" Target="https://replay.pokemonshowdown.com/smogtours-gen3ou-803659" TargetMode="External"/><Relationship Id="rId2312" Type="http://schemas.openxmlformats.org/officeDocument/2006/relationships/hyperlink" Target="https://replay.pokemonshowdown.com/smogtours-gen3ou-799467" TargetMode="External"/><Relationship Id="rId3642" Type="http://schemas.openxmlformats.org/officeDocument/2006/relationships/hyperlink" Target="https://replay.pokemonshowdown.com/smogtours-gen3ou-803657" TargetMode="External"/><Relationship Id="rId1895" Type="http://schemas.openxmlformats.org/officeDocument/2006/relationships/hyperlink" Target="https://replay.pokemonshowdown.com/smogtours-gen3ou-798859" TargetMode="External"/><Relationship Id="rId1896" Type="http://schemas.openxmlformats.org/officeDocument/2006/relationships/hyperlink" Target="https://replay.pokemonshowdown.com/smogtours-gen3ou-798862" TargetMode="External"/><Relationship Id="rId1897" Type="http://schemas.openxmlformats.org/officeDocument/2006/relationships/hyperlink" Target="https://replay.pokemonshowdown.com/smogtours-gen3ou-798702" TargetMode="External"/><Relationship Id="rId1898" Type="http://schemas.openxmlformats.org/officeDocument/2006/relationships/hyperlink" Target="https://replay.pokemonshowdown.com/smogtours-gen3ou-798707" TargetMode="External"/><Relationship Id="rId1899" Type="http://schemas.openxmlformats.org/officeDocument/2006/relationships/hyperlink" Target="https://replay.pokemonshowdown.com/smogtours-gen3ou-798870" TargetMode="External"/><Relationship Id="rId1890" Type="http://schemas.openxmlformats.org/officeDocument/2006/relationships/hyperlink" Target="https://replay.pokemonshowdown.com/smogtours-gen3ou-798757" TargetMode="External"/><Relationship Id="rId1891" Type="http://schemas.openxmlformats.org/officeDocument/2006/relationships/hyperlink" Target="https://replay.pokemonshowdown.com/smogtours-gen3ou-798759" TargetMode="External"/><Relationship Id="rId1892" Type="http://schemas.openxmlformats.org/officeDocument/2006/relationships/hyperlink" Target="https://replay.pokemonshowdown.com/smogtours-gen3ou-798676" TargetMode="External"/><Relationship Id="rId1893" Type="http://schemas.openxmlformats.org/officeDocument/2006/relationships/hyperlink" Target="https://replay.pokemonshowdown.com/smogtours-gen3ou-798681" TargetMode="External"/><Relationship Id="rId1894" Type="http://schemas.openxmlformats.org/officeDocument/2006/relationships/hyperlink" Target="https://replay.pokemonshowdown.com/smogtours-gen3ou-798685" TargetMode="External"/><Relationship Id="rId1884" Type="http://schemas.openxmlformats.org/officeDocument/2006/relationships/hyperlink" Target="https://replay.pokemonshowdown.com/smogtours-gen3ou-798791" TargetMode="External"/><Relationship Id="rId1885" Type="http://schemas.openxmlformats.org/officeDocument/2006/relationships/hyperlink" Target="https://replay.pokemonshowdown.com/smogtours-gen3ou-798874" TargetMode="External"/><Relationship Id="rId1886" Type="http://schemas.openxmlformats.org/officeDocument/2006/relationships/hyperlink" Target="https://replay.pokemonshowdown.com/smogtours-gen3ou-798877" TargetMode="External"/><Relationship Id="rId1887" Type="http://schemas.openxmlformats.org/officeDocument/2006/relationships/hyperlink" Target="https://replay.pokemonshowdown.com/smogtours-gen3ou-798727" TargetMode="External"/><Relationship Id="rId1888" Type="http://schemas.openxmlformats.org/officeDocument/2006/relationships/hyperlink" Target="https://replay.pokemonshowdown.com/smogtours-gen3ou-798735" TargetMode="External"/><Relationship Id="rId1889" Type="http://schemas.openxmlformats.org/officeDocument/2006/relationships/hyperlink" Target="https://replay.pokemonshowdown.com/smogtours-gen3ou-798737" TargetMode="External"/><Relationship Id="rId1880" Type="http://schemas.openxmlformats.org/officeDocument/2006/relationships/hyperlink" Target="https://replay.pokemonshowdown.com/smogtours-gen3ou-797863" TargetMode="External"/><Relationship Id="rId1881" Type="http://schemas.openxmlformats.org/officeDocument/2006/relationships/hyperlink" Target="https://replay.pokemonshowdown.com/smogtours-gen3ou-797807" TargetMode="External"/><Relationship Id="rId1882" Type="http://schemas.openxmlformats.org/officeDocument/2006/relationships/hyperlink" Target="https://replay.pokemonshowdown.com/smogtours-gen3ou-797819" TargetMode="External"/><Relationship Id="rId1883" Type="http://schemas.openxmlformats.org/officeDocument/2006/relationships/hyperlink" Target="https://replay.pokemonshowdown.com/smogtours-gen3ou-798783" TargetMode="External"/><Relationship Id="rId3612" Type="http://schemas.openxmlformats.org/officeDocument/2006/relationships/hyperlink" Target="https://replay.pokemonshowdown.com/smogtours-gen3ou-803547" TargetMode="External"/><Relationship Id="rId3611" Type="http://schemas.openxmlformats.org/officeDocument/2006/relationships/hyperlink" Target="https://replay.pokemonshowdown.com/smogtours-gen3ou-803543" TargetMode="External"/><Relationship Id="rId3614" Type="http://schemas.openxmlformats.org/officeDocument/2006/relationships/hyperlink" Target="https://replay.pokemonshowdown.com/smogtours-gen3ou-803551" TargetMode="External"/><Relationship Id="rId3613" Type="http://schemas.openxmlformats.org/officeDocument/2006/relationships/hyperlink" Target="https://replay.pokemonshowdown.com/smogtours-gen3ou-803548" TargetMode="External"/><Relationship Id="rId3616" Type="http://schemas.openxmlformats.org/officeDocument/2006/relationships/hyperlink" Target="https://replay.pokemonshowdown.com/smogtours-gen3ou-803556" TargetMode="External"/><Relationship Id="rId3615" Type="http://schemas.openxmlformats.org/officeDocument/2006/relationships/hyperlink" Target="https://replay.pokemonshowdown.com/smogtours-gen3ou-803555" TargetMode="External"/><Relationship Id="rId3618" Type="http://schemas.openxmlformats.org/officeDocument/2006/relationships/hyperlink" Target="https://replay.pokemonshowdown.com/smogtours-gen3ou-803581" TargetMode="External"/><Relationship Id="rId3617" Type="http://schemas.openxmlformats.org/officeDocument/2006/relationships/hyperlink" Target="https://replay.pokemonshowdown.com/smogtours-gen3ou-803557" TargetMode="External"/><Relationship Id="rId3619" Type="http://schemas.openxmlformats.org/officeDocument/2006/relationships/hyperlink" Target="https://replay.pokemonshowdown.com/smogtours-gen3ou-803582" TargetMode="External"/><Relationship Id="rId3610" Type="http://schemas.openxmlformats.org/officeDocument/2006/relationships/hyperlink" Target="https://replay.pokemonshowdown.com/smogtours-gen3ou-803542" TargetMode="External"/><Relationship Id="rId3601" Type="http://schemas.openxmlformats.org/officeDocument/2006/relationships/hyperlink" Target="https://replay.pokemonshowdown.com/smogtours-gen3ou-803484" TargetMode="External"/><Relationship Id="rId3600" Type="http://schemas.openxmlformats.org/officeDocument/2006/relationships/hyperlink" Target="https://replay.pokemonshowdown.com/smogtours-gen3ou-803479" TargetMode="External"/><Relationship Id="rId3603" Type="http://schemas.openxmlformats.org/officeDocument/2006/relationships/hyperlink" Target="https://smogtours.psim.us/battle-gen3ou-803507" TargetMode="External"/><Relationship Id="rId3602" Type="http://schemas.openxmlformats.org/officeDocument/2006/relationships/hyperlink" Target="https://smogtours.psim.us/battle-gen3ou-803501" TargetMode="External"/><Relationship Id="rId3605" Type="http://schemas.openxmlformats.org/officeDocument/2006/relationships/hyperlink" Target="https://replay.pokemonshowdown.com/smogtours-gen3ou-803536?p2" TargetMode="External"/><Relationship Id="rId3604" Type="http://schemas.openxmlformats.org/officeDocument/2006/relationships/hyperlink" Target="https://replay.pokemonshowdown.com/smogtours-gen3ou-803530?p2" TargetMode="External"/><Relationship Id="rId3607" Type="http://schemas.openxmlformats.org/officeDocument/2006/relationships/hyperlink" Target="https://replay.pokemonshowdown.com/smogtours-gen3ou-803552" TargetMode="External"/><Relationship Id="rId3606" Type="http://schemas.openxmlformats.org/officeDocument/2006/relationships/hyperlink" Target="https://replay.pokemonshowdown.com/smogtours-gen3ou-803533?p2" TargetMode="External"/><Relationship Id="rId3609" Type="http://schemas.openxmlformats.org/officeDocument/2006/relationships/hyperlink" Target="https://replay.pokemonshowdown.com/smogtours-gen3ou-803554" TargetMode="External"/><Relationship Id="rId3608" Type="http://schemas.openxmlformats.org/officeDocument/2006/relationships/hyperlink" Target="https://replay.pokemonshowdown.com/smogtours-gen3ou-803553" TargetMode="External"/><Relationship Id="rId1059" Type="http://schemas.openxmlformats.org/officeDocument/2006/relationships/hyperlink" Target="https://replay.pokemonshowdown.com/smogtours-gen3ou-796694" TargetMode="External"/><Relationship Id="rId228" Type="http://schemas.openxmlformats.org/officeDocument/2006/relationships/hyperlink" Target="https://replay.pokemonshowdown.com/smogtours-gen3ou-794368" TargetMode="External"/><Relationship Id="rId227" Type="http://schemas.openxmlformats.org/officeDocument/2006/relationships/hyperlink" Target="https://replay.pokemonshowdown.com/smogtours-gen3ou-794357" TargetMode="External"/><Relationship Id="rId226" Type="http://schemas.openxmlformats.org/officeDocument/2006/relationships/hyperlink" Target="https://replay.pokemonshowdown.com/smogtours-gen3ou-794488" TargetMode="External"/><Relationship Id="rId225" Type="http://schemas.openxmlformats.org/officeDocument/2006/relationships/hyperlink" Target="https://replay.pokemonshowdown.com/smogtours-gen3ou-794484" TargetMode="External"/><Relationship Id="rId2380" Type="http://schemas.openxmlformats.org/officeDocument/2006/relationships/hyperlink" Target="https://replay.pokemonshowdown.com/smogtours-gen3ou-799952" TargetMode="External"/><Relationship Id="rId229" Type="http://schemas.openxmlformats.org/officeDocument/2006/relationships/hyperlink" Target="https://replay.pokemonshowdown.com/smogtours-gen3ou-794098" TargetMode="External"/><Relationship Id="rId1050" Type="http://schemas.openxmlformats.org/officeDocument/2006/relationships/hyperlink" Target="https://replay.pokemonshowdown.com/smogtours-gen3ou-796779" TargetMode="External"/><Relationship Id="rId2381" Type="http://schemas.openxmlformats.org/officeDocument/2006/relationships/hyperlink" Target="https://replay.pokemonshowdown.com/smogtours-gen3ou-799962" TargetMode="External"/><Relationship Id="rId220" Type="http://schemas.openxmlformats.org/officeDocument/2006/relationships/hyperlink" Target="https://replay.pokemonshowdown.com/gen3ou-2214586816-2gqymdch165cnj1l9kbetqv8duk817kpw" TargetMode="External"/><Relationship Id="rId1051" Type="http://schemas.openxmlformats.org/officeDocument/2006/relationships/hyperlink" Target="https://replay.pokemonshowdown.com/smogtours-gen3ou-796783" TargetMode="External"/><Relationship Id="rId2382" Type="http://schemas.openxmlformats.org/officeDocument/2006/relationships/hyperlink" Target="https://replay.pokemonshowdown.com/smogtours-gen3ou-799969" TargetMode="External"/><Relationship Id="rId1052" Type="http://schemas.openxmlformats.org/officeDocument/2006/relationships/hyperlink" Target="https://replay.pokemonshowdown.com/smogtours-gen3ou-796792" TargetMode="External"/><Relationship Id="rId2383" Type="http://schemas.openxmlformats.org/officeDocument/2006/relationships/hyperlink" Target="https://replay.pokemonshowdown.com/smogtours-gen3ou-800003" TargetMode="External"/><Relationship Id="rId1053" Type="http://schemas.openxmlformats.org/officeDocument/2006/relationships/hyperlink" Target="https://replay.pokemonshowdown.com/smogtours-gen3ou-796758" TargetMode="External"/><Relationship Id="rId2384" Type="http://schemas.openxmlformats.org/officeDocument/2006/relationships/hyperlink" Target="https://replay.pokemonshowdown.com/smogtours-gen3ou-800006" TargetMode="External"/><Relationship Id="rId1054" Type="http://schemas.openxmlformats.org/officeDocument/2006/relationships/hyperlink" Target="https://replay.pokemonshowdown.com/smogtours-gen3ou-796763" TargetMode="External"/><Relationship Id="rId2385" Type="http://schemas.openxmlformats.org/officeDocument/2006/relationships/hyperlink" Target="https://replay.pokemonshowdown.com/smogtours-gen3ou-800126" TargetMode="External"/><Relationship Id="rId224" Type="http://schemas.openxmlformats.org/officeDocument/2006/relationships/hyperlink" Target="https://replay.pokemonshowdown.com/smogtours-gen3ou-794398" TargetMode="External"/><Relationship Id="rId1055" Type="http://schemas.openxmlformats.org/officeDocument/2006/relationships/hyperlink" Target="https://replay.pokemonshowdown.com/smogtours-gen3ou-796845?p2" TargetMode="External"/><Relationship Id="rId2386" Type="http://schemas.openxmlformats.org/officeDocument/2006/relationships/hyperlink" Target="https://replay.pokemonshowdown.com/smogtours-gen3ou-800129" TargetMode="External"/><Relationship Id="rId223" Type="http://schemas.openxmlformats.org/officeDocument/2006/relationships/hyperlink" Target="https://replay.pokemonshowdown.com/smogtours-gen3ou-794391" TargetMode="External"/><Relationship Id="rId1056" Type="http://schemas.openxmlformats.org/officeDocument/2006/relationships/hyperlink" Target="https://replay.pokemonshowdown.com/smogtours-gen3ou-796850" TargetMode="External"/><Relationship Id="rId2387" Type="http://schemas.openxmlformats.org/officeDocument/2006/relationships/hyperlink" Target="https://replay.pokemonshowdown.com/smogtours-gen3ou-800054" TargetMode="External"/><Relationship Id="rId222" Type="http://schemas.openxmlformats.org/officeDocument/2006/relationships/hyperlink" Target="https://replay.pokemonshowdown.com/smogtours-gen3ou-794382" TargetMode="External"/><Relationship Id="rId1057" Type="http://schemas.openxmlformats.org/officeDocument/2006/relationships/hyperlink" Target="https://replay.pokemonshowdown.com/smogtours-gen3ou-796853?p2" TargetMode="External"/><Relationship Id="rId2388" Type="http://schemas.openxmlformats.org/officeDocument/2006/relationships/hyperlink" Target="https://replay.pokemonshowdown.com/smogtours-gen3ou-800067" TargetMode="External"/><Relationship Id="rId221" Type="http://schemas.openxmlformats.org/officeDocument/2006/relationships/hyperlink" Target="https://replay.pokemonshowdown.com/gen3ou-2214591334-t6rjtn3fzb32xiexh8nkvvtubdlf3qupw" TargetMode="External"/><Relationship Id="rId1058" Type="http://schemas.openxmlformats.org/officeDocument/2006/relationships/hyperlink" Target="https://replay.pokemonshowdown.com/smogtours-gen3ou-796687" TargetMode="External"/><Relationship Id="rId2389" Type="http://schemas.openxmlformats.org/officeDocument/2006/relationships/hyperlink" Target="https://replay.pokemonshowdown.com/smogtours-gen3ou-800356" TargetMode="External"/><Relationship Id="rId1048" Type="http://schemas.openxmlformats.org/officeDocument/2006/relationships/hyperlink" Target="https://replay.pokemonshowdown.com/smogtours-gen3ou-796467" TargetMode="External"/><Relationship Id="rId2379" Type="http://schemas.openxmlformats.org/officeDocument/2006/relationships/hyperlink" Target="https://replay.pokemonshowdown.com/smogtours-gen3ou-799857" TargetMode="External"/><Relationship Id="rId1049" Type="http://schemas.openxmlformats.org/officeDocument/2006/relationships/hyperlink" Target="https://replay.pokemonshowdown.com/smogtours-gen3ou-796472" TargetMode="External"/><Relationship Id="rId217" Type="http://schemas.openxmlformats.org/officeDocument/2006/relationships/hyperlink" Target="https://replay.pokemonshowdown.com/smogtours-gen3ou-794296" TargetMode="External"/><Relationship Id="rId216" Type="http://schemas.openxmlformats.org/officeDocument/2006/relationships/hyperlink" Target="https://replay.pokemonshowdown.com/smogtours-gen3ou-794288" TargetMode="External"/><Relationship Id="rId215" Type="http://schemas.openxmlformats.org/officeDocument/2006/relationships/hyperlink" Target="https://replay.pokemonshowdown.com/smogtours-gen3ou-794280" TargetMode="External"/><Relationship Id="rId214" Type="http://schemas.openxmlformats.org/officeDocument/2006/relationships/hyperlink" Target="https://replay.pokemonshowdown.com/smogtours-gen3ou-794470" TargetMode="External"/><Relationship Id="rId219" Type="http://schemas.openxmlformats.org/officeDocument/2006/relationships/hyperlink" Target="https://replay.pokemonshowdown.com/smogtours-gen3ou-794126" TargetMode="External"/><Relationship Id="rId218" Type="http://schemas.openxmlformats.org/officeDocument/2006/relationships/hyperlink" Target="https://replay.pokemonshowdown.com/smogtours-gen3ou-794122" TargetMode="External"/><Relationship Id="rId2370" Type="http://schemas.openxmlformats.org/officeDocument/2006/relationships/hyperlink" Target="https://replay.pokemonshowdown.com/smogtours-gen3ou-799278" TargetMode="External"/><Relationship Id="rId1040" Type="http://schemas.openxmlformats.org/officeDocument/2006/relationships/hyperlink" Target="https://replay.pokemonshowdown.com/smogtours-gen3ou-796817?p2" TargetMode="External"/><Relationship Id="rId2371" Type="http://schemas.openxmlformats.org/officeDocument/2006/relationships/hyperlink" Target="https://replay.pokemonshowdown.com/smogtours-gen3ou-799862" TargetMode="External"/><Relationship Id="rId1041" Type="http://schemas.openxmlformats.org/officeDocument/2006/relationships/hyperlink" Target="https://replay.pokemonshowdown.com/smogtours-gen3ou-796823" TargetMode="External"/><Relationship Id="rId2372" Type="http://schemas.openxmlformats.org/officeDocument/2006/relationships/hyperlink" Target="https://replay.pokemonshowdown.com/smogtours-gen3ou-799866" TargetMode="External"/><Relationship Id="rId1042" Type="http://schemas.openxmlformats.org/officeDocument/2006/relationships/hyperlink" Target="https://replay.pokemonshowdown.com/smogtours-gen3ou-796609" TargetMode="External"/><Relationship Id="rId2373" Type="http://schemas.openxmlformats.org/officeDocument/2006/relationships/hyperlink" Target="https://replay.pokemonshowdown.com/smogtours-gen3ou-799948" TargetMode="External"/><Relationship Id="rId1043" Type="http://schemas.openxmlformats.org/officeDocument/2006/relationships/hyperlink" Target="https://replay.pokemonshowdown.com/smogtours-gen3ou-796611" TargetMode="External"/><Relationship Id="rId2374" Type="http://schemas.openxmlformats.org/officeDocument/2006/relationships/hyperlink" Target="https://replay.pokemonshowdown.com/smogtours-gen3ou-799957" TargetMode="External"/><Relationship Id="rId213" Type="http://schemas.openxmlformats.org/officeDocument/2006/relationships/hyperlink" Target="https://replay.pokemonshowdown.com/smogtours-gen3ou-794468" TargetMode="External"/><Relationship Id="rId1044" Type="http://schemas.openxmlformats.org/officeDocument/2006/relationships/hyperlink" Target="https://replay.pokemonshowdown.com/smogtours-gen3ou-796613" TargetMode="External"/><Relationship Id="rId2375" Type="http://schemas.openxmlformats.org/officeDocument/2006/relationships/hyperlink" Target="https://replay.pokemonshowdown.com/smogtours-gen3ou-799964" TargetMode="External"/><Relationship Id="rId212" Type="http://schemas.openxmlformats.org/officeDocument/2006/relationships/hyperlink" Target="https://replay.pokemonshowdown.com/smogtours-gen3ou-794464" TargetMode="External"/><Relationship Id="rId1045" Type="http://schemas.openxmlformats.org/officeDocument/2006/relationships/hyperlink" Target="https://replay.pokemonshowdown.com/smogtours-gen3ou-796591" TargetMode="External"/><Relationship Id="rId2376" Type="http://schemas.openxmlformats.org/officeDocument/2006/relationships/hyperlink" Target="https://replay.pokemonshowdown.com/smogtours-gen3ou-800236" TargetMode="External"/><Relationship Id="rId211" Type="http://schemas.openxmlformats.org/officeDocument/2006/relationships/hyperlink" Target="https://replay.pokemonshowdown.com/smogtours-gen3ou-794462" TargetMode="External"/><Relationship Id="rId1046" Type="http://schemas.openxmlformats.org/officeDocument/2006/relationships/hyperlink" Target="https://replay.pokemonshowdown.com/smogtours-gen3ou-796593" TargetMode="External"/><Relationship Id="rId2377" Type="http://schemas.openxmlformats.org/officeDocument/2006/relationships/hyperlink" Target="https://replay.pokemonshowdown.com/smogtours-gen3ou-800240" TargetMode="External"/><Relationship Id="rId210" Type="http://schemas.openxmlformats.org/officeDocument/2006/relationships/hyperlink" Target="https://replay.pokemonshowdown.com/smogtours-gen3ou-794425" TargetMode="External"/><Relationship Id="rId1047" Type="http://schemas.openxmlformats.org/officeDocument/2006/relationships/hyperlink" Target="https://replay.pokemonshowdown.com/smogtours-gen3ou-796594" TargetMode="External"/><Relationship Id="rId2378" Type="http://schemas.openxmlformats.org/officeDocument/2006/relationships/hyperlink" Target="https://replay.pokemonshowdown.com/smogtours-gen3ou-799853" TargetMode="External"/><Relationship Id="rId4107" Type="http://schemas.openxmlformats.org/officeDocument/2006/relationships/hyperlink" Target="https://replay.pokemonshowdown.com/smogtours-gen3ou-806137" TargetMode="External"/><Relationship Id="rId4106" Type="http://schemas.openxmlformats.org/officeDocument/2006/relationships/hyperlink" Target="https://replay.pokemonshowdown.com/smogtours-gen3ou-806135" TargetMode="External"/><Relationship Id="rId4109" Type="http://schemas.openxmlformats.org/officeDocument/2006/relationships/hyperlink" Target="https://replay.pokemonshowdown.com/smogtours-gen3ou-806112?p2" TargetMode="External"/><Relationship Id="rId4108" Type="http://schemas.openxmlformats.org/officeDocument/2006/relationships/hyperlink" Target="https://replay.pokemonshowdown.com/smogtours-gen3ou-806138" TargetMode="External"/><Relationship Id="rId249" Type="http://schemas.openxmlformats.org/officeDocument/2006/relationships/hyperlink" Target="https://replay.pokemonshowdown.com/smogtours-gen3ou-794482" TargetMode="External"/><Relationship Id="rId248" Type="http://schemas.openxmlformats.org/officeDocument/2006/relationships/hyperlink" Target="https://replay.pokemonshowdown.com/smogtours-gen3ou-794458" TargetMode="External"/><Relationship Id="rId247" Type="http://schemas.openxmlformats.org/officeDocument/2006/relationships/hyperlink" Target="https://replay.pokemonshowdown.com/smogtours-gen3ou-794453" TargetMode="External"/><Relationship Id="rId1070" Type="http://schemas.openxmlformats.org/officeDocument/2006/relationships/hyperlink" Target="https://replay.pokemonshowdown.com/smogtours-gen3ou-796924?p2" TargetMode="External"/><Relationship Id="rId1071" Type="http://schemas.openxmlformats.org/officeDocument/2006/relationships/hyperlink" Target="https://replay.pokemonshowdown.com/smogtours-gen3ou-796933?p2" TargetMode="External"/><Relationship Id="rId1072" Type="http://schemas.openxmlformats.org/officeDocument/2006/relationships/hyperlink" Target="https://replay.pokemonshowdown.com/smogtours-gen3ou-796640" TargetMode="External"/><Relationship Id="rId242" Type="http://schemas.openxmlformats.org/officeDocument/2006/relationships/hyperlink" Target="https://replay.pokemonshowdown.com/gen3ou-2215440625-vafqp7guioewz6a113brmiebmsihv8wpw" TargetMode="External"/><Relationship Id="rId1073" Type="http://schemas.openxmlformats.org/officeDocument/2006/relationships/hyperlink" Target="https://replay.pokemonshowdown.com/smogtours-gen3ou-796644" TargetMode="External"/><Relationship Id="rId241" Type="http://schemas.openxmlformats.org/officeDocument/2006/relationships/hyperlink" Target="https://replay.pokemonshowdown.com/gen3ou-2215436857-iumzekl0fm3radvtodd8cm6ca48xfw4pw" TargetMode="External"/><Relationship Id="rId1074" Type="http://schemas.openxmlformats.org/officeDocument/2006/relationships/hyperlink" Target="https://replay.pokemonshowdown.com/smogtours-gen3ou-796474" TargetMode="External"/><Relationship Id="rId240" Type="http://schemas.openxmlformats.org/officeDocument/2006/relationships/hyperlink" Target="https://replay.pokemonshowdown.com/gen3ou-2215437595" TargetMode="External"/><Relationship Id="rId1075" Type="http://schemas.openxmlformats.org/officeDocument/2006/relationships/hyperlink" Target="https://replay.pokemonshowdown.com/smogtours-gen3ou-796482" TargetMode="External"/><Relationship Id="rId4101" Type="http://schemas.openxmlformats.org/officeDocument/2006/relationships/hyperlink" Target="https://replay.pokemonshowdown.com/smogtours-gen3ou-806095" TargetMode="External"/><Relationship Id="rId1076" Type="http://schemas.openxmlformats.org/officeDocument/2006/relationships/hyperlink" Target="https://replay.pokemonshowdown.com/smogtours-gen3ou-796827" TargetMode="External"/><Relationship Id="rId4100" Type="http://schemas.openxmlformats.org/officeDocument/2006/relationships/hyperlink" Target="https://replay.pokemonshowdown.com/smogtours-gen3ou-806095" TargetMode="External"/><Relationship Id="rId246" Type="http://schemas.openxmlformats.org/officeDocument/2006/relationships/hyperlink" Target="https://replay.pokemonshowdown.com/smogtours-gen3ou-794448" TargetMode="External"/><Relationship Id="rId1077" Type="http://schemas.openxmlformats.org/officeDocument/2006/relationships/hyperlink" Target="https://replay.pokemonshowdown.com/smogtours-gen3ou-796831" TargetMode="External"/><Relationship Id="rId4103" Type="http://schemas.openxmlformats.org/officeDocument/2006/relationships/hyperlink" Target="https://replay.pokemonshowdown.com/smogtours-gen3ou-806102" TargetMode="External"/><Relationship Id="rId245" Type="http://schemas.openxmlformats.org/officeDocument/2006/relationships/hyperlink" Target="https://replay.pokemonshowdown.com/smogtours-gen3ou-794403" TargetMode="External"/><Relationship Id="rId1078" Type="http://schemas.openxmlformats.org/officeDocument/2006/relationships/hyperlink" Target="https://replay.pokemonshowdown.com/smogtours-gen3ou-796833" TargetMode="External"/><Relationship Id="rId4102" Type="http://schemas.openxmlformats.org/officeDocument/2006/relationships/hyperlink" Target="https://replay.pokemonshowdown.com/smogtours-gen3ou-806095" TargetMode="External"/><Relationship Id="rId244" Type="http://schemas.openxmlformats.org/officeDocument/2006/relationships/hyperlink" Target="https://replay.pokemonshowdown.com/smogtours-gen3ou-794395" TargetMode="External"/><Relationship Id="rId1079" Type="http://schemas.openxmlformats.org/officeDocument/2006/relationships/hyperlink" Target="https://replay.pokemonshowdown.com/smogtours-gen3ou-796463?p2" TargetMode="External"/><Relationship Id="rId4105" Type="http://schemas.openxmlformats.org/officeDocument/2006/relationships/hyperlink" Target="https://replay.pokemonshowdown.com/smogtours-gen3ou-806101" TargetMode="External"/><Relationship Id="rId243" Type="http://schemas.openxmlformats.org/officeDocument/2006/relationships/hyperlink" Target="https://replay.pokemonshowdown.com/smogtours-gen3ou-794377" TargetMode="External"/><Relationship Id="rId4104" Type="http://schemas.openxmlformats.org/officeDocument/2006/relationships/hyperlink" Target="https://replay.pokemonshowdown.com/smogtours-gen3ou-806104" TargetMode="External"/><Relationship Id="rId239" Type="http://schemas.openxmlformats.org/officeDocument/2006/relationships/hyperlink" Target="https://replay.pokemonshowdown.com/gen3ou-2215434520?p2" TargetMode="External"/><Relationship Id="rId238" Type="http://schemas.openxmlformats.org/officeDocument/2006/relationships/hyperlink" Target="https://replay.pokemonshowdown.com/smogtours-gen3ou-794459" TargetMode="External"/><Relationship Id="rId237" Type="http://schemas.openxmlformats.org/officeDocument/2006/relationships/hyperlink" Target="https://replay.pokemonshowdown.com/smogtours-gen3ou-794454" TargetMode="External"/><Relationship Id="rId236" Type="http://schemas.openxmlformats.org/officeDocument/2006/relationships/hyperlink" Target="https://replay.pokemonshowdown.com/smogtours-gen3ou-794450" TargetMode="External"/><Relationship Id="rId2390" Type="http://schemas.openxmlformats.org/officeDocument/2006/relationships/hyperlink" Target="https://replay.pokemonshowdown.com/smogtours-gen3ou-800362" TargetMode="External"/><Relationship Id="rId1060" Type="http://schemas.openxmlformats.org/officeDocument/2006/relationships/hyperlink" Target="https://replay.pokemonshowdown.com/smogtours-gen3ou-796696" TargetMode="External"/><Relationship Id="rId2391" Type="http://schemas.openxmlformats.org/officeDocument/2006/relationships/hyperlink" Target="https://replay.pokemonshowdown.com/smogtours-gen3ou-800374" TargetMode="External"/><Relationship Id="rId1061" Type="http://schemas.openxmlformats.org/officeDocument/2006/relationships/hyperlink" Target="https://replay.pokemonshowdown.com/smogtours-gen3ou-796664" TargetMode="External"/><Relationship Id="rId2392" Type="http://schemas.openxmlformats.org/officeDocument/2006/relationships/hyperlink" Target="https://replay.pokemonshowdown.com/smogtours-gen3ou-799744" TargetMode="External"/><Relationship Id="rId231" Type="http://schemas.openxmlformats.org/officeDocument/2006/relationships/hyperlink" Target="https://replay.pokemonshowdown.com/smogtours-gen3ou-794110" TargetMode="External"/><Relationship Id="rId1062" Type="http://schemas.openxmlformats.org/officeDocument/2006/relationships/hyperlink" Target="https://replay.pokemonshowdown.com/smogtours-gen3ou-796673" TargetMode="External"/><Relationship Id="rId2393" Type="http://schemas.openxmlformats.org/officeDocument/2006/relationships/hyperlink" Target="https://replay.pokemonshowdown.com/smogtours-gen3ou-799748" TargetMode="External"/><Relationship Id="rId230" Type="http://schemas.openxmlformats.org/officeDocument/2006/relationships/hyperlink" Target="https://replay.pokemonshowdown.com/smogtours-gen3ou-794104" TargetMode="External"/><Relationship Id="rId1063" Type="http://schemas.openxmlformats.org/officeDocument/2006/relationships/hyperlink" Target="https://replay.pokemonshowdown.com/smogtours-gen3ou-796618" TargetMode="External"/><Relationship Id="rId2394" Type="http://schemas.openxmlformats.org/officeDocument/2006/relationships/hyperlink" Target="https://replay.pokemonshowdown.com/smogtours-gen3ou-800235" TargetMode="External"/><Relationship Id="rId1064" Type="http://schemas.openxmlformats.org/officeDocument/2006/relationships/hyperlink" Target="https://replay.pokemonshowdown.com/smogtours-gen3ou-796620" TargetMode="External"/><Relationship Id="rId2395" Type="http://schemas.openxmlformats.org/officeDocument/2006/relationships/hyperlink" Target="https://replay.pokemonshowdown.com/smogtours-gen3ou-800230" TargetMode="External"/><Relationship Id="rId1065" Type="http://schemas.openxmlformats.org/officeDocument/2006/relationships/hyperlink" Target="https://replay.pokemonshowdown.com/smogtours-gen3ou-796769" TargetMode="External"/><Relationship Id="rId2396" Type="http://schemas.openxmlformats.org/officeDocument/2006/relationships/hyperlink" Target="https://replay.pokemonshowdown.com/smogtours-gen3ou-799696" TargetMode="External"/><Relationship Id="rId235" Type="http://schemas.openxmlformats.org/officeDocument/2006/relationships/hyperlink" Target="https://replay.pokemonshowdown.com/smogtours-gen3ou-794070" TargetMode="External"/><Relationship Id="rId1066" Type="http://schemas.openxmlformats.org/officeDocument/2006/relationships/hyperlink" Target="https://replay.pokemonshowdown.com/smogtours-gen3ou-796773" TargetMode="External"/><Relationship Id="rId2397" Type="http://schemas.openxmlformats.org/officeDocument/2006/relationships/hyperlink" Target="https://replay.pokemonshowdown.com/smogtours-gen3ou-799700" TargetMode="External"/><Relationship Id="rId234" Type="http://schemas.openxmlformats.org/officeDocument/2006/relationships/hyperlink" Target="https://replay.pokemonshowdown.com/smogtours-gen3ou-794063" TargetMode="External"/><Relationship Id="rId1067" Type="http://schemas.openxmlformats.org/officeDocument/2006/relationships/hyperlink" Target="https://replay.pokemonshowdown.com/smogtours-gen3ou-796946" TargetMode="External"/><Relationship Id="rId2398" Type="http://schemas.openxmlformats.org/officeDocument/2006/relationships/hyperlink" Target="https://replay.pokemonshowdown.com/smogtours-gen3ou-799703" TargetMode="External"/><Relationship Id="rId233" Type="http://schemas.openxmlformats.org/officeDocument/2006/relationships/hyperlink" Target="https://replay.pokemonshowdown.com/gen3ou-2215373921-ybgb4qxzk30tgn4m7yvqs4sqnoba5xlpw" TargetMode="External"/><Relationship Id="rId1068" Type="http://schemas.openxmlformats.org/officeDocument/2006/relationships/hyperlink" Target="https://replay.pokemonshowdown.com/smogtours-gen3ou-796954?p2" TargetMode="External"/><Relationship Id="rId2399" Type="http://schemas.openxmlformats.org/officeDocument/2006/relationships/hyperlink" Target="https://replay.pokemonshowdown.com/smogtours-gen3ou-800185" TargetMode="External"/><Relationship Id="rId232" Type="http://schemas.openxmlformats.org/officeDocument/2006/relationships/hyperlink" Target="https://replay.pokemonshowdown.com/gen3ou-2215381114-2j86trcqgpim2oot2gwrf68kfffq156pw" TargetMode="External"/><Relationship Id="rId1069" Type="http://schemas.openxmlformats.org/officeDocument/2006/relationships/hyperlink" Target="https://replay.pokemonshowdown.com/smogtours-gen3ou-796919" TargetMode="External"/><Relationship Id="rId1015" Type="http://schemas.openxmlformats.org/officeDocument/2006/relationships/hyperlink" Target="https://replay.pokemonshowdown.com/smogtours-gen3ou-796782" TargetMode="External"/><Relationship Id="rId2346" Type="http://schemas.openxmlformats.org/officeDocument/2006/relationships/hyperlink" Target="https://replay.pokemonshowdown.com/smogtours-gen3ou-799270" TargetMode="External"/><Relationship Id="rId3678" Type="http://schemas.openxmlformats.org/officeDocument/2006/relationships/hyperlink" Target="https://replay.pokemonshowdown.com/smogtours-gen3ou-803800" TargetMode="External"/><Relationship Id="rId1016" Type="http://schemas.openxmlformats.org/officeDocument/2006/relationships/hyperlink" Target="https://replay.pokemonshowdown.com/smogtours-gen3ou-796787" TargetMode="External"/><Relationship Id="rId2347" Type="http://schemas.openxmlformats.org/officeDocument/2006/relationships/hyperlink" Target="https://replay.pokemonshowdown.com/smogtours-gen3ou-799274" TargetMode="External"/><Relationship Id="rId3677" Type="http://schemas.openxmlformats.org/officeDocument/2006/relationships/hyperlink" Target="https://replay.pokemonshowdown.com/smogtours-gen3ou-804203" TargetMode="External"/><Relationship Id="rId1017" Type="http://schemas.openxmlformats.org/officeDocument/2006/relationships/hyperlink" Target="https://replay.pokemonshowdown.com/smogtours-gen3ou-796762" TargetMode="External"/><Relationship Id="rId2348" Type="http://schemas.openxmlformats.org/officeDocument/2006/relationships/hyperlink" Target="https://replay.pokemonshowdown.com/smogtours-gen3ou-799734" TargetMode="External"/><Relationship Id="rId1018" Type="http://schemas.openxmlformats.org/officeDocument/2006/relationships/hyperlink" Target="https://replay.pokemonshowdown.com/smogtours-gen3ou-796764" TargetMode="External"/><Relationship Id="rId2349" Type="http://schemas.openxmlformats.org/officeDocument/2006/relationships/hyperlink" Target="https://replay.pokemonshowdown.com/smogtours-gen3ou-799737" TargetMode="External"/><Relationship Id="rId3679" Type="http://schemas.openxmlformats.org/officeDocument/2006/relationships/hyperlink" Target="https://replay.pokemonshowdown.com/smogtours-gen3ou-803802" TargetMode="External"/><Relationship Id="rId1019" Type="http://schemas.openxmlformats.org/officeDocument/2006/relationships/hyperlink" Target="https://replay.pokemonshowdown.com/smogtours-gen3ou-796519" TargetMode="External"/><Relationship Id="rId3670" Type="http://schemas.openxmlformats.org/officeDocument/2006/relationships/hyperlink" Target="https://replay.pokemonshowdown.com/smogtours-gen3ou-804012" TargetMode="External"/><Relationship Id="rId2340" Type="http://schemas.openxmlformats.org/officeDocument/2006/relationships/hyperlink" Target="https://replay.pokemonshowdown.com/smogtours-gen3ou-799613" TargetMode="External"/><Relationship Id="rId3672" Type="http://schemas.openxmlformats.org/officeDocument/2006/relationships/hyperlink" Target="https://replay.pokemonshowdown.com/smogtours-gen3ou-804349" TargetMode="External"/><Relationship Id="rId1010" Type="http://schemas.openxmlformats.org/officeDocument/2006/relationships/hyperlink" Target="https://replay.pokemonshowdown.com/smogtours-gen3ou-796567" TargetMode="External"/><Relationship Id="rId2341" Type="http://schemas.openxmlformats.org/officeDocument/2006/relationships/hyperlink" Target="https://replay.pokemonshowdown.com/smogtours-gen3ou-799618" TargetMode="External"/><Relationship Id="rId3671" Type="http://schemas.openxmlformats.org/officeDocument/2006/relationships/hyperlink" Target="https://replay.pokemonshowdown.com/smogtours-gen3ou-804340" TargetMode="External"/><Relationship Id="rId1011" Type="http://schemas.openxmlformats.org/officeDocument/2006/relationships/hyperlink" Target="https://replay.pokemonshowdown.com/smogtours-gen3ou-796569" TargetMode="External"/><Relationship Id="rId2342" Type="http://schemas.openxmlformats.org/officeDocument/2006/relationships/hyperlink" Target="https://replay.pokemonshowdown.com/gen3ou-2225762032" TargetMode="External"/><Relationship Id="rId3674" Type="http://schemas.openxmlformats.org/officeDocument/2006/relationships/hyperlink" Target="https://replay.pokemonshowdown.com/smogtours-gen3ou-803855" TargetMode="External"/><Relationship Id="rId1012" Type="http://schemas.openxmlformats.org/officeDocument/2006/relationships/hyperlink" Target="http://replay.pokemonshowdown.com/smogtours-gen3ou-796880" TargetMode="External"/><Relationship Id="rId2343" Type="http://schemas.openxmlformats.org/officeDocument/2006/relationships/hyperlink" Target="https://replay.pokemonshowdown.com/gen3ou-2225768040" TargetMode="External"/><Relationship Id="rId3673" Type="http://schemas.openxmlformats.org/officeDocument/2006/relationships/hyperlink" Target="https://replay.pokemonshowdown.com/smogtours-gen3ou-804355" TargetMode="External"/><Relationship Id="rId1013" Type="http://schemas.openxmlformats.org/officeDocument/2006/relationships/hyperlink" Target="https://replay.pokemonshowdown.com/smogtours-gen3ou-796884" TargetMode="External"/><Relationship Id="rId2344" Type="http://schemas.openxmlformats.org/officeDocument/2006/relationships/hyperlink" Target="https://replay.pokemonshowdown.com/gen3ou-2225773722" TargetMode="External"/><Relationship Id="rId3676" Type="http://schemas.openxmlformats.org/officeDocument/2006/relationships/hyperlink" Target="https://replay.pokemonshowdown.com/smogtours-gen3ou-804198" TargetMode="External"/><Relationship Id="rId1014" Type="http://schemas.openxmlformats.org/officeDocument/2006/relationships/hyperlink" Target="https://replay.pokemonshowdown.com/smogtours-gen3ou-796780" TargetMode="External"/><Relationship Id="rId2345" Type="http://schemas.openxmlformats.org/officeDocument/2006/relationships/hyperlink" Target="https://replay.pokemonshowdown.com/smogtours-gen3ou-799276" TargetMode="External"/><Relationship Id="rId3675" Type="http://schemas.openxmlformats.org/officeDocument/2006/relationships/hyperlink" Target="https://replay.pokemonshowdown.com/smogtours-gen3ou-803857" TargetMode="External"/><Relationship Id="rId1004" Type="http://schemas.openxmlformats.org/officeDocument/2006/relationships/hyperlink" Target="https://replay.pokemonshowdown.com/smogtours-gen3ou-796699?p2" TargetMode="External"/><Relationship Id="rId2335" Type="http://schemas.openxmlformats.org/officeDocument/2006/relationships/hyperlink" Target="https://replay.pokemonshowdown.com/smogtours-gen3ou-799596" TargetMode="External"/><Relationship Id="rId3667" Type="http://schemas.openxmlformats.org/officeDocument/2006/relationships/hyperlink" Target="https://replay.pokemonshowdown.com/smogtours-gen3ou-804174" TargetMode="External"/><Relationship Id="rId1005" Type="http://schemas.openxmlformats.org/officeDocument/2006/relationships/hyperlink" Target="https://replay.pokemonshowdown.com/smogtours-gen3ou-796704" TargetMode="External"/><Relationship Id="rId2336" Type="http://schemas.openxmlformats.org/officeDocument/2006/relationships/hyperlink" Target="https://replay.pokemonshowdown.com/smogtours-gen3ou-799610" TargetMode="External"/><Relationship Id="rId3666" Type="http://schemas.openxmlformats.org/officeDocument/2006/relationships/hyperlink" Target="https://replay.pokemonshowdown.com/smogtours-gen3ou-804173" TargetMode="External"/><Relationship Id="rId1006" Type="http://schemas.openxmlformats.org/officeDocument/2006/relationships/hyperlink" Target="https://replay.pokemonshowdown.com/smogtours-gen3ou-796771?p2" TargetMode="External"/><Relationship Id="rId2337" Type="http://schemas.openxmlformats.org/officeDocument/2006/relationships/hyperlink" Target="https://replay.pokemonshowdown.com/smogtours-gen3ou-800217" TargetMode="External"/><Relationship Id="rId3669" Type="http://schemas.openxmlformats.org/officeDocument/2006/relationships/hyperlink" Target="https://replay.pokemonshowdown.com/smogtours-gen3ou-804027" TargetMode="External"/><Relationship Id="rId1007" Type="http://schemas.openxmlformats.org/officeDocument/2006/relationships/hyperlink" Target="https://replay.pokemonshowdown.com/smogtours-gen3ou-796778" TargetMode="External"/><Relationship Id="rId2338" Type="http://schemas.openxmlformats.org/officeDocument/2006/relationships/hyperlink" Target="https://replay.pokemonshowdown.com/smogtours-gen3ou-800221" TargetMode="External"/><Relationship Id="rId3668" Type="http://schemas.openxmlformats.org/officeDocument/2006/relationships/hyperlink" Target="https://replay.pokemonshowdown.com/smogtours-gen3ou-804176" TargetMode="External"/><Relationship Id="rId1008" Type="http://schemas.openxmlformats.org/officeDocument/2006/relationships/hyperlink" Target="https://replay.pokemonshowdown.com/smogtours-gen3ou-796774" TargetMode="External"/><Relationship Id="rId2339" Type="http://schemas.openxmlformats.org/officeDocument/2006/relationships/hyperlink" Target="https://replay.pokemonshowdown.com/smogtours-gen3ou-799607" TargetMode="External"/><Relationship Id="rId1009" Type="http://schemas.openxmlformats.org/officeDocument/2006/relationships/hyperlink" Target="https://replay.pokemonshowdown.com/smogtours-gen3ou-796560" TargetMode="External"/><Relationship Id="rId3661" Type="http://schemas.openxmlformats.org/officeDocument/2006/relationships/hyperlink" Target="https://replay.pokemonshowdown.com/smogtours-gen3ou-803955" TargetMode="External"/><Relationship Id="rId2330" Type="http://schemas.openxmlformats.org/officeDocument/2006/relationships/hyperlink" Target="https://replay.pokemonshowdown.com/smogtours-gen3ou-799552" TargetMode="External"/><Relationship Id="rId3660" Type="http://schemas.openxmlformats.org/officeDocument/2006/relationships/hyperlink" Target="https://replay.pokemonshowdown.com/smogtours-gen3ou-803951" TargetMode="External"/><Relationship Id="rId1000" Type="http://schemas.openxmlformats.org/officeDocument/2006/relationships/hyperlink" Target="https://replay.pokemonshowdown.com/smogtours-gen3ou-796647" TargetMode="External"/><Relationship Id="rId2331" Type="http://schemas.openxmlformats.org/officeDocument/2006/relationships/hyperlink" Target="https://replay.pokemonshowdown.com/smogtours-gen3ou-799561" TargetMode="External"/><Relationship Id="rId3663" Type="http://schemas.openxmlformats.org/officeDocument/2006/relationships/hyperlink" Target="https://replay.pokemonshowdown.com/smogtours-gen3ou-804370" TargetMode="External"/><Relationship Id="rId1001" Type="http://schemas.openxmlformats.org/officeDocument/2006/relationships/hyperlink" Target="https://replay.pokemonshowdown.com/smogtours-gen3ou-796541" TargetMode="External"/><Relationship Id="rId2332" Type="http://schemas.openxmlformats.org/officeDocument/2006/relationships/hyperlink" Target="https://replay.pokemonshowdown.com/smogtours-gen3ou-799581" TargetMode="External"/><Relationship Id="rId3662" Type="http://schemas.openxmlformats.org/officeDocument/2006/relationships/hyperlink" Target="https://replay.pokemonshowdown.com/smogtours-gen3ou-804363" TargetMode="External"/><Relationship Id="rId1002" Type="http://schemas.openxmlformats.org/officeDocument/2006/relationships/hyperlink" Target="https://replay.pokemonshowdown.com/smogtours-gen3ou-796544" TargetMode="External"/><Relationship Id="rId2333" Type="http://schemas.openxmlformats.org/officeDocument/2006/relationships/hyperlink" Target="https://replay.pokemonshowdown.com/smogtours-gen3ou-799594" TargetMode="External"/><Relationship Id="rId3665" Type="http://schemas.openxmlformats.org/officeDocument/2006/relationships/hyperlink" Target="https://replay.pokemonshowdown.com/smogtours-gen3ou-804458" TargetMode="External"/><Relationship Id="rId1003" Type="http://schemas.openxmlformats.org/officeDocument/2006/relationships/hyperlink" Target="https://replay.pokemonshowdown.com/smogtours-gen3ou-796545" TargetMode="External"/><Relationship Id="rId2334" Type="http://schemas.openxmlformats.org/officeDocument/2006/relationships/hyperlink" Target="https://replay.pokemonshowdown.com/smogtours-gen3ou-799583" TargetMode="External"/><Relationship Id="rId3664" Type="http://schemas.openxmlformats.org/officeDocument/2006/relationships/hyperlink" Target="https://replay.pokemonshowdown.com/smogtours-gen3ou-804449" TargetMode="External"/><Relationship Id="rId1037" Type="http://schemas.openxmlformats.org/officeDocument/2006/relationships/hyperlink" Target="https://replay.pokemonshowdown.com/smogtours-gen3ou-796832" TargetMode="External"/><Relationship Id="rId2368" Type="http://schemas.openxmlformats.org/officeDocument/2006/relationships/hyperlink" Target="https://replay.pokemonshowdown.com/smogtours-gen3ou-799603" TargetMode="External"/><Relationship Id="rId1038" Type="http://schemas.openxmlformats.org/officeDocument/2006/relationships/hyperlink" Target="https://replay.pokemonshowdown.com/smogtours-gen3ou-796834" TargetMode="External"/><Relationship Id="rId2369" Type="http://schemas.openxmlformats.org/officeDocument/2006/relationships/hyperlink" Target="https://replay.pokemonshowdown.com/smogtours-gen3ou-799271" TargetMode="External"/><Relationship Id="rId3699" Type="http://schemas.openxmlformats.org/officeDocument/2006/relationships/hyperlink" Target="https://replay.pokemonshowdown.com/smogtours-gen3ou-804540" TargetMode="External"/><Relationship Id="rId1039" Type="http://schemas.openxmlformats.org/officeDocument/2006/relationships/hyperlink" Target="https://replay.pokemonshowdown.com/smogtours-gen3ou-796813" TargetMode="External"/><Relationship Id="rId206" Type="http://schemas.openxmlformats.org/officeDocument/2006/relationships/hyperlink" Target="https://replay.pokemonshowdown.com/smogtours-gen3ou-794373" TargetMode="External"/><Relationship Id="rId205" Type="http://schemas.openxmlformats.org/officeDocument/2006/relationships/hyperlink" Target="https://replay.pokemonshowdown.com/smogtours-gen3ou-794402" TargetMode="External"/><Relationship Id="rId204" Type="http://schemas.openxmlformats.org/officeDocument/2006/relationships/hyperlink" Target="https://replay.pokemonshowdown.com/smogtours-gen3ou-794397" TargetMode="External"/><Relationship Id="rId203" Type="http://schemas.openxmlformats.org/officeDocument/2006/relationships/hyperlink" Target="https://replay.pokemonshowdown.com/smogtours-gen3ou-794388" TargetMode="External"/><Relationship Id="rId209" Type="http://schemas.openxmlformats.org/officeDocument/2006/relationships/hyperlink" Target="https://smogtours.psim.us/battle-gen3ou-794417" TargetMode="External"/><Relationship Id="rId208" Type="http://schemas.openxmlformats.org/officeDocument/2006/relationships/hyperlink" Target="https://smogtours.psim.us/battle-gen3ou-794408" TargetMode="External"/><Relationship Id="rId3690" Type="http://schemas.openxmlformats.org/officeDocument/2006/relationships/hyperlink" Target="http://replay.pokemonshowdown.com/smogtours-gen3ou-804010" TargetMode="External"/><Relationship Id="rId207" Type="http://schemas.openxmlformats.org/officeDocument/2006/relationships/hyperlink" Target="https://replay.pokemonshowdown.com/smogtours-gen3ou-794394" TargetMode="External"/><Relationship Id="rId2360" Type="http://schemas.openxmlformats.org/officeDocument/2006/relationships/hyperlink" Target="https://replay.pokemonshowdown.com/smogtours-gen3ou-799122" TargetMode="External"/><Relationship Id="rId3692" Type="http://schemas.openxmlformats.org/officeDocument/2006/relationships/hyperlink" Target="https://replay.pokemonshowdown.com/smogtours-gen3ou-803941" TargetMode="External"/><Relationship Id="rId1030" Type="http://schemas.openxmlformats.org/officeDocument/2006/relationships/hyperlink" Target="https://replay.pokemonshowdown.com/smogtours-gen3ou-796518" TargetMode="External"/><Relationship Id="rId2361" Type="http://schemas.openxmlformats.org/officeDocument/2006/relationships/hyperlink" Target="https://replay.pokemonshowdown.com/smogtours-gen3ou-799123" TargetMode="External"/><Relationship Id="rId3691" Type="http://schemas.openxmlformats.org/officeDocument/2006/relationships/hyperlink" Target="https://replay.pokemonshowdown.com/smogtours-gen3ou-803939?p2" TargetMode="External"/><Relationship Id="rId1031" Type="http://schemas.openxmlformats.org/officeDocument/2006/relationships/hyperlink" Target="https://replay.pokemonshowdown.com/smogtours-gen3ou-796523" TargetMode="External"/><Relationship Id="rId2362" Type="http://schemas.openxmlformats.org/officeDocument/2006/relationships/hyperlink" Target="https://replay.pokemonshowdown.com/smogtours-gen3ou-799225?p2" TargetMode="External"/><Relationship Id="rId3694" Type="http://schemas.openxmlformats.org/officeDocument/2006/relationships/hyperlink" Target="https://replay.pokemonshowdown.com/smogtours-gen3ou-803977?p2" TargetMode="External"/><Relationship Id="rId1032" Type="http://schemas.openxmlformats.org/officeDocument/2006/relationships/hyperlink" Target="https://replay.pokemonshowdown.com/smogtours-gen3ou-796835" TargetMode="External"/><Relationship Id="rId2363" Type="http://schemas.openxmlformats.org/officeDocument/2006/relationships/hyperlink" Target="https://replay.pokemonshowdown.com/smogtours-gen3ou-799226?p2" TargetMode="External"/><Relationship Id="rId3693" Type="http://schemas.openxmlformats.org/officeDocument/2006/relationships/hyperlink" Target="https://replay.pokemonshowdown.com/smogtours-gen3ou-803977?p2" TargetMode="External"/><Relationship Id="rId202" Type="http://schemas.openxmlformats.org/officeDocument/2006/relationships/hyperlink" Target="https://replay.pokemonshowdown.com/smogtours-gen3ou-794307" TargetMode="External"/><Relationship Id="rId1033" Type="http://schemas.openxmlformats.org/officeDocument/2006/relationships/hyperlink" Target="https://replay.pokemonshowdown.com/smogtours-gen3ou-796836" TargetMode="External"/><Relationship Id="rId2364" Type="http://schemas.openxmlformats.org/officeDocument/2006/relationships/hyperlink" Target="https://replay.pokemonshowdown.com/smogtours-gen3ou-799228" TargetMode="External"/><Relationship Id="rId3696" Type="http://schemas.openxmlformats.org/officeDocument/2006/relationships/hyperlink" Target="https://replay.pokemonshowdown.com/smogtours-gen3ou-804516" TargetMode="External"/><Relationship Id="rId201" Type="http://schemas.openxmlformats.org/officeDocument/2006/relationships/hyperlink" Target="https://replay.pokemonshowdown.com/smogtours-gen3ou-794361" TargetMode="External"/><Relationship Id="rId1034" Type="http://schemas.openxmlformats.org/officeDocument/2006/relationships/hyperlink" Target="https://replay.pokemonshowdown.com/smogtours-gen3ou-796838" TargetMode="External"/><Relationship Id="rId2365" Type="http://schemas.openxmlformats.org/officeDocument/2006/relationships/hyperlink" Target="https://replay.pokemonshowdown.com/smogtours-gen3ou-799664" TargetMode="External"/><Relationship Id="rId3695" Type="http://schemas.openxmlformats.org/officeDocument/2006/relationships/hyperlink" Target="https://replay.pokemonshowdown.com/smogtours-gen3ou-804504" TargetMode="External"/><Relationship Id="rId200" Type="http://schemas.openxmlformats.org/officeDocument/2006/relationships/hyperlink" Target="https://replay.pokemonshowdown.com/smogtours-gen3ou-794346?p2" TargetMode="External"/><Relationship Id="rId1035" Type="http://schemas.openxmlformats.org/officeDocument/2006/relationships/hyperlink" Target="https://replay.pokemonshowdown.com/smogtours-gen3ou-796736" TargetMode="External"/><Relationship Id="rId2366" Type="http://schemas.openxmlformats.org/officeDocument/2006/relationships/hyperlink" Target="https://replay.pokemonshowdown.com/smogtours-gen3ou-799662" TargetMode="External"/><Relationship Id="rId3698" Type="http://schemas.openxmlformats.org/officeDocument/2006/relationships/hyperlink" Target="https://replay.pokemonshowdown.com/smogtours-gen3ou-804531" TargetMode="External"/><Relationship Id="rId1036" Type="http://schemas.openxmlformats.org/officeDocument/2006/relationships/hyperlink" Target="https://replay.pokemonshowdown.com/smogtours-gen3ou-796753" TargetMode="External"/><Relationship Id="rId2367" Type="http://schemas.openxmlformats.org/officeDocument/2006/relationships/hyperlink" Target="https://replay.pokemonshowdown.com/smogtours-gen3ou-799595" TargetMode="External"/><Relationship Id="rId3697" Type="http://schemas.openxmlformats.org/officeDocument/2006/relationships/hyperlink" Target="https://replay.pokemonshowdown.com/smogtours-gen3ou-804520" TargetMode="External"/><Relationship Id="rId1026" Type="http://schemas.openxmlformats.org/officeDocument/2006/relationships/hyperlink" Target="https://replay.pokemonshowdown.com/smogtours-gen3ou-796733" TargetMode="External"/><Relationship Id="rId2357" Type="http://schemas.openxmlformats.org/officeDocument/2006/relationships/hyperlink" Target="https://replay.pokemonshowdown.com/smogtours-gen3ou-799556" TargetMode="External"/><Relationship Id="rId3689" Type="http://schemas.openxmlformats.org/officeDocument/2006/relationships/hyperlink" Target="http://replay.pokemonshowdown.com/smogtours-gen3ou-804004" TargetMode="External"/><Relationship Id="rId1027" Type="http://schemas.openxmlformats.org/officeDocument/2006/relationships/hyperlink" Target="https://replay.pokemonshowdown.com/smogtours-gen3ou-796740" TargetMode="External"/><Relationship Id="rId2358" Type="http://schemas.openxmlformats.org/officeDocument/2006/relationships/hyperlink" Target="https://replay.pokemonshowdown.com/smogtours-gen3ou-799548" TargetMode="External"/><Relationship Id="rId3688" Type="http://schemas.openxmlformats.org/officeDocument/2006/relationships/hyperlink" Target="http://replay.pokemonshowdown.com/smogtours-gen3ou-803995?p2" TargetMode="External"/><Relationship Id="rId1028" Type="http://schemas.openxmlformats.org/officeDocument/2006/relationships/hyperlink" Target="https://replay.pokemonshowdown.com/smogtours-gen3ou-796744" TargetMode="External"/><Relationship Id="rId2359" Type="http://schemas.openxmlformats.org/officeDocument/2006/relationships/hyperlink" Target="https://replay.pokemonshowdown.com/smogtours-gen3ou-799120" TargetMode="External"/><Relationship Id="rId1029" Type="http://schemas.openxmlformats.org/officeDocument/2006/relationships/hyperlink" Target="https://replay.pokemonshowdown.com/smogtours-gen3ou-796515" TargetMode="External"/><Relationship Id="rId3681" Type="http://schemas.openxmlformats.org/officeDocument/2006/relationships/hyperlink" Target="https://replay.pokemonshowdown.com/smogtours-gen3ou-803944" TargetMode="External"/><Relationship Id="rId2350" Type="http://schemas.openxmlformats.org/officeDocument/2006/relationships/hyperlink" Target="https://replay.pokemonshowdown.com/smogtours-gen3ou-799535" TargetMode="External"/><Relationship Id="rId3680" Type="http://schemas.openxmlformats.org/officeDocument/2006/relationships/hyperlink" Target="https://replay.pokemonshowdown.com/smogtours-gen3ou-803806" TargetMode="External"/><Relationship Id="rId1020" Type="http://schemas.openxmlformats.org/officeDocument/2006/relationships/hyperlink" Target="https://replay.pokemonshowdown.com/smogtours-gen3ou-796522" TargetMode="External"/><Relationship Id="rId2351" Type="http://schemas.openxmlformats.org/officeDocument/2006/relationships/hyperlink" Target="https://replay.pokemonshowdown.com/smogtours-gen3ou-799543?p2" TargetMode="External"/><Relationship Id="rId3683" Type="http://schemas.openxmlformats.org/officeDocument/2006/relationships/hyperlink" Target="https://replay.pokemonshowdown.com/smogtours-gen3ou-804407" TargetMode="External"/><Relationship Id="rId1021" Type="http://schemas.openxmlformats.org/officeDocument/2006/relationships/hyperlink" Target="https://replay.pokemonshowdown.com/smogtours-gen3ou-796712" TargetMode="External"/><Relationship Id="rId2352" Type="http://schemas.openxmlformats.org/officeDocument/2006/relationships/hyperlink" Target="https://replay.pokemonshowdown.com/smogtours-gen3ou-799921" TargetMode="External"/><Relationship Id="rId3682" Type="http://schemas.openxmlformats.org/officeDocument/2006/relationships/hyperlink" Target="https://replay.pokemonshowdown.com/smogtours-gen3ou-803947" TargetMode="External"/><Relationship Id="rId1022" Type="http://schemas.openxmlformats.org/officeDocument/2006/relationships/hyperlink" Target="https://replay.pokemonshowdown.com/smogtours-gen3ou-796716" TargetMode="External"/><Relationship Id="rId2353" Type="http://schemas.openxmlformats.org/officeDocument/2006/relationships/hyperlink" Target="https://replay.pokemonshowdown.com/smogtours-gen3ou-799924" TargetMode="External"/><Relationship Id="rId3685" Type="http://schemas.openxmlformats.org/officeDocument/2006/relationships/hyperlink" Target="https://replay.pokemonshowdown.com/smogtours-gen3ou-804427" TargetMode="External"/><Relationship Id="rId1023" Type="http://schemas.openxmlformats.org/officeDocument/2006/relationships/hyperlink" Target="https://replay.pokemonshowdown.com/smogtours-gen3ou-796716" TargetMode="External"/><Relationship Id="rId2354" Type="http://schemas.openxmlformats.org/officeDocument/2006/relationships/hyperlink" Target="https://replay.pokemonshowdown.com/smogtours-gen3ou-800068" TargetMode="External"/><Relationship Id="rId3684" Type="http://schemas.openxmlformats.org/officeDocument/2006/relationships/hyperlink" Target="https://replay.pokemonshowdown.com/smogtours-gen3ou-804416" TargetMode="External"/><Relationship Id="rId1024" Type="http://schemas.openxmlformats.org/officeDocument/2006/relationships/hyperlink" Target="https://replay.pokemonshowdown.com/smogtours-gen3ou-796648" TargetMode="External"/><Relationship Id="rId2355" Type="http://schemas.openxmlformats.org/officeDocument/2006/relationships/hyperlink" Target="https://replay.pokemonshowdown.com/smogtours-gen3ou-800079" TargetMode="External"/><Relationship Id="rId3687" Type="http://schemas.openxmlformats.org/officeDocument/2006/relationships/hyperlink" Target="https://replay.pokemonshowdown.com/smogtours-gen3ou-803966" TargetMode="External"/><Relationship Id="rId1025" Type="http://schemas.openxmlformats.org/officeDocument/2006/relationships/hyperlink" Target="https://replay.pokemonshowdown.com/smogtours-gen3ou-796651" TargetMode="External"/><Relationship Id="rId2356" Type="http://schemas.openxmlformats.org/officeDocument/2006/relationships/hyperlink" Target="https://replay.pokemonshowdown.com/smogtours-gen3ou-800086" TargetMode="External"/><Relationship Id="rId3686" Type="http://schemas.openxmlformats.org/officeDocument/2006/relationships/hyperlink" Target="https://replay.pokemonshowdown.com/smogtours-gen3ou-803961" TargetMode="External"/><Relationship Id="rId4161" Type="http://schemas.openxmlformats.org/officeDocument/2006/relationships/hyperlink" Target="https://replay.pokemonshowdown.com/smogtours-gen3ou-806255" TargetMode="External"/><Relationship Id="rId4160" Type="http://schemas.openxmlformats.org/officeDocument/2006/relationships/hyperlink" Target="https://replay.pokemonshowdown.com/smogtours-gen3ou-806214" TargetMode="External"/><Relationship Id="rId4163" Type="http://schemas.openxmlformats.org/officeDocument/2006/relationships/hyperlink" Target="https://replay.pokemonshowdown.com/smogtours-gen3ou-806286" TargetMode="External"/><Relationship Id="rId4162" Type="http://schemas.openxmlformats.org/officeDocument/2006/relationships/hyperlink" Target="https://replay.pokemonshowdown.com/smogtours-gen3ou-806256" TargetMode="External"/><Relationship Id="rId4165" Type="http://schemas.openxmlformats.org/officeDocument/2006/relationships/hyperlink" Target="https://replay.pokemonshowdown.com/smogtours-gen3ou-806282?p2" TargetMode="External"/><Relationship Id="rId4164" Type="http://schemas.openxmlformats.org/officeDocument/2006/relationships/hyperlink" Target="https://replay.pokemonshowdown.com/smogtours-gen3ou-806289" TargetMode="External"/><Relationship Id="rId4167" Type="http://schemas.openxmlformats.org/officeDocument/2006/relationships/hyperlink" Target="https://replay.pokemonshowdown.com/smogtours-gen3ou-806290" TargetMode="External"/><Relationship Id="rId4166" Type="http://schemas.openxmlformats.org/officeDocument/2006/relationships/hyperlink" Target="https://replay.pokemonshowdown.com/smogtours-gen3ou-806284" TargetMode="External"/><Relationship Id="rId4169" Type="http://schemas.openxmlformats.org/officeDocument/2006/relationships/hyperlink" Target="https://replay.pokemonshowdown.com/smogtours-gen3ou-806294" TargetMode="External"/><Relationship Id="rId4168" Type="http://schemas.openxmlformats.org/officeDocument/2006/relationships/hyperlink" Target="https://replay.pokemonshowdown.com/smogtours-gen3ou-806283" TargetMode="External"/><Relationship Id="rId4150" Type="http://schemas.openxmlformats.org/officeDocument/2006/relationships/hyperlink" Target="https://replay.pokemonshowdown.com/smogtours-gen3ou-806195" TargetMode="External"/><Relationship Id="rId4152" Type="http://schemas.openxmlformats.org/officeDocument/2006/relationships/hyperlink" Target="https://replay.pokemonshowdown.com/smogtours-gen3ou-806231" TargetMode="External"/><Relationship Id="rId4151" Type="http://schemas.openxmlformats.org/officeDocument/2006/relationships/hyperlink" Target="https://replay.pokemonshowdown.com/smogtours-gen3ou-806197" TargetMode="External"/><Relationship Id="rId4154" Type="http://schemas.openxmlformats.org/officeDocument/2006/relationships/hyperlink" Target="https://replay.pokemonshowdown.com/smogtours-gen3ou-806233" TargetMode="External"/><Relationship Id="rId4153" Type="http://schemas.openxmlformats.org/officeDocument/2006/relationships/hyperlink" Target="https://replay.pokemonshowdown.com/smogtours-gen3ou-806232" TargetMode="External"/><Relationship Id="rId4156" Type="http://schemas.openxmlformats.org/officeDocument/2006/relationships/hyperlink" Target="https://replay.pokemonshowdown.com/smogtours-gen3ou-806229" TargetMode="External"/><Relationship Id="rId4155" Type="http://schemas.openxmlformats.org/officeDocument/2006/relationships/hyperlink" Target="https://replay.pokemonshowdown.com/smogtours-gen3ou-806227" TargetMode="External"/><Relationship Id="rId4158" Type="http://schemas.openxmlformats.org/officeDocument/2006/relationships/hyperlink" Target="https://replay.pokemonshowdown.com/smogtours-gen3ou-806242?p2" TargetMode="External"/><Relationship Id="rId4157" Type="http://schemas.openxmlformats.org/officeDocument/2006/relationships/hyperlink" Target="https://replay.pokemonshowdown.com/smogtours-gen3ou-806242?p2" TargetMode="External"/><Relationship Id="rId4159" Type="http://schemas.openxmlformats.org/officeDocument/2006/relationships/hyperlink" Target="https://replay.pokemonshowdown.com/smogtours-gen3ou-806213" TargetMode="External"/><Relationship Id="rId1910" Type="http://schemas.openxmlformats.org/officeDocument/2006/relationships/hyperlink" Target="https://replay.pokemonshowdown.com/smogtours-gen3ou-798713" TargetMode="External"/><Relationship Id="rId1911" Type="http://schemas.openxmlformats.org/officeDocument/2006/relationships/hyperlink" Target="https://replay.pokemonshowdown.com/smogtours-gen3ou-798713" TargetMode="External"/><Relationship Id="rId1912" Type="http://schemas.openxmlformats.org/officeDocument/2006/relationships/hyperlink" Target="https://replay.pokemonshowdown.com/smogtours-gen3ou-798265" TargetMode="External"/><Relationship Id="rId1913" Type="http://schemas.openxmlformats.org/officeDocument/2006/relationships/hyperlink" Target="https://replay.pokemonshowdown.com/smogtours-gen3ou-798277" TargetMode="External"/><Relationship Id="rId1914" Type="http://schemas.openxmlformats.org/officeDocument/2006/relationships/hyperlink" Target="https://replay.pokemonshowdown.com/smogtours-gen3ou-798287" TargetMode="External"/><Relationship Id="rId1915" Type="http://schemas.openxmlformats.org/officeDocument/2006/relationships/hyperlink" Target="https://replay.pokemonshowdown.com/smogtours-gen3ou-798176" TargetMode="External"/><Relationship Id="rId1916" Type="http://schemas.openxmlformats.org/officeDocument/2006/relationships/hyperlink" Target="https://replay.pokemonshowdown.com/smogtours-gen3ou-798188" TargetMode="External"/><Relationship Id="rId1917" Type="http://schemas.openxmlformats.org/officeDocument/2006/relationships/hyperlink" Target="https://replay.pokemonshowdown.com/smogtours-gen3ou-798317" TargetMode="External"/><Relationship Id="rId1918" Type="http://schemas.openxmlformats.org/officeDocument/2006/relationships/hyperlink" Target="https://replay.pokemonshowdown.com/smogtours-gen3ou-798333" TargetMode="External"/><Relationship Id="rId1919" Type="http://schemas.openxmlformats.org/officeDocument/2006/relationships/hyperlink" Target="https://replay.pokemonshowdown.com/smogtours-gen3ou-798365" TargetMode="External"/><Relationship Id="rId4181" Type="http://schemas.openxmlformats.org/officeDocument/2006/relationships/hyperlink" Target="https://replay.pokemonshowdown.com/smogtours-gen3ou-806305?p2" TargetMode="External"/><Relationship Id="rId4180" Type="http://schemas.openxmlformats.org/officeDocument/2006/relationships/hyperlink" Target="https://replay.pokemonshowdown.com/smogtours-gen3ou-806301" TargetMode="External"/><Relationship Id="rId4183" Type="http://schemas.openxmlformats.org/officeDocument/2006/relationships/hyperlink" Target="https://replay.pokemonshowdown.com/gen3ou-2244108147-6m1pptggbj4s26d2lejfcksilgp4z78pw" TargetMode="External"/><Relationship Id="rId4182" Type="http://schemas.openxmlformats.org/officeDocument/2006/relationships/hyperlink" Target="https://replay.pokemonshowdown.com/smogtours-gen3ou-806306" TargetMode="External"/><Relationship Id="rId4185" Type="http://schemas.openxmlformats.org/officeDocument/2006/relationships/hyperlink" Target="https://replay.pokemonshowdown.com/gen3ou-2244083572-fvk5hxbmt8jx03sp1tz3g2bfsfaut0upw" TargetMode="External"/><Relationship Id="rId4184" Type="http://schemas.openxmlformats.org/officeDocument/2006/relationships/hyperlink" Target="https://replay.pokemonshowdown.com/gen3ou-2244111914-hs8h66yat5fe44sbl0fqiozzdianr0opw" TargetMode="External"/><Relationship Id="rId4187" Type="http://schemas.openxmlformats.org/officeDocument/2006/relationships/hyperlink" Target="https://replay.pokemonshowdown.com/gen3ou-2244079039-6nhzfy9ftf9ndxqyfftwctcyxlswfpepw" TargetMode="External"/><Relationship Id="rId4186" Type="http://schemas.openxmlformats.org/officeDocument/2006/relationships/hyperlink" Target="https://replay.pokemonshowdown.com/gen3ou-2244081525-d11brrvr9uy76xhbsj8ymljpop5op2qpw" TargetMode="External"/><Relationship Id="rId4189" Type="http://schemas.openxmlformats.org/officeDocument/2006/relationships/hyperlink" Target="https://replay.pokemonshowdown.com/smogtours-gen3ou-806311" TargetMode="External"/><Relationship Id="rId4188" Type="http://schemas.openxmlformats.org/officeDocument/2006/relationships/hyperlink" Target="https://replay.pokemonshowdown.com/smogtours-gen3ou-806310" TargetMode="External"/><Relationship Id="rId1900" Type="http://schemas.openxmlformats.org/officeDocument/2006/relationships/hyperlink" Target="https://replay.pokemonshowdown.com/smogtours-gen3ou-798872" TargetMode="External"/><Relationship Id="rId1901" Type="http://schemas.openxmlformats.org/officeDocument/2006/relationships/hyperlink" Target="https://replay.pokemonshowdown.com/smogtours-gen3ou-798875" TargetMode="External"/><Relationship Id="rId1902" Type="http://schemas.openxmlformats.org/officeDocument/2006/relationships/hyperlink" Target="https://replay.pokemonshowdown.com/smogtours-gen3ou-798869" TargetMode="External"/><Relationship Id="rId1903" Type="http://schemas.openxmlformats.org/officeDocument/2006/relationships/hyperlink" Target="https://replay.pokemonshowdown.com/smogtours-gen3ou-798868?p2" TargetMode="External"/><Relationship Id="rId1904" Type="http://schemas.openxmlformats.org/officeDocument/2006/relationships/hyperlink" Target="https://replay.pokemonshowdown.com/smogtours-gen3ou-798217" TargetMode="External"/><Relationship Id="rId1905" Type="http://schemas.openxmlformats.org/officeDocument/2006/relationships/hyperlink" Target="https://replay.pokemonshowdown.com/smogtours-gen3ou-798232" TargetMode="External"/><Relationship Id="rId1906" Type="http://schemas.openxmlformats.org/officeDocument/2006/relationships/hyperlink" Target="https://replay.pokemonshowdown.com/smogtours-gen3ou-798522" TargetMode="External"/><Relationship Id="rId1907" Type="http://schemas.openxmlformats.org/officeDocument/2006/relationships/hyperlink" Target="https://replay.pokemonshowdown.com/smogtours-gen3ou-798526" TargetMode="External"/><Relationship Id="rId1908" Type="http://schemas.openxmlformats.org/officeDocument/2006/relationships/hyperlink" Target="https://replay.pokemonshowdown.com/smogtours-gen3ou-798165" TargetMode="External"/><Relationship Id="rId1909" Type="http://schemas.openxmlformats.org/officeDocument/2006/relationships/hyperlink" Target="http://replay.pokemonshowdown.com/smogtours-gen3ou-798184?p2" TargetMode="External"/><Relationship Id="rId4170" Type="http://schemas.openxmlformats.org/officeDocument/2006/relationships/hyperlink" Target="https://replay.pokemonshowdown.com/smogtours-gen3ou-806264" TargetMode="External"/><Relationship Id="rId4172" Type="http://schemas.openxmlformats.org/officeDocument/2006/relationships/hyperlink" Target="https://replay.pokemonshowdown.com/smogtours-gen3ou-806248" TargetMode="External"/><Relationship Id="rId4171" Type="http://schemas.openxmlformats.org/officeDocument/2006/relationships/hyperlink" Target="https://replay.pokemonshowdown.com/smogtours-gen3ou-806275" TargetMode="External"/><Relationship Id="rId4174" Type="http://schemas.openxmlformats.org/officeDocument/2006/relationships/hyperlink" Target="https://replay.pokemonshowdown.com/smogtours-gen3ou-806257" TargetMode="External"/><Relationship Id="rId4173" Type="http://schemas.openxmlformats.org/officeDocument/2006/relationships/hyperlink" Target="https://replay.pokemonshowdown.com/smogtours-gen3ou-806250" TargetMode="External"/><Relationship Id="rId4176" Type="http://schemas.openxmlformats.org/officeDocument/2006/relationships/hyperlink" Target="https://replay.pokemonshowdown.com/smogtours-gen3ou-806261" TargetMode="External"/><Relationship Id="rId4175" Type="http://schemas.openxmlformats.org/officeDocument/2006/relationships/hyperlink" Target="https://replay.pokemonshowdown.com/smogtours-gen3ou-806258" TargetMode="External"/><Relationship Id="rId4178" Type="http://schemas.openxmlformats.org/officeDocument/2006/relationships/hyperlink" Target="https://replay.pokemonshowdown.com/smogtours-gen3ou-806208" TargetMode="External"/><Relationship Id="rId4177" Type="http://schemas.openxmlformats.org/officeDocument/2006/relationships/hyperlink" Target="https://replay.pokemonshowdown.com/smogtours-gen3ou-806204" TargetMode="External"/><Relationship Id="rId4179" Type="http://schemas.openxmlformats.org/officeDocument/2006/relationships/hyperlink" Target="https://replay.pokemonshowdown.com/smogtours-gen3ou-806298" TargetMode="External"/><Relationship Id="rId4129" Type="http://schemas.openxmlformats.org/officeDocument/2006/relationships/hyperlink" Target="https://replay.pokemonshowdown.com/smogtours-gen3ou-806158" TargetMode="External"/><Relationship Id="rId4128" Type="http://schemas.openxmlformats.org/officeDocument/2006/relationships/hyperlink" Target="https://replay.pokemonshowdown.com/smogtours-gen3ou-806149" TargetMode="External"/><Relationship Id="rId1090" Type="http://schemas.openxmlformats.org/officeDocument/2006/relationships/hyperlink" Target="https://replay.pokemonshowdown.com/smogtours-gen3ou-796195" TargetMode="External"/><Relationship Id="rId1091" Type="http://schemas.openxmlformats.org/officeDocument/2006/relationships/hyperlink" Target="https://replay.pokemonshowdown.com/smogtours-gen3ou-796199" TargetMode="External"/><Relationship Id="rId1092" Type="http://schemas.openxmlformats.org/officeDocument/2006/relationships/hyperlink" Target="https://replay.pokemonshowdown.com/smogtours-gen3ou-796206" TargetMode="External"/><Relationship Id="rId1093" Type="http://schemas.openxmlformats.org/officeDocument/2006/relationships/hyperlink" Target="https://replay.pokemonshowdown.com/smogtours-gen3ou-796844" TargetMode="External"/><Relationship Id="rId1094" Type="http://schemas.openxmlformats.org/officeDocument/2006/relationships/hyperlink" Target="https://replay.pokemonshowdown.com/smogtours-gen3ou-796849" TargetMode="External"/><Relationship Id="rId1095" Type="http://schemas.openxmlformats.org/officeDocument/2006/relationships/hyperlink" Target="https://replay.pokemonshowdown.com/smogtours-gen3ou-796824" TargetMode="External"/><Relationship Id="rId4121" Type="http://schemas.openxmlformats.org/officeDocument/2006/relationships/hyperlink" Target="https://replay.pokemonshowdown.com/smogtours-gen3ou-806165" TargetMode="External"/><Relationship Id="rId1096" Type="http://schemas.openxmlformats.org/officeDocument/2006/relationships/hyperlink" Target="https://replay.pokemonshowdown.com/smogtours-gen3ou-796826" TargetMode="External"/><Relationship Id="rId4120" Type="http://schemas.openxmlformats.org/officeDocument/2006/relationships/hyperlink" Target="https://replay.pokemonshowdown.com/smogtours-gen3ou-806181" TargetMode="External"/><Relationship Id="rId1097" Type="http://schemas.openxmlformats.org/officeDocument/2006/relationships/hyperlink" Target="https://replay.pokemonshowdown.com/smogtours-gen3ou-796829" TargetMode="External"/><Relationship Id="rId4123" Type="http://schemas.openxmlformats.org/officeDocument/2006/relationships/hyperlink" Target="https://replay.pokemonshowdown.com/smogtours-gen3ou-806169" TargetMode="External"/><Relationship Id="rId1098" Type="http://schemas.openxmlformats.org/officeDocument/2006/relationships/hyperlink" Target="https://replay.pokemonshowdown.com/smogtours-gen3ou-796970" TargetMode="External"/><Relationship Id="rId4122" Type="http://schemas.openxmlformats.org/officeDocument/2006/relationships/hyperlink" Target="https://replay.pokemonshowdown.com/smogtours-gen3ou-806168" TargetMode="External"/><Relationship Id="rId1099" Type="http://schemas.openxmlformats.org/officeDocument/2006/relationships/hyperlink" Target="https://replay.pokemonshowdown.com/smogtours-gen3ou-796975?p2" TargetMode="External"/><Relationship Id="rId4125" Type="http://schemas.openxmlformats.org/officeDocument/2006/relationships/hyperlink" Target="https://replay.pokemonshowdown.com/smogtours-gen3ou-806172" TargetMode="External"/><Relationship Id="rId4124" Type="http://schemas.openxmlformats.org/officeDocument/2006/relationships/hyperlink" Target="https://replay.pokemonshowdown.com/smogtours-gen3ou-806170" TargetMode="External"/><Relationship Id="rId4127" Type="http://schemas.openxmlformats.org/officeDocument/2006/relationships/hyperlink" Target="https://replay.pokemonshowdown.com/smogtours-gen3ou-806148" TargetMode="External"/><Relationship Id="rId4126" Type="http://schemas.openxmlformats.org/officeDocument/2006/relationships/hyperlink" Target="https://replay.pokemonshowdown.com/smogtours-gen3ou-806146" TargetMode="External"/><Relationship Id="rId4118" Type="http://schemas.openxmlformats.org/officeDocument/2006/relationships/hyperlink" Target="https://replay.pokemonshowdown.com/smogtours-gen3ou-806145" TargetMode="External"/><Relationship Id="rId4117" Type="http://schemas.openxmlformats.org/officeDocument/2006/relationships/hyperlink" Target="https://replay.pokemonshowdown.com/smogtours-gen3ou-806144" TargetMode="External"/><Relationship Id="rId4119" Type="http://schemas.openxmlformats.org/officeDocument/2006/relationships/hyperlink" Target="https://replay.pokemonshowdown.com/smogtours-gen3ou-806180" TargetMode="External"/><Relationship Id="rId1080" Type="http://schemas.openxmlformats.org/officeDocument/2006/relationships/hyperlink" Target="https://replay.pokemonshowdown.com/smogtours-gen3ou-796469" TargetMode="External"/><Relationship Id="rId1081" Type="http://schemas.openxmlformats.org/officeDocument/2006/relationships/hyperlink" Target="https://replay.pokemonshowdown.com/smogtours-gen3ou-796374" TargetMode="External"/><Relationship Id="rId1082" Type="http://schemas.openxmlformats.org/officeDocument/2006/relationships/hyperlink" Target="https://replay.pokemonshowdown.com/smogtours-gen3ou-796390" TargetMode="External"/><Relationship Id="rId1083" Type="http://schemas.openxmlformats.org/officeDocument/2006/relationships/hyperlink" Target="https://replay.pokemonshowdown.com/smogtours-gen3ou-796729" TargetMode="External"/><Relationship Id="rId1084" Type="http://schemas.openxmlformats.org/officeDocument/2006/relationships/hyperlink" Target="https://replay.pokemonshowdown.com/smogtours-gen3ou-796738" TargetMode="External"/><Relationship Id="rId4110" Type="http://schemas.openxmlformats.org/officeDocument/2006/relationships/hyperlink" Target="https://replay.pokemonshowdown.com/smogtours-gen3ou-806113?p2" TargetMode="External"/><Relationship Id="rId1085" Type="http://schemas.openxmlformats.org/officeDocument/2006/relationships/hyperlink" Target="https://replay.pokemonshowdown.com/smogtours-gen3ou-796684" TargetMode="External"/><Relationship Id="rId1086" Type="http://schemas.openxmlformats.org/officeDocument/2006/relationships/hyperlink" Target="https://replay.pokemonshowdown.com/smogtours-gen3ou-796691" TargetMode="External"/><Relationship Id="rId4112" Type="http://schemas.openxmlformats.org/officeDocument/2006/relationships/hyperlink" Target="https://replay.pokemonshowdown.com/smogtours-gen3ou-806120" TargetMode="External"/><Relationship Id="rId1087" Type="http://schemas.openxmlformats.org/officeDocument/2006/relationships/hyperlink" Target="https://replay.pokemonshowdown.com/smogtours-gen3ou-796700" TargetMode="External"/><Relationship Id="rId4111" Type="http://schemas.openxmlformats.org/officeDocument/2006/relationships/hyperlink" Target="https://replay.pokemonshowdown.com/smogtours-gen3ou-806114" TargetMode="External"/><Relationship Id="rId1088" Type="http://schemas.openxmlformats.org/officeDocument/2006/relationships/hyperlink" Target="https://replay.pokemonshowdown.com/smogtours-gen3ou-796604" TargetMode="External"/><Relationship Id="rId4114" Type="http://schemas.openxmlformats.org/officeDocument/2006/relationships/hyperlink" Target="https://replay.pokemonshowdown.com/smogtours-gen3ou-806134" TargetMode="External"/><Relationship Id="rId1089" Type="http://schemas.openxmlformats.org/officeDocument/2006/relationships/hyperlink" Target="https://replay.pokemonshowdown.com/smogtours-gen3ou-796606" TargetMode="External"/><Relationship Id="rId4113" Type="http://schemas.openxmlformats.org/officeDocument/2006/relationships/hyperlink" Target="https://replay.pokemonshowdown.com/smogtours-gen3ou-806121" TargetMode="External"/><Relationship Id="rId4116" Type="http://schemas.openxmlformats.org/officeDocument/2006/relationships/hyperlink" Target="https://replay.pokemonshowdown.com/smogtours-gen3ou-806139" TargetMode="External"/><Relationship Id="rId4115" Type="http://schemas.openxmlformats.org/officeDocument/2006/relationships/hyperlink" Target="https://replay.pokemonshowdown.com/smogtours-gen3ou-806136" TargetMode="External"/><Relationship Id="rId4141" Type="http://schemas.openxmlformats.org/officeDocument/2006/relationships/hyperlink" Target="https://replay.pokemonshowdown.com/smogtours-gen3ou-806155" TargetMode="External"/><Relationship Id="rId4140" Type="http://schemas.openxmlformats.org/officeDocument/2006/relationships/hyperlink" Target="https://replay.pokemonshowdown.com/smogtours-gen3ou-806183" TargetMode="External"/><Relationship Id="rId4143" Type="http://schemas.openxmlformats.org/officeDocument/2006/relationships/hyperlink" Target="https://replay.pokemonshowdown.com/smogtours-gen3ou-806159" TargetMode="External"/><Relationship Id="rId4142" Type="http://schemas.openxmlformats.org/officeDocument/2006/relationships/hyperlink" Target="https://replay.pokemonshowdown.com/smogtours-gen3ou-806157" TargetMode="External"/><Relationship Id="rId4145" Type="http://schemas.openxmlformats.org/officeDocument/2006/relationships/hyperlink" Target="https://replay.pokemonshowdown.com/smogtours-gen3ou-806133" TargetMode="External"/><Relationship Id="rId4144" Type="http://schemas.openxmlformats.org/officeDocument/2006/relationships/hyperlink" Target="https://replay.pokemonshowdown.com/smogtours-gen3ou-806132" TargetMode="External"/><Relationship Id="rId4147" Type="http://schemas.openxmlformats.org/officeDocument/2006/relationships/hyperlink" Target="https://replay.pokemonshowdown.com/smogtours-gen3ou-806151" TargetMode="External"/><Relationship Id="rId4146" Type="http://schemas.openxmlformats.org/officeDocument/2006/relationships/hyperlink" Target="https://replay.pokemonshowdown.com/smogtours-gen3ou-806150" TargetMode="External"/><Relationship Id="rId4149" Type="http://schemas.openxmlformats.org/officeDocument/2006/relationships/hyperlink" Target="https://replay.pokemonshowdown.com/smogtours-gen3ou-806194" TargetMode="External"/><Relationship Id="rId4148" Type="http://schemas.openxmlformats.org/officeDocument/2006/relationships/hyperlink" Target="https://replay.pokemonshowdown.com/smogtours-gen3ou-806152" TargetMode="External"/><Relationship Id="rId4139" Type="http://schemas.openxmlformats.org/officeDocument/2006/relationships/hyperlink" Target="https://replay.pokemonshowdown.com/smogtours-gen3ou-806182" TargetMode="External"/><Relationship Id="rId4130" Type="http://schemas.openxmlformats.org/officeDocument/2006/relationships/hyperlink" Target="https://replay.pokemonshowdown.com/smogtours-gen3ou-806163" TargetMode="External"/><Relationship Id="rId4132" Type="http://schemas.openxmlformats.org/officeDocument/2006/relationships/hyperlink" Target="https://replay.pokemonshowdown.com/smogtours-gen3ou-806200" TargetMode="External"/><Relationship Id="rId4131" Type="http://schemas.openxmlformats.org/officeDocument/2006/relationships/hyperlink" Target="https://replay.pokemonshowdown.com/smogtours-gen3ou-806199" TargetMode="External"/><Relationship Id="rId4134" Type="http://schemas.openxmlformats.org/officeDocument/2006/relationships/hyperlink" Target="https://replay.pokemonshowdown.com/smogtours-gen3ou-806187" TargetMode="External"/><Relationship Id="rId4133" Type="http://schemas.openxmlformats.org/officeDocument/2006/relationships/hyperlink" Target="https://replay.pokemonshowdown.com/smogtours-gen3ou-806186" TargetMode="External"/><Relationship Id="rId4136" Type="http://schemas.openxmlformats.org/officeDocument/2006/relationships/hyperlink" Target="https://replay.pokemonshowdown.com/smogtours-gen3ou-806160" TargetMode="External"/><Relationship Id="rId4135" Type="http://schemas.openxmlformats.org/officeDocument/2006/relationships/hyperlink" Target="https://replay.pokemonshowdown.com/smogtours-gen3ou-806189" TargetMode="External"/><Relationship Id="rId4138" Type="http://schemas.openxmlformats.org/officeDocument/2006/relationships/hyperlink" Target="https://replay.pokemonshowdown.com/smogtours-gen3ou-806166" TargetMode="External"/><Relationship Id="rId4137" Type="http://schemas.openxmlformats.org/officeDocument/2006/relationships/hyperlink" Target="https://replay.pokemonshowdown.com/smogtours-gen3ou-806162" TargetMode="External"/><Relationship Id="rId1972" Type="http://schemas.openxmlformats.org/officeDocument/2006/relationships/hyperlink" Target="https://replay.pokemonshowdown.com/smogtours-gen3ou-798986" TargetMode="External"/><Relationship Id="rId1973" Type="http://schemas.openxmlformats.org/officeDocument/2006/relationships/hyperlink" Target="https://replay.pokemonshowdown.com/smogtours-gen3ou-798989" TargetMode="External"/><Relationship Id="rId1974" Type="http://schemas.openxmlformats.org/officeDocument/2006/relationships/hyperlink" Target="https://replay.pokemonshowdown.com/smogtours-gen3ou-799077" TargetMode="External"/><Relationship Id="rId1975" Type="http://schemas.openxmlformats.org/officeDocument/2006/relationships/hyperlink" Target="https://replay.pokemonshowdown.com/smogtours-gen3ou-799079" TargetMode="External"/><Relationship Id="rId1976" Type="http://schemas.openxmlformats.org/officeDocument/2006/relationships/hyperlink" Target="https://replay.pokemonshowdown.com/smogtours-gen3ou-798731" TargetMode="External"/><Relationship Id="rId1977" Type="http://schemas.openxmlformats.org/officeDocument/2006/relationships/hyperlink" Target="https://replay.pokemonshowdown.com/smogtours-gen3ou-798751" TargetMode="External"/><Relationship Id="rId1978" Type="http://schemas.openxmlformats.org/officeDocument/2006/relationships/hyperlink" Target="https://replay.pokemonshowdown.com/smogtours-gen3ou-798070" TargetMode="External"/><Relationship Id="rId1979" Type="http://schemas.openxmlformats.org/officeDocument/2006/relationships/hyperlink" Target="https://replay.pokemonshowdown.com/smogtours-gen3ou-798076" TargetMode="External"/><Relationship Id="rId1970" Type="http://schemas.openxmlformats.org/officeDocument/2006/relationships/hyperlink" Target="https://replay.pokemonshowdown.com/smogtours-gen3ou-798710" TargetMode="External"/><Relationship Id="rId1971" Type="http://schemas.openxmlformats.org/officeDocument/2006/relationships/hyperlink" Target="https://replay.pokemonshowdown.com/smogtours-gen3ou-798716" TargetMode="External"/><Relationship Id="rId1961" Type="http://schemas.openxmlformats.org/officeDocument/2006/relationships/hyperlink" Target="https://replay.pokemonshowdown.com/smogtours-gen3ou-799083" TargetMode="External"/><Relationship Id="rId1962" Type="http://schemas.openxmlformats.org/officeDocument/2006/relationships/hyperlink" Target="https://replay.pokemonshowdown.com/smogtours-gen3ou-799084" TargetMode="External"/><Relationship Id="rId1963" Type="http://schemas.openxmlformats.org/officeDocument/2006/relationships/hyperlink" Target="https://replay.pokemonshowdown.com/smogtours-gen3ou-798956" TargetMode="External"/><Relationship Id="rId1964" Type="http://schemas.openxmlformats.org/officeDocument/2006/relationships/hyperlink" Target="https://replay.pokemonshowdown.com/smogtours-gen3ou-798959?p2" TargetMode="External"/><Relationship Id="rId1965" Type="http://schemas.openxmlformats.org/officeDocument/2006/relationships/hyperlink" Target="https://replay.pokemonshowdown.com/smogtours-gen3ou-798979" TargetMode="External"/><Relationship Id="rId1966" Type="http://schemas.openxmlformats.org/officeDocument/2006/relationships/hyperlink" Target="https://replay.pokemonshowdown.com/smogtours-gen3ou-798991" TargetMode="External"/><Relationship Id="rId1967" Type="http://schemas.openxmlformats.org/officeDocument/2006/relationships/hyperlink" Target="https://replay.pokemonshowdown.com/smogtours-gen3ou-798467" TargetMode="External"/><Relationship Id="rId1968" Type="http://schemas.openxmlformats.org/officeDocument/2006/relationships/hyperlink" Target="https://replay.pokemonshowdown.com/smogtours-gen3ou-798473" TargetMode="External"/><Relationship Id="rId1969" Type="http://schemas.openxmlformats.org/officeDocument/2006/relationships/hyperlink" Target="https://replay.pokemonshowdown.com/smogtours-gen3ou-798706" TargetMode="External"/><Relationship Id="rId1960" Type="http://schemas.openxmlformats.org/officeDocument/2006/relationships/hyperlink" Target="https://replay.pokemonshowdown.com/smogtours-gen3ou-798929" TargetMode="External"/><Relationship Id="rId1994" Type="http://schemas.openxmlformats.org/officeDocument/2006/relationships/hyperlink" Target="https://replay.pokemonshowdown.com/smogtours-gen3ou-798683" TargetMode="External"/><Relationship Id="rId1995" Type="http://schemas.openxmlformats.org/officeDocument/2006/relationships/hyperlink" Target="https://replay.pokemonshowdown.com/smogtours-gen3ou-797419" TargetMode="External"/><Relationship Id="rId1996" Type="http://schemas.openxmlformats.org/officeDocument/2006/relationships/hyperlink" Target="https://replay.pokemonshowdown.com/smogtours-gen3ou-797423" TargetMode="External"/><Relationship Id="rId1997" Type="http://schemas.openxmlformats.org/officeDocument/2006/relationships/hyperlink" Target="https://replay.pokemonshowdown.com/smogtours-gen3ou-799047" TargetMode="External"/><Relationship Id="rId1998" Type="http://schemas.openxmlformats.org/officeDocument/2006/relationships/hyperlink" Target="https://replay.pokemonshowdown.com/smogtours-gen3ou-799050" TargetMode="External"/><Relationship Id="rId1999" Type="http://schemas.openxmlformats.org/officeDocument/2006/relationships/hyperlink" Target="https://replay.pokemonshowdown.com/smogtours-gen3ou-798585" TargetMode="External"/><Relationship Id="rId1990" Type="http://schemas.openxmlformats.org/officeDocument/2006/relationships/hyperlink" Target="https://replay.pokemonshowdown.com/gen3ou-2221518195-h58754bxhi7v41th1css0musepaq3d6pw" TargetMode="External"/><Relationship Id="rId1991" Type="http://schemas.openxmlformats.org/officeDocument/2006/relationships/hyperlink" Target="https://replay.pokemonshowdown.com/gen3ou-2221527659-gab7w67wruinn9wq7vpzunbwoeev8qfpw" TargetMode="External"/><Relationship Id="rId1992" Type="http://schemas.openxmlformats.org/officeDocument/2006/relationships/hyperlink" Target="https://replay.pokemonshowdown.com/smogtours-gen3ou-798670" TargetMode="External"/><Relationship Id="rId1993" Type="http://schemas.openxmlformats.org/officeDocument/2006/relationships/hyperlink" Target="https://replay.pokemonshowdown.com/smogtours-gen3ou-798679" TargetMode="External"/><Relationship Id="rId1983" Type="http://schemas.openxmlformats.org/officeDocument/2006/relationships/hyperlink" Target="https://replay.pokemonshowdown.com/smogtours-gen3ou-797892" TargetMode="External"/><Relationship Id="rId1984" Type="http://schemas.openxmlformats.org/officeDocument/2006/relationships/hyperlink" Target="https://replay.pokemonshowdown.com/smogtours-gen3ou-797893" TargetMode="External"/><Relationship Id="rId1985" Type="http://schemas.openxmlformats.org/officeDocument/2006/relationships/hyperlink" Target="https://replay.pokemonshowdown.com/smogtours-gen3ou-797895" TargetMode="External"/><Relationship Id="rId1986" Type="http://schemas.openxmlformats.org/officeDocument/2006/relationships/hyperlink" Target="https://replay.pokemonshowdown.com/smogtours-gen3ou-798114" TargetMode="External"/><Relationship Id="rId1987" Type="http://schemas.openxmlformats.org/officeDocument/2006/relationships/hyperlink" Target="https://replay.pokemonshowdown.com/smogtours-gen3ou-798120" TargetMode="External"/><Relationship Id="rId1988" Type="http://schemas.openxmlformats.org/officeDocument/2006/relationships/hyperlink" Target="https://replay.pokemonshowdown.com/smogtours-gen3ou-798551" TargetMode="External"/><Relationship Id="rId1989" Type="http://schemas.openxmlformats.org/officeDocument/2006/relationships/hyperlink" Target="https://replay.pokemonshowdown.com/smogtours-gen3ou-798557" TargetMode="External"/><Relationship Id="rId1980" Type="http://schemas.openxmlformats.org/officeDocument/2006/relationships/hyperlink" Target="https://replay.pokemonshowdown.com/smogtours-gen3ou-798312?p2" TargetMode="External"/><Relationship Id="rId1981" Type="http://schemas.openxmlformats.org/officeDocument/2006/relationships/hyperlink" Target="https://replay.pokemonshowdown.com/smogtours-gen3ou-798321?p2" TargetMode="External"/><Relationship Id="rId1982" Type="http://schemas.openxmlformats.org/officeDocument/2006/relationships/hyperlink" Target="https://replay.pokemonshowdown.com/smogtours-gen3ou-798330?p2" TargetMode="External"/><Relationship Id="rId1930" Type="http://schemas.openxmlformats.org/officeDocument/2006/relationships/hyperlink" Target="https://replay.pokemonshowdown.com/smogtours-gen3ou-798792" TargetMode="External"/><Relationship Id="rId1931" Type="http://schemas.openxmlformats.org/officeDocument/2006/relationships/hyperlink" Target="https://replay.pokemonshowdown.com/smogtours-gen3ou-798796" TargetMode="External"/><Relationship Id="rId1932" Type="http://schemas.openxmlformats.org/officeDocument/2006/relationships/hyperlink" Target="https://replay.pokemonshowdown.com/smogtours-gen3ou-798917?p2" TargetMode="External"/><Relationship Id="rId1933" Type="http://schemas.openxmlformats.org/officeDocument/2006/relationships/hyperlink" Target="https://replay.pokemonshowdown.com/smogtours-gen3ou-798922?p2" TargetMode="External"/><Relationship Id="rId1934" Type="http://schemas.openxmlformats.org/officeDocument/2006/relationships/hyperlink" Target="https://replay.pokemonshowdown.com/smogtours-gen3ou-798631?p2" TargetMode="External"/><Relationship Id="rId1935" Type="http://schemas.openxmlformats.org/officeDocument/2006/relationships/hyperlink" Target="https://replay.pokemonshowdown.com/smogtours-gen3ou-798642" TargetMode="External"/><Relationship Id="rId1936" Type="http://schemas.openxmlformats.org/officeDocument/2006/relationships/hyperlink" Target="https://replay.pokemonshowdown.com/smogtours-gen3ou-798636?p2" TargetMode="External"/><Relationship Id="rId1937" Type="http://schemas.openxmlformats.org/officeDocument/2006/relationships/hyperlink" Target="https://replay.pokemonshowdown.com/smogtours-gen3ou-798915?p2" TargetMode="External"/><Relationship Id="rId1938" Type="http://schemas.openxmlformats.org/officeDocument/2006/relationships/hyperlink" Target="https://replay.pokemonshowdown.com/smogtours-gen3ou-798920" TargetMode="External"/><Relationship Id="rId1939" Type="http://schemas.openxmlformats.org/officeDocument/2006/relationships/hyperlink" Target="https://replay.pokemonshowdown.com/smogtours-gen3ou-798924" TargetMode="External"/><Relationship Id="rId1920" Type="http://schemas.openxmlformats.org/officeDocument/2006/relationships/hyperlink" Target="https://replay.pokemonshowdown.com/smogtours-gen3ou-798530" TargetMode="External"/><Relationship Id="rId1921" Type="http://schemas.openxmlformats.org/officeDocument/2006/relationships/hyperlink" Target="https://replay.pokemonshowdown.com/smogtours-gen3ou-798538" TargetMode="External"/><Relationship Id="rId1922" Type="http://schemas.openxmlformats.org/officeDocument/2006/relationships/hyperlink" Target="https://replay.pokemonshowdown.com/smogtours-gen3ou-798545" TargetMode="External"/><Relationship Id="rId1923" Type="http://schemas.openxmlformats.org/officeDocument/2006/relationships/hyperlink" Target="https://replay.pokemonshowdown.com/smogtours-gen3ou-798307" TargetMode="External"/><Relationship Id="rId1924" Type="http://schemas.openxmlformats.org/officeDocument/2006/relationships/hyperlink" Target="https://replay.pokemonshowdown.com/smogtours-gen3ou-798311" TargetMode="External"/><Relationship Id="rId1925" Type="http://schemas.openxmlformats.org/officeDocument/2006/relationships/hyperlink" Target="https://replay.pokemonshowdown.com/smogtours-gen3ou-798782" TargetMode="External"/><Relationship Id="rId1926" Type="http://schemas.openxmlformats.org/officeDocument/2006/relationships/hyperlink" Target="https://replay.pokemonshowdown.com/smogtours-gen3ou-798785" TargetMode="External"/><Relationship Id="rId1927" Type="http://schemas.openxmlformats.org/officeDocument/2006/relationships/hyperlink" Target="https://replay.pokemonshowdown.com/smogtours-gen3ou-798790" TargetMode="External"/><Relationship Id="rId1928" Type="http://schemas.openxmlformats.org/officeDocument/2006/relationships/hyperlink" Target="https://replay.pokemonshowdown.com/smogtours-gen3ou-798553" TargetMode="External"/><Relationship Id="rId1929" Type="http://schemas.openxmlformats.org/officeDocument/2006/relationships/hyperlink" Target="https://replay.pokemonshowdown.com/smogtours-gen3ou-798550" TargetMode="External"/><Relationship Id="rId4190" Type="http://schemas.openxmlformats.org/officeDocument/2006/relationships/hyperlink" Target="https://replay.pokemonshowdown.com/smogtours-gen3ou-806357" TargetMode="External"/><Relationship Id="rId4192" Type="http://schemas.openxmlformats.org/officeDocument/2006/relationships/hyperlink" Target="https://replay.pokemonshowdown.com/smogtours-gen3ou-806330" TargetMode="External"/><Relationship Id="rId4191" Type="http://schemas.openxmlformats.org/officeDocument/2006/relationships/hyperlink" Target="https://replay.pokemonshowdown.com/smogtours-gen3ou-806363" TargetMode="External"/><Relationship Id="rId4194" Type="http://schemas.openxmlformats.org/officeDocument/2006/relationships/hyperlink" Target="https://replay.pokemonshowdown.com/smogtours-gen3ou-806333" TargetMode="External"/><Relationship Id="rId4193" Type="http://schemas.openxmlformats.org/officeDocument/2006/relationships/hyperlink" Target="https://replay.pokemonshowdown.com/smogtours-gen3ou-806331" TargetMode="External"/><Relationship Id="rId4195" Type="http://schemas.openxmlformats.org/officeDocument/2006/relationships/drawing" Target="../drawings/drawing13.xml"/><Relationship Id="rId1950" Type="http://schemas.openxmlformats.org/officeDocument/2006/relationships/hyperlink" Target="https://replay.pokemonshowdown.com/smogtours-gen3ou-798952" TargetMode="External"/><Relationship Id="rId1951" Type="http://schemas.openxmlformats.org/officeDocument/2006/relationships/hyperlink" Target="https://replay.pokemonshowdown.com/smogtours-gen3ou-798963" TargetMode="External"/><Relationship Id="rId1952" Type="http://schemas.openxmlformats.org/officeDocument/2006/relationships/hyperlink" Target="https://replay.pokemonshowdown.com/smogtours-gen3ou-798998" TargetMode="External"/><Relationship Id="rId1953" Type="http://schemas.openxmlformats.org/officeDocument/2006/relationships/hyperlink" Target="https://replay.pokemonshowdown.com/smogtours-gen3ou-799009" TargetMode="External"/><Relationship Id="rId1954" Type="http://schemas.openxmlformats.org/officeDocument/2006/relationships/hyperlink" Target="https://replay.pokemonshowdown.com/smogtours-gen3ou-799044" TargetMode="External"/><Relationship Id="rId1955" Type="http://schemas.openxmlformats.org/officeDocument/2006/relationships/hyperlink" Target="https://replay.pokemonshowdown.com/smogtours-gen3ou-799046" TargetMode="External"/><Relationship Id="rId1956" Type="http://schemas.openxmlformats.org/officeDocument/2006/relationships/hyperlink" Target="https://replay.pokemonshowdown.com/smogtours-gen3ou-799048" TargetMode="External"/><Relationship Id="rId1957" Type="http://schemas.openxmlformats.org/officeDocument/2006/relationships/hyperlink" Target="https://replay.pokemonshowdown.com/smogtours-gen3ou-799048" TargetMode="External"/><Relationship Id="rId1958" Type="http://schemas.openxmlformats.org/officeDocument/2006/relationships/hyperlink" Target="https://replay.pokemonshowdown.com/smogtours-gen3ou-798942" TargetMode="External"/><Relationship Id="rId1959" Type="http://schemas.openxmlformats.org/officeDocument/2006/relationships/hyperlink" Target="https://replay.pokemonshowdown.com/smogtours-gen3ou-798937" TargetMode="External"/><Relationship Id="rId1940" Type="http://schemas.openxmlformats.org/officeDocument/2006/relationships/hyperlink" Target="https://replay.pokemonshowdown.com/smogtours-gen3ou-798903" TargetMode="External"/><Relationship Id="rId1941" Type="http://schemas.openxmlformats.org/officeDocument/2006/relationships/hyperlink" Target="https://replay.pokemonshowdown.com/smogtours-gen3ou-798904" TargetMode="External"/><Relationship Id="rId1942" Type="http://schemas.openxmlformats.org/officeDocument/2006/relationships/hyperlink" Target="https://replay.pokemonshowdown.com/smogtours-gen3ou-798213" TargetMode="External"/><Relationship Id="rId1943" Type="http://schemas.openxmlformats.org/officeDocument/2006/relationships/hyperlink" Target="https://replay.pokemonshowdown.com/smogtours-gen3ou-798231" TargetMode="External"/><Relationship Id="rId1944" Type="http://schemas.openxmlformats.org/officeDocument/2006/relationships/hyperlink" Target="https://replay.pokemonshowdown.com/smogtours-gen3ou-798236" TargetMode="External"/><Relationship Id="rId1945" Type="http://schemas.openxmlformats.org/officeDocument/2006/relationships/hyperlink" Target="https://replay.pokemonshowdown.com/smogtours-gen3ou-798840" TargetMode="External"/><Relationship Id="rId1946" Type="http://schemas.openxmlformats.org/officeDocument/2006/relationships/hyperlink" Target="https://replay.pokemonshowdown.com/smogtours-gen3ou-798842" TargetMode="External"/><Relationship Id="rId1947" Type="http://schemas.openxmlformats.org/officeDocument/2006/relationships/hyperlink" Target="https://replay.pokemonshowdown.com/smogtours-gen3ou-798884" TargetMode="External"/><Relationship Id="rId1948" Type="http://schemas.openxmlformats.org/officeDocument/2006/relationships/hyperlink" Target="https://replay.pokemonshowdown.com/smogtours-gen3ou-798885" TargetMode="External"/><Relationship Id="rId1949" Type="http://schemas.openxmlformats.org/officeDocument/2006/relationships/hyperlink" Target="https://replay.pokemonshowdown.com/smogtours-gen3ou-798886" TargetMode="External"/><Relationship Id="rId2423" Type="http://schemas.openxmlformats.org/officeDocument/2006/relationships/hyperlink" Target="https://replay.pokemonshowdown.com/smogtours-gen3ou-799606" TargetMode="External"/><Relationship Id="rId3755" Type="http://schemas.openxmlformats.org/officeDocument/2006/relationships/hyperlink" Target="https://replay.pokemonshowdown.com/smogtours-gen3ou-803654" TargetMode="External"/><Relationship Id="rId2424" Type="http://schemas.openxmlformats.org/officeDocument/2006/relationships/hyperlink" Target="https://replay.pokemonshowdown.com/smogtours-gen3ou-799608" TargetMode="External"/><Relationship Id="rId3754" Type="http://schemas.openxmlformats.org/officeDocument/2006/relationships/hyperlink" Target="https://replay.pokemonshowdown.com/smogtours-gen3ou-803653" TargetMode="External"/><Relationship Id="rId2425" Type="http://schemas.openxmlformats.org/officeDocument/2006/relationships/hyperlink" Target="https://replay.pokemonshowdown.com/smogtours-gen3ou-799617" TargetMode="External"/><Relationship Id="rId3757" Type="http://schemas.openxmlformats.org/officeDocument/2006/relationships/hyperlink" Target="https://replay.pokemonshowdown.com/smogtours-gen3ou-803586" TargetMode="External"/><Relationship Id="rId2426" Type="http://schemas.openxmlformats.org/officeDocument/2006/relationships/hyperlink" Target="https://replay.pokemonshowdown.com/smogtours-gen3ou-799808" TargetMode="External"/><Relationship Id="rId3756" Type="http://schemas.openxmlformats.org/officeDocument/2006/relationships/hyperlink" Target="https://replay.pokemonshowdown.com/smogtours-gen3ou-803584" TargetMode="External"/><Relationship Id="rId2427" Type="http://schemas.openxmlformats.org/officeDocument/2006/relationships/hyperlink" Target="https://replay.pokemonshowdown.com/smogtours-gen3ou-799809" TargetMode="External"/><Relationship Id="rId3759" Type="http://schemas.openxmlformats.org/officeDocument/2006/relationships/hyperlink" Target="https://replay.pokemonshowdown.com/smogtours-gen3ou-804194" TargetMode="External"/><Relationship Id="rId2428" Type="http://schemas.openxmlformats.org/officeDocument/2006/relationships/hyperlink" Target="https://replay.pokemonshowdown.com/smogtours-gen3ou-800399" TargetMode="External"/><Relationship Id="rId3758" Type="http://schemas.openxmlformats.org/officeDocument/2006/relationships/hyperlink" Target="https://replay.pokemonshowdown.com/smogtours-gen3ou-804192" TargetMode="External"/><Relationship Id="rId2429" Type="http://schemas.openxmlformats.org/officeDocument/2006/relationships/hyperlink" Target="https://replay.pokemonshowdown.com/smogtours-gen3ou-800447" TargetMode="External"/><Relationship Id="rId509" Type="http://schemas.openxmlformats.org/officeDocument/2006/relationships/hyperlink" Target="https://replay.pokemonshowdown.com/smogtours-gen3ou-794968" TargetMode="External"/><Relationship Id="rId508" Type="http://schemas.openxmlformats.org/officeDocument/2006/relationships/hyperlink" Target="https://replay.pokemonshowdown.com/smogtours-gen3ou-794955" TargetMode="External"/><Relationship Id="rId503" Type="http://schemas.openxmlformats.org/officeDocument/2006/relationships/hyperlink" Target="https://replay.pokemonshowdown.com/smogtours-gen3ou-795093" TargetMode="External"/><Relationship Id="rId502" Type="http://schemas.openxmlformats.org/officeDocument/2006/relationships/hyperlink" Target="https://replay.pokemonshowdown.com/smogtours-gen3ou-795088" TargetMode="External"/><Relationship Id="rId501" Type="http://schemas.openxmlformats.org/officeDocument/2006/relationships/hyperlink" Target="https://replay.pokemonshowdown.com/smogtours-gen3ou-794907" TargetMode="External"/><Relationship Id="rId500" Type="http://schemas.openxmlformats.org/officeDocument/2006/relationships/hyperlink" Target="https://replay.pokemonshowdown.com/smogtours-gen3ou-794890" TargetMode="External"/><Relationship Id="rId507" Type="http://schemas.openxmlformats.org/officeDocument/2006/relationships/hyperlink" Target="https://replay.pokemonshowdown.com/smogtours-gen3ou-795005?p2" TargetMode="External"/><Relationship Id="rId506" Type="http://schemas.openxmlformats.org/officeDocument/2006/relationships/hyperlink" Target="https://replay.pokemonshowdown.com/smogtours-gen3ou-795001?p2" TargetMode="External"/><Relationship Id="rId505" Type="http://schemas.openxmlformats.org/officeDocument/2006/relationships/hyperlink" Target="https://replay.pokemonshowdown.com/smogtours-gen3ou-794996" TargetMode="External"/><Relationship Id="rId504" Type="http://schemas.openxmlformats.org/officeDocument/2006/relationships/hyperlink" Target="https://replay.pokemonshowdown.com/smogtours-gen3ou-794991?p2" TargetMode="External"/><Relationship Id="rId3751" Type="http://schemas.openxmlformats.org/officeDocument/2006/relationships/hyperlink" Target="https://replay.pokemonshowdown.com/smogtours-gen3ou-804695" TargetMode="External"/><Relationship Id="rId2420" Type="http://schemas.openxmlformats.org/officeDocument/2006/relationships/hyperlink" Target="https://replay.pokemonshowdown.com/smogtours-gen3ou-799875" TargetMode="External"/><Relationship Id="rId3750" Type="http://schemas.openxmlformats.org/officeDocument/2006/relationships/hyperlink" Target="https://replay.pokemonshowdown.com/smogtours-gen3ou-804084" TargetMode="External"/><Relationship Id="rId2421" Type="http://schemas.openxmlformats.org/officeDocument/2006/relationships/hyperlink" Target="https://replay.pokemonshowdown.com/smogtours-gen3ou-799884" TargetMode="External"/><Relationship Id="rId3753" Type="http://schemas.openxmlformats.org/officeDocument/2006/relationships/hyperlink" Target="https://replay.pokemonshowdown.com/smogtours-gen3ou-803651" TargetMode="External"/><Relationship Id="rId2422" Type="http://schemas.openxmlformats.org/officeDocument/2006/relationships/hyperlink" Target="https://replay.pokemonshowdown.com/smogtours-gen3ou-799878" TargetMode="External"/><Relationship Id="rId3752" Type="http://schemas.openxmlformats.org/officeDocument/2006/relationships/hyperlink" Target="https://replay.pokemonshowdown.com/smogtours-gen3ou-804696" TargetMode="External"/><Relationship Id="rId2412" Type="http://schemas.openxmlformats.org/officeDocument/2006/relationships/hyperlink" Target="https://replay.pokemonshowdown.com/smogtours-gen3ou-799771" TargetMode="External"/><Relationship Id="rId3744" Type="http://schemas.openxmlformats.org/officeDocument/2006/relationships/hyperlink" Target="https://replay.pokemonshowdown.com/smogtours-gen3ou-803975" TargetMode="External"/><Relationship Id="rId2413" Type="http://schemas.openxmlformats.org/officeDocument/2006/relationships/hyperlink" Target="https://replay.pokemonshowdown.com/smogtours-gen3ou-799772" TargetMode="External"/><Relationship Id="rId3743" Type="http://schemas.openxmlformats.org/officeDocument/2006/relationships/hyperlink" Target="https://replay.pokemonshowdown.com/smogtours-gen3ou-803967" TargetMode="External"/><Relationship Id="rId2414" Type="http://schemas.openxmlformats.org/officeDocument/2006/relationships/hyperlink" Target="https://replay.pokemonshowdown.com/smogtours-gen3ou-800211" TargetMode="External"/><Relationship Id="rId3746" Type="http://schemas.openxmlformats.org/officeDocument/2006/relationships/hyperlink" Target="https://replay.pokemonshowdown.com/smogtours-gen3ou-804388" TargetMode="External"/><Relationship Id="rId2415" Type="http://schemas.openxmlformats.org/officeDocument/2006/relationships/hyperlink" Target="https://replay.pokemonshowdown.com/smogtours-gen3ou-800222" TargetMode="External"/><Relationship Id="rId3745" Type="http://schemas.openxmlformats.org/officeDocument/2006/relationships/hyperlink" Target="https://replay.pokemonshowdown.com/smogtours-gen3ou-803989" TargetMode="External"/><Relationship Id="rId2416" Type="http://schemas.openxmlformats.org/officeDocument/2006/relationships/hyperlink" Target="https://replay.pokemonshowdown.com/smogtours-gen3ou-800404" TargetMode="External"/><Relationship Id="rId3748" Type="http://schemas.openxmlformats.org/officeDocument/2006/relationships/hyperlink" Target="https://replay.pokemonshowdown.com/smogtours-gen3ou-804393?p2" TargetMode="External"/><Relationship Id="rId2417" Type="http://schemas.openxmlformats.org/officeDocument/2006/relationships/hyperlink" Target="https://replay.pokemonshowdown.com/smogtours-gen3ou-800427" TargetMode="External"/><Relationship Id="rId3747" Type="http://schemas.openxmlformats.org/officeDocument/2006/relationships/hyperlink" Target="https://replay.pokemonshowdown.com/smogtours-gen3ou-804390" TargetMode="External"/><Relationship Id="rId2418" Type="http://schemas.openxmlformats.org/officeDocument/2006/relationships/hyperlink" Target="https://replay.pokemonshowdown.com/smogtours-gen3ou-799365" TargetMode="External"/><Relationship Id="rId2419" Type="http://schemas.openxmlformats.org/officeDocument/2006/relationships/hyperlink" Target="https://replay.pokemonshowdown.com/smogtours-gen3ou-799370" TargetMode="External"/><Relationship Id="rId3749" Type="http://schemas.openxmlformats.org/officeDocument/2006/relationships/hyperlink" Target="https://replay.pokemonshowdown.com/smogtours-gen3ou-804081" TargetMode="External"/><Relationship Id="rId3740" Type="http://schemas.openxmlformats.org/officeDocument/2006/relationships/hyperlink" Target="https://replay.pokemonshowdown.com/smogtours-gen3ou-804063" TargetMode="External"/><Relationship Id="rId2410" Type="http://schemas.openxmlformats.org/officeDocument/2006/relationships/hyperlink" Target="https://replay.pokemonshowdown.com/smogtours-gen3ou-799602" TargetMode="External"/><Relationship Id="rId3742" Type="http://schemas.openxmlformats.org/officeDocument/2006/relationships/hyperlink" Target="https://replay.pokemonshowdown.com/smogtours-gen3ou-804307" TargetMode="External"/><Relationship Id="rId2411" Type="http://schemas.openxmlformats.org/officeDocument/2006/relationships/hyperlink" Target="https://replay.pokemonshowdown.com/smogtours-gen3ou-799770" TargetMode="External"/><Relationship Id="rId3741" Type="http://schemas.openxmlformats.org/officeDocument/2006/relationships/hyperlink" Target="https://replay.pokemonshowdown.com/smogtours-gen3ou-804302" TargetMode="External"/><Relationship Id="rId1114" Type="http://schemas.openxmlformats.org/officeDocument/2006/relationships/hyperlink" Target="https://replay.pokemonshowdown.com/smogtours-gen3ou-796204" TargetMode="External"/><Relationship Id="rId2445" Type="http://schemas.openxmlformats.org/officeDocument/2006/relationships/hyperlink" Target="https://replay.pokemonshowdown.com/smogtours-gen3ou-799399" TargetMode="External"/><Relationship Id="rId3777" Type="http://schemas.openxmlformats.org/officeDocument/2006/relationships/hyperlink" Target="https://replay.pokemonshowdown.com/smogtours-gen3ou-803757" TargetMode="External"/><Relationship Id="rId1115" Type="http://schemas.openxmlformats.org/officeDocument/2006/relationships/hyperlink" Target="https://replay.pokemonshowdown.com/smogtours-gen3ou-796193" TargetMode="External"/><Relationship Id="rId2446" Type="http://schemas.openxmlformats.org/officeDocument/2006/relationships/hyperlink" Target="https://replay.pokemonshowdown.com/smogtours-gen3ou-799413" TargetMode="External"/><Relationship Id="rId3776" Type="http://schemas.openxmlformats.org/officeDocument/2006/relationships/hyperlink" Target="https://replay.pokemonshowdown.com/smogtours-gen3ou-803752" TargetMode="External"/><Relationship Id="rId1116" Type="http://schemas.openxmlformats.org/officeDocument/2006/relationships/hyperlink" Target="https://replay.pokemonshowdown.com/smogtours-gen3ou-796198" TargetMode="External"/><Relationship Id="rId2447" Type="http://schemas.openxmlformats.org/officeDocument/2006/relationships/hyperlink" Target="https://replay.pokemonshowdown.com/smogtours-gen3ou-799414" TargetMode="External"/><Relationship Id="rId3779" Type="http://schemas.openxmlformats.org/officeDocument/2006/relationships/hyperlink" Target="https://replay.pokemonshowdown.com/smogtours-gen3ou-804162" TargetMode="External"/><Relationship Id="rId1117" Type="http://schemas.openxmlformats.org/officeDocument/2006/relationships/hyperlink" Target="https://replay.pokemonshowdown.com/smogtours-gen3ou-796737" TargetMode="External"/><Relationship Id="rId2448" Type="http://schemas.openxmlformats.org/officeDocument/2006/relationships/hyperlink" Target="https://replay.pokemonshowdown.com/smogtours-gen3ou-799917" TargetMode="External"/><Relationship Id="rId3778" Type="http://schemas.openxmlformats.org/officeDocument/2006/relationships/hyperlink" Target="https://replay.pokemonshowdown.com/smogtours-gen3ou-803760" TargetMode="External"/><Relationship Id="rId1118" Type="http://schemas.openxmlformats.org/officeDocument/2006/relationships/hyperlink" Target="https://replay.pokemonshowdown.com/smogtours-gen3ou-796742" TargetMode="External"/><Relationship Id="rId2449" Type="http://schemas.openxmlformats.org/officeDocument/2006/relationships/hyperlink" Target="https://replay.pokemonshowdown.com/smogtours-gen3ou-799928" TargetMode="External"/><Relationship Id="rId1119" Type="http://schemas.openxmlformats.org/officeDocument/2006/relationships/hyperlink" Target="https://replay.pokemonshowdown.com/smogtours-gen3ou-796746" TargetMode="External"/><Relationship Id="rId525" Type="http://schemas.openxmlformats.org/officeDocument/2006/relationships/hyperlink" Target="https://replay.pokemonshowdown.com/smogtours-gen3ou-794985" TargetMode="External"/><Relationship Id="rId524" Type="http://schemas.openxmlformats.org/officeDocument/2006/relationships/hyperlink" Target="https://replay.pokemonshowdown.com/smogtours-gen3ou-794977" TargetMode="External"/><Relationship Id="rId523" Type="http://schemas.openxmlformats.org/officeDocument/2006/relationships/hyperlink" Target="https://replay.pokemonshowdown.com/smogtours-gen3ou-794970" TargetMode="External"/><Relationship Id="rId522" Type="http://schemas.openxmlformats.org/officeDocument/2006/relationships/hyperlink" Target="https://replay.pokemonshowdown.com/smogtours-gen3ou-794843" TargetMode="External"/><Relationship Id="rId529" Type="http://schemas.openxmlformats.org/officeDocument/2006/relationships/hyperlink" Target="https://replay.pokemonshowdown.com/smogtours-gen3ou-794772" TargetMode="External"/><Relationship Id="rId528" Type="http://schemas.openxmlformats.org/officeDocument/2006/relationships/hyperlink" Target="https://replay.pokemonshowdown.com/smogtours-gen3ou-794531" TargetMode="External"/><Relationship Id="rId527" Type="http://schemas.openxmlformats.org/officeDocument/2006/relationships/hyperlink" Target="https://replay.pokemonshowdown.com/smogtours-gen3ou-794530" TargetMode="External"/><Relationship Id="rId526" Type="http://schemas.openxmlformats.org/officeDocument/2006/relationships/hyperlink" Target="https://replay.pokemonshowdown.com/smogtours-gen3ou-794529" TargetMode="External"/><Relationship Id="rId3771" Type="http://schemas.openxmlformats.org/officeDocument/2006/relationships/hyperlink" Target="https://replay.pokemonshowdown.com/smogtours-gen3ou-803769" TargetMode="External"/><Relationship Id="rId2440" Type="http://schemas.openxmlformats.org/officeDocument/2006/relationships/hyperlink" Target="https://replay.pokemonshowdown.com/smogtours-gen3ou-799675" TargetMode="External"/><Relationship Id="rId3770" Type="http://schemas.openxmlformats.org/officeDocument/2006/relationships/hyperlink" Target="https://replay.pokemonshowdown.com/smogtours-gen3ou-803767" TargetMode="External"/><Relationship Id="rId521" Type="http://schemas.openxmlformats.org/officeDocument/2006/relationships/hyperlink" Target="https://replay.pokemonshowdown.com/smogtours-gen3ou-794846" TargetMode="External"/><Relationship Id="rId1110" Type="http://schemas.openxmlformats.org/officeDocument/2006/relationships/hyperlink" Target="https://replay.pokemonshowdown.com/smogtours-gen3ou-796915" TargetMode="External"/><Relationship Id="rId2441" Type="http://schemas.openxmlformats.org/officeDocument/2006/relationships/hyperlink" Target="https://replay.pokemonshowdown.com/smogtours-gen3ou-799685" TargetMode="External"/><Relationship Id="rId3773" Type="http://schemas.openxmlformats.org/officeDocument/2006/relationships/hyperlink" Target="https://replay.pokemonshowdown.com/smogtours-gen3ou-804070" TargetMode="External"/><Relationship Id="rId520" Type="http://schemas.openxmlformats.org/officeDocument/2006/relationships/hyperlink" Target="https://replay.pokemonshowdown.com/smogtours-gen3ou-794864" TargetMode="External"/><Relationship Id="rId1111" Type="http://schemas.openxmlformats.org/officeDocument/2006/relationships/hyperlink" Target="https://replay.pokemonshowdown.com/smogtours-gen3ou-796917" TargetMode="External"/><Relationship Id="rId2442" Type="http://schemas.openxmlformats.org/officeDocument/2006/relationships/hyperlink" Target="https://replay.pokemonshowdown.com/smogtours-gen3ou-799428" TargetMode="External"/><Relationship Id="rId3772" Type="http://schemas.openxmlformats.org/officeDocument/2006/relationships/hyperlink" Target="https://replay.pokemonshowdown.com/smogtours-gen3ou-804065" TargetMode="External"/><Relationship Id="rId1112" Type="http://schemas.openxmlformats.org/officeDocument/2006/relationships/hyperlink" Target="https://replay.pokemonshowdown.com/smogtours-gen3ou-796185" TargetMode="External"/><Relationship Id="rId2443" Type="http://schemas.openxmlformats.org/officeDocument/2006/relationships/hyperlink" Target="https://replay.pokemonshowdown.com/smogtours-gen3ou-799432" TargetMode="External"/><Relationship Id="rId3775" Type="http://schemas.openxmlformats.org/officeDocument/2006/relationships/hyperlink" Target="https://replay.pokemonshowdown.com/smogtours-gen3ou-803839" TargetMode="External"/><Relationship Id="rId1113" Type="http://schemas.openxmlformats.org/officeDocument/2006/relationships/hyperlink" Target="https://replay.pokemonshowdown.com/smogtours-gen3ou-796197" TargetMode="External"/><Relationship Id="rId2444" Type="http://schemas.openxmlformats.org/officeDocument/2006/relationships/hyperlink" Target="https://replay.pokemonshowdown.com/smogtours-gen3ou-799396" TargetMode="External"/><Relationship Id="rId3774" Type="http://schemas.openxmlformats.org/officeDocument/2006/relationships/hyperlink" Target="https://replay.pokemonshowdown.com/smogtours-gen3ou-803831" TargetMode="External"/><Relationship Id="rId1103" Type="http://schemas.openxmlformats.org/officeDocument/2006/relationships/hyperlink" Target="https://replay.pokemonshowdown.com/smogtours-gen3ou-796945" TargetMode="External"/><Relationship Id="rId2434" Type="http://schemas.openxmlformats.org/officeDocument/2006/relationships/hyperlink" Target="https://replay.pokemonshowdown.com/smogtours-gen3ou-799256" TargetMode="External"/><Relationship Id="rId3766" Type="http://schemas.openxmlformats.org/officeDocument/2006/relationships/hyperlink" Target="https://replay.pokemonshowdown.com/smogtours-gen3ou-803914" TargetMode="External"/><Relationship Id="rId1104" Type="http://schemas.openxmlformats.org/officeDocument/2006/relationships/hyperlink" Target="https://replay.pokemonshowdown.com/smogtours-gen3ou-796948" TargetMode="External"/><Relationship Id="rId2435" Type="http://schemas.openxmlformats.org/officeDocument/2006/relationships/hyperlink" Target="https://replay.pokemonshowdown.com/smogtours-gen3ou-799257" TargetMode="External"/><Relationship Id="rId3765" Type="http://schemas.openxmlformats.org/officeDocument/2006/relationships/hyperlink" Target="https://replay.pokemonshowdown.com/smogtours-gen3ou-803667" TargetMode="External"/><Relationship Id="rId1105" Type="http://schemas.openxmlformats.org/officeDocument/2006/relationships/hyperlink" Target="https://replay.pokemonshowdown.com/smogtours-gen3ou-796956" TargetMode="External"/><Relationship Id="rId2436" Type="http://schemas.openxmlformats.org/officeDocument/2006/relationships/hyperlink" Target="https://replay.pokemonshowdown.com/smogtours-gen3ou-800353" TargetMode="External"/><Relationship Id="rId3768" Type="http://schemas.openxmlformats.org/officeDocument/2006/relationships/hyperlink" Target="https://replay.pokemonshowdown.com/smogtours-gen3ou-803918" TargetMode="External"/><Relationship Id="rId1106" Type="http://schemas.openxmlformats.org/officeDocument/2006/relationships/hyperlink" Target="https://replay.pokemonshowdown.com/smogtours-gen3ou-796960" TargetMode="External"/><Relationship Id="rId2437" Type="http://schemas.openxmlformats.org/officeDocument/2006/relationships/hyperlink" Target="https://replay.pokemonshowdown.com/smogtours-gen3ou-800358" TargetMode="External"/><Relationship Id="rId3767" Type="http://schemas.openxmlformats.org/officeDocument/2006/relationships/hyperlink" Target="https://replay.pokemonshowdown.com/smogtours-gen3ou-803917" TargetMode="External"/><Relationship Id="rId1107" Type="http://schemas.openxmlformats.org/officeDocument/2006/relationships/hyperlink" Target="https://replay.pokemonshowdown.com/smogtours-gen3ou-796965" TargetMode="External"/><Relationship Id="rId2438" Type="http://schemas.openxmlformats.org/officeDocument/2006/relationships/hyperlink" Target="https://replay.pokemonshowdown.com/smogtours-gen3ou-800361" TargetMode="External"/><Relationship Id="rId1108" Type="http://schemas.openxmlformats.org/officeDocument/2006/relationships/hyperlink" Target="https://replay.pokemonshowdown.com/smogtours-gen3ou-796972" TargetMode="External"/><Relationship Id="rId2439" Type="http://schemas.openxmlformats.org/officeDocument/2006/relationships/hyperlink" Target="https://replay.pokemonshowdown.com/smogtours-gen3ou-799665" TargetMode="External"/><Relationship Id="rId3769" Type="http://schemas.openxmlformats.org/officeDocument/2006/relationships/hyperlink" Target="https://replay.pokemonshowdown.com/smogtours-gen3ou-803765" TargetMode="External"/><Relationship Id="rId1109" Type="http://schemas.openxmlformats.org/officeDocument/2006/relationships/hyperlink" Target="https://replay.pokemonshowdown.com/smogtours-gen3ou-796906" TargetMode="External"/><Relationship Id="rId519" Type="http://schemas.openxmlformats.org/officeDocument/2006/relationships/hyperlink" Target="https://replay.pokemonshowdown.com/smogtours-gen3ou-794861" TargetMode="External"/><Relationship Id="rId514" Type="http://schemas.openxmlformats.org/officeDocument/2006/relationships/hyperlink" Target="https://replay.pokemonshowdown.com/smogtours-gen3ou-795126" TargetMode="External"/><Relationship Id="rId513" Type="http://schemas.openxmlformats.org/officeDocument/2006/relationships/hyperlink" Target="https://replay.pokemonshowdown.com/smogtours-gen3ou-795117" TargetMode="External"/><Relationship Id="rId512" Type="http://schemas.openxmlformats.org/officeDocument/2006/relationships/hyperlink" Target="https://replay.pokemonshowdown.com/smogtours-gen3ou-795123" TargetMode="External"/><Relationship Id="rId511" Type="http://schemas.openxmlformats.org/officeDocument/2006/relationships/hyperlink" Target="https://replay.pokemonshowdown.com/smogtours-gen3ou-795114" TargetMode="External"/><Relationship Id="rId518" Type="http://schemas.openxmlformats.org/officeDocument/2006/relationships/hyperlink" Target="https://replay.pokemonshowdown.com/smogtours-gen3ou-794858" TargetMode="External"/><Relationship Id="rId517" Type="http://schemas.openxmlformats.org/officeDocument/2006/relationships/hyperlink" Target="https://replay.pokemonshowdown.com/smogtours-gen3ou-795121" TargetMode="External"/><Relationship Id="rId516" Type="http://schemas.openxmlformats.org/officeDocument/2006/relationships/hyperlink" Target="https://replay.pokemonshowdown.com/smogtours-gen3ou-795111" TargetMode="External"/><Relationship Id="rId515" Type="http://schemas.openxmlformats.org/officeDocument/2006/relationships/hyperlink" Target="https://replay.pokemonshowdown.com/smogtours-gen3ou-795104" TargetMode="External"/><Relationship Id="rId3760" Type="http://schemas.openxmlformats.org/officeDocument/2006/relationships/hyperlink" Target="https://replay.pokemonshowdown.com/smogtours-gen3ou-804511" TargetMode="External"/><Relationship Id="rId510" Type="http://schemas.openxmlformats.org/officeDocument/2006/relationships/hyperlink" Target="https://replay.pokemonshowdown.com/smogtours-gen3ou-794974" TargetMode="External"/><Relationship Id="rId2430" Type="http://schemas.openxmlformats.org/officeDocument/2006/relationships/hyperlink" Target="https://replay.pokemonshowdown.com/smogtours-gen3ou-799178" TargetMode="External"/><Relationship Id="rId3762" Type="http://schemas.openxmlformats.org/officeDocument/2006/relationships/hyperlink" Target="https://replay.pokemonshowdown.com/smogtours-gen3ou-804565" TargetMode="External"/><Relationship Id="rId1100" Type="http://schemas.openxmlformats.org/officeDocument/2006/relationships/hyperlink" Target="https://replay.pokemonshowdown.com/smogtours-gen3ou-796169" TargetMode="External"/><Relationship Id="rId2431" Type="http://schemas.openxmlformats.org/officeDocument/2006/relationships/hyperlink" Target="https://replay.pokemonshowdown.com/smogtours-gen3ou-799182" TargetMode="External"/><Relationship Id="rId3761" Type="http://schemas.openxmlformats.org/officeDocument/2006/relationships/hyperlink" Target="https://replay.pokemonshowdown.com/smogtours-gen3ou-804513" TargetMode="External"/><Relationship Id="rId1101" Type="http://schemas.openxmlformats.org/officeDocument/2006/relationships/hyperlink" Target="https://replay.pokemonshowdown.com/smogtours-gen3ou-796951" TargetMode="External"/><Relationship Id="rId2432" Type="http://schemas.openxmlformats.org/officeDocument/2006/relationships/hyperlink" Target="https://replay.pokemonshowdown.com/smogtours-gen3ou-799285" TargetMode="External"/><Relationship Id="rId3764" Type="http://schemas.openxmlformats.org/officeDocument/2006/relationships/hyperlink" Target="https://replay.pokemonshowdown.com/smogtours-gen3ou-803666" TargetMode="External"/><Relationship Id="rId1102" Type="http://schemas.openxmlformats.org/officeDocument/2006/relationships/hyperlink" Target="https://replay.pokemonshowdown.com/smogtours-gen3ou-796958" TargetMode="External"/><Relationship Id="rId2433" Type="http://schemas.openxmlformats.org/officeDocument/2006/relationships/hyperlink" Target="https://replay.pokemonshowdown.com/smogtours-gen3ou-799288" TargetMode="External"/><Relationship Id="rId3763" Type="http://schemas.openxmlformats.org/officeDocument/2006/relationships/hyperlink" Target="https://replay.pokemonshowdown.com/smogtours-gen3ou-804573" TargetMode="External"/><Relationship Id="rId3711" Type="http://schemas.openxmlformats.org/officeDocument/2006/relationships/hyperlink" Target="https://replay.pokemonshowdown.com/smogtours-gen3ou-804588" TargetMode="External"/><Relationship Id="rId3710" Type="http://schemas.openxmlformats.org/officeDocument/2006/relationships/hyperlink" Target="https://replay.pokemonshowdown.com/smogtours-gen3ou-804502" TargetMode="External"/><Relationship Id="rId3713" Type="http://schemas.openxmlformats.org/officeDocument/2006/relationships/hyperlink" Target="https://replay.pokemonshowdown.com/smogtours-gen3ou-804365" TargetMode="External"/><Relationship Id="rId3712" Type="http://schemas.openxmlformats.org/officeDocument/2006/relationships/hyperlink" Target="https://replay.pokemonshowdown.com/smogtours-gen3ou-804595" TargetMode="External"/><Relationship Id="rId3715" Type="http://schemas.openxmlformats.org/officeDocument/2006/relationships/hyperlink" Target="https://replay.pokemonshowdown.com/smogtours-gen3ou-804446" TargetMode="External"/><Relationship Id="rId3714" Type="http://schemas.openxmlformats.org/officeDocument/2006/relationships/hyperlink" Target="https://replay.pokemonshowdown.com/smogtours-gen3ou-804372" TargetMode="External"/><Relationship Id="rId3717" Type="http://schemas.openxmlformats.org/officeDocument/2006/relationships/hyperlink" Target="https://replay.pokemonshowdown.com/smogtours-gen3ou-804660" TargetMode="External"/><Relationship Id="rId3716" Type="http://schemas.openxmlformats.org/officeDocument/2006/relationships/hyperlink" Target="https://replay.pokemonshowdown.com/smogtours-gen3ou-804455" TargetMode="External"/><Relationship Id="rId3719" Type="http://schemas.openxmlformats.org/officeDocument/2006/relationships/hyperlink" Target="https://replay.pokemonshowdown.com/smogtours-gen3ou-804177" TargetMode="External"/><Relationship Id="rId3718" Type="http://schemas.openxmlformats.org/officeDocument/2006/relationships/hyperlink" Target="https://replay.pokemonshowdown.com/smogtours-gen3ou-804662" TargetMode="External"/><Relationship Id="rId3700" Type="http://schemas.openxmlformats.org/officeDocument/2006/relationships/hyperlink" Target="https://replay.pokemonshowdown.com/smogtours-gen3ou-804545" TargetMode="External"/><Relationship Id="rId3702" Type="http://schemas.openxmlformats.org/officeDocument/2006/relationships/hyperlink" Target="https://replay.pokemonshowdown.com/smogtours-gen3ou-804614" TargetMode="External"/><Relationship Id="rId3701" Type="http://schemas.openxmlformats.org/officeDocument/2006/relationships/hyperlink" Target="https://replay.pokemonshowdown.com/smogtours-gen3ou-804608" TargetMode="External"/><Relationship Id="rId3704" Type="http://schemas.openxmlformats.org/officeDocument/2006/relationships/hyperlink" Target="https://replay.pokemonshowdown.com/smogtours-gen3ou-804384" TargetMode="External"/><Relationship Id="rId3703" Type="http://schemas.openxmlformats.org/officeDocument/2006/relationships/hyperlink" Target="https://replay.pokemonshowdown.com/smogtours-gen3ou-804381" TargetMode="External"/><Relationship Id="rId3706" Type="http://schemas.openxmlformats.org/officeDocument/2006/relationships/hyperlink" Target="https://replay.pokemonshowdown.com/smogtours-gen3ou-804543" TargetMode="External"/><Relationship Id="rId3705" Type="http://schemas.openxmlformats.org/officeDocument/2006/relationships/hyperlink" Target="https://replay.pokemonshowdown.com/smogtours-gen3ou-804535" TargetMode="External"/><Relationship Id="rId3708" Type="http://schemas.openxmlformats.org/officeDocument/2006/relationships/hyperlink" Target="https://replay.pokemonshowdown.com/smogtours-gen3ou-804490" TargetMode="External"/><Relationship Id="rId3707" Type="http://schemas.openxmlformats.org/officeDocument/2006/relationships/hyperlink" Target="https://replay.pokemonshowdown.com/smogtours-gen3ou-804554" TargetMode="External"/><Relationship Id="rId3709" Type="http://schemas.openxmlformats.org/officeDocument/2006/relationships/hyperlink" Target="https://replay.pokemonshowdown.com/smogtours-gen3ou-804496" TargetMode="External"/><Relationship Id="rId2401" Type="http://schemas.openxmlformats.org/officeDocument/2006/relationships/hyperlink" Target="https://replay.pokemonshowdown.com/smogtours-gen3ou-800190" TargetMode="External"/><Relationship Id="rId3733" Type="http://schemas.openxmlformats.org/officeDocument/2006/relationships/hyperlink" Target="https://replay.pokemonshowdown.com/smogtours-gen3ou-804438" TargetMode="External"/><Relationship Id="rId2402" Type="http://schemas.openxmlformats.org/officeDocument/2006/relationships/hyperlink" Target="https://replay.pokemonshowdown.com/smogtours-gen3ou-800194" TargetMode="External"/><Relationship Id="rId3732" Type="http://schemas.openxmlformats.org/officeDocument/2006/relationships/hyperlink" Target="https://replay.pokemonshowdown.com/smogtours-gen3ou-804467?p2" TargetMode="External"/><Relationship Id="rId2403" Type="http://schemas.openxmlformats.org/officeDocument/2006/relationships/hyperlink" Target="https://replay.pokemonshowdown.com/smogtours-gen3ou-799950" TargetMode="External"/><Relationship Id="rId3735" Type="http://schemas.openxmlformats.org/officeDocument/2006/relationships/hyperlink" Target="https://replay.pokemonshowdown.com/smogtours-gen3ou-804482" TargetMode="External"/><Relationship Id="rId2404" Type="http://schemas.openxmlformats.org/officeDocument/2006/relationships/hyperlink" Target="https://replay.pokemonshowdown.com/smogtours-gen3ou-799965" TargetMode="External"/><Relationship Id="rId3734" Type="http://schemas.openxmlformats.org/officeDocument/2006/relationships/hyperlink" Target="https://replay.pokemonshowdown.com/smogtours-gen3ou-804445" TargetMode="External"/><Relationship Id="rId2405" Type="http://schemas.openxmlformats.org/officeDocument/2006/relationships/hyperlink" Target="https://replay.pokemonshowdown.com/smogtours-gen3ou-799970" TargetMode="External"/><Relationship Id="rId3737" Type="http://schemas.openxmlformats.org/officeDocument/2006/relationships/hyperlink" Target="https://replay.pokemonshowdown.com/smogtours-gen3ou-804703" TargetMode="External"/><Relationship Id="rId2406" Type="http://schemas.openxmlformats.org/officeDocument/2006/relationships/hyperlink" Target="https://replay.pokemonshowdown.com/smogtours-gen3ou-799820" TargetMode="External"/><Relationship Id="rId3736" Type="http://schemas.openxmlformats.org/officeDocument/2006/relationships/hyperlink" Target="https://replay.pokemonshowdown.com/smogtours-gen3ou-804499" TargetMode="External"/><Relationship Id="rId2407" Type="http://schemas.openxmlformats.org/officeDocument/2006/relationships/hyperlink" Target="https://replay.pokemonshowdown.com/smogtours-gen3ou-799825" TargetMode="External"/><Relationship Id="rId3739" Type="http://schemas.openxmlformats.org/officeDocument/2006/relationships/hyperlink" Target="https://replay.pokemonshowdown.com/smogtours-gen3ou-804057" TargetMode="External"/><Relationship Id="rId2408" Type="http://schemas.openxmlformats.org/officeDocument/2006/relationships/hyperlink" Target="https://replay.pokemonshowdown.com/smogtours-gen3ou-799573" TargetMode="External"/><Relationship Id="rId3738" Type="http://schemas.openxmlformats.org/officeDocument/2006/relationships/hyperlink" Target="https://replay.pokemonshowdown.com/smogtours-gen3ou-804708" TargetMode="External"/><Relationship Id="rId2409" Type="http://schemas.openxmlformats.org/officeDocument/2006/relationships/hyperlink" Target="https://replay.pokemonshowdown.com/smogtours-gen3ou-799586" TargetMode="External"/><Relationship Id="rId3731" Type="http://schemas.openxmlformats.org/officeDocument/2006/relationships/hyperlink" Target="https://replay.pokemonshowdown.com/smogtours-gen3ou-804462" TargetMode="External"/><Relationship Id="rId2400" Type="http://schemas.openxmlformats.org/officeDocument/2006/relationships/hyperlink" Target="https://replay.pokemonshowdown.com/smogtours-gen3ou-800189" TargetMode="External"/><Relationship Id="rId3730" Type="http://schemas.openxmlformats.org/officeDocument/2006/relationships/hyperlink" Target="https://replay.pokemonshowdown.com/smogtours-gen3ou-804456?p2" TargetMode="External"/><Relationship Id="rId3722" Type="http://schemas.openxmlformats.org/officeDocument/2006/relationships/hyperlink" Target="https://replay.pokemonshowdown.com/smogtours-gen3ou-804501?p2" TargetMode="External"/><Relationship Id="rId3721" Type="http://schemas.openxmlformats.org/officeDocument/2006/relationships/hyperlink" Target="https://replay.pokemonshowdown.com/smogtours-gen3ou-804489" TargetMode="External"/><Relationship Id="rId3724" Type="http://schemas.openxmlformats.org/officeDocument/2006/relationships/hyperlink" Target="https://replay.pokemonshowdown.com/smogtours-gen3ou-804411?p2" TargetMode="External"/><Relationship Id="rId3723" Type="http://schemas.openxmlformats.org/officeDocument/2006/relationships/hyperlink" Target="https://replay.pokemonshowdown.com/smogtours-gen3ou-804503?p2" TargetMode="External"/><Relationship Id="rId3726" Type="http://schemas.openxmlformats.org/officeDocument/2006/relationships/hyperlink" Target="https://replay.pokemonshowdown.com/smogtours-gen3ou-804422?p2" TargetMode="External"/><Relationship Id="rId3725" Type="http://schemas.openxmlformats.org/officeDocument/2006/relationships/hyperlink" Target="https://replay.pokemonshowdown.com/smogtours-gen3ou-804413?p2" TargetMode="External"/><Relationship Id="rId3728" Type="http://schemas.openxmlformats.org/officeDocument/2006/relationships/hyperlink" Target="https://replay.pokemonshowdown.com/smogtours-gen3ou-804698" TargetMode="External"/><Relationship Id="rId3727" Type="http://schemas.openxmlformats.org/officeDocument/2006/relationships/hyperlink" Target="https://replay.pokemonshowdown.com/smogtours-gen3ou-804697?p2" TargetMode="External"/><Relationship Id="rId3729" Type="http://schemas.openxmlformats.org/officeDocument/2006/relationships/hyperlink" Target="https://replay.pokemonshowdown.com/smogtours-gen3ou-804702" TargetMode="External"/><Relationship Id="rId3720" Type="http://schemas.openxmlformats.org/officeDocument/2006/relationships/hyperlink" Target="https://replay.pokemonshowdown.com/smogtours-gen3ou-804180" TargetMode="External"/><Relationship Id="rId590" Type="http://schemas.openxmlformats.org/officeDocument/2006/relationships/hyperlink" Target="https://replay.pokemonshowdown.com/smogtours-gen3ou-794360" TargetMode="External"/><Relationship Id="rId589" Type="http://schemas.openxmlformats.org/officeDocument/2006/relationships/hyperlink" Target="https://replay.pokemonshowdown.com/gen3ou-2213882374" TargetMode="External"/><Relationship Id="rId588" Type="http://schemas.openxmlformats.org/officeDocument/2006/relationships/hyperlink" Target="https://replay.pokemonshowdown.com/gen3ou-2213879299" TargetMode="External"/><Relationship Id="rId1170" Type="http://schemas.openxmlformats.org/officeDocument/2006/relationships/hyperlink" Target="https://replay.pokemonshowdown.com/smogtours-gen3ou-796592" TargetMode="External"/><Relationship Id="rId1171" Type="http://schemas.openxmlformats.org/officeDocument/2006/relationships/hyperlink" Target="https://replay.pokemonshowdown.com/smogtours-gen3ou-796080" TargetMode="External"/><Relationship Id="rId583" Type="http://schemas.openxmlformats.org/officeDocument/2006/relationships/hyperlink" Target="https://replay.pokemonshowdown.com/smogtours-gen3ou-795200" TargetMode="External"/><Relationship Id="rId1172" Type="http://schemas.openxmlformats.org/officeDocument/2006/relationships/hyperlink" Target="https://replay.pokemonshowdown.com/smogtours-gen3ou-796092" TargetMode="External"/><Relationship Id="rId582" Type="http://schemas.openxmlformats.org/officeDocument/2006/relationships/hyperlink" Target="https://replay.pokemonshowdown.com/smogtours-gen3ou-795212" TargetMode="External"/><Relationship Id="rId1173" Type="http://schemas.openxmlformats.org/officeDocument/2006/relationships/hyperlink" Target="https://replay.pokemonshowdown.com/smogtours-gen3ou-796926" TargetMode="External"/><Relationship Id="rId581" Type="http://schemas.openxmlformats.org/officeDocument/2006/relationships/hyperlink" Target="https://replay.pokemonshowdown.com/smogtours-gen3ou-795207" TargetMode="External"/><Relationship Id="rId1174" Type="http://schemas.openxmlformats.org/officeDocument/2006/relationships/hyperlink" Target="https://replay.pokemonshowdown.com/smogtours-gen3ou-796936" TargetMode="External"/><Relationship Id="rId580" Type="http://schemas.openxmlformats.org/officeDocument/2006/relationships/hyperlink" Target="https://replay.pokemonshowdown.com/smogtours-gen3ou-795197" TargetMode="External"/><Relationship Id="rId1175" Type="http://schemas.openxmlformats.org/officeDocument/2006/relationships/hyperlink" Target="https://replay.pokemonshowdown.com/smogtours-gen3ou-match-conceeded-to-pkLeech" TargetMode="External"/><Relationship Id="rId587" Type="http://schemas.openxmlformats.org/officeDocument/2006/relationships/hyperlink" Target="https://replay.pokemonshowdown.com/gen3ou-2213874331" TargetMode="External"/><Relationship Id="rId1176" Type="http://schemas.openxmlformats.org/officeDocument/2006/relationships/hyperlink" Target="https://replay.pokemonshowdown.com/smogtours-gen3ou-796734" TargetMode="External"/><Relationship Id="rId586" Type="http://schemas.openxmlformats.org/officeDocument/2006/relationships/hyperlink" Target="https://replay.pokemonshowdown.com/smogtours-gen3ou-794290" TargetMode="External"/><Relationship Id="rId1177" Type="http://schemas.openxmlformats.org/officeDocument/2006/relationships/hyperlink" Target="https://replay.pokemonshowdown.com/smogtours-gen3ou-796741" TargetMode="External"/><Relationship Id="rId585" Type="http://schemas.openxmlformats.org/officeDocument/2006/relationships/hyperlink" Target="https://replay.pokemonshowdown.com/smogtours-gen3ou-794281" TargetMode="External"/><Relationship Id="rId1178" Type="http://schemas.openxmlformats.org/officeDocument/2006/relationships/hyperlink" Target="https://replay.pokemonshowdown.com/smogtours-gen3ou-796775" TargetMode="External"/><Relationship Id="rId584" Type="http://schemas.openxmlformats.org/officeDocument/2006/relationships/hyperlink" Target="https://replay.pokemonshowdown.com/smogtours-gen3ou-795206" TargetMode="External"/><Relationship Id="rId1179" Type="http://schemas.openxmlformats.org/officeDocument/2006/relationships/hyperlink" Target="https://replay.pokemonshowdown.com/smogtours-gen3ou-796573" TargetMode="External"/><Relationship Id="rId1169" Type="http://schemas.openxmlformats.org/officeDocument/2006/relationships/hyperlink" Target="https://replay.pokemonshowdown.com/smogtours-gen3ou-796590" TargetMode="External"/><Relationship Id="rId579" Type="http://schemas.openxmlformats.org/officeDocument/2006/relationships/hyperlink" Target="https://replay.pokemonshowdown.com/smogtours-gen3ou-794898" TargetMode="External"/><Relationship Id="rId578" Type="http://schemas.openxmlformats.org/officeDocument/2006/relationships/hyperlink" Target="https://replay.pokemonshowdown.com/smogtours-gen3ou-794889" TargetMode="External"/><Relationship Id="rId577" Type="http://schemas.openxmlformats.org/officeDocument/2006/relationships/hyperlink" Target="https://replay.pokemonshowdown.com/smogtours-gen3ou-794507" TargetMode="External"/><Relationship Id="rId2490" Type="http://schemas.openxmlformats.org/officeDocument/2006/relationships/hyperlink" Target="https://replay.pokemonshowdown.com/smogtours-gen3ou-799622" TargetMode="External"/><Relationship Id="rId1160" Type="http://schemas.openxmlformats.org/officeDocument/2006/relationships/hyperlink" Target="https://replay.pokemonshowdown.com/smogtours-gen3ou-796869" TargetMode="External"/><Relationship Id="rId2491" Type="http://schemas.openxmlformats.org/officeDocument/2006/relationships/hyperlink" Target="https://replay.pokemonshowdown.com/smogtours-gen3ou-799630" TargetMode="External"/><Relationship Id="rId572" Type="http://schemas.openxmlformats.org/officeDocument/2006/relationships/hyperlink" Target="https://replay.pokemonshowdown.com/smogtours-gen3ou-795050" TargetMode="External"/><Relationship Id="rId1161" Type="http://schemas.openxmlformats.org/officeDocument/2006/relationships/hyperlink" Target="https://replay.pokemonshowdown.com/smogtours-gen3ou-796870" TargetMode="External"/><Relationship Id="rId2492" Type="http://schemas.openxmlformats.org/officeDocument/2006/relationships/hyperlink" Target="https://replay.pokemonshowdown.com/smogtours-gen3ou-799637" TargetMode="External"/><Relationship Id="rId571" Type="http://schemas.openxmlformats.org/officeDocument/2006/relationships/hyperlink" Target="https://replay.pokemonshowdown.com/smogtours-gen3ou-795044" TargetMode="External"/><Relationship Id="rId1162" Type="http://schemas.openxmlformats.org/officeDocument/2006/relationships/hyperlink" Target="https://replay.pokemonshowdown.com/smogtours-gen3ou-796810" TargetMode="External"/><Relationship Id="rId2493" Type="http://schemas.openxmlformats.org/officeDocument/2006/relationships/hyperlink" Target="https://replay.pokemonshowdown.com/smogtours-gen3ou-800152" TargetMode="External"/><Relationship Id="rId570" Type="http://schemas.openxmlformats.org/officeDocument/2006/relationships/hyperlink" Target="https://replay.pokemonshowdown.com/smogtours-gen3ou-795036" TargetMode="External"/><Relationship Id="rId1163" Type="http://schemas.openxmlformats.org/officeDocument/2006/relationships/hyperlink" Target="https://replay.pokemonshowdown.com/smogtours-gen3ou-796818" TargetMode="External"/><Relationship Id="rId2494" Type="http://schemas.openxmlformats.org/officeDocument/2006/relationships/hyperlink" Target="https://replay.pokemonshowdown.com/smogtours-gen3ou-800156" TargetMode="External"/><Relationship Id="rId1164" Type="http://schemas.openxmlformats.org/officeDocument/2006/relationships/hyperlink" Target="https://replay.pokemonshowdown.com/smogtours-gen3ou-796821" TargetMode="External"/><Relationship Id="rId2495" Type="http://schemas.openxmlformats.org/officeDocument/2006/relationships/hyperlink" Target="https://replay.pokemonshowdown.com/smogtours-gen3ou-800159" TargetMode="External"/><Relationship Id="rId576" Type="http://schemas.openxmlformats.org/officeDocument/2006/relationships/hyperlink" Target="https://replay.pokemonshowdown.com/smogtours-gen3ou-794506" TargetMode="External"/><Relationship Id="rId1165" Type="http://schemas.openxmlformats.org/officeDocument/2006/relationships/hyperlink" Target="https://replay.pokemonshowdown.com/smogtours-gen3ou-796554" TargetMode="External"/><Relationship Id="rId2496" Type="http://schemas.openxmlformats.org/officeDocument/2006/relationships/hyperlink" Target="https://replay.pokemonshowdown.com/smogtours-gen3ou-799147" TargetMode="External"/><Relationship Id="rId575" Type="http://schemas.openxmlformats.org/officeDocument/2006/relationships/hyperlink" Target="https://replay.pokemonshowdown.com/smogtours-gen3ou-794505" TargetMode="External"/><Relationship Id="rId1166" Type="http://schemas.openxmlformats.org/officeDocument/2006/relationships/hyperlink" Target="https://replay.pokemonshowdown.com/smogtours-gen3ou-796558" TargetMode="External"/><Relationship Id="rId2497" Type="http://schemas.openxmlformats.org/officeDocument/2006/relationships/hyperlink" Target="https://replay.pokemonshowdown.com/smogtours-gen3ou-799149" TargetMode="External"/><Relationship Id="rId574" Type="http://schemas.openxmlformats.org/officeDocument/2006/relationships/hyperlink" Target="https://replay.pokemonshowdown.com/smogtours-gen3ou-794437" TargetMode="External"/><Relationship Id="rId1167" Type="http://schemas.openxmlformats.org/officeDocument/2006/relationships/hyperlink" Target="https://replay.pokemonshowdown.com/smogtours-gen3ou-796766" TargetMode="External"/><Relationship Id="rId2498" Type="http://schemas.openxmlformats.org/officeDocument/2006/relationships/hyperlink" Target="https://replay.pokemonshowdown.com/smogtours-gen3ou-799150" TargetMode="External"/><Relationship Id="rId573" Type="http://schemas.openxmlformats.org/officeDocument/2006/relationships/hyperlink" Target="https://replay.pokemonshowdown.com/smogtours-gen3ou-794434" TargetMode="External"/><Relationship Id="rId1168" Type="http://schemas.openxmlformats.org/officeDocument/2006/relationships/hyperlink" Target="https://replay.pokemonshowdown.com/smogtours-gen3ou-796589" TargetMode="External"/><Relationship Id="rId2499" Type="http://schemas.openxmlformats.org/officeDocument/2006/relationships/hyperlink" Target="https://replay.pokemonshowdown.com/smogtours-gen3ou-800414" TargetMode="External"/><Relationship Id="rId1190" Type="http://schemas.openxmlformats.org/officeDocument/2006/relationships/hyperlink" Target="https://replay.pokemonshowdown.com/smogtours-gen3ou-797014" TargetMode="External"/><Relationship Id="rId1191" Type="http://schemas.openxmlformats.org/officeDocument/2006/relationships/hyperlink" Target="https://replay.pokemonshowdown.com/smogtours-gen3ou-796296" TargetMode="External"/><Relationship Id="rId1192" Type="http://schemas.openxmlformats.org/officeDocument/2006/relationships/hyperlink" Target="https://replay.pokemonshowdown.com/smogtours-gen3ou-796297" TargetMode="External"/><Relationship Id="rId1193" Type="http://schemas.openxmlformats.org/officeDocument/2006/relationships/hyperlink" Target="https://replay.pokemonshowdown.com/smogtours-gen3ou-796300" TargetMode="External"/><Relationship Id="rId1194" Type="http://schemas.openxmlformats.org/officeDocument/2006/relationships/hyperlink" Target="https://replay.pokemonshowdown.com/smogtours-gen3ou-796983" TargetMode="External"/><Relationship Id="rId1195" Type="http://schemas.openxmlformats.org/officeDocument/2006/relationships/hyperlink" Target="https://replay.pokemonshowdown.com/smogtours-gen3ou-796986" TargetMode="External"/><Relationship Id="rId1196" Type="http://schemas.openxmlformats.org/officeDocument/2006/relationships/hyperlink" Target="https://replay.pokemonshowdown.com/gen3ou-2218734386" TargetMode="External"/><Relationship Id="rId1197" Type="http://schemas.openxmlformats.org/officeDocument/2006/relationships/hyperlink" Target="https://replay.pokemonshowdown.com/gen3ou-2218741144" TargetMode="External"/><Relationship Id="rId1198" Type="http://schemas.openxmlformats.org/officeDocument/2006/relationships/hyperlink" Target="https://replay.pokemonshowdown.com/smogtours-gen3ou-797017" TargetMode="External"/><Relationship Id="rId1199" Type="http://schemas.openxmlformats.org/officeDocument/2006/relationships/hyperlink" Target="https://replay.pokemonshowdown.com/smogtours-gen3ou-797021" TargetMode="External"/><Relationship Id="rId599" Type="http://schemas.openxmlformats.org/officeDocument/2006/relationships/hyperlink" Target="https://replay.pokemonshowdown.com/smogtours-gen3ou-794460?p2" TargetMode="External"/><Relationship Id="rId1180" Type="http://schemas.openxmlformats.org/officeDocument/2006/relationships/hyperlink" Target="https://replay.pokemonshowdown.com/smogtours-gen3ou-796574" TargetMode="External"/><Relationship Id="rId1181" Type="http://schemas.openxmlformats.org/officeDocument/2006/relationships/hyperlink" Target="https://replay.pokemonshowdown.com/smogtours-gen3ou-796575" TargetMode="External"/><Relationship Id="rId1182" Type="http://schemas.openxmlformats.org/officeDocument/2006/relationships/hyperlink" Target="https://replay.pokemonshowdown.com/smogtours-gen3ou-796577" TargetMode="External"/><Relationship Id="rId594" Type="http://schemas.openxmlformats.org/officeDocument/2006/relationships/hyperlink" Target="https://replay.pokemonshowdown.com/smogtours-gen3ou-794725" TargetMode="External"/><Relationship Id="rId1183" Type="http://schemas.openxmlformats.org/officeDocument/2006/relationships/hyperlink" Target="https://replay.pokemonshowdown.com/smogtours-gen3ou-796624" TargetMode="External"/><Relationship Id="rId593" Type="http://schemas.openxmlformats.org/officeDocument/2006/relationships/hyperlink" Target="https://replay.pokemonshowdown.com/smogtours-gen3ou-794243" TargetMode="External"/><Relationship Id="rId1184" Type="http://schemas.openxmlformats.org/officeDocument/2006/relationships/hyperlink" Target="https://replay.pokemonshowdown.com/smogtours-gen3ou-796626" TargetMode="External"/><Relationship Id="rId592" Type="http://schemas.openxmlformats.org/officeDocument/2006/relationships/hyperlink" Target="https://replay.pokemonshowdown.com/smogtours-gen3ou-794239" TargetMode="External"/><Relationship Id="rId1185" Type="http://schemas.openxmlformats.org/officeDocument/2006/relationships/hyperlink" Target="https://replay.pokemonshowdown.com/gen3ou-2217467522-093moahs6jk6e75i9tggjqvy41mau9jpw" TargetMode="External"/><Relationship Id="rId591" Type="http://schemas.openxmlformats.org/officeDocument/2006/relationships/hyperlink" Target="https://replay.pokemonshowdown.com/smogtours-gen3ou-794367" TargetMode="External"/><Relationship Id="rId1186" Type="http://schemas.openxmlformats.org/officeDocument/2006/relationships/hyperlink" Target="https://replay.pokemonshowdown.com/gen3ou-2217473741-lp3fjbi1d5xdnwkz2bvy2ljx648hi65pw" TargetMode="External"/><Relationship Id="rId598" Type="http://schemas.openxmlformats.org/officeDocument/2006/relationships/hyperlink" Target="https://replay.pokemonshowdown.com/smogtours-gen3ou-794457?p2" TargetMode="External"/><Relationship Id="rId1187" Type="http://schemas.openxmlformats.org/officeDocument/2006/relationships/hyperlink" Target="https://replay.pokemonshowdown.com/smogtours-gen3ou-796923?p2" TargetMode="External"/><Relationship Id="rId597" Type="http://schemas.openxmlformats.org/officeDocument/2006/relationships/hyperlink" Target="https://replay.pokemonshowdown.com/smogtours-gen3ou-793899" TargetMode="External"/><Relationship Id="rId1188" Type="http://schemas.openxmlformats.org/officeDocument/2006/relationships/hyperlink" Target="https://replay.pokemonshowdown.com/smogtours-gen3ou-796934" TargetMode="External"/><Relationship Id="rId596" Type="http://schemas.openxmlformats.org/officeDocument/2006/relationships/hyperlink" Target="https://replay.pokemonshowdown.com/smogtours-gen3ou-793897" TargetMode="External"/><Relationship Id="rId1189" Type="http://schemas.openxmlformats.org/officeDocument/2006/relationships/hyperlink" Target="https://replay.pokemonshowdown.com/smogtours-gen3ou-797011" TargetMode="External"/><Relationship Id="rId595" Type="http://schemas.openxmlformats.org/officeDocument/2006/relationships/hyperlink" Target="https://replay.pokemonshowdown.com/smogtours-gen3ou-794731" TargetMode="External"/><Relationship Id="rId1136" Type="http://schemas.openxmlformats.org/officeDocument/2006/relationships/hyperlink" Target="https://replay.pokemonshowdown.com/smogtours-gen3ou-796788" TargetMode="External"/><Relationship Id="rId2467" Type="http://schemas.openxmlformats.org/officeDocument/2006/relationships/hyperlink" Target="https://replay.pokemonshowdown.com/smogtours-gen3ou-799359" TargetMode="External"/><Relationship Id="rId3799" Type="http://schemas.openxmlformats.org/officeDocument/2006/relationships/hyperlink" Target="https://replay.pokemonshowdown.com/smogtours-gen3ou-804750" TargetMode="External"/><Relationship Id="rId1137" Type="http://schemas.openxmlformats.org/officeDocument/2006/relationships/hyperlink" Target="https://replay.pokemonshowdown.com/smogtours-gen3ou-796791" TargetMode="External"/><Relationship Id="rId2468" Type="http://schemas.openxmlformats.org/officeDocument/2006/relationships/hyperlink" Target="https://replay.pokemonshowdown.com/smogtours-gen3ou-799511" TargetMode="External"/><Relationship Id="rId3798" Type="http://schemas.openxmlformats.org/officeDocument/2006/relationships/hyperlink" Target="https://replay.pokemonshowdown.com/smogtours-gen3ou-804749" TargetMode="External"/><Relationship Id="rId1138" Type="http://schemas.openxmlformats.org/officeDocument/2006/relationships/hyperlink" Target="https://replay.pokemonshowdown.com/smogtours-gen3ou-796492" TargetMode="External"/><Relationship Id="rId2469" Type="http://schemas.openxmlformats.org/officeDocument/2006/relationships/hyperlink" Target="https://replay.pokemonshowdown.com/smogtours-gen3ou-799512" TargetMode="External"/><Relationship Id="rId1139" Type="http://schemas.openxmlformats.org/officeDocument/2006/relationships/hyperlink" Target="https://replay.pokemonshowdown.com/smogtours-gen3ou-796498" TargetMode="External"/><Relationship Id="rId547" Type="http://schemas.openxmlformats.org/officeDocument/2006/relationships/hyperlink" Target="https://replay.pokemonshowdown.com/smogtours-gen3ou-794456" TargetMode="External"/><Relationship Id="rId546" Type="http://schemas.openxmlformats.org/officeDocument/2006/relationships/hyperlink" Target="https://replay.pokemonshowdown.com/smogtours-gen3ou-794416" TargetMode="External"/><Relationship Id="rId545" Type="http://schemas.openxmlformats.org/officeDocument/2006/relationships/hyperlink" Target="https://replay.pokemonshowdown.com/smogtours-gen3ou-794412" TargetMode="External"/><Relationship Id="rId544" Type="http://schemas.openxmlformats.org/officeDocument/2006/relationships/hyperlink" Target="https://replay.pokemonshowdown.com/smogtours-gen3ou-794647" TargetMode="External"/><Relationship Id="rId549" Type="http://schemas.openxmlformats.org/officeDocument/2006/relationships/hyperlink" Target="https://replay.pokemonshowdown.com/smogtours-gen3ou-794254" TargetMode="External"/><Relationship Id="rId548" Type="http://schemas.openxmlformats.org/officeDocument/2006/relationships/hyperlink" Target="https://replay.pokemonshowdown.com/smogtours-gen3ou-794444" TargetMode="External"/><Relationship Id="rId3791" Type="http://schemas.openxmlformats.org/officeDocument/2006/relationships/hyperlink" Target="https://replay.pokemonshowdown.com/smogtours-gen3ou-804486" TargetMode="External"/><Relationship Id="rId2460" Type="http://schemas.openxmlformats.org/officeDocument/2006/relationships/hyperlink" Target="https://replay.pokemonshowdown.com/smogtours-gen3ou-799536" TargetMode="External"/><Relationship Id="rId3790" Type="http://schemas.openxmlformats.org/officeDocument/2006/relationships/hyperlink" Target="https://replay.pokemonshowdown.com/smogtours-gen3ou-804477?p2" TargetMode="External"/><Relationship Id="rId1130" Type="http://schemas.openxmlformats.org/officeDocument/2006/relationships/hyperlink" Target="https://replay.pokemonshowdown.com/smogtours-gen3ou-796627" TargetMode="External"/><Relationship Id="rId2461" Type="http://schemas.openxmlformats.org/officeDocument/2006/relationships/hyperlink" Target="https://replay.pokemonshowdown.com/smogtours-gen3ou-799540" TargetMode="External"/><Relationship Id="rId3793" Type="http://schemas.openxmlformats.org/officeDocument/2006/relationships/hyperlink" Target="https://replay.pokemonshowdown.com/smogtours-gen3ou-804645" TargetMode="External"/><Relationship Id="rId1131" Type="http://schemas.openxmlformats.org/officeDocument/2006/relationships/hyperlink" Target="https://replay.pokemonshowdown.com/smogtours-gen3ou-796631" TargetMode="External"/><Relationship Id="rId2462" Type="http://schemas.openxmlformats.org/officeDocument/2006/relationships/hyperlink" Target="https://replay.pokemonshowdown.com/smogtours-gen3ou-799546" TargetMode="External"/><Relationship Id="rId3792" Type="http://schemas.openxmlformats.org/officeDocument/2006/relationships/hyperlink" Target="https://replay.pokemonshowdown.com/smogtours-gen3ou-804494" TargetMode="External"/><Relationship Id="rId543" Type="http://schemas.openxmlformats.org/officeDocument/2006/relationships/hyperlink" Target="https://replay.pokemonshowdown.com/smogtours-gen3ou-794645" TargetMode="External"/><Relationship Id="rId1132" Type="http://schemas.openxmlformats.org/officeDocument/2006/relationships/hyperlink" Target="https://replay.pokemonshowdown.com/smogtours-gen3ou-796435" TargetMode="External"/><Relationship Id="rId2463" Type="http://schemas.openxmlformats.org/officeDocument/2006/relationships/hyperlink" Target="https://replay.pokemonshowdown.com/smogtours-gen3ou-799526" TargetMode="External"/><Relationship Id="rId3795" Type="http://schemas.openxmlformats.org/officeDocument/2006/relationships/hyperlink" Target="https://replay.pokemonshowdown.com/smogtours-gen3ou-803908" TargetMode="External"/><Relationship Id="rId542" Type="http://schemas.openxmlformats.org/officeDocument/2006/relationships/hyperlink" Target="https://replay.pokemonshowdown.com/smogtours-gen3ou-794641?p2" TargetMode="External"/><Relationship Id="rId1133" Type="http://schemas.openxmlformats.org/officeDocument/2006/relationships/hyperlink" Target="https://replay.pokemonshowdown.com/smogtours-gen3ou-796443" TargetMode="External"/><Relationship Id="rId2464" Type="http://schemas.openxmlformats.org/officeDocument/2006/relationships/hyperlink" Target="https://replay.pokemonshowdown.com/smogtours-gen3ou-799530" TargetMode="External"/><Relationship Id="rId3794" Type="http://schemas.openxmlformats.org/officeDocument/2006/relationships/hyperlink" Target="https://replay.pokemonshowdown.com/smogtours-gen3ou-804641" TargetMode="External"/><Relationship Id="rId541" Type="http://schemas.openxmlformats.org/officeDocument/2006/relationships/hyperlink" Target="https://replay.pokemonshowdown.com/smogtours-gen3ou-794812" TargetMode="External"/><Relationship Id="rId1134" Type="http://schemas.openxmlformats.org/officeDocument/2006/relationships/hyperlink" Target="https://replay.pokemonshowdown.com/smogtours-gen3ou-796457" TargetMode="External"/><Relationship Id="rId2465" Type="http://schemas.openxmlformats.org/officeDocument/2006/relationships/hyperlink" Target="https://replay.pokemonshowdown.com/smogtours-gen3ou-799532" TargetMode="External"/><Relationship Id="rId3797" Type="http://schemas.openxmlformats.org/officeDocument/2006/relationships/hyperlink" Target="https://replay.pokemonshowdown.com/smogtours-gen3ou-803916" TargetMode="External"/><Relationship Id="rId540" Type="http://schemas.openxmlformats.org/officeDocument/2006/relationships/hyperlink" Target="https://replay.pokemonshowdown.com/smogtours-gen3ou-794808" TargetMode="External"/><Relationship Id="rId1135" Type="http://schemas.openxmlformats.org/officeDocument/2006/relationships/hyperlink" Target="https://replay.pokemonshowdown.com/smogtours-gen3ou-796781" TargetMode="External"/><Relationship Id="rId2466" Type="http://schemas.openxmlformats.org/officeDocument/2006/relationships/hyperlink" Target="https://replay.pokemonshowdown.com/smogtours-gen3ou-799354" TargetMode="External"/><Relationship Id="rId3796" Type="http://schemas.openxmlformats.org/officeDocument/2006/relationships/hyperlink" Target="https://replay.pokemonshowdown.com/smogtours-gen3ou-803913" TargetMode="External"/><Relationship Id="rId1125" Type="http://schemas.openxmlformats.org/officeDocument/2006/relationships/hyperlink" Target="https://replay.pokemonshowdown.com/smogtours-gen3ou-796667" TargetMode="External"/><Relationship Id="rId2456" Type="http://schemas.openxmlformats.org/officeDocument/2006/relationships/hyperlink" Target="https://replay.pokemonshowdown.com/smogtours-gen3ou-799870" TargetMode="External"/><Relationship Id="rId3788" Type="http://schemas.openxmlformats.org/officeDocument/2006/relationships/hyperlink" Target="https://replay.pokemonshowdown.com/smogtours-gen3ou-803856" TargetMode="External"/><Relationship Id="rId1126" Type="http://schemas.openxmlformats.org/officeDocument/2006/relationships/hyperlink" Target="https://replay.pokemonshowdown.com/smogtours-gen3ou-796671?p2" TargetMode="External"/><Relationship Id="rId2457" Type="http://schemas.openxmlformats.org/officeDocument/2006/relationships/hyperlink" Target="https://replay.pokemonshowdown.com/smogtours-gen3ou-799874" TargetMode="External"/><Relationship Id="rId3787" Type="http://schemas.openxmlformats.org/officeDocument/2006/relationships/hyperlink" Target="https://replay.pokemonshowdown.com/smogtours-gen3ou-803858" TargetMode="External"/><Relationship Id="rId1127" Type="http://schemas.openxmlformats.org/officeDocument/2006/relationships/hyperlink" Target="https://replay.pokemonshowdown.com/smogtours-gen3ou-796175?p2" TargetMode="External"/><Relationship Id="rId2458" Type="http://schemas.openxmlformats.org/officeDocument/2006/relationships/hyperlink" Target="https://replay.pokemonshowdown.com/smogtours-gen3ou-799268" TargetMode="External"/><Relationship Id="rId1128" Type="http://schemas.openxmlformats.org/officeDocument/2006/relationships/hyperlink" Target="https://replay.pokemonshowdown.com/smogtours-gen3ou-796177" TargetMode="External"/><Relationship Id="rId2459" Type="http://schemas.openxmlformats.org/officeDocument/2006/relationships/hyperlink" Target="https://replay.pokemonshowdown.com/smogtours-gen3ou-799273" TargetMode="External"/><Relationship Id="rId3789" Type="http://schemas.openxmlformats.org/officeDocument/2006/relationships/hyperlink" Target="https://replay.pokemonshowdown.com/smogtours-gen3ou-803859" TargetMode="External"/><Relationship Id="rId1129" Type="http://schemas.openxmlformats.org/officeDocument/2006/relationships/hyperlink" Target="https://replay.pokemonshowdown.com/smogtours-gen3ou-796180?p2" TargetMode="External"/><Relationship Id="rId536" Type="http://schemas.openxmlformats.org/officeDocument/2006/relationships/hyperlink" Target="https://replay.pokemonshowdown.com/smogtours-gen3ou-795140" TargetMode="External"/><Relationship Id="rId535" Type="http://schemas.openxmlformats.org/officeDocument/2006/relationships/hyperlink" Target="https://replay.pokemonshowdown.com/smogtours-gen3ou-795148" TargetMode="External"/><Relationship Id="rId534" Type="http://schemas.openxmlformats.org/officeDocument/2006/relationships/hyperlink" Target="https://replay.pokemonshowdown.com/smogtours-gen3ou-794293" TargetMode="External"/><Relationship Id="rId533" Type="http://schemas.openxmlformats.org/officeDocument/2006/relationships/hyperlink" Target="https://replay.pokemonshowdown.com/smogtours-gen3ou-794287" TargetMode="External"/><Relationship Id="rId539" Type="http://schemas.openxmlformats.org/officeDocument/2006/relationships/hyperlink" Target="https://replay.pokemonshowdown.com/smogtours-gen3ou-794266" TargetMode="External"/><Relationship Id="rId538" Type="http://schemas.openxmlformats.org/officeDocument/2006/relationships/hyperlink" Target="https://replay.pokemonshowdown.com/smogtours-gen3ou-794245" TargetMode="External"/><Relationship Id="rId537" Type="http://schemas.openxmlformats.org/officeDocument/2006/relationships/hyperlink" Target="https://replay.pokemonshowdown.com/smogtours-gen3ou-795157" TargetMode="External"/><Relationship Id="rId3780" Type="http://schemas.openxmlformats.org/officeDocument/2006/relationships/hyperlink" Target="https://replay.pokemonshowdown.com/smogtours-gen3ou-804164" TargetMode="External"/><Relationship Id="rId2450" Type="http://schemas.openxmlformats.org/officeDocument/2006/relationships/hyperlink" Target="https://replay.pokemonshowdown.com/smogtours-gen3ou-799936" TargetMode="External"/><Relationship Id="rId3782" Type="http://schemas.openxmlformats.org/officeDocument/2006/relationships/hyperlink" Target="https://replay.pokemonshowdown.com/smogtours-gen3ou-804317" TargetMode="External"/><Relationship Id="rId1120" Type="http://schemas.openxmlformats.org/officeDocument/2006/relationships/hyperlink" Target="https://replay.pokemonshowdown.com/gen3ou-2220179020-y8q9sh579bax5hot5gpyoocum2y3dy8pw" TargetMode="External"/><Relationship Id="rId2451" Type="http://schemas.openxmlformats.org/officeDocument/2006/relationships/hyperlink" Target="https://replay.pokemonshowdown.com/smogtours-gen3ou-799814" TargetMode="External"/><Relationship Id="rId3781" Type="http://schemas.openxmlformats.org/officeDocument/2006/relationships/hyperlink" Target="https://replay.pokemonshowdown.com/smogtours-gen3ou-804312" TargetMode="External"/><Relationship Id="rId532" Type="http://schemas.openxmlformats.org/officeDocument/2006/relationships/hyperlink" Target="https://replay.pokemonshowdown.com/smogtours-gen3ou-794829" TargetMode="External"/><Relationship Id="rId1121" Type="http://schemas.openxmlformats.org/officeDocument/2006/relationships/hyperlink" Target="https://replay.pokemonshowdown.com/gen3ou-2220184800-ilj6az7vmjwz57817817khd3kcq242ypw" TargetMode="External"/><Relationship Id="rId2452" Type="http://schemas.openxmlformats.org/officeDocument/2006/relationships/hyperlink" Target="https://replay.pokemonshowdown.com/smogtours-gen3ou-799818" TargetMode="External"/><Relationship Id="rId3784" Type="http://schemas.openxmlformats.org/officeDocument/2006/relationships/hyperlink" Target="https://replay.pokemonshowdown.com/smogtours-gen3ou-803990" TargetMode="External"/><Relationship Id="rId531" Type="http://schemas.openxmlformats.org/officeDocument/2006/relationships/hyperlink" Target="https://replay.pokemonshowdown.com/smogtours-gen3ou-794827" TargetMode="External"/><Relationship Id="rId1122" Type="http://schemas.openxmlformats.org/officeDocument/2006/relationships/hyperlink" Target="https://replay.pokemonshowdown.com/smogtours-gen3ou-796400" TargetMode="External"/><Relationship Id="rId2453" Type="http://schemas.openxmlformats.org/officeDocument/2006/relationships/hyperlink" Target="https://replay.pokemonshowdown.com/smogtours-gen3ou-799537" TargetMode="External"/><Relationship Id="rId3783" Type="http://schemas.openxmlformats.org/officeDocument/2006/relationships/hyperlink" Target="https://replay.pokemonshowdown.com/smogtours-gen3ou-804322" TargetMode="External"/><Relationship Id="rId530" Type="http://schemas.openxmlformats.org/officeDocument/2006/relationships/hyperlink" Target="https://replay.pokemonshowdown.com/smogtours-gen3ou-794775" TargetMode="External"/><Relationship Id="rId1123" Type="http://schemas.openxmlformats.org/officeDocument/2006/relationships/hyperlink" Target="https://replay.pokemonshowdown.com/smogtours-gen3ou-796404" TargetMode="External"/><Relationship Id="rId2454" Type="http://schemas.openxmlformats.org/officeDocument/2006/relationships/hyperlink" Target="https://replay.pokemonshowdown.com/smogtours-gen3ou-799544" TargetMode="External"/><Relationship Id="rId3786" Type="http://schemas.openxmlformats.org/officeDocument/2006/relationships/hyperlink" Target="https://replay.pokemonshowdown.com/smogtours-gen3ou-804011" TargetMode="External"/><Relationship Id="rId1124" Type="http://schemas.openxmlformats.org/officeDocument/2006/relationships/hyperlink" Target="https://replay.pokemonshowdown.com/smogtours-gen3ou-796406" TargetMode="External"/><Relationship Id="rId2455" Type="http://schemas.openxmlformats.org/officeDocument/2006/relationships/hyperlink" Target="https://replay.pokemonshowdown.com/smogtours-gen3ou-799868" TargetMode="External"/><Relationship Id="rId3785" Type="http://schemas.openxmlformats.org/officeDocument/2006/relationships/hyperlink" Target="https://replay.pokemonshowdown.com/smogtours-gen3ou-804000" TargetMode="External"/><Relationship Id="rId1158" Type="http://schemas.openxmlformats.org/officeDocument/2006/relationships/hyperlink" Target="https://replay.pokemonshowdown.com/smogtours-gen3ou-796521" TargetMode="External"/><Relationship Id="rId2489" Type="http://schemas.openxmlformats.org/officeDocument/2006/relationships/hyperlink" Target="https://replay.pokemonshowdown.com/smogtours-gen3ou-799995" TargetMode="External"/><Relationship Id="rId1159" Type="http://schemas.openxmlformats.org/officeDocument/2006/relationships/hyperlink" Target="https://replay.pokemonshowdown.com/smogtours-gen3ou-796526" TargetMode="External"/><Relationship Id="rId569" Type="http://schemas.openxmlformats.org/officeDocument/2006/relationships/hyperlink" Target="https://replay.pokemonshowdown.com/smogtours-gen3ou-794798" TargetMode="External"/><Relationship Id="rId568" Type="http://schemas.openxmlformats.org/officeDocument/2006/relationships/hyperlink" Target="https://replay.pokemonshowdown.com/smogtours-gen3ou-794795" TargetMode="External"/><Relationship Id="rId567" Type="http://schemas.openxmlformats.org/officeDocument/2006/relationships/hyperlink" Target="https://replay.pokemonshowdown.com/smogtours-gen3ou-794439" TargetMode="External"/><Relationship Id="rId566" Type="http://schemas.openxmlformats.org/officeDocument/2006/relationships/hyperlink" Target="https://replay.pokemonshowdown.com/smogtours-gen3ou-794432" TargetMode="External"/><Relationship Id="rId2480" Type="http://schemas.openxmlformats.org/officeDocument/2006/relationships/hyperlink" Target="https://replay.pokemonshowdown.com/smogtours-gen3ou-800511" TargetMode="External"/><Relationship Id="rId561" Type="http://schemas.openxmlformats.org/officeDocument/2006/relationships/hyperlink" Target="https://replay.pokemonshowdown.com/smogtours-gen3ou-795045" TargetMode="External"/><Relationship Id="rId1150" Type="http://schemas.openxmlformats.org/officeDocument/2006/relationships/hyperlink" Target="https://replay.pokemonshowdown.com/smogtours-gen3ou-796793" TargetMode="External"/><Relationship Id="rId2481" Type="http://schemas.openxmlformats.org/officeDocument/2006/relationships/hyperlink" Target="https://replay.pokemonshowdown.com/smogtours-gen3ou-800501" TargetMode="External"/><Relationship Id="rId560" Type="http://schemas.openxmlformats.org/officeDocument/2006/relationships/hyperlink" Target="https://replay.pokemonshowdown.com/smogtours-gen3ou-795057?p2" TargetMode="External"/><Relationship Id="rId1151" Type="http://schemas.openxmlformats.org/officeDocument/2006/relationships/hyperlink" Target="https://replay.pokemonshowdown.com/smogtours-gen3ou-796227" TargetMode="External"/><Relationship Id="rId2482" Type="http://schemas.openxmlformats.org/officeDocument/2006/relationships/hyperlink" Target="https://replay.pokemonshowdown.com/smogtours-gen3ou-799117" TargetMode="External"/><Relationship Id="rId1152" Type="http://schemas.openxmlformats.org/officeDocument/2006/relationships/hyperlink" Target="https://replay.pokemonshowdown.com/smogtours-gen3ou-796232" TargetMode="External"/><Relationship Id="rId2483" Type="http://schemas.openxmlformats.org/officeDocument/2006/relationships/hyperlink" Target="https://replay.pokemonshowdown.com/smogtours-gen3ou-799119" TargetMode="External"/><Relationship Id="rId1153" Type="http://schemas.openxmlformats.org/officeDocument/2006/relationships/hyperlink" Target="https://replay.pokemonshowdown.com/smogtours-gen3ou-796237" TargetMode="External"/><Relationship Id="rId2484" Type="http://schemas.openxmlformats.org/officeDocument/2006/relationships/hyperlink" Target="https://replay.pokemonshowdown.com/smogtours-gen3ou-799121" TargetMode="External"/><Relationship Id="rId565" Type="http://schemas.openxmlformats.org/officeDocument/2006/relationships/hyperlink" Target="https://replay.pokemonshowdown.com/smogtours-gen3ou-794447" TargetMode="External"/><Relationship Id="rId1154" Type="http://schemas.openxmlformats.org/officeDocument/2006/relationships/hyperlink" Target="https://replay.pokemonshowdown.com/smogtours-gen3ou-796557" TargetMode="External"/><Relationship Id="rId2485" Type="http://schemas.openxmlformats.org/officeDocument/2006/relationships/hyperlink" Target="https://replay.pokemonshowdown.com/smogtours-gen3ou-799782" TargetMode="External"/><Relationship Id="rId564" Type="http://schemas.openxmlformats.org/officeDocument/2006/relationships/hyperlink" Target="https://replay.pokemonshowdown.com/smogtours-gen3ou-794443" TargetMode="External"/><Relationship Id="rId1155" Type="http://schemas.openxmlformats.org/officeDocument/2006/relationships/hyperlink" Target="https://replay.pokemonshowdown.com/smogtours-gen3ou-796565" TargetMode="External"/><Relationship Id="rId2486" Type="http://schemas.openxmlformats.org/officeDocument/2006/relationships/hyperlink" Target="https://replay.pokemonshowdown.com/smogtours-gen3ou-799784" TargetMode="External"/><Relationship Id="rId563" Type="http://schemas.openxmlformats.org/officeDocument/2006/relationships/hyperlink" Target="https://replay.pokemonshowdown.com/smogtours-gen3ou-795058" TargetMode="External"/><Relationship Id="rId1156" Type="http://schemas.openxmlformats.org/officeDocument/2006/relationships/hyperlink" Target="https://replay.pokemonshowdown.com/smogtours-gen3ou-796568" TargetMode="External"/><Relationship Id="rId2487" Type="http://schemas.openxmlformats.org/officeDocument/2006/relationships/hyperlink" Target="https://replay.pokemonshowdown.com/smogtours-gen3ou-799786" TargetMode="External"/><Relationship Id="rId562" Type="http://schemas.openxmlformats.org/officeDocument/2006/relationships/hyperlink" Target="https://replay.pokemonshowdown.com/smogtours-gen3ou-795052" TargetMode="External"/><Relationship Id="rId1157" Type="http://schemas.openxmlformats.org/officeDocument/2006/relationships/hyperlink" Target="https://replay.pokemonshowdown.com/smogtours-gen3ou-796517" TargetMode="External"/><Relationship Id="rId2488" Type="http://schemas.openxmlformats.org/officeDocument/2006/relationships/hyperlink" Target="https://replay.pokemonshowdown.com/smogtours-gen3ou-799986" TargetMode="External"/><Relationship Id="rId1147" Type="http://schemas.openxmlformats.org/officeDocument/2006/relationships/hyperlink" Target="https://replay.pokemonshowdown.com/smogtours-gen3ou-796967?p2" TargetMode="External"/><Relationship Id="rId2478" Type="http://schemas.openxmlformats.org/officeDocument/2006/relationships/hyperlink" Target="https://replay.pokemonshowdown.com/smogtours-gen3ou-800043" TargetMode="External"/><Relationship Id="rId1148" Type="http://schemas.openxmlformats.org/officeDocument/2006/relationships/hyperlink" Target="https://replay.pokemonshowdown.com/smogtours-gen3ou-796980?p2" TargetMode="External"/><Relationship Id="rId2479" Type="http://schemas.openxmlformats.org/officeDocument/2006/relationships/hyperlink" Target="https://replay.pokemonshowdown.com/smogtours-gen3ou-800047" TargetMode="External"/><Relationship Id="rId1149" Type="http://schemas.openxmlformats.org/officeDocument/2006/relationships/hyperlink" Target="https://replay.pokemonshowdown.com/smogtours-gen3ou-796784" TargetMode="External"/><Relationship Id="rId558" Type="http://schemas.openxmlformats.org/officeDocument/2006/relationships/hyperlink" Target="https://replay.pokemonshowdown.com/smogtours-gen3ou-794566" TargetMode="External"/><Relationship Id="rId557" Type="http://schemas.openxmlformats.org/officeDocument/2006/relationships/hyperlink" Target="https://replay.pokemonshowdown.com/smogtours-gen3ou-794563" TargetMode="External"/><Relationship Id="rId556" Type="http://schemas.openxmlformats.org/officeDocument/2006/relationships/hyperlink" Target="https://replay.pokemonshowdown.com/smogtours-gen3ou-794559" TargetMode="External"/><Relationship Id="rId555" Type="http://schemas.openxmlformats.org/officeDocument/2006/relationships/hyperlink" Target="https://replay.pokemonshowdown.com/smogtours-gen3ou-794549" TargetMode="External"/><Relationship Id="rId559" Type="http://schemas.openxmlformats.org/officeDocument/2006/relationships/hyperlink" Target="https://replay.pokemonshowdown.com/smogtours-gen3ou-795063" TargetMode="External"/><Relationship Id="rId550" Type="http://schemas.openxmlformats.org/officeDocument/2006/relationships/hyperlink" Target="https://replay.pokemonshowdown.com/smogtours-gen3ou-794268" TargetMode="External"/><Relationship Id="rId2470" Type="http://schemas.openxmlformats.org/officeDocument/2006/relationships/hyperlink" Target="https://replay.pokemonshowdown.com/smogtours-gen3ou-799516" TargetMode="External"/><Relationship Id="rId1140" Type="http://schemas.openxmlformats.org/officeDocument/2006/relationships/hyperlink" Target="https://replay.pokemonshowdown.com/smogtours-gen3ou-796174" TargetMode="External"/><Relationship Id="rId2471" Type="http://schemas.openxmlformats.org/officeDocument/2006/relationships/hyperlink" Target="https://replay.pokemonshowdown.com/smogtours-gen3ou-800123" TargetMode="External"/><Relationship Id="rId1141" Type="http://schemas.openxmlformats.org/officeDocument/2006/relationships/hyperlink" Target="https://replay.pokemonshowdown.com/smogtours-gen3ou-796667" TargetMode="External"/><Relationship Id="rId2472" Type="http://schemas.openxmlformats.org/officeDocument/2006/relationships/hyperlink" Target="https://replay.pokemonshowdown.com/smogtours-gen3ou-800131" TargetMode="External"/><Relationship Id="rId1142" Type="http://schemas.openxmlformats.org/officeDocument/2006/relationships/hyperlink" Target="https://replay.pokemonshowdown.com/smogtours-gen3ou-796671?p2" TargetMode="External"/><Relationship Id="rId2473" Type="http://schemas.openxmlformats.org/officeDocument/2006/relationships/hyperlink" Target="https://replay.pokemonshowdown.com/smogtours-gen3ou-800140" TargetMode="External"/><Relationship Id="rId554" Type="http://schemas.openxmlformats.org/officeDocument/2006/relationships/hyperlink" Target="https://replay.pokemonshowdown.com/smogtours-gen3ou-794548" TargetMode="External"/><Relationship Id="rId1143" Type="http://schemas.openxmlformats.org/officeDocument/2006/relationships/hyperlink" Target="https://replay.pokemonshowdown.com/smogtours-gen3ou-796899" TargetMode="External"/><Relationship Id="rId2474" Type="http://schemas.openxmlformats.org/officeDocument/2006/relationships/hyperlink" Target="https://replay.pokemonshowdown.com/smogtours-gen3ou-799553" TargetMode="External"/><Relationship Id="rId553" Type="http://schemas.openxmlformats.org/officeDocument/2006/relationships/hyperlink" Target="https://replay.pokemonshowdown.com/smogtours-gen3ou-795192" TargetMode="External"/><Relationship Id="rId1144" Type="http://schemas.openxmlformats.org/officeDocument/2006/relationships/hyperlink" Target="https://replay.pokemonshowdown.com/smogtours-gen3ou-796904" TargetMode="External"/><Relationship Id="rId2475" Type="http://schemas.openxmlformats.org/officeDocument/2006/relationships/hyperlink" Target="https://replay.pokemonshowdown.com/smogtours-gen3ou-799560" TargetMode="External"/><Relationship Id="rId552" Type="http://schemas.openxmlformats.org/officeDocument/2006/relationships/hyperlink" Target="https://replay.pokemonshowdown.com/smogtours-gen3ou-795185" TargetMode="External"/><Relationship Id="rId1145" Type="http://schemas.openxmlformats.org/officeDocument/2006/relationships/hyperlink" Target="https://replay.pokemonshowdown.com/smogtours-gen3ou-796883" TargetMode="External"/><Relationship Id="rId2476" Type="http://schemas.openxmlformats.org/officeDocument/2006/relationships/hyperlink" Target="https://replay.pokemonshowdown.com/smogtours-gen3ou-799755" TargetMode="External"/><Relationship Id="rId551" Type="http://schemas.openxmlformats.org/officeDocument/2006/relationships/hyperlink" Target="https://replay.pokemonshowdown.com/smogtours-gen3ou-794273" TargetMode="External"/><Relationship Id="rId1146" Type="http://schemas.openxmlformats.org/officeDocument/2006/relationships/hyperlink" Target="https://replay.pokemonshowdown.com/smogtours-gen3ou-796881" TargetMode="External"/><Relationship Id="rId2477" Type="http://schemas.openxmlformats.org/officeDocument/2006/relationships/hyperlink" Target="https://replay.pokemonshowdown.com/smogtours-gen3ou-799758" TargetMode="External"/><Relationship Id="rId495" Type="http://schemas.openxmlformats.org/officeDocument/2006/relationships/hyperlink" Target="https://replay.pokemonshowdown.com/smogtours-gen3ou-794865" TargetMode="External"/><Relationship Id="rId494" Type="http://schemas.openxmlformats.org/officeDocument/2006/relationships/hyperlink" Target="https://replay.pokemonshowdown.com/smogtours-gen3ou-794862" TargetMode="External"/><Relationship Id="rId493" Type="http://schemas.openxmlformats.org/officeDocument/2006/relationships/hyperlink" Target="https://replay.pokemonshowdown.com/smogtours-gen3ou-794860" TargetMode="External"/><Relationship Id="rId492" Type="http://schemas.openxmlformats.org/officeDocument/2006/relationships/hyperlink" Target="https://replay.pokemonshowdown.com/smogtours-gen3ou-794998" TargetMode="External"/><Relationship Id="rId499" Type="http://schemas.openxmlformats.org/officeDocument/2006/relationships/hyperlink" Target="https://replay.pokemonshowdown.com/smogtours-gen3ou-794909" TargetMode="External"/><Relationship Id="rId498" Type="http://schemas.openxmlformats.org/officeDocument/2006/relationships/hyperlink" Target="https://replay.pokemonshowdown.com/smogtours-gen3ou-794896" TargetMode="External"/><Relationship Id="rId497" Type="http://schemas.openxmlformats.org/officeDocument/2006/relationships/hyperlink" Target="https://replay.pokemonshowdown.com/smogtours-gen3ou-795030" TargetMode="External"/><Relationship Id="rId496" Type="http://schemas.openxmlformats.org/officeDocument/2006/relationships/hyperlink" Target="https://replay.pokemonshowdown.com/smogtours-gen3ou-795027" TargetMode="External"/><Relationship Id="rId3810" Type="http://schemas.openxmlformats.org/officeDocument/2006/relationships/hyperlink" Target="https://replay.pokemonshowdown.com/smogtours-gen3ou-804835" TargetMode="External"/><Relationship Id="rId3812" Type="http://schemas.openxmlformats.org/officeDocument/2006/relationships/hyperlink" Target="https://replay.pokemonshowdown.com/smogtours-gen3ou-804727" TargetMode="External"/><Relationship Id="rId3811" Type="http://schemas.openxmlformats.org/officeDocument/2006/relationships/hyperlink" Target="https://replay.pokemonshowdown.com/smogtours-gen3ou-804837" TargetMode="External"/><Relationship Id="rId3814" Type="http://schemas.openxmlformats.org/officeDocument/2006/relationships/hyperlink" Target="https://replay.pokemonshowdown.com/smogtours-gen3ou-804732" TargetMode="External"/><Relationship Id="rId3813" Type="http://schemas.openxmlformats.org/officeDocument/2006/relationships/hyperlink" Target="https://replay.pokemonshowdown.com/smogtours-gen3ou-804729" TargetMode="External"/><Relationship Id="rId3816" Type="http://schemas.openxmlformats.org/officeDocument/2006/relationships/hyperlink" Target="https://replay.pokemonshowdown.com/smogtours-gen3ou-804823" TargetMode="External"/><Relationship Id="rId3815" Type="http://schemas.openxmlformats.org/officeDocument/2006/relationships/hyperlink" Target="https://replay.pokemonshowdown.com/smogtours-gen3ou-804821" TargetMode="External"/><Relationship Id="rId3818" Type="http://schemas.openxmlformats.org/officeDocument/2006/relationships/hyperlink" Target="https://replay.pokemonshowdown.com/smogtours-gen3ou-804783" TargetMode="External"/><Relationship Id="rId3817" Type="http://schemas.openxmlformats.org/officeDocument/2006/relationships/hyperlink" Target="https://replay.pokemonshowdown.com/smogtours-gen3ou-804826" TargetMode="External"/><Relationship Id="rId3819" Type="http://schemas.openxmlformats.org/officeDocument/2006/relationships/hyperlink" Target="https://replay.pokemonshowdown.com/smogtours-gen3ou-804788" TargetMode="External"/><Relationship Id="rId3801" Type="http://schemas.openxmlformats.org/officeDocument/2006/relationships/hyperlink" Target="https://replay.pokemonshowdown.com/smogtours-gen3ou-804621" TargetMode="External"/><Relationship Id="rId3800" Type="http://schemas.openxmlformats.org/officeDocument/2006/relationships/hyperlink" Target="https://replay.pokemonshowdown.com/smogtours-gen3ou-804618" TargetMode="External"/><Relationship Id="rId3803" Type="http://schemas.openxmlformats.org/officeDocument/2006/relationships/hyperlink" Target="https://replay.pokemonshowdown.com/smogtours-gen3ou-804714" TargetMode="External"/><Relationship Id="rId3802" Type="http://schemas.openxmlformats.org/officeDocument/2006/relationships/hyperlink" Target="https://replay.pokemonshowdown.com/smogtours-gen3ou-804646" TargetMode="External"/><Relationship Id="rId3805" Type="http://schemas.openxmlformats.org/officeDocument/2006/relationships/hyperlink" Target="https://replay.pokemonshowdown.com/smogtours-gen3ou-804717" TargetMode="External"/><Relationship Id="rId3804" Type="http://schemas.openxmlformats.org/officeDocument/2006/relationships/hyperlink" Target="https://replay.pokemonshowdown.com/smogtours-gen3ou-804715" TargetMode="External"/><Relationship Id="rId3807" Type="http://schemas.openxmlformats.org/officeDocument/2006/relationships/hyperlink" Target="https://replay.pokemonshowdown.com/smogtours-gen3ou-804706" TargetMode="External"/><Relationship Id="rId3806" Type="http://schemas.openxmlformats.org/officeDocument/2006/relationships/hyperlink" Target="https://replay.pokemonshowdown.com/smogtours-gen3ou-804700" TargetMode="External"/><Relationship Id="rId3809" Type="http://schemas.openxmlformats.org/officeDocument/2006/relationships/hyperlink" Target="https://replay.pokemonshowdown.com/smogtours-gen3ou-804831" TargetMode="External"/><Relationship Id="rId3808" Type="http://schemas.openxmlformats.org/officeDocument/2006/relationships/hyperlink" Target="https://replay.pokemonshowdown.com/smogtours-gen3ou-804827" TargetMode="External"/><Relationship Id="rId1213" Type="http://schemas.openxmlformats.org/officeDocument/2006/relationships/hyperlink" Target="https://replay.pokemonshowdown.com/smogtours-gen3ou-797043" TargetMode="External"/><Relationship Id="rId2544" Type="http://schemas.openxmlformats.org/officeDocument/2006/relationships/hyperlink" Target="https://replay.pokemonshowdown.com/smogtours-gen3ou-799843" TargetMode="External"/><Relationship Id="rId3876" Type="http://schemas.openxmlformats.org/officeDocument/2006/relationships/hyperlink" Target="https://replay.pokemonshowdown.com/smogtours-gen3ou-804756" TargetMode="External"/><Relationship Id="rId1214" Type="http://schemas.openxmlformats.org/officeDocument/2006/relationships/hyperlink" Target="https://replay.pokemonshowdown.com/smogtours-gen3ou-797054" TargetMode="External"/><Relationship Id="rId2545" Type="http://schemas.openxmlformats.org/officeDocument/2006/relationships/hyperlink" Target="https://replay.pokemonshowdown.com/smogtours-gen3ou-800080" TargetMode="External"/><Relationship Id="rId3875" Type="http://schemas.openxmlformats.org/officeDocument/2006/relationships/hyperlink" Target="https://replay.pokemonshowdown.com/smogtours-gen3ou-804755" TargetMode="External"/><Relationship Id="rId1215" Type="http://schemas.openxmlformats.org/officeDocument/2006/relationships/hyperlink" Target="https://replay.pokemonshowdown.com/smogtours-gen3ou-796223" TargetMode="External"/><Relationship Id="rId2546" Type="http://schemas.openxmlformats.org/officeDocument/2006/relationships/hyperlink" Target="https://replay.pokemonshowdown.com/smogtours-gen3ou-800087" TargetMode="External"/><Relationship Id="rId3878" Type="http://schemas.openxmlformats.org/officeDocument/2006/relationships/hyperlink" Target="https://replay.pokemonshowdown.com/smogtours-gen3ou-804807" TargetMode="External"/><Relationship Id="rId1216" Type="http://schemas.openxmlformats.org/officeDocument/2006/relationships/hyperlink" Target="https://replay.pokemonshowdown.com/smogtours-gen3ou-796228" TargetMode="External"/><Relationship Id="rId2547" Type="http://schemas.openxmlformats.org/officeDocument/2006/relationships/hyperlink" Target="https://replay.pokemonshowdown.com/smogtours-gen3ou-800095" TargetMode="External"/><Relationship Id="rId3877" Type="http://schemas.openxmlformats.org/officeDocument/2006/relationships/hyperlink" Target="https://replay.pokemonshowdown.com/smogtours-gen3ou-804804" TargetMode="External"/><Relationship Id="rId1217" Type="http://schemas.openxmlformats.org/officeDocument/2006/relationships/hyperlink" Target="https://replay.pokemonshowdown.com/smogtours-gen3ou-796230" TargetMode="External"/><Relationship Id="rId2548" Type="http://schemas.openxmlformats.org/officeDocument/2006/relationships/hyperlink" Target="https://replay.pokemonshowdown.com/smogtours-gen3ou-800165" TargetMode="External"/><Relationship Id="rId1218" Type="http://schemas.openxmlformats.org/officeDocument/2006/relationships/hyperlink" Target="https://replay.pokemonshowdown.com/smogtours-gen3ou-796162" TargetMode="External"/><Relationship Id="rId2549" Type="http://schemas.openxmlformats.org/officeDocument/2006/relationships/hyperlink" Target="https://replay.pokemonshowdown.com/smogtours-gen3ou-800171" TargetMode="External"/><Relationship Id="rId3879" Type="http://schemas.openxmlformats.org/officeDocument/2006/relationships/hyperlink" Target="https://replay.pokemonshowdown.com/smogtours-gen3ou-804785" TargetMode="External"/><Relationship Id="rId1219" Type="http://schemas.openxmlformats.org/officeDocument/2006/relationships/hyperlink" Target="https://replay.pokemonshowdown.com/smogtours-gen3ou-796163" TargetMode="External"/><Relationship Id="rId3870" Type="http://schemas.openxmlformats.org/officeDocument/2006/relationships/hyperlink" Target="https://replay.pokemonshowdown.com/smogtours-gen3ou-804743?p2" TargetMode="External"/><Relationship Id="rId2540" Type="http://schemas.openxmlformats.org/officeDocument/2006/relationships/hyperlink" Target="https://replay.pokemonshowdown.com/smogtours-gen3ou-799521" TargetMode="External"/><Relationship Id="rId3872" Type="http://schemas.openxmlformats.org/officeDocument/2006/relationships/hyperlink" Target="https://replay.pokemonshowdown.com/smogtours-gen3ou-804745?p2" TargetMode="External"/><Relationship Id="rId1210" Type="http://schemas.openxmlformats.org/officeDocument/2006/relationships/hyperlink" Target="https://replay.pokemonshowdown.com/smogtours-gen3ou-796995" TargetMode="External"/><Relationship Id="rId2541" Type="http://schemas.openxmlformats.org/officeDocument/2006/relationships/hyperlink" Target="https://replay.pokemonshowdown.com/smogtours-gen3ou-799525" TargetMode="External"/><Relationship Id="rId3871" Type="http://schemas.openxmlformats.org/officeDocument/2006/relationships/hyperlink" Target="https://replay.pokemonshowdown.com/smogtours-gen3ou-804744?p2" TargetMode="External"/><Relationship Id="rId1211" Type="http://schemas.openxmlformats.org/officeDocument/2006/relationships/hyperlink" Target="https://replay.pokemonshowdown.com/smogtours-gen3ou-797000" TargetMode="External"/><Relationship Id="rId2542" Type="http://schemas.openxmlformats.org/officeDocument/2006/relationships/hyperlink" Target="https://replay.pokemonshowdown.com/smogtours-gen3ou-799527" TargetMode="External"/><Relationship Id="rId3874" Type="http://schemas.openxmlformats.org/officeDocument/2006/relationships/hyperlink" Target="https://replay.pokemonshowdown.com/smogtours-gen3ou-804525" TargetMode="External"/><Relationship Id="rId1212" Type="http://schemas.openxmlformats.org/officeDocument/2006/relationships/hyperlink" Target="https://replay.pokemonshowdown.com/smogtours-gen3ou-797037" TargetMode="External"/><Relationship Id="rId2543" Type="http://schemas.openxmlformats.org/officeDocument/2006/relationships/hyperlink" Target="https://replay.pokemonshowdown.com/smogtours-gen3ou-799843" TargetMode="External"/><Relationship Id="rId3873" Type="http://schemas.openxmlformats.org/officeDocument/2006/relationships/hyperlink" Target="https://replay.pokemonshowdown.com/smogtours-gen3ou-804518" TargetMode="External"/><Relationship Id="rId1202" Type="http://schemas.openxmlformats.org/officeDocument/2006/relationships/hyperlink" Target="https://replay.pokemonshowdown.com/smogtours-gen3ou-797006" TargetMode="External"/><Relationship Id="rId2533" Type="http://schemas.openxmlformats.org/officeDocument/2006/relationships/hyperlink" Target="https://replay.pokemonshowdown.com/smogtours-gen3ou-799483" TargetMode="External"/><Relationship Id="rId3865" Type="http://schemas.openxmlformats.org/officeDocument/2006/relationships/hyperlink" Target="https://replay.pokemonshowdown.com/smogtours-gen3ou-804767" TargetMode="External"/><Relationship Id="rId1203" Type="http://schemas.openxmlformats.org/officeDocument/2006/relationships/hyperlink" Target="https://replay.pokemonshowdown.com/smogtours-gen3ou-797022" TargetMode="External"/><Relationship Id="rId2534" Type="http://schemas.openxmlformats.org/officeDocument/2006/relationships/hyperlink" Target="https://replay.pokemonshowdown.com/smogtours-gen3ou-799485" TargetMode="External"/><Relationship Id="rId3864" Type="http://schemas.openxmlformats.org/officeDocument/2006/relationships/hyperlink" Target="https://replay.pokemonshowdown.com/smogtours-gen3ou-804852" TargetMode="External"/><Relationship Id="rId1204" Type="http://schemas.openxmlformats.org/officeDocument/2006/relationships/hyperlink" Target="https://replay.pokemonshowdown.com/smogtours-gen3ou-797027" TargetMode="External"/><Relationship Id="rId2535" Type="http://schemas.openxmlformats.org/officeDocument/2006/relationships/hyperlink" Target="https://replay.pokemonshowdown.com/smogtours-gen3ou-799811" TargetMode="External"/><Relationship Id="rId3867" Type="http://schemas.openxmlformats.org/officeDocument/2006/relationships/hyperlink" Target="https://replay.pokemonshowdown.com/smogtours-gen3ou-804778" TargetMode="External"/><Relationship Id="rId1205" Type="http://schemas.openxmlformats.org/officeDocument/2006/relationships/hyperlink" Target="https://replay.pokemonshowdown.com/smogtours-gen3ou-797032" TargetMode="External"/><Relationship Id="rId2536" Type="http://schemas.openxmlformats.org/officeDocument/2006/relationships/hyperlink" Target="https://replay.pokemonshowdown.com/smogtours-gen3ou-799812" TargetMode="External"/><Relationship Id="rId3866" Type="http://schemas.openxmlformats.org/officeDocument/2006/relationships/hyperlink" Target="https://replay.pokemonshowdown.com/smogtours-gen3ou-804771" TargetMode="External"/><Relationship Id="rId1206" Type="http://schemas.openxmlformats.org/officeDocument/2006/relationships/hyperlink" Target="https://replay.pokemonshowdown.com/smogtours-gen3ou-797020" TargetMode="External"/><Relationship Id="rId2537" Type="http://schemas.openxmlformats.org/officeDocument/2006/relationships/hyperlink" Target="https://replay.pokemonshowdown.com/smogtours-gen3ou-800246" TargetMode="External"/><Relationship Id="rId3869" Type="http://schemas.openxmlformats.org/officeDocument/2006/relationships/hyperlink" Target="https://replay.pokemonshowdown.com/smogtours-gen3ou-804857" TargetMode="External"/><Relationship Id="rId1207" Type="http://schemas.openxmlformats.org/officeDocument/2006/relationships/hyperlink" Target="https://replay.pokemonshowdown.com/smogtours-gen3ou-797026" TargetMode="External"/><Relationship Id="rId2538" Type="http://schemas.openxmlformats.org/officeDocument/2006/relationships/hyperlink" Target="https://replay.pokemonshowdown.com/smogtours-gen3ou-800251" TargetMode="External"/><Relationship Id="rId3868" Type="http://schemas.openxmlformats.org/officeDocument/2006/relationships/hyperlink" Target="https://replay.pokemonshowdown.com/smogtours-gen3ou-804855" TargetMode="External"/><Relationship Id="rId1208" Type="http://schemas.openxmlformats.org/officeDocument/2006/relationships/hyperlink" Target="https://replay.pokemonshowdown.com/smogtours-gen3ou-797034" TargetMode="External"/><Relationship Id="rId2539" Type="http://schemas.openxmlformats.org/officeDocument/2006/relationships/hyperlink" Target="https://replay.pokemonshowdown.com/smogtours-gen3ou-800253" TargetMode="External"/><Relationship Id="rId1209" Type="http://schemas.openxmlformats.org/officeDocument/2006/relationships/hyperlink" Target="https://replay.pokemonshowdown.com/smogtours-gen3ou-796992" TargetMode="External"/><Relationship Id="rId3861" Type="http://schemas.openxmlformats.org/officeDocument/2006/relationships/hyperlink" Target="https://replay.pokemonshowdown.com/smogtours-gen3ou-804789" TargetMode="External"/><Relationship Id="rId2530" Type="http://schemas.openxmlformats.org/officeDocument/2006/relationships/hyperlink" Target="https://replay.pokemonshowdown.com/smogtours-gen3ou-799688" TargetMode="External"/><Relationship Id="rId3860" Type="http://schemas.openxmlformats.org/officeDocument/2006/relationships/hyperlink" Target="https://replay.pokemonshowdown.com/smogtours-gen3ou-804782" TargetMode="External"/><Relationship Id="rId1200" Type="http://schemas.openxmlformats.org/officeDocument/2006/relationships/hyperlink" Target="https://replay.pokemonshowdown.com/smogtours-gen3ou-796996" TargetMode="External"/><Relationship Id="rId2531" Type="http://schemas.openxmlformats.org/officeDocument/2006/relationships/hyperlink" Target="https://replay.pokemonshowdown.com/smogtours-gen3ou-800160" TargetMode="External"/><Relationship Id="rId3863" Type="http://schemas.openxmlformats.org/officeDocument/2006/relationships/hyperlink" Target="https://replay.pokemonshowdown.com/smogtours-gen3ou-804850" TargetMode="External"/><Relationship Id="rId1201" Type="http://schemas.openxmlformats.org/officeDocument/2006/relationships/hyperlink" Target="https://replay.pokemonshowdown.com/smogtours-gen3ou-797001" TargetMode="External"/><Relationship Id="rId2532" Type="http://schemas.openxmlformats.org/officeDocument/2006/relationships/hyperlink" Target="https://replay.pokemonshowdown.com/smogtours-gen3ou-800163" TargetMode="External"/><Relationship Id="rId3862" Type="http://schemas.openxmlformats.org/officeDocument/2006/relationships/hyperlink" Target="https://replay.pokemonshowdown.com/smogtours-gen3ou-804842" TargetMode="External"/><Relationship Id="rId1235" Type="http://schemas.openxmlformats.org/officeDocument/2006/relationships/hyperlink" Target="https://replay.pokemonshowdown.com/smogtours-gen3ou-796439" TargetMode="External"/><Relationship Id="rId2566" Type="http://schemas.openxmlformats.org/officeDocument/2006/relationships/hyperlink" Target="https://replay.pokemonshowdown.com/smogtours-gen3ou-800682" TargetMode="External"/><Relationship Id="rId3898" Type="http://schemas.openxmlformats.org/officeDocument/2006/relationships/hyperlink" Target="https://replay.pokemonshowdown.com/smogtours-gen3ou-804986" TargetMode="External"/><Relationship Id="rId1236" Type="http://schemas.openxmlformats.org/officeDocument/2006/relationships/hyperlink" Target="https://replay.pokemonshowdown.com/smogtours-gen3ou-796451" TargetMode="External"/><Relationship Id="rId2567" Type="http://schemas.openxmlformats.org/officeDocument/2006/relationships/hyperlink" Target="https://replay.pokemonshowdown.com/smogtours-gen3ou-800691" TargetMode="External"/><Relationship Id="rId3897" Type="http://schemas.openxmlformats.org/officeDocument/2006/relationships/hyperlink" Target="https://replay.pokemonshowdown.com/smogtours-gen3ou-804951" TargetMode="External"/><Relationship Id="rId1237" Type="http://schemas.openxmlformats.org/officeDocument/2006/relationships/hyperlink" Target="https://replay.pokemonshowdown.com/smogtours-gen3ou-796456" TargetMode="External"/><Relationship Id="rId2568" Type="http://schemas.openxmlformats.org/officeDocument/2006/relationships/hyperlink" Target="https://replay.pokemonshowdown.com/smogtours-gen3ou-800802" TargetMode="External"/><Relationship Id="rId1238" Type="http://schemas.openxmlformats.org/officeDocument/2006/relationships/hyperlink" Target="https://replay.pokemonshowdown.com/smogtours-gen3ou-796325" TargetMode="External"/><Relationship Id="rId2569" Type="http://schemas.openxmlformats.org/officeDocument/2006/relationships/hyperlink" Target="https://replay.pokemonshowdown.com/smogtours-gen3ou-800793" TargetMode="External"/><Relationship Id="rId3899" Type="http://schemas.openxmlformats.org/officeDocument/2006/relationships/hyperlink" Target="https://replay.pokemonshowdown.com/smogtours-gen3ou-804987" TargetMode="External"/><Relationship Id="rId1239" Type="http://schemas.openxmlformats.org/officeDocument/2006/relationships/hyperlink" Target="https://replay.pokemonshowdown.com/smogtours-gen3ou-796328" TargetMode="External"/><Relationship Id="rId409" Type="http://schemas.openxmlformats.org/officeDocument/2006/relationships/hyperlink" Target="https://replay.pokemonshowdown.com/smogtours-gen3ou-794385" TargetMode="External"/><Relationship Id="rId404" Type="http://schemas.openxmlformats.org/officeDocument/2006/relationships/hyperlink" Target="https://replay.pokemonshowdown.com/smogtours-gen3ou-794422" TargetMode="External"/><Relationship Id="rId403" Type="http://schemas.openxmlformats.org/officeDocument/2006/relationships/hyperlink" Target="https://replay.pokemonshowdown.com/smogtours-gen3ou-794418" TargetMode="External"/><Relationship Id="rId402" Type="http://schemas.openxmlformats.org/officeDocument/2006/relationships/hyperlink" Target="https://replay.pokemonshowdown.com/smogtours-gen3ou-794166" TargetMode="External"/><Relationship Id="rId401" Type="http://schemas.openxmlformats.org/officeDocument/2006/relationships/hyperlink" Target="https://replay.pokemonshowdown.com/smogtours-gen3ou-794161" TargetMode="External"/><Relationship Id="rId408" Type="http://schemas.openxmlformats.org/officeDocument/2006/relationships/hyperlink" Target="https://replay.pokemonshowdown.com/smogtours-gen3ou-794378" TargetMode="External"/><Relationship Id="rId407" Type="http://schemas.openxmlformats.org/officeDocument/2006/relationships/hyperlink" Target="https://replay.pokemonshowdown.com/smogtours-gen3ou-794719" TargetMode="External"/><Relationship Id="rId406" Type="http://schemas.openxmlformats.org/officeDocument/2006/relationships/hyperlink" Target="https://replay.pokemonshowdown.com/smogtours-gen3ou-794715" TargetMode="External"/><Relationship Id="rId405" Type="http://schemas.openxmlformats.org/officeDocument/2006/relationships/hyperlink" Target="https://replay.pokemonshowdown.com/smogtours-gen3ou-794704" TargetMode="External"/><Relationship Id="rId3890" Type="http://schemas.openxmlformats.org/officeDocument/2006/relationships/hyperlink" Target="https://replay.pokemonshowdown.com/smogtours-gen3ou-804900" TargetMode="External"/><Relationship Id="rId2560" Type="http://schemas.openxmlformats.org/officeDocument/2006/relationships/hyperlink" Target="https://replay.pokemonshowdown.com/smogtours-gen3ou-800762" TargetMode="External"/><Relationship Id="rId3892" Type="http://schemas.openxmlformats.org/officeDocument/2006/relationships/hyperlink" Target="https://replay.pokemonshowdown.com/smogtours-gen3ou-804907" TargetMode="External"/><Relationship Id="rId1230" Type="http://schemas.openxmlformats.org/officeDocument/2006/relationships/hyperlink" Target="https://replay.pokemonshowdown.com/smogtours-gen3ou-796562" TargetMode="External"/><Relationship Id="rId2561" Type="http://schemas.openxmlformats.org/officeDocument/2006/relationships/hyperlink" Target="https://replay.pokemonshowdown.com/smogtours-gen3ou-800683" TargetMode="External"/><Relationship Id="rId3891" Type="http://schemas.openxmlformats.org/officeDocument/2006/relationships/hyperlink" Target="https://replay.pokemonshowdown.com/smogtours-gen3ou-804905" TargetMode="External"/><Relationship Id="rId400" Type="http://schemas.openxmlformats.org/officeDocument/2006/relationships/hyperlink" Target="https://replay.pokemonshowdown.com/smogtours-gen3ou-794789" TargetMode="External"/><Relationship Id="rId1231" Type="http://schemas.openxmlformats.org/officeDocument/2006/relationships/hyperlink" Target="https://replay.pokemonshowdown.com/smogtours-gen3ou-796570" TargetMode="External"/><Relationship Id="rId2562" Type="http://schemas.openxmlformats.org/officeDocument/2006/relationships/hyperlink" Target="https://replay.pokemonshowdown.com/smogtours-gen3ou-800732" TargetMode="External"/><Relationship Id="rId3894" Type="http://schemas.openxmlformats.org/officeDocument/2006/relationships/hyperlink" Target="https://replay.pokemonshowdown.com/smogtours-gen3ou-804922" TargetMode="External"/><Relationship Id="rId1232" Type="http://schemas.openxmlformats.org/officeDocument/2006/relationships/hyperlink" Target="https://replay.pokemonshowdown.com/smogtours-gen3ou-796685" TargetMode="External"/><Relationship Id="rId2563" Type="http://schemas.openxmlformats.org/officeDocument/2006/relationships/hyperlink" Target="https://replay.pokemonshowdown.com/smogtours-gen3ou-800759" TargetMode="External"/><Relationship Id="rId3893" Type="http://schemas.openxmlformats.org/officeDocument/2006/relationships/hyperlink" Target="https://replay.pokemonshowdown.com/smogtours-gen3ou-804918" TargetMode="External"/><Relationship Id="rId1233" Type="http://schemas.openxmlformats.org/officeDocument/2006/relationships/hyperlink" Target="https://replay.pokemonshowdown.com/smogtours-gen3ou-796690" TargetMode="External"/><Relationship Id="rId2564" Type="http://schemas.openxmlformats.org/officeDocument/2006/relationships/hyperlink" Target="https://replay.pokemonshowdown.com/smogtours-gen3ou-800703" TargetMode="External"/><Relationship Id="rId3896" Type="http://schemas.openxmlformats.org/officeDocument/2006/relationships/hyperlink" Target="https://replay.pokemonshowdown.com/smogtours-gen3ou-804950" TargetMode="External"/><Relationship Id="rId1234" Type="http://schemas.openxmlformats.org/officeDocument/2006/relationships/hyperlink" Target="https://replay.pokemonshowdown.com/smogtours-gen3ou-796692" TargetMode="External"/><Relationship Id="rId2565" Type="http://schemas.openxmlformats.org/officeDocument/2006/relationships/hyperlink" Target="https://replay.pokemonshowdown.com/smogtours-gen3ou-800665" TargetMode="External"/><Relationship Id="rId3895" Type="http://schemas.openxmlformats.org/officeDocument/2006/relationships/hyperlink" Target="https://replay.pokemonshowdown.com/smogtours-gen3ou-804949" TargetMode="External"/><Relationship Id="rId1224" Type="http://schemas.openxmlformats.org/officeDocument/2006/relationships/hyperlink" Target="https://replay.pokemonshowdown.com/smogtours-gen3ou-795846" TargetMode="External"/><Relationship Id="rId2555" Type="http://schemas.openxmlformats.org/officeDocument/2006/relationships/hyperlink" Target="https://replay.pokemonshowdown.com/smogtours-gen3ou-799806" TargetMode="External"/><Relationship Id="rId3887" Type="http://schemas.openxmlformats.org/officeDocument/2006/relationships/hyperlink" Target="https://replay.pokemonshowdown.com/smogtours-gen3ou-804859" TargetMode="External"/><Relationship Id="rId1225" Type="http://schemas.openxmlformats.org/officeDocument/2006/relationships/hyperlink" Target="https://replay.pokemonshowdown.com/smogtours-gen3ou-796202" TargetMode="External"/><Relationship Id="rId2556" Type="http://schemas.openxmlformats.org/officeDocument/2006/relationships/hyperlink" Target="https://replay.pokemonshowdown.com/smogtours-gen3ou-800745" TargetMode="External"/><Relationship Id="rId3886" Type="http://schemas.openxmlformats.org/officeDocument/2006/relationships/hyperlink" Target="https://replay.pokemonshowdown.com/smogtours-gen3ou-804858" TargetMode="External"/><Relationship Id="rId1226" Type="http://schemas.openxmlformats.org/officeDocument/2006/relationships/hyperlink" Target="https://replay.pokemonshowdown.com/smogtours-gen3ou-796205" TargetMode="External"/><Relationship Id="rId2557" Type="http://schemas.openxmlformats.org/officeDocument/2006/relationships/hyperlink" Target="https://replay.pokemonshowdown.com/smogtours-gen3ou-800758" TargetMode="External"/><Relationship Id="rId3889" Type="http://schemas.openxmlformats.org/officeDocument/2006/relationships/hyperlink" Target="https://replay.pokemonshowdown.com/smogtours-gen3ou-804536" TargetMode="External"/><Relationship Id="rId1227" Type="http://schemas.openxmlformats.org/officeDocument/2006/relationships/hyperlink" Target="https://replay.pokemonshowdown.com/smogtours-gen3ou-796209" TargetMode="External"/><Relationship Id="rId2558" Type="http://schemas.openxmlformats.org/officeDocument/2006/relationships/hyperlink" Target="https://replay.pokemonshowdown.com/smogtours-gen3ou-800737" TargetMode="External"/><Relationship Id="rId3888" Type="http://schemas.openxmlformats.org/officeDocument/2006/relationships/hyperlink" Target="https://replay.pokemonshowdown.com/smogtours-gen3ou-804860" TargetMode="External"/><Relationship Id="rId1228" Type="http://schemas.openxmlformats.org/officeDocument/2006/relationships/hyperlink" Target="https://replay.pokemonshowdown.com/smogtours-gen3ou-797025" TargetMode="External"/><Relationship Id="rId2559" Type="http://schemas.openxmlformats.org/officeDocument/2006/relationships/hyperlink" Target="https://replay.pokemonshowdown.com/smogtours-gen3ou-800752" TargetMode="External"/><Relationship Id="rId1229" Type="http://schemas.openxmlformats.org/officeDocument/2006/relationships/hyperlink" Target="https://replay.pokemonshowdown.com/smogtours-gen3ou-797033" TargetMode="External"/><Relationship Id="rId3881" Type="http://schemas.openxmlformats.org/officeDocument/2006/relationships/hyperlink" Target="https://replay.pokemonshowdown.com/smogtours-gen3ou-804800" TargetMode="External"/><Relationship Id="rId2550" Type="http://schemas.openxmlformats.org/officeDocument/2006/relationships/hyperlink" Target="https://replay.pokemonshowdown.com/smogtours-gen3ou-800049" TargetMode="External"/><Relationship Id="rId3880" Type="http://schemas.openxmlformats.org/officeDocument/2006/relationships/hyperlink" Target="https://replay.pokemonshowdown.com/smogtours-gen3ou-804795" TargetMode="External"/><Relationship Id="rId1220" Type="http://schemas.openxmlformats.org/officeDocument/2006/relationships/hyperlink" Target="https://replay.pokemonshowdown.com/smogtours-gen3ou-796491" TargetMode="External"/><Relationship Id="rId2551" Type="http://schemas.openxmlformats.org/officeDocument/2006/relationships/hyperlink" Target="https://replay.pokemonshowdown.com/smogtours-gen3ou-800055" TargetMode="External"/><Relationship Id="rId3883" Type="http://schemas.openxmlformats.org/officeDocument/2006/relationships/hyperlink" Target="https://replay.pokemonshowdown.com/smogtours-gen3ou-804836" TargetMode="External"/><Relationship Id="rId1221" Type="http://schemas.openxmlformats.org/officeDocument/2006/relationships/hyperlink" Target="https://replay.pokemonshowdown.com/smogtours-gen3ou-796496" TargetMode="External"/><Relationship Id="rId2552" Type="http://schemas.openxmlformats.org/officeDocument/2006/relationships/hyperlink" Target="https://replay.pokemonshowdown.com/smogtours-gen3ou-800063" TargetMode="External"/><Relationship Id="rId3882" Type="http://schemas.openxmlformats.org/officeDocument/2006/relationships/hyperlink" Target="https://replay.pokemonshowdown.com/smogtours-gen3ou-804833" TargetMode="External"/><Relationship Id="rId1222" Type="http://schemas.openxmlformats.org/officeDocument/2006/relationships/hyperlink" Target="https://replay.pokemonshowdown.com/smogtours-gen3ou-795822" TargetMode="External"/><Relationship Id="rId2553" Type="http://schemas.openxmlformats.org/officeDocument/2006/relationships/hyperlink" Target="https://replay.pokemonshowdown.com/smogtours-gen3ou-799804" TargetMode="External"/><Relationship Id="rId3885" Type="http://schemas.openxmlformats.org/officeDocument/2006/relationships/hyperlink" Target="https://replay.pokemonshowdown.com/smogtours-gen3ou-804801" TargetMode="External"/><Relationship Id="rId1223" Type="http://schemas.openxmlformats.org/officeDocument/2006/relationships/hyperlink" Target="https://replay.pokemonshowdown.com/smogtours-gen3ou-795835" TargetMode="External"/><Relationship Id="rId2554" Type="http://schemas.openxmlformats.org/officeDocument/2006/relationships/hyperlink" Target="https://replay.pokemonshowdown.com/smogtours-gen3ou-799805" TargetMode="External"/><Relationship Id="rId3884" Type="http://schemas.openxmlformats.org/officeDocument/2006/relationships/hyperlink" Target="https://replay.pokemonshowdown.com/smogtours-gen3ou-804794" TargetMode="External"/><Relationship Id="rId2500" Type="http://schemas.openxmlformats.org/officeDocument/2006/relationships/hyperlink" Target="https://replay.pokemonshowdown.com/smogtours-gen3ou-800425" TargetMode="External"/><Relationship Id="rId3832" Type="http://schemas.openxmlformats.org/officeDocument/2006/relationships/hyperlink" Target="https://replay.pokemonshowdown.com/smogtours-gen3ou-804758" TargetMode="External"/><Relationship Id="rId2501" Type="http://schemas.openxmlformats.org/officeDocument/2006/relationships/hyperlink" Target="https://replay.pokemonshowdown.com/smogtours-gen3ou-800403" TargetMode="External"/><Relationship Id="rId3831" Type="http://schemas.openxmlformats.org/officeDocument/2006/relationships/hyperlink" Target="https://replay.pokemonshowdown.com/smogtours-gen3ou-804757" TargetMode="External"/><Relationship Id="rId2502" Type="http://schemas.openxmlformats.org/officeDocument/2006/relationships/hyperlink" Target="https://replay.pokemonshowdown.com/smogtours-gen3ou-800420" TargetMode="External"/><Relationship Id="rId3834" Type="http://schemas.openxmlformats.org/officeDocument/2006/relationships/hyperlink" Target="https://replay.pokemonshowdown.com/smogtours-gen3ou-804846" TargetMode="External"/><Relationship Id="rId2503" Type="http://schemas.openxmlformats.org/officeDocument/2006/relationships/hyperlink" Target="https://replay.pokemonshowdown.com/smogtours-gen3ou-800443" TargetMode="External"/><Relationship Id="rId3833" Type="http://schemas.openxmlformats.org/officeDocument/2006/relationships/hyperlink" Target="https://replay.pokemonshowdown.com/smogtours-gen3ou-804843" TargetMode="External"/><Relationship Id="rId2504" Type="http://schemas.openxmlformats.org/officeDocument/2006/relationships/hyperlink" Target="https://replay.pokemonshowdown.com/smogtours-gen3ou-800398" TargetMode="External"/><Relationship Id="rId3836" Type="http://schemas.openxmlformats.org/officeDocument/2006/relationships/hyperlink" Target="https://replay.pokemonshowdown.com/smogtours-gen3ou-804781" TargetMode="External"/><Relationship Id="rId2505" Type="http://schemas.openxmlformats.org/officeDocument/2006/relationships/hyperlink" Target="https://replay.pokemonshowdown.com/smogtours-gen3ou-800432" TargetMode="External"/><Relationship Id="rId3835" Type="http://schemas.openxmlformats.org/officeDocument/2006/relationships/hyperlink" Target="https://replay.pokemonshowdown.com/smogtours-gen3ou-804849" TargetMode="External"/><Relationship Id="rId2506" Type="http://schemas.openxmlformats.org/officeDocument/2006/relationships/hyperlink" Target="https://replay.pokemonshowdown.com/smogtours-gen3ou-800495" TargetMode="External"/><Relationship Id="rId3838" Type="http://schemas.openxmlformats.org/officeDocument/2006/relationships/hyperlink" Target="https://replay.pokemonshowdown.com/smogtours-gen3ou-804798" TargetMode="External"/><Relationship Id="rId2507" Type="http://schemas.openxmlformats.org/officeDocument/2006/relationships/hyperlink" Target="https://replay.pokemonshowdown.com/smogtours-gen3ou-800513" TargetMode="External"/><Relationship Id="rId3837" Type="http://schemas.openxmlformats.org/officeDocument/2006/relationships/hyperlink" Target="https://replay.pokemonshowdown.com/smogtours-gen3ou-804787" TargetMode="External"/><Relationship Id="rId2508" Type="http://schemas.openxmlformats.org/officeDocument/2006/relationships/hyperlink" Target="https://replay.pokemonshowdown.com/smogtours-gen3ou-800608" TargetMode="External"/><Relationship Id="rId2509" Type="http://schemas.openxmlformats.org/officeDocument/2006/relationships/hyperlink" Target="https://replay.pokemonshowdown.com/smogtours-gen3ou-800615" TargetMode="External"/><Relationship Id="rId3839" Type="http://schemas.openxmlformats.org/officeDocument/2006/relationships/hyperlink" Target="https://replay.pokemonshowdown.com/smogtours-gen3ou-804839" TargetMode="External"/><Relationship Id="rId3830" Type="http://schemas.openxmlformats.org/officeDocument/2006/relationships/hyperlink" Target="https://replay.pokemonshowdown.com/smogtours-gen3ou-804834?p2" TargetMode="External"/><Relationship Id="rId3821" Type="http://schemas.openxmlformats.org/officeDocument/2006/relationships/hyperlink" Target="https://replay.pokemonshowdown.com/smogtours-gen3ou-804784" TargetMode="External"/><Relationship Id="rId3820" Type="http://schemas.openxmlformats.org/officeDocument/2006/relationships/hyperlink" Target="https://replay.pokemonshowdown.com/smogtours-gen3ou-804793" TargetMode="External"/><Relationship Id="rId3823" Type="http://schemas.openxmlformats.org/officeDocument/2006/relationships/hyperlink" Target="https://replay.pokemonshowdown.com/smogtours-gen3ou-804824" TargetMode="External"/><Relationship Id="rId3822" Type="http://schemas.openxmlformats.org/officeDocument/2006/relationships/hyperlink" Target="https://replay.pokemonshowdown.com/smogtours-gen3ou-804802" TargetMode="External"/><Relationship Id="rId3825" Type="http://schemas.openxmlformats.org/officeDocument/2006/relationships/hyperlink" Target="https://replay.pokemonshowdown.com/smogtours-gen3ou-804830" TargetMode="External"/><Relationship Id="rId3824" Type="http://schemas.openxmlformats.org/officeDocument/2006/relationships/hyperlink" Target="https://replay.pokemonshowdown.com/smogtours-gen3ou-804828" TargetMode="External"/><Relationship Id="rId3827" Type="http://schemas.openxmlformats.org/officeDocument/2006/relationships/hyperlink" Target="https://replay.pokemonshowdown.com/smogtours-gen3ou-804765" TargetMode="External"/><Relationship Id="rId3826" Type="http://schemas.openxmlformats.org/officeDocument/2006/relationships/hyperlink" Target="https://replay.pokemonshowdown.com/smogtours-gen3ou-804763" TargetMode="External"/><Relationship Id="rId3829" Type="http://schemas.openxmlformats.org/officeDocument/2006/relationships/hyperlink" Target="https://replay.pokemonshowdown.com/smogtours-gen3ou-804832" TargetMode="External"/><Relationship Id="rId3828" Type="http://schemas.openxmlformats.org/officeDocument/2006/relationships/hyperlink" Target="https://replay.pokemonshowdown.com/smogtours-gen3ou-804770" TargetMode="External"/><Relationship Id="rId2522" Type="http://schemas.openxmlformats.org/officeDocument/2006/relationships/hyperlink" Target="https://replay.pokemonshowdown.com/smogtours-gen3ou-800579" TargetMode="External"/><Relationship Id="rId3854" Type="http://schemas.openxmlformats.org/officeDocument/2006/relationships/hyperlink" Target="https://replay.pokemonshowdown.com/smogtours-gen3ou-804786" TargetMode="External"/><Relationship Id="rId2523" Type="http://schemas.openxmlformats.org/officeDocument/2006/relationships/hyperlink" Target="https://replay.pokemonshowdown.com/smogtours-gen3ou-800595" TargetMode="External"/><Relationship Id="rId3853" Type="http://schemas.openxmlformats.org/officeDocument/2006/relationships/hyperlink" Target="https://replay.pokemonshowdown.com/smogtours-gen3ou-804856" TargetMode="External"/><Relationship Id="rId2524" Type="http://schemas.openxmlformats.org/officeDocument/2006/relationships/hyperlink" Target="https://replay.pokemonshowdown.com/smogtours-gen3ou-800392" TargetMode="External"/><Relationship Id="rId3856" Type="http://schemas.openxmlformats.org/officeDocument/2006/relationships/hyperlink" Target="https://replay.pokemonshowdown.com/smogtours-gen3ou-804845" TargetMode="External"/><Relationship Id="rId2525" Type="http://schemas.openxmlformats.org/officeDocument/2006/relationships/hyperlink" Target="https://replay.pokemonshowdown.com/smogtours-gen3ou-800454" TargetMode="External"/><Relationship Id="rId3855" Type="http://schemas.openxmlformats.org/officeDocument/2006/relationships/hyperlink" Target="https://replay.pokemonshowdown.com/smogtours-gen3ou-804791" TargetMode="External"/><Relationship Id="rId2526" Type="http://schemas.openxmlformats.org/officeDocument/2006/relationships/hyperlink" Target="https://replay.pokemonshowdown.com/smogtours-gen3ou-800481" TargetMode="External"/><Relationship Id="rId3858" Type="http://schemas.openxmlformats.org/officeDocument/2006/relationships/hyperlink" Target="https://replay.pokemonshowdown.com/smogtours-gen3ou-804812" TargetMode="External"/><Relationship Id="rId2527" Type="http://schemas.openxmlformats.org/officeDocument/2006/relationships/hyperlink" Target="https://replay.pokemonshowdown.com/smogtours-gen3ou-799754" TargetMode="External"/><Relationship Id="rId3857" Type="http://schemas.openxmlformats.org/officeDocument/2006/relationships/hyperlink" Target="https://replay.pokemonshowdown.com/smogtours-gen3ou-804847" TargetMode="External"/><Relationship Id="rId2528" Type="http://schemas.openxmlformats.org/officeDocument/2006/relationships/hyperlink" Target="https://replay.pokemonshowdown.com/smogtours-gen3ou-799759" TargetMode="External"/><Relationship Id="rId2529" Type="http://schemas.openxmlformats.org/officeDocument/2006/relationships/hyperlink" Target="https://replay.pokemonshowdown.com/smogtours-gen3ou-799683" TargetMode="External"/><Relationship Id="rId3859" Type="http://schemas.openxmlformats.org/officeDocument/2006/relationships/hyperlink" Target="https://replay.pokemonshowdown.com/smogtours-gen3ou-804813" TargetMode="External"/><Relationship Id="rId3850" Type="http://schemas.openxmlformats.org/officeDocument/2006/relationships/hyperlink" Target="https://replay.pokemonshowdown.com/smogtours-gen3ou-804764" TargetMode="External"/><Relationship Id="rId2520" Type="http://schemas.openxmlformats.org/officeDocument/2006/relationships/hyperlink" Target="https://replay.pokemonshowdown.com/smogtours-gen3ou-800480" TargetMode="External"/><Relationship Id="rId3852" Type="http://schemas.openxmlformats.org/officeDocument/2006/relationships/hyperlink" Target="https://replay.pokemonshowdown.com/smogtours-gen3ou-804854" TargetMode="External"/><Relationship Id="rId2521" Type="http://schemas.openxmlformats.org/officeDocument/2006/relationships/hyperlink" Target="https://replay.pokemonshowdown.com/smogtours-gen3ou-800503" TargetMode="External"/><Relationship Id="rId3851" Type="http://schemas.openxmlformats.org/officeDocument/2006/relationships/hyperlink" Target="https://replay.pokemonshowdown.com/smogtours-gen3ou-804853" TargetMode="External"/><Relationship Id="rId2511" Type="http://schemas.openxmlformats.org/officeDocument/2006/relationships/hyperlink" Target="https://replay.pokemonshowdown.com/smogtours-gen3ou-801069" TargetMode="External"/><Relationship Id="rId3843" Type="http://schemas.openxmlformats.org/officeDocument/2006/relationships/hyperlink" Target="https://replay.pokemonshowdown.com/smogtours-gen3ou-804848" TargetMode="External"/><Relationship Id="rId2512" Type="http://schemas.openxmlformats.org/officeDocument/2006/relationships/hyperlink" Target="https://replay.pokemonshowdown.com/smogtours-gen3ou-801071" TargetMode="External"/><Relationship Id="rId3842" Type="http://schemas.openxmlformats.org/officeDocument/2006/relationships/hyperlink" Target="https://replay.pokemonshowdown.com/smogtours-gen3ou-804844" TargetMode="External"/><Relationship Id="rId2513" Type="http://schemas.openxmlformats.org/officeDocument/2006/relationships/hyperlink" Target="https://replay.pokemonshowdown.com/smogtours-gen3ou-801046" TargetMode="External"/><Relationship Id="rId3845" Type="http://schemas.openxmlformats.org/officeDocument/2006/relationships/hyperlink" Target="https://replay.pokemonshowdown.com/smogtours-gen3ou-804790" TargetMode="External"/><Relationship Id="rId2514" Type="http://schemas.openxmlformats.org/officeDocument/2006/relationships/hyperlink" Target="https://replay.pokemonshowdown.com/smogtours-gen3ou-801048" TargetMode="External"/><Relationship Id="rId3844" Type="http://schemas.openxmlformats.org/officeDocument/2006/relationships/hyperlink" Target="https://replay.pokemonshowdown.com/smogtours-gen3ou-804851" TargetMode="External"/><Relationship Id="rId2515" Type="http://schemas.openxmlformats.org/officeDocument/2006/relationships/hyperlink" Target="https://replay.pokemonshowdown.com/smogtours-gen3ou-801218" TargetMode="External"/><Relationship Id="rId3847" Type="http://schemas.openxmlformats.org/officeDocument/2006/relationships/hyperlink" Target="https://replay.pokemonshowdown.com/smogtours-gen3ou-804799" TargetMode="External"/><Relationship Id="rId2516" Type="http://schemas.openxmlformats.org/officeDocument/2006/relationships/hyperlink" Target="https://replay.pokemonshowdown.com/smogtours-gen3ou-801221" TargetMode="External"/><Relationship Id="rId3846" Type="http://schemas.openxmlformats.org/officeDocument/2006/relationships/hyperlink" Target="https://replay.pokemonshowdown.com/smogtours-gen3ou-804797" TargetMode="External"/><Relationship Id="rId2517" Type="http://schemas.openxmlformats.org/officeDocument/2006/relationships/hyperlink" Target="https://replay.pokemonshowdown.com/smogtours-gen3ou-801249" TargetMode="External"/><Relationship Id="rId3849" Type="http://schemas.openxmlformats.org/officeDocument/2006/relationships/hyperlink" Target="https://replay.pokemonshowdown.com/smogtours-gen3ou-804762" TargetMode="External"/><Relationship Id="rId2518" Type="http://schemas.openxmlformats.org/officeDocument/2006/relationships/hyperlink" Target="https://replay.pokemonshowdown.com/smogtours-gen3ou-801254" TargetMode="External"/><Relationship Id="rId3848" Type="http://schemas.openxmlformats.org/officeDocument/2006/relationships/hyperlink" Target="https://replay.pokemonshowdown.com/smogtours-gen3ou-804761" TargetMode="External"/><Relationship Id="rId2519" Type="http://schemas.openxmlformats.org/officeDocument/2006/relationships/hyperlink" Target="https://replay.pokemonshowdown.com/smogtours-gen3ou-801257" TargetMode="External"/><Relationship Id="rId3841" Type="http://schemas.openxmlformats.org/officeDocument/2006/relationships/hyperlink" Target="https://replay.pokemonshowdown.com/smogtours-gen3ou-804841" TargetMode="External"/><Relationship Id="rId2510" Type="http://schemas.openxmlformats.org/officeDocument/2006/relationships/hyperlink" Target="https://replay.pokemonshowdown.com/smogtours-gen3ou-801067" TargetMode="External"/><Relationship Id="rId3840" Type="http://schemas.openxmlformats.org/officeDocument/2006/relationships/hyperlink" Target="https://replay.pokemonshowdown.com/smogtours-gen3ou-804840" TargetMode="External"/><Relationship Id="rId469" Type="http://schemas.openxmlformats.org/officeDocument/2006/relationships/hyperlink" Target="https://replay.pokemonshowdown.com/smogtours-gen3ou-794745?p2" TargetMode="External"/><Relationship Id="rId468" Type="http://schemas.openxmlformats.org/officeDocument/2006/relationships/hyperlink" Target="https://replay.pokemonshowdown.com/smogtours-gen3ou-794737?p2" TargetMode="External"/><Relationship Id="rId467" Type="http://schemas.openxmlformats.org/officeDocument/2006/relationships/hyperlink" Target="https://replay.pokemonshowdown.com/smogtours-gen3ou-794593" TargetMode="External"/><Relationship Id="rId1290" Type="http://schemas.openxmlformats.org/officeDocument/2006/relationships/hyperlink" Target="https://replay.pokemonshowdown.com/smogtours-gen3ou-796925" TargetMode="External"/><Relationship Id="rId1291" Type="http://schemas.openxmlformats.org/officeDocument/2006/relationships/hyperlink" Target="https://replay.pokemonshowdown.com/smogtours-gen3ou-796688" TargetMode="External"/><Relationship Id="rId1292" Type="http://schemas.openxmlformats.org/officeDocument/2006/relationships/hyperlink" Target="https://replay.pokemonshowdown.com/smogtours-gen3ou-796697" TargetMode="External"/><Relationship Id="rId462" Type="http://schemas.openxmlformats.org/officeDocument/2006/relationships/hyperlink" Target="https://replay.pokemonshowdown.com/gen3ou-2216542152-sukgnoooqxdi0laje23daii9l88v0ewpw" TargetMode="External"/><Relationship Id="rId1293" Type="http://schemas.openxmlformats.org/officeDocument/2006/relationships/hyperlink" Target="https://replay.pokemonshowdown.com/smogtours-gen3ou-797002" TargetMode="External"/><Relationship Id="rId461" Type="http://schemas.openxmlformats.org/officeDocument/2006/relationships/hyperlink" Target="https://replay.pokemonshowdown.com/gen3ou-2216537694-ypg992l83c9a2d3o2nwys1dozg1shw6pw" TargetMode="External"/><Relationship Id="rId1294" Type="http://schemas.openxmlformats.org/officeDocument/2006/relationships/hyperlink" Target="https://replay.pokemonshowdown.com/smogtours-gen3ou-797005" TargetMode="External"/><Relationship Id="rId460" Type="http://schemas.openxmlformats.org/officeDocument/2006/relationships/hyperlink" Target="https://replay.pokemonshowdown.com/smogtours-gen3ou-794874" TargetMode="External"/><Relationship Id="rId1295" Type="http://schemas.openxmlformats.org/officeDocument/2006/relationships/hyperlink" Target="https://replay.pokemonshowdown.com/smogtours-gen3ou-797008" TargetMode="External"/><Relationship Id="rId1296" Type="http://schemas.openxmlformats.org/officeDocument/2006/relationships/hyperlink" Target="https://replay.pokemonshowdown.com/smogtours-gen3ou-797012" TargetMode="External"/><Relationship Id="rId466" Type="http://schemas.openxmlformats.org/officeDocument/2006/relationships/hyperlink" Target="https://replay.pokemonshowdown.com/smogtours-gen3ou-794584" TargetMode="External"/><Relationship Id="rId1297" Type="http://schemas.openxmlformats.org/officeDocument/2006/relationships/hyperlink" Target="https://replay.pokemonshowdown.com/smogtours-gen3ou-796656" TargetMode="External"/><Relationship Id="rId465" Type="http://schemas.openxmlformats.org/officeDocument/2006/relationships/hyperlink" Target="https://replay.pokemonshowdown.com/gen3ou-2215918377-q1o3a5s0yr6rvc7tfo6bij6qwsle2bvpw" TargetMode="External"/><Relationship Id="rId1298" Type="http://schemas.openxmlformats.org/officeDocument/2006/relationships/hyperlink" Target="https://replay.pokemonshowdown.com/smogtours-gen3ou-796662" TargetMode="External"/><Relationship Id="rId464" Type="http://schemas.openxmlformats.org/officeDocument/2006/relationships/hyperlink" Target="https://replay.pokemonshowdown.com/gen3ou-2215913880-ozfao46op5lgs9ot7ldw7gyeazv3jgepw" TargetMode="External"/><Relationship Id="rId1299" Type="http://schemas.openxmlformats.org/officeDocument/2006/relationships/hyperlink" Target="https://replay.pokemonshowdown.com/smogtours-gen3ou-796767" TargetMode="External"/><Relationship Id="rId463" Type="http://schemas.openxmlformats.org/officeDocument/2006/relationships/hyperlink" Target="https://replay.pokemonshowdown.com/gen3ou-2215909823-1i4i0xuotd0jljw39m4qej5u7q6z7qipw" TargetMode="External"/><Relationship Id="rId459" Type="http://schemas.openxmlformats.org/officeDocument/2006/relationships/hyperlink" Target="https://replay.pokemonshowdown.com/smogtours-gen3ou-794873" TargetMode="External"/><Relationship Id="rId458" Type="http://schemas.openxmlformats.org/officeDocument/2006/relationships/hyperlink" Target="https://replay.pokemonshowdown.com/smogtours-gen3ou-794869" TargetMode="External"/><Relationship Id="rId457" Type="http://schemas.openxmlformats.org/officeDocument/2006/relationships/hyperlink" Target="https://replay.pokemonshowdown.com/smogtours-gen3ou-794879" TargetMode="External"/><Relationship Id="rId456" Type="http://schemas.openxmlformats.org/officeDocument/2006/relationships/hyperlink" Target="https://replay.pokemonshowdown.com/smogtours-gen3ou-794877" TargetMode="External"/><Relationship Id="rId1280" Type="http://schemas.openxmlformats.org/officeDocument/2006/relationships/hyperlink" Target="https://replay.pokemonshowdown.com/smogtours-gen3ou-796286" TargetMode="External"/><Relationship Id="rId1281" Type="http://schemas.openxmlformats.org/officeDocument/2006/relationships/hyperlink" Target="https://replay.pokemonshowdown.com/smogtours-gen3ou-796287" TargetMode="External"/><Relationship Id="rId451" Type="http://schemas.openxmlformats.org/officeDocument/2006/relationships/hyperlink" Target="https://replay.pokemonshowdown.com/gen3ou-2216232325-k817ib39q0lxaqq6wgnd6kavw4xxlhopw" TargetMode="External"/><Relationship Id="rId1282" Type="http://schemas.openxmlformats.org/officeDocument/2006/relationships/hyperlink" Target="https://replay.pokemonshowdown.com/smogtours-gen3ou-796288" TargetMode="External"/><Relationship Id="rId450" Type="http://schemas.openxmlformats.org/officeDocument/2006/relationships/hyperlink" Target="https://replay.pokemonshowdown.com/smogtours-gen3ou-794851" TargetMode="External"/><Relationship Id="rId1283" Type="http://schemas.openxmlformats.org/officeDocument/2006/relationships/hyperlink" Target="https://replay.pokemonshowdown.com/smogtours-gen3ou-796292" TargetMode="External"/><Relationship Id="rId1284" Type="http://schemas.openxmlformats.org/officeDocument/2006/relationships/hyperlink" Target="https://replay.pokemonshowdown.com/smogtours-gen3ou-796607" TargetMode="External"/><Relationship Id="rId1285" Type="http://schemas.openxmlformats.org/officeDocument/2006/relationships/hyperlink" Target="https://replay.pokemonshowdown.com/smogtours-gen3ou-796610" TargetMode="External"/><Relationship Id="rId455" Type="http://schemas.openxmlformats.org/officeDocument/2006/relationships/hyperlink" Target="https://replay.pokemonshowdown.com/smogtours-gen3ou-794876" TargetMode="External"/><Relationship Id="rId1286" Type="http://schemas.openxmlformats.org/officeDocument/2006/relationships/hyperlink" Target="https://replay.pokemonshowdown.com/smogtours-gen3ou-796612" TargetMode="External"/><Relationship Id="rId454" Type="http://schemas.openxmlformats.org/officeDocument/2006/relationships/hyperlink" Target="https://replay.pokemonshowdown.com/smogtours-gen3ou-794816" TargetMode="External"/><Relationship Id="rId1287" Type="http://schemas.openxmlformats.org/officeDocument/2006/relationships/hyperlink" Target="https://replay.pokemonshowdown.com/smogtours-gen3ou-797015" TargetMode="External"/><Relationship Id="rId453" Type="http://schemas.openxmlformats.org/officeDocument/2006/relationships/hyperlink" Target="https://replay.pokemonshowdown.com/smogtours-gen3ou-794809" TargetMode="External"/><Relationship Id="rId1288" Type="http://schemas.openxmlformats.org/officeDocument/2006/relationships/hyperlink" Target="https://replay.pokemonshowdown.com/smogtours-gen3ou-797023?p2" TargetMode="External"/><Relationship Id="rId452" Type="http://schemas.openxmlformats.org/officeDocument/2006/relationships/hyperlink" Target="https://replay.pokemonshowdown.com/gen3ou-2216237005-v63fpednrkmyi9v4y6yl0imghy85g2xpw" TargetMode="External"/><Relationship Id="rId1289" Type="http://schemas.openxmlformats.org/officeDocument/2006/relationships/hyperlink" Target="https://replay.pokemonshowdown.com/smogtours-gen3ou-796921" TargetMode="External"/><Relationship Id="rId3018" Type="http://schemas.openxmlformats.org/officeDocument/2006/relationships/hyperlink" Target="https://replay.pokemonshowdown.com/smogtours-gen3ou-801305" TargetMode="External"/><Relationship Id="rId3017" Type="http://schemas.openxmlformats.org/officeDocument/2006/relationships/hyperlink" Target="https://replay.pokemonshowdown.com/smogtours-gen3ou-801302" TargetMode="External"/><Relationship Id="rId3019" Type="http://schemas.openxmlformats.org/officeDocument/2006/relationships/hyperlink" Target="https://replay.pokemonshowdown.com/smogtours-gen3ou-801609" TargetMode="External"/><Relationship Id="rId491" Type="http://schemas.openxmlformats.org/officeDocument/2006/relationships/hyperlink" Target="https://replay.pokemonshowdown.com/smogtours-gen3ou-794980" TargetMode="External"/><Relationship Id="rId490" Type="http://schemas.openxmlformats.org/officeDocument/2006/relationships/hyperlink" Target="https://replay.pokemonshowdown.com/smogtours-gen3ou-794971" TargetMode="External"/><Relationship Id="rId489" Type="http://schemas.openxmlformats.org/officeDocument/2006/relationships/hyperlink" Target="https://replay.pokemonshowdown.com/smogtours-gen3ou-794933" TargetMode="External"/><Relationship Id="rId484" Type="http://schemas.openxmlformats.org/officeDocument/2006/relationships/hyperlink" Target="https://replay.pokemonshowdown.com/smogtours-gen3ou-794932" TargetMode="External"/><Relationship Id="rId3010" Type="http://schemas.openxmlformats.org/officeDocument/2006/relationships/hyperlink" Target="https://replay.pokemonshowdown.com/smogtours-gen3ou-801222" TargetMode="External"/><Relationship Id="rId483" Type="http://schemas.openxmlformats.org/officeDocument/2006/relationships/hyperlink" Target="https://replay.pokemonshowdown.com/smogtours-gen3ou-794700" TargetMode="External"/><Relationship Id="rId482" Type="http://schemas.openxmlformats.org/officeDocument/2006/relationships/hyperlink" Target="https://replay.pokemonshowdown.com/smogtours-gen3ou-794691" TargetMode="External"/><Relationship Id="rId3012" Type="http://schemas.openxmlformats.org/officeDocument/2006/relationships/hyperlink" Target="https://replay.pokemonshowdown.com/smogtours-gen3ou-801233" TargetMode="External"/><Relationship Id="rId481" Type="http://schemas.openxmlformats.org/officeDocument/2006/relationships/hyperlink" Target="https://replay.pokemonshowdown.com/smogtours-gen3ou-794685" TargetMode="External"/><Relationship Id="rId3011" Type="http://schemas.openxmlformats.org/officeDocument/2006/relationships/hyperlink" Target="https://replay.pokemonshowdown.com/smogtours-gen3ou-801225" TargetMode="External"/><Relationship Id="rId488" Type="http://schemas.openxmlformats.org/officeDocument/2006/relationships/hyperlink" Target="https://replay.pokemonshowdown.com/smogtours-gen3ou-794922" TargetMode="External"/><Relationship Id="rId3014" Type="http://schemas.openxmlformats.org/officeDocument/2006/relationships/hyperlink" Target="https://replay.pokemonshowdown.com/smogtours-gen3ou-801529" TargetMode="External"/><Relationship Id="rId487" Type="http://schemas.openxmlformats.org/officeDocument/2006/relationships/hyperlink" Target="https://replay.pokemonshowdown.com/smogtours-gen3ou-794921" TargetMode="External"/><Relationship Id="rId3013" Type="http://schemas.openxmlformats.org/officeDocument/2006/relationships/hyperlink" Target="https://replay.pokemonshowdown.com/smogtours-gen3ou-801527" TargetMode="External"/><Relationship Id="rId486" Type="http://schemas.openxmlformats.org/officeDocument/2006/relationships/hyperlink" Target="https://replay.pokemonshowdown.com/smogtours-gen3ou-794914" TargetMode="External"/><Relationship Id="rId3016" Type="http://schemas.openxmlformats.org/officeDocument/2006/relationships/hyperlink" Target="https://replay.pokemonshowdown.com/smogtours-gen3ou-801296" TargetMode="External"/><Relationship Id="rId485" Type="http://schemas.openxmlformats.org/officeDocument/2006/relationships/hyperlink" Target="https://replay.pokemonshowdown.com/smogtours-gen3ou-794923" TargetMode="External"/><Relationship Id="rId3015" Type="http://schemas.openxmlformats.org/officeDocument/2006/relationships/hyperlink" Target="https://replay.pokemonshowdown.com/smogtours-gen3ou-801530" TargetMode="External"/><Relationship Id="rId3007" Type="http://schemas.openxmlformats.org/officeDocument/2006/relationships/hyperlink" Target="https://replay.pokemonshowdown.com/smogtours-gen3ou-801628" TargetMode="External"/><Relationship Id="rId3006" Type="http://schemas.openxmlformats.org/officeDocument/2006/relationships/hyperlink" Target="https://replay.pokemonshowdown.com/smogtours-gen3ou-801616" TargetMode="External"/><Relationship Id="rId3009" Type="http://schemas.openxmlformats.org/officeDocument/2006/relationships/hyperlink" Target="https://replay.pokemonshowdown.com/smogtours-gen3ou-801724" TargetMode="External"/><Relationship Id="rId3008" Type="http://schemas.openxmlformats.org/officeDocument/2006/relationships/hyperlink" Target="https://replay.pokemonshowdown.com/smogtours-gen3ou-801713" TargetMode="External"/><Relationship Id="rId480" Type="http://schemas.openxmlformats.org/officeDocument/2006/relationships/hyperlink" Target="https://replay.pokemonshowdown.com/smogtours-gen3ou-794327" TargetMode="External"/><Relationship Id="rId479" Type="http://schemas.openxmlformats.org/officeDocument/2006/relationships/hyperlink" Target="https://replay.pokemonshowdown.com/smogtours-gen3ou-794308" TargetMode="External"/><Relationship Id="rId478" Type="http://schemas.openxmlformats.org/officeDocument/2006/relationships/hyperlink" Target="https://replay.pokemonshowdown.com/smogtours-gen3ou-794303" TargetMode="External"/><Relationship Id="rId473" Type="http://schemas.openxmlformats.org/officeDocument/2006/relationships/hyperlink" Target="https://replay.pokemonshowdown.com/gen3ou-2216345356-0r4975uyvrfawuvyc8ohqznftiir14ipw?p2" TargetMode="External"/><Relationship Id="rId472" Type="http://schemas.openxmlformats.org/officeDocument/2006/relationships/hyperlink" Target="https://replay.pokemonshowdown.com/smogtours-gen3ou-794565" TargetMode="External"/><Relationship Id="rId471" Type="http://schemas.openxmlformats.org/officeDocument/2006/relationships/hyperlink" Target="https://replay.pokemonshowdown.com/smogtours-gen3ou-794562" TargetMode="External"/><Relationship Id="rId3001" Type="http://schemas.openxmlformats.org/officeDocument/2006/relationships/hyperlink" Target="https://replay.pokemonshowdown.com/smogtours-gen3ou-801730" TargetMode="External"/><Relationship Id="rId470" Type="http://schemas.openxmlformats.org/officeDocument/2006/relationships/hyperlink" Target="https://replay.pokemonshowdown.com/smogtours-gen3ou-794751" TargetMode="External"/><Relationship Id="rId3000" Type="http://schemas.openxmlformats.org/officeDocument/2006/relationships/hyperlink" Target="https://replay.pokemonshowdown.com/smogtours-gen3ou-801728" TargetMode="External"/><Relationship Id="rId477" Type="http://schemas.openxmlformats.org/officeDocument/2006/relationships/hyperlink" Target="https://replay.pokemonshowdown.com/smogtours-gen3ou-794730" TargetMode="External"/><Relationship Id="rId3003" Type="http://schemas.openxmlformats.org/officeDocument/2006/relationships/hyperlink" Target="https://replay.pokemonshowdown.com/smogtours-gen3ou-801407" TargetMode="External"/><Relationship Id="rId476" Type="http://schemas.openxmlformats.org/officeDocument/2006/relationships/hyperlink" Target="https://replay.pokemonshowdown.com/smogtours-gen3ou-794720" TargetMode="External"/><Relationship Id="rId3002" Type="http://schemas.openxmlformats.org/officeDocument/2006/relationships/hyperlink" Target="https://replay.pokemonshowdown.com/smogtours-gen3ou-801404" TargetMode="External"/><Relationship Id="rId475" Type="http://schemas.openxmlformats.org/officeDocument/2006/relationships/hyperlink" Target="https://replay.pokemonshowdown.com/gen3ou-2216350182-rxhah3irvup281wbpnzzabtwfunayv6pw" TargetMode="External"/><Relationship Id="rId3005" Type="http://schemas.openxmlformats.org/officeDocument/2006/relationships/hyperlink" Target="https://replay.pokemonshowdown.com/smogtours-gen3ou-801045" TargetMode="External"/><Relationship Id="rId474" Type="http://schemas.openxmlformats.org/officeDocument/2006/relationships/hyperlink" Target="https://replay.pokemonshowdown.com/gen3ou-2216348367-8y3hglrykum5egwwjy05hvcfpthima1pw" TargetMode="External"/><Relationship Id="rId3004" Type="http://schemas.openxmlformats.org/officeDocument/2006/relationships/hyperlink" Target="https://replay.pokemonshowdown.com/smogtours-gen3ou-801044" TargetMode="External"/><Relationship Id="rId1257" Type="http://schemas.openxmlformats.org/officeDocument/2006/relationships/hyperlink" Target="https://replay.pokemonshowdown.com/smogtours-gen3ou-796789" TargetMode="External"/><Relationship Id="rId2588" Type="http://schemas.openxmlformats.org/officeDocument/2006/relationships/hyperlink" Target="https://replay.pokemonshowdown.com/smogtours-gen3ou-800964" TargetMode="External"/><Relationship Id="rId1258" Type="http://schemas.openxmlformats.org/officeDocument/2006/relationships/hyperlink" Target="https://replay.pokemonshowdown.com/smogtours-gen3ou-796796" TargetMode="External"/><Relationship Id="rId2589" Type="http://schemas.openxmlformats.org/officeDocument/2006/relationships/hyperlink" Target="https://replay.pokemonshowdown.com/smogtours-gen3ou-800527" TargetMode="External"/><Relationship Id="rId1259" Type="http://schemas.openxmlformats.org/officeDocument/2006/relationships/hyperlink" Target="https://replay.pokemonshowdown.com/smogtours-gen3ou-796864" TargetMode="External"/><Relationship Id="rId426" Type="http://schemas.openxmlformats.org/officeDocument/2006/relationships/hyperlink" Target="https://replay.pokemonshowdown.com/smogtours-gen3ou-794571" TargetMode="External"/><Relationship Id="rId425" Type="http://schemas.openxmlformats.org/officeDocument/2006/relationships/hyperlink" Target="https://replay.pokemonshowdown.com/gen3ou-2215853948" TargetMode="External"/><Relationship Id="rId424" Type="http://schemas.openxmlformats.org/officeDocument/2006/relationships/hyperlink" Target="https://replay.pokemonshowdown.com/gen3ou-2215841170" TargetMode="External"/><Relationship Id="rId423" Type="http://schemas.openxmlformats.org/officeDocument/2006/relationships/hyperlink" Target="https://replay.pokemonshowdown.com/smogtours-gen3ou-794067" TargetMode="External"/><Relationship Id="rId429" Type="http://schemas.openxmlformats.org/officeDocument/2006/relationships/hyperlink" Target="https://replay.pokemonshowdown.com/smogtours-gen3ou-794631" TargetMode="External"/><Relationship Id="rId428" Type="http://schemas.openxmlformats.org/officeDocument/2006/relationships/hyperlink" Target="https://replay.pokemonshowdown.com/smogtours-gen3ou-794612" TargetMode="External"/><Relationship Id="rId427" Type="http://schemas.openxmlformats.org/officeDocument/2006/relationships/hyperlink" Target="https://replay.pokemonshowdown.com/smogtours-gen3ou-794608" TargetMode="External"/><Relationship Id="rId2580" Type="http://schemas.openxmlformats.org/officeDocument/2006/relationships/hyperlink" Target="https://replay.pokemonshowdown.com/smogtours-gen3ou-800637" TargetMode="External"/><Relationship Id="rId1250" Type="http://schemas.openxmlformats.org/officeDocument/2006/relationships/hyperlink" Target="https://replay.pokemonshowdown.com/smogtours-gen3ou-796761" TargetMode="External"/><Relationship Id="rId2581" Type="http://schemas.openxmlformats.org/officeDocument/2006/relationships/hyperlink" Target="https://replay.pokemonshowdown.com/smogtours-gen3ou-800650" TargetMode="External"/><Relationship Id="rId1251" Type="http://schemas.openxmlformats.org/officeDocument/2006/relationships/hyperlink" Target="https://replay.pokemonshowdown.com/smogtours-gen3ou-796757" TargetMode="External"/><Relationship Id="rId2582" Type="http://schemas.openxmlformats.org/officeDocument/2006/relationships/hyperlink" Target="https://replay.pokemonshowdown.com/smogtours-gen3ou-800821" TargetMode="External"/><Relationship Id="rId1252" Type="http://schemas.openxmlformats.org/officeDocument/2006/relationships/hyperlink" Target="https://replay.pokemonshowdown.com/smogtours-gen3ou-796660" TargetMode="External"/><Relationship Id="rId2583" Type="http://schemas.openxmlformats.org/officeDocument/2006/relationships/hyperlink" Target="https://replay.pokemonshowdown.com/smogtours-gen3ou-800826" TargetMode="External"/><Relationship Id="rId422" Type="http://schemas.openxmlformats.org/officeDocument/2006/relationships/hyperlink" Target="https://replay.pokemonshowdown.com/smogtours-gen3ou-794057" TargetMode="External"/><Relationship Id="rId1253" Type="http://schemas.openxmlformats.org/officeDocument/2006/relationships/hyperlink" Target="https://replay.pokemonshowdown.com/smogtours-gen3ou-796666" TargetMode="External"/><Relationship Id="rId2584" Type="http://schemas.openxmlformats.org/officeDocument/2006/relationships/hyperlink" Target="https://replay.pokemonshowdown.com/smogtours-gen3ou-800609" TargetMode="External"/><Relationship Id="rId421" Type="http://schemas.openxmlformats.org/officeDocument/2006/relationships/hyperlink" Target="https://replay.pokemonshowdown.com/smogtours-gen3ou-794049" TargetMode="External"/><Relationship Id="rId1254" Type="http://schemas.openxmlformats.org/officeDocument/2006/relationships/hyperlink" Target="https://replay.pokemonshowdown.com/smogtours-gen3ou-796371" TargetMode="External"/><Relationship Id="rId2585" Type="http://schemas.openxmlformats.org/officeDocument/2006/relationships/hyperlink" Target="https://replay.pokemonshowdown.com/smogtours-gen3ou-800620" TargetMode="External"/><Relationship Id="rId420" Type="http://schemas.openxmlformats.org/officeDocument/2006/relationships/hyperlink" Target="https://replay.pokemonshowdown.com/smogtours-gen3ou-794669" TargetMode="External"/><Relationship Id="rId1255" Type="http://schemas.openxmlformats.org/officeDocument/2006/relationships/hyperlink" Target="https://replay.pokemonshowdown.com/smogtours-gen3ou-796379" TargetMode="External"/><Relationship Id="rId2586" Type="http://schemas.openxmlformats.org/officeDocument/2006/relationships/hyperlink" Target="https://replay.pokemonshowdown.com/smogtours-gen3ou-800643" TargetMode="External"/><Relationship Id="rId1256" Type="http://schemas.openxmlformats.org/officeDocument/2006/relationships/hyperlink" Target="https://replay.pokemonshowdown.com/smogtours-gen3ou-796383" TargetMode="External"/><Relationship Id="rId2587" Type="http://schemas.openxmlformats.org/officeDocument/2006/relationships/hyperlink" Target="https://replay.pokemonshowdown.com/smogtours-gen3ou-800957" TargetMode="External"/><Relationship Id="rId1246" Type="http://schemas.openxmlformats.org/officeDocument/2006/relationships/hyperlink" Target="https://replay.pokemonshowdown.com/smogtours-gen3ou-796432" TargetMode="External"/><Relationship Id="rId2577" Type="http://schemas.openxmlformats.org/officeDocument/2006/relationships/hyperlink" Target="https://replay.pokemonshowdown.com/smogtours-gen3ou-800715" TargetMode="External"/><Relationship Id="rId1247" Type="http://schemas.openxmlformats.org/officeDocument/2006/relationships/hyperlink" Target="https://replay.pokemonshowdown.com/smogtours-gen3ou-796677" TargetMode="External"/><Relationship Id="rId2578" Type="http://schemas.openxmlformats.org/officeDocument/2006/relationships/hyperlink" Target="https://replay.pokemonshowdown.com/gen3ou-2227180375-2zb7wr6rdmlvqi3drezcvjhb5qt28k9pw" TargetMode="External"/><Relationship Id="rId1248" Type="http://schemas.openxmlformats.org/officeDocument/2006/relationships/hyperlink" Target="https://replay.pokemonshowdown.com/smogtours-gen3ou-796679" TargetMode="External"/><Relationship Id="rId2579" Type="http://schemas.openxmlformats.org/officeDocument/2006/relationships/hyperlink" Target="https://replay.pokemonshowdown.com/gen3ou-2227185966-rqr61rbbuinp8uc52g2t8xd3j79x32mpw" TargetMode="External"/><Relationship Id="rId1249" Type="http://schemas.openxmlformats.org/officeDocument/2006/relationships/hyperlink" Target="https://replay.pokemonshowdown.com/smogtours-gen3ou-796681" TargetMode="External"/><Relationship Id="rId415" Type="http://schemas.openxmlformats.org/officeDocument/2006/relationships/hyperlink" Target="https://replay.pokemonshowdown.com/smogtours-gen3ou-794237" TargetMode="External"/><Relationship Id="rId414" Type="http://schemas.openxmlformats.org/officeDocument/2006/relationships/hyperlink" Target="https://replay.pokemonshowdown.com/smogtours-gen3ou-794235" TargetMode="External"/><Relationship Id="rId413" Type="http://schemas.openxmlformats.org/officeDocument/2006/relationships/hyperlink" Target="https://replay.pokemonshowdown.com/smogtours-gen3ou-794233" TargetMode="External"/><Relationship Id="rId412" Type="http://schemas.openxmlformats.org/officeDocument/2006/relationships/hyperlink" Target="https://replay.pokemonshowdown.com/gen3ou-2214332973" TargetMode="External"/><Relationship Id="rId419" Type="http://schemas.openxmlformats.org/officeDocument/2006/relationships/hyperlink" Target="https://replay.pokemonshowdown.com/smogtours-gen3ou-794661" TargetMode="External"/><Relationship Id="rId418" Type="http://schemas.openxmlformats.org/officeDocument/2006/relationships/hyperlink" Target="https://replay.pokemonshowdown.com/smogtours-gen3ou-794788" TargetMode="External"/><Relationship Id="rId417" Type="http://schemas.openxmlformats.org/officeDocument/2006/relationships/hyperlink" Target="https://replay.pokemonshowdown.com/smogtours-gen3ou-794785" TargetMode="External"/><Relationship Id="rId416" Type="http://schemas.openxmlformats.org/officeDocument/2006/relationships/hyperlink" Target="https://replay.pokemonshowdown.com/smogtours-gen3ou-794780" TargetMode="External"/><Relationship Id="rId2570" Type="http://schemas.openxmlformats.org/officeDocument/2006/relationships/hyperlink" Target="https://replay.pokemonshowdown.com/smogtours-gen3ou-800743" TargetMode="External"/><Relationship Id="rId1240" Type="http://schemas.openxmlformats.org/officeDocument/2006/relationships/hyperlink" Target="https://replay.pokemonshowdown.com/smogtours-gen3ou-796301" TargetMode="External"/><Relationship Id="rId2571" Type="http://schemas.openxmlformats.org/officeDocument/2006/relationships/hyperlink" Target="https://replay.pokemonshowdown.com/smogtours-gen3ou-800764" TargetMode="External"/><Relationship Id="rId1241" Type="http://schemas.openxmlformats.org/officeDocument/2006/relationships/hyperlink" Target="https://replay.pokemonshowdown.com/smogtours-gen3ou-796304" TargetMode="External"/><Relationship Id="rId2572" Type="http://schemas.openxmlformats.org/officeDocument/2006/relationships/hyperlink" Target="https://replay.pokemonshowdown.com/smogtours-gen3ou-800724" TargetMode="External"/><Relationship Id="rId411" Type="http://schemas.openxmlformats.org/officeDocument/2006/relationships/hyperlink" Target="https://replay.pokemonshowdown.com/gen3ou-2214329118" TargetMode="External"/><Relationship Id="rId1242" Type="http://schemas.openxmlformats.org/officeDocument/2006/relationships/hyperlink" Target="https://replay.pokemonshowdown.com/smogtours-gen3ou-796639" TargetMode="External"/><Relationship Id="rId2573" Type="http://schemas.openxmlformats.org/officeDocument/2006/relationships/hyperlink" Target="https://replay.pokemonshowdown.com/smogtours-gen3ou-800727" TargetMode="External"/><Relationship Id="rId410" Type="http://schemas.openxmlformats.org/officeDocument/2006/relationships/hyperlink" Target="https://replay.pokemonshowdown.com/smogtours-gen3ou-794392" TargetMode="External"/><Relationship Id="rId1243" Type="http://schemas.openxmlformats.org/officeDocument/2006/relationships/hyperlink" Target="https://replay.pokemonshowdown.com/smogtours-gen3ou-796643" TargetMode="External"/><Relationship Id="rId2574" Type="http://schemas.openxmlformats.org/officeDocument/2006/relationships/hyperlink" Target="https://replay.pokemonshowdown.com/smogtours-gen3ou-800733" TargetMode="External"/><Relationship Id="rId1244" Type="http://schemas.openxmlformats.org/officeDocument/2006/relationships/hyperlink" Target="https://replay.pokemonshowdown.com/smogtours-gen3ou-796422" TargetMode="External"/><Relationship Id="rId2575" Type="http://schemas.openxmlformats.org/officeDocument/2006/relationships/hyperlink" Target="https://replay.pokemonshowdown.com/smogtours-gen3ou-800668" TargetMode="External"/><Relationship Id="rId1245" Type="http://schemas.openxmlformats.org/officeDocument/2006/relationships/hyperlink" Target="https://replay.pokemonshowdown.com/smogtours-gen3ou-796428" TargetMode="External"/><Relationship Id="rId2576" Type="http://schemas.openxmlformats.org/officeDocument/2006/relationships/hyperlink" Target="https://replay.pokemonshowdown.com/smogtours-gen3ou-800690" TargetMode="External"/><Relationship Id="rId1279" Type="http://schemas.openxmlformats.org/officeDocument/2006/relationships/hyperlink" Target="https://replay.pokemonshowdown.com/smogtours-gen3ou-796284" TargetMode="External"/><Relationship Id="rId448" Type="http://schemas.openxmlformats.org/officeDocument/2006/relationships/hyperlink" Target="https://replay.pokemonshowdown.com/smogtours-gen3ou-794848" TargetMode="External"/><Relationship Id="rId447" Type="http://schemas.openxmlformats.org/officeDocument/2006/relationships/hyperlink" Target="https://replay.pokemonshowdown.com/smogtours-gen3ou-794667" TargetMode="External"/><Relationship Id="rId446" Type="http://schemas.openxmlformats.org/officeDocument/2006/relationships/hyperlink" Target="https://replay.pokemonshowdown.com/smogtours-gen3ou-794662" TargetMode="External"/><Relationship Id="rId445" Type="http://schemas.openxmlformats.org/officeDocument/2006/relationships/hyperlink" Target="https://replay.pokemonshowdown.com/smogtours-gen3ou-794656" TargetMode="External"/><Relationship Id="rId449" Type="http://schemas.openxmlformats.org/officeDocument/2006/relationships/hyperlink" Target="https://replay.pokemonshowdown.com/smogtours-gen3ou-794849" TargetMode="External"/><Relationship Id="rId1270" Type="http://schemas.openxmlformats.org/officeDocument/2006/relationships/hyperlink" Target="https://replay.pokemonshowdown.com/smogtours-gen3ou-796968" TargetMode="External"/><Relationship Id="rId440" Type="http://schemas.openxmlformats.org/officeDocument/2006/relationships/hyperlink" Target="https://replay.pokemonshowdown.com/smogtours-gen3ou-794330" TargetMode="External"/><Relationship Id="rId1271" Type="http://schemas.openxmlformats.org/officeDocument/2006/relationships/hyperlink" Target="https://replay.pokemonshowdown.com/smogtours-gen3ou-796974" TargetMode="External"/><Relationship Id="rId1272" Type="http://schemas.openxmlformats.org/officeDocument/2006/relationships/hyperlink" Target="https://replay.pokemonshowdown.com/smogtours-gen3ou-796502" TargetMode="External"/><Relationship Id="rId1273" Type="http://schemas.openxmlformats.org/officeDocument/2006/relationships/hyperlink" Target="https://replay.pokemonshowdown.com/smogtours-gen3ou-796504" TargetMode="External"/><Relationship Id="rId1274" Type="http://schemas.openxmlformats.org/officeDocument/2006/relationships/hyperlink" Target="https://replay.pokemonshowdown.com/smogtours-gen3ou-796663" TargetMode="External"/><Relationship Id="rId444" Type="http://schemas.openxmlformats.org/officeDocument/2006/relationships/hyperlink" Target="https://replay.pokemonshowdown.com/smogtours-gen3ou-794119" TargetMode="External"/><Relationship Id="rId1275" Type="http://schemas.openxmlformats.org/officeDocument/2006/relationships/hyperlink" Target="https://replay.pokemonshowdown.com/smogtours-gen3ou-796670" TargetMode="External"/><Relationship Id="rId443" Type="http://schemas.openxmlformats.org/officeDocument/2006/relationships/hyperlink" Target="https://replay.pokemonshowdown.com/smogtours-gen3ou-794118" TargetMode="External"/><Relationship Id="rId1276" Type="http://schemas.openxmlformats.org/officeDocument/2006/relationships/hyperlink" Target="https://replay.pokemonshowdown.com/smogtours-gen3ou-796356" TargetMode="External"/><Relationship Id="rId442" Type="http://schemas.openxmlformats.org/officeDocument/2006/relationships/hyperlink" Target="https://replay.pokemonshowdown.com/smogtours-gen3ou-794116" TargetMode="External"/><Relationship Id="rId1277" Type="http://schemas.openxmlformats.org/officeDocument/2006/relationships/hyperlink" Target="https://replay.pokemonshowdown.com/smogtours-gen3ou-796357" TargetMode="External"/><Relationship Id="rId441" Type="http://schemas.openxmlformats.org/officeDocument/2006/relationships/hyperlink" Target="https://replay.pokemonshowdown.com/smogtours-gen3ou-794115" TargetMode="External"/><Relationship Id="rId1278" Type="http://schemas.openxmlformats.org/officeDocument/2006/relationships/hyperlink" Target="https://replay.pokemonshowdown.com/smogtours-gen3ou-796360" TargetMode="External"/><Relationship Id="rId1268" Type="http://schemas.openxmlformats.org/officeDocument/2006/relationships/hyperlink" Target="https://replay.pokemonshowdown.com/smogtours-gen3ou-796711" TargetMode="External"/><Relationship Id="rId2599" Type="http://schemas.openxmlformats.org/officeDocument/2006/relationships/hyperlink" Target="https://replay.pokemonshowdown.com/smogtours-gen3ou-800504" TargetMode="External"/><Relationship Id="rId1269" Type="http://schemas.openxmlformats.org/officeDocument/2006/relationships/hyperlink" Target="https://replay.pokemonshowdown.com/smogtours-gen3ou-796718" TargetMode="External"/><Relationship Id="rId437" Type="http://schemas.openxmlformats.org/officeDocument/2006/relationships/hyperlink" Target="https://replay.pokemonshowdown.com/smogtours-gen3ou-793992" TargetMode="External"/><Relationship Id="rId436" Type="http://schemas.openxmlformats.org/officeDocument/2006/relationships/hyperlink" Target="https://replay.pokemonshowdown.com/smogtours-gen3ou-793991" TargetMode="External"/><Relationship Id="rId435" Type="http://schemas.openxmlformats.org/officeDocument/2006/relationships/hyperlink" Target="https://replay.pokemonshowdown.com/smogtours-gen3ou-793987" TargetMode="External"/><Relationship Id="rId434" Type="http://schemas.openxmlformats.org/officeDocument/2006/relationships/hyperlink" Target="https://replay.pokemonshowdown.com/smogtours-gen3ou-794087" TargetMode="External"/><Relationship Id="rId439" Type="http://schemas.openxmlformats.org/officeDocument/2006/relationships/hyperlink" Target="https://replay.pokemonshowdown.com/smogtours-gen3ou-794324" TargetMode="External"/><Relationship Id="rId438" Type="http://schemas.openxmlformats.org/officeDocument/2006/relationships/hyperlink" Target="https://replay.pokemonshowdown.com/smogtours-gen3ou-794320" TargetMode="External"/><Relationship Id="rId2590" Type="http://schemas.openxmlformats.org/officeDocument/2006/relationships/hyperlink" Target="https://replay.pokemonshowdown.com/smogtours-gen3ou-800532" TargetMode="External"/><Relationship Id="rId1260" Type="http://schemas.openxmlformats.org/officeDocument/2006/relationships/hyperlink" Target="https://replay.pokemonshowdown.com/smogtours-gen3ou-796863" TargetMode="External"/><Relationship Id="rId2591" Type="http://schemas.openxmlformats.org/officeDocument/2006/relationships/hyperlink" Target="https://replay.pokemonshowdown.com/smogtours-gen3ou-800760" TargetMode="External"/><Relationship Id="rId1261" Type="http://schemas.openxmlformats.org/officeDocument/2006/relationships/hyperlink" Target="https://replay.pokemonshowdown.com/smogtours-gen3ou-796273" TargetMode="External"/><Relationship Id="rId2592" Type="http://schemas.openxmlformats.org/officeDocument/2006/relationships/hyperlink" Target="https://replay.pokemonshowdown.com/smogtours-gen3ou-800769" TargetMode="External"/><Relationship Id="rId1262" Type="http://schemas.openxmlformats.org/officeDocument/2006/relationships/hyperlink" Target="https://replay.pokemonshowdown.com/smogtours-gen3ou-796277" TargetMode="External"/><Relationship Id="rId2593" Type="http://schemas.openxmlformats.org/officeDocument/2006/relationships/hyperlink" Target="https://replay.pokemonshowdown.com/smogtours-gen3ou-800773" TargetMode="External"/><Relationship Id="rId1263" Type="http://schemas.openxmlformats.org/officeDocument/2006/relationships/hyperlink" Target="https://replay.pokemonshowdown.com/smogtours-gen3ou-796279" TargetMode="External"/><Relationship Id="rId2594" Type="http://schemas.openxmlformats.org/officeDocument/2006/relationships/hyperlink" Target="https://replay.pokemonshowdown.com/smogtours-gen3ou-800754" TargetMode="External"/><Relationship Id="rId433" Type="http://schemas.openxmlformats.org/officeDocument/2006/relationships/hyperlink" Target="https://replay.pokemonshowdown.com/smogtours-gen3ou-794081" TargetMode="External"/><Relationship Id="rId1264" Type="http://schemas.openxmlformats.org/officeDocument/2006/relationships/hyperlink" Target="https://replay.pokemonshowdown.com/smogtours-gen3ou-796895" TargetMode="External"/><Relationship Id="rId2595" Type="http://schemas.openxmlformats.org/officeDocument/2006/relationships/hyperlink" Target="https://replay.pokemonshowdown.com/smogtours-gen3ou-800779" TargetMode="External"/><Relationship Id="rId432" Type="http://schemas.openxmlformats.org/officeDocument/2006/relationships/hyperlink" Target="https://replay.pokemonshowdown.com/smogtours-gen3ou-794318" TargetMode="External"/><Relationship Id="rId1265" Type="http://schemas.openxmlformats.org/officeDocument/2006/relationships/hyperlink" Target="https://replay.pokemonshowdown.com/smogtours-gen3ou-796898" TargetMode="External"/><Relationship Id="rId2596" Type="http://schemas.openxmlformats.org/officeDocument/2006/relationships/hyperlink" Target="https://replay.pokemonshowdown.com/smogtours-gen3ou-800790" TargetMode="External"/><Relationship Id="rId431" Type="http://schemas.openxmlformats.org/officeDocument/2006/relationships/hyperlink" Target="https://replay.pokemonshowdown.com/smogtours-gen3ou-794314" TargetMode="External"/><Relationship Id="rId1266" Type="http://schemas.openxmlformats.org/officeDocument/2006/relationships/hyperlink" Target="https://replay.pokemonshowdown.com/smogtours-gen3ou-796809" TargetMode="External"/><Relationship Id="rId2597" Type="http://schemas.openxmlformats.org/officeDocument/2006/relationships/hyperlink" Target="https://replay.pokemonshowdown.com/smogtours-gen3ou-800476" TargetMode="External"/><Relationship Id="rId430" Type="http://schemas.openxmlformats.org/officeDocument/2006/relationships/hyperlink" Target="https://replay.pokemonshowdown.com/smogtours-gen3ou-794309" TargetMode="External"/><Relationship Id="rId1267" Type="http://schemas.openxmlformats.org/officeDocument/2006/relationships/hyperlink" Target="https://replay.pokemonshowdown.com/smogtours-gen3ou-796815" TargetMode="External"/><Relationship Id="rId2598" Type="http://schemas.openxmlformats.org/officeDocument/2006/relationships/hyperlink" Target="https://replay.pokemonshowdown.com/smogtours-gen3ou-800488" TargetMode="External"/><Relationship Id="rId3070" Type="http://schemas.openxmlformats.org/officeDocument/2006/relationships/hyperlink" Target="https://replay.pokemonshowdown.com/smogtours-gen3ou-801234" TargetMode="External"/><Relationship Id="rId3072" Type="http://schemas.openxmlformats.org/officeDocument/2006/relationships/hyperlink" Target="https://replay.pokemonshowdown.com/smogtours-gen3ou-801741" TargetMode="External"/><Relationship Id="rId3071" Type="http://schemas.openxmlformats.org/officeDocument/2006/relationships/hyperlink" Target="https://replay.pokemonshowdown.com/smogtours-gen3ou-801740" TargetMode="External"/><Relationship Id="rId3074" Type="http://schemas.openxmlformats.org/officeDocument/2006/relationships/hyperlink" Target="https://replay.pokemonshowdown.com/smogtours-gen3ou-801826" TargetMode="External"/><Relationship Id="rId3073" Type="http://schemas.openxmlformats.org/officeDocument/2006/relationships/hyperlink" Target="https://replay.pokemonshowdown.com/smogtours-gen3ou-801817" TargetMode="External"/><Relationship Id="rId3076" Type="http://schemas.openxmlformats.org/officeDocument/2006/relationships/hyperlink" Target="https://replay.pokemonshowdown.com/smogtours-gen3ou-801823" TargetMode="External"/><Relationship Id="rId3075" Type="http://schemas.openxmlformats.org/officeDocument/2006/relationships/hyperlink" Target="https://replay.pokemonshowdown.com/smogtours-gen3ou-801832" TargetMode="External"/><Relationship Id="rId3078" Type="http://schemas.openxmlformats.org/officeDocument/2006/relationships/hyperlink" Target="https://replay.pokemonshowdown.com/smogtours-gen3ou-801821" TargetMode="External"/><Relationship Id="rId3077" Type="http://schemas.openxmlformats.org/officeDocument/2006/relationships/hyperlink" Target="https://replay.pokemonshowdown.com/smogtours-gen3ou-801830" TargetMode="External"/><Relationship Id="rId3079" Type="http://schemas.openxmlformats.org/officeDocument/2006/relationships/hyperlink" Target="https://replay.pokemonshowdown.com/smogtours-gen3ou-801828" TargetMode="External"/><Relationship Id="rId3061" Type="http://schemas.openxmlformats.org/officeDocument/2006/relationships/hyperlink" Target="https://replay.pokemonshowdown.com/smogtours-gen3ou-801410" TargetMode="External"/><Relationship Id="rId3060" Type="http://schemas.openxmlformats.org/officeDocument/2006/relationships/hyperlink" Target="https://replay.pokemonshowdown.com/smogtours-gen3ou-801282" TargetMode="External"/><Relationship Id="rId3063" Type="http://schemas.openxmlformats.org/officeDocument/2006/relationships/hyperlink" Target="https://replay.pokemonshowdown.com/smogtours-gen3ou-801425" TargetMode="External"/><Relationship Id="rId3062" Type="http://schemas.openxmlformats.org/officeDocument/2006/relationships/hyperlink" Target="https://replay.pokemonshowdown.com/smogtours-gen3ou-801411" TargetMode="External"/><Relationship Id="rId3065" Type="http://schemas.openxmlformats.org/officeDocument/2006/relationships/hyperlink" Target="https://replay.pokemonshowdown.com/smogtours-gen3ou-801183" TargetMode="External"/><Relationship Id="rId3064" Type="http://schemas.openxmlformats.org/officeDocument/2006/relationships/hyperlink" Target="https://replay.pokemonshowdown.com/smogtours-gen3ou-801426" TargetMode="External"/><Relationship Id="rId3067" Type="http://schemas.openxmlformats.org/officeDocument/2006/relationships/hyperlink" Target="https://replay.pokemonshowdown.com/smogtours-gen3ou-801058" TargetMode="External"/><Relationship Id="rId3066" Type="http://schemas.openxmlformats.org/officeDocument/2006/relationships/hyperlink" Target="https://replay.pokemonshowdown.com/smogtours-gen3ou-801185" TargetMode="External"/><Relationship Id="rId3069" Type="http://schemas.openxmlformats.org/officeDocument/2006/relationships/hyperlink" Target="https://replay.pokemonshowdown.com/smogtours-gen3ou-801232" TargetMode="External"/><Relationship Id="rId3068" Type="http://schemas.openxmlformats.org/officeDocument/2006/relationships/hyperlink" Target="https://replay.pokemonshowdown.com/smogtours-gen3ou-801061" TargetMode="External"/><Relationship Id="rId3090" Type="http://schemas.openxmlformats.org/officeDocument/2006/relationships/hyperlink" Target="https://replay.pokemonshowdown.com/smogtours-gen3ou-801870" TargetMode="External"/><Relationship Id="rId3092" Type="http://schemas.openxmlformats.org/officeDocument/2006/relationships/hyperlink" Target="https://replay.pokemonshowdown.com/smogtours-gen3ou-801900" TargetMode="External"/><Relationship Id="rId3091" Type="http://schemas.openxmlformats.org/officeDocument/2006/relationships/hyperlink" Target="https://replay.pokemonshowdown.com/smogtours-gen3ou-801876" TargetMode="External"/><Relationship Id="rId3094" Type="http://schemas.openxmlformats.org/officeDocument/2006/relationships/hyperlink" Target="https://replay.pokemonshowdown.com/smogtours-gen3ou-801886" TargetMode="External"/><Relationship Id="rId3093" Type="http://schemas.openxmlformats.org/officeDocument/2006/relationships/hyperlink" Target="https://replay.pokemonshowdown.com/smogtours-gen3ou-801912" TargetMode="External"/><Relationship Id="rId3096" Type="http://schemas.openxmlformats.org/officeDocument/2006/relationships/hyperlink" Target="https://replay.pokemonshowdown.com/smogtours-gen3ou-801901" TargetMode="External"/><Relationship Id="rId3095" Type="http://schemas.openxmlformats.org/officeDocument/2006/relationships/hyperlink" Target="https://replay.pokemonshowdown.com/smogtours-gen3ou-801889" TargetMode="External"/><Relationship Id="rId3098" Type="http://schemas.openxmlformats.org/officeDocument/2006/relationships/hyperlink" Target="https://replay.pokemonshowdown.com/smogtours-gen3ou-801956" TargetMode="External"/><Relationship Id="rId3097" Type="http://schemas.openxmlformats.org/officeDocument/2006/relationships/hyperlink" Target="https://replay.pokemonshowdown.com/smogtours-gen3ou-801953" TargetMode="External"/><Relationship Id="rId3099" Type="http://schemas.openxmlformats.org/officeDocument/2006/relationships/hyperlink" Target="https://replay.pokemonshowdown.com/smogtours-gen3ou-801875" TargetMode="External"/><Relationship Id="rId3081" Type="http://schemas.openxmlformats.org/officeDocument/2006/relationships/hyperlink" Target="https://replay.pokemonshowdown.com/smogtours-gen3ou-801852" TargetMode="External"/><Relationship Id="rId3080" Type="http://schemas.openxmlformats.org/officeDocument/2006/relationships/hyperlink" Target="https://replay.pokemonshowdown.com/smogtours-gen3ou-801841" TargetMode="External"/><Relationship Id="rId3083" Type="http://schemas.openxmlformats.org/officeDocument/2006/relationships/hyperlink" Target="https://replay.pokemonshowdown.com/smogtours-gen3ou-801903" TargetMode="External"/><Relationship Id="rId3082" Type="http://schemas.openxmlformats.org/officeDocument/2006/relationships/hyperlink" Target="https://replay.pokemonshowdown.com/smogtours-gen3ou-801855" TargetMode="External"/><Relationship Id="rId3085" Type="http://schemas.openxmlformats.org/officeDocument/2006/relationships/hyperlink" Target="https://replay.pokemonshowdown.com/smogtours-gen3ou-801924" TargetMode="External"/><Relationship Id="rId3084" Type="http://schemas.openxmlformats.org/officeDocument/2006/relationships/hyperlink" Target="https://replay.pokemonshowdown.com/smogtours-gen3ou-801911" TargetMode="External"/><Relationship Id="rId3087" Type="http://schemas.openxmlformats.org/officeDocument/2006/relationships/hyperlink" Target="https://replay.pokemonshowdown.com/smogtours-gen3ou-801860" TargetMode="External"/><Relationship Id="rId3086" Type="http://schemas.openxmlformats.org/officeDocument/2006/relationships/hyperlink" Target="https://replay.pokemonshowdown.com/smogtours-gen3ou-801857" TargetMode="External"/><Relationship Id="rId3089" Type="http://schemas.openxmlformats.org/officeDocument/2006/relationships/hyperlink" Target="https://replay.pokemonshowdown.com/smogtours-gen3ou-801859" TargetMode="External"/><Relationship Id="rId3088" Type="http://schemas.openxmlformats.org/officeDocument/2006/relationships/hyperlink" Target="https://replay.pokemonshowdown.com/smogtours-gen3ou-801863" TargetMode="External"/><Relationship Id="rId3039" Type="http://schemas.openxmlformats.org/officeDocument/2006/relationships/hyperlink" Target="https://replay.pokemonshowdown.com/smogtours-gen3ou-801478" TargetMode="External"/><Relationship Id="rId1" Type="http://schemas.openxmlformats.org/officeDocument/2006/relationships/hyperlink" Target="https://replay.pokemonshowdown.com/smogtours-gen3ou-793791?p2" TargetMode="External"/><Relationship Id="rId2" Type="http://schemas.openxmlformats.org/officeDocument/2006/relationships/hyperlink" Target="https://replay.pokemonshowdown.com/smogtours-gen3ou-793794" TargetMode="External"/><Relationship Id="rId3" Type="http://schemas.openxmlformats.org/officeDocument/2006/relationships/hyperlink" Target="https://replay.pokemonshowdown.com/smogtours-gen3ou-793757" TargetMode="External"/><Relationship Id="rId4" Type="http://schemas.openxmlformats.org/officeDocument/2006/relationships/hyperlink" Target="https://replay.pokemonshowdown.com/smogtours-gen3ou-793758" TargetMode="External"/><Relationship Id="rId3030" Type="http://schemas.openxmlformats.org/officeDocument/2006/relationships/hyperlink" Target="https://replay.pokemonshowdown.com/smogtours-gen3ou-801335" TargetMode="External"/><Relationship Id="rId9" Type="http://schemas.openxmlformats.org/officeDocument/2006/relationships/hyperlink" Target="https://replay.pokemonshowdown.com/smogtours-gen3ou-793795?p2" TargetMode="External"/><Relationship Id="rId3032" Type="http://schemas.openxmlformats.org/officeDocument/2006/relationships/hyperlink" Target="https://replay.pokemonshowdown.com/smogtours-gen3ou-801339" TargetMode="External"/><Relationship Id="rId3031" Type="http://schemas.openxmlformats.org/officeDocument/2006/relationships/hyperlink" Target="https://replay.pokemonshowdown.com/smogtours-gen3ou-801337" TargetMode="External"/><Relationship Id="rId3034" Type="http://schemas.openxmlformats.org/officeDocument/2006/relationships/hyperlink" Target="https://replay.pokemonshowdown.com/gen3ou-2228046712-5n3c01vsaighd322t2sibjy41o2p7yipw" TargetMode="External"/><Relationship Id="rId3033" Type="http://schemas.openxmlformats.org/officeDocument/2006/relationships/hyperlink" Target="https://replay.pokemonshowdown.com/gen3ou-2228044396-15e8lf1rum5up5kd7gcyv59n5af55agpw" TargetMode="External"/><Relationship Id="rId5" Type="http://schemas.openxmlformats.org/officeDocument/2006/relationships/hyperlink" Target="https://replay.pokemonshowdown.com/smogtours-gen3ou-793759" TargetMode="External"/><Relationship Id="rId3036" Type="http://schemas.openxmlformats.org/officeDocument/2006/relationships/hyperlink" Target="https://replay.pokemonshowdown.com/smogtours-gen3ou-801615" TargetMode="External"/><Relationship Id="rId6" Type="http://schemas.openxmlformats.org/officeDocument/2006/relationships/hyperlink" Target="https://replay.pokemonshowdown.com/smogtours-gen3ou-793827" TargetMode="External"/><Relationship Id="rId3035" Type="http://schemas.openxmlformats.org/officeDocument/2006/relationships/hyperlink" Target="https://replay.pokemonshowdown.com/gen3ou-2228050146-s4cjpth8nggccyphhhf89dog31b5jdbpw" TargetMode="External"/><Relationship Id="rId7" Type="http://schemas.openxmlformats.org/officeDocument/2006/relationships/hyperlink" Target="https://replay.pokemonshowdown.com/smogtours-gen3ou-793827" TargetMode="External"/><Relationship Id="rId3038" Type="http://schemas.openxmlformats.org/officeDocument/2006/relationships/hyperlink" Target="https://replay.pokemonshowdown.com/smogtours-gen3ou-801475" TargetMode="External"/><Relationship Id="rId8" Type="http://schemas.openxmlformats.org/officeDocument/2006/relationships/hyperlink" Target="https://replay.pokemonshowdown.com/smogtours-gen3ou-793792" TargetMode="External"/><Relationship Id="rId3037" Type="http://schemas.openxmlformats.org/officeDocument/2006/relationships/hyperlink" Target="https://replay.pokemonshowdown.com/smogtours-gen3ou-801622" TargetMode="External"/><Relationship Id="rId3029" Type="http://schemas.openxmlformats.org/officeDocument/2006/relationships/hyperlink" Target="https://replay.pokemonshowdown.com/smogtours-gen3ou-801731" TargetMode="External"/><Relationship Id="rId3028" Type="http://schemas.openxmlformats.org/officeDocument/2006/relationships/hyperlink" Target="https://replay.pokemonshowdown.com/smogtours-gen3ou-801729" TargetMode="External"/><Relationship Id="rId3021" Type="http://schemas.openxmlformats.org/officeDocument/2006/relationships/hyperlink" Target="https://replay.pokemonshowdown.com/smogtours-gen3ou-801190" TargetMode="External"/><Relationship Id="rId3020" Type="http://schemas.openxmlformats.org/officeDocument/2006/relationships/hyperlink" Target="https://replay.pokemonshowdown.com/smogtours-gen3ou-801611" TargetMode="External"/><Relationship Id="rId3023" Type="http://schemas.openxmlformats.org/officeDocument/2006/relationships/hyperlink" Target="https://replay.pokemonshowdown.com/smogtours-gen3ou-801197" TargetMode="External"/><Relationship Id="rId3022" Type="http://schemas.openxmlformats.org/officeDocument/2006/relationships/hyperlink" Target="https://replay.pokemonshowdown.com/smogtours-gen3ou-801195" TargetMode="External"/><Relationship Id="rId3025" Type="http://schemas.openxmlformats.org/officeDocument/2006/relationships/hyperlink" Target="https://replay.pokemonshowdown.com/smogtours-gen3ou-801561" TargetMode="External"/><Relationship Id="rId3024" Type="http://schemas.openxmlformats.org/officeDocument/2006/relationships/hyperlink" Target="https://replay.pokemonshowdown.com/smogtours-gen3ou-801555" TargetMode="External"/><Relationship Id="rId3027" Type="http://schemas.openxmlformats.org/officeDocument/2006/relationships/hyperlink" Target="https://replay.pokemonshowdown.com/smogtours-gen3ou-801231" TargetMode="External"/><Relationship Id="rId3026" Type="http://schemas.openxmlformats.org/officeDocument/2006/relationships/hyperlink" Target="https://replay.pokemonshowdown.com/smogtours-gen3ou-801228" TargetMode="External"/><Relationship Id="rId3050" Type="http://schemas.openxmlformats.org/officeDocument/2006/relationships/hyperlink" Target="https://replay.pokemonshowdown.com/smogtours-gen3ou-801156" TargetMode="External"/><Relationship Id="rId3052" Type="http://schemas.openxmlformats.org/officeDocument/2006/relationships/hyperlink" Target="https://replay.pokemonshowdown.com/smogtours-gen3ou-801650" TargetMode="External"/><Relationship Id="rId3051" Type="http://schemas.openxmlformats.org/officeDocument/2006/relationships/hyperlink" Target="https://replay.pokemonshowdown.com/smogtours-gen3ou-801157" TargetMode="External"/><Relationship Id="rId3054" Type="http://schemas.openxmlformats.org/officeDocument/2006/relationships/hyperlink" Target="https://replay.pokemonshowdown.com/smogtours-gen3ou-801511" TargetMode="External"/><Relationship Id="rId3053" Type="http://schemas.openxmlformats.org/officeDocument/2006/relationships/hyperlink" Target="https://replay.pokemonshowdown.com/smogtours-gen3ou-801653" TargetMode="External"/><Relationship Id="rId3056" Type="http://schemas.openxmlformats.org/officeDocument/2006/relationships/hyperlink" Target="https://replay.pokemonshowdown.com/smogtours-gen3ou-801514" TargetMode="External"/><Relationship Id="rId3055" Type="http://schemas.openxmlformats.org/officeDocument/2006/relationships/hyperlink" Target="https://replay.pokemonshowdown.com/smogtours-gen3ou-801513" TargetMode="External"/><Relationship Id="rId3058" Type="http://schemas.openxmlformats.org/officeDocument/2006/relationships/hyperlink" Target="https://replay.pokemonshowdown.com/smogtours-gen3ou-801427" TargetMode="External"/><Relationship Id="rId3057" Type="http://schemas.openxmlformats.org/officeDocument/2006/relationships/hyperlink" Target="https://replay.pokemonshowdown.com/smogtours-gen3ou-801423" TargetMode="External"/><Relationship Id="rId3059" Type="http://schemas.openxmlformats.org/officeDocument/2006/relationships/hyperlink" Target="https://replay.pokemonshowdown.com/smogtours-gen3ou-801278" TargetMode="External"/><Relationship Id="rId3041" Type="http://schemas.openxmlformats.org/officeDocument/2006/relationships/hyperlink" Target="https://replay.pokemonshowdown.com/smogtours-gen3ou-801215" TargetMode="External"/><Relationship Id="rId3040" Type="http://schemas.openxmlformats.org/officeDocument/2006/relationships/hyperlink" Target="https://replay.pokemonshowdown.com/smogtours-gen3ou-801213" TargetMode="External"/><Relationship Id="rId3043" Type="http://schemas.openxmlformats.org/officeDocument/2006/relationships/hyperlink" Target="https://replay.pokemonshowdown.com/smogtours-gen3ou-801252" TargetMode="External"/><Relationship Id="rId3042" Type="http://schemas.openxmlformats.org/officeDocument/2006/relationships/hyperlink" Target="https://replay.pokemonshowdown.com/smogtours-gen3ou-801247" TargetMode="External"/><Relationship Id="rId3045" Type="http://schemas.openxmlformats.org/officeDocument/2006/relationships/hyperlink" Target="https://replay.pokemonshowdown.com/smogtours-gen3ou-801181" TargetMode="External"/><Relationship Id="rId3044" Type="http://schemas.openxmlformats.org/officeDocument/2006/relationships/hyperlink" Target="https://replay.pokemonshowdown.com/smogtours-gen3ou-801179" TargetMode="External"/><Relationship Id="rId3047" Type="http://schemas.openxmlformats.org/officeDocument/2006/relationships/hyperlink" Target="https://replay.pokemonshowdown.com/smogtours-gen3ou-801534" TargetMode="External"/><Relationship Id="rId3046" Type="http://schemas.openxmlformats.org/officeDocument/2006/relationships/hyperlink" Target="https://replay.pokemonshowdown.com/smogtours-gen3ou-801533" TargetMode="External"/><Relationship Id="rId3049" Type="http://schemas.openxmlformats.org/officeDocument/2006/relationships/hyperlink" Target="https://replay.pokemonshowdown.com/smogtours-gen3ou-801420" TargetMode="External"/><Relationship Id="rId3048" Type="http://schemas.openxmlformats.org/officeDocument/2006/relationships/hyperlink" Target="https://replay.pokemonshowdown.com/smogtours-gen3ou-801419" TargetMode="External"/><Relationship Id="rId3911" Type="http://schemas.openxmlformats.org/officeDocument/2006/relationships/hyperlink" Target="https://replay.pokemonshowdown.com/smogtours-gen3ou-805118" TargetMode="External"/><Relationship Id="rId3910" Type="http://schemas.openxmlformats.org/officeDocument/2006/relationships/hyperlink" Target="https://replay.pokemonshowdown.com/smogtours-gen3ou-805094" TargetMode="External"/><Relationship Id="rId3913" Type="http://schemas.openxmlformats.org/officeDocument/2006/relationships/hyperlink" Target="https://replay.pokemonshowdown.com/smogtours-gen3ou-805124" TargetMode="External"/><Relationship Id="rId3912" Type="http://schemas.openxmlformats.org/officeDocument/2006/relationships/hyperlink" Target="https://replay.pokemonshowdown.com/smogtours-gen3ou-805122" TargetMode="External"/><Relationship Id="rId3915" Type="http://schemas.openxmlformats.org/officeDocument/2006/relationships/hyperlink" Target="https://replay.pokemonshowdown.com/smogtours-gen3ou-804968" TargetMode="External"/><Relationship Id="rId3914" Type="http://schemas.openxmlformats.org/officeDocument/2006/relationships/hyperlink" Target="https://replay.pokemonshowdown.com/smogtours-gen3ou-804970" TargetMode="External"/><Relationship Id="rId3917" Type="http://schemas.openxmlformats.org/officeDocument/2006/relationships/hyperlink" Target="https://replay.pokemonshowdown.com/smogtours-gen3ou-805072" TargetMode="External"/><Relationship Id="rId3916" Type="http://schemas.openxmlformats.org/officeDocument/2006/relationships/hyperlink" Target="https://replay.pokemonshowdown.com/smogtours-gen3ou-804969" TargetMode="External"/><Relationship Id="rId3919" Type="http://schemas.openxmlformats.org/officeDocument/2006/relationships/hyperlink" Target="https://replay.pokemonshowdown.com/smogtours-gen3ou-805053" TargetMode="External"/><Relationship Id="rId3918" Type="http://schemas.openxmlformats.org/officeDocument/2006/relationships/hyperlink" Target="https://replay.pokemonshowdown.com/smogtours-gen3ou-805074" TargetMode="External"/><Relationship Id="rId3900" Type="http://schemas.openxmlformats.org/officeDocument/2006/relationships/hyperlink" Target="https://replay.pokemonshowdown.com/smogtours-gen3ou-804988" TargetMode="External"/><Relationship Id="rId3902" Type="http://schemas.openxmlformats.org/officeDocument/2006/relationships/hyperlink" Target="https://replay.pokemonshowdown.com/smogtours-gen3ou-805046" TargetMode="External"/><Relationship Id="rId3901" Type="http://schemas.openxmlformats.org/officeDocument/2006/relationships/hyperlink" Target="https://replay.pokemonshowdown.com/smogtours-gen3ou-805044" TargetMode="External"/><Relationship Id="rId3904" Type="http://schemas.openxmlformats.org/officeDocument/2006/relationships/hyperlink" Target="https://replay.pokemonshowdown.com/smogtours-gen3ou-805018" TargetMode="External"/><Relationship Id="rId3903" Type="http://schemas.openxmlformats.org/officeDocument/2006/relationships/hyperlink" Target="https://replay.pokemonshowdown.com/smogtours-gen3ou-805011" TargetMode="External"/><Relationship Id="rId3906" Type="http://schemas.openxmlformats.org/officeDocument/2006/relationships/hyperlink" Target="https://replay.pokemonshowdown.com/smogtours-gen3ou-805052" TargetMode="External"/><Relationship Id="rId3905" Type="http://schemas.openxmlformats.org/officeDocument/2006/relationships/hyperlink" Target="https://replay.pokemonshowdown.com/smogtours-gen3ou-805051" TargetMode="External"/><Relationship Id="rId3908" Type="http://schemas.openxmlformats.org/officeDocument/2006/relationships/hyperlink" Target="https://replay.pokemonshowdown.com/smogtours-gen3ou-805105" TargetMode="External"/><Relationship Id="rId3907" Type="http://schemas.openxmlformats.org/officeDocument/2006/relationships/hyperlink" Target="https://replay.pokemonshowdown.com/smogtours-gen3ou-805103" TargetMode="External"/><Relationship Id="rId3909" Type="http://schemas.openxmlformats.org/officeDocument/2006/relationships/hyperlink" Target="https://replay.pokemonshowdown.com/smogtours-gen3ou-805093" TargetMode="External"/><Relationship Id="rId3931" Type="http://schemas.openxmlformats.org/officeDocument/2006/relationships/hyperlink" Target="https://replay.pokemonshowdown.com/smogtours-gen3ou-805226" TargetMode="External"/><Relationship Id="rId2600" Type="http://schemas.openxmlformats.org/officeDocument/2006/relationships/hyperlink" Target="https://replay.pokemonshowdown.com/smogtours-gen3ou-800677" TargetMode="External"/><Relationship Id="rId3930" Type="http://schemas.openxmlformats.org/officeDocument/2006/relationships/hyperlink" Target="https://replay.pokemonshowdown.com/smogtours-gen3ou-805191" TargetMode="External"/><Relationship Id="rId2601" Type="http://schemas.openxmlformats.org/officeDocument/2006/relationships/hyperlink" Target="https://replay.pokemonshowdown.com/smogtours-gen3ou-800702" TargetMode="External"/><Relationship Id="rId3933" Type="http://schemas.openxmlformats.org/officeDocument/2006/relationships/hyperlink" Target="https://replay.pokemonshowdown.com/smogtours-gen3ou-805242" TargetMode="External"/><Relationship Id="rId2602" Type="http://schemas.openxmlformats.org/officeDocument/2006/relationships/hyperlink" Target="https://replay.pokemonshowdown.com/smogtours-gen3ou-800786?p2" TargetMode="External"/><Relationship Id="rId3932" Type="http://schemas.openxmlformats.org/officeDocument/2006/relationships/hyperlink" Target="https://replay.pokemonshowdown.com/smogtours-gen3ou-805228" TargetMode="External"/><Relationship Id="rId2603" Type="http://schemas.openxmlformats.org/officeDocument/2006/relationships/hyperlink" Target="https://replay.pokemonshowdown.com/smogtours-gen3ou-800796?p2" TargetMode="External"/><Relationship Id="rId3935" Type="http://schemas.openxmlformats.org/officeDocument/2006/relationships/hyperlink" Target="https://replay.pokemonshowdown.com/smogtours-gen3ou-805195" TargetMode="External"/><Relationship Id="rId2604" Type="http://schemas.openxmlformats.org/officeDocument/2006/relationships/hyperlink" Target="https://replay.pokemonshowdown.com/smogtours-gen3ou-800807?p2" TargetMode="External"/><Relationship Id="rId3934" Type="http://schemas.openxmlformats.org/officeDocument/2006/relationships/hyperlink" Target="https://replay.pokemonshowdown.com/smogtours-gen3ou-805244" TargetMode="External"/><Relationship Id="rId2605" Type="http://schemas.openxmlformats.org/officeDocument/2006/relationships/hyperlink" Target="https://replay.pokemonshowdown.com/smogtours-gen3ou-800493" TargetMode="External"/><Relationship Id="rId3937" Type="http://schemas.openxmlformats.org/officeDocument/2006/relationships/hyperlink" Target="https://replay.pokemonshowdown.com/smogtours-gen3ou-805163?p2" TargetMode="External"/><Relationship Id="rId2606" Type="http://schemas.openxmlformats.org/officeDocument/2006/relationships/hyperlink" Target="https://replay.pokemonshowdown.com/smogtours-gen3ou-800507" TargetMode="External"/><Relationship Id="rId3936" Type="http://schemas.openxmlformats.org/officeDocument/2006/relationships/hyperlink" Target="https://replay.pokemonshowdown.com/smogtours-gen3ou-805196" TargetMode="External"/><Relationship Id="rId808" Type="http://schemas.openxmlformats.org/officeDocument/2006/relationships/hyperlink" Target="https://replay.pokemonshowdown.com/smogtours-gen3ou-796389" TargetMode="External"/><Relationship Id="rId2607" Type="http://schemas.openxmlformats.org/officeDocument/2006/relationships/hyperlink" Target="https://replay.pokemonshowdown.com/smogtours-gen3ou-800523" TargetMode="External"/><Relationship Id="rId3939" Type="http://schemas.openxmlformats.org/officeDocument/2006/relationships/hyperlink" Target="https://replay.pokemonshowdown.com/smogtours-gen3ou-805250" TargetMode="External"/><Relationship Id="rId807" Type="http://schemas.openxmlformats.org/officeDocument/2006/relationships/hyperlink" Target="https://replay.pokemonshowdown.com/smogtours-gen3ou-796410" TargetMode="External"/><Relationship Id="rId2608" Type="http://schemas.openxmlformats.org/officeDocument/2006/relationships/hyperlink" Target="https://replay.pokemonshowdown.com/smogtours-gen3ou-800904" TargetMode="External"/><Relationship Id="rId3938" Type="http://schemas.openxmlformats.org/officeDocument/2006/relationships/hyperlink" Target="https://replay.pokemonshowdown.com/smogtours-gen3ou-805166?p2" TargetMode="External"/><Relationship Id="rId806" Type="http://schemas.openxmlformats.org/officeDocument/2006/relationships/hyperlink" Target="https://replay.pokemonshowdown.com/smogtours-gen3ou-796399" TargetMode="External"/><Relationship Id="rId2609" Type="http://schemas.openxmlformats.org/officeDocument/2006/relationships/hyperlink" Target="https://replay.pokemonshowdown.com/smogtours-gen3ou-800910" TargetMode="External"/><Relationship Id="rId805" Type="http://schemas.openxmlformats.org/officeDocument/2006/relationships/hyperlink" Target="https://replay.pokemonshowdown.com/smogtours-gen3ou-796384" TargetMode="External"/><Relationship Id="rId809" Type="http://schemas.openxmlformats.org/officeDocument/2006/relationships/hyperlink" Target="https://replay.pokemonshowdown.com/smogtours-gen3ou-796392" TargetMode="External"/><Relationship Id="rId800" Type="http://schemas.openxmlformats.org/officeDocument/2006/relationships/hyperlink" Target="https://replay.pokemonshowdown.com/smogtours-gen3ou-796339" TargetMode="External"/><Relationship Id="rId804" Type="http://schemas.openxmlformats.org/officeDocument/2006/relationships/hyperlink" Target="https://replay.pokemonshowdown.com/smogtours-gen3ou-796375" TargetMode="External"/><Relationship Id="rId803" Type="http://schemas.openxmlformats.org/officeDocument/2006/relationships/hyperlink" Target="https://replay.pokemonshowdown.com/smogtours-gen3ou-796373" TargetMode="External"/><Relationship Id="rId802" Type="http://schemas.openxmlformats.org/officeDocument/2006/relationships/hyperlink" Target="https://replay.pokemonshowdown.com/smogtours-gen3ou-796341" TargetMode="External"/><Relationship Id="rId801" Type="http://schemas.openxmlformats.org/officeDocument/2006/relationships/hyperlink" Target="https://replay.pokemonshowdown.com/smogtours-gen3ou-796340" TargetMode="External"/><Relationship Id="rId3920" Type="http://schemas.openxmlformats.org/officeDocument/2006/relationships/hyperlink" Target="https://replay.pokemonshowdown.com/smogtours-gen3ou-805054" TargetMode="External"/><Relationship Id="rId3922" Type="http://schemas.openxmlformats.org/officeDocument/2006/relationships/hyperlink" Target="https://replay.pokemonshowdown.com/smogtours-gen3ou-805175" TargetMode="External"/><Relationship Id="rId3921" Type="http://schemas.openxmlformats.org/officeDocument/2006/relationships/hyperlink" Target="https://replay.pokemonshowdown.com/smogtours-gen3ou-805169" TargetMode="External"/><Relationship Id="rId3924" Type="http://schemas.openxmlformats.org/officeDocument/2006/relationships/hyperlink" Target="https://replay.pokemonshowdown.com/smogtours-gen3ou-805058" TargetMode="External"/><Relationship Id="rId3923" Type="http://schemas.openxmlformats.org/officeDocument/2006/relationships/hyperlink" Target="https://replay.pokemonshowdown.com/smogtours-gen3ou-805177" TargetMode="External"/><Relationship Id="rId3926" Type="http://schemas.openxmlformats.org/officeDocument/2006/relationships/hyperlink" Target="https://replay.pokemonshowdown.com/smogtours-gen3ou-805065" TargetMode="External"/><Relationship Id="rId3925" Type="http://schemas.openxmlformats.org/officeDocument/2006/relationships/hyperlink" Target="https://replay.pokemonshowdown.com/smogtours-gen3ou-805062" TargetMode="External"/><Relationship Id="rId3928" Type="http://schemas.openxmlformats.org/officeDocument/2006/relationships/hyperlink" Target="https://replay.pokemonshowdown.com/smogtours-gen3ou-805243" TargetMode="External"/><Relationship Id="rId3927" Type="http://schemas.openxmlformats.org/officeDocument/2006/relationships/hyperlink" Target="https://replay.pokemonshowdown.com/smogtours-gen3ou-805240" TargetMode="External"/><Relationship Id="rId3929" Type="http://schemas.openxmlformats.org/officeDocument/2006/relationships/hyperlink" Target="https://replay.pokemonshowdown.com/smogtours-gen3ou-805190" TargetMode="External"/><Relationship Id="rId1334" Type="http://schemas.openxmlformats.org/officeDocument/2006/relationships/hyperlink" Target="https://replay.pokemonshowdown.com/smogtours-gen3ou-797132" TargetMode="External"/><Relationship Id="rId2665" Type="http://schemas.openxmlformats.org/officeDocument/2006/relationships/hyperlink" Target="https://replay.pokemonshowdown.com/smogtours-gen3ou-801347" TargetMode="External"/><Relationship Id="rId3997" Type="http://schemas.openxmlformats.org/officeDocument/2006/relationships/hyperlink" Target="https://replay.pokemonshowdown.com/smogtours-gen3ou-805104" TargetMode="External"/><Relationship Id="rId1335" Type="http://schemas.openxmlformats.org/officeDocument/2006/relationships/hyperlink" Target="https://replay.pokemonshowdown.com/smogtours-gen3ou-797124" TargetMode="External"/><Relationship Id="rId2666" Type="http://schemas.openxmlformats.org/officeDocument/2006/relationships/hyperlink" Target="https://replay.pokemonshowdown.com/smogtours-gen3ou-801206" TargetMode="External"/><Relationship Id="rId3996" Type="http://schemas.openxmlformats.org/officeDocument/2006/relationships/hyperlink" Target="https://replay.pokemonshowdown.com/smogtours-gen3ou-805100" TargetMode="External"/><Relationship Id="rId1336" Type="http://schemas.openxmlformats.org/officeDocument/2006/relationships/hyperlink" Target="https://replay.pokemonshowdown.com/smogtours-gen3ou-797128" TargetMode="External"/><Relationship Id="rId2667" Type="http://schemas.openxmlformats.org/officeDocument/2006/relationships/hyperlink" Target="https://replay.pokemonshowdown.com/smogtours-gen3ou-801208" TargetMode="External"/><Relationship Id="rId3999" Type="http://schemas.openxmlformats.org/officeDocument/2006/relationships/hyperlink" Target="https://replay.pokemonshowdown.com/smogtours-gen3ou-805481" TargetMode="External"/><Relationship Id="rId1337" Type="http://schemas.openxmlformats.org/officeDocument/2006/relationships/hyperlink" Target="https://replay.pokemonshowdown.com/smogtours-gen3ou-797129" TargetMode="External"/><Relationship Id="rId2668" Type="http://schemas.openxmlformats.org/officeDocument/2006/relationships/hyperlink" Target="https://replay.pokemonshowdown.com/smogtours-gen3ou-801223" TargetMode="External"/><Relationship Id="rId3998" Type="http://schemas.openxmlformats.org/officeDocument/2006/relationships/hyperlink" Target="https://replay.pokemonshowdown.com/smogtours-gen3ou-805111" TargetMode="External"/><Relationship Id="rId1338" Type="http://schemas.openxmlformats.org/officeDocument/2006/relationships/hyperlink" Target="https://replay.pokemonshowdown.com/smogtours-gen3ou-797050" TargetMode="External"/><Relationship Id="rId2669" Type="http://schemas.openxmlformats.org/officeDocument/2006/relationships/hyperlink" Target="https://replay.pokemonshowdown.com/smogtours-gen3ou-801226" TargetMode="External"/><Relationship Id="rId1339" Type="http://schemas.openxmlformats.org/officeDocument/2006/relationships/hyperlink" Target="https://replay.pokemonshowdown.com/smogtours-gen3ou-797057" TargetMode="External"/><Relationship Id="rId745" Type="http://schemas.openxmlformats.org/officeDocument/2006/relationships/hyperlink" Target="https://replay.pokemonshowdown.com/smogtours-gen3ou-795892" TargetMode="External"/><Relationship Id="rId744" Type="http://schemas.openxmlformats.org/officeDocument/2006/relationships/hyperlink" Target="https://replay.pokemonshowdown.com/gen3ou-2217295994-bzazen2zmx2vbwyqb6ds301nmw7d5bkpw" TargetMode="External"/><Relationship Id="rId743" Type="http://schemas.openxmlformats.org/officeDocument/2006/relationships/hyperlink" Target="https://replay.pokemonshowdown.com/gen3ou-2217288603-ccssecubf84c8k4gt292gqisf6mttzipw" TargetMode="External"/><Relationship Id="rId742" Type="http://schemas.openxmlformats.org/officeDocument/2006/relationships/hyperlink" Target="https://replay.pokemonshowdown.com/gen3ou-2217280994-vxn9lbq55d31ftjm8wn4rjf2v94typzpw" TargetMode="External"/><Relationship Id="rId749" Type="http://schemas.openxmlformats.org/officeDocument/2006/relationships/hyperlink" Target="https://replay.pokemonshowdown.com/smogtours-gen3ou-795509" TargetMode="External"/><Relationship Id="rId748" Type="http://schemas.openxmlformats.org/officeDocument/2006/relationships/hyperlink" Target="https://replay.pokemonshowdown.com/smogtours-gen3ou-795499" TargetMode="External"/><Relationship Id="rId747" Type="http://schemas.openxmlformats.org/officeDocument/2006/relationships/hyperlink" Target="https://replay.pokemonshowdown.com/smogtours-gen3ou-795916" TargetMode="External"/><Relationship Id="rId746" Type="http://schemas.openxmlformats.org/officeDocument/2006/relationships/hyperlink" Target="https://replay.pokemonshowdown.com/smogtours-gen3ou-795906" TargetMode="External"/><Relationship Id="rId3991" Type="http://schemas.openxmlformats.org/officeDocument/2006/relationships/hyperlink" Target="https://replay.pokemonshowdown.com/smogtours-gen3ou-805213" TargetMode="External"/><Relationship Id="rId2660" Type="http://schemas.openxmlformats.org/officeDocument/2006/relationships/hyperlink" Target="https://replay.pokemonshowdown.com/smogtours-gen3ou-801053" TargetMode="External"/><Relationship Id="rId3990" Type="http://schemas.openxmlformats.org/officeDocument/2006/relationships/hyperlink" Target="https://replay.pokemonshowdown.com/smogtours-gen3ou-805431?p2" TargetMode="External"/><Relationship Id="rId741" Type="http://schemas.openxmlformats.org/officeDocument/2006/relationships/hyperlink" Target="https://replay.pokemonshowdown.com/smogtours-gen3ou-795993" TargetMode="External"/><Relationship Id="rId1330" Type="http://schemas.openxmlformats.org/officeDocument/2006/relationships/hyperlink" Target="https://replay.pokemonshowdown.com/smogtours-gen3ou-797082" TargetMode="External"/><Relationship Id="rId2661" Type="http://schemas.openxmlformats.org/officeDocument/2006/relationships/hyperlink" Target="https://replay.pokemonshowdown.com/smogtours-gen3ou-801294" TargetMode="External"/><Relationship Id="rId3993" Type="http://schemas.openxmlformats.org/officeDocument/2006/relationships/hyperlink" Target="https://replay.pokemonshowdown.com/smogtours-gen3ou-805215" TargetMode="External"/><Relationship Id="rId740" Type="http://schemas.openxmlformats.org/officeDocument/2006/relationships/hyperlink" Target="https://replay.pokemonshowdown.com/smogtours-gen3ou-795980" TargetMode="External"/><Relationship Id="rId1331" Type="http://schemas.openxmlformats.org/officeDocument/2006/relationships/hyperlink" Target="https://replay.pokemonshowdown.com/smogtours-gen3ou-797084" TargetMode="External"/><Relationship Id="rId2662" Type="http://schemas.openxmlformats.org/officeDocument/2006/relationships/hyperlink" Target="https://replay.pokemonshowdown.com/smogtours-gen3ou-801300" TargetMode="External"/><Relationship Id="rId3992" Type="http://schemas.openxmlformats.org/officeDocument/2006/relationships/hyperlink" Target="https://replay.pokemonshowdown.com/smogtours-gen3ou-805214" TargetMode="External"/><Relationship Id="rId1332" Type="http://schemas.openxmlformats.org/officeDocument/2006/relationships/hyperlink" Target="https://replay.pokemonshowdown.com/smogtours-gen3ou-797123" TargetMode="External"/><Relationship Id="rId2663" Type="http://schemas.openxmlformats.org/officeDocument/2006/relationships/hyperlink" Target="https://replay.pokemonshowdown.com/smogtours-gen3ou-801342" TargetMode="External"/><Relationship Id="rId3995" Type="http://schemas.openxmlformats.org/officeDocument/2006/relationships/hyperlink" Target="https://replay.pokemonshowdown.com/smogtours-gen3ou-805562" TargetMode="External"/><Relationship Id="rId1333" Type="http://schemas.openxmlformats.org/officeDocument/2006/relationships/hyperlink" Target="https://replay.pokemonshowdown.com/smogtours-gen3ou-797131" TargetMode="External"/><Relationship Id="rId2664" Type="http://schemas.openxmlformats.org/officeDocument/2006/relationships/hyperlink" Target="https://replay.pokemonshowdown.com/smogtours-gen3ou-801345" TargetMode="External"/><Relationship Id="rId3994" Type="http://schemas.openxmlformats.org/officeDocument/2006/relationships/hyperlink" Target="https://replay.pokemonshowdown.com/smogtours-gen3ou-805559" TargetMode="External"/><Relationship Id="rId1323" Type="http://schemas.openxmlformats.org/officeDocument/2006/relationships/hyperlink" Target="https://replay.pokemonshowdown.com/smogtours-gen3ou-796977" TargetMode="External"/><Relationship Id="rId2654" Type="http://schemas.openxmlformats.org/officeDocument/2006/relationships/hyperlink" Target="https://replay.pokemonshowdown.com/smogtours-gen3ou-801317" TargetMode="External"/><Relationship Id="rId3986" Type="http://schemas.openxmlformats.org/officeDocument/2006/relationships/hyperlink" Target="https://replay.pokemonshowdown.com/smogtours-gen3ou-805138?p2" TargetMode="External"/><Relationship Id="rId1324" Type="http://schemas.openxmlformats.org/officeDocument/2006/relationships/hyperlink" Target="https://replay.pokemonshowdown.com/smogtours-gen3ou-796985" TargetMode="External"/><Relationship Id="rId2655" Type="http://schemas.openxmlformats.org/officeDocument/2006/relationships/hyperlink" Target="https://replay.pokemonshowdown.com/smogtours-gen3ou-801263" TargetMode="External"/><Relationship Id="rId3985" Type="http://schemas.openxmlformats.org/officeDocument/2006/relationships/hyperlink" Target="https://replay.pokemonshowdown.com/smogtours-gen3ou-805137?p2" TargetMode="External"/><Relationship Id="rId1325" Type="http://schemas.openxmlformats.org/officeDocument/2006/relationships/hyperlink" Target="https://replay.pokemonshowdown.com/smogtours-gen3ou-797031" TargetMode="External"/><Relationship Id="rId2656" Type="http://schemas.openxmlformats.org/officeDocument/2006/relationships/hyperlink" Target="https://replay.pokemonshowdown.com/smogtours-gen3ou-801264" TargetMode="External"/><Relationship Id="rId3988" Type="http://schemas.openxmlformats.org/officeDocument/2006/relationships/hyperlink" Target="https://replay.pokemonshowdown.com/smogtours-gen3ou-805419?p2" TargetMode="External"/><Relationship Id="rId1326" Type="http://schemas.openxmlformats.org/officeDocument/2006/relationships/hyperlink" Target="https://replay.pokemonshowdown.com/smogtours-gen3ou-797036" TargetMode="External"/><Relationship Id="rId2657" Type="http://schemas.openxmlformats.org/officeDocument/2006/relationships/hyperlink" Target="https://replay.pokemonshowdown.com/smogtours-gen3ou-801301" TargetMode="External"/><Relationship Id="rId3987" Type="http://schemas.openxmlformats.org/officeDocument/2006/relationships/hyperlink" Target="https://replay.pokemonshowdown.com/smogtours-gen3ou-805140?p2" TargetMode="External"/><Relationship Id="rId1327" Type="http://schemas.openxmlformats.org/officeDocument/2006/relationships/hyperlink" Target="https://replay.pokemonshowdown.com/smogtours-gen3ou-797039?p2" TargetMode="External"/><Relationship Id="rId2658" Type="http://schemas.openxmlformats.org/officeDocument/2006/relationships/hyperlink" Target="https://replay.pokemonshowdown.com/smogtours-gen3ou-801308" TargetMode="External"/><Relationship Id="rId1328" Type="http://schemas.openxmlformats.org/officeDocument/2006/relationships/hyperlink" Target="https://replay.pokemonshowdown.com/smogtours-gen3ou-797044" TargetMode="External"/><Relationship Id="rId2659" Type="http://schemas.openxmlformats.org/officeDocument/2006/relationships/hyperlink" Target="https://replay.pokemonshowdown.com/smogtours-gen3ou-801051" TargetMode="External"/><Relationship Id="rId3989" Type="http://schemas.openxmlformats.org/officeDocument/2006/relationships/hyperlink" Target="https://replay.pokemonshowdown.com/smogtours-gen3ou-805424?p2" TargetMode="External"/><Relationship Id="rId1329" Type="http://schemas.openxmlformats.org/officeDocument/2006/relationships/hyperlink" Target="https://replay.pokemonshowdown.com/smogtours-gen3ou-797051" TargetMode="External"/><Relationship Id="rId739" Type="http://schemas.openxmlformats.org/officeDocument/2006/relationships/hyperlink" Target="https://replay.pokemonshowdown.com/smogtours-gen3ou-795495" TargetMode="External"/><Relationship Id="rId734" Type="http://schemas.openxmlformats.org/officeDocument/2006/relationships/hyperlink" Target="https://replay.pokemonshowdown.com/smogtours-gen3ou-795958" TargetMode="External"/><Relationship Id="rId733" Type="http://schemas.openxmlformats.org/officeDocument/2006/relationships/hyperlink" Target="https://replay.pokemonshowdown.com/smogtours-gen3ou-795960" TargetMode="External"/><Relationship Id="rId732" Type="http://schemas.openxmlformats.org/officeDocument/2006/relationships/hyperlink" Target="https://replay.pokemonshowdown.com/smogtours-gen3ou-795957" TargetMode="External"/><Relationship Id="rId731" Type="http://schemas.openxmlformats.org/officeDocument/2006/relationships/hyperlink" Target="https://replay.pokemonshowdown.com/smogtours-gen3ou-796018" TargetMode="External"/><Relationship Id="rId738" Type="http://schemas.openxmlformats.org/officeDocument/2006/relationships/hyperlink" Target="https://replay.pokemonshowdown.com/smogtours-gen3ou-795493" TargetMode="External"/><Relationship Id="rId737" Type="http://schemas.openxmlformats.org/officeDocument/2006/relationships/hyperlink" Target="https://replay.pokemonshowdown.com/smogtours-gen3ou-796085" TargetMode="External"/><Relationship Id="rId736" Type="http://schemas.openxmlformats.org/officeDocument/2006/relationships/hyperlink" Target="https://replay.pokemonshowdown.com/smogtours-gen3ou-796075" TargetMode="External"/><Relationship Id="rId735" Type="http://schemas.openxmlformats.org/officeDocument/2006/relationships/hyperlink" Target="https://replay.pokemonshowdown.com/smogtours-gen3ou-795964" TargetMode="External"/><Relationship Id="rId3980" Type="http://schemas.openxmlformats.org/officeDocument/2006/relationships/hyperlink" Target="https://replay.pokemonshowdown.com/smogtours-gen3ou-805542" TargetMode="External"/><Relationship Id="rId730" Type="http://schemas.openxmlformats.org/officeDocument/2006/relationships/hyperlink" Target="https://replay.pokemonshowdown.com/smogtours-gen3ou-796004" TargetMode="External"/><Relationship Id="rId2650" Type="http://schemas.openxmlformats.org/officeDocument/2006/relationships/hyperlink" Target="https://replay.pokemonshowdown.com/smogtours-gen3ou-801281" TargetMode="External"/><Relationship Id="rId3982" Type="http://schemas.openxmlformats.org/officeDocument/2006/relationships/hyperlink" Target="https://replay.pokemonshowdown.com/smogtours-gen3ou-805082" TargetMode="External"/><Relationship Id="rId1320" Type="http://schemas.openxmlformats.org/officeDocument/2006/relationships/hyperlink" Target="https://replay.pokemonshowdown.com/smogtours-gen3ou-796724" TargetMode="External"/><Relationship Id="rId2651" Type="http://schemas.openxmlformats.org/officeDocument/2006/relationships/hyperlink" Target="https://replay.pokemonshowdown.com/smogtours-gen3ou-801284" TargetMode="External"/><Relationship Id="rId3981" Type="http://schemas.openxmlformats.org/officeDocument/2006/relationships/hyperlink" Target="https://replay.pokemonshowdown.com/smogtours-gen3ou-805079" TargetMode="External"/><Relationship Id="rId1321" Type="http://schemas.openxmlformats.org/officeDocument/2006/relationships/hyperlink" Target="https://replay.pokemonshowdown.com/smogtours-gen3ou-797042" TargetMode="External"/><Relationship Id="rId2652" Type="http://schemas.openxmlformats.org/officeDocument/2006/relationships/hyperlink" Target="https://replay.pokemonshowdown.com/smogtours-gen3ou-801290" TargetMode="External"/><Relationship Id="rId3984" Type="http://schemas.openxmlformats.org/officeDocument/2006/relationships/hyperlink" Target="https://replay.pokemonshowdown.com/smogtours-gen3ou-805565" TargetMode="External"/><Relationship Id="rId1322" Type="http://schemas.openxmlformats.org/officeDocument/2006/relationships/hyperlink" Target="https://replay.pokemonshowdown.com/smogtours-gen3ou-797047" TargetMode="External"/><Relationship Id="rId2653" Type="http://schemas.openxmlformats.org/officeDocument/2006/relationships/hyperlink" Target="https://replay.pokemonshowdown.com/smogtours-gen3ou-801314" TargetMode="External"/><Relationship Id="rId3983" Type="http://schemas.openxmlformats.org/officeDocument/2006/relationships/hyperlink" Target="https://replay.pokemonshowdown.com/smogtours-gen3ou-805561" TargetMode="External"/><Relationship Id="rId1356" Type="http://schemas.openxmlformats.org/officeDocument/2006/relationships/hyperlink" Target="https://replay.pokemonshowdown.com/smogtours-gen3ou-796358" TargetMode="External"/><Relationship Id="rId2687" Type="http://schemas.openxmlformats.org/officeDocument/2006/relationships/hyperlink" Target="https://replay.pokemonshowdown.com/smogtours-gen3ou-801418" TargetMode="External"/><Relationship Id="rId1357" Type="http://schemas.openxmlformats.org/officeDocument/2006/relationships/hyperlink" Target="https://replay.pokemonshowdown.com/smogtours-gen3ou-796361" TargetMode="External"/><Relationship Id="rId2688" Type="http://schemas.openxmlformats.org/officeDocument/2006/relationships/hyperlink" Target="https://replay.pokemonshowdown.com/smogtours-gen3ou-801332" TargetMode="External"/><Relationship Id="rId1358" Type="http://schemas.openxmlformats.org/officeDocument/2006/relationships/hyperlink" Target="https://replay.pokemonshowdown.com/smogtours-gen3ou-796364" TargetMode="External"/><Relationship Id="rId2689" Type="http://schemas.openxmlformats.org/officeDocument/2006/relationships/hyperlink" Target="https://replay.pokemonshowdown.com/smogtours-gen3ou-801333" TargetMode="External"/><Relationship Id="rId1359" Type="http://schemas.openxmlformats.org/officeDocument/2006/relationships/hyperlink" Target="https://replay.pokemonshowdown.com/smogtours-gen3ou-797048" TargetMode="External"/><Relationship Id="rId767" Type="http://schemas.openxmlformats.org/officeDocument/2006/relationships/hyperlink" Target="https://replay.pokemonshowdown.com/smogtours-gen3ou-796278?p2" TargetMode="External"/><Relationship Id="rId766" Type="http://schemas.openxmlformats.org/officeDocument/2006/relationships/hyperlink" Target="https://replay.pokemonshowdown.com/smogtours-gen3ou-796274" TargetMode="External"/><Relationship Id="rId765" Type="http://schemas.openxmlformats.org/officeDocument/2006/relationships/hyperlink" Target="https://replay.pokemonshowdown.com/smogtours-gen3ou-796272" TargetMode="External"/><Relationship Id="rId764" Type="http://schemas.openxmlformats.org/officeDocument/2006/relationships/hyperlink" Target="https://replay.pokemonshowdown.com/smogtours-gen3ou-796194" TargetMode="External"/><Relationship Id="rId769" Type="http://schemas.openxmlformats.org/officeDocument/2006/relationships/hyperlink" Target="https://replay.pokemonshowdown.com/smogtours-gen3ou-796291?p2" TargetMode="External"/><Relationship Id="rId768" Type="http://schemas.openxmlformats.org/officeDocument/2006/relationships/hyperlink" Target="https://replay.pokemonshowdown.com/smogtours-gen3ou-796289" TargetMode="External"/><Relationship Id="rId2680" Type="http://schemas.openxmlformats.org/officeDocument/2006/relationships/hyperlink" Target="https://replay.pokemonshowdown.com/smogtours-gen3ou-801380" TargetMode="External"/><Relationship Id="rId1350" Type="http://schemas.openxmlformats.org/officeDocument/2006/relationships/hyperlink" Target="https://replay.pokemonshowdown.com/smogtours-gen3ou-796294" TargetMode="External"/><Relationship Id="rId2681" Type="http://schemas.openxmlformats.org/officeDocument/2006/relationships/hyperlink" Target="https://replay.pokemonshowdown.com/smogtours-gen3ou-801388" TargetMode="External"/><Relationship Id="rId1351" Type="http://schemas.openxmlformats.org/officeDocument/2006/relationships/hyperlink" Target="https://replay.pokemonshowdown.com/smogtours-gen3ou-796295" TargetMode="External"/><Relationship Id="rId2682" Type="http://schemas.openxmlformats.org/officeDocument/2006/relationships/hyperlink" Target="https://replay.pokemonshowdown.com/smogtours-gen3ou-801393" TargetMode="External"/><Relationship Id="rId763" Type="http://schemas.openxmlformats.org/officeDocument/2006/relationships/hyperlink" Target="https://replay.pokemonshowdown.com/smogtours-gen3ou-796191" TargetMode="External"/><Relationship Id="rId1352" Type="http://schemas.openxmlformats.org/officeDocument/2006/relationships/hyperlink" Target="https://replay.pokemonshowdown.com/smogtours-gen3ou-796449" TargetMode="External"/><Relationship Id="rId2683" Type="http://schemas.openxmlformats.org/officeDocument/2006/relationships/hyperlink" Target="https://replay.pokemonshowdown.com/gen3ou-2228816226-bduuddd53puhlk30fwb16uboomsblf9pw" TargetMode="External"/><Relationship Id="rId762" Type="http://schemas.openxmlformats.org/officeDocument/2006/relationships/hyperlink" Target="https://replay.pokemonshowdown.com/smogtours-gen3ou-796255" TargetMode="External"/><Relationship Id="rId1353" Type="http://schemas.openxmlformats.org/officeDocument/2006/relationships/hyperlink" Target="https://replay.pokemonshowdown.com/smogtours-gen3ou-796458" TargetMode="External"/><Relationship Id="rId2684" Type="http://schemas.openxmlformats.org/officeDocument/2006/relationships/hyperlink" Target="https://replay.pokemonshowdown.com/gen3ou-2228820741-xea7y8c01odvckvujgbn7ztna17ijd1pw" TargetMode="External"/><Relationship Id="rId761" Type="http://schemas.openxmlformats.org/officeDocument/2006/relationships/hyperlink" Target="https://replay.pokemonshowdown.com/smogtours-gen3ou-796249" TargetMode="External"/><Relationship Id="rId1354" Type="http://schemas.openxmlformats.org/officeDocument/2006/relationships/hyperlink" Target="https://replay.pokemonshowdown.com/smogtours-gen3ou-796437" TargetMode="External"/><Relationship Id="rId2685" Type="http://schemas.openxmlformats.org/officeDocument/2006/relationships/hyperlink" Target="https://replay.pokemonshowdown.com/gen3ou-2228823245-1r82i8te9eat8ta8zzrxdqbjb2aiq1xpw" TargetMode="External"/><Relationship Id="rId760" Type="http://schemas.openxmlformats.org/officeDocument/2006/relationships/hyperlink" Target="https://replay.pokemonshowdown.com/smogtours-gen3ou-796244" TargetMode="External"/><Relationship Id="rId1355" Type="http://schemas.openxmlformats.org/officeDocument/2006/relationships/hyperlink" Target="https://replay.pokemonshowdown.com/smogtours-gen3ou-796447" TargetMode="External"/><Relationship Id="rId2686" Type="http://schemas.openxmlformats.org/officeDocument/2006/relationships/hyperlink" Target="https://replay.pokemonshowdown.com/smogtours-gen3ou-801416" TargetMode="External"/><Relationship Id="rId1345" Type="http://schemas.openxmlformats.org/officeDocument/2006/relationships/hyperlink" Target="https://replay.pokemonshowdown.com/smogtours-gen3ou-797109" TargetMode="External"/><Relationship Id="rId2676" Type="http://schemas.openxmlformats.org/officeDocument/2006/relationships/hyperlink" Target="https://replay.pokemonshowdown.com/smogtours-gen3ou-801322" TargetMode="External"/><Relationship Id="rId1346" Type="http://schemas.openxmlformats.org/officeDocument/2006/relationships/hyperlink" Target="https://replay.pokemonshowdown.com/smogtours-gen3ou-797111" TargetMode="External"/><Relationship Id="rId2677" Type="http://schemas.openxmlformats.org/officeDocument/2006/relationships/hyperlink" Target="https://replay.pokemonshowdown.com/smogtours-gen3ou-801325" TargetMode="External"/><Relationship Id="rId1347" Type="http://schemas.openxmlformats.org/officeDocument/2006/relationships/hyperlink" Target="https://replay.pokemonshowdown.com/smogtours-gen3ou-797094" TargetMode="External"/><Relationship Id="rId2678" Type="http://schemas.openxmlformats.org/officeDocument/2006/relationships/hyperlink" Target="https://replay.pokemonshowdown.com/smogtours-gen3ou-801327" TargetMode="External"/><Relationship Id="rId1348" Type="http://schemas.openxmlformats.org/officeDocument/2006/relationships/hyperlink" Target="https://replay.pokemonshowdown.com/smogtours-gen3ou-797097" TargetMode="External"/><Relationship Id="rId2679" Type="http://schemas.openxmlformats.org/officeDocument/2006/relationships/hyperlink" Target="https://replay.pokemonshowdown.com/smogtours-gen3ou-801379" TargetMode="External"/><Relationship Id="rId1349" Type="http://schemas.openxmlformats.org/officeDocument/2006/relationships/hyperlink" Target="https://replay.pokemonshowdown.com/smogtours-gen3ou-796293" TargetMode="External"/><Relationship Id="rId756" Type="http://schemas.openxmlformats.org/officeDocument/2006/relationships/hyperlink" Target="https://replay.pokemonshowdown.com/smogtours-gen3ou-796093" TargetMode="External"/><Relationship Id="rId755" Type="http://schemas.openxmlformats.org/officeDocument/2006/relationships/hyperlink" Target="https://replay.pokemonshowdown.com/smogtours-gen3ou-795727" TargetMode="External"/><Relationship Id="rId754" Type="http://schemas.openxmlformats.org/officeDocument/2006/relationships/hyperlink" Target="https://replay.pokemonshowdown.com/smogtours-gen3ou-795713" TargetMode="External"/><Relationship Id="rId753" Type="http://schemas.openxmlformats.org/officeDocument/2006/relationships/hyperlink" Target="https://replay.pokemonshowdown.com/smogtours-gen3ou-795944" TargetMode="External"/><Relationship Id="rId759" Type="http://schemas.openxmlformats.org/officeDocument/2006/relationships/hyperlink" Target="https://replay.pokemonshowdown.com/smogtours-gen3ou-796132" TargetMode="External"/><Relationship Id="rId758" Type="http://schemas.openxmlformats.org/officeDocument/2006/relationships/hyperlink" Target="https://replay.pokemonshowdown.com/smogtours-gen3ou-796133" TargetMode="External"/><Relationship Id="rId757" Type="http://schemas.openxmlformats.org/officeDocument/2006/relationships/hyperlink" Target="https://replay.pokemonshowdown.com/smogtours-gen3ou-796088" TargetMode="External"/><Relationship Id="rId2670" Type="http://schemas.openxmlformats.org/officeDocument/2006/relationships/hyperlink" Target="https://replay.pokemonshowdown.com/smogtours-gen3ou-801230" TargetMode="External"/><Relationship Id="rId1340" Type="http://schemas.openxmlformats.org/officeDocument/2006/relationships/hyperlink" Target="https://replay.pokemonshowdown.com/smogtours-gen3ou-797059" TargetMode="External"/><Relationship Id="rId2671" Type="http://schemas.openxmlformats.org/officeDocument/2006/relationships/hyperlink" Target="https://replay.pokemonshowdown.com/smogtours-gen3ou-801256" TargetMode="External"/><Relationship Id="rId752" Type="http://schemas.openxmlformats.org/officeDocument/2006/relationships/hyperlink" Target="https://replay.pokemonshowdown.com/smogtours-gen3ou-795941" TargetMode="External"/><Relationship Id="rId1341" Type="http://schemas.openxmlformats.org/officeDocument/2006/relationships/hyperlink" Target="https://replay.pokemonshowdown.com/smogtours-gen3ou-797083" TargetMode="External"/><Relationship Id="rId2672" Type="http://schemas.openxmlformats.org/officeDocument/2006/relationships/hyperlink" Target="https://replay.pokemonshowdown.com/smogtours-gen3ou-801258" TargetMode="External"/><Relationship Id="rId751" Type="http://schemas.openxmlformats.org/officeDocument/2006/relationships/hyperlink" Target="https://replay.pokemonshowdown.com/gen3ou-2217120092-eg1wtb9vxpnogkrvxwsnqlv58jmlrxapw" TargetMode="External"/><Relationship Id="rId1342" Type="http://schemas.openxmlformats.org/officeDocument/2006/relationships/hyperlink" Target="https://replay.pokemonshowdown.com/smogtours-gen3ou-797085" TargetMode="External"/><Relationship Id="rId2673" Type="http://schemas.openxmlformats.org/officeDocument/2006/relationships/hyperlink" Target="https://replay.pokemonshowdown.com/smogtours-gen3ou-801260" TargetMode="External"/><Relationship Id="rId750" Type="http://schemas.openxmlformats.org/officeDocument/2006/relationships/hyperlink" Target="https://replay.pokemonshowdown.com/gen3ou-2217114662-5ld7tifg02mc4p6xp0sfu60ajtqufwxpw" TargetMode="External"/><Relationship Id="rId1343" Type="http://schemas.openxmlformats.org/officeDocument/2006/relationships/hyperlink" Target="https://replay.pokemonshowdown.com/smogtours-gen3ou-797088" TargetMode="External"/><Relationship Id="rId2674" Type="http://schemas.openxmlformats.org/officeDocument/2006/relationships/hyperlink" Target="https://replay.pokemonshowdown.com/smogtours-gen3ou-801202" TargetMode="External"/><Relationship Id="rId1344" Type="http://schemas.openxmlformats.org/officeDocument/2006/relationships/hyperlink" Target="https://replay.pokemonshowdown.com/smogtours-gen3ou-797107" TargetMode="External"/><Relationship Id="rId2675" Type="http://schemas.openxmlformats.org/officeDocument/2006/relationships/hyperlink" Target="https://replay.pokemonshowdown.com/smogtours-gen3ou-801205" TargetMode="External"/><Relationship Id="rId2621" Type="http://schemas.openxmlformats.org/officeDocument/2006/relationships/hyperlink" Target="https://replay.pokemonshowdown.com/smogtours-gen3ou-800768" TargetMode="External"/><Relationship Id="rId3953" Type="http://schemas.openxmlformats.org/officeDocument/2006/relationships/hyperlink" Target="https://replay.pokemonshowdown.com/smogtours-gen3ou-805271" TargetMode="External"/><Relationship Id="rId2622" Type="http://schemas.openxmlformats.org/officeDocument/2006/relationships/hyperlink" Target="https://replay.pokemonshowdown.com/smogtours-gen3ou-800791" TargetMode="External"/><Relationship Id="rId3952" Type="http://schemas.openxmlformats.org/officeDocument/2006/relationships/hyperlink" Target="https://replay.pokemonshowdown.com/smogtours-gen3ou-805265" TargetMode="External"/><Relationship Id="rId2623" Type="http://schemas.openxmlformats.org/officeDocument/2006/relationships/hyperlink" Target="https://replay.pokemonshowdown.com/smogtours-gen3ou-800988" TargetMode="External"/><Relationship Id="rId3955" Type="http://schemas.openxmlformats.org/officeDocument/2006/relationships/hyperlink" Target="https://replay.pokemonshowdown.com/smogtours-gen3ou-805322" TargetMode="External"/><Relationship Id="rId2624" Type="http://schemas.openxmlformats.org/officeDocument/2006/relationships/hyperlink" Target="https://replay.pokemonshowdown.com/smogtours-gen3ou-800990" TargetMode="External"/><Relationship Id="rId3954" Type="http://schemas.openxmlformats.org/officeDocument/2006/relationships/hyperlink" Target="https://replay.pokemonshowdown.com/smogtours-gen3ou-805319" TargetMode="External"/><Relationship Id="rId2625" Type="http://schemas.openxmlformats.org/officeDocument/2006/relationships/hyperlink" Target="https://replay.pokemonshowdown.com/smogtours-gen3ou-800442" TargetMode="External"/><Relationship Id="rId3957" Type="http://schemas.openxmlformats.org/officeDocument/2006/relationships/hyperlink" Target="https://replay.pokemonshowdown.com/smogtours-gen3ou-805472" TargetMode="External"/><Relationship Id="rId2626" Type="http://schemas.openxmlformats.org/officeDocument/2006/relationships/hyperlink" Target="https://replay.pokemonshowdown.com/smogtours-gen3ou-800453" TargetMode="External"/><Relationship Id="rId3956" Type="http://schemas.openxmlformats.org/officeDocument/2006/relationships/hyperlink" Target="https://replay.pokemonshowdown.com/smogtours-gen3ou-805324" TargetMode="External"/><Relationship Id="rId2627" Type="http://schemas.openxmlformats.org/officeDocument/2006/relationships/hyperlink" Target="https://replay.pokemonshowdown.com/smogtours-gen3ou-800959" TargetMode="External"/><Relationship Id="rId3959" Type="http://schemas.openxmlformats.org/officeDocument/2006/relationships/hyperlink" Target="https://replay.pokemonshowdown.com/smogtours-gen3ou-805482" TargetMode="External"/><Relationship Id="rId2628" Type="http://schemas.openxmlformats.org/officeDocument/2006/relationships/hyperlink" Target="https://replay.pokemonshowdown.com/smogtours-gen3ou-800962" TargetMode="External"/><Relationship Id="rId3958" Type="http://schemas.openxmlformats.org/officeDocument/2006/relationships/hyperlink" Target="https://replay.pokemonshowdown.com/smogtours-gen3ou-805476" TargetMode="External"/><Relationship Id="rId709" Type="http://schemas.openxmlformats.org/officeDocument/2006/relationships/hyperlink" Target="https://replay.pokemonshowdown.com/gen3ou-2215926183" TargetMode="External"/><Relationship Id="rId2629" Type="http://schemas.openxmlformats.org/officeDocument/2006/relationships/hyperlink" Target="https://replay.pokemonshowdown.com/smogtours-gen3ou-800971" TargetMode="External"/><Relationship Id="rId708" Type="http://schemas.openxmlformats.org/officeDocument/2006/relationships/hyperlink" Target="https://replay.pokemonshowdown.com/gen3ou-2215915412" TargetMode="External"/><Relationship Id="rId707" Type="http://schemas.openxmlformats.org/officeDocument/2006/relationships/hyperlink" Target="https://replay.pokemonshowdown.com/smogtours-gen3ou-794381" TargetMode="External"/><Relationship Id="rId706" Type="http://schemas.openxmlformats.org/officeDocument/2006/relationships/hyperlink" Target="https://replay.pokemonshowdown.com/smogtours-gen3ou-794379" TargetMode="External"/><Relationship Id="rId701" Type="http://schemas.openxmlformats.org/officeDocument/2006/relationships/hyperlink" Target="https://replay.pokemonshowdown.com/smogtours-gen3ou-794791" TargetMode="External"/><Relationship Id="rId700" Type="http://schemas.openxmlformats.org/officeDocument/2006/relationships/hyperlink" Target="http://replay.pokemonshowdown.com/smogtours-gen3ou-794427" TargetMode="External"/><Relationship Id="rId705" Type="http://schemas.openxmlformats.org/officeDocument/2006/relationships/hyperlink" Target="https://replay.pokemonshowdown.com/smogtours-gen3ou-794712" TargetMode="External"/><Relationship Id="rId704" Type="http://schemas.openxmlformats.org/officeDocument/2006/relationships/hyperlink" Target="https://replay.pokemonshowdown.com/smogtours-gen3ou-794705" TargetMode="External"/><Relationship Id="rId703" Type="http://schemas.openxmlformats.org/officeDocument/2006/relationships/hyperlink" Target="https://replay.pokemonshowdown.com/smogtours-gen3ou-794686" TargetMode="External"/><Relationship Id="rId702" Type="http://schemas.openxmlformats.org/officeDocument/2006/relationships/hyperlink" Target="https://replay.pokemonshowdown.com/smogtours-gen3ou-794792" TargetMode="External"/><Relationship Id="rId3951" Type="http://schemas.openxmlformats.org/officeDocument/2006/relationships/hyperlink" Target="https://replay.pokemonshowdown.com/smogtours-gen3ou-805234" TargetMode="External"/><Relationship Id="rId2620" Type="http://schemas.openxmlformats.org/officeDocument/2006/relationships/hyperlink" Target="https://replay.pokemonshowdown.com/smogtours-gen3ou-800740" TargetMode="External"/><Relationship Id="rId3950" Type="http://schemas.openxmlformats.org/officeDocument/2006/relationships/hyperlink" Target="https://replay.pokemonshowdown.com/smogtours-gen3ou-805233" TargetMode="External"/><Relationship Id="rId2610" Type="http://schemas.openxmlformats.org/officeDocument/2006/relationships/hyperlink" Target="https://replay.pokemonshowdown.com/smogtours-gen3ou-800943" TargetMode="External"/><Relationship Id="rId3942" Type="http://schemas.openxmlformats.org/officeDocument/2006/relationships/hyperlink" Target="https://replay.pokemonshowdown.com/smogtours-gen3ou-805282" TargetMode="External"/><Relationship Id="rId2611" Type="http://schemas.openxmlformats.org/officeDocument/2006/relationships/hyperlink" Target="https://replay.pokemonshowdown.com/smogtours-gen3ou-800573" TargetMode="External"/><Relationship Id="rId3941" Type="http://schemas.openxmlformats.org/officeDocument/2006/relationships/hyperlink" Target="https://replay.pokemonshowdown.com/smogtours-gen3ou-805276" TargetMode="External"/><Relationship Id="rId2612" Type="http://schemas.openxmlformats.org/officeDocument/2006/relationships/hyperlink" Target="https://replay.pokemonshowdown.com/smogtours-gen3ou-800590" TargetMode="External"/><Relationship Id="rId3944" Type="http://schemas.openxmlformats.org/officeDocument/2006/relationships/hyperlink" Target="https://replay.pokemonshowdown.com/smogtours-gen3ou-805309" TargetMode="External"/><Relationship Id="rId2613" Type="http://schemas.openxmlformats.org/officeDocument/2006/relationships/hyperlink" Target="https://replay.pokemonshowdown.com/smogtours-gen3ou-800606" TargetMode="External"/><Relationship Id="rId3943" Type="http://schemas.openxmlformats.org/officeDocument/2006/relationships/hyperlink" Target="https://replay.pokemonshowdown.com/smogtours-gen3ou-805285" TargetMode="External"/><Relationship Id="rId2614" Type="http://schemas.openxmlformats.org/officeDocument/2006/relationships/hyperlink" Target="https://replay.pokemonshowdown.com/smogtours-gen3ou-800626" TargetMode="External"/><Relationship Id="rId3946" Type="http://schemas.openxmlformats.org/officeDocument/2006/relationships/hyperlink" Target="https://replay.pokemonshowdown.com/smogtours-gen3ou-805312" TargetMode="External"/><Relationship Id="rId2615" Type="http://schemas.openxmlformats.org/officeDocument/2006/relationships/hyperlink" Target="https://replay.pokemonshowdown.com/smogtours-gen3ou-800736" TargetMode="External"/><Relationship Id="rId3945" Type="http://schemas.openxmlformats.org/officeDocument/2006/relationships/hyperlink" Target="https://replay.pokemonshowdown.com/smogtours-gen3ou-805311" TargetMode="External"/><Relationship Id="rId2616" Type="http://schemas.openxmlformats.org/officeDocument/2006/relationships/hyperlink" Target="https://replay.pokemonshowdown.com/smogtours-gen3ou-800753" TargetMode="External"/><Relationship Id="rId3948" Type="http://schemas.openxmlformats.org/officeDocument/2006/relationships/hyperlink" Target="https://replay.pokemonshowdown.com/smogtours-gen3ou-805256" TargetMode="External"/><Relationship Id="rId2617" Type="http://schemas.openxmlformats.org/officeDocument/2006/relationships/hyperlink" Target="https://replay.pokemonshowdown.com/smogtours-gen3ou-800178" TargetMode="External"/><Relationship Id="rId3947" Type="http://schemas.openxmlformats.org/officeDocument/2006/relationships/hyperlink" Target="https://replay.pokemonshowdown.com/smogtours-gen3ou-805314" TargetMode="External"/><Relationship Id="rId2618" Type="http://schemas.openxmlformats.org/officeDocument/2006/relationships/hyperlink" Target="https://replay.pokemonshowdown.com/smogtours-gen3ou-800188" TargetMode="External"/><Relationship Id="rId2619" Type="http://schemas.openxmlformats.org/officeDocument/2006/relationships/hyperlink" Target="https://replay.pokemonshowdown.com/smogtours-gen3ou-800196" TargetMode="External"/><Relationship Id="rId3949" Type="http://schemas.openxmlformats.org/officeDocument/2006/relationships/hyperlink" Target="https://replay.pokemonshowdown.com/smogtours-gen3ou-805258" TargetMode="External"/><Relationship Id="rId3940" Type="http://schemas.openxmlformats.org/officeDocument/2006/relationships/hyperlink" Target="https://replay.pokemonshowdown.com/smogtours-gen3ou-805252" TargetMode="External"/><Relationship Id="rId1312" Type="http://schemas.openxmlformats.org/officeDocument/2006/relationships/hyperlink" Target="https://replay.pokemonshowdown.com/smogtours-gen3ou-796642" TargetMode="External"/><Relationship Id="rId2643" Type="http://schemas.openxmlformats.org/officeDocument/2006/relationships/hyperlink" Target="https://replay.pokemonshowdown.com/smogtours-gen3ou-801210?p2" TargetMode="External"/><Relationship Id="rId3975" Type="http://schemas.openxmlformats.org/officeDocument/2006/relationships/hyperlink" Target="https://replay.pokemonshowdown.com/smogtours-gen3ou-804971" TargetMode="External"/><Relationship Id="rId1313" Type="http://schemas.openxmlformats.org/officeDocument/2006/relationships/hyperlink" Target="https://replay.pokemonshowdown.com/smogtours-gen3ou-796649" TargetMode="External"/><Relationship Id="rId2644" Type="http://schemas.openxmlformats.org/officeDocument/2006/relationships/hyperlink" Target="https://replay.pokemonshowdown.com/smogtours-gen3ou-801236" TargetMode="External"/><Relationship Id="rId3974" Type="http://schemas.openxmlformats.org/officeDocument/2006/relationships/hyperlink" Target="https://replay.pokemonshowdown.com/smogtours-gen3ou-804971" TargetMode="External"/><Relationship Id="rId1314" Type="http://schemas.openxmlformats.org/officeDocument/2006/relationships/hyperlink" Target="https://replay.pokemonshowdown.com/smogtours-gen3ou-796701" TargetMode="External"/><Relationship Id="rId2645" Type="http://schemas.openxmlformats.org/officeDocument/2006/relationships/hyperlink" Target="https://replay.pokemonshowdown.com/smogtours-gen3ou-801238" TargetMode="External"/><Relationship Id="rId3977" Type="http://schemas.openxmlformats.org/officeDocument/2006/relationships/hyperlink" Target="https://replay.pokemonshowdown.com/smogtours-gen3ou-805113" TargetMode="External"/><Relationship Id="rId1315" Type="http://schemas.openxmlformats.org/officeDocument/2006/relationships/hyperlink" Target="https://replay.pokemonshowdown.com/smogtours-gen3ou-796703" TargetMode="External"/><Relationship Id="rId2646" Type="http://schemas.openxmlformats.org/officeDocument/2006/relationships/hyperlink" Target="https://replay.pokemonshowdown.com/smogtours-gen3ou-801235" TargetMode="External"/><Relationship Id="rId3976" Type="http://schemas.openxmlformats.org/officeDocument/2006/relationships/hyperlink" Target="https://replay.pokemonshowdown.com/smogtours-gen3ou-804971" TargetMode="External"/><Relationship Id="rId1316" Type="http://schemas.openxmlformats.org/officeDocument/2006/relationships/hyperlink" Target="https://replay.pokemonshowdown.com/smogtours-gen3ou-796941" TargetMode="External"/><Relationship Id="rId2647" Type="http://schemas.openxmlformats.org/officeDocument/2006/relationships/hyperlink" Target="https://replay.pokemonshowdown.com/smogtours-gen3ou-801237" TargetMode="External"/><Relationship Id="rId3979" Type="http://schemas.openxmlformats.org/officeDocument/2006/relationships/hyperlink" Target="https://replay.pokemonshowdown.com/smogtours-gen3ou-805526" TargetMode="External"/><Relationship Id="rId1317" Type="http://schemas.openxmlformats.org/officeDocument/2006/relationships/hyperlink" Target="https://replay.pokemonshowdown.com/smogtours-gen3ou-796947" TargetMode="External"/><Relationship Id="rId2648" Type="http://schemas.openxmlformats.org/officeDocument/2006/relationships/hyperlink" Target="https://replay.pokemonshowdown.com/smogtours-gen3ou-801285" TargetMode="External"/><Relationship Id="rId3978" Type="http://schemas.openxmlformats.org/officeDocument/2006/relationships/hyperlink" Target="https://replay.pokemonshowdown.com/smogtours-gen3ou-805117?p2" TargetMode="External"/><Relationship Id="rId1318" Type="http://schemas.openxmlformats.org/officeDocument/2006/relationships/hyperlink" Target="https://replay.pokemonshowdown.com/smogtours-gen3ou-796715" TargetMode="External"/><Relationship Id="rId2649" Type="http://schemas.openxmlformats.org/officeDocument/2006/relationships/hyperlink" Target="https://replay.pokemonshowdown.com/smogtours-gen3ou-801289" TargetMode="External"/><Relationship Id="rId1319" Type="http://schemas.openxmlformats.org/officeDocument/2006/relationships/hyperlink" Target="https://replay.pokemonshowdown.com/smogtours-gen3ou-796721" TargetMode="External"/><Relationship Id="rId729" Type="http://schemas.openxmlformats.org/officeDocument/2006/relationships/hyperlink" Target="https://replay.pokemonshowdown.com/smogtours-gen3ou-795982" TargetMode="External"/><Relationship Id="rId728" Type="http://schemas.openxmlformats.org/officeDocument/2006/relationships/hyperlink" Target="https://replay.pokemonshowdown.com/smogtours-gen3ou-796035" TargetMode="External"/><Relationship Id="rId723" Type="http://schemas.openxmlformats.org/officeDocument/2006/relationships/hyperlink" Target="https://replay.pokemonshowdown.com/smogtours-gen3ou-795367" TargetMode="External"/><Relationship Id="rId722" Type="http://schemas.openxmlformats.org/officeDocument/2006/relationships/hyperlink" Target="https://replay.pokemonshowdown.com/smogtours-gen3ou-795364" TargetMode="External"/><Relationship Id="rId721" Type="http://schemas.openxmlformats.org/officeDocument/2006/relationships/hyperlink" Target="https://replay.pokemonshowdown.com/smogtours-gen3ou-794523" TargetMode="External"/><Relationship Id="rId720" Type="http://schemas.openxmlformats.org/officeDocument/2006/relationships/hyperlink" Target="https://replay.pokemonshowdown.com/smogtours-gen3ou-794522" TargetMode="External"/><Relationship Id="rId727" Type="http://schemas.openxmlformats.org/officeDocument/2006/relationships/hyperlink" Target="https://replay.pokemonshowdown.com/smogtours-gen3ou-796026" TargetMode="External"/><Relationship Id="rId726" Type="http://schemas.openxmlformats.org/officeDocument/2006/relationships/hyperlink" Target="https://replay.pokemonshowdown.com/smogtours-gen3ou-795796" TargetMode="External"/><Relationship Id="rId725" Type="http://schemas.openxmlformats.org/officeDocument/2006/relationships/hyperlink" Target="https://replay.pokemonshowdown.com/smogtours-gen3ou-795778" TargetMode="External"/><Relationship Id="rId724" Type="http://schemas.openxmlformats.org/officeDocument/2006/relationships/hyperlink" Target="https://replay.pokemonshowdown.com/smogtours-gen3ou-795768" TargetMode="External"/><Relationship Id="rId3971" Type="http://schemas.openxmlformats.org/officeDocument/2006/relationships/hyperlink" Target="https://replay.pokemonshowdown.com/smogtours-gen3ou-805127?p2" TargetMode="External"/><Relationship Id="rId2640" Type="http://schemas.openxmlformats.org/officeDocument/2006/relationships/hyperlink" Target="https://replay.pokemonshowdown.com/smogtours-gen3ou-801177" TargetMode="External"/><Relationship Id="rId3970" Type="http://schemas.openxmlformats.org/officeDocument/2006/relationships/hyperlink" Target="https://replay.pokemonshowdown.com/smogtours-gen3ou-805120?p2" TargetMode="External"/><Relationship Id="rId1310" Type="http://schemas.openxmlformats.org/officeDocument/2006/relationships/hyperlink" Target="https://replay.pokemonshowdown.com/smogtours-gen3ou-796790" TargetMode="External"/><Relationship Id="rId2641" Type="http://schemas.openxmlformats.org/officeDocument/2006/relationships/hyperlink" Target="https://replay.pokemonshowdown.com/smogtours-gen3ou-801207?p2" TargetMode="External"/><Relationship Id="rId3973" Type="http://schemas.openxmlformats.org/officeDocument/2006/relationships/hyperlink" Target="https://replay.pokemonshowdown.com/smogtours-gen3ou-805530" TargetMode="External"/><Relationship Id="rId1311" Type="http://schemas.openxmlformats.org/officeDocument/2006/relationships/hyperlink" Target="https://replay.pokemonshowdown.com/smogtours-gen3ou-796797" TargetMode="External"/><Relationship Id="rId2642" Type="http://schemas.openxmlformats.org/officeDocument/2006/relationships/hyperlink" Target="https://replay.pokemonshowdown.com/smogtours-gen3ou-801209" TargetMode="External"/><Relationship Id="rId3972" Type="http://schemas.openxmlformats.org/officeDocument/2006/relationships/hyperlink" Target="https://replay.pokemonshowdown.com/smogtours-gen3ou-805512" TargetMode="External"/><Relationship Id="rId1301" Type="http://schemas.openxmlformats.org/officeDocument/2006/relationships/hyperlink" Target="https://replay.pokemonshowdown.com/smogtours-gen3ou-796727" TargetMode="External"/><Relationship Id="rId2632" Type="http://schemas.openxmlformats.org/officeDocument/2006/relationships/hyperlink" Target="https://replay.pokemonshowdown.com/smogtours-gen3ou-800975" TargetMode="External"/><Relationship Id="rId3964" Type="http://schemas.openxmlformats.org/officeDocument/2006/relationships/hyperlink" Target="https://replay.pokemonshowdown.com/smogtours-gen3ou-805348" TargetMode="External"/><Relationship Id="rId1302" Type="http://schemas.openxmlformats.org/officeDocument/2006/relationships/hyperlink" Target="https://replay.pokemonshowdown.com/smogtours-gen3ou-796728" TargetMode="External"/><Relationship Id="rId2633" Type="http://schemas.openxmlformats.org/officeDocument/2006/relationships/hyperlink" Target="https://replay.pokemonshowdown.com/smogtours-gen3ou-800980" TargetMode="External"/><Relationship Id="rId3963" Type="http://schemas.openxmlformats.org/officeDocument/2006/relationships/hyperlink" Target="https://replay.pokemonshowdown.com/smogtours-gen3ou-805346" TargetMode="External"/><Relationship Id="rId1303" Type="http://schemas.openxmlformats.org/officeDocument/2006/relationships/hyperlink" Target="https://replay.pokemonshowdown.com/smogtours-gen3ou-796837" TargetMode="External"/><Relationship Id="rId2634" Type="http://schemas.openxmlformats.org/officeDocument/2006/relationships/hyperlink" Target="https://replay.pokemonshowdown.com/smogtours-gen3ou-800981" TargetMode="External"/><Relationship Id="rId3966" Type="http://schemas.openxmlformats.org/officeDocument/2006/relationships/hyperlink" Target="https://replay.pokemonshowdown.com/smogtours-gen3ou-805451" TargetMode="External"/><Relationship Id="rId1304" Type="http://schemas.openxmlformats.org/officeDocument/2006/relationships/hyperlink" Target="https://replay.pokemonshowdown.com/smogtours-gen3ou-796839" TargetMode="External"/><Relationship Id="rId2635" Type="http://schemas.openxmlformats.org/officeDocument/2006/relationships/hyperlink" Target="https://replay.pokemonshowdown.com/smogtours-gen3ou-800982" TargetMode="External"/><Relationship Id="rId3965" Type="http://schemas.openxmlformats.org/officeDocument/2006/relationships/hyperlink" Target="https://replay.pokemonshowdown.com/smogtours-gen3ou-805446" TargetMode="External"/><Relationship Id="rId1305" Type="http://schemas.openxmlformats.org/officeDocument/2006/relationships/hyperlink" Target="https://replay.pokemonshowdown.com/smogtours-gen3ou-796840" TargetMode="External"/><Relationship Id="rId2636" Type="http://schemas.openxmlformats.org/officeDocument/2006/relationships/hyperlink" Target="https://replay.pokemonshowdown.com/smogtours-gen3ou-799688" TargetMode="External"/><Relationship Id="rId3968" Type="http://schemas.openxmlformats.org/officeDocument/2006/relationships/hyperlink" Target="https://replay.pokemonshowdown.com/smogtours-gen3ou-805390" TargetMode="External"/><Relationship Id="rId1306" Type="http://schemas.openxmlformats.org/officeDocument/2006/relationships/hyperlink" Target="https://replay.pokemonshowdown.com/smogtours-gen3ou-796708" TargetMode="External"/><Relationship Id="rId2637" Type="http://schemas.openxmlformats.org/officeDocument/2006/relationships/hyperlink" Target="https://replay.pokemonshowdown.com/smogtours-gen3ou-801040" TargetMode="External"/><Relationship Id="rId3967" Type="http://schemas.openxmlformats.org/officeDocument/2006/relationships/hyperlink" Target="https://replay.pokemonshowdown.com/smogtours-gen3ou-805383" TargetMode="External"/><Relationship Id="rId1307" Type="http://schemas.openxmlformats.org/officeDocument/2006/relationships/hyperlink" Target="https://replay.pokemonshowdown.com/smogtours-gen3ou-796713" TargetMode="External"/><Relationship Id="rId2638" Type="http://schemas.openxmlformats.org/officeDocument/2006/relationships/hyperlink" Target="https://replay.pokemonshowdown.com/smogtours-gen3ou-801041" TargetMode="External"/><Relationship Id="rId1308" Type="http://schemas.openxmlformats.org/officeDocument/2006/relationships/hyperlink" Target="https://replay.pokemonshowdown.com/smogtours-gen3ou-796717" TargetMode="External"/><Relationship Id="rId2639" Type="http://schemas.openxmlformats.org/officeDocument/2006/relationships/hyperlink" Target="https://replay.pokemonshowdown.com/smogtours-gen3ou-801175" TargetMode="External"/><Relationship Id="rId3969" Type="http://schemas.openxmlformats.org/officeDocument/2006/relationships/hyperlink" Target="https://replay.pokemonshowdown.com/smogtours-gen3ou-805116?p2" TargetMode="External"/><Relationship Id="rId1309" Type="http://schemas.openxmlformats.org/officeDocument/2006/relationships/hyperlink" Target="https://replay.pokemonshowdown.com/smogtours-gen3ou-796785" TargetMode="External"/><Relationship Id="rId719" Type="http://schemas.openxmlformats.org/officeDocument/2006/relationships/hyperlink" Target="https://replay.pokemonshowdown.com/gen3ou-2216229323-1sgeeb32p5s5du5di6faix5u04lnb4xpw" TargetMode="External"/><Relationship Id="rId718" Type="http://schemas.openxmlformats.org/officeDocument/2006/relationships/hyperlink" Target="https://replay.pokemonshowdown.com/gen3ou-2216219952-fvekb9ao9qcxa1xy22pvqa6rj94xs9opw" TargetMode="External"/><Relationship Id="rId717" Type="http://schemas.openxmlformats.org/officeDocument/2006/relationships/hyperlink" Target="https://replay.pokemonshowdown.com/smogtours-gen3ou-794300" TargetMode="External"/><Relationship Id="rId712" Type="http://schemas.openxmlformats.org/officeDocument/2006/relationships/hyperlink" Target="https://replay.pokemonshowdown.com/smogtours-gen3ou-793958" TargetMode="External"/><Relationship Id="rId711" Type="http://schemas.openxmlformats.org/officeDocument/2006/relationships/hyperlink" Target="https://replay.pokemonshowdown.com/smogtours-gen3ou-794740" TargetMode="External"/><Relationship Id="rId710" Type="http://schemas.openxmlformats.org/officeDocument/2006/relationships/hyperlink" Target="https://replay.pokemonshowdown.com/smogtours-gen3ou-794727" TargetMode="External"/><Relationship Id="rId716" Type="http://schemas.openxmlformats.org/officeDocument/2006/relationships/hyperlink" Target="https://replay.pokemonshowdown.com/smogtours-gen3ou-794289" TargetMode="External"/><Relationship Id="rId715" Type="http://schemas.openxmlformats.org/officeDocument/2006/relationships/hyperlink" Target="https://replay.pokemonshowdown.com/smogtours-gen3ou-794282" TargetMode="External"/><Relationship Id="rId714" Type="http://schemas.openxmlformats.org/officeDocument/2006/relationships/hyperlink" Target="https://replay.pokemonshowdown.com/smogtours-gen3ou-793964" TargetMode="External"/><Relationship Id="rId713" Type="http://schemas.openxmlformats.org/officeDocument/2006/relationships/hyperlink" Target="https://replay.pokemonshowdown.com/smogtours-gen3ou-793961" TargetMode="External"/><Relationship Id="rId3960" Type="http://schemas.openxmlformats.org/officeDocument/2006/relationships/hyperlink" Target="https://replay.pokemonshowdown.com/smogtours-gen3ou-805334?p2" TargetMode="External"/><Relationship Id="rId2630" Type="http://schemas.openxmlformats.org/officeDocument/2006/relationships/hyperlink" Target="https://replay.pokemonshowdown.com/smogtours-gen3ou-800907" TargetMode="External"/><Relationship Id="rId3962" Type="http://schemas.openxmlformats.org/officeDocument/2006/relationships/hyperlink" Target="https://replay.pokemonshowdown.com/smogtours-gen3ou-805341" TargetMode="External"/><Relationship Id="rId1300" Type="http://schemas.openxmlformats.org/officeDocument/2006/relationships/hyperlink" Target="https://replay.pokemonshowdown.com/smogtours-gen3ou-796772" TargetMode="External"/><Relationship Id="rId2631" Type="http://schemas.openxmlformats.org/officeDocument/2006/relationships/hyperlink" Target="https://replay.pokemonshowdown.com/smogtours-gen3ou-800911" TargetMode="External"/><Relationship Id="rId3961" Type="http://schemas.openxmlformats.org/officeDocument/2006/relationships/hyperlink" Target="https://replay.pokemonshowdown.com/smogtours-gen3ou-805337?p2" TargetMode="External"/><Relationship Id="rId3117" Type="http://schemas.openxmlformats.org/officeDocument/2006/relationships/hyperlink" Target="https://replay.pokemonshowdown.com/smogtours-gen3ou-801908" TargetMode="External"/><Relationship Id="rId3116" Type="http://schemas.openxmlformats.org/officeDocument/2006/relationships/hyperlink" Target="https://replay.pokemonshowdown.com/smogtours-gen3ou-801898" TargetMode="External"/><Relationship Id="rId3119" Type="http://schemas.openxmlformats.org/officeDocument/2006/relationships/hyperlink" Target="https://replay.pokemonshowdown.com/smogtours-gen3ou-801939" TargetMode="External"/><Relationship Id="rId3118" Type="http://schemas.openxmlformats.org/officeDocument/2006/relationships/hyperlink" Target="https://replay.pokemonshowdown.com/smogtours-gen3ou-801943" TargetMode="External"/><Relationship Id="rId3111" Type="http://schemas.openxmlformats.org/officeDocument/2006/relationships/hyperlink" Target="https://replay.pokemonshowdown.com/smogtours-gen3ou-801971" TargetMode="External"/><Relationship Id="rId3110" Type="http://schemas.openxmlformats.org/officeDocument/2006/relationships/hyperlink" Target="https://replay.pokemonshowdown.com/smogtours-gen3ou-801965" TargetMode="External"/><Relationship Id="rId3113" Type="http://schemas.openxmlformats.org/officeDocument/2006/relationships/hyperlink" Target="https://replay.pokemonshowdown.com/smogtours-gen3ou-801957" TargetMode="External"/><Relationship Id="rId3112" Type="http://schemas.openxmlformats.org/officeDocument/2006/relationships/hyperlink" Target="https://replay.pokemonshowdown.com/smogtours-gen3ou-801969" TargetMode="External"/><Relationship Id="rId3115" Type="http://schemas.openxmlformats.org/officeDocument/2006/relationships/hyperlink" Target="https://replay.pokemonshowdown.com/smogtours-gen3ou-801891" TargetMode="External"/><Relationship Id="rId3114" Type="http://schemas.openxmlformats.org/officeDocument/2006/relationships/hyperlink" Target="https://replay.pokemonshowdown.com/smogtours-gen3ou-801949" TargetMode="External"/><Relationship Id="rId3106" Type="http://schemas.openxmlformats.org/officeDocument/2006/relationships/hyperlink" Target="https://replay.pokemonshowdown.com/smogtours-gen3ou-801905" TargetMode="External"/><Relationship Id="rId3105" Type="http://schemas.openxmlformats.org/officeDocument/2006/relationships/hyperlink" Target="https://replay.pokemonshowdown.com/smogtours-gen3ou-801917" TargetMode="External"/><Relationship Id="rId3108" Type="http://schemas.openxmlformats.org/officeDocument/2006/relationships/hyperlink" Target="https://replay.pokemonshowdown.com/smogtours-gen3ou-801944" TargetMode="External"/><Relationship Id="rId3107" Type="http://schemas.openxmlformats.org/officeDocument/2006/relationships/hyperlink" Target="https://replay.pokemonshowdown.com/smogtours-gen3ou-801940" TargetMode="External"/><Relationship Id="rId3109" Type="http://schemas.openxmlformats.org/officeDocument/2006/relationships/hyperlink" Target="https://replay.pokemonshowdown.com/smogtours-gen3ou-801948" TargetMode="External"/><Relationship Id="rId3100" Type="http://schemas.openxmlformats.org/officeDocument/2006/relationships/hyperlink" Target="https://replay.pokemonshowdown.com/smogtours-gen3ou-801883" TargetMode="External"/><Relationship Id="rId3102" Type="http://schemas.openxmlformats.org/officeDocument/2006/relationships/hyperlink" Target="https://replay.pokemonshowdown.com/smogtours-gen3ou-801916" TargetMode="External"/><Relationship Id="rId3101" Type="http://schemas.openxmlformats.org/officeDocument/2006/relationships/hyperlink" Target="https://replay.pokemonshowdown.com/smogtours-gen3ou-801907" TargetMode="External"/><Relationship Id="rId3104" Type="http://schemas.openxmlformats.org/officeDocument/2006/relationships/hyperlink" Target="http://replay.pokemonshowdown.com/smogtours-gen3ou-801896" TargetMode="External"/><Relationship Id="rId3103" Type="http://schemas.openxmlformats.org/officeDocument/2006/relationships/hyperlink" Target="http://replay.pokemonshowdown.com/smogtours-gen3ou-801887?p2" TargetMode="External"/><Relationship Id="rId3139" Type="http://schemas.openxmlformats.org/officeDocument/2006/relationships/hyperlink" Target="https://replay.pokemonshowdown.com/smogtours-gen3ou-801936" TargetMode="External"/><Relationship Id="rId3138" Type="http://schemas.openxmlformats.org/officeDocument/2006/relationships/hyperlink" Target="https://replay.pokemonshowdown.com/smogtours-gen3ou-801932" TargetMode="External"/><Relationship Id="rId3131" Type="http://schemas.openxmlformats.org/officeDocument/2006/relationships/hyperlink" Target="https://replay.pokemonshowdown.com/smogtours-gen3ou-801831" TargetMode="External"/><Relationship Id="rId3130" Type="http://schemas.openxmlformats.org/officeDocument/2006/relationships/hyperlink" Target="https://replay.pokemonshowdown.com/smogtours-gen3ou-801825" TargetMode="External"/><Relationship Id="rId3133" Type="http://schemas.openxmlformats.org/officeDocument/2006/relationships/hyperlink" Target="https://replay.pokemonshowdown.com/smogtours-gen3ou-801717?p2" TargetMode="External"/><Relationship Id="rId3132" Type="http://schemas.openxmlformats.org/officeDocument/2006/relationships/hyperlink" Target="https://replay.pokemonshowdown.com/smogtours-gen3ou-801715" TargetMode="External"/><Relationship Id="rId3135" Type="http://schemas.openxmlformats.org/officeDocument/2006/relationships/hyperlink" Target="https://replay.pokemonshowdown.com/smogtours-gen3ou-801968" TargetMode="External"/><Relationship Id="rId3134" Type="http://schemas.openxmlformats.org/officeDocument/2006/relationships/hyperlink" Target="https://replay.pokemonshowdown.com/smogtours-gen3ou-801721?p2" TargetMode="External"/><Relationship Id="rId3137" Type="http://schemas.openxmlformats.org/officeDocument/2006/relationships/hyperlink" Target="https://replay.pokemonshowdown.com/smogtours-gen3ou-801931?p2" TargetMode="External"/><Relationship Id="rId3136" Type="http://schemas.openxmlformats.org/officeDocument/2006/relationships/hyperlink" Target="https://replay.pokemonshowdown.com/smogtours-gen3ou-801972" TargetMode="External"/><Relationship Id="rId3128" Type="http://schemas.openxmlformats.org/officeDocument/2006/relationships/hyperlink" Target="https://replay.pokemonshowdown.com/smogtours-gen3ou-801880" TargetMode="External"/><Relationship Id="rId3127" Type="http://schemas.openxmlformats.org/officeDocument/2006/relationships/hyperlink" Target="https://replay.pokemonshowdown.com/smogtours-gen3ou-801877" TargetMode="External"/><Relationship Id="rId3129" Type="http://schemas.openxmlformats.org/officeDocument/2006/relationships/hyperlink" Target="https://replay.pokemonshowdown.com/smogtours-gen3ou-801819" TargetMode="External"/><Relationship Id="rId3120" Type="http://schemas.openxmlformats.org/officeDocument/2006/relationships/hyperlink" Target="https://replay.pokemonshowdown.com/smogtours-gen3ou-801348" TargetMode="External"/><Relationship Id="rId3122" Type="http://schemas.openxmlformats.org/officeDocument/2006/relationships/hyperlink" Target="https://replay.pokemonshowdown.com/smogtours-gen3ou-801350" TargetMode="External"/><Relationship Id="rId3121" Type="http://schemas.openxmlformats.org/officeDocument/2006/relationships/hyperlink" Target="https://replay.pokemonshowdown.com/smogtours-gen3ou-801349" TargetMode="External"/><Relationship Id="rId3124" Type="http://schemas.openxmlformats.org/officeDocument/2006/relationships/hyperlink" Target="https://replay.pokemonshowdown.com/smogtours-gen3ou-801750" TargetMode="External"/><Relationship Id="rId3123" Type="http://schemas.openxmlformats.org/officeDocument/2006/relationships/hyperlink" Target="https://replay.pokemonshowdown.com/smogtours-gen3ou-801745" TargetMode="External"/><Relationship Id="rId3126" Type="http://schemas.openxmlformats.org/officeDocument/2006/relationships/hyperlink" Target="https://replay.pokemonshowdown.com/smogtours-gen3ou-801873" TargetMode="External"/><Relationship Id="rId3125" Type="http://schemas.openxmlformats.org/officeDocument/2006/relationships/hyperlink" Target="https://replay.pokemonshowdown.com/smogtours-gen3ou-801752" TargetMode="External"/><Relationship Id="rId1378" Type="http://schemas.openxmlformats.org/officeDocument/2006/relationships/hyperlink" Target="https://replay.pokemonshowdown.com/smogtours-gen3ou-796930" TargetMode="External"/><Relationship Id="rId1379" Type="http://schemas.openxmlformats.org/officeDocument/2006/relationships/hyperlink" Target="https://replay.pokemonshowdown.com/smogtours-gen3ou-796935" TargetMode="External"/><Relationship Id="rId789" Type="http://schemas.openxmlformats.org/officeDocument/2006/relationships/hyperlink" Target="https://replay.pokemonshowdown.com/smogtours-gen3ou-796268" TargetMode="External"/><Relationship Id="rId788" Type="http://schemas.openxmlformats.org/officeDocument/2006/relationships/hyperlink" Target="https://replay.pokemonshowdown.com/smogtours-gen3ou-796264?p2" TargetMode="External"/><Relationship Id="rId787" Type="http://schemas.openxmlformats.org/officeDocument/2006/relationships/hyperlink" Target="https://replay.pokemonshowdown.com/gen3ou-2217970980" TargetMode="External"/><Relationship Id="rId786" Type="http://schemas.openxmlformats.org/officeDocument/2006/relationships/hyperlink" Target="https://replay.pokemonshowdown.com/gen3ou-2217968238" TargetMode="External"/><Relationship Id="rId781" Type="http://schemas.openxmlformats.org/officeDocument/2006/relationships/hyperlink" Target="https://replay.pokemonshowdown.com/smogtours-gen3ou-796276" TargetMode="External"/><Relationship Id="rId1370" Type="http://schemas.openxmlformats.org/officeDocument/2006/relationships/hyperlink" Target="https://replay.pokemonshowdown.com/smogtours-gen3ou-796347" TargetMode="External"/><Relationship Id="rId780" Type="http://schemas.openxmlformats.org/officeDocument/2006/relationships/hyperlink" Target="https://replay.pokemonshowdown.com/smogtours-gen3ou-796263" TargetMode="External"/><Relationship Id="rId1371" Type="http://schemas.openxmlformats.org/officeDocument/2006/relationships/hyperlink" Target="https://replay.pokemonshowdown.com/smogtours-gen3ou-797114" TargetMode="External"/><Relationship Id="rId1372" Type="http://schemas.openxmlformats.org/officeDocument/2006/relationships/hyperlink" Target="https://replay.pokemonshowdown.com/smogtours-gen3ou-797117" TargetMode="External"/><Relationship Id="rId1373" Type="http://schemas.openxmlformats.org/officeDocument/2006/relationships/hyperlink" Target="https://replay.pokemonshowdown.com/smogtours-gen3ou-796905" TargetMode="External"/><Relationship Id="rId785" Type="http://schemas.openxmlformats.org/officeDocument/2006/relationships/hyperlink" Target="https://replay.pokemonshowdown.com/gen3ou-2217964503" TargetMode="External"/><Relationship Id="rId1374" Type="http://schemas.openxmlformats.org/officeDocument/2006/relationships/hyperlink" Target="https://replay.pokemonshowdown.com/smogtours-gen3ou-796910" TargetMode="External"/><Relationship Id="rId784" Type="http://schemas.openxmlformats.org/officeDocument/2006/relationships/hyperlink" Target="https://replay.pokemonshowdown.com/smogtours-gen3ou-796345" TargetMode="External"/><Relationship Id="rId1375" Type="http://schemas.openxmlformats.org/officeDocument/2006/relationships/hyperlink" Target="https://replay.pokemonshowdown.com/smogtours-gen3ou-796914" TargetMode="External"/><Relationship Id="rId783" Type="http://schemas.openxmlformats.org/officeDocument/2006/relationships/hyperlink" Target="https://replay.pokemonshowdown.com/smogtours-gen3ou-796343" TargetMode="External"/><Relationship Id="rId1376" Type="http://schemas.openxmlformats.org/officeDocument/2006/relationships/hyperlink" Target="https://replay.pokemonshowdown.com/smogtours-gen3ou-796262" TargetMode="External"/><Relationship Id="rId782" Type="http://schemas.openxmlformats.org/officeDocument/2006/relationships/hyperlink" Target="https://replay.pokemonshowdown.com/smogtours-gen3ou-796342" TargetMode="External"/><Relationship Id="rId1377" Type="http://schemas.openxmlformats.org/officeDocument/2006/relationships/hyperlink" Target="https://replay.pokemonshowdown.com/smogtours-gen3ou-796265" TargetMode="External"/><Relationship Id="rId1367" Type="http://schemas.openxmlformats.org/officeDocument/2006/relationships/hyperlink" Target="https://replay.pokemonshowdown.com/smogtours-gen3ou-796446" TargetMode="External"/><Relationship Id="rId2698" Type="http://schemas.openxmlformats.org/officeDocument/2006/relationships/hyperlink" Target="https://replay.pokemonshowdown.com/smogtours-gen3ou-801414" TargetMode="External"/><Relationship Id="rId1368" Type="http://schemas.openxmlformats.org/officeDocument/2006/relationships/hyperlink" Target="https://replay.pokemonshowdown.com/smogtours-gen3ou-796452" TargetMode="External"/><Relationship Id="rId2699" Type="http://schemas.openxmlformats.org/officeDocument/2006/relationships/hyperlink" Target="https://replay.pokemonshowdown.com/smogtours-gen3ou-801321" TargetMode="External"/><Relationship Id="rId1369" Type="http://schemas.openxmlformats.org/officeDocument/2006/relationships/hyperlink" Target="https://replay.pokemonshowdown.com/smogtours-gen3ou-796346" TargetMode="External"/><Relationship Id="rId778" Type="http://schemas.openxmlformats.org/officeDocument/2006/relationships/hyperlink" Target="https://replay.pokemonshowdown.com/smogtours-gen3ou-796283" TargetMode="External"/><Relationship Id="rId777" Type="http://schemas.openxmlformats.org/officeDocument/2006/relationships/hyperlink" Target="https://replay.pokemonshowdown.com/smogtours-gen3ou-796280" TargetMode="External"/><Relationship Id="rId776" Type="http://schemas.openxmlformats.org/officeDocument/2006/relationships/hyperlink" Target="https://replay.pokemonshowdown.com/smogtours-gen3ou-796173?p2" TargetMode="External"/><Relationship Id="rId775" Type="http://schemas.openxmlformats.org/officeDocument/2006/relationships/hyperlink" Target="https://replay.pokemonshowdown.com/smogtours-gen3ou-796172" TargetMode="External"/><Relationship Id="rId779" Type="http://schemas.openxmlformats.org/officeDocument/2006/relationships/hyperlink" Target="https://replay.pokemonshowdown.com/smogtours-gen3ou-796259" TargetMode="External"/><Relationship Id="rId770" Type="http://schemas.openxmlformats.org/officeDocument/2006/relationships/hyperlink" Target="https://replay.pokemonshowdown.com/smogtours-gen3ou-796242" TargetMode="External"/><Relationship Id="rId2690" Type="http://schemas.openxmlformats.org/officeDocument/2006/relationships/hyperlink" Target="https://replay.pokemonshowdown.com/smogtours-gen3ou-801334" TargetMode="External"/><Relationship Id="rId1360" Type="http://schemas.openxmlformats.org/officeDocument/2006/relationships/hyperlink" Target="https://replay.pokemonshowdown.com/smogtours-gen3ou-797055" TargetMode="External"/><Relationship Id="rId2691" Type="http://schemas.openxmlformats.org/officeDocument/2006/relationships/hyperlink" Target="https://replay.pokemonshowdown.com/smogtours-gen3ou-801340" TargetMode="External"/><Relationship Id="rId1361" Type="http://schemas.openxmlformats.org/officeDocument/2006/relationships/hyperlink" Target="https://replay.pokemonshowdown.com/smogtours-gen3ou-796484" TargetMode="External"/><Relationship Id="rId2692" Type="http://schemas.openxmlformats.org/officeDocument/2006/relationships/hyperlink" Target="https://replay.pokemonshowdown.com/smogtours-gen3ou-801277" TargetMode="External"/><Relationship Id="rId1362" Type="http://schemas.openxmlformats.org/officeDocument/2006/relationships/hyperlink" Target="https://replay.pokemonshowdown.com/smogtours-gen3ou-796485" TargetMode="External"/><Relationship Id="rId2693" Type="http://schemas.openxmlformats.org/officeDocument/2006/relationships/hyperlink" Target="https://replay.pokemonshowdown.com/smogtours-gen3ou-801280" TargetMode="External"/><Relationship Id="rId774" Type="http://schemas.openxmlformats.org/officeDocument/2006/relationships/hyperlink" Target="https://replay.pokemonshowdown.com/smogtours-gen3ou-796220" TargetMode="External"/><Relationship Id="rId1363" Type="http://schemas.openxmlformats.org/officeDocument/2006/relationships/hyperlink" Target="https://replay.pokemonshowdown.com/smogtours-gen3ou-796487" TargetMode="External"/><Relationship Id="rId2694" Type="http://schemas.openxmlformats.org/officeDocument/2006/relationships/hyperlink" Target="https://replay.pokemonshowdown.com/smogtours-gen3ou-801392" TargetMode="External"/><Relationship Id="rId773" Type="http://schemas.openxmlformats.org/officeDocument/2006/relationships/hyperlink" Target="https://replay.pokemonshowdown.com/smogtours-gen3ou-796216" TargetMode="External"/><Relationship Id="rId1364" Type="http://schemas.openxmlformats.org/officeDocument/2006/relationships/hyperlink" Target="https://replay.pokemonshowdown.com/smogtours-gen3ou-796309" TargetMode="External"/><Relationship Id="rId2695" Type="http://schemas.openxmlformats.org/officeDocument/2006/relationships/hyperlink" Target="https://replay.pokemonshowdown.com/smogtours-gen3ou-801398" TargetMode="External"/><Relationship Id="rId772" Type="http://schemas.openxmlformats.org/officeDocument/2006/relationships/hyperlink" Target="https://replay.pokemonshowdown.com/smogtours-gen3ou-796214" TargetMode="External"/><Relationship Id="rId1365" Type="http://schemas.openxmlformats.org/officeDocument/2006/relationships/hyperlink" Target="https://replay.pokemonshowdown.com/smogtours-gen3ou-796311" TargetMode="External"/><Relationship Id="rId2696" Type="http://schemas.openxmlformats.org/officeDocument/2006/relationships/hyperlink" Target="https://replay.pokemonshowdown.com/smogtours-gen3ou-801399" TargetMode="External"/><Relationship Id="rId771" Type="http://schemas.openxmlformats.org/officeDocument/2006/relationships/hyperlink" Target="https://replay.pokemonshowdown.com/smogtours-gen3ou-796245" TargetMode="External"/><Relationship Id="rId1366" Type="http://schemas.openxmlformats.org/officeDocument/2006/relationships/hyperlink" Target="https://replay.pokemonshowdown.com/smogtours-gen3ou-796440" TargetMode="External"/><Relationship Id="rId2697" Type="http://schemas.openxmlformats.org/officeDocument/2006/relationships/hyperlink" Target="https://replay.pokemonshowdown.com/smogtours-gen3ou-801412" TargetMode="External"/><Relationship Id="rId1390" Type="http://schemas.openxmlformats.org/officeDocument/2006/relationships/hyperlink" Target="https://replay.pokemonshowdown.com/smogtours-gen3ou-796352" TargetMode="External"/><Relationship Id="rId1391" Type="http://schemas.openxmlformats.org/officeDocument/2006/relationships/hyperlink" Target="https://replay.pokemonshowdown.com/smogtours-gen3ou-796354" TargetMode="External"/><Relationship Id="rId1392" Type="http://schemas.openxmlformats.org/officeDocument/2006/relationships/hyperlink" Target="https://replay.pokemonshowdown.com/smogtours-gen3ou-797067" TargetMode="External"/><Relationship Id="rId1393" Type="http://schemas.openxmlformats.org/officeDocument/2006/relationships/hyperlink" Target="https://replay.pokemonshowdown.com/smogtours-gen3ou-797069" TargetMode="External"/><Relationship Id="rId1394" Type="http://schemas.openxmlformats.org/officeDocument/2006/relationships/hyperlink" Target="https://replay.pokemonshowdown.com/smogtours-gen3ou-797076" TargetMode="External"/><Relationship Id="rId1395" Type="http://schemas.openxmlformats.org/officeDocument/2006/relationships/hyperlink" Target="https://replay.pokemonshowdown.com/smogtours-gen3ou-796213" TargetMode="External"/><Relationship Id="rId1396" Type="http://schemas.openxmlformats.org/officeDocument/2006/relationships/hyperlink" Target="https://replay.pokemonshowdown.com/smogtours-gen3ou-796217" TargetMode="External"/><Relationship Id="rId1397" Type="http://schemas.openxmlformats.org/officeDocument/2006/relationships/hyperlink" Target="https://replay.pokemonshowdown.com/smogtours-gen3ou-797100" TargetMode="External"/><Relationship Id="rId1398" Type="http://schemas.openxmlformats.org/officeDocument/2006/relationships/hyperlink" Target="https://replay.pokemonshowdown.com/smogtours-gen3ou-797103" TargetMode="External"/><Relationship Id="rId1399" Type="http://schemas.openxmlformats.org/officeDocument/2006/relationships/hyperlink" Target="https://replay.pokemonshowdown.com/smogtours-gen3ou-797049" TargetMode="External"/><Relationship Id="rId1389" Type="http://schemas.openxmlformats.org/officeDocument/2006/relationships/hyperlink" Target="https://replay.pokemonshowdown.com/smogtours-gen3ou-796350" TargetMode="External"/><Relationship Id="rId799" Type="http://schemas.openxmlformats.org/officeDocument/2006/relationships/hyperlink" Target="https://replay.pokemonshowdown.com/smogtours-gen3ou-796338" TargetMode="External"/><Relationship Id="rId798" Type="http://schemas.openxmlformats.org/officeDocument/2006/relationships/hyperlink" Target="https://replay.pokemonshowdown.com/smogtours-gen3ou-796210" TargetMode="External"/><Relationship Id="rId797" Type="http://schemas.openxmlformats.org/officeDocument/2006/relationships/hyperlink" Target="https://replay.pokemonshowdown.com/smogtours-gen3ou-796208" TargetMode="External"/><Relationship Id="rId1380" Type="http://schemas.openxmlformats.org/officeDocument/2006/relationships/hyperlink" Target="https://replay.pokemonshowdown.com/smogtours-gen3ou-796949" TargetMode="External"/><Relationship Id="rId792" Type="http://schemas.openxmlformats.org/officeDocument/2006/relationships/hyperlink" Target="https://replay.pokemonshowdown.com/smogtours-gen3ou-796248" TargetMode="External"/><Relationship Id="rId1381" Type="http://schemas.openxmlformats.org/officeDocument/2006/relationships/hyperlink" Target="https://replay.pokemonshowdown.com/smogtours-gen3ou-796959" TargetMode="External"/><Relationship Id="rId791" Type="http://schemas.openxmlformats.org/officeDocument/2006/relationships/hyperlink" Target="https://replay.pokemonshowdown.com/smogtours-gen3ou-796240" TargetMode="External"/><Relationship Id="rId1382" Type="http://schemas.openxmlformats.org/officeDocument/2006/relationships/hyperlink" Target="https://replay.pokemonshowdown.com/smogtours-gen3ou-796586" TargetMode="External"/><Relationship Id="rId790" Type="http://schemas.openxmlformats.org/officeDocument/2006/relationships/hyperlink" Target="https://replay.pokemonshowdown.com/smogtours-gen3ou-796270" TargetMode="External"/><Relationship Id="rId1383" Type="http://schemas.openxmlformats.org/officeDocument/2006/relationships/hyperlink" Target="https://replay.pokemonshowdown.com/smogtours-gen3ou-796588" TargetMode="External"/><Relationship Id="rId1384" Type="http://schemas.openxmlformats.org/officeDocument/2006/relationships/hyperlink" Target="https://replay.pokemonshowdown.com/smogtours-gen3ou-796396" TargetMode="External"/><Relationship Id="rId796" Type="http://schemas.openxmlformats.org/officeDocument/2006/relationships/hyperlink" Target="https://replay.pokemonshowdown.com/smogtours-gen3ou-795966" TargetMode="External"/><Relationship Id="rId1385" Type="http://schemas.openxmlformats.org/officeDocument/2006/relationships/hyperlink" Target="https://replay.pokemonshowdown.com/smogtours-gen3ou-796408" TargetMode="External"/><Relationship Id="rId795" Type="http://schemas.openxmlformats.org/officeDocument/2006/relationships/hyperlink" Target="https://replay.pokemonshowdown.com/smogtours-gen3ou-795951?p2" TargetMode="External"/><Relationship Id="rId1386" Type="http://schemas.openxmlformats.org/officeDocument/2006/relationships/hyperlink" Target="https://replay.pokemonshowdown.com/smogtours-gen3ou-796415" TargetMode="External"/><Relationship Id="rId794" Type="http://schemas.openxmlformats.org/officeDocument/2006/relationships/hyperlink" Target="https://replay.pokemonshowdown.com/smogtours-gen3ou-795937" TargetMode="External"/><Relationship Id="rId1387" Type="http://schemas.openxmlformats.org/officeDocument/2006/relationships/hyperlink" Target="https://replay.pokemonshowdown.com/smogtours-gen3ou-796770" TargetMode="External"/><Relationship Id="rId793" Type="http://schemas.openxmlformats.org/officeDocument/2006/relationships/hyperlink" Target="https://replay.pokemonshowdown.com/smogtours-gen3ou-796253" TargetMode="External"/><Relationship Id="rId1388" Type="http://schemas.openxmlformats.org/officeDocument/2006/relationships/hyperlink" Target="https://replay.pokemonshowdown.com/smogtours-gen3ou-796777" TargetMode="External"/><Relationship Id="rId3191" Type="http://schemas.openxmlformats.org/officeDocument/2006/relationships/hyperlink" Target="https://replay.pokemonshowdown.com/smogtours-gen3ou-802321" TargetMode="External"/><Relationship Id="rId3190" Type="http://schemas.openxmlformats.org/officeDocument/2006/relationships/hyperlink" Target="https://replay.pokemonshowdown.com/smogtours-gen3ou-802313" TargetMode="External"/><Relationship Id="rId3193" Type="http://schemas.openxmlformats.org/officeDocument/2006/relationships/hyperlink" Target="https://replay.pokemonshowdown.com/smogtours-gen3ou-802675" TargetMode="External"/><Relationship Id="rId3192" Type="http://schemas.openxmlformats.org/officeDocument/2006/relationships/hyperlink" Target="https://replay.pokemonshowdown.com/smogtours-gen3ou-802659" TargetMode="External"/><Relationship Id="rId3195" Type="http://schemas.openxmlformats.org/officeDocument/2006/relationships/hyperlink" Target="https://replay.pokemonshowdown.com/smogtours-gen3ou-802419?p2" TargetMode="External"/><Relationship Id="rId3194" Type="http://schemas.openxmlformats.org/officeDocument/2006/relationships/hyperlink" Target="https://replay.pokemonshowdown.com/smogtours-gen3ou-802417?p2" TargetMode="External"/><Relationship Id="rId3197" Type="http://schemas.openxmlformats.org/officeDocument/2006/relationships/hyperlink" Target="https://replay.pokemonshowdown.com/smogtours-gen3ou-802938" TargetMode="External"/><Relationship Id="rId3196" Type="http://schemas.openxmlformats.org/officeDocument/2006/relationships/hyperlink" Target="https://replay.pokemonshowdown.com/smogtours-gen3ou-802420?p2" TargetMode="External"/><Relationship Id="rId3199" Type="http://schemas.openxmlformats.org/officeDocument/2006/relationships/hyperlink" Target="https://replay.pokemonshowdown.com/smogtours-gen3ou-802797" TargetMode="External"/><Relationship Id="rId3198" Type="http://schemas.openxmlformats.org/officeDocument/2006/relationships/hyperlink" Target="https://replay.pokemonshowdown.com/smogtours-gen3ou-802944" TargetMode="External"/><Relationship Id="rId3180" Type="http://schemas.openxmlformats.org/officeDocument/2006/relationships/hyperlink" Target="https://replay.pokemonshowdown.com/smogtours-gen3ou-802454" TargetMode="External"/><Relationship Id="rId3182" Type="http://schemas.openxmlformats.org/officeDocument/2006/relationships/hyperlink" Target="https://replay.pokemonshowdown.com/smogtours-gen3ou-802451" TargetMode="External"/><Relationship Id="rId3181" Type="http://schemas.openxmlformats.org/officeDocument/2006/relationships/hyperlink" Target="https://replay.pokemonshowdown.com/smogtours-gen3ou-802448" TargetMode="External"/><Relationship Id="rId3184" Type="http://schemas.openxmlformats.org/officeDocument/2006/relationships/hyperlink" Target="https://replay.pokemonshowdown.com/smogtours-gen3ou-802710" TargetMode="External"/><Relationship Id="rId3183" Type="http://schemas.openxmlformats.org/officeDocument/2006/relationships/hyperlink" Target="https://replay.pokemonshowdown.com/smogtours-gen3ou-802451" TargetMode="External"/><Relationship Id="rId3186" Type="http://schemas.openxmlformats.org/officeDocument/2006/relationships/hyperlink" Target="https://replay.pokemonshowdown.com/smogtours-gen3ou-802725" TargetMode="External"/><Relationship Id="rId3185" Type="http://schemas.openxmlformats.org/officeDocument/2006/relationships/hyperlink" Target="https://replay.pokemonshowdown.com/smogtours-gen3ou-802721" TargetMode="External"/><Relationship Id="rId3188" Type="http://schemas.openxmlformats.org/officeDocument/2006/relationships/hyperlink" Target="https://replay.pokemonshowdown.com/smogtours-gen3ou-802514?p2" TargetMode="External"/><Relationship Id="rId3187" Type="http://schemas.openxmlformats.org/officeDocument/2006/relationships/hyperlink" Target="https://replay.pokemonshowdown.com/smogtours-gen3ou-802509?p2" TargetMode="External"/><Relationship Id="rId3189" Type="http://schemas.openxmlformats.org/officeDocument/2006/relationships/hyperlink" Target="https://replay.pokemonshowdown.com/smogtours-gen3ou-802517?p2" TargetMode="External"/><Relationship Id="rId3151" Type="http://schemas.openxmlformats.org/officeDocument/2006/relationships/hyperlink" Target="https://replay.pokemonshowdown.com/smogtours-gen3ou-801910" TargetMode="External"/><Relationship Id="rId3150" Type="http://schemas.openxmlformats.org/officeDocument/2006/relationships/hyperlink" Target="https://replay.pokemonshowdown.com/smogtours-gen3ou-801726" TargetMode="External"/><Relationship Id="rId3153" Type="http://schemas.openxmlformats.org/officeDocument/2006/relationships/hyperlink" Target="https://replay.pokemonshowdown.com/smogtours-gen3ou-801923" TargetMode="External"/><Relationship Id="rId3152" Type="http://schemas.openxmlformats.org/officeDocument/2006/relationships/hyperlink" Target="https://replay.pokemonshowdown.com/smogtours-gen3ou-801915" TargetMode="External"/><Relationship Id="rId3155" Type="http://schemas.openxmlformats.org/officeDocument/2006/relationships/hyperlink" Target="https://replay.pokemonshowdown.com/smogtours-gen3ou-801995" TargetMode="External"/><Relationship Id="rId3154" Type="http://schemas.openxmlformats.org/officeDocument/2006/relationships/hyperlink" Target="https://replay.pokemonshowdown.com/smogtours-gen3ou-801990?p2" TargetMode="External"/><Relationship Id="rId3157" Type="http://schemas.openxmlformats.org/officeDocument/2006/relationships/hyperlink" Target="https://replay.pokemonshowdown.com/smogtours-gen3ou-802060?p2" TargetMode="External"/><Relationship Id="rId3156" Type="http://schemas.openxmlformats.org/officeDocument/2006/relationships/hyperlink" Target="https://replay.pokemonshowdown.com/smogtours-gen3ou-802005" TargetMode="External"/><Relationship Id="rId3159" Type="http://schemas.openxmlformats.org/officeDocument/2006/relationships/hyperlink" Target="https://replay.pokemonshowdown.com/smogtours-gen3ou-802067?p2" TargetMode="External"/><Relationship Id="rId3158" Type="http://schemas.openxmlformats.org/officeDocument/2006/relationships/hyperlink" Target="https://replay.pokemonshowdown.com/smogtours-gen3ou-802061?p2" TargetMode="External"/><Relationship Id="rId3149" Type="http://schemas.openxmlformats.org/officeDocument/2006/relationships/hyperlink" Target="https://replay.pokemonshowdown.com/smogtours-gen3ou-801719" TargetMode="External"/><Relationship Id="rId3140" Type="http://schemas.openxmlformats.org/officeDocument/2006/relationships/hyperlink" Target="https://replay.pokemonshowdown.com/smogtours-gen3ou-801690" TargetMode="External"/><Relationship Id="rId3142" Type="http://schemas.openxmlformats.org/officeDocument/2006/relationships/hyperlink" Target="https://replay.pokemonshowdown.com/smogtours-gen3ou-801696" TargetMode="External"/><Relationship Id="rId3141" Type="http://schemas.openxmlformats.org/officeDocument/2006/relationships/hyperlink" Target="https://replay.pokemonshowdown.com/smogtours-gen3ou-801692" TargetMode="External"/><Relationship Id="rId3144" Type="http://schemas.openxmlformats.org/officeDocument/2006/relationships/hyperlink" Target="https://replay.pokemonshowdown.com/smogtours-gen3ou-801958" TargetMode="External"/><Relationship Id="rId3143" Type="http://schemas.openxmlformats.org/officeDocument/2006/relationships/hyperlink" Target="https://replay.pokemonshowdown.com/smogtours-gen3ou-801952" TargetMode="External"/><Relationship Id="rId3146" Type="http://schemas.openxmlformats.org/officeDocument/2006/relationships/hyperlink" Target="https://replay.pokemonshowdown.com/smogtours-gen3ou-801959" TargetMode="External"/><Relationship Id="rId3145" Type="http://schemas.openxmlformats.org/officeDocument/2006/relationships/hyperlink" Target="https://replay.pokemonshowdown.com/smogtours-gen3ou-801964" TargetMode="External"/><Relationship Id="rId3148" Type="http://schemas.openxmlformats.org/officeDocument/2006/relationships/hyperlink" Target="https://replay.pokemonshowdown.com/smogtours-gen3ou-801963" TargetMode="External"/><Relationship Id="rId3147" Type="http://schemas.openxmlformats.org/officeDocument/2006/relationships/hyperlink" Target="https://replay.pokemonshowdown.com/smogtours-gen3ou-801961" TargetMode="External"/><Relationship Id="rId3171" Type="http://schemas.openxmlformats.org/officeDocument/2006/relationships/hyperlink" Target="https://replay.pokemonshowdown.com/smogtours-gen3ou-802306" TargetMode="External"/><Relationship Id="rId3170" Type="http://schemas.openxmlformats.org/officeDocument/2006/relationships/hyperlink" Target="https://replay.pokemonshowdown.com/smogtours-gen3ou-802312" TargetMode="External"/><Relationship Id="rId3173" Type="http://schemas.openxmlformats.org/officeDocument/2006/relationships/hyperlink" Target="https://replay.pokemonshowdown.com/smogtours-gen3ou-802383" TargetMode="External"/><Relationship Id="rId3172" Type="http://schemas.openxmlformats.org/officeDocument/2006/relationships/hyperlink" Target="https://replay.pokemonshowdown.com/smogtours-gen3ou-802382" TargetMode="External"/><Relationship Id="rId3175" Type="http://schemas.openxmlformats.org/officeDocument/2006/relationships/hyperlink" Target="https://replay.pokemonshowdown.com/smogtours-gen3ou-802354" TargetMode="External"/><Relationship Id="rId3174" Type="http://schemas.openxmlformats.org/officeDocument/2006/relationships/hyperlink" Target="https://replay.pokemonshowdown.com/smogtours-gen3ou-802351" TargetMode="External"/><Relationship Id="rId3177" Type="http://schemas.openxmlformats.org/officeDocument/2006/relationships/hyperlink" Target="https://replay.pokemonshowdown.com/smogtours-gen3ou-802409" TargetMode="External"/><Relationship Id="rId3176" Type="http://schemas.openxmlformats.org/officeDocument/2006/relationships/hyperlink" Target="https://replay.pokemonshowdown.com/smogtours-gen3ou-802357" TargetMode="External"/><Relationship Id="rId3179" Type="http://schemas.openxmlformats.org/officeDocument/2006/relationships/hyperlink" Target="https://replay.pokemonshowdown.com/smogtours-gen3ou-802452" TargetMode="External"/><Relationship Id="rId3178" Type="http://schemas.openxmlformats.org/officeDocument/2006/relationships/hyperlink" Target="https://replay.pokemonshowdown.com/smogtours-gen3ou-802410" TargetMode="External"/><Relationship Id="rId3160" Type="http://schemas.openxmlformats.org/officeDocument/2006/relationships/hyperlink" Target="https://replay.pokemonshowdown.com/smogtours-gen3ou-802148" TargetMode="External"/><Relationship Id="rId3162" Type="http://schemas.openxmlformats.org/officeDocument/2006/relationships/hyperlink" Target="https://replay.pokemonshowdown.com/smogtours-gen3ou-802159" TargetMode="External"/><Relationship Id="rId3161" Type="http://schemas.openxmlformats.org/officeDocument/2006/relationships/hyperlink" Target="https://replay.pokemonshowdown.com/smogtours-gen3ou-802153" TargetMode="External"/><Relationship Id="rId3164" Type="http://schemas.openxmlformats.org/officeDocument/2006/relationships/hyperlink" Target="https://replay.pokemonshowdown.com/smogtours-gen3ou-802231" TargetMode="External"/><Relationship Id="rId3163" Type="http://schemas.openxmlformats.org/officeDocument/2006/relationships/hyperlink" Target="https://replay.pokemonshowdown.com/smogtours-gen3ou-802226" TargetMode="External"/><Relationship Id="rId3166" Type="http://schemas.openxmlformats.org/officeDocument/2006/relationships/hyperlink" Target="https://replay.pokemonshowdown.com/smogtours-gen3ou-802280" TargetMode="External"/><Relationship Id="rId3165" Type="http://schemas.openxmlformats.org/officeDocument/2006/relationships/hyperlink" Target="https://replay.pokemonshowdown.com/smogtours-gen3ou-802243" TargetMode="External"/><Relationship Id="rId3168" Type="http://schemas.openxmlformats.org/officeDocument/2006/relationships/hyperlink" Target="https://replay.pokemonshowdown.com/smogtours-gen3ou-802328" TargetMode="External"/><Relationship Id="rId3167" Type="http://schemas.openxmlformats.org/officeDocument/2006/relationships/hyperlink" Target="https://replay.pokemonshowdown.com/smogtours-gen3ou-802285" TargetMode="External"/><Relationship Id="rId3169" Type="http://schemas.openxmlformats.org/officeDocument/2006/relationships/hyperlink" Target="https://replay.pokemonshowdown.com/smogtours-gen3ou-802331" TargetMode="External"/><Relationship Id="rId2700" Type="http://schemas.openxmlformats.org/officeDocument/2006/relationships/hyperlink" Target="https://replay.pokemonshowdown.com/smogtours-gen3ou-801323" TargetMode="External"/><Relationship Id="rId2701" Type="http://schemas.openxmlformats.org/officeDocument/2006/relationships/hyperlink" Target="https://replay.pokemonshowdown.com/smogtours-gen3ou-801330" TargetMode="External"/><Relationship Id="rId2702" Type="http://schemas.openxmlformats.org/officeDocument/2006/relationships/hyperlink" Target="https://replay.pokemonshowdown.com/smogtours-gen3ou-801459" TargetMode="External"/><Relationship Id="rId2703" Type="http://schemas.openxmlformats.org/officeDocument/2006/relationships/hyperlink" Target="https://replay.pokemonshowdown.com/smogtours-gen3ou-801468" TargetMode="External"/><Relationship Id="rId2704" Type="http://schemas.openxmlformats.org/officeDocument/2006/relationships/hyperlink" Target="https://replay.pokemonshowdown.com/smogtours-gen3ou-801484" TargetMode="External"/><Relationship Id="rId2705" Type="http://schemas.openxmlformats.org/officeDocument/2006/relationships/hyperlink" Target="https://replay.pokemonshowdown.com/smogtours-gen3ou-801487" TargetMode="External"/><Relationship Id="rId2706" Type="http://schemas.openxmlformats.org/officeDocument/2006/relationships/hyperlink" Target="https://replay.pokemonshowdown.com/smogtours-gen3ou-801502" TargetMode="External"/><Relationship Id="rId2707" Type="http://schemas.openxmlformats.org/officeDocument/2006/relationships/hyperlink" Target="https://replay.pokemonshowdown.com/smogtours-gen3ou-801505" TargetMode="External"/><Relationship Id="rId2708" Type="http://schemas.openxmlformats.org/officeDocument/2006/relationships/hyperlink" Target="https://replay.pokemonshowdown.com/smogtours-gen3ou-801329?p2" TargetMode="External"/><Relationship Id="rId2709" Type="http://schemas.openxmlformats.org/officeDocument/2006/relationships/hyperlink" Target="https://replay.pokemonshowdown.com/smogtours-gen3ou-801326" TargetMode="External"/><Relationship Id="rId2720" Type="http://schemas.openxmlformats.org/officeDocument/2006/relationships/hyperlink" Target="https://replay.pokemonshowdown.com/smogtours-gen3ou-801361" TargetMode="External"/><Relationship Id="rId2721" Type="http://schemas.openxmlformats.org/officeDocument/2006/relationships/hyperlink" Target="https://replay.pokemonshowdown.com/smogtours-gen3ou-801362" TargetMode="External"/><Relationship Id="rId2722" Type="http://schemas.openxmlformats.org/officeDocument/2006/relationships/hyperlink" Target="https://replay.pokemonshowdown.com/smogtours-gen3ou-801477" TargetMode="External"/><Relationship Id="rId2723" Type="http://schemas.openxmlformats.org/officeDocument/2006/relationships/hyperlink" Target="https://replay.pokemonshowdown.com/smogtours-gen3ou-801479" TargetMode="External"/><Relationship Id="rId2724" Type="http://schemas.openxmlformats.org/officeDocument/2006/relationships/hyperlink" Target="https://replay.pokemonshowdown.com/smogtours-gen3ou-801480" TargetMode="External"/><Relationship Id="rId2725" Type="http://schemas.openxmlformats.org/officeDocument/2006/relationships/hyperlink" Target="https://replay.pokemonshowdown.com/smogtours-gen3ou-801441?p2" TargetMode="External"/><Relationship Id="rId2726" Type="http://schemas.openxmlformats.org/officeDocument/2006/relationships/hyperlink" Target="https://replay.pokemonshowdown.com/smogtours-gen3ou-801449?p2" TargetMode="External"/><Relationship Id="rId2727" Type="http://schemas.openxmlformats.org/officeDocument/2006/relationships/hyperlink" Target="https://replay.pokemonshowdown.com/smogtours-gen3ou-801485" TargetMode="External"/><Relationship Id="rId2728" Type="http://schemas.openxmlformats.org/officeDocument/2006/relationships/hyperlink" Target="https://replay.pokemonshowdown.com/smogtours-gen3ou-801488" TargetMode="External"/><Relationship Id="rId2729" Type="http://schemas.openxmlformats.org/officeDocument/2006/relationships/hyperlink" Target="https://replay.pokemonshowdown.com/smogtours-gen3ou-801491" TargetMode="External"/><Relationship Id="rId2710" Type="http://schemas.openxmlformats.org/officeDocument/2006/relationships/hyperlink" Target="https://replay.pokemonshowdown.com/smogtours-gen3ou-801525" TargetMode="External"/><Relationship Id="rId2711" Type="http://schemas.openxmlformats.org/officeDocument/2006/relationships/hyperlink" Target="https://replay.pokemonshowdown.com/smogtours-gen3ou-801526?p2" TargetMode="External"/><Relationship Id="rId2712" Type="http://schemas.openxmlformats.org/officeDocument/2006/relationships/hyperlink" Target="https://replay.pokemonshowdown.com/smogtours-gen3ou-801528?p2" TargetMode="External"/><Relationship Id="rId2713" Type="http://schemas.openxmlformats.org/officeDocument/2006/relationships/hyperlink" Target="https://replay.pokemonshowdown.com/smogtours-gen3ou-801501" TargetMode="External"/><Relationship Id="rId2714" Type="http://schemas.openxmlformats.org/officeDocument/2006/relationships/hyperlink" Target="https://replay.pokemonshowdown.com/smogtours-gen3ou-801503" TargetMode="External"/><Relationship Id="rId2715" Type="http://schemas.openxmlformats.org/officeDocument/2006/relationships/hyperlink" Target="https://replay.pokemonshowdown.com/smogtours-gen3ou-801387" TargetMode="External"/><Relationship Id="rId2716" Type="http://schemas.openxmlformats.org/officeDocument/2006/relationships/hyperlink" Target="https://replay.pokemonshowdown.com/smogtours-gen3ou-801390" TargetMode="External"/><Relationship Id="rId2717" Type="http://schemas.openxmlformats.org/officeDocument/2006/relationships/hyperlink" Target="https://replay.pokemonshowdown.com/smogtours-gen3ou-801471" TargetMode="External"/><Relationship Id="rId2718" Type="http://schemas.openxmlformats.org/officeDocument/2006/relationships/hyperlink" Target="https://replay.pokemonshowdown.com/smogtours-gen3ou-801476" TargetMode="External"/><Relationship Id="rId2719" Type="http://schemas.openxmlformats.org/officeDocument/2006/relationships/hyperlink" Target="https://replay.pokemonshowdown.com/smogtours-gen3ou-801359" TargetMode="External"/><Relationship Id="rId1455" Type="http://schemas.openxmlformats.org/officeDocument/2006/relationships/hyperlink" Target="https://replay.pokemonshowdown.com/smogtours-gen3ou-797556" TargetMode="External"/><Relationship Id="rId2786" Type="http://schemas.openxmlformats.org/officeDocument/2006/relationships/hyperlink" Target="https://replay.pokemonshowdown.com/smogtours-gen3ou-801074" TargetMode="External"/><Relationship Id="rId1456" Type="http://schemas.openxmlformats.org/officeDocument/2006/relationships/hyperlink" Target="https://replay.pokemonshowdown.com/smogtours-gen3ou-797570" TargetMode="External"/><Relationship Id="rId2787" Type="http://schemas.openxmlformats.org/officeDocument/2006/relationships/hyperlink" Target="https://replay.pokemonshowdown.com/smogtours-gen3ou-801075" TargetMode="External"/><Relationship Id="rId1457" Type="http://schemas.openxmlformats.org/officeDocument/2006/relationships/hyperlink" Target="https://replay.pokemonshowdown.com/smogtours-gen3ou-797197" TargetMode="External"/><Relationship Id="rId2788" Type="http://schemas.openxmlformats.org/officeDocument/2006/relationships/hyperlink" Target="https://replay.pokemonshowdown.com/smogtours-gen3ou-801078" TargetMode="External"/><Relationship Id="rId1458" Type="http://schemas.openxmlformats.org/officeDocument/2006/relationships/hyperlink" Target="https://replay.pokemonshowdown.com/smogtours-gen3ou-797203" TargetMode="External"/><Relationship Id="rId2789" Type="http://schemas.openxmlformats.org/officeDocument/2006/relationships/hyperlink" Target="https://replay.pokemonshowdown.com/smogtours-gen3ou-801358" TargetMode="External"/><Relationship Id="rId1459" Type="http://schemas.openxmlformats.org/officeDocument/2006/relationships/hyperlink" Target="https://replay.pokemonshowdown.com/smogtours-gen3ou-797209" TargetMode="External"/><Relationship Id="rId629" Type="http://schemas.openxmlformats.org/officeDocument/2006/relationships/hyperlink" Target="https://replay.pokemonshowdown.com/smogtours-gen3ou-793808" TargetMode="External"/><Relationship Id="rId624" Type="http://schemas.openxmlformats.org/officeDocument/2006/relationships/hyperlink" Target="https://replay.pokemonshowdown.com/smogtours-gen3ou-794616" TargetMode="External"/><Relationship Id="rId623" Type="http://schemas.openxmlformats.org/officeDocument/2006/relationships/hyperlink" Target="https://replay.pokemonshowdown.com/smogtours-gen3ou-794390?p2" TargetMode="External"/><Relationship Id="rId622" Type="http://schemas.openxmlformats.org/officeDocument/2006/relationships/hyperlink" Target="https://replay.pokemonshowdown.com/smogtours-gen3ou-794374?p2" TargetMode="External"/><Relationship Id="rId621" Type="http://schemas.openxmlformats.org/officeDocument/2006/relationships/hyperlink" Target="https://replay.pokemonshowdown.com/smogtours-gen3ou-795246?p2" TargetMode="External"/><Relationship Id="rId628" Type="http://schemas.openxmlformats.org/officeDocument/2006/relationships/hyperlink" Target="https://replay.pokemonshowdown.com/smogtours-gen3ou-794013" TargetMode="External"/><Relationship Id="rId627" Type="http://schemas.openxmlformats.org/officeDocument/2006/relationships/hyperlink" Target="https://replay.pokemonshowdown.com/smogtours-gen3ou-794002" TargetMode="External"/><Relationship Id="rId626" Type="http://schemas.openxmlformats.org/officeDocument/2006/relationships/hyperlink" Target="https://replay.pokemonshowdown.com/smogtours-gen3ou-794637" TargetMode="External"/><Relationship Id="rId625" Type="http://schemas.openxmlformats.org/officeDocument/2006/relationships/hyperlink" Target="https://replay.pokemonshowdown.com/smogtours-gen3ou-794624" TargetMode="External"/><Relationship Id="rId2780" Type="http://schemas.openxmlformats.org/officeDocument/2006/relationships/hyperlink" Target="https://replay.pokemonshowdown.com/smogtours-gen3ou-801357" TargetMode="External"/><Relationship Id="rId1450" Type="http://schemas.openxmlformats.org/officeDocument/2006/relationships/hyperlink" Target="https://replay.pokemonshowdown.com/smogtours-gen3ou-797497" TargetMode="External"/><Relationship Id="rId2781" Type="http://schemas.openxmlformats.org/officeDocument/2006/relationships/hyperlink" Target="https://replay.pokemonshowdown.com/smogtours-gen3ou-801328" TargetMode="External"/><Relationship Id="rId620" Type="http://schemas.openxmlformats.org/officeDocument/2006/relationships/hyperlink" Target="https://replay.pokemonshowdown.com/smogtours-gen3ou-795230?p2" TargetMode="External"/><Relationship Id="rId1451" Type="http://schemas.openxmlformats.org/officeDocument/2006/relationships/hyperlink" Target="https://replay.pokemonshowdown.com/smogtours-gen3ou-797936" TargetMode="External"/><Relationship Id="rId2782" Type="http://schemas.openxmlformats.org/officeDocument/2006/relationships/hyperlink" Target="https://replay.pokemonshowdown.com/smogtours-gen3ou-801331" TargetMode="External"/><Relationship Id="rId1452" Type="http://schemas.openxmlformats.org/officeDocument/2006/relationships/hyperlink" Target="https://replay.pokemonshowdown.com/smogtours-gen3ou-797938" TargetMode="External"/><Relationship Id="rId2783" Type="http://schemas.openxmlformats.org/officeDocument/2006/relationships/hyperlink" Target="https://replay.pokemonshowdown.com/smogtours-gen3ou-801598" TargetMode="External"/><Relationship Id="rId1453" Type="http://schemas.openxmlformats.org/officeDocument/2006/relationships/hyperlink" Target="https://replay.pokemonshowdown.com/smogtours-gen3ou-797483" TargetMode="External"/><Relationship Id="rId2784" Type="http://schemas.openxmlformats.org/officeDocument/2006/relationships/hyperlink" Target="https://replay.pokemonshowdown.com/smogtours-gen3ou-801603" TargetMode="External"/><Relationship Id="rId1454" Type="http://schemas.openxmlformats.org/officeDocument/2006/relationships/hyperlink" Target="https://replay.pokemonshowdown.com/smogtours-gen3ou-797501" TargetMode="External"/><Relationship Id="rId2785" Type="http://schemas.openxmlformats.org/officeDocument/2006/relationships/hyperlink" Target="https://replay.pokemonshowdown.com/smogtours-gen3ou-801607" TargetMode="External"/><Relationship Id="rId1444" Type="http://schemas.openxmlformats.org/officeDocument/2006/relationships/hyperlink" Target="https://replay.pokemonshowdown.com/smogtours-gen3ou-797482" TargetMode="External"/><Relationship Id="rId2775" Type="http://schemas.openxmlformats.org/officeDocument/2006/relationships/hyperlink" Target="http://replay.pokemonshowdown.com/smogtours-gen3ou-801643?p2" TargetMode="External"/><Relationship Id="rId1445" Type="http://schemas.openxmlformats.org/officeDocument/2006/relationships/hyperlink" Target="https://replay.pokemonshowdown.com/smogtours-gen3ou-797857" TargetMode="External"/><Relationship Id="rId2776" Type="http://schemas.openxmlformats.org/officeDocument/2006/relationships/hyperlink" Target="https://replay.pokemonshowdown.com/smogtours-gen3ou-801266" TargetMode="External"/><Relationship Id="rId1446" Type="http://schemas.openxmlformats.org/officeDocument/2006/relationships/hyperlink" Target="https://replay.pokemonshowdown.com/smogtours-gen3ou-797854" TargetMode="External"/><Relationship Id="rId2777" Type="http://schemas.openxmlformats.org/officeDocument/2006/relationships/hyperlink" Target="https://replay.pokemonshowdown.com/smogtours-gen3ou-801271" TargetMode="External"/><Relationship Id="rId1447" Type="http://schemas.openxmlformats.org/officeDocument/2006/relationships/hyperlink" Target="https://replay.pokemonshowdown.com/smogtours-gen3ou-797861" TargetMode="External"/><Relationship Id="rId2778" Type="http://schemas.openxmlformats.org/officeDocument/2006/relationships/hyperlink" Target="https://replay.pokemonshowdown.com/smogtours-gen3ou-801354" TargetMode="External"/><Relationship Id="rId1448" Type="http://schemas.openxmlformats.org/officeDocument/2006/relationships/hyperlink" Target="https://replay.pokemonshowdown.com/smogtours-gen3ou-797846" TargetMode="External"/><Relationship Id="rId2779" Type="http://schemas.openxmlformats.org/officeDocument/2006/relationships/hyperlink" Target="https://replay.pokemonshowdown.com/smogtours-gen3ou-801356" TargetMode="External"/><Relationship Id="rId1449" Type="http://schemas.openxmlformats.org/officeDocument/2006/relationships/hyperlink" Target="https://replay.pokemonshowdown.com/smogtours-gen3ou-797850" TargetMode="External"/><Relationship Id="rId619" Type="http://schemas.openxmlformats.org/officeDocument/2006/relationships/hyperlink" Target="https://replay.pokemonshowdown.com/smogtours-gen3ou-795224" TargetMode="External"/><Relationship Id="rId618" Type="http://schemas.openxmlformats.org/officeDocument/2006/relationships/hyperlink" Target="https://replay.pokemonshowdown.com/smogtours-gen3ou-793874" TargetMode="External"/><Relationship Id="rId613" Type="http://schemas.openxmlformats.org/officeDocument/2006/relationships/hyperlink" Target="https://replay.pokemonshowdown.com/smogtours-gen3ou-793882" TargetMode="External"/><Relationship Id="rId612" Type="http://schemas.openxmlformats.org/officeDocument/2006/relationships/hyperlink" Target="https://replay.pokemonshowdown.com/smogtours-gen3ou-793878" TargetMode="External"/><Relationship Id="rId611" Type="http://schemas.openxmlformats.org/officeDocument/2006/relationships/hyperlink" Target="https://replay.pokemonshowdown.com/smogtours-gen3ou-794480" TargetMode="External"/><Relationship Id="rId610" Type="http://schemas.openxmlformats.org/officeDocument/2006/relationships/hyperlink" Target="https://replay.pokemonshowdown.com/smogtours-gen3ou-794478" TargetMode="External"/><Relationship Id="rId617" Type="http://schemas.openxmlformats.org/officeDocument/2006/relationships/hyperlink" Target="https://replay.pokemonshowdown.com/smogtours-gen3ou-793872" TargetMode="External"/><Relationship Id="rId616" Type="http://schemas.openxmlformats.org/officeDocument/2006/relationships/hyperlink" Target="http://replay.pokemonshowdown.com/smogtours-gen3ou-794778?p2" TargetMode="External"/><Relationship Id="rId615" Type="http://schemas.openxmlformats.org/officeDocument/2006/relationships/hyperlink" Target="http://replay.pokemonshowdown.com/smogtours-gen3ou-794777?p2" TargetMode="External"/><Relationship Id="rId614" Type="http://schemas.openxmlformats.org/officeDocument/2006/relationships/hyperlink" Target="http://replay.pokemonshowdown.com/smogtours-gen3ou-794774?p2" TargetMode="External"/><Relationship Id="rId2770" Type="http://schemas.openxmlformats.org/officeDocument/2006/relationships/hyperlink" Target="https://replay.pokemonshowdown.com/smogtours-gen3ou-801288" TargetMode="External"/><Relationship Id="rId1440" Type="http://schemas.openxmlformats.org/officeDocument/2006/relationships/hyperlink" Target="https://replay.pokemonshowdown.com/smogtours-gen3ou-797477" TargetMode="External"/><Relationship Id="rId2771" Type="http://schemas.openxmlformats.org/officeDocument/2006/relationships/hyperlink" Target="https://replay.pokemonshowdown.com/smogtours-gen3ou-801293" TargetMode="External"/><Relationship Id="rId1441" Type="http://schemas.openxmlformats.org/officeDocument/2006/relationships/hyperlink" Target="https://replay.pokemonshowdown.com/smogtours-gen3ou-797691?p2" TargetMode="External"/><Relationship Id="rId2772" Type="http://schemas.openxmlformats.org/officeDocument/2006/relationships/hyperlink" Target="https://replay.pokemonshowdown.com/smogtours-gen3ou-801421" TargetMode="External"/><Relationship Id="rId1442" Type="http://schemas.openxmlformats.org/officeDocument/2006/relationships/hyperlink" Target="https://replay.pokemonshowdown.com/smogtours-gen3ou-797700?p2" TargetMode="External"/><Relationship Id="rId2773" Type="http://schemas.openxmlformats.org/officeDocument/2006/relationships/hyperlink" Target="https://replay.pokemonshowdown.com/smogtours-gen3ou-801424" TargetMode="External"/><Relationship Id="rId1443" Type="http://schemas.openxmlformats.org/officeDocument/2006/relationships/hyperlink" Target="https://replay.pokemonshowdown.com/smogtours-gen3ou-797479" TargetMode="External"/><Relationship Id="rId2774" Type="http://schemas.openxmlformats.org/officeDocument/2006/relationships/hyperlink" Target="http://replay.pokemonshowdown.com/smogtours-gen3ou-801626" TargetMode="External"/><Relationship Id="rId1477" Type="http://schemas.openxmlformats.org/officeDocument/2006/relationships/hyperlink" Target="https://replay.pokemonshowdown.com/smogtours-gen3ou-797183" TargetMode="External"/><Relationship Id="rId1478" Type="http://schemas.openxmlformats.org/officeDocument/2006/relationships/hyperlink" Target="https://replay.pokemonshowdown.com/smogtours-gen3ou-797567" TargetMode="External"/><Relationship Id="rId1479" Type="http://schemas.openxmlformats.org/officeDocument/2006/relationships/hyperlink" Target="https://replay.pokemonshowdown.com/smogtours-gen3ou-797574" TargetMode="External"/><Relationship Id="rId646" Type="http://schemas.openxmlformats.org/officeDocument/2006/relationships/hyperlink" Target="https://replay.pokemonshowdown.com/smogtours-gen3ou-793983" TargetMode="External"/><Relationship Id="rId645" Type="http://schemas.openxmlformats.org/officeDocument/2006/relationships/hyperlink" Target="https://replay.pokemonshowdown.com/smogtours-gen3ou-793980" TargetMode="External"/><Relationship Id="rId644" Type="http://schemas.openxmlformats.org/officeDocument/2006/relationships/hyperlink" Target="https://replay.pokemonshowdown.com/smogtours-gen3ou-793977" TargetMode="External"/><Relationship Id="rId643" Type="http://schemas.openxmlformats.org/officeDocument/2006/relationships/hyperlink" Target="https://replay.pokemonshowdown.com/gen3ou-2214319118" TargetMode="External"/><Relationship Id="rId649" Type="http://schemas.openxmlformats.org/officeDocument/2006/relationships/hyperlink" Target="https://replay.pokemonshowdown.com/smogtours-gen3ou-793976" TargetMode="External"/><Relationship Id="rId648" Type="http://schemas.openxmlformats.org/officeDocument/2006/relationships/hyperlink" Target="https://replay.pokemonshowdown.com/smogtours-gen3ou-793975" TargetMode="External"/><Relationship Id="rId647" Type="http://schemas.openxmlformats.org/officeDocument/2006/relationships/hyperlink" Target="https://replay.pokemonshowdown.com/smogtours-gen3ou-793974" TargetMode="External"/><Relationship Id="rId1470" Type="http://schemas.openxmlformats.org/officeDocument/2006/relationships/hyperlink" Target="https://replay.pokemonshowdown.com/smogtours-gen3ou-797569" TargetMode="External"/><Relationship Id="rId1471" Type="http://schemas.openxmlformats.org/officeDocument/2006/relationships/hyperlink" Target="https://replay.pokemonshowdown.com/smogtours-gen3ou-797474" TargetMode="External"/><Relationship Id="rId1472" Type="http://schemas.openxmlformats.org/officeDocument/2006/relationships/hyperlink" Target="https://replay.pokemonshowdown.com/smogtours-gen3ou-797486" TargetMode="External"/><Relationship Id="rId642" Type="http://schemas.openxmlformats.org/officeDocument/2006/relationships/hyperlink" Target="https://replay.pokemonshowdown.com/gen3ou-2214306333" TargetMode="External"/><Relationship Id="rId1473" Type="http://schemas.openxmlformats.org/officeDocument/2006/relationships/hyperlink" Target="https://replay.pokemonshowdown.com/smogtours-gen3ou-797498" TargetMode="External"/><Relationship Id="rId641" Type="http://schemas.openxmlformats.org/officeDocument/2006/relationships/hyperlink" Target="https://replay.pokemonshowdown.com/smogtours-gen3ou-794632" TargetMode="External"/><Relationship Id="rId1474" Type="http://schemas.openxmlformats.org/officeDocument/2006/relationships/hyperlink" Target="https://replay.pokemonshowdown.com/smogtours-gen3ou-797332" TargetMode="External"/><Relationship Id="rId640" Type="http://schemas.openxmlformats.org/officeDocument/2006/relationships/hyperlink" Target="https://replay.pokemonshowdown.com/smogtours-gen3ou-794620" TargetMode="External"/><Relationship Id="rId1475" Type="http://schemas.openxmlformats.org/officeDocument/2006/relationships/hyperlink" Target="https://replay.pokemonshowdown.com/smogtours-gen3ou-797334" TargetMode="External"/><Relationship Id="rId1476" Type="http://schemas.openxmlformats.org/officeDocument/2006/relationships/hyperlink" Target="https://replay.pokemonshowdown.com/smogtours-gen3ou-797179" TargetMode="External"/><Relationship Id="rId1466" Type="http://schemas.openxmlformats.org/officeDocument/2006/relationships/hyperlink" Target="https://replay.pokemonshowdown.com/smogtours-gen3ou-797661" TargetMode="External"/><Relationship Id="rId2797" Type="http://schemas.openxmlformats.org/officeDocument/2006/relationships/hyperlink" Target="https://replay.pokemonshowdown.com/smogtours-gen3ou-801572" TargetMode="External"/><Relationship Id="rId1467" Type="http://schemas.openxmlformats.org/officeDocument/2006/relationships/hyperlink" Target="https://replay.pokemonshowdown.com/smogtours-gen3ou-797676?p2" TargetMode="External"/><Relationship Id="rId2798" Type="http://schemas.openxmlformats.org/officeDocument/2006/relationships/hyperlink" Target="https://replay.pokemonshowdown.com/smogtours-gen3ou-801575" TargetMode="External"/><Relationship Id="rId1468" Type="http://schemas.openxmlformats.org/officeDocument/2006/relationships/hyperlink" Target="https://replay.pokemonshowdown.com/smogtours-gen3ou-797678" TargetMode="External"/><Relationship Id="rId2799" Type="http://schemas.openxmlformats.org/officeDocument/2006/relationships/hyperlink" Target="https://replay.pokemonshowdown.com/smogtours-gen3ou-801580" TargetMode="External"/><Relationship Id="rId1469" Type="http://schemas.openxmlformats.org/officeDocument/2006/relationships/hyperlink" Target="https://replay.pokemonshowdown.com/smogtours-gen3ou-797547" TargetMode="External"/><Relationship Id="rId635" Type="http://schemas.openxmlformats.org/officeDocument/2006/relationships/hyperlink" Target="https://replay.pokemonshowdown.com/smogtours-gen3ou-794490" TargetMode="External"/><Relationship Id="rId634" Type="http://schemas.openxmlformats.org/officeDocument/2006/relationships/hyperlink" Target="https://replay.pokemonshowdown.com/smogtours-gen3ou-794528" TargetMode="External"/><Relationship Id="rId633" Type="http://schemas.openxmlformats.org/officeDocument/2006/relationships/hyperlink" Target="https://replay.pokemonshowdown.com/smogtours-gen3ou-794527" TargetMode="External"/><Relationship Id="rId632" Type="http://schemas.openxmlformats.org/officeDocument/2006/relationships/hyperlink" Target="https://replay.pokemonshowdown.com/smogtours-gen3ou-794337" TargetMode="External"/><Relationship Id="rId639" Type="http://schemas.openxmlformats.org/officeDocument/2006/relationships/hyperlink" Target="https://replay.pokemonshowdown.com/smogtours-gen3ou-794200" TargetMode="External"/><Relationship Id="rId638" Type="http://schemas.openxmlformats.org/officeDocument/2006/relationships/hyperlink" Target="https://replay.pokemonshowdown.com/smogtours-gen3ou-794196" TargetMode="External"/><Relationship Id="rId637" Type="http://schemas.openxmlformats.org/officeDocument/2006/relationships/hyperlink" Target="https://replay.pokemonshowdown.com/smogtours-gen3ou-794193" TargetMode="External"/><Relationship Id="rId636" Type="http://schemas.openxmlformats.org/officeDocument/2006/relationships/hyperlink" Target="https://replay.pokemonshowdown.com/smogtours-gen3ou-794495" TargetMode="External"/><Relationship Id="rId2790" Type="http://schemas.openxmlformats.org/officeDocument/2006/relationships/hyperlink" Target="https://replay.pokemonshowdown.com/smogtours-gen3ou-801360" TargetMode="External"/><Relationship Id="rId1460" Type="http://schemas.openxmlformats.org/officeDocument/2006/relationships/hyperlink" Target="https://replay.pokemonshowdown.com/smogtours-gen3ou-797688" TargetMode="External"/><Relationship Id="rId2791" Type="http://schemas.openxmlformats.org/officeDocument/2006/relationships/hyperlink" Target="https://replay.pokemonshowdown.com/smogtours-gen3ou-801385" TargetMode="External"/><Relationship Id="rId1461" Type="http://schemas.openxmlformats.org/officeDocument/2006/relationships/hyperlink" Target="https://replay.pokemonshowdown.com/smogtours-gen3ou-797699" TargetMode="External"/><Relationship Id="rId2792" Type="http://schemas.openxmlformats.org/officeDocument/2006/relationships/hyperlink" Target="https://replay.pokemonshowdown.com/smogtours-gen3ou-801386" TargetMode="External"/><Relationship Id="rId631" Type="http://schemas.openxmlformats.org/officeDocument/2006/relationships/hyperlink" Target="https://replay.pokemonshowdown.com/smogtours-gen3ou-794329" TargetMode="External"/><Relationship Id="rId1462" Type="http://schemas.openxmlformats.org/officeDocument/2006/relationships/hyperlink" Target="https://replay.pokemonshowdown.com/smogtours-gen3ou-797704" TargetMode="External"/><Relationship Id="rId2793" Type="http://schemas.openxmlformats.org/officeDocument/2006/relationships/hyperlink" Target="https://replay.pokemonshowdown.com/smogtours-gen3ou-801506" TargetMode="External"/><Relationship Id="rId630" Type="http://schemas.openxmlformats.org/officeDocument/2006/relationships/hyperlink" Target="https://replay.pokemonshowdown.com/smogtours-gen3ou-793816" TargetMode="External"/><Relationship Id="rId1463" Type="http://schemas.openxmlformats.org/officeDocument/2006/relationships/hyperlink" Target="https://replay.pokemonshowdown.com/smogtours-gen3ou-797708" TargetMode="External"/><Relationship Id="rId2794" Type="http://schemas.openxmlformats.org/officeDocument/2006/relationships/hyperlink" Target="https://replay.pokemonshowdown.com/smogtours-gen3ou-801509" TargetMode="External"/><Relationship Id="rId1464" Type="http://schemas.openxmlformats.org/officeDocument/2006/relationships/hyperlink" Target="https://replay.pokemonshowdown.com/smogtours-gen3ou-797714" TargetMode="External"/><Relationship Id="rId2795" Type="http://schemas.openxmlformats.org/officeDocument/2006/relationships/hyperlink" Target="https://replay.pokemonshowdown.com/smogtours-gen3ou-801585" TargetMode="External"/><Relationship Id="rId1465" Type="http://schemas.openxmlformats.org/officeDocument/2006/relationships/hyperlink" Target="https://replay.pokemonshowdown.com/smogtours-gen3ou-797636" TargetMode="External"/><Relationship Id="rId2796" Type="http://schemas.openxmlformats.org/officeDocument/2006/relationships/hyperlink" Target="https://replay.pokemonshowdown.com/smogtours-gen3ou-801587" TargetMode="External"/><Relationship Id="rId1411" Type="http://schemas.openxmlformats.org/officeDocument/2006/relationships/hyperlink" Target="https://replay.pokemonshowdown.com/smogtours-gen3ou-797010" TargetMode="External"/><Relationship Id="rId2742" Type="http://schemas.openxmlformats.org/officeDocument/2006/relationships/hyperlink" Target="https://replay.pokemonshowdown.com/smogtours-gen3ou-801563" TargetMode="External"/><Relationship Id="rId1412" Type="http://schemas.openxmlformats.org/officeDocument/2006/relationships/hyperlink" Target="https://replay.pokemonshowdown.com/smogtours-gen3ou-797013?p2" TargetMode="External"/><Relationship Id="rId2743" Type="http://schemas.openxmlformats.org/officeDocument/2006/relationships/hyperlink" Target="https://replay.pokemonshowdown.com/smogtours-gen3ou-801567" TargetMode="External"/><Relationship Id="rId1413" Type="http://schemas.openxmlformats.org/officeDocument/2006/relationships/hyperlink" Target="https://replay.pokemonshowdown.com/smogtours-gen3ou-797071" TargetMode="External"/><Relationship Id="rId2744" Type="http://schemas.openxmlformats.org/officeDocument/2006/relationships/hyperlink" Target="https://replay.pokemonshowdown.com/smogtours-gen3ou-801433" TargetMode="External"/><Relationship Id="rId1414" Type="http://schemas.openxmlformats.org/officeDocument/2006/relationships/hyperlink" Target="https://replay.pokemonshowdown.com/smogtours-gen3ou-797074?p2" TargetMode="External"/><Relationship Id="rId2745" Type="http://schemas.openxmlformats.org/officeDocument/2006/relationships/hyperlink" Target="https://replay.pokemonshowdown.com/smogtours-gen3ou-801436" TargetMode="External"/><Relationship Id="rId1415" Type="http://schemas.openxmlformats.org/officeDocument/2006/relationships/hyperlink" Target="https://replay.pokemonshowdown.com/smogtours-gen3ou-797077" TargetMode="External"/><Relationship Id="rId2746" Type="http://schemas.openxmlformats.org/officeDocument/2006/relationships/hyperlink" Target="https://replay.pokemonshowdown.com/smogtours-gen3ou-801440" TargetMode="External"/><Relationship Id="rId1416" Type="http://schemas.openxmlformats.org/officeDocument/2006/relationships/hyperlink" Target="https://replay.pokemonshowdown.com/smogtours-gen3ou-797079" TargetMode="External"/><Relationship Id="rId2747" Type="http://schemas.openxmlformats.org/officeDocument/2006/relationships/hyperlink" Target="https://replay.pokemonshowdown.com/smogtours-gen3ou-801286" TargetMode="External"/><Relationship Id="rId1417" Type="http://schemas.openxmlformats.org/officeDocument/2006/relationships/hyperlink" Target="https://replay.pokemonshowdown.com/smogtours-gen3ou-797092" TargetMode="External"/><Relationship Id="rId2748" Type="http://schemas.openxmlformats.org/officeDocument/2006/relationships/hyperlink" Target="https://replay.pokemonshowdown.com/smogtours-gen3ou-801287" TargetMode="External"/><Relationship Id="rId1418" Type="http://schemas.openxmlformats.org/officeDocument/2006/relationships/hyperlink" Target="https://replay.pokemonshowdown.com/smogtours-gen3ou-797096" TargetMode="External"/><Relationship Id="rId2749" Type="http://schemas.openxmlformats.org/officeDocument/2006/relationships/hyperlink" Target="https://replay.pokemonshowdown.com/smogtours-gen3ou-801291" TargetMode="External"/><Relationship Id="rId1419" Type="http://schemas.openxmlformats.org/officeDocument/2006/relationships/hyperlink" Target="https://replay.pokemonshowdown.com/smogtours-gen3ou-797120" TargetMode="External"/><Relationship Id="rId2740" Type="http://schemas.openxmlformats.org/officeDocument/2006/relationships/hyperlink" Target="https://replay.pokemonshowdown.com/smogtours-gen3ou-801454" TargetMode="External"/><Relationship Id="rId1410" Type="http://schemas.openxmlformats.org/officeDocument/2006/relationships/hyperlink" Target="https://replay.pokemonshowdown.com/smogtours-gen3ou-797073" TargetMode="External"/><Relationship Id="rId2741" Type="http://schemas.openxmlformats.org/officeDocument/2006/relationships/hyperlink" Target="https://replay.pokemonshowdown.com/smogtours-gen3ou-801558" TargetMode="External"/><Relationship Id="rId1400" Type="http://schemas.openxmlformats.org/officeDocument/2006/relationships/hyperlink" Target="https://replay.pokemonshowdown.com/smogtours-gen3ou-797056?p2" TargetMode="External"/><Relationship Id="rId2731" Type="http://schemas.openxmlformats.org/officeDocument/2006/relationships/hyperlink" Target="https://replay.pokemonshowdown.com/smogtours-gen3ou-801474" TargetMode="External"/><Relationship Id="rId1401" Type="http://schemas.openxmlformats.org/officeDocument/2006/relationships/hyperlink" Target="https://replay.pokemonshowdown.com/smogtours-gen3ou-797101" TargetMode="External"/><Relationship Id="rId2732" Type="http://schemas.openxmlformats.org/officeDocument/2006/relationships/hyperlink" Target="https://replay.pokemonshowdown.com/smogtours-gen3ou-801482" TargetMode="External"/><Relationship Id="rId1402" Type="http://schemas.openxmlformats.org/officeDocument/2006/relationships/hyperlink" Target="https://replay.pokemonshowdown.com/smogtours-gen3ou-797102" TargetMode="External"/><Relationship Id="rId2733" Type="http://schemas.openxmlformats.org/officeDocument/2006/relationships/hyperlink" Target="https://replay.pokemonshowdown.com/smogtours-gen3ou-801483" TargetMode="External"/><Relationship Id="rId1403" Type="http://schemas.openxmlformats.org/officeDocument/2006/relationships/hyperlink" Target="https://replay.pokemonshowdown.com/smogtours-gen3ou-797104" TargetMode="External"/><Relationship Id="rId2734" Type="http://schemas.openxmlformats.org/officeDocument/2006/relationships/hyperlink" Target="https://replay.pokemonshowdown.com/smogtours-gen3ou-801542" TargetMode="External"/><Relationship Id="rId1404" Type="http://schemas.openxmlformats.org/officeDocument/2006/relationships/hyperlink" Target="https://replay.pokemonshowdown.com/smogtours-gen3ou-797087" TargetMode="External"/><Relationship Id="rId2735" Type="http://schemas.openxmlformats.org/officeDocument/2006/relationships/hyperlink" Target="https://replay.pokemonshowdown.com/smogtours-gen3ou-801544" TargetMode="External"/><Relationship Id="rId1405" Type="http://schemas.openxmlformats.org/officeDocument/2006/relationships/hyperlink" Target="https://replay.pokemonshowdown.com/smogtours-gen3ou-797062" TargetMode="External"/><Relationship Id="rId2736" Type="http://schemas.openxmlformats.org/officeDocument/2006/relationships/hyperlink" Target="https://replay.pokemonshowdown.com/smogtours-gen3ou-801547" TargetMode="External"/><Relationship Id="rId1406" Type="http://schemas.openxmlformats.org/officeDocument/2006/relationships/hyperlink" Target="https://replay.pokemonshowdown.com/smogtours-gen3ou-797064" TargetMode="External"/><Relationship Id="rId2737" Type="http://schemas.openxmlformats.org/officeDocument/2006/relationships/hyperlink" Target="https://replay.pokemonshowdown.com/smogtours-gen3ou-801438" TargetMode="External"/><Relationship Id="rId1407" Type="http://schemas.openxmlformats.org/officeDocument/2006/relationships/hyperlink" Target="https://replay.pokemonshowdown.com/smogtours-gen3ou-797112" TargetMode="External"/><Relationship Id="rId2738" Type="http://schemas.openxmlformats.org/officeDocument/2006/relationships/hyperlink" Target="https://replay.pokemonshowdown.com/smogtours-gen3ou-801445" TargetMode="External"/><Relationship Id="rId1408" Type="http://schemas.openxmlformats.org/officeDocument/2006/relationships/hyperlink" Target="https://replay.pokemonshowdown.com/smogtours-gen3ou-797116?p2" TargetMode="External"/><Relationship Id="rId2739" Type="http://schemas.openxmlformats.org/officeDocument/2006/relationships/hyperlink" Target="https://replay.pokemonshowdown.com/smogtours-gen3ou-801448" TargetMode="External"/><Relationship Id="rId1409" Type="http://schemas.openxmlformats.org/officeDocument/2006/relationships/hyperlink" Target="https://replay.pokemonshowdown.com/smogtours-gen3ou-797070" TargetMode="External"/><Relationship Id="rId2730" Type="http://schemas.openxmlformats.org/officeDocument/2006/relationships/hyperlink" Target="https://replay.pokemonshowdown.com/smogtours-gen3ou-801472" TargetMode="External"/><Relationship Id="rId1433" Type="http://schemas.openxmlformats.org/officeDocument/2006/relationships/hyperlink" Target="https://replay.pokemonshowdown.com/smogtours-gen3ou-797642" TargetMode="External"/><Relationship Id="rId2764" Type="http://schemas.openxmlformats.org/officeDocument/2006/relationships/hyperlink" Target="https://replay.pokemonshowdown.com/smogtours-gen3ou-801523" TargetMode="External"/><Relationship Id="rId1434" Type="http://schemas.openxmlformats.org/officeDocument/2006/relationships/hyperlink" Target="https://replay.pokemonshowdown.com/smogtours-gen3ou-797649" TargetMode="External"/><Relationship Id="rId2765" Type="http://schemas.openxmlformats.org/officeDocument/2006/relationships/hyperlink" Target="https://replay.pokemonshowdown.com/smogtours-gen3ou-801524" TargetMode="External"/><Relationship Id="rId1435" Type="http://schemas.openxmlformats.org/officeDocument/2006/relationships/hyperlink" Target="https://replay.pokemonshowdown.com/smogtours-gen3ou-797656" TargetMode="External"/><Relationship Id="rId2766" Type="http://schemas.openxmlformats.org/officeDocument/2006/relationships/hyperlink" Target="https://replay.pokemonshowdown.com/smogtours-gen3ou-801255" TargetMode="External"/><Relationship Id="rId1436" Type="http://schemas.openxmlformats.org/officeDocument/2006/relationships/hyperlink" Target="https://replay.pokemonshowdown.com/smogtours-gen3ou-797412" TargetMode="External"/><Relationship Id="rId2767" Type="http://schemas.openxmlformats.org/officeDocument/2006/relationships/hyperlink" Target="https://replay.pokemonshowdown.com/smogtours-gen3ou-801253" TargetMode="External"/><Relationship Id="rId1437" Type="http://schemas.openxmlformats.org/officeDocument/2006/relationships/hyperlink" Target="https://replay.pokemonshowdown.com/smogtours-gen3ou-797416" TargetMode="External"/><Relationship Id="rId2768" Type="http://schemas.openxmlformats.org/officeDocument/2006/relationships/hyperlink" Target="https://replay.pokemonshowdown.com/smogtours-gen3ou-801430" TargetMode="External"/><Relationship Id="rId1438" Type="http://schemas.openxmlformats.org/officeDocument/2006/relationships/hyperlink" Target="https://replay.pokemonshowdown.com/smogtours-gen3ou-797422" TargetMode="External"/><Relationship Id="rId2769" Type="http://schemas.openxmlformats.org/officeDocument/2006/relationships/hyperlink" Target="https://replay.pokemonshowdown.com/smogtours-gen3ou-801434" TargetMode="External"/><Relationship Id="rId1439" Type="http://schemas.openxmlformats.org/officeDocument/2006/relationships/hyperlink" Target="https://replay.pokemonshowdown.com/smogtours-gen3ou-797463" TargetMode="External"/><Relationship Id="rId609" Type="http://schemas.openxmlformats.org/officeDocument/2006/relationships/hyperlink" Target="https://replay.pokemonshowdown.com/smogtours-gen3ou-794477" TargetMode="External"/><Relationship Id="rId608" Type="http://schemas.openxmlformats.org/officeDocument/2006/relationships/hyperlink" Target="https://replay.pokemonshowdown.com/smogtours-gen3ou-794406" TargetMode="External"/><Relationship Id="rId607" Type="http://schemas.openxmlformats.org/officeDocument/2006/relationships/hyperlink" Target="https://replay.pokemonshowdown.com/smogtours-gen3ou-794312" TargetMode="External"/><Relationship Id="rId602" Type="http://schemas.openxmlformats.org/officeDocument/2006/relationships/hyperlink" Target="https://replay.pokemonshowdown.com/smogtours-gen3ou-795216" TargetMode="External"/><Relationship Id="rId601" Type="http://schemas.openxmlformats.org/officeDocument/2006/relationships/hyperlink" Target="https://replay.pokemonshowdown.com/smogtours-gen3ou-795213" TargetMode="External"/><Relationship Id="rId600" Type="http://schemas.openxmlformats.org/officeDocument/2006/relationships/hyperlink" Target="https://replay.pokemonshowdown.com/smogtours-gen3ou-795204" TargetMode="External"/><Relationship Id="rId606" Type="http://schemas.openxmlformats.org/officeDocument/2006/relationships/hyperlink" Target="https://replay.pokemonshowdown.com/smogtours-gen3ou-794301" TargetMode="External"/><Relationship Id="rId605" Type="http://schemas.openxmlformats.org/officeDocument/2006/relationships/hyperlink" Target="https://replay.pokemonshowdown.com/smogtours-gen3ou-794298" TargetMode="External"/><Relationship Id="rId604" Type="http://schemas.openxmlformats.org/officeDocument/2006/relationships/hyperlink" Target="https://replay.pokemonshowdown.com/smogtours-gen3ou-794316" TargetMode="External"/><Relationship Id="rId603" Type="http://schemas.openxmlformats.org/officeDocument/2006/relationships/hyperlink" Target="https://replay.pokemonshowdown.com/smogtours-gen3ou-794311" TargetMode="External"/><Relationship Id="rId2760" Type="http://schemas.openxmlformats.org/officeDocument/2006/relationships/hyperlink" Target="https://replay.pokemonshowdown.com/smogtours-gen3ou-801446" TargetMode="External"/><Relationship Id="rId1430" Type="http://schemas.openxmlformats.org/officeDocument/2006/relationships/hyperlink" Target="https://replay.pokemonshowdown.com/smogtours-gen3ou-796526" TargetMode="External"/><Relationship Id="rId2761" Type="http://schemas.openxmlformats.org/officeDocument/2006/relationships/hyperlink" Target="https://replay.pokemonshowdown.com/smogtours-gen3ou-801450" TargetMode="External"/><Relationship Id="rId1431" Type="http://schemas.openxmlformats.org/officeDocument/2006/relationships/hyperlink" Target="https://replay.pokemonshowdown.com/smogtours-gen3ou-797202" TargetMode="External"/><Relationship Id="rId2762" Type="http://schemas.openxmlformats.org/officeDocument/2006/relationships/hyperlink" Target="https://replay.pokemonshowdown.com/smogtours-gen3ou-801458" TargetMode="External"/><Relationship Id="rId1432" Type="http://schemas.openxmlformats.org/officeDocument/2006/relationships/hyperlink" Target="https://replay.pokemonshowdown.com/smogtours-gen3ou-797205" TargetMode="External"/><Relationship Id="rId2763" Type="http://schemas.openxmlformats.org/officeDocument/2006/relationships/hyperlink" Target="https://replay.pokemonshowdown.com/smogtours-gen3ou-801522" TargetMode="External"/><Relationship Id="rId1422" Type="http://schemas.openxmlformats.org/officeDocument/2006/relationships/hyperlink" Target="https://replay.pokemonshowdown.com/smogtours-gen3ou-797090" TargetMode="External"/><Relationship Id="rId2753" Type="http://schemas.openxmlformats.org/officeDocument/2006/relationships/hyperlink" Target="https://replay.pokemonshowdown.com/smogtours-gen3ou-801600" TargetMode="External"/><Relationship Id="rId1423" Type="http://schemas.openxmlformats.org/officeDocument/2006/relationships/hyperlink" Target="https://replay.pokemonshowdown.com/smogtours-gen3ou-797098?p2" TargetMode="External"/><Relationship Id="rId2754" Type="http://schemas.openxmlformats.org/officeDocument/2006/relationships/hyperlink" Target="https://replay.pokemonshowdown.com/smogtours-gen3ou-801586?p2" TargetMode="External"/><Relationship Id="rId1424" Type="http://schemas.openxmlformats.org/officeDocument/2006/relationships/hyperlink" Target="https://replay.pokemonshowdown.com/smogtours-gen3ou-797078" TargetMode="External"/><Relationship Id="rId2755" Type="http://schemas.openxmlformats.org/officeDocument/2006/relationships/hyperlink" Target="https://replay.pokemonshowdown.com/smogtours-gen3ou-801590" TargetMode="External"/><Relationship Id="rId1425" Type="http://schemas.openxmlformats.org/officeDocument/2006/relationships/hyperlink" Target="https://replay.pokemonshowdown.com/smogtours-gen3ou-797081" TargetMode="External"/><Relationship Id="rId2756" Type="http://schemas.openxmlformats.org/officeDocument/2006/relationships/hyperlink" Target="https://replay.pokemonshowdown.com/smogtours-gen3ou-801632" TargetMode="External"/><Relationship Id="rId1426" Type="http://schemas.openxmlformats.org/officeDocument/2006/relationships/hyperlink" Target="https://replay.pokemonshowdown.com/smogtours-gen3ou-797108" TargetMode="External"/><Relationship Id="rId2757" Type="http://schemas.openxmlformats.org/officeDocument/2006/relationships/hyperlink" Target="https://replay.pokemonshowdown.com/smogtours-gen3ou-801637" TargetMode="External"/><Relationship Id="rId1427" Type="http://schemas.openxmlformats.org/officeDocument/2006/relationships/hyperlink" Target="https://replay.pokemonshowdown.com/smogtours-gen3ou-797110" TargetMode="External"/><Relationship Id="rId2758" Type="http://schemas.openxmlformats.org/officeDocument/2006/relationships/hyperlink" Target="https://replay.pokemonshowdown.com/smogtours-gen3ou-801493" TargetMode="External"/><Relationship Id="rId1428" Type="http://schemas.openxmlformats.org/officeDocument/2006/relationships/hyperlink" Target="https://replay.pokemonshowdown.com/smogtours-gen3ou-796517" TargetMode="External"/><Relationship Id="rId2759" Type="http://schemas.openxmlformats.org/officeDocument/2006/relationships/hyperlink" Target="https://replay.pokemonshowdown.com/smogtours-gen3ou-801494" TargetMode="External"/><Relationship Id="rId1429" Type="http://schemas.openxmlformats.org/officeDocument/2006/relationships/hyperlink" Target="https://replay.pokemonshowdown.com/smogtours-gen3ou-796521" TargetMode="External"/><Relationship Id="rId2750" Type="http://schemas.openxmlformats.org/officeDocument/2006/relationships/hyperlink" Target="https://replay.pokemonshowdown.com/smogtours-gen3ou-801661" TargetMode="External"/><Relationship Id="rId1420" Type="http://schemas.openxmlformats.org/officeDocument/2006/relationships/hyperlink" Target="https://replay.pokemonshowdown.com/smogtours-gen3ou-797126" TargetMode="External"/><Relationship Id="rId2751" Type="http://schemas.openxmlformats.org/officeDocument/2006/relationships/hyperlink" Target="https://replay.pokemonshowdown.com/smogtours-gen3ou-801666" TargetMode="External"/><Relationship Id="rId1421" Type="http://schemas.openxmlformats.org/officeDocument/2006/relationships/hyperlink" Target="https://replay.pokemonshowdown.com/smogtours-gen3ou-797130" TargetMode="External"/><Relationship Id="rId2752" Type="http://schemas.openxmlformats.org/officeDocument/2006/relationships/hyperlink" Target="https://replay.pokemonshowdown.com/smogtours-gen3ou-801595" TargetMode="External"/><Relationship Id="rId3238" Type="http://schemas.openxmlformats.org/officeDocument/2006/relationships/hyperlink" Target="https://replay.pokemonshowdown.com/smogtours-gen3ou-801997" TargetMode="External"/><Relationship Id="rId3237" Type="http://schemas.openxmlformats.org/officeDocument/2006/relationships/hyperlink" Target="https://replay.pokemonshowdown.com/smogtours-gen3ou-801991" TargetMode="External"/><Relationship Id="rId3239" Type="http://schemas.openxmlformats.org/officeDocument/2006/relationships/hyperlink" Target="https://replay.pokemonshowdown.com/smogtours-gen3ou-801816?p2" TargetMode="External"/><Relationship Id="rId3230" Type="http://schemas.openxmlformats.org/officeDocument/2006/relationships/hyperlink" Target="https://replay.pokemonshowdown.com/smogtours-gen3ou-801847" TargetMode="External"/><Relationship Id="rId3232" Type="http://schemas.openxmlformats.org/officeDocument/2006/relationships/hyperlink" Target="https://replay.pokemonshowdown.com/smogtours-gen3ou-801854" TargetMode="External"/><Relationship Id="rId3231" Type="http://schemas.openxmlformats.org/officeDocument/2006/relationships/hyperlink" Target="https://replay.pokemonshowdown.com/smogtours-gen3ou-801851" TargetMode="External"/><Relationship Id="rId3234" Type="http://schemas.openxmlformats.org/officeDocument/2006/relationships/hyperlink" Target="https://replay.pokemonshowdown.com/smogtours-gen3ou-801980" TargetMode="External"/><Relationship Id="rId3233" Type="http://schemas.openxmlformats.org/officeDocument/2006/relationships/hyperlink" Target="https://replay.pokemonshowdown.com/smogtours-gen3ou-801977" TargetMode="External"/><Relationship Id="rId3236" Type="http://schemas.openxmlformats.org/officeDocument/2006/relationships/hyperlink" Target="https://replay.pokemonshowdown.com/smogtours-gen3ou-801853" TargetMode="External"/><Relationship Id="rId3235" Type="http://schemas.openxmlformats.org/officeDocument/2006/relationships/hyperlink" Target="https://replay.pokemonshowdown.com/smogtours-gen3ou-801850" TargetMode="External"/><Relationship Id="rId3227" Type="http://schemas.openxmlformats.org/officeDocument/2006/relationships/hyperlink" Target="https://replay.pokemonshowdown.com/smogtours-gen3ou-801989?p2" TargetMode="External"/><Relationship Id="rId3226" Type="http://schemas.openxmlformats.org/officeDocument/2006/relationships/hyperlink" Target="https://replay.pokemonshowdown.com/smogtours-gen3ou-802000" TargetMode="External"/><Relationship Id="rId3229" Type="http://schemas.openxmlformats.org/officeDocument/2006/relationships/hyperlink" Target="https://replay.pokemonshowdown.com/smogtours-gen3ou-802015?p2" TargetMode="External"/><Relationship Id="rId3228" Type="http://schemas.openxmlformats.org/officeDocument/2006/relationships/hyperlink" Target="https://replay.pokemonshowdown.com/smogtours-gen3ou-802002?p2" TargetMode="External"/><Relationship Id="rId699" Type="http://schemas.openxmlformats.org/officeDocument/2006/relationships/hyperlink" Target="http://replay.pokemonshowdown.com/smogtours-gen3ou-794423" TargetMode="External"/><Relationship Id="rId698" Type="http://schemas.openxmlformats.org/officeDocument/2006/relationships/hyperlink" Target="http://replay.pokemonshowdown.com/smogtours-gen3ou-794421" TargetMode="External"/><Relationship Id="rId693" Type="http://schemas.openxmlformats.org/officeDocument/2006/relationships/hyperlink" Target="https://replay.pokemonshowdown.com/smogtours-gen3ou-794310" TargetMode="External"/><Relationship Id="rId692" Type="http://schemas.openxmlformats.org/officeDocument/2006/relationships/hyperlink" Target="https://replay.pokemonshowdown.com/smogtours-gen3ou-795428" TargetMode="External"/><Relationship Id="rId691" Type="http://schemas.openxmlformats.org/officeDocument/2006/relationships/hyperlink" Target="https://replay.pokemonshowdown.com/smogtours-gen3ou-795420" TargetMode="External"/><Relationship Id="rId3221" Type="http://schemas.openxmlformats.org/officeDocument/2006/relationships/hyperlink" Target="https://replay.pokemonshowdown.com/smogtours-gen3ou-801856" TargetMode="External"/><Relationship Id="rId690" Type="http://schemas.openxmlformats.org/officeDocument/2006/relationships/hyperlink" Target="https://replay.pokemonshowdown.com/smogtours-gen3ou-795415" TargetMode="External"/><Relationship Id="rId3220" Type="http://schemas.openxmlformats.org/officeDocument/2006/relationships/hyperlink" Target="https://replay.pokemonshowdown.com/smogtours-gen3ou-801845" TargetMode="External"/><Relationship Id="rId697" Type="http://schemas.openxmlformats.org/officeDocument/2006/relationships/hyperlink" Target="https://replay.pokemonshowdown.com/smogtours-gen3ou-794781" TargetMode="External"/><Relationship Id="rId3223" Type="http://schemas.openxmlformats.org/officeDocument/2006/relationships/hyperlink" Target="https://replay.pokemonshowdown.com/smogtours-gen3ou-802013" TargetMode="External"/><Relationship Id="rId696" Type="http://schemas.openxmlformats.org/officeDocument/2006/relationships/hyperlink" Target="https://replay.pokemonshowdown.com/smogtours-gen3ou-794776" TargetMode="External"/><Relationship Id="rId3222" Type="http://schemas.openxmlformats.org/officeDocument/2006/relationships/hyperlink" Target="https://replay.pokemonshowdown.com/smogtours-gen3ou-802011?p2" TargetMode="External"/><Relationship Id="rId695" Type="http://schemas.openxmlformats.org/officeDocument/2006/relationships/hyperlink" Target="https://replay.pokemonshowdown.com/smogtours-gen3ou-794773" TargetMode="External"/><Relationship Id="rId3225" Type="http://schemas.openxmlformats.org/officeDocument/2006/relationships/hyperlink" Target="https://replay.pokemonshowdown.com/smogtours-gen3ou-801985" TargetMode="External"/><Relationship Id="rId694" Type="http://schemas.openxmlformats.org/officeDocument/2006/relationships/hyperlink" Target="https://replay.pokemonshowdown.com/smogtours-gen3ou-794319" TargetMode="External"/><Relationship Id="rId3224" Type="http://schemas.openxmlformats.org/officeDocument/2006/relationships/hyperlink" Target="https://replay.pokemonshowdown.com/smogtours-gen3ou-802014?p2" TargetMode="External"/><Relationship Id="rId3259" Type="http://schemas.openxmlformats.org/officeDocument/2006/relationships/hyperlink" Target="https://replay.pokemonshowdown.com/smogtours-gen3ou-802042" TargetMode="External"/><Relationship Id="rId3250" Type="http://schemas.openxmlformats.org/officeDocument/2006/relationships/hyperlink" Target="https://replay.pokemonshowdown.com/smogtours-gen3ou-802017" TargetMode="External"/><Relationship Id="rId3252" Type="http://schemas.openxmlformats.org/officeDocument/2006/relationships/hyperlink" Target="https://replay.pokemonshowdown.com/smogtours-gen3ou-802003" TargetMode="External"/><Relationship Id="rId3251" Type="http://schemas.openxmlformats.org/officeDocument/2006/relationships/hyperlink" Target="https://replay.pokemonshowdown.com/smogtours-gen3ou-801996" TargetMode="External"/><Relationship Id="rId3254" Type="http://schemas.openxmlformats.org/officeDocument/2006/relationships/hyperlink" Target="https://replay.pokemonshowdown.com/smogtours-gen3ou-802023" TargetMode="External"/><Relationship Id="rId3253" Type="http://schemas.openxmlformats.org/officeDocument/2006/relationships/hyperlink" Target="https://replay.pokemonshowdown.com/smogtours-gen3ou-802010" TargetMode="External"/><Relationship Id="rId3256" Type="http://schemas.openxmlformats.org/officeDocument/2006/relationships/hyperlink" Target="https://replay.pokemonshowdown.com/smogtours-gen3ou-802033" TargetMode="External"/><Relationship Id="rId3255" Type="http://schemas.openxmlformats.org/officeDocument/2006/relationships/hyperlink" Target="https://replay.pokemonshowdown.com/smogtours-gen3ou-802028" TargetMode="External"/><Relationship Id="rId3258" Type="http://schemas.openxmlformats.org/officeDocument/2006/relationships/hyperlink" Target="https://replay.pokemonshowdown.com/smogtours-gen3ou-802039" TargetMode="External"/><Relationship Id="rId3257" Type="http://schemas.openxmlformats.org/officeDocument/2006/relationships/hyperlink" Target="https://replay.pokemonshowdown.com/smogtours-gen3ou-802026" TargetMode="External"/><Relationship Id="rId3249" Type="http://schemas.openxmlformats.org/officeDocument/2006/relationships/hyperlink" Target="https://replay.pokemonshowdown.com/smogtours-gen3ou-802016" TargetMode="External"/><Relationship Id="rId3248" Type="http://schemas.openxmlformats.org/officeDocument/2006/relationships/hyperlink" Target="https://replay.pokemonshowdown.com/gen3ou-2231058038" TargetMode="External"/><Relationship Id="rId3241" Type="http://schemas.openxmlformats.org/officeDocument/2006/relationships/hyperlink" Target="https://replay.pokemonshowdown.com/smogtours-gen3ou-801827?p2" TargetMode="External"/><Relationship Id="rId3240" Type="http://schemas.openxmlformats.org/officeDocument/2006/relationships/hyperlink" Target="https://replay.pokemonshowdown.com/smogtours-gen3ou-801820?p2" TargetMode="External"/><Relationship Id="rId3243" Type="http://schemas.openxmlformats.org/officeDocument/2006/relationships/hyperlink" Target="https://replay.pokemonshowdown.com/smogtours-gen3ou-802001" TargetMode="External"/><Relationship Id="rId3242" Type="http://schemas.openxmlformats.org/officeDocument/2006/relationships/hyperlink" Target="https://replay.pokemonshowdown.com/smogtours-gen3ou-801992" TargetMode="External"/><Relationship Id="rId3245" Type="http://schemas.openxmlformats.org/officeDocument/2006/relationships/hyperlink" Target="https://replay.pokemonshowdown.com/smogtours-gen3ou-801987" TargetMode="External"/><Relationship Id="rId3244" Type="http://schemas.openxmlformats.org/officeDocument/2006/relationships/hyperlink" Target="https://replay.pokemonshowdown.com/smogtours-gen3ou-802007" TargetMode="External"/><Relationship Id="rId3247" Type="http://schemas.openxmlformats.org/officeDocument/2006/relationships/hyperlink" Target="https://replay.pokemonshowdown.com/gen3ou-2231073181" TargetMode="External"/><Relationship Id="rId3246" Type="http://schemas.openxmlformats.org/officeDocument/2006/relationships/hyperlink" Target="https://replay.pokemonshowdown.com/smogtours-gen3ou-801998" TargetMode="External"/><Relationship Id="rId1499" Type="http://schemas.openxmlformats.org/officeDocument/2006/relationships/hyperlink" Target="https://replay.pokemonshowdown.com/smogtours-gen3ou-798041" TargetMode="External"/><Relationship Id="rId668" Type="http://schemas.openxmlformats.org/officeDocument/2006/relationships/hyperlink" Target="https://replay.pokemonshowdown.com/smogtours-gen3ou-795360" TargetMode="External"/><Relationship Id="rId667" Type="http://schemas.openxmlformats.org/officeDocument/2006/relationships/hyperlink" Target="https://replay.pokemonshowdown.com/smogtours-gen3ou-795360" TargetMode="External"/><Relationship Id="rId666" Type="http://schemas.openxmlformats.org/officeDocument/2006/relationships/hyperlink" Target="https://replay.pokemonshowdown.com/smogtours-gen3ou-795293" TargetMode="External"/><Relationship Id="rId665" Type="http://schemas.openxmlformats.org/officeDocument/2006/relationships/hyperlink" Target="https://replay.pokemonshowdown.com/smogtours-gen3ou-794532" TargetMode="External"/><Relationship Id="rId669" Type="http://schemas.openxmlformats.org/officeDocument/2006/relationships/hyperlink" Target="https://replay.pokemonshowdown.com/smogtours-gen3ou-795342" TargetMode="External"/><Relationship Id="rId1490" Type="http://schemas.openxmlformats.org/officeDocument/2006/relationships/hyperlink" Target="https://replay.pokemonshowdown.com/smogtours-gen3ou-797627" TargetMode="External"/><Relationship Id="rId660" Type="http://schemas.openxmlformats.org/officeDocument/2006/relationships/hyperlink" Target="https://replay.pokemonshowdown.com/smogtours-gen3ou-795167" TargetMode="External"/><Relationship Id="rId1491" Type="http://schemas.openxmlformats.org/officeDocument/2006/relationships/hyperlink" Target="https://replay.pokemonshowdown.com/smogtours-gen3ou-797638" TargetMode="External"/><Relationship Id="rId1492" Type="http://schemas.openxmlformats.org/officeDocument/2006/relationships/hyperlink" Target="https://replay.pokemonshowdown.com/smogtours-gen3ou-797654" TargetMode="External"/><Relationship Id="rId1493" Type="http://schemas.openxmlformats.org/officeDocument/2006/relationships/hyperlink" Target="https://replay.pokemonshowdown.com/smogtours-gen3ou-797156" TargetMode="External"/><Relationship Id="rId1494" Type="http://schemas.openxmlformats.org/officeDocument/2006/relationships/hyperlink" Target="https://replay.pokemonshowdown.com/smogtours-gen3ou-797158" TargetMode="External"/><Relationship Id="rId664" Type="http://schemas.openxmlformats.org/officeDocument/2006/relationships/hyperlink" Target="https://replay.pokemonshowdown.com/smogtours-gen3ou-794077" TargetMode="External"/><Relationship Id="rId1495" Type="http://schemas.openxmlformats.org/officeDocument/2006/relationships/hyperlink" Target="https://replay.pokemonshowdown.com/smogtours-gen3ou-797160" TargetMode="External"/><Relationship Id="rId663" Type="http://schemas.openxmlformats.org/officeDocument/2006/relationships/hyperlink" Target="https://replay.pokemonshowdown.com/smogtours-gen3ou-794071" TargetMode="External"/><Relationship Id="rId1496" Type="http://schemas.openxmlformats.org/officeDocument/2006/relationships/hyperlink" Target="https://replay.pokemonshowdown.com/smogtours-gen3ou-797616?p2" TargetMode="External"/><Relationship Id="rId662" Type="http://schemas.openxmlformats.org/officeDocument/2006/relationships/hyperlink" Target="https://replay.pokemonshowdown.com/smogtours-gen3ou-794055" TargetMode="External"/><Relationship Id="rId1497" Type="http://schemas.openxmlformats.org/officeDocument/2006/relationships/hyperlink" Target="https://replay.pokemonshowdown.com/smogtours-gen3ou-797621?p2" TargetMode="External"/><Relationship Id="rId661" Type="http://schemas.openxmlformats.org/officeDocument/2006/relationships/hyperlink" Target="https://replay.pokemonshowdown.com/smogtours-gen3ou-795179" TargetMode="External"/><Relationship Id="rId1498" Type="http://schemas.openxmlformats.org/officeDocument/2006/relationships/hyperlink" Target="https://replay.pokemonshowdown.com/smogtours-gen3ou-798031" TargetMode="External"/><Relationship Id="rId1488" Type="http://schemas.openxmlformats.org/officeDocument/2006/relationships/hyperlink" Target="https://replay.pokemonshowdown.com/smogtours-gen3ou-798145" TargetMode="External"/><Relationship Id="rId1489" Type="http://schemas.openxmlformats.org/officeDocument/2006/relationships/hyperlink" Target="https://replay.pokemonshowdown.com/smogtours-gen3ou-798146" TargetMode="External"/><Relationship Id="rId657" Type="http://schemas.openxmlformats.org/officeDocument/2006/relationships/hyperlink" Target="https://replay.pokemonshowdown.com/smogtours-gen3ou-794053" TargetMode="External"/><Relationship Id="rId656" Type="http://schemas.openxmlformats.org/officeDocument/2006/relationships/hyperlink" Target="https://replay.pokemonshowdown.com/smogtours-gen3ou-794668" TargetMode="External"/><Relationship Id="rId655" Type="http://schemas.openxmlformats.org/officeDocument/2006/relationships/hyperlink" Target="https://replay.pokemonshowdown.com/smogtours-gen3ou-794652?p2" TargetMode="External"/><Relationship Id="rId654" Type="http://schemas.openxmlformats.org/officeDocument/2006/relationships/hyperlink" Target="https://replay.pokemonshowdown.com/smogtours-gen3ou-795066" TargetMode="External"/><Relationship Id="rId659" Type="http://schemas.openxmlformats.org/officeDocument/2006/relationships/hyperlink" Target="https://replay.pokemonshowdown.com/smogtours-gen3ou-795156" TargetMode="External"/><Relationship Id="rId658" Type="http://schemas.openxmlformats.org/officeDocument/2006/relationships/hyperlink" Target="https://replay.pokemonshowdown.com/smogtours-gen3ou-794061" TargetMode="External"/><Relationship Id="rId1480" Type="http://schemas.openxmlformats.org/officeDocument/2006/relationships/hyperlink" Target="https://replay.pokemonshowdown.com/smogtours-gen3ou-797629" TargetMode="External"/><Relationship Id="rId1481" Type="http://schemas.openxmlformats.org/officeDocument/2006/relationships/hyperlink" Target="https://replay.pokemonshowdown.com/smogtours-gen3ou-797650" TargetMode="External"/><Relationship Id="rId1482" Type="http://schemas.openxmlformats.org/officeDocument/2006/relationships/hyperlink" Target="https://replay.pokemonshowdown.com/smogtours-gen3ou-797663" TargetMode="External"/><Relationship Id="rId1483" Type="http://schemas.openxmlformats.org/officeDocument/2006/relationships/hyperlink" Target="https://replay.pokemonshowdown.com/smogtours-gen3ou-798021" TargetMode="External"/><Relationship Id="rId653" Type="http://schemas.openxmlformats.org/officeDocument/2006/relationships/hyperlink" Target="https://replay.pokemonshowdown.com/smogtours-gen3ou-795072" TargetMode="External"/><Relationship Id="rId1484" Type="http://schemas.openxmlformats.org/officeDocument/2006/relationships/hyperlink" Target="https://replay.pokemonshowdown.com/smogtours-gen3ou-798026" TargetMode="External"/><Relationship Id="rId652" Type="http://schemas.openxmlformats.org/officeDocument/2006/relationships/hyperlink" Target="https://replay.pokemonshowdown.com/smogtours-gen3ou-795083" TargetMode="External"/><Relationship Id="rId1485" Type="http://schemas.openxmlformats.org/officeDocument/2006/relationships/hyperlink" Target="https://replay.pokemonshowdown.com/smogtours-gen3ou-798032" TargetMode="External"/><Relationship Id="rId651" Type="http://schemas.openxmlformats.org/officeDocument/2006/relationships/hyperlink" Target="https://replay.pokemonshowdown.com/smogtours-gen3ou-794595" TargetMode="External"/><Relationship Id="rId1486" Type="http://schemas.openxmlformats.org/officeDocument/2006/relationships/hyperlink" Target="https://replay.pokemonshowdown.com/smogtours-gen3ou-798040" TargetMode="External"/><Relationship Id="rId650" Type="http://schemas.openxmlformats.org/officeDocument/2006/relationships/hyperlink" Target="https://replay.pokemonshowdown.com/smogtours-gen3ou-794586" TargetMode="External"/><Relationship Id="rId1487" Type="http://schemas.openxmlformats.org/officeDocument/2006/relationships/hyperlink" Target="https://replay.pokemonshowdown.com/smogtours-gen3ou-798044" TargetMode="External"/><Relationship Id="rId3216" Type="http://schemas.openxmlformats.org/officeDocument/2006/relationships/hyperlink" Target="https://replay.pokemonshowdown.com/smogtours-gen3ou-801861" TargetMode="External"/><Relationship Id="rId3215" Type="http://schemas.openxmlformats.org/officeDocument/2006/relationships/hyperlink" Target="https://replay.pokemonshowdown.com/smogtours-gen3ou-801858" TargetMode="External"/><Relationship Id="rId3218" Type="http://schemas.openxmlformats.org/officeDocument/2006/relationships/hyperlink" Target="https://replay.pokemonshowdown.com/smogtours-gen3ou-801960" TargetMode="External"/><Relationship Id="rId3217" Type="http://schemas.openxmlformats.org/officeDocument/2006/relationships/hyperlink" Target="https://replay.pokemonshowdown.com/smogtours-gen3ou-801954" TargetMode="External"/><Relationship Id="rId3219" Type="http://schemas.openxmlformats.org/officeDocument/2006/relationships/hyperlink" Target="https://replay.pokemonshowdown.com/smogtours-gen3ou-801962" TargetMode="External"/><Relationship Id="rId689" Type="http://schemas.openxmlformats.org/officeDocument/2006/relationships/hyperlink" Target="https://replay.pokemonshowdown.com/smogtours-gen3ou-795398" TargetMode="External"/><Relationship Id="rId688" Type="http://schemas.openxmlformats.org/officeDocument/2006/relationships/hyperlink" Target="https://replay.pokemonshowdown.com/smogtours-gen3ou-795395" TargetMode="External"/><Relationship Id="rId687" Type="http://schemas.openxmlformats.org/officeDocument/2006/relationships/hyperlink" Target="https://replay.pokemonshowdown.com/smogtours-gen3ou-795392" TargetMode="External"/><Relationship Id="rId682" Type="http://schemas.openxmlformats.org/officeDocument/2006/relationships/hyperlink" Target="https://replay.pokemonshowdown.com/smogtours-gen3ou-795055" TargetMode="External"/><Relationship Id="rId681" Type="http://schemas.openxmlformats.org/officeDocument/2006/relationships/hyperlink" Target="https://replay.pokemonshowdown.com/smogtours-gen3ou-795041" TargetMode="External"/><Relationship Id="rId680" Type="http://schemas.openxmlformats.org/officeDocument/2006/relationships/hyperlink" Target="https://replay.pokemonshowdown.com/gen3ou-2216729131" TargetMode="External"/><Relationship Id="rId3210" Type="http://schemas.openxmlformats.org/officeDocument/2006/relationships/hyperlink" Target="https://replay.pokemonshowdown.com/smogtours-gen3ou-801945" TargetMode="External"/><Relationship Id="rId686" Type="http://schemas.openxmlformats.org/officeDocument/2006/relationships/hyperlink" Target="https://replay.pokemonshowdown.com/smogtours-gen3ou-795389" TargetMode="External"/><Relationship Id="rId3212" Type="http://schemas.openxmlformats.org/officeDocument/2006/relationships/hyperlink" Target="https://replay.pokemonshowdown.com/smogtours-gen3ou-801892" TargetMode="External"/><Relationship Id="rId685" Type="http://schemas.openxmlformats.org/officeDocument/2006/relationships/hyperlink" Target="https://replay.pokemonshowdown.com/smogtours-gen3ou-795387" TargetMode="External"/><Relationship Id="rId3211" Type="http://schemas.openxmlformats.org/officeDocument/2006/relationships/hyperlink" Target="https://replay.pokemonshowdown.com/smogtours-gen3ou-801955" TargetMode="External"/><Relationship Id="rId684" Type="http://schemas.openxmlformats.org/officeDocument/2006/relationships/hyperlink" Target="https://replay.pokemonshowdown.com/smogtours-gen3ou-795266" TargetMode="External"/><Relationship Id="rId3214" Type="http://schemas.openxmlformats.org/officeDocument/2006/relationships/hyperlink" Target="https://replay.pokemonshowdown.com/smogtours-gen3ou-801927" TargetMode="External"/><Relationship Id="rId683" Type="http://schemas.openxmlformats.org/officeDocument/2006/relationships/hyperlink" Target="https://replay.pokemonshowdown.com/smogtours-gen3ou-795261" TargetMode="External"/><Relationship Id="rId3213" Type="http://schemas.openxmlformats.org/officeDocument/2006/relationships/hyperlink" Target="https://replay.pokemonshowdown.com/smogtours-gen3ou-801920" TargetMode="External"/><Relationship Id="rId3205" Type="http://schemas.openxmlformats.org/officeDocument/2006/relationships/hyperlink" Target="https://replay.pokemonshowdown.com/smogtours-gen3ou-801929" TargetMode="External"/><Relationship Id="rId3204" Type="http://schemas.openxmlformats.org/officeDocument/2006/relationships/hyperlink" Target="https://replay.pokemonshowdown.com/smogtours-gen3ou-801921" TargetMode="External"/><Relationship Id="rId3207" Type="http://schemas.openxmlformats.org/officeDocument/2006/relationships/hyperlink" Target="https://replay.pokemonshowdown.com/smogtours-gen3ou-801785" TargetMode="External"/><Relationship Id="rId3206" Type="http://schemas.openxmlformats.org/officeDocument/2006/relationships/hyperlink" Target="https://replay.pokemonshowdown.com/smogtours-gen3ou-801784" TargetMode="External"/><Relationship Id="rId3209" Type="http://schemas.openxmlformats.org/officeDocument/2006/relationships/hyperlink" Target="https://replay.pokemonshowdown.com/smogtours-gen3ou-801941" TargetMode="External"/><Relationship Id="rId3208" Type="http://schemas.openxmlformats.org/officeDocument/2006/relationships/hyperlink" Target="https://replay.pokemonshowdown.com/smogtours-gen3ou-801786" TargetMode="External"/><Relationship Id="rId679" Type="http://schemas.openxmlformats.org/officeDocument/2006/relationships/hyperlink" Target="https://replay.pokemonshowdown.com/gen3ou-2216723295" TargetMode="External"/><Relationship Id="rId678" Type="http://schemas.openxmlformats.org/officeDocument/2006/relationships/hyperlink" Target="https://replay.pokemonshowdown.com/gen3ou-2216622294" TargetMode="External"/><Relationship Id="rId677" Type="http://schemas.openxmlformats.org/officeDocument/2006/relationships/hyperlink" Target="https://replay.pokemonshowdown.com/gen3ou-2216618442" TargetMode="External"/><Relationship Id="rId676" Type="http://schemas.openxmlformats.org/officeDocument/2006/relationships/hyperlink" Target="https://replay.pokemonshowdown.com/gen3ou-2216625981" TargetMode="External"/><Relationship Id="rId671" Type="http://schemas.openxmlformats.org/officeDocument/2006/relationships/hyperlink" Target="https://replay.pokemonshowdown.com/smogtours-gen3ou-795290" TargetMode="External"/><Relationship Id="rId670" Type="http://schemas.openxmlformats.org/officeDocument/2006/relationships/hyperlink" Target="https://replay.pokemonshowdown.com/smogtours-gen3ou-795366" TargetMode="External"/><Relationship Id="rId675" Type="http://schemas.openxmlformats.org/officeDocument/2006/relationships/hyperlink" Target="https://replay.pokemonshowdown.com/smogtours-gen3ou-795131" TargetMode="External"/><Relationship Id="rId3201" Type="http://schemas.openxmlformats.org/officeDocument/2006/relationships/hyperlink" Target="https://replay.pokemonshowdown.com/smogtours-gen3ou-801937" TargetMode="External"/><Relationship Id="rId674" Type="http://schemas.openxmlformats.org/officeDocument/2006/relationships/hyperlink" Target="https://replay.pokemonshowdown.com/smogtours-gen3ou-795109" TargetMode="External"/><Relationship Id="rId3200" Type="http://schemas.openxmlformats.org/officeDocument/2006/relationships/hyperlink" Target="https://replay.pokemonshowdown.com/smogtours-gen3ou-801935" TargetMode="External"/><Relationship Id="rId673" Type="http://schemas.openxmlformats.org/officeDocument/2006/relationships/hyperlink" Target="https://replay.pokemonshowdown.com/smogtours-gen3ou-795213" TargetMode="External"/><Relationship Id="rId3203" Type="http://schemas.openxmlformats.org/officeDocument/2006/relationships/hyperlink" Target="https://replay.pokemonshowdown.com/smogtours-gen3ou-801904" TargetMode="External"/><Relationship Id="rId672" Type="http://schemas.openxmlformats.org/officeDocument/2006/relationships/hyperlink" Target="https://replay.pokemonshowdown.com/smogtours-gen3ou-795303" TargetMode="External"/><Relationship Id="rId3202" Type="http://schemas.openxmlformats.org/officeDocument/2006/relationships/hyperlink" Target="https://replay.pokemonshowdown.com/smogtours-gen3ou-801942" TargetMode="External"/><Relationship Id="rId190" Type="http://schemas.openxmlformats.org/officeDocument/2006/relationships/hyperlink" Target="https://replay.pokemonshowdown.com/smogtours-gen3ou-794276" TargetMode="External"/><Relationship Id="rId194" Type="http://schemas.openxmlformats.org/officeDocument/2006/relationships/hyperlink" Target="https://replay.pokemonshowdown.com/smogtours-gen3ou-794256" TargetMode="External"/><Relationship Id="rId193" Type="http://schemas.openxmlformats.org/officeDocument/2006/relationships/hyperlink" Target="https://replay.pokemonshowdown.com/smogtours-gen3ou-794248" TargetMode="External"/><Relationship Id="rId192" Type="http://schemas.openxmlformats.org/officeDocument/2006/relationships/hyperlink" Target="https://replay.pokemonshowdown.com/smogtours-gen3ou-794241" TargetMode="External"/><Relationship Id="rId191" Type="http://schemas.openxmlformats.org/officeDocument/2006/relationships/hyperlink" Target="https://replay.pokemonshowdown.com/smogtours-gen3ou-794278" TargetMode="External"/><Relationship Id="rId187" Type="http://schemas.openxmlformats.org/officeDocument/2006/relationships/hyperlink" Target="https://replay.pokemonshowdown.com/smogtours-gen3ou-794212" TargetMode="External"/><Relationship Id="rId186" Type="http://schemas.openxmlformats.org/officeDocument/2006/relationships/hyperlink" Target="https://replay.pokemonshowdown.com/smogtours-gen3ou-793954" TargetMode="External"/><Relationship Id="rId185" Type="http://schemas.openxmlformats.org/officeDocument/2006/relationships/hyperlink" Target="https://replay.pokemonshowdown.com/smogtours-gen3ou-793952" TargetMode="External"/><Relationship Id="rId184" Type="http://schemas.openxmlformats.org/officeDocument/2006/relationships/hyperlink" Target="https://replay.pokemonshowdown.com/smogtours-gen3ou-793951" TargetMode="External"/><Relationship Id="rId189" Type="http://schemas.openxmlformats.org/officeDocument/2006/relationships/hyperlink" Target="https://replay.pokemonshowdown.com/smogtours-gen3ou-794272" TargetMode="External"/><Relationship Id="rId188" Type="http://schemas.openxmlformats.org/officeDocument/2006/relationships/hyperlink" Target="https://replay.pokemonshowdown.com/smogtours-gen3ou-794213" TargetMode="External"/><Relationship Id="rId183" Type="http://schemas.openxmlformats.org/officeDocument/2006/relationships/hyperlink" Target="https://replay.pokemonshowdown.com/smogtours-gen3ou-794120" TargetMode="External"/><Relationship Id="rId182" Type="http://schemas.openxmlformats.org/officeDocument/2006/relationships/hyperlink" Target="https://replay.pokemonshowdown.com/smogtours-gen3ou-794124" TargetMode="External"/><Relationship Id="rId181" Type="http://schemas.openxmlformats.org/officeDocument/2006/relationships/hyperlink" Target="https://replay.pokemonshowdown.com/gen3ou-2215107708-o3ezr5r6686srvi8gvh31wzrwrcosltpw" TargetMode="External"/><Relationship Id="rId180" Type="http://schemas.openxmlformats.org/officeDocument/2006/relationships/hyperlink" Target="https://replay.pokemonshowdown.com/gen3ou-2215102008-mmlsxw3cuo2rwcjgcjtnbsqq7p779btpw" TargetMode="External"/><Relationship Id="rId176" Type="http://schemas.openxmlformats.org/officeDocument/2006/relationships/hyperlink" Target="https://replay.pokemonshowdown.com/smogtours-gen3ou-794031" TargetMode="External"/><Relationship Id="rId175" Type="http://schemas.openxmlformats.org/officeDocument/2006/relationships/hyperlink" Target="https://replay.pokemonshowdown.com/smogtours-gen3ou-794029" TargetMode="External"/><Relationship Id="rId174" Type="http://schemas.openxmlformats.org/officeDocument/2006/relationships/hyperlink" Target="https://replay.pokemonshowdown.com/smogtours-gen3ou-793841" TargetMode="External"/><Relationship Id="rId173" Type="http://schemas.openxmlformats.org/officeDocument/2006/relationships/hyperlink" Target="https://replay.pokemonshowdown.com/smogtours-gen3ou-793847" TargetMode="External"/><Relationship Id="rId179" Type="http://schemas.openxmlformats.org/officeDocument/2006/relationships/hyperlink" Target="https://replay.pokemonshowdown.com/smogtours-gen3ou-794011" TargetMode="External"/><Relationship Id="rId178" Type="http://schemas.openxmlformats.org/officeDocument/2006/relationships/hyperlink" Target="https://replay.pokemonshowdown.com/smogtours-gen3ou-794004" TargetMode="External"/><Relationship Id="rId177" Type="http://schemas.openxmlformats.org/officeDocument/2006/relationships/hyperlink" Target="https://replay.pokemonshowdown.com/smogtours-gen3ou-794033" TargetMode="External"/><Relationship Id="rId198" Type="http://schemas.openxmlformats.org/officeDocument/2006/relationships/hyperlink" Target="https://replay.pokemonshowdown.com/smogtours-gen3ou-794350" TargetMode="External"/><Relationship Id="rId197" Type="http://schemas.openxmlformats.org/officeDocument/2006/relationships/hyperlink" Target="https://replay.pokemonshowdown.com/smogtours-gen3ou-793875" TargetMode="External"/><Relationship Id="rId196" Type="http://schemas.openxmlformats.org/officeDocument/2006/relationships/hyperlink" Target="https://replay.pokemonshowdown.com/smogtours-gen3ou-793873" TargetMode="External"/><Relationship Id="rId195" Type="http://schemas.openxmlformats.org/officeDocument/2006/relationships/hyperlink" Target="https://replay.pokemonshowdown.com/smogtours-gen3ou-793870" TargetMode="External"/><Relationship Id="rId199" Type="http://schemas.openxmlformats.org/officeDocument/2006/relationships/hyperlink" Target="https://replay.pokemonshowdown.com/smogtours-gen3ou-794355" TargetMode="External"/><Relationship Id="rId150" Type="http://schemas.openxmlformats.org/officeDocument/2006/relationships/hyperlink" Target="https://replay.pokemonshowdown.com/smogtours-gen3ou-793865" TargetMode="External"/><Relationship Id="rId149" Type="http://schemas.openxmlformats.org/officeDocument/2006/relationships/hyperlink" Target="https://replay.pokemonshowdown.com/smogtours-gen3ou-794113" TargetMode="External"/><Relationship Id="rId148" Type="http://schemas.openxmlformats.org/officeDocument/2006/relationships/hyperlink" Target="https://replay.pokemonshowdown.com/smogtours-gen3ou-794107" TargetMode="External"/><Relationship Id="rId3270" Type="http://schemas.openxmlformats.org/officeDocument/2006/relationships/hyperlink" Target="https://replay.pokemonshowdown.com/smogtours-gen3ou-802574" TargetMode="External"/><Relationship Id="rId3272" Type="http://schemas.openxmlformats.org/officeDocument/2006/relationships/hyperlink" Target="https://replay.pokemonshowdown.com/smogtours-gen3ou-802656" TargetMode="External"/><Relationship Id="rId3271" Type="http://schemas.openxmlformats.org/officeDocument/2006/relationships/hyperlink" Target="https://replay.pokemonshowdown.com/smogtours-gen3ou-802580" TargetMode="External"/><Relationship Id="rId143" Type="http://schemas.openxmlformats.org/officeDocument/2006/relationships/hyperlink" Target="https://replay.pokemonshowdown.com/smogtours-gen3ou-794080?p2" TargetMode="External"/><Relationship Id="rId3274" Type="http://schemas.openxmlformats.org/officeDocument/2006/relationships/hyperlink" Target="https://replay.pokemonshowdown.com/smogtours-gen3ou-802677" TargetMode="External"/><Relationship Id="rId142" Type="http://schemas.openxmlformats.org/officeDocument/2006/relationships/hyperlink" Target="https://replay.pokemonshowdown.com/smogtours-gen3ou-794179" TargetMode="External"/><Relationship Id="rId3273" Type="http://schemas.openxmlformats.org/officeDocument/2006/relationships/hyperlink" Target="https://replay.pokemonshowdown.com/smogtours-gen3ou-802667" TargetMode="External"/><Relationship Id="rId141" Type="http://schemas.openxmlformats.org/officeDocument/2006/relationships/hyperlink" Target="https://replay.pokemonshowdown.com/smogtours-gen3ou-794184" TargetMode="External"/><Relationship Id="rId3276" Type="http://schemas.openxmlformats.org/officeDocument/2006/relationships/hyperlink" Target="https://replay.pokemonshowdown.com/smogtours-gen3ou-802487" TargetMode="External"/><Relationship Id="rId140" Type="http://schemas.openxmlformats.org/officeDocument/2006/relationships/hyperlink" Target="https://replay.pokemonshowdown.com/smogtours-gen3ou-794180" TargetMode="External"/><Relationship Id="rId3275" Type="http://schemas.openxmlformats.org/officeDocument/2006/relationships/hyperlink" Target="https://replay.pokemonshowdown.com/smogtours-gen3ou-802484" TargetMode="External"/><Relationship Id="rId147" Type="http://schemas.openxmlformats.org/officeDocument/2006/relationships/hyperlink" Target="https://replay.pokemonshowdown.com/smogtours-gen3ou-794099" TargetMode="External"/><Relationship Id="rId3278" Type="http://schemas.openxmlformats.org/officeDocument/2006/relationships/hyperlink" Target="https://replay.pokemonshowdown.com/smogtours-gen3ou-802674" TargetMode="External"/><Relationship Id="rId146" Type="http://schemas.openxmlformats.org/officeDocument/2006/relationships/hyperlink" Target="https://replay.pokemonshowdown.com/smogtours-gen3ou-793833" TargetMode="External"/><Relationship Id="rId3277" Type="http://schemas.openxmlformats.org/officeDocument/2006/relationships/hyperlink" Target="https://replay.pokemonshowdown.com/smogtours-gen3ou-802665" TargetMode="External"/><Relationship Id="rId145" Type="http://schemas.openxmlformats.org/officeDocument/2006/relationships/hyperlink" Target="https://replay.pokemonshowdown.com/smogtours-gen3ou-793832" TargetMode="External"/><Relationship Id="rId144" Type="http://schemas.openxmlformats.org/officeDocument/2006/relationships/hyperlink" Target="https://replay.pokemonshowdown.com/smogtours-gen3ou-794094?p2" TargetMode="External"/><Relationship Id="rId3279" Type="http://schemas.openxmlformats.org/officeDocument/2006/relationships/hyperlink" Target="https://replay.pokemonshowdown.com/smogtours-gen3ou-802681" TargetMode="External"/><Relationship Id="rId139" Type="http://schemas.openxmlformats.org/officeDocument/2006/relationships/hyperlink" Target="https://replay.pokemonshowdown.com/smogtours-gen3ou-794020" TargetMode="External"/><Relationship Id="rId138" Type="http://schemas.openxmlformats.org/officeDocument/2006/relationships/hyperlink" Target="https://replay.pokemonshowdown.com/smogtours-gen3ou-794018" TargetMode="External"/><Relationship Id="rId137" Type="http://schemas.openxmlformats.org/officeDocument/2006/relationships/hyperlink" Target="https://replay.pokemonshowdown.com/smogtours-gen3ou-793789" TargetMode="External"/><Relationship Id="rId3261" Type="http://schemas.openxmlformats.org/officeDocument/2006/relationships/hyperlink" Target="https://replay.pokemonshowdown.com/smogtours-gen3ou-802052" TargetMode="External"/><Relationship Id="rId3260" Type="http://schemas.openxmlformats.org/officeDocument/2006/relationships/hyperlink" Target="https://replay.pokemonshowdown.com/smogtours-gen3ou-802050" TargetMode="External"/><Relationship Id="rId132" Type="http://schemas.openxmlformats.org/officeDocument/2006/relationships/hyperlink" Target="https://replay.pokemonshowdown.com/smogtours-gen3ou-794140" TargetMode="External"/><Relationship Id="rId3263" Type="http://schemas.openxmlformats.org/officeDocument/2006/relationships/hyperlink" Target="https://replay.pokemonshowdown.com/smogtours-gen3ou-802539" TargetMode="External"/><Relationship Id="rId131" Type="http://schemas.openxmlformats.org/officeDocument/2006/relationships/hyperlink" Target="https://replay.pokemonshowdown.com/smogtours-gen3ou-794134" TargetMode="External"/><Relationship Id="rId3262" Type="http://schemas.openxmlformats.org/officeDocument/2006/relationships/hyperlink" Target="https://replay.pokemonshowdown.com/smogtours-gen3ou-802534" TargetMode="External"/><Relationship Id="rId130" Type="http://schemas.openxmlformats.org/officeDocument/2006/relationships/hyperlink" Target="https://replay.pokemonshowdown.com/smogtours-gen3ou-794109?p2" TargetMode="External"/><Relationship Id="rId3265" Type="http://schemas.openxmlformats.org/officeDocument/2006/relationships/hyperlink" Target="https://replay.pokemonshowdown.com/smogtours-gen3ou-802854" TargetMode="External"/><Relationship Id="rId3264" Type="http://schemas.openxmlformats.org/officeDocument/2006/relationships/hyperlink" Target="https://replay.pokemonshowdown.com/smogtours-gen3ou-802813" TargetMode="External"/><Relationship Id="rId136" Type="http://schemas.openxmlformats.org/officeDocument/2006/relationships/hyperlink" Target="https://replay.pokemonshowdown.com/smogtours-gen3ou-793785" TargetMode="External"/><Relationship Id="rId3267" Type="http://schemas.openxmlformats.org/officeDocument/2006/relationships/hyperlink" Target="https://replay.pokemonshowdown.com/smogtours-gen3ou-802572" TargetMode="External"/><Relationship Id="rId135" Type="http://schemas.openxmlformats.org/officeDocument/2006/relationships/hyperlink" Target="https://replay.pokemonshowdown.com/smogtours-gen3ou-793779" TargetMode="External"/><Relationship Id="rId3266" Type="http://schemas.openxmlformats.org/officeDocument/2006/relationships/hyperlink" Target="https://replay.pokemonshowdown.com/smogtours-gen3ou-802557" TargetMode="External"/><Relationship Id="rId134" Type="http://schemas.openxmlformats.org/officeDocument/2006/relationships/hyperlink" Target="https://replay.pokemonshowdown.com/smogtours-gen3ou-793859?p2" TargetMode="External"/><Relationship Id="rId3269" Type="http://schemas.openxmlformats.org/officeDocument/2006/relationships/hyperlink" Target="https://replay.pokemonshowdown.com/smogtours-gen3ou-802565" TargetMode="External"/><Relationship Id="rId133" Type="http://schemas.openxmlformats.org/officeDocument/2006/relationships/hyperlink" Target="https://replay.pokemonshowdown.com/smogtours-gen3ou-793858" TargetMode="External"/><Relationship Id="rId3268" Type="http://schemas.openxmlformats.org/officeDocument/2006/relationships/hyperlink" Target="https://replay.pokemonshowdown.com/smogtours-gen3ou-802577" TargetMode="External"/><Relationship Id="rId172" Type="http://schemas.openxmlformats.org/officeDocument/2006/relationships/hyperlink" Target="https://replay.pokemonshowdown.com/smogtours-gen3ou-794019" TargetMode="External"/><Relationship Id="rId171" Type="http://schemas.openxmlformats.org/officeDocument/2006/relationships/hyperlink" Target="https://replay.pokemonshowdown.com/smogtours-gen3ou-794017" TargetMode="External"/><Relationship Id="rId170" Type="http://schemas.openxmlformats.org/officeDocument/2006/relationships/hyperlink" Target="https://replay.pokemonshowdown.com/smogtours-gen3ou-794005" TargetMode="External"/><Relationship Id="rId3290" Type="http://schemas.openxmlformats.org/officeDocument/2006/relationships/hyperlink" Target="https://replay.pokemonshowdown.com/smogtours-gen3ou-803052" TargetMode="External"/><Relationship Id="rId3292" Type="http://schemas.openxmlformats.org/officeDocument/2006/relationships/hyperlink" Target="https://replay.pokemonshowdown.com/smogtours-gen3ou-803128" TargetMode="External"/><Relationship Id="rId3291" Type="http://schemas.openxmlformats.org/officeDocument/2006/relationships/hyperlink" Target="https://replay.pokemonshowdown.com/smogtours-gen3ou-803126" TargetMode="External"/><Relationship Id="rId3294" Type="http://schemas.openxmlformats.org/officeDocument/2006/relationships/hyperlink" Target="https://replay.pokemonshowdown.com/smogtours-gen3ou-803109" TargetMode="External"/><Relationship Id="rId3293" Type="http://schemas.openxmlformats.org/officeDocument/2006/relationships/hyperlink" Target="https://replay.pokemonshowdown.com/smogtours-gen3ou-803130" TargetMode="External"/><Relationship Id="rId165" Type="http://schemas.openxmlformats.org/officeDocument/2006/relationships/hyperlink" Target="https://replay.pokemonshowdown.com/smogtours-gen3ou-793947" TargetMode="External"/><Relationship Id="rId3296" Type="http://schemas.openxmlformats.org/officeDocument/2006/relationships/hyperlink" Target="https://replay.pokemonshowdown.com/smogtours-gen3ou-803118" TargetMode="External"/><Relationship Id="rId164" Type="http://schemas.openxmlformats.org/officeDocument/2006/relationships/hyperlink" Target="https://replay.pokemonshowdown.com/smogtours-gen3ou-793989" TargetMode="External"/><Relationship Id="rId3295" Type="http://schemas.openxmlformats.org/officeDocument/2006/relationships/hyperlink" Target="https://replay.pokemonshowdown.com/smogtours-gen3ou-803115" TargetMode="External"/><Relationship Id="rId163" Type="http://schemas.openxmlformats.org/officeDocument/2006/relationships/hyperlink" Target="https://replay.pokemonshowdown.com/smogtours-gen3ou-793984" TargetMode="External"/><Relationship Id="rId3298" Type="http://schemas.openxmlformats.org/officeDocument/2006/relationships/hyperlink" Target="https://replay.pokemonshowdown.com/smogtours-gen3ou-803134" TargetMode="External"/><Relationship Id="rId162" Type="http://schemas.openxmlformats.org/officeDocument/2006/relationships/hyperlink" Target="https://replay.pokemonshowdown.com/smogtours-gen3ou-793945" TargetMode="External"/><Relationship Id="rId3297" Type="http://schemas.openxmlformats.org/officeDocument/2006/relationships/hyperlink" Target="https://replay.pokemonshowdown.com/smogtours-gen3ou-803129" TargetMode="External"/><Relationship Id="rId169" Type="http://schemas.openxmlformats.org/officeDocument/2006/relationships/hyperlink" Target="https://replay.pokemonshowdown.com/smogtours-gen3ou-794165" TargetMode="External"/><Relationship Id="rId168" Type="http://schemas.openxmlformats.org/officeDocument/2006/relationships/hyperlink" Target="https://replay.pokemonshowdown.com/smogtours-gen3ou-794162" TargetMode="External"/><Relationship Id="rId3299" Type="http://schemas.openxmlformats.org/officeDocument/2006/relationships/hyperlink" Target="https://replay.pokemonshowdown.com/smogtours-gen3ou-803162" TargetMode="External"/><Relationship Id="rId167" Type="http://schemas.openxmlformats.org/officeDocument/2006/relationships/hyperlink" Target="https://replay.pokemonshowdown.com/smogtours-gen3ou-794159" TargetMode="External"/><Relationship Id="rId166" Type="http://schemas.openxmlformats.org/officeDocument/2006/relationships/hyperlink" Target="https://replay.pokemonshowdown.com/smogtours-gen3ou-793949" TargetMode="External"/><Relationship Id="rId161" Type="http://schemas.openxmlformats.org/officeDocument/2006/relationships/hyperlink" Target="https://replay.pokemonshowdown.com/smogtours-gen3ou-793941" TargetMode="External"/><Relationship Id="rId160" Type="http://schemas.openxmlformats.org/officeDocument/2006/relationships/hyperlink" Target="https://replay.pokemonshowdown.com/smogtours-gen3ou-794069" TargetMode="External"/><Relationship Id="rId159" Type="http://schemas.openxmlformats.org/officeDocument/2006/relationships/hyperlink" Target="https://replay.pokemonshowdown.com/smogtours-gen3ou-794059" TargetMode="External"/><Relationship Id="rId3281" Type="http://schemas.openxmlformats.org/officeDocument/2006/relationships/hyperlink" Target="https://replay.pokemonshowdown.com/smogtours-gen3ou-802349" TargetMode="External"/><Relationship Id="rId3280" Type="http://schemas.openxmlformats.org/officeDocument/2006/relationships/hyperlink" Target="https://replay.pokemonshowdown.com/smogtours-gen3ou-802346" TargetMode="External"/><Relationship Id="rId3283" Type="http://schemas.openxmlformats.org/officeDocument/2006/relationships/hyperlink" Target="https://replay.pokemonshowdown.com/smogtours-gen3ou-802648" TargetMode="External"/><Relationship Id="rId3282" Type="http://schemas.openxmlformats.org/officeDocument/2006/relationships/hyperlink" Target="https://replay.pokemonshowdown.com/smogtours-gen3ou-802627" TargetMode="External"/><Relationship Id="rId154" Type="http://schemas.openxmlformats.org/officeDocument/2006/relationships/hyperlink" Target="https://replay.pokemonshowdown.com/smogtours-gen3ou-794157" TargetMode="External"/><Relationship Id="rId3285" Type="http://schemas.openxmlformats.org/officeDocument/2006/relationships/hyperlink" Target="https://replay.pokemonshowdown.com/smogtours-gen3ou-803005" TargetMode="External"/><Relationship Id="rId153" Type="http://schemas.openxmlformats.org/officeDocument/2006/relationships/hyperlink" Target="https://replay.pokemonshowdown.com/smogtours-gen3ou-794130" TargetMode="External"/><Relationship Id="rId3284" Type="http://schemas.openxmlformats.org/officeDocument/2006/relationships/hyperlink" Target="https://replay.pokemonshowdown.com/smogtours-gen3ou-802995" TargetMode="External"/><Relationship Id="rId152" Type="http://schemas.openxmlformats.org/officeDocument/2006/relationships/hyperlink" Target="https://replay.pokemonshowdown.com/smogtours-gen3ou-794129" TargetMode="External"/><Relationship Id="rId3287" Type="http://schemas.openxmlformats.org/officeDocument/2006/relationships/hyperlink" Target="https://replay.pokemonshowdown.com/smogtours-gen3ou-802527" TargetMode="External"/><Relationship Id="rId151" Type="http://schemas.openxmlformats.org/officeDocument/2006/relationships/hyperlink" Target="https://replay.pokemonshowdown.com/smogtours-gen3ou-793871" TargetMode="External"/><Relationship Id="rId3286" Type="http://schemas.openxmlformats.org/officeDocument/2006/relationships/hyperlink" Target="https://replay.pokemonshowdown.com/smogtours-gen3ou-803012" TargetMode="External"/><Relationship Id="rId158" Type="http://schemas.openxmlformats.org/officeDocument/2006/relationships/hyperlink" Target="https://replay.pokemonshowdown.com/smogtours-gen3ou-794051" TargetMode="External"/><Relationship Id="rId3289" Type="http://schemas.openxmlformats.org/officeDocument/2006/relationships/hyperlink" Target="https://replay.pokemonshowdown.com/smogtours-gen3ou-803051" TargetMode="External"/><Relationship Id="rId157" Type="http://schemas.openxmlformats.org/officeDocument/2006/relationships/hyperlink" Target="https://replay.pokemonshowdown.com/smogtours-gen3ou-794043" TargetMode="External"/><Relationship Id="rId3288" Type="http://schemas.openxmlformats.org/officeDocument/2006/relationships/hyperlink" Target="https://replay.pokemonshowdown.com/smogtours-gen3ou-802531" TargetMode="External"/><Relationship Id="rId156" Type="http://schemas.openxmlformats.org/officeDocument/2006/relationships/hyperlink" Target="https://replay.pokemonshowdown.com/smogtours-gen3ou-794163" TargetMode="External"/><Relationship Id="rId155" Type="http://schemas.openxmlformats.org/officeDocument/2006/relationships/hyperlink" Target="https://replay.pokemonshowdown.com/smogtours-gen3ou-794160" TargetMode="External"/><Relationship Id="rId2820" Type="http://schemas.openxmlformats.org/officeDocument/2006/relationships/hyperlink" Target="https://replay.pokemonshowdown.com/smogtours-gen3ou-799364" TargetMode="External"/><Relationship Id="rId2821" Type="http://schemas.openxmlformats.org/officeDocument/2006/relationships/hyperlink" Target="https://replay.pokemonshowdown.com/smogtours-gen3ou-800111" TargetMode="External"/><Relationship Id="rId2822" Type="http://schemas.openxmlformats.org/officeDocument/2006/relationships/hyperlink" Target="https://replay.pokemonshowdown.com/smogtours-gen3ou-800117" TargetMode="External"/><Relationship Id="rId2823" Type="http://schemas.openxmlformats.org/officeDocument/2006/relationships/hyperlink" Target="https://replay.pokemonshowdown.com/smogtours-gen3ou-800128?p2" TargetMode="External"/><Relationship Id="rId2824" Type="http://schemas.openxmlformats.org/officeDocument/2006/relationships/hyperlink" Target="https://replay.pokemonshowdown.com/smogtours-gen3ou-799577" TargetMode="External"/><Relationship Id="rId2825" Type="http://schemas.openxmlformats.org/officeDocument/2006/relationships/hyperlink" Target="https://replay.pokemonshowdown.com/smogtours-gen3ou-799585" TargetMode="External"/><Relationship Id="rId2826" Type="http://schemas.openxmlformats.org/officeDocument/2006/relationships/hyperlink" Target="https://replay.pokemonshowdown.com/smogtours-gen3ou-800263" TargetMode="External"/><Relationship Id="rId2827" Type="http://schemas.openxmlformats.org/officeDocument/2006/relationships/hyperlink" Target="https://replay.pokemonshowdown.com/smogtours-gen3ou-800267" TargetMode="External"/><Relationship Id="rId2828" Type="http://schemas.openxmlformats.org/officeDocument/2006/relationships/hyperlink" Target="https://replay.pokemonshowdown.com/smogtours-gen3ou-800268" TargetMode="External"/><Relationship Id="rId2829" Type="http://schemas.openxmlformats.org/officeDocument/2006/relationships/hyperlink" Target="https://replay.pokemonshowdown.com/smogtours-gen3ou-799562" TargetMode="External"/><Relationship Id="rId2810" Type="http://schemas.openxmlformats.org/officeDocument/2006/relationships/hyperlink" Target="https://replay.pokemonshowdown.com/smogtours-gen3ou-799702" TargetMode="External"/><Relationship Id="rId2811" Type="http://schemas.openxmlformats.org/officeDocument/2006/relationships/hyperlink" Target="https://replay.pokemonshowdown.com/smogtours-gen3ou-799436" TargetMode="External"/><Relationship Id="rId2812" Type="http://schemas.openxmlformats.org/officeDocument/2006/relationships/hyperlink" Target="https://replay.pokemonshowdown.com/smogtours-gen3ou-799439" TargetMode="External"/><Relationship Id="rId2813" Type="http://schemas.openxmlformats.org/officeDocument/2006/relationships/hyperlink" Target="https://replay.pokemonshowdown.com/smogtours-gen3ou-799440" TargetMode="External"/><Relationship Id="rId2814" Type="http://schemas.openxmlformats.org/officeDocument/2006/relationships/hyperlink" Target="https://replay.pokemonshowdown.com/smogtours-gen3ou-800175" TargetMode="External"/><Relationship Id="rId2815" Type="http://schemas.openxmlformats.org/officeDocument/2006/relationships/hyperlink" Target="https://replay.pokemonshowdown.com/smogtours-gen3ou-800180" TargetMode="External"/><Relationship Id="rId2816" Type="http://schemas.openxmlformats.org/officeDocument/2006/relationships/hyperlink" Target="https://replay.pokemonshowdown.com/smogtours-gen3ou-800484" TargetMode="External"/><Relationship Id="rId2817" Type="http://schemas.openxmlformats.org/officeDocument/2006/relationships/hyperlink" Target="https://replay.pokemonshowdown.com/smogtours-gen3ou-800505" TargetMode="External"/><Relationship Id="rId2818" Type="http://schemas.openxmlformats.org/officeDocument/2006/relationships/hyperlink" Target="https://replay.pokemonshowdown.com/smogtours-gen3ou-800515" TargetMode="External"/><Relationship Id="rId2819" Type="http://schemas.openxmlformats.org/officeDocument/2006/relationships/hyperlink" Target="https://replay.pokemonshowdown.com/smogtours-gen3ou-799358" TargetMode="External"/><Relationship Id="rId1510" Type="http://schemas.openxmlformats.org/officeDocument/2006/relationships/hyperlink" Target="https://replay.pokemonshowdown.com/smogtours-gen3ou-797839" TargetMode="External"/><Relationship Id="rId2841" Type="http://schemas.openxmlformats.org/officeDocument/2006/relationships/hyperlink" Target="https://replay.pokemonshowdown.com/smogtours-gen3ou-799303" TargetMode="External"/><Relationship Id="rId1511" Type="http://schemas.openxmlformats.org/officeDocument/2006/relationships/hyperlink" Target="https://replay.pokemonshowdown.com/smogtours-gen3ou-797845" TargetMode="External"/><Relationship Id="rId2842" Type="http://schemas.openxmlformats.org/officeDocument/2006/relationships/hyperlink" Target="https://replay.pokemonshowdown.com/smogtours-gen3ou-799305" TargetMode="External"/><Relationship Id="rId1512" Type="http://schemas.openxmlformats.org/officeDocument/2006/relationships/hyperlink" Target="https://replay.pokemonshowdown.com/smogtours-gen3ou-797852" TargetMode="External"/><Relationship Id="rId2843" Type="http://schemas.openxmlformats.org/officeDocument/2006/relationships/hyperlink" Target="https://replay.pokemonshowdown.com/smogtours-gen3ou-799308" TargetMode="External"/><Relationship Id="rId1513" Type="http://schemas.openxmlformats.org/officeDocument/2006/relationships/hyperlink" Target="https://replay.pokemonshowdown.com/smogtours-gen3ou-798179" TargetMode="External"/><Relationship Id="rId2844" Type="http://schemas.openxmlformats.org/officeDocument/2006/relationships/hyperlink" Target="https://replay.pokemonshowdown.com/smogtours-gen3ou-800333" TargetMode="External"/><Relationship Id="rId1514" Type="http://schemas.openxmlformats.org/officeDocument/2006/relationships/hyperlink" Target="https://replay.pokemonshowdown.com/smogtours-gen3ou-798194" TargetMode="External"/><Relationship Id="rId2845" Type="http://schemas.openxmlformats.org/officeDocument/2006/relationships/hyperlink" Target="https://replay.pokemonshowdown.com/smogtours-gen3ou-800335" TargetMode="External"/><Relationship Id="rId1515" Type="http://schemas.openxmlformats.org/officeDocument/2006/relationships/hyperlink" Target="https://replay.pokemonshowdown.com/smogtours-gen3ou-798331" TargetMode="External"/><Relationship Id="rId2846" Type="http://schemas.openxmlformats.org/officeDocument/2006/relationships/hyperlink" Target="https://replay.pokemonshowdown.com/smogtours-gen3ou-799335" TargetMode="External"/><Relationship Id="rId1516" Type="http://schemas.openxmlformats.org/officeDocument/2006/relationships/hyperlink" Target="https://replay.pokemonshowdown.com/smogtours-gen3ou-798336" TargetMode="External"/><Relationship Id="rId2847" Type="http://schemas.openxmlformats.org/officeDocument/2006/relationships/hyperlink" Target="https://replay.pokemonshowdown.com/smogtours-gen3ou-799346" TargetMode="External"/><Relationship Id="rId1517" Type="http://schemas.openxmlformats.org/officeDocument/2006/relationships/hyperlink" Target="https://replay.pokemonshowdown.com/smogtours-gen3ou-797518" TargetMode="External"/><Relationship Id="rId2848" Type="http://schemas.openxmlformats.org/officeDocument/2006/relationships/hyperlink" Target="https://replay.pokemonshowdown.com/smogtours-gen3ou-799350" TargetMode="External"/><Relationship Id="rId1518" Type="http://schemas.openxmlformats.org/officeDocument/2006/relationships/hyperlink" Target="https://replay.pokemonshowdown.com/smogtours-gen3ou-797529" TargetMode="External"/><Relationship Id="rId2849" Type="http://schemas.openxmlformats.org/officeDocument/2006/relationships/hyperlink" Target="https://replay.pokemonshowdown.com/smogtours-gen3ou-800648" TargetMode="External"/><Relationship Id="rId1519" Type="http://schemas.openxmlformats.org/officeDocument/2006/relationships/hyperlink" Target="https://replay.pokemonshowdown.com/smogtours-gen3ou-797871" TargetMode="External"/><Relationship Id="rId2840" Type="http://schemas.openxmlformats.org/officeDocument/2006/relationships/hyperlink" Target="https://replay.pokemonshowdown.com/smogtours-gen3ou-800206" TargetMode="External"/><Relationship Id="rId2830" Type="http://schemas.openxmlformats.org/officeDocument/2006/relationships/hyperlink" Target="https://replay.pokemonshowdown.com/smogtours-gen3ou-799559?p2" TargetMode="External"/><Relationship Id="rId1500" Type="http://schemas.openxmlformats.org/officeDocument/2006/relationships/hyperlink" Target="https://replay.pokemonshowdown.com/smogtours-gen3ou-797238" TargetMode="External"/><Relationship Id="rId2831" Type="http://schemas.openxmlformats.org/officeDocument/2006/relationships/hyperlink" Target="https://replay.pokemonshowdown.com/smogtours-gen3ou-800347" TargetMode="External"/><Relationship Id="rId1501" Type="http://schemas.openxmlformats.org/officeDocument/2006/relationships/hyperlink" Target="https://replay.pokemonshowdown.com/smogtours-gen3ou-797239" TargetMode="External"/><Relationship Id="rId2832" Type="http://schemas.openxmlformats.org/officeDocument/2006/relationships/hyperlink" Target="https://replay.pokemonshowdown.com/smogtours-gen3ou-800354" TargetMode="External"/><Relationship Id="rId1502" Type="http://schemas.openxmlformats.org/officeDocument/2006/relationships/hyperlink" Target="https://replay.pokemonshowdown.com/smogtours-gen3ou-797240" TargetMode="External"/><Relationship Id="rId2833" Type="http://schemas.openxmlformats.org/officeDocument/2006/relationships/hyperlink" Target="https://replay.pokemonshowdown.com/smogtours-gen3ou-800359" TargetMode="External"/><Relationship Id="rId1503" Type="http://schemas.openxmlformats.org/officeDocument/2006/relationships/hyperlink" Target="https://replay.pokemonshowdown.com/smogtours-gen3ou-797507" TargetMode="External"/><Relationship Id="rId2834" Type="http://schemas.openxmlformats.org/officeDocument/2006/relationships/hyperlink" Target="https://replay.pokemonshowdown.com/gen3ou-2226585147-r99s9a4fq600igcthicq3tn5zz77oz8pw" TargetMode="External"/><Relationship Id="rId1504" Type="http://schemas.openxmlformats.org/officeDocument/2006/relationships/hyperlink" Target="https://replay.pokemonshowdown.com/smogtours-gen3ou-797521" TargetMode="External"/><Relationship Id="rId2835" Type="http://schemas.openxmlformats.org/officeDocument/2006/relationships/hyperlink" Target="https://replay.pokemonshowdown.com/gen3ou-2226590819-32a6jv0ljmv7fn4kyinv7088yt6fqcypw" TargetMode="External"/><Relationship Id="rId1505" Type="http://schemas.openxmlformats.org/officeDocument/2006/relationships/hyperlink" Target="https://replay.pokemonshowdown.com/smogtours-gen3ou-797196" TargetMode="External"/><Relationship Id="rId2836" Type="http://schemas.openxmlformats.org/officeDocument/2006/relationships/hyperlink" Target="https://replay.pokemonshowdown.com/smogtours-gen3ou-799625" TargetMode="External"/><Relationship Id="rId1506" Type="http://schemas.openxmlformats.org/officeDocument/2006/relationships/hyperlink" Target="https://replay.pokemonshowdown.com/smogtours-gen3ou-797199" TargetMode="External"/><Relationship Id="rId2837" Type="http://schemas.openxmlformats.org/officeDocument/2006/relationships/hyperlink" Target="https://replay.pokemonshowdown.com/smogtours-gen3ou-799631" TargetMode="External"/><Relationship Id="rId1507" Type="http://schemas.openxmlformats.org/officeDocument/2006/relationships/hyperlink" Target="https://replay.pokemonshowdown.com/smogtours-gen3ou-797368" TargetMode="External"/><Relationship Id="rId2838" Type="http://schemas.openxmlformats.org/officeDocument/2006/relationships/hyperlink" Target="https://replay.pokemonshowdown.com/smogtours-gen3ou-800198" TargetMode="External"/><Relationship Id="rId1508" Type="http://schemas.openxmlformats.org/officeDocument/2006/relationships/hyperlink" Target="https://replay.pokemonshowdown.com/smogtours-gen3ou-797373" TargetMode="External"/><Relationship Id="rId2839" Type="http://schemas.openxmlformats.org/officeDocument/2006/relationships/hyperlink" Target="https://replay.pokemonshowdown.com/smogtours-gen3ou-800204" TargetMode="External"/><Relationship Id="rId1509" Type="http://schemas.openxmlformats.org/officeDocument/2006/relationships/hyperlink" Target="https://replay.pokemonshowdown.com/smogtours-gen3ou-797376" TargetMode="External"/><Relationship Id="rId2800" Type="http://schemas.openxmlformats.org/officeDocument/2006/relationships/hyperlink" Target="https://replay.pokemonshowdown.com/smogtours-gen3ou-799433" TargetMode="External"/><Relationship Id="rId2801" Type="http://schemas.openxmlformats.org/officeDocument/2006/relationships/hyperlink" Target="https://replay.pokemonshowdown.com/smogtours-gen3ou-799435" TargetMode="External"/><Relationship Id="rId2802" Type="http://schemas.openxmlformats.org/officeDocument/2006/relationships/hyperlink" Target="https://replay.pokemonshowdown.com/smogtours-gen3ou-799437" TargetMode="External"/><Relationship Id="rId2803" Type="http://schemas.openxmlformats.org/officeDocument/2006/relationships/hyperlink" Target="https://replay.pokemonshowdown.com/smogtours-gen3ou-799656" TargetMode="External"/><Relationship Id="rId2804" Type="http://schemas.openxmlformats.org/officeDocument/2006/relationships/hyperlink" Target="https://replay.pokemonshowdown.com/smogtours-gen3ou-799667" TargetMode="External"/><Relationship Id="rId2805" Type="http://schemas.openxmlformats.org/officeDocument/2006/relationships/hyperlink" Target="https://replay.pokemonshowdown.com/smogtours-gen3ou-799669" TargetMode="External"/><Relationship Id="rId2806" Type="http://schemas.openxmlformats.org/officeDocument/2006/relationships/hyperlink" Target="https://replay.pokemonshowdown.com/smogtours-gen3ou-799576" TargetMode="External"/><Relationship Id="rId2807" Type="http://schemas.openxmlformats.org/officeDocument/2006/relationships/hyperlink" Target="https://replay.pokemonshowdown.com/smogtours-gen3ou-799582" TargetMode="External"/><Relationship Id="rId2808" Type="http://schemas.openxmlformats.org/officeDocument/2006/relationships/hyperlink" Target="https://replay.pokemonshowdown.com/smogtours-gen3ou-799588" TargetMode="External"/><Relationship Id="rId2809" Type="http://schemas.openxmlformats.org/officeDocument/2006/relationships/hyperlink" Target="https://replay.pokemonshowdown.com/smogtours-gen3ou-799697" TargetMode="External"/><Relationship Id="rId1576" Type="http://schemas.openxmlformats.org/officeDocument/2006/relationships/hyperlink" Target="https://replay.pokemonshowdown.com/gen3ou-2221991408-4ejss65hlegpm7d6m64xehmbu1jrvttpw" TargetMode="External"/><Relationship Id="rId1577" Type="http://schemas.openxmlformats.org/officeDocument/2006/relationships/hyperlink" Target="https://replay.pokemonshowdown.com/gen3ou-2221993971-3sfeilhnlytaclo3yxj5zi8bmwcy248pw" TargetMode="External"/><Relationship Id="rId1578" Type="http://schemas.openxmlformats.org/officeDocument/2006/relationships/hyperlink" Target="https://replay.pokemonshowdown.com/smogtours-gen3ou-798280" TargetMode="External"/><Relationship Id="rId1579" Type="http://schemas.openxmlformats.org/officeDocument/2006/relationships/hyperlink" Target="https://replay.pokemonshowdown.com/smogtours-gen3ou-798301" TargetMode="External"/><Relationship Id="rId987" Type="http://schemas.openxmlformats.org/officeDocument/2006/relationships/hyperlink" Target="https://replay.pokemonshowdown.com/smogtours-gen3ou-796598" TargetMode="External"/><Relationship Id="rId986" Type="http://schemas.openxmlformats.org/officeDocument/2006/relationships/hyperlink" Target="https://replay.pokemonshowdown.com/smogtours-gen3ou-796596" TargetMode="External"/><Relationship Id="rId985" Type="http://schemas.openxmlformats.org/officeDocument/2006/relationships/hyperlink" Target="https://replay.pokemonshowdown.com/smogtours-gen3ou-796512" TargetMode="External"/><Relationship Id="rId984" Type="http://schemas.openxmlformats.org/officeDocument/2006/relationships/hyperlink" Target="https://replay.pokemonshowdown.com/smogtours-gen3ou-796509?p2" TargetMode="External"/><Relationship Id="rId989" Type="http://schemas.openxmlformats.org/officeDocument/2006/relationships/hyperlink" Target="https://replay.pokemonshowdown.com/smogtours-gen3ou-796168" TargetMode="External"/><Relationship Id="rId988" Type="http://schemas.openxmlformats.org/officeDocument/2006/relationships/hyperlink" Target="https://replay.pokemonshowdown.com/smogtours-gen3ou-796600" TargetMode="External"/><Relationship Id="rId1570" Type="http://schemas.openxmlformats.org/officeDocument/2006/relationships/hyperlink" Target="https://replay.pokemonshowdown.com/smogtours-gen3ou-798061" TargetMode="External"/><Relationship Id="rId1571" Type="http://schemas.openxmlformats.org/officeDocument/2006/relationships/hyperlink" Target="https://replay.pokemonshowdown.com/smogtours-gen3ou-798068" TargetMode="External"/><Relationship Id="rId983" Type="http://schemas.openxmlformats.org/officeDocument/2006/relationships/hyperlink" Target="https://replay.pokemonshowdown.com/smogtours-gen3ou-796816" TargetMode="External"/><Relationship Id="rId1572" Type="http://schemas.openxmlformats.org/officeDocument/2006/relationships/hyperlink" Target="https://replay.pokemonshowdown.com/smogtours-gen3ou-797571" TargetMode="External"/><Relationship Id="rId982" Type="http://schemas.openxmlformats.org/officeDocument/2006/relationships/hyperlink" Target="https://replay.pokemonshowdown.com/smogtours-gen3ou-796811" TargetMode="External"/><Relationship Id="rId1573" Type="http://schemas.openxmlformats.org/officeDocument/2006/relationships/hyperlink" Target="https://replay.pokemonshowdown.com/smogtours-gen3ou-797593" TargetMode="External"/><Relationship Id="rId981" Type="http://schemas.openxmlformats.org/officeDocument/2006/relationships/hyperlink" Target="https://replay.pokemonshowdown.com/smogtours-gen3ou-796859" TargetMode="External"/><Relationship Id="rId1574" Type="http://schemas.openxmlformats.org/officeDocument/2006/relationships/hyperlink" Target="https://replay.pokemonshowdown.com/smogtours-gen3ou-797610" TargetMode="External"/><Relationship Id="rId980" Type="http://schemas.openxmlformats.org/officeDocument/2006/relationships/hyperlink" Target="https://replay.pokemonshowdown.com/smogtours-gen3ou-796857" TargetMode="External"/><Relationship Id="rId1575" Type="http://schemas.openxmlformats.org/officeDocument/2006/relationships/hyperlink" Target="https://replay.pokemonshowdown.com/gen3ou-2221989841-27ywjlfzq78jphd1wcbxwl2br5gqcm7pw" TargetMode="External"/><Relationship Id="rId1565" Type="http://schemas.openxmlformats.org/officeDocument/2006/relationships/hyperlink" Target="https://replay.pokemonshowdown.com/smogtours-gen3ou-798233" TargetMode="External"/><Relationship Id="rId2896" Type="http://schemas.openxmlformats.org/officeDocument/2006/relationships/hyperlink" Target="https://replay.pokemonshowdown.com/smogtours-gen3ou-801707" TargetMode="External"/><Relationship Id="rId1566" Type="http://schemas.openxmlformats.org/officeDocument/2006/relationships/hyperlink" Target="https://replay.pokemonshowdown.com/smogtours-gen3ou-798244" TargetMode="External"/><Relationship Id="rId2897" Type="http://schemas.openxmlformats.org/officeDocument/2006/relationships/hyperlink" Target="https://replay.pokemonshowdown.com/smogtours-gen3ou-801428" TargetMode="External"/><Relationship Id="rId1567" Type="http://schemas.openxmlformats.org/officeDocument/2006/relationships/hyperlink" Target="https://replay.pokemonshowdown.com/smogtours-gen3ou-797546" TargetMode="External"/><Relationship Id="rId2898" Type="http://schemas.openxmlformats.org/officeDocument/2006/relationships/hyperlink" Target="https://replay.pokemonshowdown.com/smogtours-gen3ou-801431" TargetMode="External"/><Relationship Id="rId1568" Type="http://schemas.openxmlformats.org/officeDocument/2006/relationships/hyperlink" Target="https://replay.pokemonshowdown.com/smogtours-gen3ou-797551" TargetMode="External"/><Relationship Id="rId2899" Type="http://schemas.openxmlformats.org/officeDocument/2006/relationships/hyperlink" Target="https://replay.pokemonshowdown.com/smogtours-gen3ou-801191" TargetMode="External"/><Relationship Id="rId1569" Type="http://schemas.openxmlformats.org/officeDocument/2006/relationships/hyperlink" Target="https://replay.pokemonshowdown.com/smogtours-gen3ou-798053" TargetMode="External"/><Relationship Id="rId976" Type="http://schemas.openxmlformats.org/officeDocument/2006/relationships/hyperlink" Target="https://replay.pokemonshowdown.com/smogtours-gen3ou-796425" TargetMode="External"/><Relationship Id="rId975" Type="http://schemas.openxmlformats.org/officeDocument/2006/relationships/hyperlink" Target="https://replay.pokemonshowdown.com/smogtours-gen3ou-796808" TargetMode="External"/><Relationship Id="rId974" Type="http://schemas.openxmlformats.org/officeDocument/2006/relationships/hyperlink" Target="https://replay.pokemonshowdown.com/smogtours-gen3ou-796804" TargetMode="External"/><Relationship Id="rId973" Type="http://schemas.openxmlformats.org/officeDocument/2006/relationships/hyperlink" Target="https://replay.pokemonshowdown.com/smogtours-gen3ou-796830" TargetMode="External"/><Relationship Id="rId979" Type="http://schemas.openxmlformats.org/officeDocument/2006/relationships/hyperlink" Target="https://replay.pokemonshowdown.com/smogtours-gen3ou-796848" TargetMode="External"/><Relationship Id="rId978" Type="http://schemas.openxmlformats.org/officeDocument/2006/relationships/hyperlink" Target="https://replay.pokemonshowdown.com/smogtours-gen3ou-796429" TargetMode="External"/><Relationship Id="rId977" Type="http://schemas.openxmlformats.org/officeDocument/2006/relationships/hyperlink" Target="https://replay.pokemonshowdown.com/smogtours-gen3ou-796427" TargetMode="External"/><Relationship Id="rId2890" Type="http://schemas.openxmlformats.org/officeDocument/2006/relationships/hyperlink" Target="https://replay.pokemonshowdown.com/smogtours-gen3ou-801562" TargetMode="External"/><Relationship Id="rId1560" Type="http://schemas.openxmlformats.org/officeDocument/2006/relationships/hyperlink" Target="https://replay.pokemonshowdown.com/smogtours-gen3ou-797445" TargetMode="External"/><Relationship Id="rId2891" Type="http://schemas.openxmlformats.org/officeDocument/2006/relationships/hyperlink" Target="https://replay.pokemonshowdown.com/smogtours-gen3ou-801565" TargetMode="External"/><Relationship Id="rId972" Type="http://schemas.openxmlformats.org/officeDocument/2006/relationships/hyperlink" Target="https://replay.pokemonshowdown.com/smogtours-gen3ou-796819" TargetMode="External"/><Relationship Id="rId1561" Type="http://schemas.openxmlformats.org/officeDocument/2006/relationships/hyperlink" Target="https://replay.pokemonshowdown.com/smogtours-gen3ou-798353" TargetMode="External"/><Relationship Id="rId2892" Type="http://schemas.openxmlformats.org/officeDocument/2006/relationships/hyperlink" Target="https://replay.pokemonshowdown.com/smogtours-gen3ou-801629" TargetMode="External"/><Relationship Id="rId971" Type="http://schemas.openxmlformats.org/officeDocument/2006/relationships/hyperlink" Target="https://replay.pokemonshowdown.com/smogtours-gen3ou-796303" TargetMode="External"/><Relationship Id="rId1562" Type="http://schemas.openxmlformats.org/officeDocument/2006/relationships/hyperlink" Target="https://replay.pokemonshowdown.com/smogtours-gen3ou-798369" TargetMode="External"/><Relationship Id="rId2893" Type="http://schemas.openxmlformats.org/officeDocument/2006/relationships/hyperlink" Target="https://replay.pokemonshowdown.com/smogtours-gen3ou-801635" TargetMode="External"/><Relationship Id="rId970" Type="http://schemas.openxmlformats.org/officeDocument/2006/relationships/hyperlink" Target="https://replay.pokemonshowdown.com/smogtours-gen3ou-796299" TargetMode="External"/><Relationship Id="rId1563" Type="http://schemas.openxmlformats.org/officeDocument/2006/relationships/hyperlink" Target="https://replay.pokemonshowdown.com/smogtours-gen3ou-798377" TargetMode="External"/><Relationship Id="rId2894" Type="http://schemas.openxmlformats.org/officeDocument/2006/relationships/hyperlink" Target="https://replay.pokemonshowdown.com/smogtours-gen3ou-801701" TargetMode="External"/><Relationship Id="rId1564" Type="http://schemas.openxmlformats.org/officeDocument/2006/relationships/hyperlink" Target="https://replay.pokemonshowdown.com/smogtours-gen3ou-798215" TargetMode="External"/><Relationship Id="rId2895" Type="http://schemas.openxmlformats.org/officeDocument/2006/relationships/hyperlink" Target="https://replay.pokemonshowdown.com/smogtours-gen3ou-801704" TargetMode="External"/><Relationship Id="rId1598" Type="http://schemas.openxmlformats.org/officeDocument/2006/relationships/hyperlink" Target="https://replay.pokemonshowdown.com/smogtours-gen3ou-797311" TargetMode="External"/><Relationship Id="rId1599" Type="http://schemas.openxmlformats.org/officeDocument/2006/relationships/hyperlink" Target="https://replay.pokemonshowdown.com/smogtours-gen3ou-797694" TargetMode="External"/><Relationship Id="rId1590" Type="http://schemas.openxmlformats.org/officeDocument/2006/relationships/hyperlink" Target="https://replay.pokemonshowdown.com/smogtours-gen3ou-797550" TargetMode="External"/><Relationship Id="rId1591" Type="http://schemas.openxmlformats.org/officeDocument/2006/relationships/hyperlink" Target="https://replay.pokemonshowdown.com/smogtours-gen3ou-797229?p2" TargetMode="External"/><Relationship Id="rId1592" Type="http://schemas.openxmlformats.org/officeDocument/2006/relationships/hyperlink" Target="https://replay.pokemonshowdown.com/smogtours-gen3ou-797230?p2" TargetMode="External"/><Relationship Id="rId1593" Type="http://schemas.openxmlformats.org/officeDocument/2006/relationships/hyperlink" Target="https://replay.pokemonshowdown.com/smogtours-gen3ou-797233?p2" TargetMode="External"/><Relationship Id="rId1594" Type="http://schemas.openxmlformats.org/officeDocument/2006/relationships/hyperlink" Target="https://replay.pokemonshowdown.com/smogtours-gen3ou-797815" TargetMode="External"/><Relationship Id="rId1595" Type="http://schemas.openxmlformats.org/officeDocument/2006/relationships/hyperlink" Target="https://replay.pokemonshowdown.com/smogtours-gen3ou-797822" TargetMode="External"/><Relationship Id="rId1596" Type="http://schemas.openxmlformats.org/officeDocument/2006/relationships/hyperlink" Target="https://replay.pokemonshowdown.com/smogtours-gen3ou-797824" TargetMode="External"/><Relationship Id="rId1597" Type="http://schemas.openxmlformats.org/officeDocument/2006/relationships/hyperlink" Target="https://replay.pokemonshowdown.com/smogtours-gen3ou-797313" TargetMode="External"/><Relationship Id="rId1587" Type="http://schemas.openxmlformats.org/officeDocument/2006/relationships/hyperlink" Target="https://replay.pokemonshowdown.com/smogtours-gen3ou-797369" TargetMode="External"/><Relationship Id="rId1588" Type="http://schemas.openxmlformats.org/officeDocument/2006/relationships/hyperlink" Target="https://replay.pokemonshowdown.com/smogtours-gen3ou-797371" TargetMode="External"/><Relationship Id="rId1589" Type="http://schemas.openxmlformats.org/officeDocument/2006/relationships/hyperlink" Target="https://replay.pokemonshowdown.com/smogtours-gen3ou-797522" TargetMode="External"/><Relationship Id="rId998" Type="http://schemas.openxmlformats.org/officeDocument/2006/relationships/hyperlink" Target="https://replay.pokemonshowdown.com/smogtours-gen3ou-796200" TargetMode="External"/><Relationship Id="rId997" Type="http://schemas.openxmlformats.org/officeDocument/2006/relationships/hyperlink" Target="https://replay.pokemonshowdown.com/smogtours-gen3ou-796196" TargetMode="External"/><Relationship Id="rId996" Type="http://schemas.openxmlformats.org/officeDocument/2006/relationships/hyperlink" Target="https://replay.pokemonshowdown.com/smogtours-gen3ou-796871" TargetMode="External"/><Relationship Id="rId995" Type="http://schemas.openxmlformats.org/officeDocument/2006/relationships/hyperlink" Target="https://replay.pokemonshowdown.com/smogtours-gen3ou-796868" TargetMode="External"/><Relationship Id="rId999" Type="http://schemas.openxmlformats.org/officeDocument/2006/relationships/hyperlink" Target="https://replay.pokemonshowdown.com/smogtours-gen3ou-796637" TargetMode="External"/><Relationship Id="rId990" Type="http://schemas.openxmlformats.org/officeDocument/2006/relationships/hyperlink" Target="https://replay.pokemonshowdown.com/smogtours-gen3ou-796170" TargetMode="External"/><Relationship Id="rId1580" Type="http://schemas.openxmlformats.org/officeDocument/2006/relationships/hyperlink" Target="https://replay.pokemonshowdown.com/smogtours-gen3ou-798314" TargetMode="External"/><Relationship Id="rId1581" Type="http://schemas.openxmlformats.org/officeDocument/2006/relationships/hyperlink" Target="https://replay.pokemonshowdown.com/smogtours-gen3ou-797504" TargetMode="External"/><Relationship Id="rId1582" Type="http://schemas.openxmlformats.org/officeDocument/2006/relationships/hyperlink" Target="https://replay.pokemonshowdown.com/smogtours-gen3ou-797514" TargetMode="External"/><Relationship Id="rId994" Type="http://schemas.openxmlformats.org/officeDocument/2006/relationships/hyperlink" Target="https://replay.pokemonshowdown.com/smogtours-gen3ou-796866" TargetMode="External"/><Relationship Id="rId1583" Type="http://schemas.openxmlformats.org/officeDocument/2006/relationships/hyperlink" Target="https://replay.pokemonshowdown.com/smogtours-gen3ou-797526" TargetMode="External"/><Relationship Id="rId993" Type="http://schemas.openxmlformats.org/officeDocument/2006/relationships/hyperlink" Target="https://replay.pokemonshowdown.com/smogtours-gen3ou-796865" TargetMode="External"/><Relationship Id="rId1584" Type="http://schemas.openxmlformats.org/officeDocument/2006/relationships/hyperlink" Target="https://replay.pokemonshowdown.com/smogtours-gen3ou-797921" TargetMode="External"/><Relationship Id="rId992" Type="http://schemas.openxmlformats.org/officeDocument/2006/relationships/hyperlink" Target="https://replay.pokemonshowdown.com/smogtours-gen3ou-796450" TargetMode="External"/><Relationship Id="rId1585" Type="http://schemas.openxmlformats.org/officeDocument/2006/relationships/hyperlink" Target="https://replay.pokemonshowdown.com/smogtours-gen3ou-797926" TargetMode="External"/><Relationship Id="rId991" Type="http://schemas.openxmlformats.org/officeDocument/2006/relationships/hyperlink" Target="https://replay.pokemonshowdown.com/smogtours-gen3ou-796441" TargetMode="External"/><Relationship Id="rId1586" Type="http://schemas.openxmlformats.org/officeDocument/2006/relationships/hyperlink" Target="https://replay.pokemonshowdown.com/smogtours-gen3ou-797367" TargetMode="External"/><Relationship Id="rId1532" Type="http://schemas.openxmlformats.org/officeDocument/2006/relationships/hyperlink" Target="https://replay.pokemonshowdown.com/smogtours-gen3ou-798278" TargetMode="External"/><Relationship Id="rId2863" Type="http://schemas.openxmlformats.org/officeDocument/2006/relationships/hyperlink" Target="https://replay.pokemonshowdown.com/smogtours-gen3ou-800559" TargetMode="External"/><Relationship Id="rId1533" Type="http://schemas.openxmlformats.org/officeDocument/2006/relationships/hyperlink" Target="https://replay.pokemonshowdown.com/smogtours-gen3ou-798289" TargetMode="External"/><Relationship Id="rId2864" Type="http://schemas.openxmlformats.org/officeDocument/2006/relationships/hyperlink" Target="https://replay.pokemonshowdown.com/smogtours-gen3ou-800576" TargetMode="External"/><Relationship Id="rId1534" Type="http://schemas.openxmlformats.org/officeDocument/2006/relationships/hyperlink" Target="https://replay.pokemonshowdown.com/smogtours-gen3ou-798250" TargetMode="External"/><Relationship Id="rId2865" Type="http://schemas.openxmlformats.org/officeDocument/2006/relationships/hyperlink" Target="https://replay.pokemonshowdown.com/smogtours-gen3ou-800591" TargetMode="External"/><Relationship Id="rId1535" Type="http://schemas.openxmlformats.org/officeDocument/2006/relationships/hyperlink" Target="https://replay.pokemonshowdown.com/smogtours-gen3ou-798256" TargetMode="External"/><Relationship Id="rId2866" Type="http://schemas.openxmlformats.org/officeDocument/2006/relationships/hyperlink" Target="https://replay.pokemonshowdown.com/smogtours-gen3ou-800018" TargetMode="External"/><Relationship Id="rId1536" Type="http://schemas.openxmlformats.org/officeDocument/2006/relationships/hyperlink" Target="https://replay.pokemonshowdown.com/smogtours-gen3ou-798262" TargetMode="External"/><Relationship Id="rId2867" Type="http://schemas.openxmlformats.org/officeDocument/2006/relationships/hyperlink" Target="https://replay.pokemonshowdown.com/smogtours-gen3ou-800022" TargetMode="External"/><Relationship Id="rId1537" Type="http://schemas.openxmlformats.org/officeDocument/2006/relationships/hyperlink" Target="https://replay.pokemonshowdown.com/smogtours-gen3ou-798546" TargetMode="External"/><Relationship Id="rId2868" Type="http://schemas.openxmlformats.org/officeDocument/2006/relationships/hyperlink" Target="https://replay.pokemonshowdown.com/smogtours-gen3ou-799579" TargetMode="External"/><Relationship Id="rId1538" Type="http://schemas.openxmlformats.org/officeDocument/2006/relationships/hyperlink" Target="https://replay.pokemonshowdown.com/smogtours-gen3ou-798552" TargetMode="External"/><Relationship Id="rId2869" Type="http://schemas.openxmlformats.org/officeDocument/2006/relationships/hyperlink" Target="https://replay.pokemonshowdown.com/smogtours-gen3ou-799592" TargetMode="External"/><Relationship Id="rId1539" Type="http://schemas.openxmlformats.org/officeDocument/2006/relationships/hyperlink" Target="https://replay.pokemonshowdown.com/smogtours-gen3ou-798601" TargetMode="External"/><Relationship Id="rId949" Type="http://schemas.openxmlformats.org/officeDocument/2006/relationships/hyperlink" Target="https://replay.pokemonshowdown.com/smogtours-gen3ou-796731" TargetMode="External"/><Relationship Id="rId948" Type="http://schemas.openxmlformats.org/officeDocument/2006/relationships/hyperlink" Target="https://replay.pokemonshowdown.com/smogtours-gen3ou-796805" TargetMode="External"/><Relationship Id="rId943" Type="http://schemas.openxmlformats.org/officeDocument/2006/relationships/hyperlink" Target="https://replay.pokemonshowdown.com/smogtours-gen3ou-796635" TargetMode="External"/><Relationship Id="rId942" Type="http://schemas.openxmlformats.org/officeDocument/2006/relationships/hyperlink" Target="https://replay.pokemonshowdown.com/smogtours-gen3ou-796709" TargetMode="External"/><Relationship Id="rId941" Type="http://schemas.openxmlformats.org/officeDocument/2006/relationships/hyperlink" Target="https://replay.pokemonshowdown.com/smogtours-gen3ou-796707" TargetMode="External"/><Relationship Id="rId940" Type="http://schemas.openxmlformats.org/officeDocument/2006/relationships/hyperlink" Target="https://replay.pokemonshowdown.com/smogtours-gen3ou-796807" TargetMode="External"/><Relationship Id="rId947" Type="http://schemas.openxmlformats.org/officeDocument/2006/relationships/hyperlink" Target="https://replay.pokemonshowdown.com/smogtours-gen3ou-796803" TargetMode="External"/><Relationship Id="rId946" Type="http://schemas.openxmlformats.org/officeDocument/2006/relationships/hyperlink" Target="https://replay.pokemonshowdown.com/smogtours-gen3ou-796659?p2" TargetMode="External"/><Relationship Id="rId945" Type="http://schemas.openxmlformats.org/officeDocument/2006/relationships/hyperlink" Target="https://replay.pokemonshowdown.com/smogtours-gen3ou-796653" TargetMode="External"/><Relationship Id="rId944" Type="http://schemas.openxmlformats.org/officeDocument/2006/relationships/hyperlink" Target="https://replay.pokemonshowdown.com/smogtours-gen3ou-796636" TargetMode="External"/><Relationship Id="rId2860" Type="http://schemas.openxmlformats.org/officeDocument/2006/relationships/hyperlink" Target="https://replay.pokemonshowdown.com/smogtours-gen3ou-800226" TargetMode="External"/><Relationship Id="rId1530" Type="http://schemas.openxmlformats.org/officeDocument/2006/relationships/hyperlink" Target="https://replay.pokemonshowdown.com/smogtours-gen3ou-798204" TargetMode="External"/><Relationship Id="rId2861" Type="http://schemas.openxmlformats.org/officeDocument/2006/relationships/hyperlink" Target="https://replay.pokemonshowdown.com/smogtours-gen3ou-800228" TargetMode="External"/><Relationship Id="rId1531" Type="http://schemas.openxmlformats.org/officeDocument/2006/relationships/hyperlink" Target="https://replay.pokemonshowdown.com/smogtours-gen3ou-798210" TargetMode="External"/><Relationship Id="rId2862" Type="http://schemas.openxmlformats.org/officeDocument/2006/relationships/hyperlink" Target="https://replay.pokemonshowdown.com/smogtours-gen3ou-800229" TargetMode="External"/><Relationship Id="rId1521" Type="http://schemas.openxmlformats.org/officeDocument/2006/relationships/hyperlink" Target="https://replay.pokemonshowdown.com/smogtours-gen3ou-798207" TargetMode="External"/><Relationship Id="rId2852" Type="http://schemas.openxmlformats.org/officeDocument/2006/relationships/hyperlink" Target="https://replay.pokemonshowdown.com/smogtours-gen3ou-799717" TargetMode="External"/><Relationship Id="rId1522" Type="http://schemas.openxmlformats.org/officeDocument/2006/relationships/hyperlink" Target="https://replay.pokemonshowdown.com/smogtours-gen3ou-798212" TargetMode="External"/><Relationship Id="rId2853" Type="http://schemas.openxmlformats.org/officeDocument/2006/relationships/hyperlink" Target="https://replay.pokemonshowdown.com/smogtours-gen3ou-799719" TargetMode="External"/><Relationship Id="rId1523" Type="http://schemas.openxmlformats.org/officeDocument/2006/relationships/hyperlink" Target="https://replay.pokemonshowdown.com/smogtours-gen3ou-798225" TargetMode="External"/><Relationship Id="rId2854" Type="http://schemas.openxmlformats.org/officeDocument/2006/relationships/hyperlink" Target="https://replay.pokemonshowdown.com/smogtours-gen3ou-799724" TargetMode="External"/><Relationship Id="rId1524" Type="http://schemas.openxmlformats.org/officeDocument/2006/relationships/hyperlink" Target="https://replay.pokemonshowdown.com/smogtours-gen3ou-798512" TargetMode="External"/><Relationship Id="rId2855" Type="http://schemas.openxmlformats.org/officeDocument/2006/relationships/hyperlink" Target="https://replay.pokemonshowdown.com/smogtours-gen3ou-799407" TargetMode="External"/><Relationship Id="rId1525" Type="http://schemas.openxmlformats.org/officeDocument/2006/relationships/hyperlink" Target="https://replay.pokemonshowdown.com/smogtours-gen3ou-798515" TargetMode="External"/><Relationship Id="rId2856" Type="http://schemas.openxmlformats.org/officeDocument/2006/relationships/hyperlink" Target="https://replay.pokemonshowdown.com/smogtours-gen3ou-799411" TargetMode="External"/><Relationship Id="rId1526" Type="http://schemas.openxmlformats.org/officeDocument/2006/relationships/hyperlink" Target="https://replay.pokemonshowdown.com/smogtours-gen3ou-798520" TargetMode="External"/><Relationship Id="rId2857" Type="http://schemas.openxmlformats.org/officeDocument/2006/relationships/hyperlink" Target="https://replay.pokemonshowdown.com/smogtours-gen3ou-799412" TargetMode="External"/><Relationship Id="rId1527" Type="http://schemas.openxmlformats.org/officeDocument/2006/relationships/hyperlink" Target="https://replay.pokemonshowdown.com/smogtours-gen3ou-797998" TargetMode="External"/><Relationship Id="rId2858" Type="http://schemas.openxmlformats.org/officeDocument/2006/relationships/hyperlink" Target="https://replay.pokemonshowdown.com/smogtours-gen3ou-799600" TargetMode="External"/><Relationship Id="rId1528" Type="http://schemas.openxmlformats.org/officeDocument/2006/relationships/hyperlink" Target="https://replay.pokemonshowdown.com/smogtours-gen3ou-798000" TargetMode="External"/><Relationship Id="rId2859" Type="http://schemas.openxmlformats.org/officeDocument/2006/relationships/hyperlink" Target="https://replay.pokemonshowdown.com/smogtours-gen3ou-799612" TargetMode="External"/><Relationship Id="rId1529" Type="http://schemas.openxmlformats.org/officeDocument/2006/relationships/hyperlink" Target="https://replay.pokemonshowdown.com/smogtours-gen3ou-798197" TargetMode="External"/><Relationship Id="rId939" Type="http://schemas.openxmlformats.org/officeDocument/2006/relationships/hyperlink" Target="https://replay.pokemonshowdown.com/smogtours-gen3ou-796801?p2" TargetMode="External"/><Relationship Id="rId938" Type="http://schemas.openxmlformats.org/officeDocument/2006/relationships/hyperlink" Target="https://replay.pokemonshowdown.com/smogtours-gen3ou-796798" TargetMode="External"/><Relationship Id="rId937" Type="http://schemas.openxmlformats.org/officeDocument/2006/relationships/hyperlink" Target="https://replay.pokemonshowdown.com/smogtours-gen3ou-796752" TargetMode="External"/><Relationship Id="rId932" Type="http://schemas.openxmlformats.org/officeDocument/2006/relationships/hyperlink" Target="https://replay.pokemonshowdown.com/smogtours-gen3ou-796500" TargetMode="External"/><Relationship Id="rId931" Type="http://schemas.openxmlformats.org/officeDocument/2006/relationships/hyperlink" Target="https://replay.pokemonshowdown.com/gen3ou-2218823257-5pszl6phb859b4robine2ab667pqvg8pw" TargetMode="External"/><Relationship Id="rId930" Type="http://schemas.openxmlformats.org/officeDocument/2006/relationships/hyperlink" Target="https://replay.pokemonshowdown.com/smogtours-gen3ou-796010" TargetMode="External"/><Relationship Id="rId936" Type="http://schemas.openxmlformats.org/officeDocument/2006/relationships/hyperlink" Target="https://replay.pokemonshowdown.com/smogtours-gen3ou-796751" TargetMode="External"/><Relationship Id="rId935" Type="http://schemas.openxmlformats.org/officeDocument/2006/relationships/hyperlink" Target="https://replay.pokemonshowdown.com/smogtours-gen3ou-796748" TargetMode="External"/><Relationship Id="rId934" Type="http://schemas.openxmlformats.org/officeDocument/2006/relationships/hyperlink" Target="https://replay.pokemonshowdown.com/smogtours-gen3ou-796680" TargetMode="External"/><Relationship Id="rId933" Type="http://schemas.openxmlformats.org/officeDocument/2006/relationships/hyperlink" Target="https://replay.pokemonshowdown.com/smogtours-gen3ou-796678" TargetMode="External"/><Relationship Id="rId2850" Type="http://schemas.openxmlformats.org/officeDocument/2006/relationships/hyperlink" Target="https://replay.pokemonshowdown.com/smogtours-gen3ou-800654" TargetMode="External"/><Relationship Id="rId1520" Type="http://schemas.openxmlformats.org/officeDocument/2006/relationships/hyperlink" Target="https://replay.pokemonshowdown.com/smogtours-gen3ou-797875" TargetMode="External"/><Relationship Id="rId2851" Type="http://schemas.openxmlformats.org/officeDocument/2006/relationships/hyperlink" Target="https://replay.pokemonshowdown.com/smogtours-gen3ou-800658" TargetMode="External"/><Relationship Id="rId1554" Type="http://schemas.openxmlformats.org/officeDocument/2006/relationships/hyperlink" Target="https://replay.pokemonshowdown.com/smogtours-gen3ou-797554?p2" TargetMode="External"/><Relationship Id="rId2885" Type="http://schemas.openxmlformats.org/officeDocument/2006/relationships/hyperlink" Target="https://replay.pokemonshowdown.com/smogtours-gen3ou-799151" TargetMode="External"/><Relationship Id="rId1555" Type="http://schemas.openxmlformats.org/officeDocument/2006/relationships/hyperlink" Target="https://replay.pokemonshowdown.com/smogtours-gen3ou-797662" TargetMode="External"/><Relationship Id="rId2886" Type="http://schemas.openxmlformats.org/officeDocument/2006/relationships/hyperlink" Target="https://replay.pokemonshowdown.com/smogtours-gen3ou-801612?p2" TargetMode="External"/><Relationship Id="rId1556" Type="http://schemas.openxmlformats.org/officeDocument/2006/relationships/hyperlink" Target="https://replay.pokemonshowdown.com/smogtours-gen3ou-797635" TargetMode="External"/><Relationship Id="rId2887" Type="http://schemas.openxmlformats.org/officeDocument/2006/relationships/hyperlink" Target="https://replay.pokemonshowdown.com/smogtours-gen3ou-801617?p2" TargetMode="External"/><Relationship Id="rId1557" Type="http://schemas.openxmlformats.org/officeDocument/2006/relationships/hyperlink" Target="https://replay.pokemonshowdown.com/smogtours-gen3ou-797667" TargetMode="External"/><Relationship Id="rId2888" Type="http://schemas.openxmlformats.org/officeDocument/2006/relationships/hyperlink" Target="https://replay.pokemonshowdown.com/smogtours-gen3ou-801620" TargetMode="External"/><Relationship Id="rId1558" Type="http://schemas.openxmlformats.org/officeDocument/2006/relationships/hyperlink" Target="https://replay.pokemonshowdown.com/smogtours-gen3ou-797438" TargetMode="External"/><Relationship Id="rId2889" Type="http://schemas.openxmlformats.org/officeDocument/2006/relationships/hyperlink" Target="https://replay.pokemonshowdown.com/smogtours-gen3ou-801556" TargetMode="External"/><Relationship Id="rId1559" Type="http://schemas.openxmlformats.org/officeDocument/2006/relationships/hyperlink" Target="https://replay.pokemonshowdown.com/smogtours-gen3ou-797442" TargetMode="External"/><Relationship Id="rId965" Type="http://schemas.openxmlformats.org/officeDocument/2006/relationships/hyperlink" Target="https://replay.pokemonshowdown.com/smogtours-gen3ou-796576" TargetMode="External"/><Relationship Id="rId964" Type="http://schemas.openxmlformats.org/officeDocument/2006/relationships/hyperlink" Target="https://replay.pokemonshowdown.com/gen3ou-2217999874" TargetMode="External"/><Relationship Id="rId963" Type="http://schemas.openxmlformats.org/officeDocument/2006/relationships/hyperlink" Target="https://replay.pokemonshowdown.com/gen3ou-2217996409" TargetMode="External"/><Relationship Id="rId962" Type="http://schemas.openxmlformats.org/officeDocument/2006/relationships/hyperlink" Target="https://replay.pokemonshowdown.com/gen3ou-2217993160?p2" TargetMode="External"/><Relationship Id="rId969" Type="http://schemas.openxmlformats.org/officeDocument/2006/relationships/hyperlink" Target="https://replay.pokemonshowdown.com/smogtours-gen3ou-796625" TargetMode="External"/><Relationship Id="rId968" Type="http://schemas.openxmlformats.org/officeDocument/2006/relationships/hyperlink" Target="https://replay.pokemonshowdown.com/smogtours-gen3ou-796623" TargetMode="External"/><Relationship Id="rId967" Type="http://schemas.openxmlformats.org/officeDocument/2006/relationships/hyperlink" Target="https://replay.pokemonshowdown.com/smogtours-gen3ou-796621" TargetMode="External"/><Relationship Id="rId966" Type="http://schemas.openxmlformats.org/officeDocument/2006/relationships/hyperlink" Target="https://replay.pokemonshowdown.com/smogtours-gen3ou-796578" TargetMode="External"/><Relationship Id="rId2880" Type="http://schemas.openxmlformats.org/officeDocument/2006/relationships/hyperlink" Target="https://replay.pokemonshowdown.com/smogtours-gen3ou-800278" TargetMode="External"/><Relationship Id="rId961" Type="http://schemas.openxmlformats.org/officeDocument/2006/relationships/hyperlink" Target="https://replay.pokemonshowdown.com/gen3ou-2219737659-03l9xftbgt7144cke8rfm58zn5cmd1ipw" TargetMode="External"/><Relationship Id="rId1550" Type="http://schemas.openxmlformats.org/officeDocument/2006/relationships/hyperlink" Target="https://replay.pokemonshowdown.com/smogtours-gen3ou-798166" TargetMode="External"/><Relationship Id="rId2881" Type="http://schemas.openxmlformats.org/officeDocument/2006/relationships/hyperlink" Target="https://replay.pokemonshowdown.com/smogtours-gen3ou-800280" TargetMode="External"/><Relationship Id="rId960" Type="http://schemas.openxmlformats.org/officeDocument/2006/relationships/hyperlink" Target="https://replay.pokemonshowdown.com/gen3ou-2219735945-12n92sc2f4wz9vjyml3bt9qtxtos495pw" TargetMode="External"/><Relationship Id="rId1551" Type="http://schemas.openxmlformats.org/officeDocument/2006/relationships/hyperlink" Target="https://replay.pokemonshowdown.com/smogtours-gen3ou-798181" TargetMode="External"/><Relationship Id="rId2882" Type="http://schemas.openxmlformats.org/officeDocument/2006/relationships/hyperlink" Target="https://replay.pokemonshowdown.com/smogtours-gen3ou-800281" TargetMode="External"/><Relationship Id="rId1552" Type="http://schemas.openxmlformats.org/officeDocument/2006/relationships/hyperlink" Target="https://replay.pokemonshowdown.com/smogtours-gen3ou-797513?p2" TargetMode="External"/><Relationship Id="rId2883" Type="http://schemas.openxmlformats.org/officeDocument/2006/relationships/hyperlink" Target="https://replay.pokemonshowdown.com/smogtours-gen3ou-799141" TargetMode="External"/><Relationship Id="rId1553" Type="http://schemas.openxmlformats.org/officeDocument/2006/relationships/hyperlink" Target="https://replay.pokemonshowdown.com/smogtours-gen3ou-797535?p2" TargetMode="External"/><Relationship Id="rId2884" Type="http://schemas.openxmlformats.org/officeDocument/2006/relationships/hyperlink" Target="https://replay.pokemonshowdown.com/smogtours-gen3ou-799146" TargetMode="External"/><Relationship Id="rId1543" Type="http://schemas.openxmlformats.org/officeDocument/2006/relationships/hyperlink" Target="https://replay.pokemonshowdown.com/smogtours-gen3ou-798517" TargetMode="External"/><Relationship Id="rId2874" Type="http://schemas.openxmlformats.org/officeDocument/2006/relationships/hyperlink" Target="https://replay.pokemonshowdown.com/smogtours-gen3ou-799756" TargetMode="External"/><Relationship Id="rId1544" Type="http://schemas.openxmlformats.org/officeDocument/2006/relationships/hyperlink" Target="https://replay.pokemonshowdown.com/smogtours-gen3ou-798285" TargetMode="External"/><Relationship Id="rId2875" Type="http://schemas.openxmlformats.org/officeDocument/2006/relationships/hyperlink" Target="https://replay.pokemonshowdown.com/smogtours-gen3ou-799999" TargetMode="External"/><Relationship Id="rId1545" Type="http://schemas.openxmlformats.org/officeDocument/2006/relationships/hyperlink" Target="https://replay.pokemonshowdown.com/smogtours-gen3ou-798290" TargetMode="External"/><Relationship Id="rId2876" Type="http://schemas.openxmlformats.org/officeDocument/2006/relationships/hyperlink" Target="https://replay.pokemonshowdown.com/smogtours-gen3ou-800001" TargetMode="External"/><Relationship Id="rId1546" Type="http://schemas.openxmlformats.org/officeDocument/2006/relationships/hyperlink" Target="https://replay.pokemonshowdown.com/smogtours-gen3ou-798304" TargetMode="External"/><Relationship Id="rId2877" Type="http://schemas.openxmlformats.org/officeDocument/2006/relationships/hyperlink" Target="https://replay.pokemonshowdown.com/smogtours-gen3ou-800004" TargetMode="External"/><Relationship Id="rId1547" Type="http://schemas.openxmlformats.org/officeDocument/2006/relationships/hyperlink" Target="https://replay.pokemonshowdown.com/gen3ou-2222182979" TargetMode="External"/><Relationship Id="rId2878" Type="http://schemas.openxmlformats.org/officeDocument/2006/relationships/hyperlink" Target="https://replay.pokemonshowdown.com/smogtours-gen3ou-799645" TargetMode="External"/><Relationship Id="rId1548" Type="http://schemas.openxmlformats.org/officeDocument/2006/relationships/hyperlink" Target="https://replay.pokemonshowdown.com/gen3ou-2222188354" TargetMode="External"/><Relationship Id="rId2879" Type="http://schemas.openxmlformats.org/officeDocument/2006/relationships/hyperlink" Target="https://replay.pokemonshowdown.com/smogtours-gen3ou-799647" TargetMode="External"/><Relationship Id="rId1549" Type="http://schemas.openxmlformats.org/officeDocument/2006/relationships/hyperlink" Target="https://replay.pokemonshowdown.com/gen3ou-2222191167" TargetMode="External"/><Relationship Id="rId959" Type="http://schemas.openxmlformats.org/officeDocument/2006/relationships/hyperlink" Target="https://replay.pokemonshowdown.com/smogtours-gen3ou-796862" TargetMode="External"/><Relationship Id="rId954" Type="http://schemas.openxmlformats.org/officeDocument/2006/relationships/hyperlink" Target="https://replay.pokemonshowdown.com/smogtours-gen3ou-796714" TargetMode="External"/><Relationship Id="rId953" Type="http://schemas.openxmlformats.org/officeDocument/2006/relationships/hyperlink" Target="https://replay.pokemonshowdown.com/smogtours-gen3ou-796710" TargetMode="External"/><Relationship Id="rId952" Type="http://schemas.openxmlformats.org/officeDocument/2006/relationships/hyperlink" Target="https://replay.pokemonshowdown.com/smogtours-gen3ou-796706?p2" TargetMode="External"/><Relationship Id="rId951" Type="http://schemas.openxmlformats.org/officeDocument/2006/relationships/hyperlink" Target="https://replay.pokemonshowdown.com/smogtours-gen3ou-796743" TargetMode="External"/><Relationship Id="rId958" Type="http://schemas.openxmlformats.org/officeDocument/2006/relationships/hyperlink" Target="https://replay.pokemonshowdown.com/smogtours-gen3ou-796861" TargetMode="External"/><Relationship Id="rId957" Type="http://schemas.openxmlformats.org/officeDocument/2006/relationships/hyperlink" Target="https://replay.pokemonshowdown.com/smogtours-gen3ou-796599" TargetMode="External"/><Relationship Id="rId956" Type="http://schemas.openxmlformats.org/officeDocument/2006/relationships/hyperlink" Target="https://replay.pokemonshowdown.com/smogtours-gen3ou-796597" TargetMode="External"/><Relationship Id="rId955" Type="http://schemas.openxmlformats.org/officeDocument/2006/relationships/hyperlink" Target="https://replay.pokemonshowdown.com/smogtours-gen3ou-796595" TargetMode="External"/><Relationship Id="rId950" Type="http://schemas.openxmlformats.org/officeDocument/2006/relationships/hyperlink" Target="https://replay.pokemonshowdown.com/smogtours-gen3ou-796735" TargetMode="External"/><Relationship Id="rId2870" Type="http://schemas.openxmlformats.org/officeDocument/2006/relationships/hyperlink" Target="https://replay.pokemonshowdown.com/smogtours-gen3ou-800770" TargetMode="External"/><Relationship Id="rId1540" Type="http://schemas.openxmlformats.org/officeDocument/2006/relationships/hyperlink" Target="https://replay.pokemonshowdown.com/smogtours-gen3ou-798602" TargetMode="External"/><Relationship Id="rId2871" Type="http://schemas.openxmlformats.org/officeDocument/2006/relationships/hyperlink" Target="https://replay.pokemonshowdown.com/smogtours-gen3ou-800781" TargetMode="External"/><Relationship Id="rId1541" Type="http://schemas.openxmlformats.org/officeDocument/2006/relationships/hyperlink" Target="https://replay.pokemonshowdown.com/smogtours-gen3ou-798486" TargetMode="External"/><Relationship Id="rId2872" Type="http://schemas.openxmlformats.org/officeDocument/2006/relationships/hyperlink" Target="https://replay.pokemonshowdown.com/smogtours-gen3ou-799747" TargetMode="External"/><Relationship Id="rId1542" Type="http://schemas.openxmlformats.org/officeDocument/2006/relationships/hyperlink" Target="https://replay.pokemonshowdown.com/smogtours-gen3ou-798509" TargetMode="External"/><Relationship Id="rId2873" Type="http://schemas.openxmlformats.org/officeDocument/2006/relationships/hyperlink" Target="https://replay.pokemonshowdown.com/smogtours-gen3ou-799752" TargetMode="External"/><Relationship Id="rId2027" Type="http://schemas.openxmlformats.org/officeDocument/2006/relationships/hyperlink" Target="https://replay.pokemonshowdown.com/smogtours-gen3ou-798825" TargetMode="External"/><Relationship Id="rId3359" Type="http://schemas.openxmlformats.org/officeDocument/2006/relationships/hyperlink" Target="https://replay.pokemonshowdown.com/smogtours-gen3ou-802303" TargetMode="External"/><Relationship Id="rId2028" Type="http://schemas.openxmlformats.org/officeDocument/2006/relationships/hyperlink" Target="https://replay.pokemonshowdown.com/smogtours-gen3ou-798832" TargetMode="External"/><Relationship Id="rId3358" Type="http://schemas.openxmlformats.org/officeDocument/2006/relationships/hyperlink" Target="https://replay.pokemonshowdown.com/smogtours-gen3ou-803256" TargetMode="External"/><Relationship Id="rId2029" Type="http://schemas.openxmlformats.org/officeDocument/2006/relationships/hyperlink" Target="https://replay.pokemonshowdown.com/smogtours-gen3ou-797797" TargetMode="External"/><Relationship Id="rId107" Type="http://schemas.openxmlformats.org/officeDocument/2006/relationships/hyperlink" Target="https://replay.pokemonshowdown.com/smogtours-gen3ou-793932" TargetMode="External"/><Relationship Id="rId106" Type="http://schemas.openxmlformats.org/officeDocument/2006/relationships/hyperlink" Target="https://replay.pokemonshowdown.com/smogtours-gen3ou-793929" TargetMode="External"/><Relationship Id="rId105" Type="http://schemas.openxmlformats.org/officeDocument/2006/relationships/hyperlink" Target="https://replay.pokemonshowdown.com/smogtours-gen3ou-794001" TargetMode="External"/><Relationship Id="rId104" Type="http://schemas.openxmlformats.org/officeDocument/2006/relationships/hyperlink" Target="https://replay.pokemonshowdown.com/smogtours-gen3ou-793998" TargetMode="External"/><Relationship Id="rId109" Type="http://schemas.openxmlformats.org/officeDocument/2006/relationships/hyperlink" Target="https://replay.pokemonshowdown.com/smogtours-gen3ou-793982" TargetMode="External"/><Relationship Id="rId108" Type="http://schemas.openxmlformats.org/officeDocument/2006/relationships/hyperlink" Target="https://replay.pokemonshowdown.com/smogtours-gen3ou-793935" TargetMode="External"/><Relationship Id="rId3351" Type="http://schemas.openxmlformats.org/officeDocument/2006/relationships/hyperlink" Target="https://replay.pokemonshowdown.com/smogtours-gen3ou-802679" TargetMode="External"/><Relationship Id="rId2020" Type="http://schemas.openxmlformats.org/officeDocument/2006/relationships/hyperlink" Target="https://replay.pokemonshowdown.com/smogtours-gen3ou-797960" TargetMode="External"/><Relationship Id="rId3350" Type="http://schemas.openxmlformats.org/officeDocument/2006/relationships/hyperlink" Target="https://replay.pokemonshowdown.com/smogtours-gen3ou-802672" TargetMode="External"/><Relationship Id="rId2021" Type="http://schemas.openxmlformats.org/officeDocument/2006/relationships/hyperlink" Target="https://replay.pokemonshowdown.com/smogtours-gen3ou-797961" TargetMode="External"/><Relationship Id="rId3353" Type="http://schemas.openxmlformats.org/officeDocument/2006/relationships/hyperlink" Target="https://replay.pokemonshowdown.com/smogtours-gen3ou-802495" TargetMode="External"/><Relationship Id="rId2022" Type="http://schemas.openxmlformats.org/officeDocument/2006/relationships/hyperlink" Target="https://replay.pokemonshowdown.com/smogtours-gen3ou-798649" TargetMode="External"/><Relationship Id="rId3352" Type="http://schemas.openxmlformats.org/officeDocument/2006/relationships/hyperlink" Target="https://replay.pokemonshowdown.com/smogtours-gen3ou-802686" TargetMode="External"/><Relationship Id="rId103" Type="http://schemas.openxmlformats.org/officeDocument/2006/relationships/hyperlink" Target="https://replay.pokemonshowdown.com/smogtours-gen3ou-794156" TargetMode="External"/><Relationship Id="rId2023" Type="http://schemas.openxmlformats.org/officeDocument/2006/relationships/hyperlink" Target="https://replay.pokemonshowdown.com/smogtours-gen3ou-798652" TargetMode="External"/><Relationship Id="rId3355" Type="http://schemas.openxmlformats.org/officeDocument/2006/relationships/hyperlink" Target="https://replay.pokemonshowdown.com/smogtours-gen3ou-803101" TargetMode="External"/><Relationship Id="rId102" Type="http://schemas.openxmlformats.org/officeDocument/2006/relationships/hyperlink" Target="https://replay.pokemonshowdown.com/smogtours-gen3ou-794154" TargetMode="External"/><Relationship Id="rId2024" Type="http://schemas.openxmlformats.org/officeDocument/2006/relationships/hyperlink" Target="https://replay.pokemonshowdown.com/smogtours-gen3ou-798654" TargetMode="External"/><Relationship Id="rId3354" Type="http://schemas.openxmlformats.org/officeDocument/2006/relationships/hyperlink" Target="https://replay.pokemonshowdown.com/smogtours-gen3ou-802506" TargetMode="External"/><Relationship Id="rId101" Type="http://schemas.openxmlformats.org/officeDocument/2006/relationships/hyperlink" Target="https://replay.pokemonshowdown.com/smogtours-gen3ou-794149" TargetMode="External"/><Relationship Id="rId2025" Type="http://schemas.openxmlformats.org/officeDocument/2006/relationships/hyperlink" Target="https://replay.pokemonshowdown.com/smogtours-gen3ou-798725?p2" TargetMode="External"/><Relationship Id="rId3357" Type="http://schemas.openxmlformats.org/officeDocument/2006/relationships/hyperlink" Target="https://replay.pokemonshowdown.com/smogtours-gen3ou-803250" TargetMode="External"/><Relationship Id="rId100" Type="http://schemas.openxmlformats.org/officeDocument/2006/relationships/hyperlink" Target="https://replay.pokemonshowdown.com/smogtours-gen3ou-794158" TargetMode="External"/><Relationship Id="rId2026" Type="http://schemas.openxmlformats.org/officeDocument/2006/relationships/hyperlink" Target="https://replay.pokemonshowdown.com/smogtours-gen3ou-798728?p2" TargetMode="External"/><Relationship Id="rId3356" Type="http://schemas.openxmlformats.org/officeDocument/2006/relationships/hyperlink" Target="https://replay.pokemonshowdown.com/smogtours-gen3ou-803105" TargetMode="External"/><Relationship Id="rId2016" Type="http://schemas.openxmlformats.org/officeDocument/2006/relationships/hyperlink" Target="https://replay.pokemonshowdown.com/smogtours-gen3ou-798633?p2" TargetMode="External"/><Relationship Id="rId3348" Type="http://schemas.openxmlformats.org/officeDocument/2006/relationships/hyperlink" Target="https://replay.pokemonshowdown.com/smogtours-gen3ou-802795" TargetMode="External"/><Relationship Id="rId2017" Type="http://schemas.openxmlformats.org/officeDocument/2006/relationships/hyperlink" Target="https://replay.pokemonshowdown.com/smogtours-gen3ou-798637?p2" TargetMode="External"/><Relationship Id="rId3347" Type="http://schemas.openxmlformats.org/officeDocument/2006/relationships/hyperlink" Target="https://replay.pokemonshowdown.com/smogtours-gen3ou-802339" TargetMode="External"/><Relationship Id="rId2018" Type="http://schemas.openxmlformats.org/officeDocument/2006/relationships/hyperlink" Target="https://replay.pokemonshowdown.com/smogtours-gen3ou-798640?p2" TargetMode="External"/><Relationship Id="rId2019" Type="http://schemas.openxmlformats.org/officeDocument/2006/relationships/hyperlink" Target="https://replay.pokemonshowdown.com/smogtours-gen3ou-797959" TargetMode="External"/><Relationship Id="rId3349" Type="http://schemas.openxmlformats.org/officeDocument/2006/relationships/hyperlink" Target="https://replay.pokemonshowdown.com/smogtours-gen3ou-802818" TargetMode="External"/><Relationship Id="rId3340" Type="http://schemas.openxmlformats.org/officeDocument/2006/relationships/hyperlink" Target="https://replay.pokemonshowdown.com/smogtours-gen3ou-803141" TargetMode="External"/><Relationship Id="rId2010" Type="http://schemas.openxmlformats.org/officeDocument/2006/relationships/hyperlink" Target="https://replay.pokemonshowdown.com/smogtours-gen3ou-797885" TargetMode="External"/><Relationship Id="rId3342" Type="http://schemas.openxmlformats.org/officeDocument/2006/relationships/hyperlink" Target="https://replay.pokemonshowdown.com/smogtours-gen3ou-803158" TargetMode="External"/><Relationship Id="rId2011" Type="http://schemas.openxmlformats.org/officeDocument/2006/relationships/hyperlink" Target="https://replay.pokemonshowdown.com/smogtours-gen3ou-797887" TargetMode="External"/><Relationship Id="rId3341" Type="http://schemas.openxmlformats.org/officeDocument/2006/relationships/hyperlink" Target="https://replay.pokemonshowdown.com/smogtours-gen3ou-803149" TargetMode="External"/><Relationship Id="rId2012" Type="http://schemas.openxmlformats.org/officeDocument/2006/relationships/hyperlink" Target="https://replay.pokemonshowdown.com/smogtours-gen3ou-797890" TargetMode="External"/><Relationship Id="rId3344" Type="http://schemas.openxmlformats.org/officeDocument/2006/relationships/hyperlink" Target="https://replay.pokemonshowdown.com/smogtours-gen3ou-803265?p2" TargetMode="External"/><Relationship Id="rId2013" Type="http://schemas.openxmlformats.org/officeDocument/2006/relationships/hyperlink" Target="https://replay.pokemonshowdown.com/smogtours-gen3ou-798900" TargetMode="External"/><Relationship Id="rId3343" Type="http://schemas.openxmlformats.org/officeDocument/2006/relationships/hyperlink" Target="https://replay.pokemonshowdown.com/smogtours-gen3ou-803263" TargetMode="External"/><Relationship Id="rId2014" Type="http://schemas.openxmlformats.org/officeDocument/2006/relationships/hyperlink" Target="https://replay.pokemonshowdown.com/smogtours-gen3ou-798902" TargetMode="External"/><Relationship Id="rId3346" Type="http://schemas.openxmlformats.org/officeDocument/2006/relationships/hyperlink" Target="https://replay.pokemonshowdown.com/smogtours-gen3ou-802336" TargetMode="External"/><Relationship Id="rId2015" Type="http://schemas.openxmlformats.org/officeDocument/2006/relationships/hyperlink" Target="https://replay.pokemonshowdown.com/smogtours-gen3ou-798901" TargetMode="External"/><Relationship Id="rId3345" Type="http://schemas.openxmlformats.org/officeDocument/2006/relationships/hyperlink" Target="https://replay.pokemonshowdown.com/smogtours-gen3ou-803269?p2" TargetMode="External"/><Relationship Id="rId2049" Type="http://schemas.openxmlformats.org/officeDocument/2006/relationships/hyperlink" Target="https://replay.pokemonshowdown.com/smogtours-gen3ou-798888" TargetMode="External"/><Relationship Id="rId129" Type="http://schemas.openxmlformats.org/officeDocument/2006/relationships/hyperlink" Target="https://replay.pokemonshowdown.com/smogtours-gen3ou-794101?p2" TargetMode="External"/><Relationship Id="rId128" Type="http://schemas.openxmlformats.org/officeDocument/2006/relationships/hyperlink" Target="https://replay.pokemonshowdown.com/smogtours-gen3ou-794096?p2" TargetMode="External"/><Relationship Id="rId127" Type="http://schemas.openxmlformats.org/officeDocument/2006/relationships/hyperlink" Target="https://replay.pokemonshowdown.com/smogtours-gen3ou-794139" TargetMode="External"/><Relationship Id="rId126" Type="http://schemas.openxmlformats.org/officeDocument/2006/relationships/hyperlink" Target="https://replay.pokemonshowdown.com/smogtours-gen3ou-794137" TargetMode="External"/><Relationship Id="rId3371" Type="http://schemas.openxmlformats.org/officeDocument/2006/relationships/hyperlink" Target="https://replay.pokemonshowdown.com/smogtours-gen3ou-803116" TargetMode="External"/><Relationship Id="rId2040" Type="http://schemas.openxmlformats.org/officeDocument/2006/relationships/hyperlink" Target="https://replay.pokemonshowdown.com/smogtours-gen3ou-798999" TargetMode="External"/><Relationship Id="rId3370" Type="http://schemas.openxmlformats.org/officeDocument/2006/relationships/hyperlink" Target="https://replay.pokemonshowdown.com/smogtours-gen3ou-803107" TargetMode="External"/><Relationship Id="rId121" Type="http://schemas.openxmlformats.org/officeDocument/2006/relationships/hyperlink" Target="https://replay.pokemonshowdown.com/gen3ou-2214707358-jtap5asse3mqdmu30upvjhq8bkui41hpw" TargetMode="External"/><Relationship Id="rId2041" Type="http://schemas.openxmlformats.org/officeDocument/2006/relationships/hyperlink" Target="https://replay.pokemonshowdown.com/smogtours-gen3ou-799014" TargetMode="External"/><Relationship Id="rId3373" Type="http://schemas.openxmlformats.org/officeDocument/2006/relationships/hyperlink" Target="https://replay.pokemonshowdown.com/smogtours-gen3ou-803178" TargetMode="External"/><Relationship Id="rId120" Type="http://schemas.openxmlformats.org/officeDocument/2006/relationships/hyperlink" Target="https://replay.pokemonshowdown.com/gen3ou-2214695939-3jt0vcrezff69ao2cdz9d1eicuerqv6pw" TargetMode="External"/><Relationship Id="rId2042" Type="http://schemas.openxmlformats.org/officeDocument/2006/relationships/hyperlink" Target="https://replay.pokemonshowdown.com/smogtours-gen3ou-799025" TargetMode="External"/><Relationship Id="rId3372" Type="http://schemas.openxmlformats.org/officeDocument/2006/relationships/hyperlink" Target="https://replay.pokemonshowdown.com/smogtours-gen3ou-803177" TargetMode="External"/><Relationship Id="rId2043" Type="http://schemas.openxmlformats.org/officeDocument/2006/relationships/hyperlink" Target="https://replay.pokemonshowdown.com/smogtours-gen3ou-798953" TargetMode="External"/><Relationship Id="rId3375" Type="http://schemas.openxmlformats.org/officeDocument/2006/relationships/hyperlink" Target="https://replay.pokemonshowdown.com/smogtours-gen3ou-803243" TargetMode="External"/><Relationship Id="rId2044" Type="http://schemas.openxmlformats.org/officeDocument/2006/relationships/hyperlink" Target="https://replay.pokemonshowdown.com/smogtours-gen3ou-798962" TargetMode="External"/><Relationship Id="rId3374" Type="http://schemas.openxmlformats.org/officeDocument/2006/relationships/hyperlink" Target="https://replay.pokemonshowdown.com/smogtours-gen3ou-803242" TargetMode="External"/><Relationship Id="rId125" Type="http://schemas.openxmlformats.org/officeDocument/2006/relationships/hyperlink" Target="https://replay.pokemonshowdown.com/smogtours-gen3ou-794132" TargetMode="External"/><Relationship Id="rId2045" Type="http://schemas.openxmlformats.org/officeDocument/2006/relationships/hyperlink" Target="https://replay.pokemonshowdown.com/smogtours-gen3ou-799062" TargetMode="External"/><Relationship Id="rId3377" Type="http://schemas.openxmlformats.org/officeDocument/2006/relationships/hyperlink" Target="https://replay.pokemonshowdown.com/smogtours-gen3ou-803163" TargetMode="External"/><Relationship Id="rId124" Type="http://schemas.openxmlformats.org/officeDocument/2006/relationships/hyperlink" Target="https://replay.pokemonshowdown.com/smogtours-gen3ou-794066" TargetMode="External"/><Relationship Id="rId2046" Type="http://schemas.openxmlformats.org/officeDocument/2006/relationships/hyperlink" Target="https://replay.pokemonshowdown.com/smogtours-gen3ou-799066" TargetMode="External"/><Relationship Id="rId3376" Type="http://schemas.openxmlformats.org/officeDocument/2006/relationships/hyperlink" Target="https://replay.pokemonshowdown.com/smogtours-gen3ou-803154" TargetMode="External"/><Relationship Id="rId123" Type="http://schemas.openxmlformats.org/officeDocument/2006/relationships/hyperlink" Target="https://replay.pokemonshowdown.com/smogtours-gen3ou-794052" TargetMode="External"/><Relationship Id="rId2047" Type="http://schemas.openxmlformats.org/officeDocument/2006/relationships/hyperlink" Target="https://replay.pokemonshowdown.com/smogtours-gen3ou-799071" TargetMode="External"/><Relationship Id="rId3379" Type="http://schemas.openxmlformats.org/officeDocument/2006/relationships/hyperlink" Target="https://replay.pokemonshowdown.com/smogtours-gen3ou-803311" TargetMode="External"/><Relationship Id="rId122" Type="http://schemas.openxmlformats.org/officeDocument/2006/relationships/hyperlink" Target="https://replay.pokemonshowdown.com/gen3ou-2214716151-t0hc9pdi7wt4i5qrpdprlytkvot2oc4pw" TargetMode="External"/><Relationship Id="rId2048" Type="http://schemas.openxmlformats.org/officeDocument/2006/relationships/hyperlink" Target="https://replay.pokemonshowdown.com/smogtours-gen3ou-798887" TargetMode="External"/><Relationship Id="rId3378" Type="http://schemas.openxmlformats.org/officeDocument/2006/relationships/hyperlink" Target="https://replay.pokemonshowdown.com/smogtours-gen3ou-803289" TargetMode="External"/><Relationship Id="rId2038" Type="http://schemas.openxmlformats.org/officeDocument/2006/relationships/hyperlink" Target="https://replay.pokemonshowdown.com/smogtours-gen3ou-798930" TargetMode="External"/><Relationship Id="rId2039" Type="http://schemas.openxmlformats.org/officeDocument/2006/relationships/hyperlink" Target="https://replay.pokemonshowdown.com/smogtours-gen3ou-798936" TargetMode="External"/><Relationship Id="rId3369" Type="http://schemas.openxmlformats.org/officeDocument/2006/relationships/hyperlink" Target="https://replay.pokemonshowdown.com/smogtours-gen3ou-803097" TargetMode="External"/><Relationship Id="rId118" Type="http://schemas.openxmlformats.org/officeDocument/2006/relationships/hyperlink" Target="https://replay.pokemonshowdown.com/smogtours-gen3ou-794121" TargetMode="External"/><Relationship Id="rId117" Type="http://schemas.openxmlformats.org/officeDocument/2006/relationships/hyperlink" Target="https://replay.pokemonshowdown.com/gen3ou-2214667128" TargetMode="External"/><Relationship Id="rId116" Type="http://schemas.openxmlformats.org/officeDocument/2006/relationships/hyperlink" Target="https://replay.pokemonshowdown.com/gen3ou-2214662890" TargetMode="External"/><Relationship Id="rId115" Type="http://schemas.openxmlformats.org/officeDocument/2006/relationships/hyperlink" Target="https://replay.pokemonshowdown.com/gen3ou-2214654026" TargetMode="External"/><Relationship Id="rId3360" Type="http://schemas.openxmlformats.org/officeDocument/2006/relationships/hyperlink" Target="https://replay.pokemonshowdown.com/smogtours-gen3ou-802316" TargetMode="External"/><Relationship Id="rId119" Type="http://schemas.openxmlformats.org/officeDocument/2006/relationships/hyperlink" Target="https://replay.pokemonshowdown.com/smogtours-gen3ou-794128" TargetMode="External"/><Relationship Id="rId110" Type="http://schemas.openxmlformats.org/officeDocument/2006/relationships/hyperlink" Target="https://replay.pokemonshowdown.com/smogtours-gen3ou-793985" TargetMode="External"/><Relationship Id="rId2030" Type="http://schemas.openxmlformats.org/officeDocument/2006/relationships/hyperlink" Target="https://replay.pokemonshowdown.com/smogtours-gen3ou-797802" TargetMode="External"/><Relationship Id="rId3362" Type="http://schemas.openxmlformats.org/officeDocument/2006/relationships/hyperlink" Target="https://replay.pokemonshowdown.com/smogtours-gen3ou-803058" TargetMode="External"/><Relationship Id="rId2031" Type="http://schemas.openxmlformats.org/officeDocument/2006/relationships/hyperlink" Target="https://replay.pokemonshowdown.com/smogtours-gen3ou-798690" TargetMode="External"/><Relationship Id="rId3361" Type="http://schemas.openxmlformats.org/officeDocument/2006/relationships/hyperlink" Target="https://replay.pokemonshowdown.com/smogtours-gen3ou-803056" TargetMode="External"/><Relationship Id="rId2032" Type="http://schemas.openxmlformats.org/officeDocument/2006/relationships/hyperlink" Target="https://replay.pokemonshowdown.com/smogtours-gen3ou-798694" TargetMode="External"/><Relationship Id="rId3364" Type="http://schemas.openxmlformats.org/officeDocument/2006/relationships/hyperlink" Target="https://replay.pokemonshowdown.com/smogtours-gen3ou-803188" TargetMode="External"/><Relationship Id="rId2033" Type="http://schemas.openxmlformats.org/officeDocument/2006/relationships/hyperlink" Target="https://replay.pokemonshowdown.com/smogtours-gen3ou-797420" TargetMode="External"/><Relationship Id="rId3363" Type="http://schemas.openxmlformats.org/officeDocument/2006/relationships/hyperlink" Target="https://replay.pokemonshowdown.com/smogtours-gen3ou-803186" TargetMode="External"/><Relationship Id="rId114" Type="http://schemas.openxmlformats.org/officeDocument/2006/relationships/hyperlink" Target="https://replay.pokemonshowdown.com/smogtours-gen3ou-793950" TargetMode="External"/><Relationship Id="rId2034" Type="http://schemas.openxmlformats.org/officeDocument/2006/relationships/hyperlink" Target="https://replay.pokemonshowdown.com/smogtours-gen3ou-797426" TargetMode="External"/><Relationship Id="rId3366" Type="http://schemas.openxmlformats.org/officeDocument/2006/relationships/hyperlink" Target="https://replay.pokemonshowdown.com/smogtours-gen3ou-802750" TargetMode="External"/><Relationship Id="rId113" Type="http://schemas.openxmlformats.org/officeDocument/2006/relationships/hyperlink" Target="https://replay.pokemonshowdown.com/smogtours-gen3ou-793942" TargetMode="External"/><Relationship Id="rId2035" Type="http://schemas.openxmlformats.org/officeDocument/2006/relationships/hyperlink" Target="https://replay.pokemonshowdown.com/smogtours-gen3ou-798531" TargetMode="External"/><Relationship Id="rId3365" Type="http://schemas.openxmlformats.org/officeDocument/2006/relationships/hyperlink" Target="https://replay.pokemonshowdown.com/smogtours-gen3ou-803190" TargetMode="External"/><Relationship Id="rId112" Type="http://schemas.openxmlformats.org/officeDocument/2006/relationships/hyperlink" Target="https://replay.pokemonshowdown.com/smogtours-gen3ou-793940?p2" TargetMode="External"/><Relationship Id="rId2036" Type="http://schemas.openxmlformats.org/officeDocument/2006/relationships/hyperlink" Target="https://replay.pokemonshowdown.com/smogtours-gen3ou-798537" TargetMode="External"/><Relationship Id="rId3368" Type="http://schemas.openxmlformats.org/officeDocument/2006/relationships/hyperlink" Target="https://replay.pokemonshowdown.com/smogtours-gen3ou-803093" TargetMode="External"/><Relationship Id="rId111" Type="http://schemas.openxmlformats.org/officeDocument/2006/relationships/hyperlink" Target="https://replay.pokemonshowdown.com/smogtours-gen3ou-793988" TargetMode="External"/><Relationship Id="rId2037" Type="http://schemas.openxmlformats.org/officeDocument/2006/relationships/hyperlink" Target="https://replay.pokemonshowdown.com/smogtours-gen3ou-798541" TargetMode="External"/><Relationship Id="rId3367" Type="http://schemas.openxmlformats.org/officeDocument/2006/relationships/hyperlink" Target="https://replay.pokemonshowdown.com/smogtours-gen3ou-802750" TargetMode="External"/><Relationship Id="rId3315" Type="http://schemas.openxmlformats.org/officeDocument/2006/relationships/hyperlink" Target="https://replay.pokemonshowdown.com/smogtours-gen3ou-803199" TargetMode="External"/><Relationship Id="rId3314" Type="http://schemas.openxmlformats.org/officeDocument/2006/relationships/hyperlink" Target="https://replay.pokemonshowdown.com/smogtours-gen3ou-803195" TargetMode="External"/><Relationship Id="rId3317" Type="http://schemas.openxmlformats.org/officeDocument/2006/relationships/hyperlink" Target="https://replay.pokemonshowdown.com/smogtours-gen3ou-802700" TargetMode="External"/><Relationship Id="rId3316" Type="http://schemas.openxmlformats.org/officeDocument/2006/relationships/hyperlink" Target="https://replay.pokemonshowdown.com/smogtours-gen3ou-802696" TargetMode="External"/><Relationship Id="rId3319" Type="http://schemas.openxmlformats.org/officeDocument/2006/relationships/hyperlink" Target="https://replay.pokemonshowdown.com/smogtours-gen3ou-802776" TargetMode="External"/><Relationship Id="rId3318" Type="http://schemas.openxmlformats.org/officeDocument/2006/relationships/hyperlink" Target="https://replay.pokemonshowdown.com/smogtours-gen3ou-802763" TargetMode="External"/><Relationship Id="rId3311" Type="http://schemas.openxmlformats.org/officeDocument/2006/relationships/hyperlink" Target="https://replay.pokemonshowdown.com/smogtours-gen3ou-802569?p2" TargetMode="External"/><Relationship Id="rId3310" Type="http://schemas.openxmlformats.org/officeDocument/2006/relationships/hyperlink" Target="https://replay.pokemonshowdown.com/smogtours-gen3ou-802556?p2" TargetMode="External"/><Relationship Id="rId3313" Type="http://schemas.openxmlformats.org/officeDocument/2006/relationships/hyperlink" Target="https://replay.pokemonshowdown.com/smogtours-gen3ou-803200" TargetMode="External"/><Relationship Id="rId3312" Type="http://schemas.openxmlformats.org/officeDocument/2006/relationships/hyperlink" Target="https://replay.pokemonshowdown.com/smogtours-gen3ou-803196" TargetMode="External"/><Relationship Id="rId3304" Type="http://schemas.openxmlformats.org/officeDocument/2006/relationships/hyperlink" Target="https://replay.pokemonshowdown.com/smogtours-gen3ou-803057" TargetMode="External"/><Relationship Id="rId3303" Type="http://schemas.openxmlformats.org/officeDocument/2006/relationships/hyperlink" Target="https://replay.pokemonshowdown.com/smogtours-gen3ou-803104" TargetMode="External"/><Relationship Id="rId3306" Type="http://schemas.openxmlformats.org/officeDocument/2006/relationships/hyperlink" Target="https://replay.pokemonshowdown.com/smogtours-gen3ou-802375" TargetMode="External"/><Relationship Id="rId3305" Type="http://schemas.openxmlformats.org/officeDocument/2006/relationships/hyperlink" Target="https://replay.pokemonshowdown.com/smogtours-gen3ou-803055" TargetMode="External"/><Relationship Id="rId3308" Type="http://schemas.openxmlformats.org/officeDocument/2006/relationships/hyperlink" Target="https://replay.pokemonshowdown.com/smogtours-gen3ou-803085" TargetMode="External"/><Relationship Id="rId3307" Type="http://schemas.openxmlformats.org/officeDocument/2006/relationships/hyperlink" Target="https://replay.pokemonshowdown.com/smogtours-gen3ou-802376" TargetMode="External"/><Relationship Id="rId3309" Type="http://schemas.openxmlformats.org/officeDocument/2006/relationships/hyperlink" Target="https://replay.pokemonshowdown.com/smogtours-gen3ou-803092" TargetMode="External"/><Relationship Id="rId3300" Type="http://schemas.openxmlformats.org/officeDocument/2006/relationships/hyperlink" Target="https://replay.pokemonshowdown.com/smogtours-gen3ou-803166" TargetMode="External"/><Relationship Id="rId3302" Type="http://schemas.openxmlformats.org/officeDocument/2006/relationships/hyperlink" Target="https://replay.pokemonshowdown.com/smogtours-gen3ou-803099" TargetMode="External"/><Relationship Id="rId3301" Type="http://schemas.openxmlformats.org/officeDocument/2006/relationships/hyperlink" Target="https://replay.pokemonshowdown.com/smogtours-gen3ou-803171" TargetMode="External"/><Relationship Id="rId2005" Type="http://schemas.openxmlformats.org/officeDocument/2006/relationships/hyperlink" Target="https://replay.pokemonshowdown.com/smogtours-gen3ou-797155" TargetMode="External"/><Relationship Id="rId3337" Type="http://schemas.openxmlformats.org/officeDocument/2006/relationships/hyperlink" Target="https://replay.pokemonshowdown.com/smogtours-gen3ou-803245" TargetMode="External"/><Relationship Id="rId2006" Type="http://schemas.openxmlformats.org/officeDocument/2006/relationships/hyperlink" Target="https://replay.pokemonshowdown.com/smogtours-gen3ou-797157" TargetMode="External"/><Relationship Id="rId3336" Type="http://schemas.openxmlformats.org/officeDocument/2006/relationships/hyperlink" Target="https://replay.pokemonshowdown.com/smogtours-gen3ou-803244" TargetMode="External"/><Relationship Id="rId2007" Type="http://schemas.openxmlformats.org/officeDocument/2006/relationships/hyperlink" Target="https://replay.pokemonshowdown.com/smogtours-gen3ou-797159" TargetMode="External"/><Relationship Id="rId3339" Type="http://schemas.openxmlformats.org/officeDocument/2006/relationships/hyperlink" Target="https://replay.pokemonshowdown.com/smogtours-gen3ou-803136" TargetMode="External"/><Relationship Id="rId2008" Type="http://schemas.openxmlformats.org/officeDocument/2006/relationships/hyperlink" Target="https://replay.pokemonshowdown.com/smogtours-gen3ou-799076" TargetMode="External"/><Relationship Id="rId3338" Type="http://schemas.openxmlformats.org/officeDocument/2006/relationships/hyperlink" Target="https://replay.pokemonshowdown.com/smogtours-gen3ou-803246" TargetMode="External"/><Relationship Id="rId2009" Type="http://schemas.openxmlformats.org/officeDocument/2006/relationships/hyperlink" Target="https://replay.pokemonshowdown.com/smogtours-gen3ou-799078" TargetMode="External"/><Relationship Id="rId3331" Type="http://schemas.openxmlformats.org/officeDocument/2006/relationships/hyperlink" Target="https://replay.pokemonshowdown.com/smogtours-gen3ou-803210" TargetMode="External"/><Relationship Id="rId2000" Type="http://schemas.openxmlformats.org/officeDocument/2006/relationships/hyperlink" Target="https://replay.pokemonshowdown.com/smogtours-gen3ou-798588" TargetMode="External"/><Relationship Id="rId3330" Type="http://schemas.openxmlformats.org/officeDocument/2006/relationships/hyperlink" Target="https://replay.pokemonshowdown.com/smogtours-gen3ou-803206" TargetMode="External"/><Relationship Id="rId2001" Type="http://schemas.openxmlformats.org/officeDocument/2006/relationships/hyperlink" Target="https://replay.pokemonshowdown.com/smogtours-gen3ou-798187" TargetMode="External"/><Relationship Id="rId3333" Type="http://schemas.openxmlformats.org/officeDocument/2006/relationships/hyperlink" Target="https://replay.pokemonshowdown.com/smogtours-gen3ou-803252" TargetMode="External"/><Relationship Id="rId2002" Type="http://schemas.openxmlformats.org/officeDocument/2006/relationships/hyperlink" Target="https://replay.pokemonshowdown.com/smogtours-gen3ou-798192" TargetMode="External"/><Relationship Id="rId3332" Type="http://schemas.openxmlformats.org/officeDocument/2006/relationships/hyperlink" Target="https://replay.pokemonshowdown.com/smogtours-gen3ou-803248" TargetMode="External"/><Relationship Id="rId2003" Type="http://schemas.openxmlformats.org/officeDocument/2006/relationships/hyperlink" Target="https://replay.pokemonshowdown.com/smogtours-gen3ou-798164" TargetMode="External"/><Relationship Id="rId3335" Type="http://schemas.openxmlformats.org/officeDocument/2006/relationships/hyperlink" Target="https://replay.pokemonshowdown.com/smogtours-gen3ou-803264" TargetMode="External"/><Relationship Id="rId2004" Type="http://schemas.openxmlformats.org/officeDocument/2006/relationships/hyperlink" Target="https://replay.pokemonshowdown.com/smogtours-gen3ou-798180" TargetMode="External"/><Relationship Id="rId3334" Type="http://schemas.openxmlformats.org/officeDocument/2006/relationships/hyperlink" Target="https://replay.pokemonshowdown.com/smogtours-gen3ou-803262" TargetMode="External"/><Relationship Id="rId3326" Type="http://schemas.openxmlformats.org/officeDocument/2006/relationships/hyperlink" Target="https://replay.pokemonshowdown.com/smogtours-gen3ou-803222" TargetMode="External"/><Relationship Id="rId3325" Type="http://schemas.openxmlformats.org/officeDocument/2006/relationships/hyperlink" Target="https://replay.pokemonshowdown.com/smogtours-gen3ou-803221" TargetMode="External"/><Relationship Id="rId3328" Type="http://schemas.openxmlformats.org/officeDocument/2006/relationships/hyperlink" Target="https://replay.pokemonshowdown.com/smogtours-gen3ou-803227" TargetMode="External"/><Relationship Id="rId3327" Type="http://schemas.openxmlformats.org/officeDocument/2006/relationships/hyperlink" Target="https://replay.pokemonshowdown.com/smogtours-gen3ou-803226" TargetMode="External"/><Relationship Id="rId3329" Type="http://schemas.openxmlformats.org/officeDocument/2006/relationships/hyperlink" Target="https://replay.pokemonshowdown.com/smogtours-gen3ou-803202" TargetMode="External"/><Relationship Id="rId3320" Type="http://schemas.openxmlformats.org/officeDocument/2006/relationships/hyperlink" Target="https://replay.pokemonshowdown.com/smogtours-gen3ou-802543" TargetMode="External"/><Relationship Id="rId3322" Type="http://schemas.openxmlformats.org/officeDocument/2006/relationships/hyperlink" Target="https://replay.pokemonshowdown.com/smogtours-gen3ou-803096" TargetMode="External"/><Relationship Id="rId3321" Type="http://schemas.openxmlformats.org/officeDocument/2006/relationships/hyperlink" Target="https://replay.pokemonshowdown.com/smogtours-gen3ou-802549" TargetMode="External"/><Relationship Id="rId3324" Type="http://schemas.openxmlformats.org/officeDocument/2006/relationships/hyperlink" Target="https://replay.pokemonshowdown.com/smogtours-gen3ou-803220" TargetMode="External"/><Relationship Id="rId3323" Type="http://schemas.openxmlformats.org/officeDocument/2006/relationships/hyperlink" Target="https://replay.pokemonshowdown.com/smogtours-gen3ou-803100" TargetMode="External"/><Relationship Id="rId2090" Type="http://schemas.openxmlformats.org/officeDocument/2006/relationships/hyperlink" Target="https://replay.pokemonshowdown.com/smogtours-gen3ou-799281" TargetMode="External"/><Relationship Id="rId2091" Type="http://schemas.openxmlformats.org/officeDocument/2006/relationships/hyperlink" Target="https://replay.pokemonshowdown.com/smogtours-gen3ou-799267" TargetMode="External"/><Relationship Id="rId2092" Type="http://schemas.openxmlformats.org/officeDocument/2006/relationships/hyperlink" Target="https://replay.pokemonshowdown.com/smogtours-gen3ou-799269" TargetMode="External"/><Relationship Id="rId2093" Type="http://schemas.openxmlformats.org/officeDocument/2006/relationships/hyperlink" Target="https://replay.pokemonshowdown.com/smogtours-gen3ou-799272" TargetMode="External"/><Relationship Id="rId2094" Type="http://schemas.openxmlformats.org/officeDocument/2006/relationships/hyperlink" Target="https://replay.pokemonshowdown.com/smogtours-gen3ou-799202" TargetMode="External"/><Relationship Id="rId2095" Type="http://schemas.openxmlformats.org/officeDocument/2006/relationships/hyperlink" Target="https://replay.pokemonshowdown.com/smogtours-gen3ou-799205" TargetMode="External"/><Relationship Id="rId2096" Type="http://schemas.openxmlformats.org/officeDocument/2006/relationships/hyperlink" Target="https://replay.pokemonshowdown.com/smogtours-gen3ou-799227" TargetMode="External"/><Relationship Id="rId2097" Type="http://schemas.openxmlformats.org/officeDocument/2006/relationships/hyperlink" Target="https://replay.pokemonshowdown.com/smogtours-gen3ou-799229" TargetMode="External"/><Relationship Id="rId2098" Type="http://schemas.openxmlformats.org/officeDocument/2006/relationships/hyperlink" Target="https://replay.pokemonshowdown.com/smogtours-gen3ou-799230" TargetMode="External"/><Relationship Id="rId2099" Type="http://schemas.openxmlformats.org/officeDocument/2006/relationships/hyperlink" Target="https://replay.pokemonshowdown.com/smogtours-gen3ou-799326" TargetMode="External"/><Relationship Id="rId3391" Type="http://schemas.openxmlformats.org/officeDocument/2006/relationships/hyperlink" Target="https://replay.pokemonshowdown.com/smogtours-gen3ou-803380" TargetMode="External"/><Relationship Id="rId2060" Type="http://schemas.openxmlformats.org/officeDocument/2006/relationships/hyperlink" Target="https://replay.pokemonshowdown.com/smogtours-gen3ou-798976" TargetMode="External"/><Relationship Id="rId3390" Type="http://schemas.openxmlformats.org/officeDocument/2006/relationships/hyperlink" Target="https://replay.pokemonshowdown.com/smogtours-gen3ou-803376" TargetMode="External"/><Relationship Id="rId2061" Type="http://schemas.openxmlformats.org/officeDocument/2006/relationships/hyperlink" Target="https://replay.pokemonshowdown.com/smogtours-gen3ou-798982" TargetMode="External"/><Relationship Id="rId3393" Type="http://schemas.openxmlformats.org/officeDocument/2006/relationships/hyperlink" Target="https://replay.pokemonshowdown.com/smogtours-gen3ou-803369" TargetMode="External"/><Relationship Id="rId2062" Type="http://schemas.openxmlformats.org/officeDocument/2006/relationships/hyperlink" Target="https://replay.pokemonshowdown.com/smogtours-gen3ou-798993" TargetMode="External"/><Relationship Id="rId3392" Type="http://schemas.openxmlformats.org/officeDocument/2006/relationships/hyperlink" Target="https://replay.pokemonshowdown.com/smogtours-gen3ou-803385" TargetMode="External"/><Relationship Id="rId2063" Type="http://schemas.openxmlformats.org/officeDocument/2006/relationships/hyperlink" Target="https://replay.pokemonshowdown.com/smogtours-gen3ou-798984" TargetMode="External"/><Relationship Id="rId3395" Type="http://schemas.openxmlformats.org/officeDocument/2006/relationships/hyperlink" Target="https://replay.pokemonshowdown.com/smogtours-gen3ou-803374" TargetMode="External"/><Relationship Id="rId2064" Type="http://schemas.openxmlformats.org/officeDocument/2006/relationships/hyperlink" Target="https://replay.pokemonshowdown.com/smogtours-gen3ou-798987" TargetMode="External"/><Relationship Id="rId3394" Type="http://schemas.openxmlformats.org/officeDocument/2006/relationships/hyperlink" Target="https://replay.pokemonshowdown.com/smogtours-gen3ou-803372" TargetMode="External"/><Relationship Id="rId2065" Type="http://schemas.openxmlformats.org/officeDocument/2006/relationships/hyperlink" Target="https://replay.pokemonshowdown.com/smogtours-gen3ou-798931" TargetMode="External"/><Relationship Id="rId3397" Type="http://schemas.openxmlformats.org/officeDocument/2006/relationships/hyperlink" Target="https://replay.pokemonshowdown.com/smogtours-gen3ou-803383" TargetMode="External"/><Relationship Id="rId2066" Type="http://schemas.openxmlformats.org/officeDocument/2006/relationships/hyperlink" Target="https://replay.pokemonshowdown.com/smogtours-gen3ou-798933" TargetMode="External"/><Relationship Id="rId3396" Type="http://schemas.openxmlformats.org/officeDocument/2006/relationships/hyperlink" Target="https://replay.pokemonshowdown.com/smogtours-gen3ou-803379" TargetMode="External"/><Relationship Id="rId2067" Type="http://schemas.openxmlformats.org/officeDocument/2006/relationships/hyperlink" Target="https://replay.pokemonshowdown.com/smogtours-gen3ou-798938" TargetMode="External"/><Relationship Id="rId3399" Type="http://schemas.openxmlformats.org/officeDocument/2006/relationships/hyperlink" Target="https://replay.pokemonshowdown.com/smogtours-gen3ou-803083" TargetMode="External"/><Relationship Id="rId2068" Type="http://schemas.openxmlformats.org/officeDocument/2006/relationships/hyperlink" Target="https://replay.pokemonshowdown.com/smogtours-gen3ou-798916" TargetMode="External"/><Relationship Id="rId3398" Type="http://schemas.openxmlformats.org/officeDocument/2006/relationships/hyperlink" Target="https://replay.pokemonshowdown.com/smogtours-gen3ou-803081" TargetMode="External"/><Relationship Id="rId2069" Type="http://schemas.openxmlformats.org/officeDocument/2006/relationships/hyperlink" Target="https://replay.pokemonshowdown.com/smogtours-gen3ou-798921" TargetMode="External"/><Relationship Id="rId3380" Type="http://schemas.openxmlformats.org/officeDocument/2006/relationships/hyperlink" Target="https://replay.pokemonshowdown.com/smogtours-gen3ou-803321" TargetMode="External"/><Relationship Id="rId2050" Type="http://schemas.openxmlformats.org/officeDocument/2006/relationships/hyperlink" Target="https://replay.pokemonshowdown.com/smogtours-gen3ou-799055?p2" TargetMode="External"/><Relationship Id="rId3382" Type="http://schemas.openxmlformats.org/officeDocument/2006/relationships/hyperlink" Target="https://replay.pokemonshowdown.com/smogtours-gen3ou-803348" TargetMode="External"/><Relationship Id="rId2051" Type="http://schemas.openxmlformats.org/officeDocument/2006/relationships/hyperlink" Target="https://replay.pokemonshowdown.com/smogtours-gen3ou-799057" TargetMode="External"/><Relationship Id="rId3381" Type="http://schemas.openxmlformats.org/officeDocument/2006/relationships/hyperlink" Target="https://replay.pokemonshowdown.com/smogtours-gen3ou-803341" TargetMode="External"/><Relationship Id="rId2052" Type="http://schemas.openxmlformats.org/officeDocument/2006/relationships/hyperlink" Target="https://replay.pokemonshowdown.com/smogtours-gen3ou-799006" TargetMode="External"/><Relationship Id="rId3384" Type="http://schemas.openxmlformats.org/officeDocument/2006/relationships/hyperlink" Target="https://replay.pokemonshowdown.com/smogtours-gen3ou-803351" TargetMode="External"/><Relationship Id="rId2053" Type="http://schemas.openxmlformats.org/officeDocument/2006/relationships/hyperlink" Target="https://replay.pokemonshowdown.com/smogtours-gen3ou-799022" TargetMode="External"/><Relationship Id="rId3383" Type="http://schemas.openxmlformats.org/officeDocument/2006/relationships/hyperlink" Target="https://replay.pokemonshowdown.com/smogtours-gen3ou-803347" TargetMode="External"/><Relationship Id="rId2054" Type="http://schemas.openxmlformats.org/officeDocument/2006/relationships/hyperlink" Target="https://replay.pokemonshowdown.com/smogtours-gen3ou-798932" TargetMode="External"/><Relationship Id="rId3386" Type="http://schemas.openxmlformats.org/officeDocument/2006/relationships/hyperlink" Target="https://replay.pokemonshowdown.com/smogtours-gen3ou-803355" TargetMode="External"/><Relationship Id="rId2055" Type="http://schemas.openxmlformats.org/officeDocument/2006/relationships/hyperlink" Target="https://replay.pokemonshowdown.com/smogtours-gen3ou-798939" TargetMode="External"/><Relationship Id="rId3385" Type="http://schemas.openxmlformats.org/officeDocument/2006/relationships/hyperlink" Target="https://replay.pokemonshowdown.com/smogtours-gen3ou-803355" TargetMode="External"/><Relationship Id="rId2056" Type="http://schemas.openxmlformats.org/officeDocument/2006/relationships/hyperlink" Target="https://replay.pokemonshowdown.com/smogtours-gen3ou-799002" TargetMode="External"/><Relationship Id="rId3388" Type="http://schemas.openxmlformats.org/officeDocument/2006/relationships/hyperlink" Target="https://replay.pokemonshowdown.com/smogtours-gen3ou-803358" TargetMode="External"/><Relationship Id="rId2057" Type="http://schemas.openxmlformats.org/officeDocument/2006/relationships/hyperlink" Target="https://replay.pokemonshowdown.com/smogtours-gen3ou-799024" TargetMode="External"/><Relationship Id="rId3387" Type="http://schemas.openxmlformats.org/officeDocument/2006/relationships/hyperlink" Target="https://replay.pokemonshowdown.com/smogtours-gen3ou-803355" TargetMode="External"/><Relationship Id="rId2058" Type="http://schemas.openxmlformats.org/officeDocument/2006/relationships/hyperlink" Target="https://replay.pokemonshowdown.com/smogtours-gen3ou-799033" TargetMode="External"/><Relationship Id="rId2059" Type="http://schemas.openxmlformats.org/officeDocument/2006/relationships/hyperlink" Target="https://replay.pokemonshowdown.com/smogtours-gen3ou-798995" TargetMode="External"/><Relationship Id="rId3389" Type="http://schemas.openxmlformats.org/officeDocument/2006/relationships/hyperlink" Target="https://replay.pokemonshowdown.com/smogtours-gen3ou-803366" TargetMode="External"/><Relationship Id="rId2080" Type="http://schemas.openxmlformats.org/officeDocument/2006/relationships/hyperlink" Target="https://replay.pokemonshowdown.com/smogtours-gen3ou-798919" TargetMode="External"/><Relationship Id="rId2081" Type="http://schemas.openxmlformats.org/officeDocument/2006/relationships/hyperlink" Target="https://replay.pokemonshowdown.com/smogtours-gen3ou-798925" TargetMode="External"/><Relationship Id="rId2082" Type="http://schemas.openxmlformats.org/officeDocument/2006/relationships/hyperlink" Target="https://replay.pokemonshowdown.com/smogtours-gen3ou-799000" TargetMode="External"/><Relationship Id="rId2083" Type="http://schemas.openxmlformats.org/officeDocument/2006/relationships/hyperlink" Target="https://replay.pokemonshowdown.com/smogtours-gen3ou-799001" TargetMode="External"/><Relationship Id="rId2084" Type="http://schemas.openxmlformats.org/officeDocument/2006/relationships/hyperlink" Target="https://replay.pokemonshowdown.com/smogtours-gen3ou-799011" TargetMode="External"/><Relationship Id="rId2085" Type="http://schemas.openxmlformats.org/officeDocument/2006/relationships/hyperlink" Target="https://replay.pokemonshowdown.com/smogtours-gen3ou-799073" TargetMode="External"/><Relationship Id="rId2086" Type="http://schemas.openxmlformats.org/officeDocument/2006/relationships/hyperlink" Target="https://replay.pokemonshowdown.com/smogtours-gen3ou-799074" TargetMode="External"/><Relationship Id="rId2087" Type="http://schemas.openxmlformats.org/officeDocument/2006/relationships/hyperlink" Target="https://replay.pokemonshowdown.com/smogtours-gen3ou-799239" TargetMode="External"/><Relationship Id="rId2088" Type="http://schemas.openxmlformats.org/officeDocument/2006/relationships/hyperlink" Target="https://replay.pokemonshowdown.com/smogtours-gen3ou-799240" TargetMode="External"/><Relationship Id="rId2089" Type="http://schemas.openxmlformats.org/officeDocument/2006/relationships/hyperlink" Target="https://replay.pokemonshowdown.com/smogtours-gen3ou-799280" TargetMode="External"/><Relationship Id="rId2070" Type="http://schemas.openxmlformats.org/officeDocument/2006/relationships/hyperlink" Target="https://replay.pokemonshowdown.com/smogtours-gen3ou-798923" TargetMode="External"/><Relationship Id="rId2071" Type="http://schemas.openxmlformats.org/officeDocument/2006/relationships/hyperlink" Target="https://replay.pokemonshowdown.com/smogtours-gen3ou-799080" TargetMode="External"/><Relationship Id="rId2072" Type="http://schemas.openxmlformats.org/officeDocument/2006/relationships/hyperlink" Target="https://replay.pokemonshowdown.com/smogtours-gen3ou-799081" TargetMode="External"/><Relationship Id="rId2073" Type="http://schemas.openxmlformats.org/officeDocument/2006/relationships/hyperlink" Target="https://replay.pokemonshowdown.com/smogtours-gen3ou-798834" TargetMode="External"/><Relationship Id="rId2074" Type="http://schemas.openxmlformats.org/officeDocument/2006/relationships/hyperlink" Target="https://replay.pokemonshowdown.com/smogtours-gen3ou-798838?p2" TargetMode="External"/><Relationship Id="rId2075" Type="http://schemas.openxmlformats.org/officeDocument/2006/relationships/hyperlink" Target="https://replay.pokemonshowdown.com/smogtours-gen3ou-798841" TargetMode="External"/><Relationship Id="rId2076" Type="http://schemas.openxmlformats.org/officeDocument/2006/relationships/hyperlink" Target="https://replay.pokemonshowdown.com/smogtours-gen3ou-798893" TargetMode="External"/><Relationship Id="rId2077" Type="http://schemas.openxmlformats.org/officeDocument/2006/relationships/hyperlink" Target="https://replay.pokemonshowdown.com/smogtours-gen3ou-798894" TargetMode="External"/><Relationship Id="rId2078" Type="http://schemas.openxmlformats.org/officeDocument/2006/relationships/hyperlink" Target="https://replay.pokemonshowdown.com/smogtours-gen3ou-798895" TargetMode="External"/><Relationship Id="rId2079" Type="http://schemas.openxmlformats.org/officeDocument/2006/relationships/hyperlink" Target="https://replay.pokemonshowdown.com/smogtours-gen3ou-798914" TargetMode="External"/><Relationship Id="rId2940" Type="http://schemas.openxmlformats.org/officeDocument/2006/relationships/hyperlink" Target="https://replay.pokemonshowdown.com/smogtours-gen3ou-801469" TargetMode="External"/><Relationship Id="rId1610" Type="http://schemas.openxmlformats.org/officeDocument/2006/relationships/hyperlink" Target="https://replay.pokemonshowdown.com/smogtours-gen3ou-798818" TargetMode="External"/><Relationship Id="rId2941" Type="http://schemas.openxmlformats.org/officeDocument/2006/relationships/hyperlink" Target="https://replay.pokemonshowdown.com/smogtours-gen3ou-801473" TargetMode="External"/><Relationship Id="rId1611" Type="http://schemas.openxmlformats.org/officeDocument/2006/relationships/hyperlink" Target="https://replay.pokemonshowdown.com/smogtours-gen3ou-798764" TargetMode="External"/><Relationship Id="rId2942" Type="http://schemas.openxmlformats.org/officeDocument/2006/relationships/hyperlink" Target="https://replay.pokemonshowdown.com/smogtours-gen3ou-801481" TargetMode="External"/><Relationship Id="rId1612" Type="http://schemas.openxmlformats.org/officeDocument/2006/relationships/hyperlink" Target="https://replay.pokemonshowdown.com/smogtours-gen3ou-798769" TargetMode="External"/><Relationship Id="rId2943" Type="http://schemas.openxmlformats.org/officeDocument/2006/relationships/hyperlink" Target="https://replay.pokemonshowdown.com/smogtours-gen3ou-801630" TargetMode="External"/><Relationship Id="rId1613" Type="http://schemas.openxmlformats.org/officeDocument/2006/relationships/hyperlink" Target="https://replay.pokemonshowdown.com/smogtours-gen3ou-798845" TargetMode="External"/><Relationship Id="rId2944" Type="http://schemas.openxmlformats.org/officeDocument/2006/relationships/hyperlink" Target="https://replay.pokemonshowdown.com/smogtours-gen3ou-801640" TargetMode="External"/><Relationship Id="rId1614" Type="http://schemas.openxmlformats.org/officeDocument/2006/relationships/hyperlink" Target="https://replay.pokemonshowdown.com/smogtours-gen3ou-798847" TargetMode="External"/><Relationship Id="rId2945" Type="http://schemas.openxmlformats.org/officeDocument/2006/relationships/hyperlink" Target="https://replay.pokemonshowdown.com/smogtours-gen3ou-801377" TargetMode="External"/><Relationship Id="rId1615" Type="http://schemas.openxmlformats.org/officeDocument/2006/relationships/hyperlink" Target="https://replay.pokemonshowdown.com/smogtours-gen3ou-798798" TargetMode="External"/><Relationship Id="rId2946" Type="http://schemas.openxmlformats.org/officeDocument/2006/relationships/hyperlink" Target="https://replay.pokemonshowdown.com/smogtours-gen3ou-801378" TargetMode="External"/><Relationship Id="rId1616" Type="http://schemas.openxmlformats.org/officeDocument/2006/relationships/hyperlink" Target="https://replay.pokemonshowdown.com/smogtours-gen3ou-798801" TargetMode="External"/><Relationship Id="rId2947" Type="http://schemas.openxmlformats.org/officeDocument/2006/relationships/hyperlink" Target="https://replay.pokemonshowdown.com/smogtours-gen3ou-801389" TargetMode="External"/><Relationship Id="rId907" Type="http://schemas.openxmlformats.org/officeDocument/2006/relationships/hyperlink" Target="https://replay.pokemonshowdown.com/smogtours-gen3ou-796098" TargetMode="External"/><Relationship Id="rId1617" Type="http://schemas.openxmlformats.org/officeDocument/2006/relationships/hyperlink" Target="https://replay.pokemonshowdown.com/smogtours-gen3ou-798805" TargetMode="External"/><Relationship Id="rId2948" Type="http://schemas.openxmlformats.org/officeDocument/2006/relationships/hyperlink" Target="https://replay.pokemonshowdown.com/smogtours-gen3ou-801394" TargetMode="External"/><Relationship Id="rId906" Type="http://schemas.openxmlformats.org/officeDocument/2006/relationships/hyperlink" Target="https://replay.pokemonshowdown.com/smogtours-gen3ou-796524" TargetMode="External"/><Relationship Id="rId1618" Type="http://schemas.openxmlformats.org/officeDocument/2006/relationships/hyperlink" Target="https://replay.pokemonshowdown.com/smogtours-gen3ou-798848" TargetMode="External"/><Relationship Id="rId2949" Type="http://schemas.openxmlformats.org/officeDocument/2006/relationships/hyperlink" Target="https://replay.pokemonshowdown.com/smogtours-gen3ou-801496" TargetMode="External"/><Relationship Id="rId905" Type="http://schemas.openxmlformats.org/officeDocument/2006/relationships/hyperlink" Target="https://replay.pokemonshowdown.com/smogtours-gen3ou-796501" TargetMode="External"/><Relationship Id="rId1619" Type="http://schemas.openxmlformats.org/officeDocument/2006/relationships/hyperlink" Target="https://replay.pokemonshowdown.com/smogtours-gen3ou-798850" TargetMode="External"/><Relationship Id="rId904" Type="http://schemas.openxmlformats.org/officeDocument/2006/relationships/hyperlink" Target="https://replay.pokemonshowdown.com/smogtours-gen3ou-796497" TargetMode="External"/><Relationship Id="rId909" Type="http://schemas.openxmlformats.org/officeDocument/2006/relationships/hyperlink" Target="https://replay.pokemonshowdown.com/smogtours-gen3ou-796106" TargetMode="External"/><Relationship Id="rId908" Type="http://schemas.openxmlformats.org/officeDocument/2006/relationships/hyperlink" Target="https://replay.pokemonshowdown.com/smogtours-gen3ou-796100" TargetMode="External"/><Relationship Id="rId903" Type="http://schemas.openxmlformats.org/officeDocument/2006/relationships/hyperlink" Target="https://replay.pokemonshowdown.com/smogtours-gen3ou-796530" TargetMode="External"/><Relationship Id="rId902" Type="http://schemas.openxmlformats.org/officeDocument/2006/relationships/hyperlink" Target="https://replay.pokemonshowdown.com/smogtours-gen3ou-796529" TargetMode="External"/><Relationship Id="rId901" Type="http://schemas.openxmlformats.org/officeDocument/2006/relationships/hyperlink" Target="https://replay.pokemonshowdown.com/smogtours-gen3ou-796528" TargetMode="External"/><Relationship Id="rId900" Type="http://schemas.openxmlformats.org/officeDocument/2006/relationships/hyperlink" Target="https://replay.pokemonshowdown.com/smogtours-gen3ou-796104" TargetMode="External"/><Relationship Id="rId2930" Type="http://schemas.openxmlformats.org/officeDocument/2006/relationships/hyperlink" Target="https://replay.pokemonshowdown.com/smogtours-gen3ou-801543" TargetMode="External"/><Relationship Id="rId1600" Type="http://schemas.openxmlformats.org/officeDocument/2006/relationships/hyperlink" Target="https://replay.pokemonshowdown.com/smogtours-gen3ou-797707" TargetMode="External"/><Relationship Id="rId2931" Type="http://schemas.openxmlformats.org/officeDocument/2006/relationships/hyperlink" Target="https://replay.pokemonshowdown.com/smogtours-gen3ou-801545" TargetMode="External"/><Relationship Id="rId1601" Type="http://schemas.openxmlformats.org/officeDocument/2006/relationships/hyperlink" Target="https://replay.pokemonshowdown.com/smogtours-gen3ou-798795" TargetMode="External"/><Relationship Id="rId2932" Type="http://schemas.openxmlformats.org/officeDocument/2006/relationships/hyperlink" Target="https://replay.pokemonshowdown.com/smogtours-gen3ou-801292" TargetMode="External"/><Relationship Id="rId1602" Type="http://schemas.openxmlformats.org/officeDocument/2006/relationships/hyperlink" Target="https://replay.pokemonshowdown.com/smogtours-gen3ou-798802" TargetMode="External"/><Relationship Id="rId2933" Type="http://schemas.openxmlformats.org/officeDocument/2006/relationships/hyperlink" Target="https://replay.pokemonshowdown.com/smogtours-gen3ou-801298" TargetMode="External"/><Relationship Id="rId1603" Type="http://schemas.openxmlformats.org/officeDocument/2006/relationships/hyperlink" Target="https://replay.pokemonshowdown.com/smogtours-gen3ou-798808" TargetMode="External"/><Relationship Id="rId2934" Type="http://schemas.openxmlformats.org/officeDocument/2006/relationships/hyperlink" Target="https://replay.pokemonshowdown.com/smogtours-gen3ou-801307" TargetMode="External"/><Relationship Id="rId1604" Type="http://schemas.openxmlformats.org/officeDocument/2006/relationships/hyperlink" Target="https://replay.pokemonshowdown.com/smogtours-gen3ou-798703" TargetMode="External"/><Relationship Id="rId2935" Type="http://schemas.openxmlformats.org/officeDocument/2006/relationships/hyperlink" Target="https://replay.pokemonshowdown.com/smogtours-gen3ou-801486" TargetMode="External"/><Relationship Id="rId1605" Type="http://schemas.openxmlformats.org/officeDocument/2006/relationships/hyperlink" Target="https://replay.pokemonshowdown.com/smogtours-gen3ou-798709" TargetMode="External"/><Relationship Id="rId2936" Type="http://schemas.openxmlformats.org/officeDocument/2006/relationships/hyperlink" Target="https://replay.pokemonshowdown.com/smogtours-gen3ou-801489" TargetMode="External"/><Relationship Id="rId1606" Type="http://schemas.openxmlformats.org/officeDocument/2006/relationships/hyperlink" Target="https://replay.pokemonshowdown.com/smogtours-gen3ou-798812" TargetMode="External"/><Relationship Id="rId2937" Type="http://schemas.openxmlformats.org/officeDocument/2006/relationships/hyperlink" Target="https://replay.pokemonshowdown.com/smogtours-gen3ou-801492" TargetMode="External"/><Relationship Id="rId1607" Type="http://schemas.openxmlformats.org/officeDocument/2006/relationships/hyperlink" Target="https://replay.pokemonshowdown.com/smogtours-gen3ou-798815" TargetMode="External"/><Relationship Id="rId2938" Type="http://schemas.openxmlformats.org/officeDocument/2006/relationships/hyperlink" Target="https://replay.pokemonshowdown.com/smogtours-gen3ou-801365" TargetMode="External"/><Relationship Id="rId1608" Type="http://schemas.openxmlformats.org/officeDocument/2006/relationships/hyperlink" Target="https://replay.pokemonshowdown.com/smogtours-gen3ou-798811" TargetMode="External"/><Relationship Id="rId2939" Type="http://schemas.openxmlformats.org/officeDocument/2006/relationships/hyperlink" Target="https://replay.pokemonshowdown.com/smogtours-gen3ou-801367" TargetMode="External"/><Relationship Id="rId1609" Type="http://schemas.openxmlformats.org/officeDocument/2006/relationships/hyperlink" Target="https://replay.pokemonshowdown.com/smogtours-gen3ou-798816" TargetMode="External"/><Relationship Id="rId1631" Type="http://schemas.openxmlformats.org/officeDocument/2006/relationships/hyperlink" Target="https://replay.pokemonshowdown.com/smogtours-gen3ou-798519" TargetMode="External"/><Relationship Id="rId2962" Type="http://schemas.openxmlformats.org/officeDocument/2006/relationships/hyperlink" Target="https://replay.pokemonshowdown.com/smogtours-gen3ou-801596" TargetMode="External"/><Relationship Id="rId1632" Type="http://schemas.openxmlformats.org/officeDocument/2006/relationships/hyperlink" Target="https://replay.pokemonshowdown.com/smogtours-gen3ou-798524?p2" TargetMode="External"/><Relationship Id="rId2963" Type="http://schemas.openxmlformats.org/officeDocument/2006/relationships/hyperlink" Target="https://replay.pokemonshowdown.com/smogtours-gen3ou-801604" TargetMode="External"/><Relationship Id="rId1633" Type="http://schemas.openxmlformats.org/officeDocument/2006/relationships/hyperlink" Target="https://replay.pokemonshowdown.com/smogtours-gen3ou-798562" TargetMode="External"/><Relationship Id="rId2964" Type="http://schemas.openxmlformats.org/officeDocument/2006/relationships/hyperlink" Target="https://replay.pokemonshowdown.com/smogtours-gen3ou-801608" TargetMode="External"/><Relationship Id="rId1634" Type="http://schemas.openxmlformats.org/officeDocument/2006/relationships/hyperlink" Target="https://replay.pokemonshowdown.com/smogtours-gen3ou-798565" TargetMode="External"/><Relationship Id="rId2965" Type="http://schemas.openxmlformats.org/officeDocument/2006/relationships/hyperlink" Target="https://replay.pokemonshowdown.com/smogtours-gen3ou-801596" TargetMode="External"/><Relationship Id="rId1635" Type="http://schemas.openxmlformats.org/officeDocument/2006/relationships/hyperlink" Target="https://replay.pokemonshowdown.com/smogtours-gen3ou-798577" TargetMode="External"/><Relationship Id="rId2966" Type="http://schemas.openxmlformats.org/officeDocument/2006/relationships/hyperlink" Target="https://replay.pokemonshowdown.com/smogtours-gen3ou-801604" TargetMode="External"/><Relationship Id="rId1636" Type="http://schemas.openxmlformats.org/officeDocument/2006/relationships/hyperlink" Target="https://replay.pokemonshowdown.com/smogtours-gen3ou-798807" TargetMode="External"/><Relationship Id="rId2967" Type="http://schemas.openxmlformats.org/officeDocument/2006/relationships/hyperlink" Target="https://replay.pokemonshowdown.com/smogtours-gen3ou-801608" TargetMode="External"/><Relationship Id="rId1637" Type="http://schemas.openxmlformats.org/officeDocument/2006/relationships/hyperlink" Target="https://replay.pokemonshowdown.com/smogtours-gen3ou-798813" TargetMode="External"/><Relationship Id="rId2968" Type="http://schemas.openxmlformats.org/officeDocument/2006/relationships/hyperlink" Target="https://replay.pokemonshowdown.com/smogtours-gen3ou-801146" TargetMode="External"/><Relationship Id="rId1638" Type="http://schemas.openxmlformats.org/officeDocument/2006/relationships/hyperlink" Target="https://replay.pokemonshowdown.com/smogtours-gen3ou-798817" TargetMode="External"/><Relationship Id="rId2969" Type="http://schemas.openxmlformats.org/officeDocument/2006/relationships/hyperlink" Target="https://replay.pokemonshowdown.com/smogtours-gen3ou-801152" TargetMode="External"/><Relationship Id="rId929" Type="http://schemas.openxmlformats.org/officeDocument/2006/relationships/hyperlink" Target="https://replay.pokemonshowdown.com/smogtours-gen3ou-796000" TargetMode="External"/><Relationship Id="rId1639" Type="http://schemas.openxmlformats.org/officeDocument/2006/relationships/hyperlink" Target="https://replay.pokemonshowdown.com/smogtours-gen3ou-798733" TargetMode="External"/><Relationship Id="rId928" Type="http://schemas.openxmlformats.org/officeDocument/2006/relationships/hyperlink" Target="https://replay.pokemonshowdown.com/smogtours-gen3ou-795984" TargetMode="External"/><Relationship Id="rId927" Type="http://schemas.openxmlformats.org/officeDocument/2006/relationships/hyperlink" Target="https://replay.pokemonshowdown.com/smogtours-gen3ou-796587" TargetMode="External"/><Relationship Id="rId926" Type="http://schemas.openxmlformats.org/officeDocument/2006/relationships/hyperlink" Target="https://replay.pokemonshowdown.com/smogtours-gen3ou-796585" TargetMode="External"/><Relationship Id="rId921" Type="http://schemas.openxmlformats.org/officeDocument/2006/relationships/hyperlink" Target="https://replay.pokemonshowdown.com/smogtours-gen3ou-795658" TargetMode="External"/><Relationship Id="rId920" Type="http://schemas.openxmlformats.org/officeDocument/2006/relationships/hyperlink" Target="https://replay.pokemonshowdown.com/smogtours-gen3ou-795633" TargetMode="External"/><Relationship Id="rId925" Type="http://schemas.openxmlformats.org/officeDocument/2006/relationships/hyperlink" Target="https://replay.pokemonshowdown.com/smogtours-gen3ou-796239" TargetMode="External"/><Relationship Id="rId924" Type="http://schemas.openxmlformats.org/officeDocument/2006/relationships/hyperlink" Target="https://replay.pokemonshowdown.com/smogtours-gen3ou-796236" TargetMode="External"/><Relationship Id="rId923" Type="http://schemas.openxmlformats.org/officeDocument/2006/relationships/hyperlink" Target="https://replay.pokemonshowdown.com/smogtours-gen3ou-796235" TargetMode="External"/><Relationship Id="rId922" Type="http://schemas.openxmlformats.org/officeDocument/2006/relationships/hyperlink" Target="https://replay.pokemonshowdown.com/smogtours-gen3ou-795682" TargetMode="External"/><Relationship Id="rId2960" Type="http://schemas.openxmlformats.org/officeDocument/2006/relationships/hyperlink" Target="https://replay.pokemonshowdown.com/smogtours-gen3ou-801669" TargetMode="External"/><Relationship Id="rId1630" Type="http://schemas.openxmlformats.org/officeDocument/2006/relationships/hyperlink" Target="https://replay.pokemonshowdown.com/smogtours-gen3ou-798251?p2" TargetMode="External"/><Relationship Id="rId2961" Type="http://schemas.openxmlformats.org/officeDocument/2006/relationships/hyperlink" Target="https://replay.pokemonshowdown.com/smogtours-gen3ou-801673" TargetMode="External"/><Relationship Id="rId1620" Type="http://schemas.openxmlformats.org/officeDocument/2006/relationships/hyperlink" Target="https://replay.pokemonshowdown.com/smogtours-gen3ou-798855?p2" TargetMode="External"/><Relationship Id="rId2951" Type="http://schemas.openxmlformats.org/officeDocument/2006/relationships/hyperlink" Target="https://replay.pokemonshowdown.com/smogtours-gen3ou-801456" TargetMode="External"/><Relationship Id="rId1621" Type="http://schemas.openxmlformats.org/officeDocument/2006/relationships/hyperlink" Target="https://replay.pokemonshowdown.com/smogtours-gen3ou-798379" TargetMode="External"/><Relationship Id="rId2952" Type="http://schemas.openxmlformats.org/officeDocument/2006/relationships/hyperlink" Target="https://replay.pokemonshowdown.com/smogtours-gen3ou-801463" TargetMode="External"/><Relationship Id="rId1622" Type="http://schemas.openxmlformats.org/officeDocument/2006/relationships/hyperlink" Target="https://replay.pokemonshowdown.com/smogtours-gen3ou-798385" TargetMode="External"/><Relationship Id="rId2953" Type="http://schemas.openxmlformats.org/officeDocument/2006/relationships/hyperlink" Target="https://replay.pokemonshowdown.com/smogtours-gen3ou-801279" TargetMode="External"/><Relationship Id="rId1623" Type="http://schemas.openxmlformats.org/officeDocument/2006/relationships/hyperlink" Target="https://replay.pokemonshowdown.com/smogtours-gen3ou-798395?p2" TargetMode="External"/><Relationship Id="rId2954" Type="http://schemas.openxmlformats.org/officeDocument/2006/relationships/hyperlink" Target="https://replay.pokemonshowdown.com/smogtours-gen3ou-801283" TargetMode="External"/><Relationship Id="rId1624" Type="http://schemas.openxmlformats.org/officeDocument/2006/relationships/hyperlink" Target="https://replay.pokemonshowdown.com/smogtours-gen3ou-797655" TargetMode="External"/><Relationship Id="rId2955" Type="http://schemas.openxmlformats.org/officeDocument/2006/relationships/hyperlink" Target="https://replay.pokemonshowdown.com/smogtours-gen3ou-801408" TargetMode="External"/><Relationship Id="rId1625" Type="http://schemas.openxmlformats.org/officeDocument/2006/relationships/hyperlink" Target="https://replay.pokemonshowdown.com/smogtours-gen3ou-797659" TargetMode="External"/><Relationship Id="rId2956" Type="http://schemas.openxmlformats.org/officeDocument/2006/relationships/hyperlink" Target="https://replay.pokemonshowdown.com/smogtours-gen3ou-801415" TargetMode="External"/><Relationship Id="rId1626" Type="http://schemas.openxmlformats.org/officeDocument/2006/relationships/hyperlink" Target="https://replay.pokemonshowdown.com/smogtours-gen3ou-797806" TargetMode="External"/><Relationship Id="rId2957" Type="http://schemas.openxmlformats.org/officeDocument/2006/relationships/hyperlink" Target="https://replay.pokemonshowdown.com/smogtours-gen3ou-801671" TargetMode="External"/><Relationship Id="rId1627" Type="http://schemas.openxmlformats.org/officeDocument/2006/relationships/hyperlink" Target="https://replay.pokemonshowdown.com/smogtours-gen3ou-797820" TargetMode="External"/><Relationship Id="rId2958" Type="http://schemas.openxmlformats.org/officeDocument/2006/relationships/hyperlink" Target="https://replay.pokemonshowdown.com/smogtours-gen3ou-801677" TargetMode="External"/><Relationship Id="rId918" Type="http://schemas.openxmlformats.org/officeDocument/2006/relationships/hyperlink" Target="https://replay.pokemonshowdown.com/smogtours-gen3ou-796533" TargetMode="External"/><Relationship Id="rId1628" Type="http://schemas.openxmlformats.org/officeDocument/2006/relationships/hyperlink" Target="https://replay.pokemonshowdown.com/smogtours-gen3ou-798219" TargetMode="External"/><Relationship Id="rId2959" Type="http://schemas.openxmlformats.org/officeDocument/2006/relationships/hyperlink" Target="https://replay.pokemonshowdown.com/smogtours-gen3ou-801667" TargetMode="External"/><Relationship Id="rId917" Type="http://schemas.openxmlformats.org/officeDocument/2006/relationships/hyperlink" Target="https://replay.pokemonshowdown.com/smogtours-gen3ou-796318" TargetMode="External"/><Relationship Id="rId1629" Type="http://schemas.openxmlformats.org/officeDocument/2006/relationships/hyperlink" Target="https://replay.pokemonshowdown.com/smogtours-gen3ou-798235" TargetMode="External"/><Relationship Id="rId916" Type="http://schemas.openxmlformats.org/officeDocument/2006/relationships/hyperlink" Target="https://replay.pokemonshowdown.com/smogtours-gen3ou-796316" TargetMode="External"/><Relationship Id="rId915" Type="http://schemas.openxmlformats.org/officeDocument/2006/relationships/hyperlink" Target="https://replay.pokemonshowdown.com/smogtours-gen3ou-796315" TargetMode="External"/><Relationship Id="rId919" Type="http://schemas.openxmlformats.org/officeDocument/2006/relationships/hyperlink" Target="https://replay.pokemonshowdown.com/smogtours-gen3ou-796534" TargetMode="External"/><Relationship Id="rId910" Type="http://schemas.openxmlformats.org/officeDocument/2006/relationships/hyperlink" Target="https://replay.pokemonshowdown.com/smogtours-gen3ou-796201" TargetMode="External"/><Relationship Id="rId914" Type="http://schemas.openxmlformats.org/officeDocument/2006/relationships/hyperlink" Target="https://replay.pokemonshowdown.com/smogtours-gen3ou-796455" TargetMode="External"/><Relationship Id="rId913" Type="http://schemas.openxmlformats.org/officeDocument/2006/relationships/hyperlink" Target="https://replay.pokemonshowdown.com/smogtours-gen3ou-796444" TargetMode="External"/><Relationship Id="rId912" Type="http://schemas.openxmlformats.org/officeDocument/2006/relationships/hyperlink" Target="https://replay.pokemonshowdown.com/smogtours-gen3ou-796212" TargetMode="External"/><Relationship Id="rId911" Type="http://schemas.openxmlformats.org/officeDocument/2006/relationships/hyperlink" Target="https://replay.pokemonshowdown.com/smogtours-gen3ou-796207" TargetMode="External"/><Relationship Id="rId2950" Type="http://schemas.openxmlformats.org/officeDocument/2006/relationships/hyperlink" Target="https://replay.pokemonshowdown.com/smogtours-gen3ou-801499" TargetMode="External"/><Relationship Id="rId2900" Type="http://schemas.openxmlformats.org/officeDocument/2006/relationships/hyperlink" Target="https://replay.pokemonshowdown.com/smogtours-gen3ou-801194" TargetMode="External"/><Relationship Id="rId2901" Type="http://schemas.openxmlformats.org/officeDocument/2006/relationships/hyperlink" Target="https://replay.pokemonshowdown.com/smogtours-gen3ou-801191" TargetMode="External"/><Relationship Id="rId2902" Type="http://schemas.openxmlformats.org/officeDocument/2006/relationships/hyperlink" Target="https://replay.pokemonshowdown.com/smogtours-gen3ou-801194" TargetMode="External"/><Relationship Id="rId2903" Type="http://schemas.openxmlformats.org/officeDocument/2006/relationships/hyperlink" Target="https://replay.pokemonshowdown.com/smogtours-gen3ou-801242" TargetMode="External"/><Relationship Id="rId2904" Type="http://schemas.openxmlformats.org/officeDocument/2006/relationships/hyperlink" Target="https://replay.pokemonshowdown.com/smogtours-gen3ou-801244" TargetMode="External"/><Relationship Id="rId2905" Type="http://schemas.openxmlformats.org/officeDocument/2006/relationships/hyperlink" Target="https://replay.pokemonshowdown.com/smogtours-gen3ou-801245" TargetMode="External"/><Relationship Id="rId2906" Type="http://schemas.openxmlformats.org/officeDocument/2006/relationships/hyperlink" Target="https://replay.pokemonshowdown.com/smogtours-gen3ou-801262" TargetMode="External"/><Relationship Id="rId2907" Type="http://schemas.openxmlformats.org/officeDocument/2006/relationships/hyperlink" Target="https://replay.pokemonshowdown.com/smogtours-gen3ou-801265" TargetMode="External"/><Relationship Id="rId2908" Type="http://schemas.openxmlformats.org/officeDocument/2006/relationships/hyperlink" Target="https://replay.pokemonshowdown.com/smogtours-gen3ou-801269" TargetMode="External"/><Relationship Id="rId2909" Type="http://schemas.openxmlformats.org/officeDocument/2006/relationships/hyperlink" Target="https://replay.pokemonshowdown.com/smogtours-gen3ou-801341" TargetMode="External"/><Relationship Id="rId2920" Type="http://schemas.openxmlformats.org/officeDocument/2006/relationships/hyperlink" Target="https://replay.pokemonshowdown.com/smogtours-gen3ou-801310" TargetMode="External"/><Relationship Id="rId2921" Type="http://schemas.openxmlformats.org/officeDocument/2006/relationships/hyperlink" Target="https://replay.pokemonshowdown.com/smogtours-gen3ou-801311" TargetMode="External"/><Relationship Id="rId2922" Type="http://schemas.openxmlformats.org/officeDocument/2006/relationships/hyperlink" Target="https://replay.pokemonshowdown.com/gen3ou-2228681264-97yc8ynjupo2ho5zc47qgqrhufxei9dpw" TargetMode="External"/><Relationship Id="rId2923" Type="http://schemas.openxmlformats.org/officeDocument/2006/relationships/hyperlink" Target="https://replay.pokemonshowdown.com/gen3ou-2228689775-ngztrrv0jssnm1po56f19vvy4gt0dvlpw" TargetMode="External"/><Relationship Id="rId2924" Type="http://schemas.openxmlformats.org/officeDocument/2006/relationships/hyperlink" Target="https://replay.pokemonshowdown.com/smogtours-gen3ou-801627" TargetMode="External"/><Relationship Id="rId2925" Type="http://schemas.openxmlformats.org/officeDocument/2006/relationships/hyperlink" Target="https://replay.pokemonshowdown.com/smogtours-gen3ou-801638" TargetMode="External"/><Relationship Id="rId2926" Type="http://schemas.openxmlformats.org/officeDocument/2006/relationships/hyperlink" Target="https://replay.pokemonshowdown.com/smogtours-gen3ou-801614" TargetMode="External"/><Relationship Id="rId2927" Type="http://schemas.openxmlformats.org/officeDocument/2006/relationships/hyperlink" Target="https://replay.pokemonshowdown.com/smogtours-gen3ou-801619" TargetMode="External"/><Relationship Id="rId2928" Type="http://schemas.openxmlformats.org/officeDocument/2006/relationships/hyperlink" Target="https://replay.pokemonshowdown.com/smogtours-gen3ou-801621" TargetMode="External"/><Relationship Id="rId2929" Type="http://schemas.openxmlformats.org/officeDocument/2006/relationships/hyperlink" Target="https://replay.pokemonshowdown.com/smogtours-gen3ou-801541" TargetMode="External"/><Relationship Id="rId2910" Type="http://schemas.openxmlformats.org/officeDocument/2006/relationships/hyperlink" Target="https://replay.pokemonshowdown.com/smogtours-gen3ou-801344" TargetMode="External"/><Relationship Id="rId2911" Type="http://schemas.openxmlformats.org/officeDocument/2006/relationships/hyperlink" Target="https://replay.pokemonshowdown.com/smogtours-gen3ou-801346" TargetMode="External"/><Relationship Id="rId2912" Type="http://schemas.openxmlformats.org/officeDocument/2006/relationships/hyperlink" Target="https://replay.pokemonshowdown.com/smogtours-gen3ou-801072" TargetMode="External"/><Relationship Id="rId2913" Type="http://schemas.openxmlformats.org/officeDocument/2006/relationships/hyperlink" Target="https://replay.pokemonshowdown.com/smogtours-gen3ou-801073" TargetMode="External"/><Relationship Id="rId2914" Type="http://schemas.openxmlformats.org/officeDocument/2006/relationships/hyperlink" Target="https://replay.pokemonshowdown.com/smogtours-gen3ou-801569" TargetMode="External"/><Relationship Id="rId2915" Type="http://schemas.openxmlformats.org/officeDocument/2006/relationships/hyperlink" Target="https://replay.pokemonshowdown.com/smogtours-gen3ou-801577" TargetMode="External"/><Relationship Id="rId2916" Type="http://schemas.openxmlformats.org/officeDocument/2006/relationships/hyperlink" Target="https://replay.pokemonshowdown.com/smogtours-gen3ou-801583" TargetMode="External"/><Relationship Id="rId2917" Type="http://schemas.openxmlformats.org/officeDocument/2006/relationships/hyperlink" Target="https://replay.pokemonshowdown.com/smogtours-gen3ou-801273" TargetMode="External"/><Relationship Id="rId2918" Type="http://schemas.openxmlformats.org/officeDocument/2006/relationships/hyperlink" Target="https://replay.pokemonshowdown.com/smogtours-gen3ou-801275" TargetMode="External"/><Relationship Id="rId2919" Type="http://schemas.openxmlformats.org/officeDocument/2006/relationships/hyperlink" Target="https://replay.pokemonshowdown.com/smogtours-gen3ou-801276" TargetMode="External"/><Relationship Id="rId1697" Type="http://schemas.openxmlformats.org/officeDocument/2006/relationships/hyperlink" Target="https://replay.pokemonshowdown.com/smogtours-gen3ou-798712" TargetMode="External"/><Relationship Id="rId1698" Type="http://schemas.openxmlformats.org/officeDocument/2006/relationships/hyperlink" Target="https://replay.pokemonshowdown.com/smogtours-gen3ou-797759" TargetMode="External"/><Relationship Id="rId1699" Type="http://schemas.openxmlformats.org/officeDocument/2006/relationships/hyperlink" Target="https://replay.pokemonshowdown.com/smogtours-gen3ou-797770" TargetMode="External"/><Relationship Id="rId866" Type="http://schemas.openxmlformats.org/officeDocument/2006/relationships/hyperlink" Target="https://replay.pokemonshowdown.com/smogtours-gen3ou-796078" TargetMode="External"/><Relationship Id="rId865" Type="http://schemas.openxmlformats.org/officeDocument/2006/relationships/hyperlink" Target="https://replay.pokemonshowdown.com/smogtours-gen3ou-796073" TargetMode="External"/><Relationship Id="rId864" Type="http://schemas.openxmlformats.org/officeDocument/2006/relationships/hyperlink" Target="https://replay.pokemonshowdown.com/smogtours-gen3ou-796434" TargetMode="External"/><Relationship Id="rId863" Type="http://schemas.openxmlformats.org/officeDocument/2006/relationships/hyperlink" Target="https://replay.pokemonshowdown.com/smogtours-gen3ou-796431" TargetMode="External"/><Relationship Id="rId869" Type="http://schemas.openxmlformats.org/officeDocument/2006/relationships/hyperlink" Target="https://replay.pokemonshowdown.com/smogtours-gen3ou-796520" TargetMode="External"/><Relationship Id="rId868" Type="http://schemas.openxmlformats.org/officeDocument/2006/relationships/hyperlink" Target="https://replay.pokemonshowdown.com/smogtours-gen3ou-796516" TargetMode="External"/><Relationship Id="rId867" Type="http://schemas.openxmlformats.org/officeDocument/2006/relationships/hyperlink" Target="https://replay.pokemonshowdown.com/smogtours-gen3ou-796511" TargetMode="External"/><Relationship Id="rId1690" Type="http://schemas.openxmlformats.org/officeDocument/2006/relationships/hyperlink" Target="https://replay.pokemonshowdown.com/smogtours-gen3ou-797258" TargetMode="External"/><Relationship Id="rId1691" Type="http://schemas.openxmlformats.org/officeDocument/2006/relationships/hyperlink" Target="https://replay.pokemonshowdown.com/smogtours-gen3ou-797260" TargetMode="External"/><Relationship Id="rId1692" Type="http://schemas.openxmlformats.org/officeDocument/2006/relationships/hyperlink" Target="https://replay.pokemonshowdown.com/smogtours-gen3ou-798221" TargetMode="External"/><Relationship Id="rId862" Type="http://schemas.openxmlformats.org/officeDocument/2006/relationships/hyperlink" Target="https://replay.pokemonshowdown.com/smogtours-gen3ou-796421" TargetMode="External"/><Relationship Id="rId1693" Type="http://schemas.openxmlformats.org/officeDocument/2006/relationships/hyperlink" Target="https://replay.pokemonshowdown.com/smogtours-gen3ou-798229" TargetMode="External"/><Relationship Id="rId861" Type="http://schemas.openxmlformats.org/officeDocument/2006/relationships/hyperlink" Target="https://replay.pokemonshowdown.com/smogtours-gen3ou-796499" TargetMode="External"/><Relationship Id="rId1694" Type="http://schemas.openxmlformats.org/officeDocument/2006/relationships/hyperlink" Target="https://replay.pokemonshowdown.com/smogtours-gen3ou-798237" TargetMode="External"/><Relationship Id="rId860" Type="http://schemas.openxmlformats.org/officeDocument/2006/relationships/hyperlink" Target="https://replay.pokemonshowdown.com/smogtours-gen3ou-796490" TargetMode="External"/><Relationship Id="rId1695" Type="http://schemas.openxmlformats.org/officeDocument/2006/relationships/hyperlink" Target="https://replay.pokemonshowdown.com/smogtours-gen3ou-798701" TargetMode="External"/><Relationship Id="rId1696" Type="http://schemas.openxmlformats.org/officeDocument/2006/relationships/hyperlink" Target="https://replay.pokemonshowdown.com/smogtours-gen3ou-798705" TargetMode="External"/><Relationship Id="rId1686" Type="http://schemas.openxmlformats.org/officeDocument/2006/relationships/hyperlink" Target="https://replay.pokemonshowdown.com/smogtours-gen3ou-798375" TargetMode="External"/><Relationship Id="rId1687" Type="http://schemas.openxmlformats.org/officeDocument/2006/relationships/hyperlink" Target="https://replay.pokemonshowdown.com/smogtours-gen3ou-798380" TargetMode="External"/><Relationship Id="rId1688" Type="http://schemas.openxmlformats.org/officeDocument/2006/relationships/hyperlink" Target="https://replay.pokemonshowdown.com/smogtours-gen3ou-797312" TargetMode="External"/><Relationship Id="rId1689" Type="http://schemas.openxmlformats.org/officeDocument/2006/relationships/hyperlink" Target="https://replay.pokemonshowdown.com/smogtours-gen3ou-797315" TargetMode="External"/><Relationship Id="rId855" Type="http://schemas.openxmlformats.org/officeDocument/2006/relationships/hyperlink" Target="https://replay.pokemonshowdown.com/smogtours-gen3ou-796155" TargetMode="External"/><Relationship Id="rId854" Type="http://schemas.openxmlformats.org/officeDocument/2006/relationships/hyperlink" Target="https://replay.pokemonshowdown.com/smogtours-gen3ou-796423" TargetMode="External"/><Relationship Id="rId853" Type="http://schemas.openxmlformats.org/officeDocument/2006/relationships/hyperlink" Target="https://replay.pokemonshowdown.com/smogtours-gen3ou-796419" TargetMode="External"/><Relationship Id="rId852" Type="http://schemas.openxmlformats.org/officeDocument/2006/relationships/hyperlink" Target="https://replay.pokemonshowdown.com/smogtours-gen3ou-796416" TargetMode="External"/><Relationship Id="rId859" Type="http://schemas.openxmlformats.org/officeDocument/2006/relationships/hyperlink" Target="https://replay.pokemonshowdown.com/smogtours-gen3ou-796055" TargetMode="External"/><Relationship Id="rId858" Type="http://schemas.openxmlformats.org/officeDocument/2006/relationships/hyperlink" Target="https://replay.pokemonshowdown.com/smogtours-gen3ou-796048" TargetMode="External"/><Relationship Id="rId857" Type="http://schemas.openxmlformats.org/officeDocument/2006/relationships/hyperlink" Target="https://replay.pokemonshowdown.com/smogtours-gen3ou-796044" TargetMode="External"/><Relationship Id="rId856" Type="http://schemas.openxmlformats.org/officeDocument/2006/relationships/hyperlink" Target="https://replay.pokemonshowdown.com/smogtours-gen3ou-796155" TargetMode="External"/><Relationship Id="rId1680" Type="http://schemas.openxmlformats.org/officeDocument/2006/relationships/hyperlink" Target="https://replay.pokemonshowdown.com/smogtours-gen3ou-798853" TargetMode="External"/><Relationship Id="rId1681" Type="http://schemas.openxmlformats.org/officeDocument/2006/relationships/hyperlink" Target="https://replay.pokemonshowdown.com/smogtours-gen3ou-797147" TargetMode="External"/><Relationship Id="rId851" Type="http://schemas.openxmlformats.org/officeDocument/2006/relationships/hyperlink" Target="https://replay.pokemonshowdown.com/smogtours-gen3ou-795691" TargetMode="External"/><Relationship Id="rId1682" Type="http://schemas.openxmlformats.org/officeDocument/2006/relationships/hyperlink" Target="https://replay.pokemonshowdown.com/smogtours-gen3ou-797148" TargetMode="External"/><Relationship Id="rId850" Type="http://schemas.openxmlformats.org/officeDocument/2006/relationships/hyperlink" Target="https://replay.pokemonshowdown.com/smogtours-gen3ou-795683" TargetMode="External"/><Relationship Id="rId1683" Type="http://schemas.openxmlformats.org/officeDocument/2006/relationships/hyperlink" Target="https://replay.pokemonshowdown.com/smogtours-gen3ou-797968" TargetMode="External"/><Relationship Id="rId1684" Type="http://schemas.openxmlformats.org/officeDocument/2006/relationships/hyperlink" Target="https://replay.pokemonshowdown.com/smogtours-gen3ou-797970" TargetMode="External"/><Relationship Id="rId1685" Type="http://schemas.openxmlformats.org/officeDocument/2006/relationships/hyperlink" Target="https://replay.pokemonshowdown.com/smogtours-gen3ou-798347?p2" TargetMode="External"/><Relationship Id="rId3414" Type="http://schemas.openxmlformats.org/officeDocument/2006/relationships/hyperlink" Target="https://replay.pokemonshowdown.com/smogtours-gen3ou-803193" TargetMode="External"/><Relationship Id="rId3413" Type="http://schemas.openxmlformats.org/officeDocument/2006/relationships/hyperlink" Target="https://replay.pokemonshowdown.com/smogtours-gen3ou-803173" TargetMode="External"/><Relationship Id="rId3416" Type="http://schemas.openxmlformats.org/officeDocument/2006/relationships/hyperlink" Target="https://replay.pokemonshowdown.com/smogtours-gen3ou-803205" TargetMode="External"/><Relationship Id="rId3415" Type="http://schemas.openxmlformats.org/officeDocument/2006/relationships/hyperlink" Target="https://replay.pokemonshowdown.com/smogtours-gen3ou-803198" TargetMode="External"/><Relationship Id="rId3418" Type="http://schemas.openxmlformats.org/officeDocument/2006/relationships/hyperlink" Target="https://replay.pokemonshowdown.com/smogtours-gen3ou-803343" TargetMode="External"/><Relationship Id="rId3417" Type="http://schemas.openxmlformats.org/officeDocument/2006/relationships/hyperlink" Target="https://replay.pokemonshowdown.com/smogtours-gen3ou-803209" TargetMode="External"/><Relationship Id="rId3419" Type="http://schemas.openxmlformats.org/officeDocument/2006/relationships/hyperlink" Target="https://replay.pokemonshowdown.com/smogtours-gen3ou-803353" TargetMode="External"/><Relationship Id="rId888" Type="http://schemas.openxmlformats.org/officeDocument/2006/relationships/hyperlink" Target="https://replay.pokemonshowdown.com/smogtours-gen3ou-796602" TargetMode="External"/><Relationship Id="rId887" Type="http://schemas.openxmlformats.org/officeDocument/2006/relationships/hyperlink" Target="https://replay.pokemonshowdown.com/smogtours-gen3ou-796601" TargetMode="External"/><Relationship Id="rId886" Type="http://schemas.openxmlformats.org/officeDocument/2006/relationships/hyperlink" Target="https://replay.pokemonshowdown.com/smogtours-gen3ou-796535" TargetMode="External"/><Relationship Id="rId885" Type="http://schemas.openxmlformats.org/officeDocument/2006/relationships/hyperlink" Target="https://replay.pokemonshowdown.com/smogtours-gen3ou-796532" TargetMode="External"/><Relationship Id="rId889" Type="http://schemas.openxmlformats.org/officeDocument/2006/relationships/hyperlink" Target="https://replay.pokemonshowdown.com/smogtours-gen3ou-796603" TargetMode="External"/><Relationship Id="rId880" Type="http://schemas.openxmlformats.org/officeDocument/2006/relationships/hyperlink" Target="https://replay.pokemonshowdown.com/smogtours-gen3ou-796556" TargetMode="External"/><Relationship Id="rId884" Type="http://schemas.openxmlformats.org/officeDocument/2006/relationships/hyperlink" Target="https://replay.pokemonshowdown.com/smogtours-gen3ou-796513" TargetMode="External"/><Relationship Id="rId3410" Type="http://schemas.openxmlformats.org/officeDocument/2006/relationships/hyperlink" Target="https://replay.pokemonshowdown.com/smogtours-gen3ou-803181" TargetMode="External"/><Relationship Id="rId883" Type="http://schemas.openxmlformats.org/officeDocument/2006/relationships/hyperlink" Target="https://replay.pokemonshowdown.com/smogtours-gen3ou-796507" TargetMode="External"/><Relationship Id="rId882" Type="http://schemas.openxmlformats.org/officeDocument/2006/relationships/hyperlink" Target="https://replay.pokemonshowdown.com/smogtours-gen3ou-796505?p2" TargetMode="External"/><Relationship Id="rId3412" Type="http://schemas.openxmlformats.org/officeDocument/2006/relationships/hyperlink" Target="https://replay.pokemonshowdown.com/smogtours-gen3ou-803165" TargetMode="External"/><Relationship Id="rId881" Type="http://schemas.openxmlformats.org/officeDocument/2006/relationships/hyperlink" Target="https://replay.pokemonshowdown.com/smogtours-gen3ou-796563" TargetMode="External"/><Relationship Id="rId3411" Type="http://schemas.openxmlformats.org/officeDocument/2006/relationships/hyperlink" Target="https://replay.pokemonshowdown.com/smogtours-gen3ou-803183" TargetMode="External"/><Relationship Id="rId3403" Type="http://schemas.openxmlformats.org/officeDocument/2006/relationships/hyperlink" Target="https://replay.pokemonshowdown.com/smogtours-gen3ou-803108" TargetMode="External"/><Relationship Id="rId3402" Type="http://schemas.openxmlformats.org/officeDocument/2006/relationships/hyperlink" Target="https://replay.pokemonshowdown.com/smogtours-gen3ou-803106" TargetMode="External"/><Relationship Id="rId3405" Type="http://schemas.openxmlformats.org/officeDocument/2006/relationships/hyperlink" Target="https://replay.pokemonshowdown.com/smogtours-gen3ou-803062" TargetMode="External"/><Relationship Id="rId3404" Type="http://schemas.openxmlformats.org/officeDocument/2006/relationships/hyperlink" Target="https://replay.pokemonshowdown.com/smogtours-gen3ou-803114" TargetMode="External"/><Relationship Id="rId3407" Type="http://schemas.openxmlformats.org/officeDocument/2006/relationships/hyperlink" Target="https://replay.pokemonshowdown.com/smogtours-gen3ou-803066" TargetMode="External"/><Relationship Id="rId3406" Type="http://schemas.openxmlformats.org/officeDocument/2006/relationships/hyperlink" Target="https://replay.pokemonshowdown.com/smogtours-gen3ou-803064" TargetMode="External"/><Relationship Id="rId3409" Type="http://schemas.openxmlformats.org/officeDocument/2006/relationships/hyperlink" Target="https://replay.pokemonshowdown.com/smogtours-gen3ou-803113" TargetMode="External"/><Relationship Id="rId3408" Type="http://schemas.openxmlformats.org/officeDocument/2006/relationships/hyperlink" Target="https://replay.pokemonshowdown.com/smogtours-gen3ou-803111" TargetMode="External"/><Relationship Id="rId877" Type="http://schemas.openxmlformats.org/officeDocument/2006/relationships/hyperlink" Target="https://replay.pokemonshowdown.com/smogtours-gen3ou-796525" TargetMode="External"/><Relationship Id="rId876" Type="http://schemas.openxmlformats.org/officeDocument/2006/relationships/hyperlink" Target="https://replay.pokemonshowdown.com/smogtours-gen3ou-796489" TargetMode="External"/><Relationship Id="rId875" Type="http://schemas.openxmlformats.org/officeDocument/2006/relationships/hyperlink" Target="https://replay.pokemonshowdown.com/smogtours-gen3ou-796488" TargetMode="External"/><Relationship Id="rId874" Type="http://schemas.openxmlformats.org/officeDocument/2006/relationships/hyperlink" Target="https://replay.pokemonshowdown.com/smogtours-gen3ou-796433" TargetMode="External"/><Relationship Id="rId879" Type="http://schemas.openxmlformats.org/officeDocument/2006/relationships/hyperlink" Target="https://replay.pokemonshowdown.com/smogtours-gen3ou-796553" TargetMode="External"/><Relationship Id="rId878" Type="http://schemas.openxmlformats.org/officeDocument/2006/relationships/hyperlink" Target="https://replay.pokemonshowdown.com/smogtours-gen3ou-796527" TargetMode="External"/><Relationship Id="rId873" Type="http://schemas.openxmlformats.org/officeDocument/2006/relationships/hyperlink" Target="https://replay.pokemonshowdown.com/smogtours-gen3ou-796430" TargetMode="External"/><Relationship Id="rId872" Type="http://schemas.openxmlformats.org/officeDocument/2006/relationships/hyperlink" Target="https://replay.pokemonshowdown.com/smogtours-gen3ou-796424" TargetMode="External"/><Relationship Id="rId871" Type="http://schemas.openxmlformats.org/officeDocument/2006/relationships/hyperlink" Target="https://replay.pokemonshowdown.com/smogtours-gen3ou-796550" TargetMode="External"/><Relationship Id="rId3401" Type="http://schemas.openxmlformats.org/officeDocument/2006/relationships/hyperlink" Target="https://replay.pokemonshowdown.com/smogtours-gen3ou-803241" TargetMode="External"/><Relationship Id="rId870" Type="http://schemas.openxmlformats.org/officeDocument/2006/relationships/hyperlink" Target="https://replay.pokemonshowdown.com/smogtours-gen3ou-796547" TargetMode="External"/><Relationship Id="rId3400" Type="http://schemas.openxmlformats.org/officeDocument/2006/relationships/hyperlink" Target="https://replay.pokemonshowdown.com/smogtours-gen3ou-803240" TargetMode="External"/><Relationship Id="rId1653" Type="http://schemas.openxmlformats.org/officeDocument/2006/relationships/hyperlink" Target="https://replay.pokemonshowdown.com/smogtours-gen3ou-798736" TargetMode="External"/><Relationship Id="rId2984" Type="http://schemas.openxmlformats.org/officeDocument/2006/relationships/hyperlink" Target="https://replay.pokemonshowdown.com/smogtours-gen3ou-801736" TargetMode="External"/><Relationship Id="rId1654" Type="http://schemas.openxmlformats.org/officeDocument/2006/relationships/hyperlink" Target="https://replay.pokemonshowdown.com/smogtours-gen3ou-798746" TargetMode="External"/><Relationship Id="rId2985" Type="http://schemas.openxmlformats.org/officeDocument/2006/relationships/hyperlink" Target="https://replay.pokemonshowdown.com/smogtours-gen3ou-801824" TargetMode="External"/><Relationship Id="rId1655" Type="http://schemas.openxmlformats.org/officeDocument/2006/relationships/hyperlink" Target="https://replay.pokemonshowdown.com/smogtours-gen3ou-798752" TargetMode="External"/><Relationship Id="rId2986" Type="http://schemas.openxmlformats.org/officeDocument/2006/relationships/hyperlink" Target="https://replay.pokemonshowdown.com/smogtours-gen3ou-801834" TargetMode="External"/><Relationship Id="rId1656" Type="http://schemas.openxmlformats.org/officeDocument/2006/relationships/hyperlink" Target="https://replay.pokemonshowdown.com/smogtours-gen3ou-797786" TargetMode="External"/><Relationship Id="rId2987" Type="http://schemas.openxmlformats.org/officeDocument/2006/relationships/hyperlink" Target="https://replay.pokemonshowdown.com/smogtours-gen3ou-801835" TargetMode="External"/><Relationship Id="rId1657" Type="http://schemas.openxmlformats.org/officeDocument/2006/relationships/hyperlink" Target="https://replay.pokemonshowdown.com/smogtours-gen3ou-797793" TargetMode="External"/><Relationship Id="rId2988" Type="http://schemas.openxmlformats.org/officeDocument/2006/relationships/hyperlink" Target="https://replay.pokemonshowdown.com/smogtours-gen3ou-801746" TargetMode="External"/><Relationship Id="rId1658" Type="http://schemas.openxmlformats.org/officeDocument/2006/relationships/hyperlink" Target="https://replay.pokemonshowdown.com/smogtours-gen3ou-797994" TargetMode="External"/><Relationship Id="rId2989" Type="http://schemas.openxmlformats.org/officeDocument/2006/relationships/hyperlink" Target="https://replay.pokemonshowdown.com/smogtours-gen3ou-801748" TargetMode="External"/><Relationship Id="rId1659" Type="http://schemas.openxmlformats.org/officeDocument/2006/relationships/hyperlink" Target="https://replay.pokemonshowdown.com/smogtours-gen3ou-797997?p2" TargetMode="External"/><Relationship Id="rId829" Type="http://schemas.openxmlformats.org/officeDocument/2006/relationships/hyperlink" Target="https://replay.pokemonshowdown.com/smogtours-gen3ou-796251" TargetMode="External"/><Relationship Id="rId828" Type="http://schemas.openxmlformats.org/officeDocument/2006/relationships/hyperlink" Target="https://replay.pokemonshowdown.com/smogtours-gen3ou-796250" TargetMode="External"/><Relationship Id="rId827" Type="http://schemas.openxmlformats.org/officeDocument/2006/relationships/hyperlink" Target="https://replay.pokemonshowdown.com/smogtours-gen3ou-796247" TargetMode="External"/><Relationship Id="rId822" Type="http://schemas.openxmlformats.org/officeDocument/2006/relationships/hyperlink" Target="https://replay.pokemonshowdown.com/smogtours-gen3ou-796397" TargetMode="External"/><Relationship Id="rId821" Type="http://schemas.openxmlformats.org/officeDocument/2006/relationships/hyperlink" Target="https://replay.pokemonshowdown.com/smogtours-gen3ou-796402" TargetMode="External"/><Relationship Id="rId820" Type="http://schemas.openxmlformats.org/officeDocument/2006/relationships/hyperlink" Target="https://replay.pokemonshowdown.com/smogtours-gen3ou-796405" TargetMode="External"/><Relationship Id="rId826" Type="http://schemas.openxmlformats.org/officeDocument/2006/relationships/hyperlink" Target="https://replay.pokemonshowdown.com/gen3ou-2218178016" TargetMode="External"/><Relationship Id="rId825" Type="http://schemas.openxmlformats.org/officeDocument/2006/relationships/hyperlink" Target="https://replay.pokemonshowdown.com/gen3ou-2218173803" TargetMode="External"/><Relationship Id="rId824" Type="http://schemas.openxmlformats.org/officeDocument/2006/relationships/hyperlink" Target="https://replay.pokemonshowdown.com/smogtours-gen3ou-796387" TargetMode="External"/><Relationship Id="rId823" Type="http://schemas.openxmlformats.org/officeDocument/2006/relationships/hyperlink" Target="https://replay.pokemonshowdown.com/smogtours-gen3ou-796380" TargetMode="External"/><Relationship Id="rId2980" Type="http://schemas.openxmlformats.org/officeDocument/2006/relationships/hyperlink" Target="https://replay.pokemonshowdown.com/smogtours-gen3ou-801767" TargetMode="External"/><Relationship Id="rId1650" Type="http://schemas.openxmlformats.org/officeDocument/2006/relationships/hyperlink" Target="https://replay.pokemonshowdown.com/smogtours-gen3ou-797964" TargetMode="External"/><Relationship Id="rId2981" Type="http://schemas.openxmlformats.org/officeDocument/2006/relationships/hyperlink" Target="https://replay.pokemonshowdown.com/smogtours-gen3ou-801769" TargetMode="External"/><Relationship Id="rId1651" Type="http://schemas.openxmlformats.org/officeDocument/2006/relationships/hyperlink" Target="https://replay.pokemonshowdown.com/smogtours-gen3ou-797675" TargetMode="External"/><Relationship Id="rId2982" Type="http://schemas.openxmlformats.org/officeDocument/2006/relationships/hyperlink" Target="https://replay.pokemonshowdown.com/smogtours-gen3ou-801770" TargetMode="External"/><Relationship Id="rId1652" Type="http://schemas.openxmlformats.org/officeDocument/2006/relationships/hyperlink" Target="https://replay.pokemonshowdown.com/smogtours-gen3ou-797689" TargetMode="External"/><Relationship Id="rId2983" Type="http://schemas.openxmlformats.org/officeDocument/2006/relationships/hyperlink" Target="https://replay.pokemonshowdown.com/smogtours-gen3ou-801734" TargetMode="External"/><Relationship Id="rId1642" Type="http://schemas.openxmlformats.org/officeDocument/2006/relationships/hyperlink" Target="https://replay.pokemonshowdown.com/smogtours-gen3ou-797832" TargetMode="External"/><Relationship Id="rId2973" Type="http://schemas.openxmlformats.org/officeDocument/2006/relationships/hyperlink" Target="https://replay.pokemonshowdown.com/smogtours-gen3ou-801716" TargetMode="External"/><Relationship Id="rId1643" Type="http://schemas.openxmlformats.org/officeDocument/2006/relationships/hyperlink" Target="https://replay.pokemonshowdown.com/smogtours-gen3ou-797837" TargetMode="External"/><Relationship Id="rId2974" Type="http://schemas.openxmlformats.org/officeDocument/2006/relationships/hyperlink" Target="https://replay.pokemonshowdown.com/smogtours-gen3ou-801771" TargetMode="External"/><Relationship Id="rId1644" Type="http://schemas.openxmlformats.org/officeDocument/2006/relationships/hyperlink" Target="https://replay.pokemonshowdown.com/smogtours-gen3ou-797840" TargetMode="External"/><Relationship Id="rId2975" Type="http://schemas.openxmlformats.org/officeDocument/2006/relationships/hyperlink" Target="https://replay.pokemonshowdown.com/smogtours-gen3ou-801772" TargetMode="External"/><Relationship Id="rId1645" Type="http://schemas.openxmlformats.org/officeDocument/2006/relationships/hyperlink" Target="https://replay.pokemonshowdown.com/smogtours-gen3ou-797683" TargetMode="External"/><Relationship Id="rId2976" Type="http://schemas.openxmlformats.org/officeDocument/2006/relationships/hyperlink" Target="https://replay.pokemonshowdown.com/smogtours-gen3ou-801781" TargetMode="External"/><Relationship Id="rId1646" Type="http://schemas.openxmlformats.org/officeDocument/2006/relationships/hyperlink" Target="https://replay.pokemonshowdown.com/smogtours-gen3ou-797690" TargetMode="External"/><Relationship Id="rId2977" Type="http://schemas.openxmlformats.org/officeDocument/2006/relationships/hyperlink" Target="https://replay.pokemonshowdown.com/smogtours-gen3ou-801782" TargetMode="External"/><Relationship Id="rId1647" Type="http://schemas.openxmlformats.org/officeDocument/2006/relationships/hyperlink" Target="https://replay.pokemonshowdown.com/smogtours-gen3ou-797696" TargetMode="External"/><Relationship Id="rId2978" Type="http://schemas.openxmlformats.org/officeDocument/2006/relationships/hyperlink" Target="https://replay.pokemonshowdown.com/smogtours-gen3ou-801700" TargetMode="External"/><Relationship Id="rId1648" Type="http://schemas.openxmlformats.org/officeDocument/2006/relationships/hyperlink" Target="https://replay.pokemonshowdown.com/smogtours-gen3ou-797966" TargetMode="External"/><Relationship Id="rId2979" Type="http://schemas.openxmlformats.org/officeDocument/2006/relationships/hyperlink" Target="https://replay.pokemonshowdown.com/smogtours-gen3ou-801705" TargetMode="External"/><Relationship Id="rId1649" Type="http://schemas.openxmlformats.org/officeDocument/2006/relationships/hyperlink" Target="https://replay.pokemonshowdown.com/smogtours-gen3ou-797971" TargetMode="External"/><Relationship Id="rId819" Type="http://schemas.openxmlformats.org/officeDocument/2006/relationships/hyperlink" Target="https://replay.pokemonshowdown.com/smogtours-gen3ou-796349" TargetMode="External"/><Relationship Id="rId818" Type="http://schemas.openxmlformats.org/officeDocument/2006/relationships/hyperlink" Target="https://replay.pokemonshowdown.com/smogtours-gen3ou-796351?p2" TargetMode="External"/><Relationship Id="rId817" Type="http://schemas.openxmlformats.org/officeDocument/2006/relationships/hyperlink" Target="https://replay.pokemonshowdown.com/smogtours-gen3ou-796337" TargetMode="External"/><Relationship Id="rId816" Type="http://schemas.openxmlformats.org/officeDocument/2006/relationships/hyperlink" Target="https://replay.pokemonshowdown.com/smogtours-gen3ou-796333" TargetMode="External"/><Relationship Id="rId811" Type="http://schemas.openxmlformats.org/officeDocument/2006/relationships/hyperlink" Target="https://replay.pokemonshowdown.com/smogtours-gen3ou-796403" TargetMode="External"/><Relationship Id="rId810" Type="http://schemas.openxmlformats.org/officeDocument/2006/relationships/hyperlink" Target="https://replay.pokemonshowdown.com/smogtours-gen3ou-796398" TargetMode="External"/><Relationship Id="rId815" Type="http://schemas.openxmlformats.org/officeDocument/2006/relationships/hyperlink" Target="https://replay.pokemonshowdown.com/smogtours-gen3ou-796382" TargetMode="External"/><Relationship Id="rId814" Type="http://schemas.openxmlformats.org/officeDocument/2006/relationships/hyperlink" Target="https://replay.pokemonshowdown.com/smogtours-gen3ou-796378" TargetMode="External"/><Relationship Id="rId813" Type="http://schemas.openxmlformats.org/officeDocument/2006/relationships/hyperlink" Target="https://replay.pokemonshowdown.com/smogtours-gen3ou-796376" TargetMode="External"/><Relationship Id="rId812" Type="http://schemas.openxmlformats.org/officeDocument/2006/relationships/hyperlink" Target="https://replay.pokemonshowdown.com/smogtours-gen3ou-796409" TargetMode="External"/><Relationship Id="rId2970" Type="http://schemas.openxmlformats.org/officeDocument/2006/relationships/hyperlink" Target="https://replay.pokemonshowdown.com/smogtours-gen3ou-801495?p2" TargetMode="External"/><Relationship Id="rId1640" Type="http://schemas.openxmlformats.org/officeDocument/2006/relationships/hyperlink" Target="https://replay.pokemonshowdown.com/smogtours-gen3ou-798744?p2" TargetMode="External"/><Relationship Id="rId2971" Type="http://schemas.openxmlformats.org/officeDocument/2006/relationships/hyperlink" Target="https://replay.pokemonshowdown.com/smogtours-gen3ou-801500" TargetMode="External"/><Relationship Id="rId1641" Type="http://schemas.openxmlformats.org/officeDocument/2006/relationships/hyperlink" Target="https://replay.pokemonshowdown.com/smogtours-gen3ou-798748?p2" TargetMode="External"/><Relationship Id="rId2972" Type="http://schemas.openxmlformats.org/officeDocument/2006/relationships/hyperlink" Target="https://replay.pokemonshowdown.com/smogtours-gen3ou-801712" TargetMode="External"/><Relationship Id="rId1675" Type="http://schemas.openxmlformats.org/officeDocument/2006/relationships/hyperlink" Target="https://replay.pokemonshowdown.com/smogtours-gen3ou-798669" TargetMode="External"/><Relationship Id="rId1676" Type="http://schemas.openxmlformats.org/officeDocument/2006/relationships/hyperlink" Target="https://replay.pokemonshowdown.com/smogtours-gen3ou-798677" TargetMode="External"/><Relationship Id="rId1677" Type="http://schemas.openxmlformats.org/officeDocument/2006/relationships/hyperlink" Target="https://replay.pokemonshowdown.com/smogtours-gen3ou-798700" TargetMode="External"/><Relationship Id="rId1678" Type="http://schemas.openxmlformats.org/officeDocument/2006/relationships/hyperlink" Target="https://replay.pokemonshowdown.com/smogtours-gen3ou-798704" TargetMode="External"/><Relationship Id="rId1679" Type="http://schemas.openxmlformats.org/officeDocument/2006/relationships/hyperlink" Target="https://replay.pokemonshowdown.com/smogtours-gen3ou-798852" TargetMode="External"/><Relationship Id="rId849" Type="http://schemas.openxmlformats.org/officeDocument/2006/relationships/hyperlink" Target="https://replay.pokemonshowdown.com/smogtours-gen3ou-796226" TargetMode="External"/><Relationship Id="rId844" Type="http://schemas.openxmlformats.org/officeDocument/2006/relationships/hyperlink" Target="https://replay.pokemonshowdown.com/smogtours-gen3ou-796503" TargetMode="External"/><Relationship Id="rId843" Type="http://schemas.openxmlformats.org/officeDocument/2006/relationships/hyperlink" Target="https://replay.pokemonshowdown.com/smogtours-gen3ou-795593" TargetMode="External"/><Relationship Id="rId842" Type="http://schemas.openxmlformats.org/officeDocument/2006/relationships/hyperlink" Target="https://replay.pokemonshowdown.com/smogtours-gen3ou-795591" TargetMode="External"/><Relationship Id="rId841" Type="http://schemas.openxmlformats.org/officeDocument/2006/relationships/hyperlink" Target="https://replay.pokemonshowdown.com/smogtours-gen3ou-796468?p2" TargetMode="External"/><Relationship Id="rId848" Type="http://schemas.openxmlformats.org/officeDocument/2006/relationships/hyperlink" Target="https://replay.pokemonshowdown.com/smogtours-gen3ou-796221" TargetMode="External"/><Relationship Id="rId847" Type="http://schemas.openxmlformats.org/officeDocument/2006/relationships/hyperlink" Target="https://replay.pokemonshowdown.com/smogtours-gen3ou-796448" TargetMode="External"/><Relationship Id="rId846" Type="http://schemas.openxmlformats.org/officeDocument/2006/relationships/hyperlink" Target="https://replay.pokemonshowdown.com/smogtours-gen3ou-796442" TargetMode="External"/><Relationship Id="rId845" Type="http://schemas.openxmlformats.org/officeDocument/2006/relationships/hyperlink" Target="https://replay.pokemonshowdown.com/smogtours-gen3ou-796508" TargetMode="External"/><Relationship Id="rId1670" Type="http://schemas.openxmlformats.org/officeDocument/2006/relationships/hyperlink" Target="https://replay.pokemonshowdown.com/smogtours-gen3ou-797752" TargetMode="External"/><Relationship Id="rId840" Type="http://schemas.openxmlformats.org/officeDocument/2006/relationships/hyperlink" Target="https://replay.pokemonshowdown.com/smogtours-gen3ou-796464?p2" TargetMode="External"/><Relationship Id="rId1671" Type="http://schemas.openxmlformats.org/officeDocument/2006/relationships/hyperlink" Target="https://replay.pokemonshowdown.com/smogtours-gen3ou-797762" TargetMode="External"/><Relationship Id="rId1672" Type="http://schemas.openxmlformats.org/officeDocument/2006/relationships/hyperlink" Target="https://replay.pokemonshowdown.com/smogtours-gen3ou-798468" TargetMode="External"/><Relationship Id="rId1673" Type="http://schemas.openxmlformats.org/officeDocument/2006/relationships/hyperlink" Target="https://replay.pokemonshowdown.com/smogtours-gen3ou-798476" TargetMode="External"/><Relationship Id="rId1674" Type="http://schemas.openxmlformats.org/officeDocument/2006/relationships/hyperlink" Target="https://replay.pokemonshowdown.com/smogtours-gen3ou-797406" TargetMode="External"/><Relationship Id="rId1664" Type="http://schemas.openxmlformats.org/officeDocument/2006/relationships/hyperlink" Target="https://replay.pokemonshowdown.com/smogtours-gen3ou-797467" TargetMode="External"/><Relationship Id="rId2995" Type="http://schemas.openxmlformats.org/officeDocument/2006/relationships/hyperlink" Target="https://replay.pokemonshowdown.com/smogtours-gen3ou-801754" TargetMode="External"/><Relationship Id="rId1665" Type="http://schemas.openxmlformats.org/officeDocument/2006/relationships/hyperlink" Target="https://replay.pokemonshowdown.com/smogtours-gen3ou-797478" TargetMode="External"/><Relationship Id="rId2996" Type="http://schemas.openxmlformats.org/officeDocument/2006/relationships/hyperlink" Target="https://replay.pokemonshowdown.com/smogtours-gen3ou-801755" TargetMode="External"/><Relationship Id="rId1666" Type="http://schemas.openxmlformats.org/officeDocument/2006/relationships/hyperlink" Target="https://replay.pokemonshowdown.com/smogtours-gen3ou-798241" TargetMode="External"/><Relationship Id="rId2997" Type="http://schemas.openxmlformats.org/officeDocument/2006/relationships/hyperlink" Target="https://replay.pokemonshowdown.com/smogtours-gen3ou-801576" TargetMode="External"/><Relationship Id="rId1667" Type="http://schemas.openxmlformats.org/officeDocument/2006/relationships/hyperlink" Target="https://replay.pokemonshowdown.com/smogtours-gen3ou-798249" TargetMode="External"/><Relationship Id="rId2998" Type="http://schemas.openxmlformats.org/officeDocument/2006/relationships/hyperlink" Target="https://replay.pokemonshowdown.com/smogtours-gen3ou-801579" TargetMode="External"/><Relationship Id="rId1668" Type="http://schemas.openxmlformats.org/officeDocument/2006/relationships/hyperlink" Target="https://replay.pokemonshowdown.com/smogtours-gen3ou-798260" TargetMode="External"/><Relationship Id="rId2999" Type="http://schemas.openxmlformats.org/officeDocument/2006/relationships/hyperlink" Target="https://replay.pokemonshowdown.com/smogtours-gen3ou-801582" TargetMode="External"/><Relationship Id="rId1669" Type="http://schemas.openxmlformats.org/officeDocument/2006/relationships/hyperlink" Target="https://replay.pokemonshowdown.com/smogtours-gen3ou-797741" TargetMode="External"/><Relationship Id="rId839" Type="http://schemas.openxmlformats.org/officeDocument/2006/relationships/hyperlink" Target="https://replay.pokemonshowdown.com/smogtours-gen3ou-796461?p2" TargetMode="External"/><Relationship Id="rId838" Type="http://schemas.openxmlformats.org/officeDocument/2006/relationships/hyperlink" Target="https://replay.pokemonshowdown.com/smogtours-gen3ou-796161" TargetMode="External"/><Relationship Id="rId833" Type="http://schemas.openxmlformats.org/officeDocument/2006/relationships/hyperlink" Target="https://replay.pokemonshowdown.com/smogtours-gen3ou-795837" TargetMode="External"/><Relationship Id="rId832" Type="http://schemas.openxmlformats.org/officeDocument/2006/relationships/hyperlink" Target="https://replay.pokemonshowdown.com/smogtours-gen3ou-795837" TargetMode="External"/><Relationship Id="rId831" Type="http://schemas.openxmlformats.org/officeDocument/2006/relationships/hyperlink" Target="https://replay.pokemonshowdown.com/smogtours-gen3ou-796183" TargetMode="External"/><Relationship Id="rId830" Type="http://schemas.openxmlformats.org/officeDocument/2006/relationships/hyperlink" Target="https://replay.pokemonshowdown.com/smogtours-gen3ou-796178" TargetMode="External"/><Relationship Id="rId837" Type="http://schemas.openxmlformats.org/officeDocument/2006/relationships/hyperlink" Target="https://replay.pokemonshowdown.com/smogtours-gen3ou-796157" TargetMode="External"/><Relationship Id="rId836" Type="http://schemas.openxmlformats.org/officeDocument/2006/relationships/hyperlink" Target="https://replay.pokemonshowdown.com/smogtours-gen3ou-796154" TargetMode="External"/><Relationship Id="rId835" Type="http://schemas.openxmlformats.org/officeDocument/2006/relationships/hyperlink" Target="https://replay.pokemonshowdown.com/smogtours-gen3ou-796473" TargetMode="External"/><Relationship Id="rId834" Type="http://schemas.openxmlformats.org/officeDocument/2006/relationships/hyperlink" Target="https://replay.pokemonshowdown.com/smogtours-gen3ou-796465" TargetMode="External"/><Relationship Id="rId2990" Type="http://schemas.openxmlformats.org/officeDocument/2006/relationships/hyperlink" Target="https://replay.pokemonshowdown.com/smogtours-gen3ou-801753" TargetMode="External"/><Relationship Id="rId1660" Type="http://schemas.openxmlformats.org/officeDocument/2006/relationships/hyperlink" Target="https://replay.pokemonshowdown.com/smogtours-gen3ou-797439" TargetMode="External"/><Relationship Id="rId2991" Type="http://schemas.openxmlformats.org/officeDocument/2006/relationships/hyperlink" Target="https://replay.pokemonshowdown.com/smogtours-gen3ou-801733" TargetMode="External"/><Relationship Id="rId1661" Type="http://schemas.openxmlformats.org/officeDocument/2006/relationships/hyperlink" Target="https://replay.pokemonshowdown.com/smogtours-gen3ou-797443" TargetMode="External"/><Relationship Id="rId2992" Type="http://schemas.openxmlformats.org/officeDocument/2006/relationships/hyperlink" Target="https://replay.pokemonshowdown.com/smogtours-gen3ou-801735" TargetMode="External"/><Relationship Id="rId1662" Type="http://schemas.openxmlformats.org/officeDocument/2006/relationships/hyperlink" Target="https://replay.pokemonshowdown.com/smogtours-gen3ou-797456" TargetMode="External"/><Relationship Id="rId2993" Type="http://schemas.openxmlformats.org/officeDocument/2006/relationships/hyperlink" Target="https://replay.pokemonshowdown.com/smogtours-gen3ou-801738" TargetMode="External"/><Relationship Id="rId1663" Type="http://schemas.openxmlformats.org/officeDocument/2006/relationships/hyperlink" Target="https://replay.pokemonshowdown.com/smogtours-gen3ou-797449" TargetMode="External"/><Relationship Id="rId2994" Type="http://schemas.openxmlformats.org/officeDocument/2006/relationships/hyperlink" Target="https://replay.pokemonshowdown.com/smogtours-gen3ou-801749" TargetMode="External"/><Relationship Id="rId2148" Type="http://schemas.openxmlformats.org/officeDocument/2006/relationships/hyperlink" Target="https://replay.pokemonshowdown.com/smogtours-gen3ou-799431" TargetMode="External"/><Relationship Id="rId2149" Type="http://schemas.openxmlformats.org/officeDocument/2006/relationships/hyperlink" Target="https://replay.pokemonshowdown.com/smogtours-gen3ou-799381" TargetMode="External"/><Relationship Id="rId3479" Type="http://schemas.openxmlformats.org/officeDocument/2006/relationships/hyperlink" Target="https://replay.pokemonshowdown.com/smogtours-gen3ou-803391" TargetMode="External"/><Relationship Id="rId3470" Type="http://schemas.openxmlformats.org/officeDocument/2006/relationships/hyperlink" Target="https://replay.pokemonshowdown.com/smogtours-gen3ou-803218" TargetMode="External"/><Relationship Id="rId2140" Type="http://schemas.openxmlformats.org/officeDocument/2006/relationships/hyperlink" Target="https://replay.pokemonshowdown.com/smogtours-gen3ou-799209" TargetMode="External"/><Relationship Id="rId3472" Type="http://schemas.openxmlformats.org/officeDocument/2006/relationships/hyperlink" Target="https://replay.pokemonshowdown.com/smogtours-gen3ou-803398" TargetMode="External"/><Relationship Id="rId2141" Type="http://schemas.openxmlformats.org/officeDocument/2006/relationships/hyperlink" Target="https://replay.pokemonshowdown.com/smogtours-gen3ou-799212" TargetMode="External"/><Relationship Id="rId3471" Type="http://schemas.openxmlformats.org/officeDocument/2006/relationships/hyperlink" Target="https://replay.pokemonshowdown.com/smogtours-gen3ou-803219" TargetMode="External"/><Relationship Id="rId2142" Type="http://schemas.openxmlformats.org/officeDocument/2006/relationships/hyperlink" Target="https://replay.pokemonshowdown.com/smogtours-gen3ou-799213" TargetMode="External"/><Relationship Id="rId3474" Type="http://schemas.openxmlformats.org/officeDocument/2006/relationships/hyperlink" Target="https://replay.pokemonshowdown.com/smogtours-gen3ou-803389" TargetMode="External"/><Relationship Id="rId2143" Type="http://schemas.openxmlformats.org/officeDocument/2006/relationships/hyperlink" Target="https://replay.pokemonshowdown.com/smogtours-gen3ou-799211?p2" TargetMode="External"/><Relationship Id="rId3473" Type="http://schemas.openxmlformats.org/officeDocument/2006/relationships/hyperlink" Target="https://replay.pokemonshowdown.com/smogtours-gen3ou-803400" TargetMode="External"/><Relationship Id="rId2144" Type="http://schemas.openxmlformats.org/officeDocument/2006/relationships/hyperlink" Target="https://replay.pokemonshowdown.com/smogtours-gen3ou-799215?p2" TargetMode="External"/><Relationship Id="rId3476" Type="http://schemas.openxmlformats.org/officeDocument/2006/relationships/hyperlink" Target="https://replay.pokemonshowdown.com/smogtours-gen3ou-803405" TargetMode="External"/><Relationship Id="rId2145" Type="http://schemas.openxmlformats.org/officeDocument/2006/relationships/hyperlink" Target="https://replay.pokemonshowdown.com/smogtours-gen3ou-799313" TargetMode="External"/><Relationship Id="rId3475" Type="http://schemas.openxmlformats.org/officeDocument/2006/relationships/hyperlink" Target="https://replay.pokemonshowdown.com/smogtours-gen3ou-803392" TargetMode="External"/><Relationship Id="rId2146" Type="http://schemas.openxmlformats.org/officeDocument/2006/relationships/hyperlink" Target="https://replay.pokemonshowdown.com/smogtours-gen3ou-799316" TargetMode="External"/><Relationship Id="rId3478" Type="http://schemas.openxmlformats.org/officeDocument/2006/relationships/hyperlink" Target="https://replay.pokemonshowdown.com/smogtours-gen3ou-803407" TargetMode="External"/><Relationship Id="rId2147" Type="http://schemas.openxmlformats.org/officeDocument/2006/relationships/hyperlink" Target="https://replay.pokemonshowdown.com/smogtours-gen3ou-799429" TargetMode="External"/><Relationship Id="rId3477" Type="http://schemas.openxmlformats.org/officeDocument/2006/relationships/hyperlink" Target="https://replay.pokemonshowdown.com/smogtours-gen3ou-803406" TargetMode="External"/><Relationship Id="rId2137" Type="http://schemas.openxmlformats.org/officeDocument/2006/relationships/hyperlink" Target="https://replay.pokemonshowdown.com/smogtours-gen3ou-799442" TargetMode="External"/><Relationship Id="rId3469" Type="http://schemas.openxmlformats.org/officeDocument/2006/relationships/hyperlink" Target="https://replay.pokemonshowdown.com/smogtours-gen3ou-803112" TargetMode="External"/><Relationship Id="rId2138" Type="http://schemas.openxmlformats.org/officeDocument/2006/relationships/hyperlink" Target="https://replay.pokemonshowdown.com/smogtours-gen3ou-799444" TargetMode="External"/><Relationship Id="rId3468" Type="http://schemas.openxmlformats.org/officeDocument/2006/relationships/hyperlink" Target="https://replay.pokemonshowdown.com/smogtours-gen3ou-803110" TargetMode="External"/><Relationship Id="rId2139" Type="http://schemas.openxmlformats.org/officeDocument/2006/relationships/hyperlink" Target="https://replay.pokemonshowdown.com/smogtours-gen3ou-799448" TargetMode="External"/><Relationship Id="rId3461" Type="http://schemas.openxmlformats.org/officeDocument/2006/relationships/hyperlink" Target="https://replay.pokemonshowdown.com/smogtours-gen3ou-803192" TargetMode="External"/><Relationship Id="rId2130" Type="http://schemas.openxmlformats.org/officeDocument/2006/relationships/hyperlink" Target="https://replay.pokemonshowdown.com/smogtours-gen3ou-799309" TargetMode="External"/><Relationship Id="rId3460" Type="http://schemas.openxmlformats.org/officeDocument/2006/relationships/hyperlink" Target="https://replay.pokemonshowdown.com/smogtours-gen3ou-803191" TargetMode="External"/><Relationship Id="rId2131" Type="http://schemas.openxmlformats.org/officeDocument/2006/relationships/hyperlink" Target="https://replay.pokemonshowdown.com/smogtours-gen3ou-799421" TargetMode="External"/><Relationship Id="rId3463" Type="http://schemas.openxmlformats.org/officeDocument/2006/relationships/hyperlink" Target="https://replay.pokemonshowdown.com/smogtours-gen3ou-803169" TargetMode="External"/><Relationship Id="rId2132" Type="http://schemas.openxmlformats.org/officeDocument/2006/relationships/hyperlink" Target="https://replay.pokemonshowdown.com/smogtours-gen3ou-799424" TargetMode="External"/><Relationship Id="rId3462" Type="http://schemas.openxmlformats.org/officeDocument/2006/relationships/hyperlink" Target="https://replay.pokemonshowdown.com/smogtours-gen3ou-803161" TargetMode="External"/><Relationship Id="rId2133" Type="http://schemas.openxmlformats.org/officeDocument/2006/relationships/hyperlink" Target="https://replay.pokemonshowdown.com/smogtours-gen3ou-799425" TargetMode="External"/><Relationship Id="rId3465" Type="http://schemas.openxmlformats.org/officeDocument/2006/relationships/hyperlink" Target="https://replay.pokemonshowdown.com/smogtours-gen3ou-803087" TargetMode="External"/><Relationship Id="rId2134" Type="http://schemas.openxmlformats.org/officeDocument/2006/relationships/hyperlink" Target="https://replay.pokemonshowdown.com/smogtours-gen3ou-799446" TargetMode="External"/><Relationship Id="rId3464" Type="http://schemas.openxmlformats.org/officeDocument/2006/relationships/hyperlink" Target="https://replay.pokemonshowdown.com/smogtours-gen3ou-803172" TargetMode="External"/><Relationship Id="rId2135" Type="http://schemas.openxmlformats.org/officeDocument/2006/relationships/hyperlink" Target="https://replay.pokemonshowdown.com/smogtours-gen3ou-799450" TargetMode="External"/><Relationship Id="rId3467" Type="http://schemas.openxmlformats.org/officeDocument/2006/relationships/hyperlink" Target="https://replay.pokemonshowdown.com/smogtours-gen3ou-803091" TargetMode="External"/><Relationship Id="rId2136" Type="http://schemas.openxmlformats.org/officeDocument/2006/relationships/hyperlink" Target="https://replay.pokemonshowdown.com/smogtours-gen3ou-799450" TargetMode="External"/><Relationship Id="rId3466" Type="http://schemas.openxmlformats.org/officeDocument/2006/relationships/hyperlink" Target="https://replay.pokemonshowdown.com/smogtours-gen3ou-803090" TargetMode="External"/><Relationship Id="rId3490" Type="http://schemas.openxmlformats.org/officeDocument/2006/relationships/hyperlink" Target="https://replay.pokemonshowdown.com/smogtours-gen3ou-803346" TargetMode="External"/><Relationship Id="rId2160" Type="http://schemas.openxmlformats.org/officeDocument/2006/relationships/hyperlink" Target="https://replay.pokemonshowdown.com/smogtours-gen3ou-799132" TargetMode="External"/><Relationship Id="rId3492" Type="http://schemas.openxmlformats.org/officeDocument/2006/relationships/hyperlink" Target="https://replay.pokemonshowdown.com/smogtours-gen3ou-803378" TargetMode="External"/><Relationship Id="rId2161" Type="http://schemas.openxmlformats.org/officeDocument/2006/relationships/hyperlink" Target="https://replay.pokemonshowdown.com/smogtours-gen3ou-799134" TargetMode="External"/><Relationship Id="rId3491" Type="http://schemas.openxmlformats.org/officeDocument/2006/relationships/hyperlink" Target="https://replay.pokemonshowdown.com/smogtours-gen3ou-803352" TargetMode="External"/><Relationship Id="rId2162" Type="http://schemas.openxmlformats.org/officeDocument/2006/relationships/hyperlink" Target="https://replay.pokemonshowdown.com/smogtours-gen3ou-799427" TargetMode="External"/><Relationship Id="rId3494" Type="http://schemas.openxmlformats.org/officeDocument/2006/relationships/hyperlink" Target="https://replay.pokemonshowdown.com/smogtours-gen3ou-803290" TargetMode="External"/><Relationship Id="rId2163" Type="http://schemas.openxmlformats.org/officeDocument/2006/relationships/hyperlink" Target="https://replay.pokemonshowdown.com/smogtours-gen3ou-799430" TargetMode="External"/><Relationship Id="rId3493" Type="http://schemas.openxmlformats.org/officeDocument/2006/relationships/hyperlink" Target="https://replay.pokemonshowdown.com/smogtours-gen3ou-803381" TargetMode="External"/><Relationship Id="rId2164" Type="http://schemas.openxmlformats.org/officeDocument/2006/relationships/hyperlink" Target="https://replay.pokemonshowdown.com/smogtours-gen3ou-799434" TargetMode="External"/><Relationship Id="rId3496" Type="http://schemas.openxmlformats.org/officeDocument/2006/relationships/hyperlink" Target="https://replay.pokemonshowdown.com/smogtours-gen3ou-803312" TargetMode="External"/><Relationship Id="rId2165" Type="http://schemas.openxmlformats.org/officeDocument/2006/relationships/hyperlink" Target="https://replay.pokemonshowdown.com/smogtours-gen3ou-799379" TargetMode="External"/><Relationship Id="rId3495" Type="http://schemas.openxmlformats.org/officeDocument/2006/relationships/hyperlink" Target="https://replay.pokemonshowdown.com/smogtours-gen3ou-803305" TargetMode="External"/><Relationship Id="rId2166" Type="http://schemas.openxmlformats.org/officeDocument/2006/relationships/hyperlink" Target="https://replay.pokemonshowdown.com/smogtours-gen3ou-799385" TargetMode="External"/><Relationship Id="rId3498" Type="http://schemas.openxmlformats.org/officeDocument/2006/relationships/hyperlink" Target="https://replay.pokemonshowdown.com/smogtours-gen3ou-803373" TargetMode="External"/><Relationship Id="rId2167" Type="http://schemas.openxmlformats.org/officeDocument/2006/relationships/hyperlink" Target="https://replay.pokemonshowdown.com/gen3ou-2225549903-qcq0dobjolcglyjajkqnpdqvdgmleelpw" TargetMode="External"/><Relationship Id="rId3497" Type="http://schemas.openxmlformats.org/officeDocument/2006/relationships/hyperlink" Target="https://replay.pokemonshowdown.com/smogtours-gen3ou-803371" TargetMode="External"/><Relationship Id="rId2168" Type="http://schemas.openxmlformats.org/officeDocument/2006/relationships/hyperlink" Target="https://replay.pokemonshowdown.com/gen3ou-2225551475-zyd9odnxj9uy1gf345fnw3z3qzq7ncbpw" TargetMode="External"/><Relationship Id="rId2169" Type="http://schemas.openxmlformats.org/officeDocument/2006/relationships/hyperlink" Target="https://replay.pokemonshowdown.com/smogtours-gen3ou-799408" TargetMode="External"/><Relationship Id="rId3499" Type="http://schemas.openxmlformats.org/officeDocument/2006/relationships/hyperlink" Target="https://replay.pokemonshowdown.com/smogtours-gen3ou-803375" TargetMode="External"/><Relationship Id="rId2159" Type="http://schemas.openxmlformats.org/officeDocument/2006/relationships/hyperlink" Target="https://replay.pokemonshowdown.com/smogtours-gen3ou-799131" TargetMode="External"/><Relationship Id="rId3481" Type="http://schemas.openxmlformats.org/officeDocument/2006/relationships/hyperlink" Target="https://replay.pokemonshowdown.com/smogtours-gen3ou-803408" TargetMode="External"/><Relationship Id="rId2150" Type="http://schemas.openxmlformats.org/officeDocument/2006/relationships/hyperlink" Target="https://replay.pokemonshowdown.com/smogtours-gen3ou-799383" TargetMode="External"/><Relationship Id="rId3480" Type="http://schemas.openxmlformats.org/officeDocument/2006/relationships/hyperlink" Target="https://replay.pokemonshowdown.com/smogtours-gen3ou-803393" TargetMode="External"/><Relationship Id="rId2151" Type="http://schemas.openxmlformats.org/officeDocument/2006/relationships/hyperlink" Target="https://replay.pokemonshowdown.com/smogtours-gen3ou-799388" TargetMode="External"/><Relationship Id="rId3483" Type="http://schemas.openxmlformats.org/officeDocument/2006/relationships/hyperlink" Target="https://replay.pokemonshowdown.com/smogtours-gen3ou-803410" TargetMode="External"/><Relationship Id="rId2152" Type="http://schemas.openxmlformats.org/officeDocument/2006/relationships/hyperlink" Target="https://replay.pokemonshowdown.com/smogtours-gen3ou-799220" TargetMode="External"/><Relationship Id="rId3482" Type="http://schemas.openxmlformats.org/officeDocument/2006/relationships/hyperlink" Target="https://replay.pokemonshowdown.com/smogtours-gen3ou-803409" TargetMode="External"/><Relationship Id="rId2153" Type="http://schemas.openxmlformats.org/officeDocument/2006/relationships/hyperlink" Target="https://replay.pokemonshowdown.com/smogtours-gen3ou-799218" TargetMode="External"/><Relationship Id="rId3485" Type="http://schemas.openxmlformats.org/officeDocument/2006/relationships/hyperlink" Target="https://replay.pokemonshowdown.com/smogtours-gen3ou-803367" TargetMode="External"/><Relationship Id="rId2154" Type="http://schemas.openxmlformats.org/officeDocument/2006/relationships/hyperlink" Target="https://replay.pokemonshowdown.com/smogtours-gen3ou-799319" TargetMode="External"/><Relationship Id="rId3484" Type="http://schemas.openxmlformats.org/officeDocument/2006/relationships/hyperlink" Target="https://replay.pokemonshowdown.com/smogtours-gen3ou-803364" TargetMode="External"/><Relationship Id="rId2155" Type="http://schemas.openxmlformats.org/officeDocument/2006/relationships/hyperlink" Target="https://replay.pokemonshowdown.com/smogtours-gen3ou-799329?p2" TargetMode="External"/><Relationship Id="rId3487" Type="http://schemas.openxmlformats.org/officeDocument/2006/relationships/hyperlink" Target="https://replay.pokemonshowdown.com/smogtours-gen3ou-803253" TargetMode="External"/><Relationship Id="rId2156" Type="http://schemas.openxmlformats.org/officeDocument/2006/relationships/hyperlink" Target="https://replay.pokemonshowdown.com/smogtours-gen3ou-799371" TargetMode="External"/><Relationship Id="rId3486" Type="http://schemas.openxmlformats.org/officeDocument/2006/relationships/hyperlink" Target="https://replay.pokemonshowdown.com/smogtours-gen3ou-803370" TargetMode="External"/><Relationship Id="rId2157" Type="http://schemas.openxmlformats.org/officeDocument/2006/relationships/hyperlink" Target="https://replay.pokemonshowdown.com/smogtours-gen3ou-799373" TargetMode="External"/><Relationship Id="rId3489" Type="http://schemas.openxmlformats.org/officeDocument/2006/relationships/hyperlink" Target="https://replay.pokemonshowdown.com/smogtours-gen3ou-803270" TargetMode="External"/><Relationship Id="rId2158" Type="http://schemas.openxmlformats.org/officeDocument/2006/relationships/hyperlink" Target="https://replay.pokemonshowdown.com/smogtours-gen3ou-799375" TargetMode="External"/><Relationship Id="rId3488" Type="http://schemas.openxmlformats.org/officeDocument/2006/relationships/hyperlink" Target="https://replay.pokemonshowdown.com/smogtours-gen3ou-803259" TargetMode="External"/><Relationship Id="rId2104" Type="http://schemas.openxmlformats.org/officeDocument/2006/relationships/hyperlink" Target="https://replay.pokemonshowdown.com/smogtours-gen3ou-799366" TargetMode="External"/><Relationship Id="rId3436" Type="http://schemas.openxmlformats.org/officeDocument/2006/relationships/hyperlink" Target="https://replay.pokemonshowdown.com/smogtours-gen3ou-803216" TargetMode="External"/><Relationship Id="rId2105" Type="http://schemas.openxmlformats.org/officeDocument/2006/relationships/hyperlink" Target="https://replay.pokemonshowdown.com/smogtours-gen3ou-799352" TargetMode="External"/><Relationship Id="rId3435" Type="http://schemas.openxmlformats.org/officeDocument/2006/relationships/hyperlink" Target="https://replay.pokemonshowdown.com/smogtours-gen3ou-803214" TargetMode="External"/><Relationship Id="rId2106" Type="http://schemas.openxmlformats.org/officeDocument/2006/relationships/hyperlink" Target="https://replay.pokemonshowdown.com/smogtours-gen3ou-799357" TargetMode="External"/><Relationship Id="rId3438" Type="http://schemas.openxmlformats.org/officeDocument/2006/relationships/hyperlink" Target="https://replay.pokemonshowdown.com/smogtours-gen3ou-803204" TargetMode="External"/><Relationship Id="rId2107" Type="http://schemas.openxmlformats.org/officeDocument/2006/relationships/hyperlink" Target="https://replay.pokemonshowdown.com/smogtours-gen3ou-799363" TargetMode="External"/><Relationship Id="rId3437" Type="http://schemas.openxmlformats.org/officeDocument/2006/relationships/hyperlink" Target="https://replay.pokemonshowdown.com/smogtours-gen3ou-803201" TargetMode="External"/><Relationship Id="rId2108" Type="http://schemas.openxmlformats.org/officeDocument/2006/relationships/hyperlink" Target="https://replay.pokemonshowdown.com/smogtours-gen3ou-799262?p2" TargetMode="External"/><Relationship Id="rId2109" Type="http://schemas.openxmlformats.org/officeDocument/2006/relationships/hyperlink" Target="https://replay.pokemonshowdown.com/smogtours-gen3ou-799265" TargetMode="External"/><Relationship Id="rId3439" Type="http://schemas.openxmlformats.org/officeDocument/2006/relationships/hyperlink" Target="https://replay.pokemonshowdown.com/smogtours-gen3ou-803208" TargetMode="External"/><Relationship Id="rId3430" Type="http://schemas.openxmlformats.org/officeDocument/2006/relationships/hyperlink" Target="https://replay.pokemonshowdown.com/smogtours-gen3ou-802991" TargetMode="External"/><Relationship Id="rId2100" Type="http://schemas.openxmlformats.org/officeDocument/2006/relationships/hyperlink" Target="https://replay.pokemonshowdown.com/smogtours-gen3ou-799334" TargetMode="External"/><Relationship Id="rId3432" Type="http://schemas.openxmlformats.org/officeDocument/2006/relationships/hyperlink" Target="https://replay.pokemonshowdown.com/smogtours-gen3ou-803004" TargetMode="External"/><Relationship Id="rId2101" Type="http://schemas.openxmlformats.org/officeDocument/2006/relationships/hyperlink" Target="https://replay.pokemonshowdown.com/smogtours-gen3ou-799310" TargetMode="External"/><Relationship Id="rId3431" Type="http://schemas.openxmlformats.org/officeDocument/2006/relationships/hyperlink" Target="https://replay.pokemonshowdown.com/smogtours-gen3ou-802999" TargetMode="External"/><Relationship Id="rId2102" Type="http://schemas.openxmlformats.org/officeDocument/2006/relationships/hyperlink" Target="https://replay.pokemonshowdown.com/smogtours-gen3ou-799315" TargetMode="External"/><Relationship Id="rId3434" Type="http://schemas.openxmlformats.org/officeDocument/2006/relationships/hyperlink" Target="https://replay.pokemonshowdown.com/smogtours-gen3ou-803384" TargetMode="External"/><Relationship Id="rId2103" Type="http://schemas.openxmlformats.org/officeDocument/2006/relationships/hyperlink" Target="https://replay.pokemonshowdown.com/smogtours-gen3ou-799360" TargetMode="External"/><Relationship Id="rId3433" Type="http://schemas.openxmlformats.org/officeDocument/2006/relationships/hyperlink" Target="https://replay.pokemonshowdown.com/smogtours-gen3ou-803377" TargetMode="External"/><Relationship Id="rId3425" Type="http://schemas.openxmlformats.org/officeDocument/2006/relationships/hyperlink" Target="https://replay.pokemonshowdown.com/smogtours-gen3ou-803337" TargetMode="External"/><Relationship Id="rId3424" Type="http://schemas.openxmlformats.org/officeDocument/2006/relationships/hyperlink" Target="https://replay.pokemonshowdown.com/smogtours-gen3ou-803334" TargetMode="External"/><Relationship Id="rId3427" Type="http://schemas.openxmlformats.org/officeDocument/2006/relationships/hyperlink" Target="https://replay.pokemonshowdown.com/smogtours-gen3ou-803275" TargetMode="External"/><Relationship Id="rId3426" Type="http://schemas.openxmlformats.org/officeDocument/2006/relationships/hyperlink" Target="https://replay.pokemonshowdown.com/smogtours-gen3ou-803349" TargetMode="External"/><Relationship Id="rId3429" Type="http://schemas.openxmlformats.org/officeDocument/2006/relationships/hyperlink" Target="https://replay.pokemonshowdown.com/smogtours-gen3ou-803278" TargetMode="External"/><Relationship Id="rId3428" Type="http://schemas.openxmlformats.org/officeDocument/2006/relationships/hyperlink" Target="https://replay.pokemonshowdown.com/smogtours-gen3ou-803276" TargetMode="External"/><Relationship Id="rId899" Type="http://schemas.openxmlformats.org/officeDocument/2006/relationships/hyperlink" Target="https://replay.pokemonshowdown.com/smogtours-gen3ou-796099" TargetMode="External"/><Relationship Id="rId898" Type="http://schemas.openxmlformats.org/officeDocument/2006/relationships/hyperlink" Target="https://replay.pokemonshowdown.com/smogtours-gen3ou-796275" TargetMode="External"/><Relationship Id="rId897" Type="http://schemas.openxmlformats.org/officeDocument/2006/relationships/hyperlink" Target="https://replay.pokemonshowdown.com/smogtours-gen3ou-796271" TargetMode="External"/><Relationship Id="rId896" Type="http://schemas.openxmlformats.org/officeDocument/2006/relationships/hyperlink" Target="https://replay.pokemonshowdown.com/smogtours-gen3ou-796269" TargetMode="External"/><Relationship Id="rId891" Type="http://schemas.openxmlformats.org/officeDocument/2006/relationships/hyperlink" Target="https://replay.pokemonshowdown.com/smogtours-gen3ou-796306" TargetMode="External"/><Relationship Id="rId890" Type="http://schemas.openxmlformats.org/officeDocument/2006/relationships/hyperlink" Target="https://replay.pokemonshowdown.com/smogtours-gen3ou-796302" TargetMode="External"/><Relationship Id="rId895" Type="http://schemas.openxmlformats.org/officeDocument/2006/relationships/hyperlink" Target="https://replay.pokemonshowdown.com/smogtours-gen3ou-796617" TargetMode="External"/><Relationship Id="rId3421" Type="http://schemas.openxmlformats.org/officeDocument/2006/relationships/hyperlink" Target="https://replay.pokemonshowdown.com/smogtours-gen3ou-803095" TargetMode="External"/><Relationship Id="rId894" Type="http://schemas.openxmlformats.org/officeDocument/2006/relationships/hyperlink" Target="https://replay.pokemonshowdown.com/smogtours-gen3ou-796616" TargetMode="External"/><Relationship Id="rId3420" Type="http://schemas.openxmlformats.org/officeDocument/2006/relationships/hyperlink" Target="https://replay.pokemonshowdown.com/smogtours-gen3ou-803356" TargetMode="External"/><Relationship Id="rId893" Type="http://schemas.openxmlformats.org/officeDocument/2006/relationships/hyperlink" Target="https://replay.pokemonshowdown.com/smogtours-gen3ou-796615" TargetMode="External"/><Relationship Id="rId3423" Type="http://schemas.openxmlformats.org/officeDocument/2006/relationships/hyperlink" Target="https://replay.pokemonshowdown.com/smogtours-gen3ou-803103" TargetMode="External"/><Relationship Id="rId892" Type="http://schemas.openxmlformats.org/officeDocument/2006/relationships/hyperlink" Target="https://replay.pokemonshowdown.com/smogtours-gen3ou-796307?p2" TargetMode="External"/><Relationship Id="rId3422" Type="http://schemas.openxmlformats.org/officeDocument/2006/relationships/hyperlink" Target="https://replay.pokemonshowdown.com/smogtours-gen3ou-803098" TargetMode="External"/><Relationship Id="rId2126" Type="http://schemas.openxmlformats.org/officeDocument/2006/relationships/hyperlink" Target="https://replay.pokemonshowdown.com/smogtours-gen3ou-799420" TargetMode="External"/><Relationship Id="rId3458" Type="http://schemas.openxmlformats.org/officeDocument/2006/relationships/hyperlink" Target="https://replay.pokemonshowdown.com/smogtours-gen3ou-803144" TargetMode="External"/><Relationship Id="rId2127" Type="http://schemas.openxmlformats.org/officeDocument/2006/relationships/hyperlink" Target="https://replay.pokemonshowdown.com/smogtours-gen3ou-799423" TargetMode="External"/><Relationship Id="rId3457" Type="http://schemas.openxmlformats.org/officeDocument/2006/relationships/hyperlink" Target="https://replay.pokemonshowdown.com/smogtours-gen3ou-803140" TargetMode="External"/><Relationship Id="rId2128" Type="http://schemas.openxmlformats.org/officeDocument/2006/relationships/hyperlink" Target="https://replay.pokemonshowdown.com/smogtours-gen3ou-799302" TargetMode="External"/><Relationship Id="rId2129" Type="http://schemas.openxmlformats.org/officeDocument/2006/relationships/hyperlink" Target="https://replay.pokemonshowdown.com/smogtours-gen3ou-799306" TargetMode="External"/><Relationship Id="rId3459" Type="http://schemas.openxmlformats.org/officeDocument/2006/relationships/hyperlink" Target="https://replay.pokemonshowdown.com/smogtours-gen3ou-803146" TargetMode="External"/><Relationship Id="rId3450" Type="http://schemas.openxmlformats.org/officeDocument/2006/relationships/hyperlink" Target="https://replay.pokemonshowdown.com/smogtours-gen3ou-803342" TargetMode="External"/><Relationship Id="rId2120" Type="http://schemas.openxmlformats.org/officeDocument/2006/relationships/hyperlink" Target="https://replay.pokemonshowdown.com/smogtours-gen3ou-799192" TargetMode="External"/><Relationship Id="rId3452" Type="http://schemas.openxmlformats.org/officeDocument/2006/relationships/hyperlink" Target="https://replay.pokemonshowdown.com/smogtours-gen3ou-802989" TargetMode="External"/><Relationship Id="rId2121" Type="http://schemas.openxmlformats.org/officeDocument/2006/relationships/hyperlink" Target="https://replay.pokemonshowdown.com/smogtours-gen3ou-799108" TargetMode="External"/><Relationship Id="rId3451" Type="http://schemas.openxmlformats.org/officeDocument/2006/relationships/hyperlink" Target="https://replay.pokemonshowdown.com/smogtours-gen3ou-802958" TargetMode="External"/><Relationship Id="rId2122" Type="http://schemas.openxmlformats.org/officeDocument/2006/relationships/hyperlink" Target="https://replay.pokemonshowdown.com/smogtours-gen3ou-799109" TargetMode="External"/><Relationship Id="rId3454" Type="http://schemas.openxmlformats.org/officeDocument/2006/relationships/hyperlink" Target="https://replay.pokemonshowdown.com/smogtours-gen3ou-803061" TargetMode="External"/><Relationship Id="rId2123" Type="http://schemas.openxmlformats.org/officeDocument/2006/relationships/hyperlink" Target="https://replay.pokemonshowdown.com/smogtours-gen3ou-799110" TargetMode="External"/><Relationship Id="rId3453" Type="http://schemas.openxmlformats.org/officeDocument/2006/relationships/hyperlink" Target="https://replay.pokemonshowdown.com/smogtours-gen3ou-803059" TargetMode="External"/><Relationship Id="rId2124" Type="http://schemas.openxmlformats.org/officeDocument/2006/relationships/hyperlink" Target="https://replay.pokemonshowdown.com/smogtours-gen3ou-799443" TargetMode="External"/><Relationship Id="rId3456" Type="http://schemas.openxmlformats.org/officeDocument/2006/relationships/hyperlink" Target="https://replay.pokemonshowdown.com/smogtours-gen3ou-803324" TargetMode="External"/><Relationship Id="rId2125" Type="http://schemas.openxmlformats.org/officeDocument/2006/relationships/hyperlink" Target="https://replay.pokemonshowdown.com/smogtours-gen3ou-799449" TargetMode="External"/><Relationship Id="rId3455" Type="http://schemas.openxmlformats.org/officeDocument/2006/relationships/hyperlink" Target="https://replay.pokemonshowdown.com/smogtours-gen3ou-803318" TargetMode="External"/><Relationship Id="rId2115" Type="http://schemas.openxmlformats.org/officeDocument/2006/relationships/hyperlink" Target="https://replay.pokemonshowdown.com/smogtours-gen3ou-799401" TargetMode="External"/><Relationship Id="rId3447" Type="http://schemas.openxmlformats.org/officeDocument/2006/relationships/hyperlink" Target="https://replay.pokemonshowdown.com/smogtours-gen3ou-803295" TargetMode="External"/><Relationship Id="rId2116" Type="http://schemas.openxmlformats.org/officeDocument/2006/relationships/hyperlink" Target="https://replay.pokemonshowdown.com/smogtours-gen3ou-799402" TargetMode="External"/><Relationship Id="rId3446" Type="http://schemas.openxmlformats.org/officeDocument/2006/relationships/hyperlink" Target="https://replay.pokemonshowdown.com/smogtours-gen3ou-803284" TargetMode="External"/><Relationship Id="rId2117" Type="http://schemas.openxmlformats.org/officeDocument/2006/relationships/hyperlink" Target="https://replay.pokemonshowdown.com/smogtours-gen3ou-799405" TargetMode="External"/><Relationship Id="rId3449" Type="http://schemas.openxmlformats.org/officeDocument/2006/relationships/hyperlink" Target="https://replay.pokemonshowdown.com/smogtours-gen3ou-803335" TargetMode="External"/><Relationship Id="rId2118" Type="http://schemas.openxmlformats.org/officeDocument/2006/relationships/hyperlink" Target="https://replay.pokemonshowdown.com/smogtours-gen3ou-799187" TargetMode="External"/><Relationship Id="rId3448" Type="http://schemas.openxmlformats.org/officeDocument/2006/relationships/hyperlink" Target="https://replay.pokemonshowdown.com/smogtours-gen3ou-803303" TargetMode="External"/><Relationship Id="rId2119" Type="http://schemas.openxmlformats.org/officeDocument/2006/relationships/hyperlink" Target="https://replay.pokemonshowdown.com/smogtours-gen3ou-799190" TargetMode="External"/><Relationship Id="rId3441" Type="http://schemas.openxmlformats.org/officeDocument/2006/relationships/hyperlink" Target="https://replay.pokemonshowdown.com/smogtours-gen3ou-803316" TargetMode="External"/><Relationship Id="rId2110" Type="http://schemas.openxmlformats.org/officeDocument/2006/relationships/hyperlink" Target="https://replay.pokemonshowdown.com/smogtours-gen3ou-799174" TargetMode="External"/><Relationship Id="rId3440" Type="http://schemas.openxmlformats.org/officeDocument/2006/relationships/hyperlink" Target="https://replay.pokemonshowdown.com/smogtours-gen3ou-803297" TargetMode="External"/><Relationship Id="rId2111" Type="http://schemas.openxmlformats.org/officeDocument/2006/relationships/hyperlink" Target="https://replay.pokemonshowdown.com/smogtours-gen3ou-799176" TargetMode="External"/><Relationship Id="rId3443" Type="http://schemas.openxmlformats.org/officeDocument/2006/relationships/hyperlink" Target="https://replay.pokemonshowdown.com/smogtours-gen3ou-803363" TargetMode="External"/><Relationship Id="rId2112" Type="http://schemas.openxmlformats.org/officeDocument/2006/relationships/hyperlink" Target="https://replay.pokemonshowdown.com/smogtours-gen3ou-799177" TargetMode="External"/><Relationship Id="rId3442" Type="http://schemas.openxmlformats.org/officeDocument/2006/relationships/hyperlink" Target="https://replay.pokemonshowdown.com/smogtours-gen3ou-803359" TargetMode="External"/><Relationship Id="rId2113" Type="http://schemas.openxmlformats.org/officeDocument/2006/relationships/hyperlink" Target="https://replay.pokemonshowdown.com/smogtours-gen3ou-799113" TargetMode="External"/><Relationship Id="rId3445" Type="http://schemas.openxmlformats.org/officeDocument/2006/relationships/hyperlink" Target="https://replay.pokemonshowdown.com/smogtours-gen3ou-803207" TargetMode="External"/><Relationship Id="rId2114" Type="http://schemas.openxmlformats.org/officeDocument/2006/relationships/hyperlink" Target="https://replay.pokemonshowdown.com/smogtours-gen3ou-799114" TargetMode="External"/><Relationship Id="rId3444" Type="http://schemas.openxmlformats.org/officeDocument/2006/relationships/hyperlink" Target="https://replay.pokemonshowdown.com/smogtours-gen3ou-803203"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5.xml"/><Relationship Id="rId3" Type="http://schemas.openxmlformats.org/officeDocument/2006/relationships/vmlDrawing" Target="../drawings/vmlDrawing11.vml"/><Relationship Id="rId5" Type="http://schemas.openxmlformats.org/officeDocument/2006/relationships/table" Target="../tables/table5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 width="6.38"/>
  </cols>
  <sheetData>
    <row r="1" ht="37.5" customHeight="1">
      <c r="A1" s="1" t="s">
        <v>0</v>
      </c>
      <c r="M1" s="2" t="str">
        <f>HYPERLINK("https://www.youtube.com/watch?v=dQw4w9WgXcQ","If an update needs to be made to the sheet, there is something incorrect, or you just want to chat, ping or DM Staff over discord! We don't mind the notifications at all!")</f>
        <v>If an update needs to be made to the sheet, there is something incorrect, or you just want to chat, ping or DM Staff over discord! We don't mind the notifications at all!</v>
      </c>
    </row>
    <row r="2" ht="30.0" customHeight="1">
      <c r="A2" s="3" t="s">
        <v>1</v>
      </c>
      <c r="B2" s="4"/>
      <c r="C2" s="4"/>
      <c r="D2" s="4"/>
      <c r="E2" s="4"/>
      <c r="F2" s="5"/>
      <c r="G2" s="3" t="s">
        <v>2</v>
      </c>
      <c r="H2" s="4"/>
      <c r="I2" s="4"/>
      <c r="J2" s="4"/>
      <c r="K2" s="4"/>
      <c r="L2" s="4"/>
      <c r="M2" s="4"/>
      <c r="N2" s="4"/>
      <c r="O2" s="4"/>
      <c r="P2" s="4"/>
      <c r="Q2" s="4"/>
      <c r="R2" s="4"/>
    </row>
    <row r="3" ht="18.75" customHeight="1">
      <c r="A3" s="6" t="s">
        <v>3</v>
      </c>
      <c r="F3" s="7"/>
      <c r="G3" s="8" t="s">
        <v>4</v>
      </c>
    </row>
    <row r="4" ht="18.75" customHeight="1">
      <c r="A4" s="9" t="s">
        <v>5</v>
      </c>
      <c r="F4" s="7"/>
    </row>
    <row r="5" ht="18.75" customHeight="1">
      <c r="A5" s="9" t="s">
        <v>6</v>
      </c>
      <c r="F5" s="7"/>
    </row>
    <row r="6" ht="7.5" customHeight="1">
      <c r="A6" s="10"/>
      <c r="F6" s="7"/>
      <c r="G6" s="11"/>
      <c r="H6" s="11"/>
      <c r="I6" s="11"/>
      <c r="J6" s="11"/>
      <c r="K6" s="11"/>
      <c r="L6" s="11"/>
      <c r="M6" s="11"/>
      <c r="N6" s="11"/>
      <c r="O6" s="11"/>
      <c r="P6" s="11"/>
      <c r="Q6" s="11"/>
      <c r="R6" s="11"/>
    </row>
    <row r="7" ht="37.5" customHeight="1">
      <c r="A7" s="12" t="s">
        <v>7</v>
      </c>
      <c r="F7" s="7"/>
      <c r="G7" s="13" t="s">
        <v>8</v>
      </c>
      <c r="L7" s="14"/>
      <c r="M7" s="15" t="s">
        <v>9</v>
      </c>
    </row>
    <row r="8" ht="37.5" customHeight="1">
      <c r="A8" s="16" t="s">
        <v>10</v>
      </c>
      <c r="F8" s="7"/>
      <c r="G8" s="17" t="str">
        <f>Hyperlink("https://www.smogon.com/forums/threads/adv-ou-teambuilding-strategy-archetypes-and-cores-a-data-driven-approach.3654874/","Vapicuno's Teambuilding Cores")</f>
        <v>Vapicuno's Teambuilding Cores</v>
      </c>
      <c r="L8" s="14"/>
      <c r="M8" s="18" t="s">
        <v>11</v>
      </c>
    </row>
    <row r="9" ht="37.5" customHeight="1">
      <c r="A9" s="19" t="s">
        <v>12</v>
      </c>
      <c r="F9" s="7"/>
      <c r="G9" s="20" t="str">
        <f>HYPERLINK("https://www.smogon.com/forums/threads/adv-ou-teambuilding-strategy-archetypes-and-cores-a-data-driven-approach.3654874/#post-8242663", "Vapicuno's Offense Teambuilding Guide")</f>
        <v>Vapicuno's Offense Teambuilding Guide</v>
      </c>
      <c r="L9" s="14"/>
      <c r="M9" s="18" t="s">
        <v>13</v>
      </c>
    </row>
    <row r="10" ht="37.5" customHeight="1">
      <c r="A10" s="16" t="s">
        <v>14</v>
      </c>
      <c r="F10" s="7"/>
      <c r="G10" s="20" t="str">
        <f>HYPERLINK("https://www.smogon.com/forums/threads/adv-ou-metagame-discussion.3687814/post-9765205", "DKKoba's Mechanical Differences Sheet")</f>
        <v>DKKoba's Mechanical Differences Sheet</v>
      </c>
      <c r="L10" s="14"/>
      <c r="M10" s="18" t="s">
        <v>15</v>
      </c>
    </row>
    <row r="11" ht="37.5" customHeight="1">
      <c r="A11" s="16" t="s">
        <v>16</v>
      </c>
      <c r="F11" s="7"/>
      <c r="G11" s="21" t="str">
        <f>HYPERLINK("https://www.smogon.com/forums/threads/adv-ou-speed-tiers.3659653/","ADV OU Speed Tiers")</f>
        <v>ADV OU Speed Tiers</v>
      </c>
      <c r="L11" s="14"/>
      <c r="M11" s="18" t="s">
        <v>17</v>
      </c>
    </row>
    <row r="12" ht="37.5" customHeight="1">
      <c r="A12" s="22" t="s">
        <v>18</v>
      </c>
      <c r="F12" s="7"/>
      <c r="G12" s="23" t="str">
        <f>HYPERLINK("https://www.smogon.com/rs/articles/magic_stat_numbers", "ADV 'Magic HP' Numbers")</f>
        <v>ADV 'Magic HP' Numbers</v>
      </c>
      <c r="L12" s="14"/>
      <c r="M12" s="15" t="s">
        <v>19</v>
      </c>
    </row>
    <row r="13" ht="37.5" customHeight="1">
      <c r="A13" s="24" t="s">
        <v>20</v>
      </c>
      <c r="F13" s="7"/>
      <c r="G13" s="25" t="str">
        <f>HYPERLINK("https://www.smogon.com/rs/articles/adv_threatlist","ADV OU Threatlist")</f>
        <v>ADV OU Threatlist</v>
      </c>
      <c r="L13" s="14"/>
      <c r="M13" s="18" t="s">
        <v>21</v>
      </c>
    </row>
    <row r="14" ht="37.5" customHeight="1">
      <c r="F14" s="7"/>
      <c r="G14" s="26" t="str">
        <f>HYPERLINK("https://www.smogon.com/stats/2023-08/gen3ou-1500.txt","August 2023 ADV OU Usage Stats")</f>
        <v>August 2023 ADV OU Usage Stats</v>
      </c>
      <c r="L14" s="14"/>
      <c r="M14" s="15" t="s">
        <v>22</v>
      </c>
    </row>
    <row r="15" ht="37.5" customHeight="1">
      <c r="A15" s="27" t="s">
        <v>23</v>
      </c>
      <c r="F15" s="7"/>
      <c r="G15" s="23" t="str">
        <f>HYPERLINK("https://docs.google.com/spreadsheets/d/1TI_ZCan_1XHIa9YLjNzoF3Fh9awRvYJ_niBwpsIP1vE/edit#gid=491580161","ADV Beat Up Calculator")</f>
        <v>ADV Beat Up Calculator</v>
      </c>
      <c r="L15" s="14"/>
      <c r="M15" s="15" t="s">
        <v>24</v>
      </c>
    </row>
    <row r="16" ht="37.5" customHeight="1">
      <c r="A16" s="28"/>
      <c r="F16" s="7"/>
      <c r="G16" s="29" t="str">
        <f>HYPERLINK("https://docs.google.com/document/d/1wLcPJqQ4I5dmwvbs_GlguZ1SbLh3RcOAIRCnr18A5Ko/edit","ADV Glossary of Terms")</f>
        <v>ADV Glossary of Terms</v>
      </c>
      <c r="L16" s="14"/>
      <c r="M16" s="30" t="s">
        <v>25</v>
      </c>
    </row>
    <row r="17" ht="7.5" customHeight="1">
      <c r="A17" s="10"/>
      <c r="B17" s="10"/>
      <c r="C17" s="10"/>
      <c r="D17" s="10"/>
      <c r="E17" s="10"/>
      <c r="F17" s="31"/>
      <c r="G17" s="10"/>
      <c r="H17" s="10"/>
      <c r="I17" s="10"/>
      <c r="J17" s="10"/>
      <c r="K17" s="10"/>
      <c r="L17" s="32"/>
      <c r="M17" s="33"/>
      <c r="N17" s="33"/>
      <c r="O17" s="33"/>
      <c r="P17" s="33"/>
      <c r="Q17" s="33"/>
      <c r="R17" s="33"/>
    </row>
    <row r="18" ht="37.5" customHeight="1">
      <c r="A18" s="34" t="s">
        <v>26</v>
      </c>
      <c r="B18" s="4"/>
      <c r="C18" s="4"/>
      <c r="D18" s="4"/>
      <c r="E18" s="4"/>
      <c r="F18" s="5"/>
      <c r="G18" s="35" t="s">
        <v>27</v>
      </c>
      <c r="L18" s="14"/>
      <c r="M18" s="18" t="s">
        <v>28</v>
      </c>
    </row>
    <row r="19" ht="37.5" customHeight="1">
      <c r="A19" s="36" t="s">
        <v>29</v>
      </c>
      <c r="F19" s="7"/>
      <c r="G19" s="37" t="str">
        <f>HYPERLINK("https://fulllifegames.com/Tools/ReplayScouter/","Replay Scouter")</f>
        <v>Replay Scouter</v>
      </c>
      <c r="L19" s="14"/>
      <c r="M19" s="18" t="s">
        <v>30</v>
      </c>
    </row>
    <row r="20" ht="37.5" customHeight="1">
      <c r="A20" s="38" t="s">
        <v>31</v>
      </c>
      <c r="F20" s="7"/>
      <c r="G20" s="39" t="str">
        <f>HYPERLINK("https://calc.pokemonshowdown.com/?gen=3","The Damage Calculator")</f>
        <v>The Damage Calculator</v>
      </c>
      <c r="L20" s="14"/>
      <c r="M20" s="18" t="s">
        <v>32</v>
      </c>
    </row>
    <row r="21" ht="37.5" customHeight="1">
      <c r="A21" s="40" t="s">
        <v>33</v>
      </c>
      <c r="F21" s="7"/>
      <c r="G21" s="37" t="str">
        <f>HYPERLINK("https://chrome.google.com/webstore/detail/showdex/dabpnahpcemkfbgfbmegmncjllieilai","Showdex")</f>
        <v>Showdex</v>
      </c>
      <c r="L21" s="14"/>
      <c r="M21" s="18" t="s">
        <v>34</v>
      </c>
    </row>
    <row r="22" ht="37.5" customHeight="1">
      <c r="F22" s="7"/>
      <c r="G22" s="41" t="s">
        <v>35</v>
      </c>
      <c r="H22" s="42"/>
      <c r="I22" s="42"/>
      <c r="J22" s="42"/>
      <c r="K22" s="42"/>
      <c r="L22" s="43"/>
      <c r="M22" s="44" t="s">
        <v>36</v>
      </c>
      <c r="N22" s="42"/>
      <c r="O22" s="42"/>
      <c r="P22" s="42"/>
      <c r="Q22" s="42"/>
      <c r="R22" s="42"/>
    </row>
    <row r="23" ht="37.5" customHeight="1">
      <c r="F23" s="7"/>
      <c r="G23" s="45" t="str">
        <f>HYPERLINK("https://www.smogon.com/forums/threads/adv-ou-sample-teams-and-team-dumps.3687813/","Smogon Forum Team Dump")</f>
        <v>Smogon Forum Team Dump</v>
      </c>
      <c r="L23" s="14"/>
      <c r="M23" s="18" t="s">
        <v>37</v>
      </c>
    </row>
    <row r="24" ht="37.5" customHeight="1">
      <c r="F24" s="7"/>
      <c r="G24" s="46" t="str">
        <f>HYPERLINK("https://www.smogon.com/forums/threads/set-dump-team-dump-and-previously-general-metagame-discussion.3648620/","Team Dumps and Metagame Discussion Thread")</f>
        <v>Team Dumps and Metagame Discussion Thread</v>
      </c>
      <c r="L24" s="14"/>
      <c r="M24" s="18" t="s">
        <v>38</v>
      </c>
    </row>
    <row r="25" ht="37.5" customHeight="1">
      <c r="F25" s="47"/>
      <c r="G25" s="45" t="str">
        <f>HYPERLINK("https://pokepast.es/fafdde1bde1b139b","McMeghan's 2022 Builder")</f>
        <v>McMeghan's 2022 Builder</v>
      </c>
      <c r="L25" s="14"/>
      <c r="M25" s="24" t="s">
        <v>39</v>
      </c>
    </row>
    <row r="26" ht="37.5" customHeight="1">
      <c r="F26" s="47"/>
      <c r="G26" s="45" t="str">
        <f>HYPERLINK("https://www.smogon.com/forums/threads/set-dump-team-dump-and-previously-general-metagame-discussion.3648620/page-5#post-9400235","M Dragon's 2022 Team Dump")</f>
        <v>M Dragon's 2022 Team Dump</v>
      </c>
      <c r="L26" s="14"/>
    </row>
    <row r="27" ht="37.5" customHeight="1">
      <c r="F27" s="47"/>
      <c r="G27" s="45" t="str">
        <f>HYPERLINK("https://www.smogon.com/forums/threads/spl-xiv-teams-reflections-report.3720792/","Roro's SPL Team Dump")</f>
        <v>Roro's SPL Team Dump</v>
      </c>
      <c r="L27" s="14"/>
    </row>
    <row r="28" ht="37.5" customHeight="1">
      <c r="F28" s="47"/>
      <c r="G28" s="48" t="str">
        <f>HYPERLINK("https://youtu.be/BkvCZ18ySWE?si=8HZ8n2UhAwv6N3ng","ADV Offense for Beginners")</f>
        <v>ADV Offense for Beginners</v>
      </c>
      <c r="L28" s="14"/>
      <c r="M28" s="30" t="s">
        <v>40</v>
      </c>
    </row>
    <row r="29" ht="37.5" customHeight="1">
      <c r="F29" s="47"/>
      <c r="G29" s="45" t="str">
        <f>HYPERLINK("https://www.smogon.com/forums/threads/adv-ou-creative-sets-synergistic-cores-and-concepts.3687815/","ADV Creative Sets Thread")</f>
        <v>ADV Creative Sets Thread</v>
      </c>
      <c r="L29" s="14"/>
      <c r="M29" s="18" t="s">
        <v>41</v>
      </c>
    </row>
    <row r="30" ht="37.5" customHeight="1">
      <c r="F30" s="47"/>
      <c r="G30" s="49" t="s">
        <v>42</v>
      </c>
      <c r="H30" s="42"/>
      <c r="I30" s="42"/>
      <c r="J30" s="42"/>
      <c r="K30" s="42"/>
      <c r="L30" s="43"/>
      <c r="M30" s="50" t="s">
        <v>43</v>
      </c>
      <c r="N30" s="42"/>
      <c r="O30" s="42"/>
      <c r="P30" s="42"/>
      <c r="Q30" s="42"/>
      <c r="R30" s="42"/>
    </row>
    <row r="31" ht="37.5" customHeight="1">
      <c r="F31" s="47"/>
      <c r="G31" s="51" t="str">
        <f>HYPERLINK("https://www.smogon.com/forums/forums/adv/","Ruins of Alph ADV Forums")</f>
        <v>Ruins of Alph ADV Forums</v>
      </c>
      <c r="L31" s="14"/>
      <c r="M31" s="18" t="s">
        <v>44</v>
      </c>
    </row>
    <row r="32" ht="37.5" customHeight="1">
      <c r="F32" s="47"/>
      <c r="G32" s="51" t="str">
        <f>HYPERLINK("https://www.pokemonperfect.com/forums/index.php?forums/adv-ou.73/","Pokemon Perfect ADV Forums")</f>
        <v>Pokemon Perfect ADV Forums</v>
      </c>
      <c r="L32" s="14"/>
      <c r="M32" s="18" t="s">
        <v>45</v>
      </c>
    </row>
    <row r="33" ht="37.5" customHeight="1">
      <c r="F33" s="47"/>
      <c r="G33" s="51" t="str">
        <f>HYPERLINK("https://www.smogon.com/forums/forums/old-gen-metagames-circuits.475/?prefix_id=419","Smogon ADV Tournaments")</f>
        <v>Smogon ADV Tournaments</v>
      </c>
      <c r="L33" s="14"/>
      <c r="M33" s="18" t="s">
        <v>46</v>
      </c>
    </row>
    <row r="34" ht="37.5" customHeight="1">
      <c r="F34" s="47"/>
      <c r="G34" s="52" t="s">
        <v>47</v>
      </c>
      <c r="H34" s="42"/>
      <c r="I34" s="42"/>
      <c r="J34" s="42"/>
      <c r="K34" s="42"/>
      <c r="L34" s="43"/>
      <c r="M34" s="53" t="s">
        <v>48</v>
      </c>
      <c r="N34" s="42"/>
      <c r="O34" s="42"/>
      <c r="P34" s="42"/>
      <c r="Q34" s="42"/>
      <c r="R34" s="42"/>
    </row>
    <row r="35" ht="37.5" customHeight="1">
      <c r="F35" s="47"/>
      <c r="G35" s="54" t="str">
        <f>HYPERLINK("https://www.youtube.com/@revivaltournaments","Revival Tournaments")</f>
        <v>Revival Tournaments</v>
      </c>
      <c r="L35" s="14"/>
      <c r="M35" s="15" t="s">
        <v>49</v>
      </c>
    </row>
    <row r="36" ht="37.5" customHeight="1">
      <c r="F36" s="47"/>
      <c r="G36" s="54" t="str">
        <f>HYPERLINK("https://www.youtube.com/@jimothycool","Jimothy Cool")</f>
        <v>Jimothy Cool</v>
      </c>
      <c r="L36" s="14"/>
      <c r="M36" s="15" t="s">
        <v>50</v>
      </c>
    </row>
    <row r="37" ht="37.5" customHeight="1">
      <c r="F37" s="47"/>
      <c r="G37" s="54" t="str">
        <f>HYPERLINK("https://youtube.com/@vapicuno?feature=shared","Vapicuno")</f>
        <v>Vapicuno</v>
      </c>
      <c r="L37" s="14"/>
      <c r="M37" s="15" t="s">
        <v>51</v>
      </c>
    </row>
    <row r="38" ht="37.5" customHeight="1">
      <c r="F38" s="47"/>
      <c r="G38" s="54" t="str">
        <f>HYPERLINK("https://www.youtube.com/@BKCplaysPokemon","BKC")</f>
        <v>BKC</v>
      </c>
      <c r="L38" s="14"/>
      <c r="M38" s="30" t="s">
        <v>52</v>
      </c>
    </row>
    <row r="39" ht="37.5" customHeight="1">
      <c r="F39" s="47"/>
      <c r="G39" s="54" t="str">
        <f>HYPERLINK("https://www.youtube.com/@thelinearcurveadvanalysis9183","thelinearcurve")</f>
        <v>thelinearcurve</v>
      </c>
      <c r="L39" s="14"/>
      <c r="M39" s="18" t="s">
        <v>53</v>
      </c>
    </row>
    <row r="40" ht="37.5" customHeight="1">
      <c r="F40" s="47"/>
      <c r="G40" s="54" t="str">
        <f>HYPERLINK("https://www.youtube.com/@CALLOUSNarrates","CALLOUS")</f>
        <v>CALLOUS</v>
      </c>
      <c r="L40" s="14"/>
      <c r="M40" s="15" t="s">
        <v>54</v>
      </c>
    </row>
    <row r="41" ht="37.5" customHeight="1">
      <c r="F41" s="47"/>
      <c r="G41" s="54" t="str">
        <f>HYPERLINK("https://m.youtube.com/channel/UCdYIv_VZo5kZ84_urxznX2Q","Zpanther19")</f>
        <v>Zpanther19</v>
      </c>
      <c r="L41" s="14"/>
      <c r="M41" s="15" t="s">
        <v>55</v>
      </c>
    </row>
    <row r="42" ht="37.5" customHeight="1">
      <c r="F42" s="47"/>
      <c r="G42" s="54" t="str">
        <f>HYPERLINK("https://www.youtube.com/@lrxc3403","LRXC")</f>
        <v>LRXC</v>
      </c>
      <c r="L42" s="14"/>
      <c r="M42" s="18" t="s">
        <v>56</v>
      </c>
    </row>
    <row r="43" ht="37.5" customHeight="1">
      <c r="F43" s="47"/>
      <c r="G43" s="55" t="s">
        <v>57</v>
      </c>
      <c r="H43" s="42"/>
      <c r="I43" s="42"/>
      <c r="J43" s="42"/>
      <c r="K43" s="42"/>
      <c r="L43" s="43"/>
      <c r="M43" s="53" t="s">
        <v>58</v>
      </c>
      <c r="N43" s="42"/>
      <c r="O43" s="42"/>
      <c r="P43" s="42"/>
      <c r="Q43" s="42"/>
      <c r="R43" s="42"/>
    </row>
    <row r="44" ht="37.5" customHeight="1">
      <c r="F44" s="47"/>
      <c r="G44" s="45" t="str">
        <f>HYPERLINK("https://discord.com/invite/RqttDyFbNW","JimCord")</f>
        <v>JimCord</v>
      </c>
      <c r="L44" s="14"/>
      <c r="M44" s="18" t="s">
        <v>59</v>
      </c>
    </row>
    <row r="45" ht="37.5" customHeight="1">
      <c r="F45" s="47"/>
      <c r="G45" s="45" t="str">
        <f>HYPERLINK("https://discord.gg/b2m9szk","The Ruins of Alph")</f>
        <v>The Ruins of Alph</v>
      </c>
      <c r="L45" s="14"/>
      <c r="M45" s="18" t="s">
        <v>60</v>
      </c>
    </row>
    <row r="46" ht="37.5" customHeight="1">
      <c r="F46" s="47"/>
      <c r="G46" s="45" t="str">
        <f>HYPERLINK("https://discord.gg/4yN2GNV","BKC's Past Gens Parthenon")</f>
        <v>BKC's Past Gens Parthenon</v>
      </c>
      <c r="L46" s="14"/>
      <c r="M46" s="15" t="s">
        <v>61</v>
      </c>
    </row>
    <row r="47" ht="37.5" customHeight="1">
      <c r="F47" s="47"/>
      <c r="G47" s="45" t="str">
        <f>HYPERLINK("https://discord.gg/2CsWWnan2A","Pokemon Perfect")</f>
        <v>Pokemon Perfect</v>
      </c>
      <c r="L47" s="14"/>
      <c r="M47" s="18" t="s">
        <v>62</v>
      </c>
    </row>
    <row r="48" ht="37.5" customHeight="1">
      <c r="F48" s="47"/>
      <c r="G48" s="45" t="str">
        <f>HYPERLINK("https://discord.gg/wQuy6DwxG8","Smogon ADV")</f>
        <v>Smogon ADV</v>
      </c>
      <c r="L48" s="14"/>
      <c r="M48" s="18" t="s">
        <v>63</v>
      </c>
    </row>
    <row r="49" ht="45.75" customHeight="1">
      <c r="F49" s="47"/>
      <c r="G49" s="56" t="s">
        <v>64</v>
      </c>
      <c r="H49" s="42"/>
      <c r="I49" s="42"/>
      <c r="J49" s="42"/>
      <c r="K49" s="42"/>
      <c r="L49" s="43"/>
      <c r="M49" s="50" t="s">
        <v>65</v>
      </c>
      <c r="N49" s="42"/>
      <c r="O49" s="42"/>
      <c r="P49" s="42"/>
      <c r="Q49" s="42"/>
      <c r="R49" s="42"/>
    </row>
    <row r="50" ht="37.5" customHeight="1">
      <c r="F50" s="47"/>
      <c r="G50" s="45" t="str">
        <f>HYPERLINK("https://pokepast.es/74c9734bdf0272c3","thelinearcurve's ADV Sets")</f>
        <v>thelinearcurve's ADV Sets</v>
      </c>
      <c r="L50" s="14"/>
      <c r="M50" s="18" t="s">
        <v>66</v>
      </c>
    </row>
    <row r="51" ht="37.5" customHeight="1">
      <c r="F51" s="47"/>
      <c r="G51" s="45" t="str">
        <f>HYPERLINK("https://pokepast.es/3f07acf85ad4ae84","thelinearcurve's ADV Samples")</f>
        <v>thelinearcurve's ADV Samples</v>
      </c>
      <c r="L51" s="14"/>
    </row>
    <row r="52" ht="37.5" customHeight="1">
      <c r="F52" s="47"/>
      <c r="G52" s="45" t="str">
        <f>HYPERLINK("https://www.smogon.com/forums/threads/ruins-of-alph-sample-teams.3650478/#post-8133789","RoA Community Samples")</f>
        <v>RoA Community Samples</v>
      </c>
      <c r="L52" s="14"/>
      <c r="M52" s="15" t="s">
        <v>67</v>
      </c>
    </row>
    <row r="53" ht="37.5" customHeight="1">
      <c r="F53" s="47"/>
      <c r="G53" s="45" t="str">
        <f>HYPERLINK("https://www.smogon.com/forums/threads/adv-ou-lead-viability-and-matchup-data.3657601/","Lead Viability Analysis")</f>
        <v>Lead Viability Analysis</v>
      </c>
      <c r="L53" s="14"/>
      <c r="M53" s="15" t="s">
        <v>68</v>
      </c>
    </row>
    <row r="54" ht="37.5" customHeight="1">
      <c r="F54" s="47"/>
      <c r="G54" s="45" t="str">
        <f>HYPERLINK("https://youtu.be/ub-ASW_7c7A?si=Pehp2k9qLqx4YAkH","BKC's ADV Moveset Guide")</f>
        <v>BKC's ADV Moveset Guide</v>
      </c>
      <c r="L54" s="14"/>
      <c r="M54" s="30" t="s">
        <v>69</v>
      </c>
    </row>
    <row r="55" ht="37.5" customHeight="1">
      <c r="F55" s="47"/>
      <c r="G55" s="57"/>
      <c r="L55" s="14"/>
      <c r="M55" s="58"/>
    </row>
    <row r="56" ht="37.5" customHeight="1">
      <c r="F56" s="47"/>
      <c r="G56" s="57"/>
      <c r="L56" s="14"/>
      <c r="M56" s="58"/>
    </row>
    <row r="57" ht="37.5" customHeight="1">
      <c r="F57" s="47"/>
      <c r="G57" s="57"/>
      <c r="L57" s="14"/>
      <c r="M57" s="58"/>
    </row>
    <row r="58" ht="37.5" customHeight="1">
      <c r="F58" s="47"/>
      <c r="G58" s="57"/>
      <c r="L58" s="14"/>
      <c r="M58" s="58"/>
    </row>
    <row r="59" ht="37.5" customHeight="1">
      <c r="F59" s="47"/>
      <c r="G59" s="57"/>
      <c r="L59" s="14"/>
      <c r="M59" s="58"/>
    </row>
    <row r="60" ht="37.5" customHeight="1">
      <c r="F60" s="47"/>
      <c r="G60" s="57"/>
      <c r="L60" s="14"/>
      <c r="M60" s="58"/>
    </row>
    <row r="61" ht="37.5" customHeight="1">
      <c r="F61" s="47"/>
      <c r="G61" s="57"/>
      <c r="L61" s="14"/>
      <c r="M61" s="58"/>
    </row>
  </sheetData>
  <mergeCells count="127">
    <mergeCell ref="G18:L18"/>
    <mergeCell ref="M18:R18"/>
    <mergeCell ref="A15:F15"/>
    <mergeCell ref="G15:L15"/>
    <mergeCell ref="M15:R15"/>
    <mergeCell ref="A16:F16"/>
    <mergeCell ref="G16:L16"/>
    <mergeCell ref="M16:R16"/>
    <mergeCell ref="A18:F18"/>
    <mergeCell ref="A1:L1"/>
    <mergeCell ref="M1:R1"/>
    <mergeCell ref="A2:F2"/>
    <mergeCell ref="G2:R2"/>
    <mergeCell ref="A3:F3"/>
    <mergeCell ref="G3:R5"/>
    <mergeCell ref="A4:F4"/>
    <mergeCell ref="A5:F5"/>
    <mergeCell ref="A6:F6"/>
    <mergeCell ref="A7:F7"/>
    <mergeCell ref="G7:L7"/>
    <mergeCell ref="M7:R7"/>
    <mergeCell ref="G8:L8"/>
    <mergeCell ref="M8:R8"/>
    <mergeCell ref="A8:F8"/>
    <mergeCell ref="A9:F9"/>
    <mergeCell ref="G9:L9"/>
    <mergeCell ref="M9:R9"/>
    <mergeCell ref="A10:F10"/>
    <mergeCell ref="G10:L10"/>
    <mergeCell ref="M10:R10"/>
    <mergeCell ref="G13:L13"/>
    <mergeCell ref="M13:R13"/>
    <mergeCell ref="G14:L14"/>
    <mergeCell ref="M14:R14"/>
    <mergeCell ref="A11:F11"/>
    <mergeCell ref="G11:L11"/>
    <mergeCell ref="M11:R11"/>
    <mergeCell ref="A12:F12"/>
    <mergeCell ref="G12:L12"/>
    <mergeCell ref="M12:R12"/>
    <mergeCell ref="A13:F14"/>
    <mergeCell ref="G21:L21"/>
    <mergeCell ref="M21:R21"/>
    <mergeCell ref="G35:L35"/>
    <mergeCell ref="G36:L36"/>
    <mergeCell ref="G37:L37"/>
    <mergeCell ref="G38:L38"/>
    <mergeCell ref="G39:L39"/>
    <mergeCell ref="G40:L40"/>
    <mergeCell ref="G41:L41"/>
    <mergeCell ref="G42:L42"/>
    <mergeCell ref="G43:L43"/>
    <mergeCell ref="G44:L44"/>
    <mergeCell ref="G45:L45"/>
    <mergeCell ref="G46:L46"/>
    <mergeCell ref="G47:L47"/>
    <mergeCell ref="G48:L48"/>
    <mergeCell ref="G57:L57"/>
    <mergeCell ref="G58:L58"/>
    <mergeCell ref="G59:L59"/>
    <mergeCell ref="G60:L60"/>
    <mergeCell ref="G61:L61"/>
    <mergeCell ref="G49:L49"/>
    <mergeCell ref="G50:L50"/>
    <mergeCell ref="G52:L52"/>
    <mergeCell ref="G53:L53"/>
    <mergeCell ref="G54:L54"/>
    <mergeCell ref="G55:L55"/>
    <mergeCell ref="G56:L56"/>
    <mergeCell ref="M36:R36"/>
    <mergeCell ref="M37:R37"/>
    <mergeCell ref="M38:R38"/>
    <mergeCell ref="M39:R39"/>
    <mergeCell ref="M40:R40"/>
    <mergeCell ref="M41:R41"/>
    <mergeCell ref="M42:R42"/>
    <mergeCell ref="M43:R43"/>
    <mergeCell ref="M44:R44"/>
    <mergeCell ref="M45:R45"/>
    <mergeCell ref="M46:R46"/>
    <mergeCell ref="M47:R47"/>
    <mergeCell ref="M48:R48"/>
    <mergeCell ref="M49:R49"/>
    <mergeCell ref="G22:L22"/>
    <mergeCell ref="M22:R22"/>
    <mergeCell ref="G23:L23"/>
    <mergeCell ref="M23:R23"/>
    <mergeCell ref="A19:F19"/>
    <mergeCell ref="G19:L19"/>
    <mergeCell ref="M19:R19"/>
    <mergeCell ref="A20:F20"/>
    <mergeCell ref="G20:L20"/>
    <mergeCell ref="M20:R20"/>
    <mergeCell ref="A21:F24"/>
    <mergeCell ref="G24:L24"/>
    <mergeCell ref="M24:R24"/>
    <mergeCell ref="G25:L25"/>
    <mergeCell ref="M25:R27"/>
    <mergeCell ref="G26:L26"/>
    <mergeCell ref="G27:L27"/>
    <mergeCell ref="M28:R28"/>
    <mergeCell ref="G28:L28"/>
    <mergeCell ref="G29:L29"/>
    <mergeCell ref="G30:L30"/>
    <mergeCell ref="G31:L31"/>
    <mergeCell ref="G32:L32"/>
    <mergeCell ref="G33:L33"/>
    <mergeCell ref="G34:L34"/>
    <mergeCell ref="M29:R29"/>
    <mergeCell ref="M30:R30"/>
    <mergeCell ref="M31:R31"/>
    <mergeCell ref="M32:R32"/>
    <mergeCell ref="M33:R33"/>
    <mergeCell ref="M34:R34"/>
    <mergeCell ref="M35:R35"/>
    <mergeCell ref="M57:R57"/>
    <mergeCell ref="M58:R58"/>
    <mergeCell ref="M59:R59"/>
    <mergeCell ref="M60:R60"/>
    <mergeCell ref="M61:R61"/>
    <mergeCell ref="M50:R51"/>
    <mergeCell ref="G51:L51"/>
    <mergeCell ref="M52:R52"/>
    <mergeCell ref="M53:R53"/>
    <mergeCell ref="M54:R54"/>
    <mergeCell ref="M55:R55"/>
    <mergeCell ref="M56:R5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20.63"/>
    <col customWidth="1" min="3" max="3" width="13.38"/>
    <col customWidth="1" min="4" max="13" width="4.0"/>
    <col customWidth="1" min="14" max="14" width="18.63"/>
  </cols>
  <sheetData>
    <row r="1">
      <c r="A1" s="59" t="s">
        <v>70</v>
      </c>
      <c r="B1" s="60" t="s">
        <v>71</v>
      </c>
      <c r="C1" s="60" t="s">
        <v>72</v>
      </c>
      <c r="D1" s="61" t="s">
        <v>73</v>
      </c>
      <c r="E1" s="61" t="s">
        <v>74</v>
      </c>
      <c r="F1" s="61" t="s">
        <v>75</v>
      </c>
      <c r="G1" s="61" t="s">
        <v>76</v>
      </c>
      <c r="H1" s="61" t="s">
        <v>77</v>
      </c>
      <c r="I1" s="61" t="s">
        <v>78</v>
      </c>
      <c r="J1" s="61" t="s">
        <v>79</v>
      </c>
      <c r="K1" s="61" t="s">
        <v>80</v>
      </c>
      <c r="L1" s="61" t="s">
        <v>81</v>
      </c>
      <c r="M1" s="61" t="s">
        <v>82</v>
      </c>
      <c r="N1" s="62" t="s">
        <v>83</v>
      </c>
    </row>
    <row r="2">
      <c r="A2" s="63">
        <v>1.0</v>
      </c>
      <c r="B2" s="64" t="s">
        <v>84</v>
      </c>
      <c r="C2" s="65" t="str">
        <f t="shared" ref="C2:C703" si="1">CONCATENATE(COUNTIF(D2:M2,"W") , " - " , COUNTIF(D2:M2, "L"))</f>
        <v>7 - 2</v>
      </c>
      <c r="D2" s="66" t="str">
        <f>iferror(if(LEFT(VLOOKUP($B2,'Round 1'!$B$2:$H$361,7,false),1)="A","W",if(LEFT(VLOOKUP($B2,'Round 1'!$B$2:$H$361,7,false),1)="B","L","")),if(LEFT(VLOOKUP($B2,'Round 1'!$F$2:$H$361,3,false),1)="b","W",if(LEFT(VLOOKUP($B2,'Round 1'!$F$2:$H$361,3,false),1)="a","L","")))</f>
        <v>W</v>
      </c>
      <c r="E2" s="66" t="str">
        <f>iferror(if(LEFT(VLOOKUP($B2,'Round 2'!$C$2:$J$361,8,false),1)="A","W",if(LEFT(VLOOKUP($B2,'Round 2'!$C$2:$J$361,8,false),1)="B","L","")),if(LEFT(VLOOKUP($B2,'Round 2'!$G$2:$J$361,4,false),1)="b","W",if(LEFT(VLOOKUP($B2,'Round 2'!$G$2:$J$361,4,false),1)="a","L","")))</f>
        <v>W</v>
      </c>
      <c r="F2" s="66" t="str">
        <f>iferror(if(LEFT(VLOOKUP($B2,'Round 3'!$B$2:$H$361,7,false),1)="A","W",if(LEFT(VLOOKUP($B2,'Round 3'!$B$2:$H$361,7,false),1)="B","L","")),if(LEFT(VLOOKUP($B2,'Round 3'!$F$2:$H$361,3,false),1)="b","W",if(LEFT(VLOOKUP($B2,'Round 3'!$F$2:$H$361,3,false),1)="a","L","")))</f>
        <v>W</v>
      </c>
      <c r="G2" s="66" t="str">
        <f>iferror(if(LEFT(VLOOKUP($B2,'Round 4'!$B$2:$H$361,7,false),1)="A","W",if(LEFT(VLOOKUP($B2,'Round 4'!$B$2:$H$361,7,false),1)="B","L","")),if(LEFT(VLOOKUP($B2,'Round 4'!$F$2:$H$361,3,false),1)="b","W",if(LEFT(VLOOKUP($B2,'Round 4'!$F$2:$H$361,3,false),1)="a","L","")))</f>
        <v>W</v>
      </c>
      <c r="H2" s="66" t="str">
        <f>iferror(if(LEFT(VLOOKUP($B2,'Round 5'!$B$2:$H$361,7,false),1)="A","W",if(LEFT(VLOOKUP($B2,'Round 5'!$B$2:$H$361,7,false),1)="B","L","")),if(LEFT(VLOOKUP($B2,'Round 5'!$F$2:$H$361,3,false),1)="b","W",if(LEFT(VLOOKUP($B2,'Round 5'!$F$2:$H$361,3,false),1)="a","L","")))</f>
        <v>W</v>
      </c>
      <c r="I2" s="66" t="str">
        <f>iferror(if(LEFT(VLOOKUP($B2,'Round 6'!$B$2:$H$361,7,false),1)="A","W",if(LEFT(VLOOKUP($B2,'Round 6'!$B$2:$H$361,7,false),1)="B","L","")),if(LEFT(VLOOKUP($B2,'Round 6'!$F$2:$H$361,3,false),1)="b","W",if(LEFT(VLOOKUP($B2,'Round 6'!$F$2:$H$361,3,false),1)="a","L","")))</f>
        <v>W</v>
      </c>
      <c r="J2" s="67" t="str">
        <f>iferror(iferror(if(LEFT(VLOOKUP($B2,'Round 7'!$B$2:$H$361,7,false),1)="A","W",if(LEFT(VLOOKUP($B2,'Round 7'!$B$2:$H$361,7,false),1)="B","L","")),if(LEFT(VLOOKUP($B2,'Round 7'!$F$2:$H$361,3,false),1)="b","W",if(LEFT(VLOOKUP($B2,'Round 7'!$F$2:$H$361,3,false),1)="a","L",""))),"")</f>
        <v>W</v>
      </c>
      <c r="K2" s="68" t="str">
        <f>iferror(iferror(if(LEFT(VLOOKUP($B2,'Round 8'!$B$2:$H$361,7,false),1)="A","W",if(LEFT(VLOOKUP($B2,'Round 8'!$B$2:$H$361,7,false),1)="B","L","")),if(LEFT(VLOOKUP($B2,'Round 8'!$F$2:$H$361,3,false),1)="b","W",if(LEFT(VLOOKUP($B2,'Round 8'!$F$2:$H$361,3,false),1)="a","L",""))),"")</f>
        <v>L</v>
      </c>
      <c r="L2" s="68" t="str">
        <f>iferror(iferror(if(LEFT(VLOOKUP($B2,'Round 9'!$B$2:$H$361,7,false),1)="A","W",if(LEFT(VLOOKUP($B2,'Round 9'!$B$2:$H$361,7,false),1)="B","L","")),if(LEFT(VLOOKUP($B2,'Round 9'!$F$2:$H$361,3,false),1)="b","W",if(LEFT(VLOOKUP($B2,'Round 9'!$F$2:$H$361,3,false),1)="a","L",""))),"")</f>
        <v>L</v>
      </c>
      <c r="M2" s="68" t="str">
        <f>iferror(iferror(if(LEFT(VLOOKUP($B2,'Round 10'!$B$2:$H$362,7,false),1)="A","W",if(LEFT(VLOOKUP($B2,'Round 10'!$B$2:$H$362,7,false),1)="B","L","")),if(LEFT(VLOOKUP($B2,'Round 10'!$F$2:$H$362,3,false),1)="b","W",if(LEFT(VLOOKUP($B2,'Round 10'!$F$2:$H$362,3,false),1)="a","L",""))),"")</f>
        <v/>
      </c>
      <c r="N2" s="62" t="s">
        <v>85</v>
      </c>
    </row>
    <row r="3">
      <c r="A3" s="63">
        <v>2.0</v>
      </c>
      <c r="B3" s="64" t="s">
        <v>86</v>
      </c>
      <c r="C3" s="65" t="str">
        <f t="shared" si="1"/>
        <v>2 - 3</v>
      </c>
      <c r="D3" s="67" t="str">
        <f>iferror(if(LEFT(VLOOKUP($B3,'Round 1'!$B$2:$H$361,7,false),1)="A","W",if(LEFT(VLOOKUP($B3,'Round 1'!$B$2:$H$361,7,false),1)="B","L","")),if(LEFT(VLOOKUP($B3,'Round 1'!$F$2:$H$361,3,false),1)="b","W",if(LEFT(VLOOKUP($B3,'Round 1'!$F$2:$H$361,3,false),1)="a","L","")))</f>
        <v>L</v>
      </c>
      <c r="E3" s="67" t="str">
        <f>iferror(if(LEFT(VLOOKUP($B3,'Round 2'!$C$2:$J$361,8,false),1)="A","W",if(LEFT(VLOOKUP($B3,'Round 2'!$C$2:$J$361,8,false),1)="B","L","")),if(LEFT(VLOOKUP($B3,'Round 2'!$G$2:$J$361,4,false),1)="b","W",if(LEFT(VLOOKUP($B3,'Round 2'!$G$2:$J$361,4,false),1)="a","L","")))</f>
        <v>L</v>
      </c>
      <c r="F3" s="67" t="str">
        <f>iferror(if(LEFT(VLOOKUP($B3,'Round 3'!$B$2:$H$361,7,false),1)="A","W",if(LEFT(VLOOKUP($B3,'Round 3'!$B$2:$H$361,7,false),1)="B","L","")),if(LEFT(VLOOKUP($B3,'Round 3'!$F$2:$H$361,3,false),1)="b","W",if(LEFT(VLOOKUP($B3,'Round 3'!$F$2:$H$361,3,false),1)="a","L","")))</f>
        <v>W</v>
      </c>
      <c r="G3" s="67" t="str">
        <f>iferror(if(LEFT(VLOOKUP($B3,'Round 4'!$B$2:$H$361,7,false),1)="A","W",if(LEFT(VLOOKUP($B3,'Round 4'!$B$2:$H$361,7,false),1)="B","L","")),if(LEFT(VLOOKUP($B3,'Round 4'!$F$2:$H$361,3,false),1)="b","W",if(LEFT(VLOOKUP($B3,'Round 4'!$F$2:$H$361,3,false),1)="a","L","")))</f>
        <v>W</v>
      </c>
      <c r="H3" s="67" t="str">
        <f>iferror(if(LEFT(VLOOKUP($B3,'Round 5'!$B$2:$H$361,7,false),1)="A","W",if(LEFT(VLOOKUP($B3,'Round 5'!$B$2:$H$361,7,false),1)="B","L","")),if(LEFT(VLOOKUP($B3,'Round 5'!$F$2:$H$361,3,false),1)="b","W",if(LEFT(VLOOKUP($B3,'Round 5'!$F$2:$H$361,3,false),1)="a","L","")))</f>
        <v>L</v>
      </c>
      <c r="I3" s="67"/>
      <c r="J3" s="67" t="str">
        <f>iferror(iferror(if(LEFT(VLOOKUP($B3,'Round 7'!$B$2:$H$361,7,false),1)="A","W",if(LEFT(VLOOKUP($B3,'Round 7'!$B$2:$H$361,7,false),1)="B","L","")),if(LEFT(VLOOKUP($B3,'Round 7'!$F$2:$H$361,3,false),1)="b","W",if(LEFT(VLOOKUP($B3,'Round 7'!$F$2:$H$361,3,false),1)="a","L",""))),"")</f>
        <v/>
      </c>
      <c r="K3" s="68" t="str">
        <f>iferror(iferror(if(LEFT(VLOOKUP($B3,'Round 8'!$B$2:$H$361,7,false),1)="A","W",if(LEFT(VLOOKUP($B3,'Round 8'!$B$2:$H$361,7,false),1)="B","L","")),if(LEFT(VLOOKUP($B3,'Round 8'!$F$2:$H$361,3,false),1)="b","W",if(LEFT(VLOOKUP($B3,'Round 8'!$F$2:$H$361,3,false),1)="a","L",""))),"")</f>
        <v/>
      </c>
      <c r="L3" s="68" t="str">
        <f>iferror(iferror(if(LEFT(VLOOKUP($B3,'Round 9'!$B$2:$H$361,7,false),1)="A","W",if(LEFT(VLOOKUP($B3,'Round 9'!$B$2:$H$361,7,false),1)="B","L","")),if(LEFT(VLOOKUP($B3,'Round 9'!$F$2:$H$361,3,false),1)="b","W",if(LEFT(VLOOKUP($B3,'Round 9'!$F$2:$H$361,3,false),1)="a","L",""))),"")</f>
        <v/>
      </c>
      <c r="M3" s="68" t="str">
        <f>iferror(iferror(if(LEFT(VLOOKUP($B3,'Round 10'!$B$2:$H$362,7,false),1)="A","W",if(LEFT(VLOOKUP($B3,'Round 10'!$B$2:$H$362,7,false),1)="B","L","")),if(LEFT(VLOOKUP($B3,'Round 10'!$F$2:$H$362,3,false),1)="b","W",if(LEFT(VLOOKUP($B3,'Round 10'!$F$2:$H$362,3,false),1)="a","L",""))),"")</f>
        <v/>
      </c>
      <c r="N3" s="62" t="s">
        <v>87</v>
      </c>
    </row>
    <row r="4">
      <c r="A4" s="63">
        <v>3.0</v>
      </c>
      <c r="B4" s="64" t="s">
        <v>88</v>
      </c>
      <c r="C4" s="65" t="str">
        <f t="shared" si="1"/>
        <v>8 - 1</v>
      </c>
      <c r="D4" s="67" t="str">
        <f>iferror(if(LEFT(VLOOKUP($B4,'Round 1'!$B$2:$H$361,7,false),1)="A","W",if(LEFT(VLOOKUP($B4,'Round 1'!$B$2:$H$361,7,false),1)="B","L","")),if(LEFT(VLOOKUP($B4,'Round 1'!$F$2:$H$361,3,false),1)="b","W",if(LEFT(VLOOKUP($B4,'Round 1'!$F$2:$H$361,3,false),1)="a","L","")))</f>
        <v>W</v>
      </c>
      <c r="E4" s="67" t="str">
        <f>iferror(if(LEFT(VLOOKUP($B4,'Round 2'!$C$2:$J$361,8,false),1)="A","W",if(LEFT(VLOOKUP($B4,'Round 2'!$C$2:$J$361,8,false),1)="B","L","")),if(LEFT(VLOOKUP($B4,'Round 2'!$G$2:$J$361,4,false),1)="b","W",if(LEFT(VLOOKUP($B4,'Round 2'!$G$2:$J$361,4,false),1)="a","L","")))</f>
        <v>W</v>
      </c>
      <c r="F4" s="67" t="str">
        <f>iferror(if(LEFT(VLOOKUP($B4,'Round 3'!$B$2:$H$361,7,false),1)="A","W",if(LEFT(VLOOKUP($B4,'Round 3'!$B$2:$H$361,7,false),1)="B","L","")),if(LEFT(VLOOKUP($B4,'Round 3'!$F$2:$H$361,3,false),1)="b","W",if(LEFT(VLOOKUP($B4,'Round 3'!$F$2:$H$361,3,false),1)="a","L","")))</f>
        <v>W</v>
      </c>
      <c r="G4" s="67" t="str">
        <f>iferror(if(LEFT(VLOOKUP($B4,'Round 4'!$B$2:$H$361,7,false),1)="A","W",if(LEFT(VLOOKUP($B4,'Round 4'!$B$2:$H$361,7,false),1)="B","L","")),if(LEFT(VLOOKUP($B4,'Round 4'!$F$2:$H$361,3,false),1)="b","W",if(LEFT(VLOOKUP($B4,'Round 4'!$F$2:$H$361,3,false),1)="a","L","")))</f>
        <v>W</v>
      </c>
      <c r="H4" s="67" t="str">
        <f>iferror(if(LEFT(VLOOKUP($B4,'Round 5'!$B$2:$H$361,7,false),1)="A","W",if(LEFT(VLOOKUP($B4,'Round 5'!$B$2:$H$361,7,false),1)="B","L","")),if(LEFT(VLOOKUP($B4,'Round 5'!$F$2:$H$361,3,false),1)="b","W",if(LEFT(VLOOKUP($B4,'Round 5'!$F$2:$H$361,3,false),1)="a","L","")))</f>
        <v>L</v>
      </c>
      <c r="I4" s="67" t="str">
        <f>iferror(if(LEFT(VLOOKUP($B4,'Round 6'!$B$2:$H$361,7,false),1)="A","W",if(LEFT(VLOOKUP($B4,'Round 6'!$B$2:$H$361,7,false),1)="B","L","")),if(LEFT(VLOOKUP($B4,'Round 6'!$F$2:$H$361,3,false),1)="b","W",if(LEFT(VLOOKUP($B4,'Round 6'!$F$2:$H$361,3,false),1)="a","L","")))</f>
        <v>W</v>
      </c>
      <c r="J4" s="67" t="str">
        <f>iferror(iferror(if(LEFT(VLOOKUP($B4,'Round 7'!$B$2:$H$361,7,false),1)="A","W",if(LEFT(VLOOKUP($B4,'Round 7'!$B$2:$H$361,7,false),1)="B","L","")),if(LEFT(VLOOKUP($B4,'Round 7'!$F$2:$H$361,3,false),1)="b","W",if(LEFT(VLOOKUP($B4,'Round 7'!$F$2:$H$361,3,false),1)="a","L",""))),"")</f>
        <v>W</v>
      </c>
      <c r="K4" s="68" t="str">
        <f>iferror(iferror(if(LEFT(VLOOKUP($B4,'Round 8'!$B$2:$H$361,7,false),1)="A","W",if(LEFT(VLOOKUP($B4,'Round 8'!$B$2:$H$361,7,false),1)="B","L","")),if(LEFT(VLOOKUP($B4,'Round 8'!$F$2:$H$361,3,false),1)="b","W",if(LEFT(VLOOKUP($B4,'Round 8'!$F$2:$H$361,3,false),1)="a","L",""))),"")</f>
        <v>W</v>
      </c>
      <c r="L4" s="68" t="str">
        <f>iferror(iferror(if(LEFT(VLOOKUP($B4,'Round 9'!$B$2:$H$361,7,false),1)="A","W",if(LEFT(VLOOKUP($B4,'Round 9'!$B$2:$H$361,7,false),1)="B","L","")),if(LEFT(VLOOKUP($B4,'Round 9'!$F$2:$H$361,3,false),1)="b","W",if(LEFT(VLOOKUP($B4,'Round 9'!$F$2:$H$361,3,false),1)="a","L",""))),"")</f>
        <v>W</v>
      </c>
      <c r="M4" s="68" t="str">
        <f>iferror(iferror(if(LEFT(VLOOKUP($B4,'Round 10'!$B$2:$H$362,7,false),1)="A","W",if(LEFT(VLOOKUP($B4,'Round 10'!$B$2:$H$362,7,false),1)="B","L","")),if(LEFT(VLOOKUP($B4,'Round 10'!$F$2:$H$362,3,false),1)="b","W",if(LEFT(VLOOKUP($B4,'Round 10'!$F$2:$H$362,3,false),1)="a","L",""))),"")</f>
        <v/>
      </c>
      <c r="N4" s="62" t="s">
        <v>89</v>
      </c>
    </row>
    <row r="5">
      <c r="A5" s="63">
        <v>4.0</v>
      </c>
      <c r="B5" s="64" t="s">
        <v>90</v>
      </c>
      <c r="C5" s="65" t="str">
        <f t="shared" si="1"/>
        <v>7 - 2</v>
      </c>
      <c r="D5" s="67" t="str">
        <f>iferror(if(LEFT(VLOOKUP($B5,'Round 1'!$B$2:$H$361,7,false),1)="A","W",if(LEFT(VLOOKUP($B5,'Round 1'!$B$2:$H$361,7,false),1)="B","L","")),if(LEFT(VLOOKUP($B5,'Round 1'!$F$2:$H$361,3,false),1)="b","W",if(LEFT(VLOOKUP($B5,'Round 1'!$F$2:$H$361,3,false),1)="a","L","")))</f>
        <v>W</v>
      </c>
      <c r="E5" s="67" t="str">
        <f>iferror(if(LEFT(VLOOKUP($B5,'Round 2'!$C$2:$J$361,8,false),1)="A","W",if(LEFT(VLOOKUP($B5,'Round 2'!$C$2:$J$361,8,false),1)="B","L","")),if(LEFT(VLOOKUP($B5,'Round 2'!$G$2:$J$361,4,false),1)="b","W",if(LEFT(VLOOKUP($B5,'Round 2'!$G$2:$J$361,4,false),1)="a","L","")))</f>
        <v>W</v>
      </c>
      <c r="F5" s="67" t="str">
        <f>iferror(if(LEFT(VLOOKUP($B5,'Round 3'!$B$2:$H$361,7,false),1)="A","W",if(LEFT(VLOOKUP($B5,'Round 3'!$B$2:$H$361,7,false),1)="B","L","")),if(LEFT(VLOOKUP($B5,'Round 3'!$F$2:$H$361,3,false),1)="b","W",if(LEFT(VLOOKUP($B5,'Round 3'!$F$2:$H$361,3,false),1)="a","L","")))</f>
        <v>L</v>
      </c>
      <c r="G5" s="67" t="str">
        <f>iferror(if(LEFT(VLOOKUP($B5,'Round 4'!$B$2:$H$361,7,false),1)="A","W",if(LEFT(VLOOKUP($B5,'Round 4'!$B$2:$H$361,7,false),1)="B","L","")),if(LEFT(VLOOKUP($B5,'Round 4'!$F$2:$H$361,3,false),1)="b","W",if(LEFT(VLOOKUP($B5,'Round 4'!$F$2:$H$361,3,false),1)="a","L","")))</f>
        <v>W</v>
      </c>
      <c r="H5" s="67" t="str">
        <f>iferror(if(LEFT(VLOOKUP($B5,'Round 5'!$B$2:$H$361,7,false),1)="A","W",if(LEFT(VLOOKUP($B5,'Round 5'!$B$2:$H$361,7,false),1)="B","L","")),if(LEFT(VLOOKUP($B5,'Round 5'!$F$2:$H$361,3,false),1)="b","W",if(LEFT(VLOOKUP($B5,'Round 5'!$F$2:$H$361,3,false),1)="a","L","")))</f>
        <v>W</v>
      </c>
      <c r="I5" s="67" t="str">
        <f>iferror(if(LEFT(VLOOKUP($B5,'Round 6'!$B$2:$H$361,7,false),1)="A","W",if(LEFT(VLOOKUP($B5,'Round 6'!$B$2:$H$361,7,false),1)="B","L","")),if(LEFT(VLOOKUP($B5,'Round 6'!$F$2:$H$361,3,false),1)="b","W",if(LEFT(VLOOKUP($B5,'Round 6'!$F$2:$H$361,3,false),1)="a","L","")))</f>
        <v>W</v>
      </c>
      <c r="J5" s="67" t="str">
        <f>iferror(iferror(if(LEFT(VLOOKUP($B5,'Round 7'!$B$2:$H$361,7,false),1)="A","W",if(LEFT(VLOOKUP($B5,'Round 7'!$B$2:$H$361,7,false),1)="B","L","")),if(LEFT(VLOOKUP($B5,'Round 7'!$F$2:$H$361,3,false),1)="b","W",if(LEFT(VLOOKUP($B5,'Round 7'!$F$2:$H$361,3,false),1)="a","L",""))),"")</f>
        <v>W</v>
      </c>
      <c r="K5" s="68" t="str">
        <f>iferror(iferror(if(LEFT(VLOOKUP($B5,'Round 8'!$B$2:$H$361,7,false),1)="A","W",if(LEFT(VLOOKUP($B5,'Round 8'!$B$2:$H$361,7,false),1)="B","L","")),if(LEFT(VLOOKUP($B5,'Round 8'!$F$2:$H$361,3,false),1)="b","W",if(LEFT(VLOOKUP($B5,'Round 8'!$F$2:$H$361,3,false),1)="a","L",""))),"")</f>
        <v>W</v>
      </c>
      <c r="L5" s="68" t="str">
        <f>iferror(iferror(if(LEFT(VLOOKUP($B5,'Round 9'!$B$2:$H$361,7,false),1)="A","W",if(LEFT(VLOOKUP($B5,'Round 9'!$B$2:$H$361,7,false),1)="B","L","")),if(LEFT(VLOOKUP($B5,'Round 9'!$F$2:$H$361,3,false),1)="b","W",if(LEFT(VLOOKUP($B5,'Round 9'!$F$2:$H$361,3,false),1)="a","L",""))),"")</f>
        <v>L</v>
      </c>
      <c r="M5" s="68" t="str">
        <f>iferror(iferror(if(LEFT(VLOOKUP($B5,'Round 10'!$B$2:$H$362,7,false),1)="A","W",if(LEFT(VLOOKUP($B5,'Round 10'!$B$2:$H$362,7,false),1)="B","L","")),if(LEFT(VLOOKUP($B5,'Round 10'!$F$2:$H$362,3,false),1)="b","W",if(LEFT(VLOOKUP($B5,'Round 10'!$F$2:$H$362,3,false),1)="a","L",""))),"")</f>
        <v/>
      </c>
      <c r="N5" s="62" t="s">
        <v>91</v>
      </c>
    </row>
    <row r="6">
      <c r="A6" s="63">
        <v>5.0</v>
      </c>
      <c r="B6" s="64" t="s">
        <v>92</v>
      </c>
      <c r="C6" s="65" t="str">
        <f t="shared" si="1"/>
        <v>7 - 2</v>
      </c>
      <c r="D6" s="67" t="str">
        <f>iferror(if(LEFT(VLOOKUP($B6,'Round 1'!$B$2:$H$361,7,false),1)="A","W",if(LEFT(VLOOKUP($B6,'Round 1'!$B$2:$H$361,7,false),1)="B","L","")),if(LEFT(VLOOKUP($B6,'Round 1'!$F$2:$H$361,3,false),1)="b","W",if(LEFT(VLOOKUP($B6,'Round 1'!$F$2:$H$361,3,false),1)="a","L","")))</f>
        <v>L</v>
      </c>
      <c r="E6" s="67" t="str">
        <f>iferror(if(LEFT(VLOOKUP($B6,'Round 2'!$C$2:$J$361,8,false),1)="A","W",if(LEFT(VLOOKUP($B6,'Round 2'!$C$2:$J$361,8,false),1)="B","L","")),if(LEFT(VLOOKUP($B6,'Round 2'!$G$2:$J$361,4,false),1)="b","W",if(LEFT(VLOOKUP($B6,'Round 2'!$G$2:$J$361,4,false),1)="a","L","")))</f>
        <v>W</v>
      </c>
      <c r="F6" s="67" t="str">
        <f>iferror(if(LEFT(VLOOKUP($B6,'Round 3'!$B$2:$H$361,7,false),1)="A","W",if(LEFT(VLOOKUP($B6,'Round 3'!$B$2:$H$361,7,false),1)="B","L","")),if(LEFT(VLOOKUP($B6,'Round 3'!$F$2:$H$361,3,false),1)="b","W",if(LEFT(VLOOKUP($B6,'Round 3'!$F$2:$H$361,3,false),1)="a","L","")))</f>
        <v>W</v>
      </c>
      <c r="G6" s="67" t="str">
        <f>iferror(if(LEFT(VLOOKUP($B6,'Round 4'!$B$2:$H$361,7,false),1)="A","W",if(LEFT(VLOOKUP($B6,'Round 4'!$B$2:$H$361,7,false),1)="B","L","")),if(LEFT(VLOOKUP($B6,'Round 4'!$F$2:$H$361,3,false),1)="b","W",if(LEFT(VLOOKUP($B6,'Round 4'!$F$2:$H$361,3,false),1)="a","L","")))</f>
        <v>W</v>
      </c>
      <c r="H6" s="67" t="str">
        <f>iferror(if(LEFT(VLOOKUP($B6,'Round 5'!$B$2:$H$361,7,false),1)="A","W",if(LEFT(VLOOKUP($B6,'Round 5'!$B$2:$H$361,7,false),1)="B","L","")),if(LEFT(VLOOKUP($B6,'Round 5'!$F$2:$H$361,3,false),1)="b","W",if(LEFT(VLOOKUP($B6,'Round 5'!$F$2:$H$361,3,false),1)="a","L","")))</f>
        <v>L</v>
      </c>
      <c r="I6" s="67" t="str">
        <f>iferror(if(LEFT(VLOOKUP($B6,'Round 6'!$B$2:$H$361,7,false),1)="A","W",if(LEFT(VLOOKUP($B6,'Round 6'!$B$2:$H$361,7,false),1)="B","L","")),if(LEFT(VLOOKUP($B6,'Round 6'!$F$2:$H$361,3,false),1)="b","W",if(LEFT(VLOOKUP($B6,'Round 6'!$F$2:$H$361,3,false),1)="a","L","")))</f>
        <v>W</v>
      </c>
      <c r="J6" s="67" t="str">
        <f>iferror(iferror(if(LEFT(VLOOKUP($B6,'Round 7'!$B$2:$H$361,7,false),1)="A","W",if(LEFT(VLOOKUP($B6,'Round 7'!$B$2:$H$361,7,false),1)="B","L","")),if(LEFT(VLOOKUP($B6,'Round 7'!$F$2:$H$361,3,false),1)="b","W",if(LEFT(VLOOKUP($B6,'Round 7'!$F$2:$H$361,3,false),1)="a","L",""))),"")</f>
        <v>W</v>
      </c>
      <c r="K6" s="68" t="str">
        <f>iferror(iferror(if(LEFT(VLOOKUP($B6,'Round 8'!$B$2:$H$361,7,false),1)="A","W",if(LEFT(VLOOKUP($B6,'Round 8'!$B$2:$H$361,7,false),1)="B","L","")),if(LEFT(VLOOKUP($B6,'Round 8'!$F$2:$H$361,3,false),1)="b","W",if(LEFT(VLOOKUP($B6,'Round 8'!$F$2:$H$361,3,false),1)="a","L",""))),"")</f>
        <v>W</v>
      </c>
      <c r="L6" s="68" t="str">
        <f>iferror(iferror(if(LEFT(VLOOKUP($B6,'Round 9'!$B$2:$H$361,7,false),1)="A","W",if(LEFT(VLOOKUP($B6,'Round 9'!$B$2:$H$361,7,false),1)="B","L","")),if(LEFT(VLOOKUP($B6,'Round 9'!$F$2:$H$361,3,false),1)="b","W",if(LEFT(VLOOKUP($B6,'Round 9'!$F$2:$H$361,3,false),1)="a","L",""))),"")</f>
        <v>W</v>
      </c>
      <c r="M6" s="68" t="str">
        <f>iferror(iferror(if(LEFT(VLOOKUP($B6,'Round 10'!$B$2:$H$362,7,false),1)="A","W",if(LEFT(VLOOKUP($B6,'Round 10'!$B$2:$H$362,7,false),1)="B","L","")),if(LEFT(VLOOKUP($B6,'Round 10'!$F$2:$H$362,3,false),1)="b","W",if(LEFT(VLOOKUP($B6,'Round 10'!$F$2:$H$362,3,false),1)="a","L",""))),"")</f>
        <v/>
      </c>
      <c r="N6" s="62" t="s">
        <v>93</v>
      </c>
    </row>
    <row r="7">
      <c r="A7" s="63">
        <v>6.0</v>
      </c>
      <c r="B7" s="64" t="s">
        <v>94</v>
      </c>
      <c r="C7" s="65" t="str">
        <f t="shared" si="1"/>
        <v>8 - 1</v>
      </c>
      <c r="D7" s="67" t="str">
        <f>iferror(if(LEFT(VLOOKUP($B7,'Round 1'!$B$2:$H$361,7,false),1)="A","W",if(LEFT(VLOOKUP($B7,'Round 1'!$B$2:$H$361,7,false),1)="B","L","")),if(LEFT(VLOOKUP($B7,'Round 1'!$F$2:$H$361,3,false),1)="b","W",if(LEFT(VLOOKUP($B7,'Round 1'!$F$2:$H$361,3,false),1)="a","L","")))</f>
        <v>W</v>
      </c>
      <c r="E7" s="67" t="str">
        <f>iferror(if(LEFT(VLOOKUP($B7,'Round 2'!$C$2:$J$361,8,false),1)="A","W",if(LEFT(VLOOKUP($B7,'Round 2'!$C$2:$J$361,8,false),1)="B","L","")),if(LEFT(VLOOKUP($B7,'Round 2'!$G$2:$J$361,4,false),1)="b","W",if(LEFT(VLOOKUP($B7,'Round 2'!$G$2:$J$361,4,false),1)="a","L","")))</f>
        <v>W</v>
      </c>
      <c r="F7" s="67" t="str">
        <f>iferror(if(LEFT(VLOOKUP($B7,'Round 3'!$B$2:$H$361,7,false),1)="A","W",if(LEFT(VLOOKUP($B7,'Round 3'!$B$2:$H$361,7,false),1)="B","L","")),if(LEFT(VLOOKUP($B7,'Round 3'!$F$2:$H$361,3,false),1)="b","W",if(LEFT(VLOOKUP($B7,'Round 3'!$F$2:$H$361,3,false),1)="a","L","")))</f>
        <v>W</v>
      </c>
      <c r="G7" s="67" t="str">
        <f>iferror(if(LEFT(VLOOKUP($B7,'Round 4'!$B$2:$H$361,7,false),1)="A","W",if(LEFT(VLOOKUP($B7,'Round 4'!$B$2:$H$361,7,false),1)="B","L","")),if(LEFT(VLOOKUP($B7,'Round 4'!$F$2:$H$361,3,false),1)="b","W",if(LEFT(VLOOKUP($B7,'Round 4'!$F$2:$H$361,3,false),1)="a","L","")))</f>
        <v>W</v>
      </c>
      <c r="H7" s="67" t="str">
        <f>iferror(if(LEFT(VLOOKUP($B7,'Round 5'!$B$2:$H$361,7,false),1)="A","W",if(LEFT(VLOOKUP($B7,'Round 5'!$B$2:$H$361,7,false),1)="B","L","")),if(LEFT(VLOOKUP($B7,'Round 5'!$F$2:$H$361,3,false),1)="b","W",if(LEFT(VLOOKUP($B7,'Round 5'!$F$2:$H$361,3,false),1)="a","L","")))</f>
        <v>W</v>
      </c>
      <c r="I7" s="67" t="str">
        <f>iferror(if(LEFT(VLOOKUP($B7,'Round 6'!$B$2:$H$361,7,false),1)="A","W",if(LEFT(VLOOKUP($B7,'Round 6'!$B$2:$H$361,7,false),1)="B","L","")),if(LEFT(VLOOKUP($B7,'Round 6'!$F$2:$H$361,3,false),1)="b","W",if(LEFT(VLOOKUP($B7,'Round 6'!$F$2:$H$361,3,false),1)="a","L","")))</f>
        <v>W</v>
      </c>
      <c r="J7" s="67" t="str">
        <f>iferror(iferror(if(LEFT(VLOOKUP($B7,'Round 7'!$B$2:$H$361,7,false),1)="A","W",if(LEFT(VLOOKUP($B7,'Round 7'!$B$2:$H$361,7,false),1)="B","L","")),if(LEFT(VLOOKUP($B7,'Round 7'!$F$2:$H$361,3,false),1)="b","W",if(LEFT(VLOOKUP($B7,'Round 7'!$F$2:$H$361,3,false),1)="a","L",""))),"")</f>
        <v>L</v>
      </c>
      <c r="K7" s="68" t="str">
        <f>iferror(iferror(if(LEFT(VLOOKUP($B7,'Round 8'!$B$2:$H$361,7,false),1)="A","W",if(LEFT(VLOOKUP($B7,'Round 8'!$B$2:$H$361,7,false),1)="B","L","")),if(LEFT(VLOOKUP($B7,'Round 8'!$F$2:$H$361,3,false),1)="b","W",if(LEFT(VLOOKUP($B7,'Round 8'!$F$2:$H$361,3,false),1)="a","L",""))),"")</f>
        <v>W</v>
      </c>
      <c r="L7" s="68" t="str">
        <f>iferror(iferror(if(LEFT(VLOOKUP($B7,'Round 9'!$B$2:$H$361,7,false),1)="A","W",if(LEFT(VLOOKUP($B7,'Round 9'!$B$2:$H$361,7,false),1)="B","L","")),if(LEFT(VLOOKUP($B7,'Round 9'!$F$2:$H$361,3,false),1)="b","W",if(LEFT(VLOOKUP($B7,'Round 9'!$F$2:$H$361,3,false),1)="a","L",""))),"")</f>
        <v>W</v>
      </c>
      <c r="M7" s="68" t="str">
        <f>iferror(iferror(if(LEFT(VLOOKUP($B7,'Round 10'!$B$2:$H$362,7,false),1)="A","W",if(LEFT(VLOOKUP($B7,'Round 10'!$B$2:$H$362,7,false),1)="B","L","")),if(LEFT(VLOOKUP($B7,'Round 10'!$F$2:$H$362,3,false),1)="b","W",if(LEFT(VLOOKUP($B7,'Round 10'!$F$2:$H$362,3,false),1)="a","L",""))),"")</f>
        <v/>
      </c>
      <c r="N7" s="62" t="s">
        <v>95</v>
      </c>
    </row>
    <row r="8">
      <c r="A8" s="63">
        <v>7.0</v>
      </c>
      <c r="B8" s="64" t="s">
        <v>96</v>
      </c>
      <c r="C8" s="65" t="str">
        <f t="shared" si="1"/>
        <v>10 - 0</v>
      </c>
      <c r="D8" s="67" t="str">
        <f>iferror(if(LEFT(VLOOKUP($B8,'Round 1'!$B$2:$H$361,7,false),1)="A","W",if(LEFT(VLOOKUP($B8,'Round 1'!$B$2:$H$361,7,false),1)="B","L","")),if(LEFT(VLOOKUP($B8,'Round 1'!$F$2:$H$361,3,false),1)="b","W",if(LEFT(VLOOKUP($B8,'Round 1'!$F$2:$H$361,3,false),1)="a","L","")))</f>
        <v>W</v>
      </c>
      <c r="E8" s="67" t="str">
        <f>iferror(if(LEFT(VLOOKUP($B8,'Round 2'!$C$2:$J$361,8,false),1)="A","W",if(LEFT(VLOOKUP($B8,'Round 2'!$C$2:$J$361,8,false),1)="B","L","")),if(LEFT(VLOOKUP($B8,'Round 2'!$G$2:$J$361,4,false),1)="b","W",if(LEFT(VLOOKUP($B8,'Round 2'!$G$2:$J$361,4,false),1)="a","L","")))</f>
        <v>W</v>
      </c>
      <c r="F8" s="67" t="str">
        <f>iferror(if(LEFT(VLOOKUP($B8,'Round 3'!$B$2:$H$361,7,false),1)="A","W",if(LEFT(VLOOKUP($B8,'Round 3'!$B$2:$H$361,7,false),1)="B","L","")),if(LEFT(VLOOKUP($B8,'Round 3'!$F$2:$H$361,3,false),1)="b","W",if(LEFT(VLOOKUP($B8,'Round 3'!$F$2:$H$361,3,false),1)="a","L","")))</f>
        <v>W</v>
      </c>
      <c r="G8" s="67" t="str">
        <f>iferror(if(LEFT(VLOOKUP($B8,'Round 4'!$B$2:$H$361,7,false),1)="A","W",if(LEFT(VLOOKUP($B8,'Round 4'!$B$2:$H$361,7,false),1)="B","L","")),if(LEFT(VLOOKUP($B8,'Round 4'!$F$2:$H$361,3,false),1)="b","W",if(LEFT(VLOOKUP($B8,'Round 4'!$F$2:$H$361,3,false),1)="a","L","")))</f>
        <v>W</v>
      </c>
      <c r="H8" s="67" t="str">
        <f>iferror(if(LEFT(VLOOKUP($B8,'Round 5'!$B$2:$H$361,7,false),1)="A","W",if(LEFT(VLOOKUP($B8,'Round 5'!$B$2:$H$361,7,false),1)="B","L","")),if(LEFT(VLOOKUP($B8,'Round 5'!$F$2:$H$361,3,false),1)="b","W",if(LEFT(VLOOKUP($B8,'Round 5'!$F$2:$H$361,3,false),1)="a","L","")))</f>
        <v>W</v>
      </c>
      <c r="I8" s="67" t="str">
        <f>iferror(if(LEFT(VLOOKUP($B8,'Round 6'!$B$2:$H$361,7,false),1)="A","W",if(LEFT(VLOOKUP($B8,'Round 6'!$B$2:$H$361,7,false),1)="B","L","")),if(LEFT(VLOOKUP($B8,'Round 6'!$F$2:$H$361,3,false),1)="b","W",if(LEFT(VLOOKUP($B8,'Round 6'!$F$2:$H$361,3,false),1)="a","L","")))</f>
        <v>W</v>
      </c>
      <c r="J8" s="67" t="str">
        <f>iferror(iferror(if(LEFT(VLOOKUP($B8,'Round 7'!$B$2:$H$361,7,false),1)="A","W",if(LEFT(VLOOKUP($B8,'Round 7'!$B$2:$H$361,7,false),1)="B","L","")),if(LEFT(VLOOKUP($B8,'Round 7'!$F$2:$H$361,3,false),1)="b","W",if(LEFT(VLOOKUP($B8,'Round 7'!$F$2:$H$361,3,false),1)="a","L",""))),"")</f>
        <v>W</v>
      </c>
      <c r="K8" s="68" t="str">
        <f>iferror(iferror(if(LEFT(VLOOKUP($B8,'Round 8'!$B$2:$H$361,7,false),1)="A","W",if(LEFT(VLOOKUP($B8,'Round 8'!$B$2:$H$361,7,false),1)="B","L","")),if(LEFT(VLOOKUP($B8,'Round 8'!$F$2:$H$361,3,false),1)="b","W",if(LEFT(VLOOKUP($B8,'Round 8'!$F$2:$H$361,3,false),1)="a","L",""))),"")</f>
        <v>W</v>
      </c>
      <c r="L8" s="68" t="str">
        <f>iferror(iferror(if(LEFT(VLOOKUP($B8,'Round 9'!$B$2:$H$361,7,false),1)="A","W",if(LEFT(VLOOKUP($B8,'Round 9'!$B$2:$H$361,7,false),1)="B","L","")),if(LEFT(VLOOKUP($B8,'Round 9'!$F$2:$H$361,3,false),1)="b","W",if(LEFT(VLOOKUP($B8,'Round 9'!$F$2:$H$361,3,false),1)="a","L",""))),"")</f>
        <v>W</v>
      </c>
      <c r="M8" s="68" t="str">
        <f>iferror(iferror(if(LEFT(VLOOKUP($B8,'Round 10'!$B$2:$H$362,7,false),1)="A","W",if(LEFT(VLOOKUP($B8,'Round 10'!$B$2:$H$362,7,false),1)="B","L","")),if(LEFT(VLOOKUP($B8,'Round 10'!$F$2:$H$362,3,false),1)="b","W",if(LEFT(VLOOKUP($B8,'Round 10'!$F$2:$H$362,3,false),1)="a","L",""))),"")</f>
        <v>W</v>
      </c>
      <c r="N8" s="62" t="s">
        <v>97</v>
      </c>
    </row>
    <row r="9">
      <c r="A9" s="63">
        <v>8.0</v>
      </c>
      <c r="B9" s="64" t="s">
        <v>98</v>
      </c>
      <c r="C9" s="65" t="str">
        <f t="shared" si="1"/>
        <v>2 - 3</v>
      </c>
      <c r="D9" s="67" t="str">
        <f>iferror(if(LEFT(VLOOKUP($B9,'Round 1'!$B$2:$H$361,7,false),1)="A","W",if(LEFT(VLOOKUP($B9,'Round 1'!$B$2:$H$361,7,false),1)="B","L","")),if(LEFT(VLOOKUP($B9,'Round 1'!$F$2:$H$361,3,false),1)="b","W",if(LEFT(VLOOKUP($B9,'Round 1'!$F$2:$H$361,3,false),1)="a","L","")))</f>
        <v>W</v>
      </c>
      <c r="E9" s="67" t="str">
        <f>iferror(if(LEFT(VLOOKUP($B9,'Round 2'!$C$2:$J$361,8,false),1)="A","W",if(LEFT(VLOOKUP($B9,'Round 2'!$C$2:$J$361,8,false),1)="B","L","")),if(LEFT(VLOOKUP($B9,'Round 2'!$G$2:$J$361,4,false),1)="b","W",if(LEFT(VLOOKUP($B9,'Round 2'!$G$2:$J$361,4,false),1)="a","L","")))</f>
        <v>W</v>
      </c>
      <c r="F9" s="67" t="str">
        <f>iferror(if(LEFT(VLOOKUP($B9,'Round 3'!$B$2:$H$361,7,false),1)="A","W",if(LEFT(VLOOKUP($B9,'Round 3'!$B$2:$H$361,7,false),1)="B","L","")),if(LEFT(VLOOKUP($B9,'Round 3'!$F$2:$H$361,3,false),1)="b","W",if(LEFT(VLOOKUP($B9,'Round 3'!$F$2:$H$361,3,false),1)="a","L","")))</f>
        <v>L</v>
      </c>
      <c r="G9" s="67" t="str">
        <f>iferror(if(LEFT(VLOOKUP($B9,'Round 4'!$B$2:$H$361,7,false),1)="A","W",if(LEFT(VLOOKUP($B9,'Round 4'!$B$2:$H$361,7,false),1)="B","L","")),if(LEFT(VLOOKUP($B9,'Round 4'!$F$2:$H$361,3,false),1)="b","W",if(LEFT(VLOOKUP($B9,'Round 4'!$F$2:$H$361,3,false),1)="a","L","")))</f>
        <v>L</v>
      </c>
      <c r="H9" s="67" t="str">
        <f>iferror(if(LEFT(VLOOKUP($B9,'Round 5'!$B$2:$H$361,7,false),1)="A","W",if(LEFT(VLOOKUP($B9,'Round 5'!$B$2:$H$361,7,false),1)="B","L","")),if(LEFT(VLOOKUP($B9,'Round 5'!$F$2:$H$361,3,false),1)="b","W",if(LEFT(VLOOKUP($B9,'Round 5'!$F$2:$H$361,3,false),1)="a","L","")))</f>
        <v>L</v>
      </c>
      <c r="I9" s="67"/>
      <c r="J9" s="67" t="str">
        <f>iferror(iferror(if(LEFT(VLOOKUP($B9,'Round 7'!$B$2:$H$361,7,false),1)="A","W",if(LEFT(VLOOKUP($B9,'Round 7'!$B$2:$H$361,7,false),1)="B","L","")),if(LEFT(VLOOKUP($B9,'Round 7'!$F$2:$H$361,3,false),1)="b","W",if(LEFT(VLOOKUP($B9,'Round 7'!$F$2:$H$361,3,false),1)="a","L",""))),"")</f>
        <v/>
      </c>
      <c r="K9" s="68" t="str">
        <f>iferror(iferror(if(LEFT(VLOOKUP($B9,'Round 8'!$B$2:$H$361,7,false),1)="A","W",if(LEFT(VLOOKUP($B9,'Round 8'!$B$2:$H$361,7,false),1)="B","L","")),if(LEFT(VLOOKUP($B9,'Round 8'!$F$2:$H$361,3,false),1)="b","W",if(LEFT(VLOOKUP($B9,'Round 8'!$F$2:$H$361,3,false),1)="a","L",""))),"")</f>
        <v/>
      </c>
      <c r="L9" s="68" t="str">
        <f>iferror(iferror(if(LEFT(VLOOKUP($B9,'Round 9'!$B$2:$H$361,7,false),1)="A","W",if(LEFT(VLOOKUP($B9,'Round 9'!$B$2:$H$361,7,false),1)="B","L","")),if(LEFT(VLOOKUP($B9,'Round 9'!$F$2:$H$361,3,false),1)="b","W",if(LEFT(VLOOKUP($B9,'Round 9'!$F$2:$H$361,3,false),1)="a","L",""))),"")</f>
        <v/>
      </c>
      <c r="M9" s="68" t="str">
        <f>iferror(iferror(if(LEFT(VLOOKUP($B9,'Round 10'!$B$2:$H$362,7,false),1)="A","W",if(LEFT(VLOOKUP($B9,'Round 10'!$B$2:$H$362,7,false),1)="B","L","")),if(LEFT(VLOOKUP($B9,'Round 10'!$F$2:$H$362,3,false),1)="b","W",if(LEFT(VLOOKUP($B9,'Round 10'!$F$2:$H$362,3,false),1)="a","L",""))),"")</f>
        <v/>
      </c>
      <c r="N9" s="62" t="s">
        <v>99</v>
      </c>
    </row>
    <row r="10">
      <c r="A10" s="63">
        <v>9.0</v>
      </c>
      <c r="B10" s="64" t="s">
        <v>100</v>
      </c>
      <c r="C10" s="65" t="str">
        <f t="shared" si="1"/>
        <v>8 - 1</v>
      </c>
      <c r="D10" s="67" t="str">
        <f>iferror(if(LEFT(VLOOKUP($B10,'Round 1'!$B$2:$H$361,7,false),1)="A","W",if(LEFT(VLOOKUP($B10,'Round 1'!$B$2:$H$361,7,false),1)="B","L","")),if(LEFT(VLOOKUP($B10,'Round 1'!$F$2:$H$361,3,false),1)="b","W",if(LEFT(VLOOKUP($B10,'Round 1'!$F$2:$H$361,3,false),1)="a","L","")))</f>
        <v>W</v>
      </c>
      <c r="E10" s="67" t="str">
        <f>iferror(if(LEFT(VLOOKUP($B10,'Round 2'!$C$2:$J$361,8,false),1)="A","W",if(LEFT(VLOOKUP($B10,'Round 2'!$C$2:$J$361,8,false),1)="B","L","")),if(LEFT(VLOOKUP($B10,'Round 2'!$G$2:$J$361,4,false),1)="b","W",if(LEFT(VLOOKUP($B10,'Round 2'!$G$2:$J$361,4,false),1)="a","L","")))</f>
        <v>W</v>
      </c>
      <c r="F10" s="67" t="str">
        <f>iferror(if(LEFT(VLOOKUP($B10,'Round 3'!$B$2:$H$361,7,false),1)="A","W",if(LEFT(VLOOKUP($B10,'Round 3'!$B$2:$H$361,7,false),1)="B","L","")),if(LEFT(VLOOKUP($B10,'Round 3'!$F$2:$H$361,3,false),1)="b","W",if(LEFT(VLOOKUP($B10,'Round 3'!$F$2:$H$361,3,false),1)="a","L","")))</f>
        <v>W</v>
      </c>
      <c r="G10" s="67" t="str">
        <f>iferror(if(LEFT(VLOOKUP($B10,'Round 4'!$B$2:$H$361,7,false),1)="A","W",if(LEFT(VLOOKUP($B10,'Round 4'!$B$2:$H$361,7,false),1)="B","L","")),if(LEFT(VLOOKUP($B10,'Round 4'!$F$2:$H$361,3,false),1)="b","W",if(LEFT(VLOOKUP($B10,'Round 4'!$F$2:$H$361,3,false),1)="a","L","")))</f>
        <v>W</v>
      </c>
      <c r="H10" s="67" t="str">
        <f>iferror(if(LEFT(VLOOKUP($B10,'Round 5'!$B$2:$H$361,7,false),1)="A","W",if(LEFT(VLOOKUP($B10,'Round 5'!$B$2:$H$361,7,false),1)="B","L","")),if(LEFT(VLOOKUP($B10,'Round 5'!$F$2:$H$361,3,false),1)="b","W",if(LEFT(VLOOKUP($B10,'Round 5'!$F$2:$H$361,3,false),1)="a","L","")))</f>
        <v>W</v>
      </c>
      <c r="I10" s="67" t="str">
        <f>iferror(if(LEFT(VLOOKUP($B10,'Round 6'!$B$2:$H$361,7,false),1)="A","W",if(LEFT(VLOOKUP($B10,'Round 6'!$B$2:$H$361,7,false),1)="B","L","")),if(LEFT(VLOOKUP($B10,'Round 6'!$F$2:$H$361,3,false),1)="b","W",if(LEFT(VLOOKUP($B10,'Round 6'!$F$2:$H$361,3,false),1)="a","L","")))</f>
        <v>W</v>
      </c>
      <c r="J10" s="67" t="str">
        <f>iferror(iferror(if(LEFT(VLOOKUP($B10,'Round 7'!$B$2:$H$361,7,false),1)="A","W",if(LEFT(VLOOKUP($B10,'Round 7'!$B$2:$H$361,7,false),1)="B","L","")),if(LEFT(VLOOKUP($B10,'Round 7'!$F$2:$H$361,3,false),1)="b","W",if(LEFT(VLOOKUP($B10,'Round 7'!$F$2:$H$361,3,false),1)="a","L",""))),"")</f>
        <v>W</v>
      </c>
      <c r="K10" s="68" t="str">
        <f>iferror(iferror(if(LEFT(VLOOKUP($B10,'Round 8'!$B$2:$H$361,7,false),1)="A","W",if(LEFT(VLOOKUP($B10,'Round 8'!$B$2:$H$361,7,false),1)="B","L","")),if(LEFT(VLOOKUP($B10,'Round 8'!$F$2:$H$361,3,false),1)="b","W",if(LEFT(VLOOKUP($B10,'Round 8'!$F$2:$H$361,3,false),1)="a","L",""))),"")</f>
        <v>W</v>
      </c>
      <c r="L10" s="68" t="str">
        <f>iferror(iferror(if(LEFT(VLOOKUP($B10,'Round 9'!$B$2:$H$361,7,false),1)="A","W",if(LEFT(VLOOKUP($B10,'Round 9'!$B$2:$H$361,7,false),1)="B","L","")),if(LEFT(VLOOKUP($B10,'Round 9'!$F$2:$H$361,3,false),1)="b","W",if(LEFT(VLOOKUP($B10,'Round 9'!$F$2:$H$361,3,false),1)="a","L",""))),"")</f>
        <v>L</v>
      </c>
      <c r="M10" s="68" t="str">
        <f>iferror(iferror(if(LEFT(VLOOKUP($B10,'Round 10'!$B$2:$H$362,7,false),1)="A","W",if(LEFT(VLOOKUP($B10,'Round 10'!$B$2:$H$362,7,false),1)="B","L","")),if(LEFT(VLOOKUP($B10,'Round 10'!$F$2:$H$362,3,false),1)="b","W",if(LEFT(VLOOKUP($B10,'Round 10'!$F$2:$H$362,3,false),1)="a","L",""))),"")</f>
        <v/>
      </c>
      <c r="N10" s="62" t="s">
        <v>101</v>
      </c>
    </row>
    <row r="11">
      <c r="A11" s="63">
        <v>10.0</v>
      </c>
      <c r="B11" s="64" t="s">
        <v>102</v>
      </c>
      <c r="C11" s="65" t="str">
        <f t="shared" si="1"/>
        <v>7 - 2</v>
      </c>
      <c r="D11" s="67" t="str">
        <f>iferror(if(LEFT(VLOOKUP($B11,'Round 1'!$B$2:$H$361,7,false),1)="A","W",if(LEFT(VLOOKUP($B11,'Round 1'!$B$2:$H$361,7,false),1)="B","L","")),if(LEFT(VLOOKUP($B11,'Round 1'!$F$2:$H$361,3,false),1)="b","W",if(LEFT(VLOOKUP($B11,'Round 1'!$F$2:$H$361,3,false),1)="a","L","")))</f>
        <v>L</v>
      </c>
      <c r="E11" s="67" t="str">
        <f>iferror(if(LEFT(VLOOKUP($B11,'Round 2'!$C$2:$J$361,8,false),1)="A","W",if(LEFT(VLOOKUP($B11,'Round 2'!$C$2:$J$361,8,false),1)="B","L","")),if(LEFT(VLOOKUP($B11,'Round 2'!$G$2:$J$361,4,false),1)="b","W",if(LEFT(VLOOKUP($B11,'Round 2'!$G$2:$J$361,4,false),1)="a","L","")))</f>
        <v>W</v>
      </c>
      <c r="F11" s="67" t="str">
        <f>iferror(if(LEFT(VLOOKUP($B11,'Round 3'!$B$2:$H$361,7,false),1)="A","W",if(LEFT(VLOOKUP($B11,'Round 3'!$B$2:$H$361,7,false),1)="B","L","")),if(LEFT(VLOOKUP($B11,'Round 3'!$F$2:$H$361,3,false),1)="b","W",if(LEFT(VLOOKUP($B11,'Round 3'!$F$2:$H$361,3,false),1)="a","L","")))</f>
        <v>W</v>
      </c>
      <c r="G11" s="67" t="str">
        <f>iferror(if(LEFT(VLOOKUP($B11,'Round 4'!$B$2:$H$361,7,false),1)="A","W",if(LEFT(VLOOKUP($B11,'Round 4'!$B$2:$H$361,7,false),1)="B","L","")),if(LEFT(VLOOKUP($B11,'Round 4'!$F$2:$H$361,3,false),1)="b","W",if(LEFT(VLOOKUP($B11,'Round 4'!$F$2:$H$361,3,false),1)="a","L","")))</f>
        <v>W</v>
      </c>
      <c r="H11" s="67" t="str">
        <f>iferror(if(LEFT(VLOOKUP($B11,'Round 5'!$B$2:$H$361,7,false),1)="A","W",if(LEFT(VLOOKUP($B11,'Round 5'!$B$2:$H$361,7,false),1)="B","L","")),if(LEFT(VLOOKUP($B11,'Round 5'!$F$2:$H$361,3,false),1)="b","W",if(LEFT(VLOOKUP($B11,'Round 5'!$F$2:$H$361,3,false),1)="a","L","")))</f>
        <v>W</v>
      </c>
      <c r="I11" s="67" t="str">
        <f>iferror(if(LEFT(VLOOKUP($B11,'Round 6'!$B$2:$H$361,7,false),1)="A","W",if(LEFT(VLOOKUP($B11,'Round 6'!$B$2:$H$361,7,false),1)="B","L","")),if(LEFT(VLOOKUP($B11,'Round 6'!$F$2:$H$361,3,false),1)="b","W",if(LEFT(VLOOKUP($B11,'Round 6'!$F$2:$H$361,3,false),1)="a","L","")))</f>
        <v>W</v>
      </c>
      <c r="J11" s="67" t="str">
        <f>iferror(iferror(if(LEFT(VLOOKUP($B11,'Round 7'!$B$2:$H$361,7,false),1)="A","W",if(LEFT(VLOOKUP($B11,'Round 7'!$B$2:$H$361,7,false),1)="B","L","")),if(LEFT(VLOOKUP($B11,'Round 7'!$F$2:$H$361,3,false),1)="b","W",if(LEFT(VLOOKUP($B11,'Round 7'!$F$2:$H$361,3,false),1)="a","L",""))),"")</f>
        <v>L</v>
      </c>
      <c r="K11" s="68" t="str">
        <f>iferror(iferror(if(LEFT(VLOOKUP($B11,'Round 8'!$B$2:$H$361,7,false),1)="A","W",if(LEFT(VLOOKUP($B11,'Round 8'!$B$2:$H$361,7,false),1)="B","L","")),if(LEFT(VLOOKUP($B11,'Round 8'!$F$2:$H$361,3,false),1)="b","W",if(LEFT(VLOOKUP($B11,'Round 8'!$F$2:$H$361,3,false),1)="a","L",""))),"")</f>
        <v>W</v>
      </c>
      <c r="L11" s="68" t="str">
        <f>iferror(iferror(if(LEFT(VLOOKUP($B11,'Round 9'!$B$2:$H$361,7,false),1)="A","W",if(LEFT(VLOOKUP($B11,'Round 9'!$B$2:$H$361,7,false),1)="B","L","")),if(LEFT(VLOOKUP($B11,'Round 9'!$F$2:$H$361,3,false),1)="b","W",if(LEFT(VLOOKUP($B11,'Round 9'!$F$2:$H$361,3,false),1)="a","L",""))),"")</f>
        <v>W</v>
      </c>
      <c r="M11" s="68" t="str">
        <f>iferror(iferror(if(LEFT(VLOOKUP($B11,'Round 10'!$B$2:$H$362,7,false),1)="A","W",if(LEFT(VLOOKUP($B11,'Round 10'!$B$2:$H$362,7,false),1)="B","L","")),if(LEFT(VLOOKUP($B11,'Round 10'!$F$2:$H$362,3,false),1)="b","W",if(LEFT(VLOOKUP($B11,'Round 10'!$F$2:$H$362,3,false),1)="a","L",""))),"")</f>
        <v/>
      </c>
      <c r="N11" s="62" t="s">
        <v>103</v>
      </c>
    </row>
    <row r="12">
      <c r="A12" s="63">
        <v>11.0</v>
      </c>
      <c r="B12" s="64" t="s">
        <v>104</v>
      </c>
      <c r="C12" s="65" t="str">
        <f t="shared" si="1"/>
        <v>6 - 3</v>
      </c>
      <c r="D12" s="67" t="str">
        <f>iferror(if(LEFT(VLOOKUP($B12,'Round 1'!$B$2:$H$361,7,false),1)="A","W",if(LEFT(VLOOKUP($B12,'Round 1'!$B$2:$H$361,7,false),1)="B","L","")),if(LEFT(VLOOKUP($B12,'Round 1'!$F$2:$H$361,3,false),1)="b","W",if(LEFT(VLOOKUP($B12,'Round 1'!$F$2:$H$361,3,false),1)="a","L","")))</f>
        <v>W</v>
      </c>
      <c r="E12" s="67" t="str">
        <f>iferror(if(LEFT(VLOOKUP($B12,'Round 2'!$C$2:$J$361,8,false),1)="A","W",if(LEFT(VLOOKUP($B12,'Round 2'!$C$2:$J$361,8,false),1)="B","L","")),if(LEFT(VLOOKUP($B12,'Round 2'!$G$2:$J$361,4,false),1)="b","W",if(LEFT(VLOOKUP($B12,'Round 2'!$G$2:$J$361,4,false),1)="a","L","")))</f>
        <v>W</v>
      </c>
      <c r="F12" s="67" t="str">
        <f>iferror(if(LEFT(VLOOKUP($B12,'Round 3'!$B$2:$H$361,7,false),1)="A","W",if(LEFT(VLOOKUP($B12,'Round 3'!$B$2:$H$361,7,false),1)="B","L","")),if(LEFT(VLOOKUP($B12,'Round 3'!$F$2:$H$361,3,false),1)="b","W",if(LEFT(VLOOKUP($B12,'Round 3'!$F$2:$H$361,3,false),1)="a","L","")))</f>
        <v>L</v>
      </c>
      <c r="G12" s="67" t="str">
        <f>iferror(if(LEFT(VLOOKUP($B12,'Round 4'!$B$2:$H$361,7,false),1)="A","W",if(LEFT(VLOOKUP($B12,'Round 4'!$B$2:$H$361,7,false),1)="B","L","")),if(LEFT(VLOOKUP($B12,'Round 4'!$F$2:$H$361,3,false),1)="b","W",if(LEFT(VLOOKUP($B12,'Round 4'!$F$2:$H$361,3,false),1)="a","L","")))</f>
        <v>W</v>
      </c>
      <c r="H12" s="67" t="str">
        <f>iferror(if(LEFT(VLOOKUP($B12,'Round 5'!$B$2:$H$361,7,false),1)="A","W",if(LEFT(VLOOKUP($B12,'Round 5'!$B$2:$H$361,7,false),1)="B","L","")),if(LEFT(VLOOKUP($B12,'Round 5'!$F$2:$H$361,3,false),1)="b","W",if(LEFT(VLOOKUP($B12,'Round 5'!$F$2:$H$361,3,false),1)="a","L","")))</f>
        <v>W</v>
      </c>
      <c r="I12" s="67" t="str">
        <f>iferror(if(LEFT(VLOOKUP($B12,'Round 6'!$B$2:$H$361,7,false),1)="A","W",if(LEFT(VLOOKUP($B12,'Round 6'!$B$2:$H$361,7,false),1)="B","L","")),if(LEFT(VLOOKUP($B12,'Round 6'!$F$2:$H$361,3,false),1)="b","W",if(LEFT(VLOOKUP($B12,'Round 6'!$F$2:$H$361,3,false),1)="a","L","")))</f>
        <v>W</v>
      </c>
      <c r="J12" s="67" t="str">
        <f>iferror(iferror(if(LEFT(VLOOKUP($B12,'Round 7'!$B$2:$H$361,7,false),1)="A","W",if(LEFT(VLOOKUP($B12,'Round 7'!$B$2:$H$361,7,false),1)="B","L","")),if(LEFT(VLOOKUP($B12,'Round 7'!$F$2:$H$361,3,false),1)="b","W",if(LEFT(VLOOKUP($B12,'Round 7'!$F$2:$H$361,3,false),1)="a","L",""))),"")</f>
        <v>W</v>
      </c>
      <c r="K12" s="68" t="str">
        <f>iferror(iferror(if(LEFT(VLOOKUP($B12,'Round 8'!$B$2:$H$361,7,false),1)="A","W",if(LEFT(VLOOKUP($B12,'Round 8'!$B$2:$H$361,7,false),1)="B","L","")),if(LEFT(VLOOKUP($B12,'Round 8'!$F$2:$H$361,3,false),1)="b","W",if(LEFT(VLOOKUP($B12,'Round 8'!$F$2:$H$361,3,false),1)="a","L",""))),"")</f>
        <v>L</v>
      </c>
      <c r="L12" s="68" t="str">
        <f>iferror(iferror(if(LEFT(VLOOKUP($B12,'Round 9'!$B$2:$H$361,7,false),1)="A","W",if(LEFT(VLOOKUP($B12,'Round 9'!$B$2:$H$361,7,false),1)="B","L","")),if(LEFT(VLOOKUP($B12,'Round 9'!$F$2:$H$361,3,false),1)="b","W",if(LEFT(VLOOKUP($B12,'Round 9'!$F$2:$H$361,3,false),1)="a","L",""))),"")</f>
        <v>L</v>
      </c>
      <c r="M12" s="68" t="str">
        <f>iferror(iferror(if(LEFT(VLOOKUP($B12,'Round 10'!$B$2:$H$362,7,false),1)="A","W",if(LEFT(VLOOKUP($B12,'Round 10'!$B$2:$H$362,7,false),1)="B","L","")),if(LEFT(VLOOKUP($B12,'Round 10'!$F$2:$H$362,3,false),1)="b","W",if(LEFT(VLOOKUP($B12,'Round 10'!$F$2:$H$362,3,false),1)="a","L",""))),"")</f>
        <v/>
      </c>
      <c r="N12" s="62" t="s">
        <v>105</v>
      </c>
    </row>
    <row r="13">
      <c r="A13" s="63">
        <v>12.0</v>
      </c>
      <c r="B13" s="64" t="s">
        <v>106</v>
      </c>
      <c r="C13" s="65" t="str">
        <f t="shared" si="1"/>
        <v>8 - 1</v>
      </c>
      <c r="D13" s="67" t="str">
        <f>iferror(if(LEFT(VLOOKUP($B13,'Round 1'!$B$2:$H$361,7,false),1)="A","W",if(LEFT(VLOOKUP($B13,'Round 1'!$B$2:$H$361,7,false),1)="B","L","")),if(LEFT(VLOOKUP($B13,'Round 1'!$F$2:$H$361,3,false),1)="b","W",if(LEFT(VLOOKUP($B13,'Round 1'!$F$2:$H$361,3,false),1)="a","L","")))</f>
        <v>W</v>
      </c>
      <c r="E13" s="67" t="str">
        <f>iferror(if(LEFT(VLOOKUP($B13,'Round 2'!$C$2:$J$361,8,false),1)="A","W",if(LEFT(VLOOKUP($B13,'Round 2'!$C$2:$J$361,8,false),1)="B","L","")),if(LEFT(VLOOKUP($B13,'Round 2'!$G$2:$J$361,4,false),1)="b","W",if(LEFT(VLOOKUP($B13,'Round 2'!$G$2:$J$361,4,false),1)="a","L","")))</f>
        <v>L</v>
      </c>
      <c r="F13" s="67" t="str">
        <f>iferror(if(LEFT(VLOOKUP($B13,'Round 3'!$B$2:$H$361,7,false),1)="A","W",if(LEFT(VLOOKUP($B13,'Round 3'!$B$2:$H$361,7,false),1)="B","L","")),if(LEFT(VLOOKUP($B13,'Round 3'!$F$2:$H$361,3,false),1)="b","W",if(LEFT(VLOOKUP($B13,'Round 3'!$F$2:$H$361,3,false),1)="a","L","")))</f>
        <v>W</v>
      </c>
      <c r="G13" s="67" t="str">
        <f>iferror(if(LEFT(VLOOKUP($B13,'Round 4'!$B$2:$H$361,7,false),1)="A","W",if(LEFT(VLOOKUP($B13,'Round 4'!$B$2:$H$361,7,false),1)="B","L","")),if(LEFT(VLOOKUP($B13,'Round 4'!$F$2:$H$361,3,false),1)="b","W",if(LEFT(VLOOKUP($B13,'Round 4'!$F$2:$H$361,3,false),1)="a","L","")))</f>
        <v>W</v>
      </c>
      <c r="H13" s="67" t="str">
        <f>iferror(if(LEFT(VLOOKUP($B13,'Round 5'!$B$2:$H$361,7,false),1)="A","W",if(LEFT(VLOOKUP($B13,'Round 5'!$B$2:$H$361,7,false),1)="B","L","")),if(LEFT(VLOOKUP($B13,'Round 5'!$F$2:$H$361,3,false),1)="b","W",if(LEFT(VLOOKUP($B13,'Round 5'!$F$2:$H$361,3,false),1)="a","L","")))</f>
        <v>W</v>
      </c>
      <c r="I13" s="67" t="str">
        <f>iferror(if(LEFT(VLOOKUP($B13,'Round 6'!$B$2:$H$361,7,false),1)="A","W",if(LEFT(VLOOKUP($B13,'Round 6'!$B$2:$H$361,7,false),1)="B","L","")),if(LEFT(VLOOKUP($B13,'Round 6'!$F$2:$H$361,3,false),1)="b","W",if(LEFT(VLOOKUP($B13,'Round 6'!$F$2:$H$361,3,false),1)="a","L","")))</f>
        <v>W</v>
      </c>
      <c r="J13" s="67" t="str">
        <f>iferror(iferror(if(LEFT(VLOOKUP($B13,'Round 7'!$B$2:$H$361,7,false),1)="A","W",if(LEFT(VLOOKUP($B13,'Round 7'!$B$2:$H$361,7,false),1)="B","L","")),if(LEFT(VLOOKUP($B13,'Round 7'!$F$2:$H$361,3,false),1)="b","W",if(LEFT(VLOOKUP($B13,'Round 7'!$F$2:$H$361,3,false),1)="a","L",""))),"")</f>
        <v>W</v>
      </c>
      <c r="K13" s="68" t="str">
        <f>iferror(iferror(if(LEFT(VLOOKUP($B13,'Round 8'!$B$2:$H$361,7,false),1)="A","W",if(LEFT(VLOOKUP($B13,'Round 8'!$B$2:$H$361,7,false),1)="B","L","")),if(LEFT(VLOOKUP($B13,'Round 8'!$F$2:$H$361,3,false),1)="b","W",if(LEFT(VLOOKUP($B13,'Round 8'!$F$2:$H$361,3,false),1)="a","L",""))),"")</f>
        <v>W</v>
      </c>
      <c r="L13" s="68" t="str">
        <f>iferror(iferror(if(LEFT(VLOOKUP($B13,'Round 9'!$B$2:$H$361,7,false),1)="A","W",if(LEFT(VLOOKUP($B13,'Round 9'!$B$2:$H$361,7,false),1)="B","L","")),if(LEFT(VLOOKUP($B13,'Round 9'!$F$2:$H$361,3,false),1)="b","W",if(LEFT(VLOOKUP($B13,'Round 9'!$F$2:$H$361,3,false),1)="a","L",""))),"")</f>
        <v>W</v>
      </c>
      <c r="M13" s="68" t="str">
        <f>iferror(iferror(if(LEFT(VLOOKUP($B13,'Round 10'!$B$2:$H$362,7,false),1)="A","W",if(LEFT(VLOOKUP($B13,'Round 10'!$B$2:$H$362,7,false),1)="B","L","")),if(LEFT(VLOOKUP($B13,'Round 10'!$F$2:$H$362,3,false),1)="b","W",if(LEFT(VLOOKUP($B13,'Round 10'!$F$2:$H$362,3,false),1)="a","L",""))),"")</f>
        <v/>
      </c>
      <c r="N13" s="62" t="s">
        <v>107</v>
      </c>
    </row>
    <row r="14">
      <c r="A14" s="63">
        <v>13.0</v>
      </c>
      <c r="B14" s="64" t="s">
        <v>108</v>
      </c>
      <c r="C14" s="65" t="str">
        <f t="shared" si="1"/>
        <v>6 - 3</v>
      </c>
      <c r="D14" s="67" t="str">
        <f>iferror(if(LEFT(VLOOKUP($B14,'Round 1'!$B$2:$H$361,7,false),1)="A","W",if(LEFT(VLOOKUP($B14,'Round 1'!$B$2:$H$361,7,false),1)="B","L","")),if(LEFT(VLOOKUP($B14,'Round 1'!$F$2:$H$361,3,false),1)="b","W",if(LEFT(VLOOKUP($B14,'Round 1'!$F$2:$H$361,3,false),1)="a","L","")))</f>
        <v>W</v>
      </c>
      <c r="E14" s="67" t="str">
        <f>iferror(if(LEFT(VLOOKUP($B14,'Round 2'!$C$2:$J$361,8,false),1)="A","W",if(LEFT(VLOOKUP($B14,'Round 2'!$C$2:$J$361,8,false),1)="B","L","")),if(LEFT(VLOOKUP($B14,'Round 2'!$G$2:$J$361,4,false),1)="b","W",if(LEFT(VLOOKUP($B14,'Round 2'!$G$2:$J$361,4,false),1)="a","L","")))</f>
        <v>W</v>
      </c>
      <c r="F14" s="67" t="str">
        <f>iferror(if(LEFT(VLOOKUP($B14,'Round 3'!$B$2:$H$361,7,false),1)="A","W",if(LEFT(VLOOKUP($B14,'Round 3'!$B$2:$H$361,7,false),1)="B","L","")),if(LEFT(VLOOKUP($B14,'Round 3'!$F$2:$H$361,3,false),1)="b","W",if(LEFT(VLOOKUP($B14,'Round 3'!$F$2:$H$361,3,false),1)="a","L","")))</f>
        <v>W</v>
      </c>
      <c r="G14" s="67" t="str">
        <f>iferror(if(LEFT(VLOOKUP($B14,'Round 4'!$B$2:$H$361,7,false),1)="A","W",if(LEFT(VLOOKUP($B14,'Round 4'!$B$2:$H$361,7,false),1)="B","L","")),if(LEFT(VLOOKUP($B14,'Round 4'!$F$2:$H$361,3,false),1)="b","W",if(LEFT(VLOOKUP($B14,'Round 4'!$F$2:$H$361,3,false),1)="a","L","")))</f>
        <v>W</v>
      </c>
      <c r="H14" s="67" t="str">
        <f>iferror(if(LEFT(VLOOKUP($B14,'Round 5'!$B$2:$H$361,7,false),1)="A","W",if(LEFT(VLOOKUP($B14,'Round 5'!$B$2:$H$361,7,false),1)="B","L","")),if(LEFT(VLOOKUP($B14,'Round 5'!$F$2:$H$361,3,false),1)="b","W",if(LEFT(VLOOKUP($B14,'Round 5'!$F$2:$H$361,3,false),1)="a","L","")))</f>
        <v>L</v>
      </c>
      <c r="I14" s="67" t="str">
        <f>iferror(if(LEFT(VLOOKUP($B14,'Round 6'!$B$2:$H$361,7,false),1)="A","W",if(LEFT(VLOOKUP($B14,'Round 6'!$B$2:$H$361,7,false),1)="B","L","")),if(LEFT(VLOOKUP($B14,'Round 6'!$F$2:$H$361,3,false),1)="b","W",if(LEFT(VLOOKUP($B14,'Round 6'!$F$2:$H$361,3,false),1)="a","L","")))</f>
        <v>W</v>
      </c>
      <c r="J14" s="67" t="str">
        <f>iferror(iferror(if(LEFT(VLOOKUP($B14,'Round 7'!$B$2:$H$361,7,false),1)="A","W",if(LEFT(VLOOKUP($B14,'Round 7'!$B$2:$H$361,7,false),1)="B","L","")),if(LEFT(VLOOKUP($B14,'Round 7'!$F$2:$H$361,3,false),1)="b","W",if(LEFT(VLOOKUP($B14,'Round 7'!$F$2:$H$361,3,false),1)="a","L",""))),"")</f>
        <v>W</v>
      </c>
      <c r="K14" s="68" t="str">
        <f>iferror(iferror(if(LEFT(VLOOKUP($B14,'Round 8'!$B$2:$H$361,7,false),1)="A","W",if(LEFT(VLOOKUP($B14,'Round 8'!$B$2:$H$361,7,false),1)="B","L","")),if(LEFT(VLOOKUP($B14,'Round 8'!$F$2:$H$361,3,false),1)="b","W",if(LEFT(VLOOKUP($B14,'Round 8'!$F$2:$H$361,3,false),1)="a","L",""))),"")</f>
        <v>L</v>
      </c>
      <c r="L14" s="68" t="str">
        <f>iferror(iferror(if(LEFT(VLOOKUP($B14,'Round 9'!$B$2:$H$361,7,false),1)="A","W",if(LEFT(VLOOKUP($B14,'Round 9'!$B$2:$H$361,7,false),1)="B","L","")),if(LEFT(VLOOKUP($B14,'Round 9'!$F$2:$H$361,3,false),1)="b","W",if(LEFT(VLOOKUP($B14,'Round 9'!$F$2:$H$361,3,false),1)="a","L",""))),"")</f>
        <v>L</v>
      </c>
      <c r="M14" s="68" t="str">
        <f>iferror(iferror(if(LEFT(VLOOKUP($B14,'Round 10'!$B$2:$H$362,7,false),1)="A","W",if(LEFT(VLOOKUP($B14,'Round 10'!$B$2:$H$362,7,false),1)="B","L","")),if(LEFT(VLOOKUP($B14,'Round 10'!$F$2:$H$362,3,false),1)="b","W",if(LEFT(VLOOKUP($B14,'Round 10'!$F$2:$H$362,3,false),1)="a","L",""))),"")</f>
        <v/>
      </c>
      <c r="N14" s="62" t="s">
        <v>109</v>
      </c>
    </row>
    <row r="15">
      <c r="A15" s="63">
        <v>14.0</v>
      </c>
      <c r="B15" s="64" t="s">
        <v>110</v>
      </c>
      <c r="C15" s="65" t="str">
        <f t="shared" si="1"/>
        <v>7 - 2</v>
      </c>
      <c r="D15" s="67" t="str">
        <f>iferror(if(LEFT(VLOOKUP($B15,'Round 1'!$B$2:$H$361,7,false),1)="A","W",if(LEFT(VLOOKUP($B15,'Round 1'!$B$2:$H$361,7,false),1)="B","L","")),if(LEFT(VLOOKUP($B15,'Round 1'!$F$2:$H$361,3,false),1)="b","W",if(LEFT(VLOOKUP($B15,'Round 1'!$F$2:$H$361,3,false),1)="a","L","")))</f>
        <v>W</v>
      </c>
      <c r="E15" s="67" t="str">
        <f>iferror(if(LEFT(VLOOKUP($B15,'Round 2'!$C$2:$J$361,8,false),1)="A","W",if(LEFT(VLOOKUP($B15,'Round 2'!$C$2:$J$361,8,false),1)="B","L","")),if(LEFT(VLOOKUP($B15,'Round 2'!$G$2:$J$361,4,false),1)="b","W",if(LEFT(VLOOKUP($B15,'Round 2'!$G$2:$J$361,4,false),1)="a","L","")))</f>
        <v>W</v>
      </c>
      <c r="F15" s="67" t="str">
        <f>iferror(if(LEFT(VLOOKUP($B15,'Round 3'!$B$2:$H$361,7,false),1)="A","W",if(LEFT(VLOOKUP($B15,'Round 3'!$B$2:$H$361,7,false),1)="B","L","")),if(LEFT(VLOOKUP($B15,'Round 3'!$F$2:$H$361,3,false),1)="b","W",if(LEFT(VLOOKUP($B15,'Round 3'!$F$2:$H$361,3,false),1)="a","L","")))</f>
        <v>W</v>
      </c>
      <c r="G15" s="67" t="str">
        <f>iferror(if(LEFT(VLOOKUP($B15,'Round 4'!$B$2:$H$361,7,false),1)="A","W",if(LEFT(VLOOKUP($B15,'Round 4'!$B$2:$H$361,7,false),1)="B","L","")),if(LEFT(VLOOKUP($B15,'Round 4'!$F$2:$H$361,3,false),1)="b","W",if(LEFT(VLOOKUP($B15,'Round 4'!$F$2:$H$361,3,false),1)="a","L","")))</f>
        <v>L</v>
      </c>
      <c r="H15" s="67" t="str">
        <f>iferror(if(LEFT(VLOOKUP($B15,'Round 5'!$B$2:$H$361,7,false),1)="A","W",if(LEFT(VLOOKUP($B15,'Round 5'!$B$2:$H$361,7,false),1)="B","L","")),if(LEFT(VLOOKUP($B15,'Round 5'!$F$2:$H$361,3,false),1)="b","W",if(LEFT(VLOOKUP($B15,'Round 5'!$F$2:$H$361,3,false),1)="a","L","")))</f>
        <v>L</v>
      </c>
      <c r="I15" s="67" t="str">
        <f>iferror(if(LEFT(VLOOKUP($B15,'Round 6'!$B$2:$H$361,7,false),1)="A","W",if(LEFT(VLOOKUP($B15,'Round 6'!$B$2:$H$361,7,false),1)="B","L","")),if(LEFT(VLOOKUP($B15,'Round 6'!$F$2:$H$361,3,false),1)="b","W",if(LEFT(VLOOKUP($B15,'Round 6'!$F$2:$H$361,3,false),1)="a","L","")))</f>
        <v>W</v>
      </c>
      <c r="J15" s="67" t="str">
        <f>iferror(iferror(if(LEFT(VLOOKUP($B15,'Round 7'!$B$2:$H$361,7,false),1)="A","W",if(LEFT(VLOOKUP($B15,'Round 7'!$B$2:$H$361,7,false),1)="B","L","")),if(LEFT(VLOOKUP($B15,'Round 7'!$F$2:$H$361,3,false),1)="b","W",if(LEFT(VLOOKUP($B15,'Round 7'!$F$2:$H$361,3,false),1)="a","L",""))),"")</f>
        <v>W</v>
      </c>
      <c r="K15" s="68" t="str">
        <f>iferror(iferror(if(LEFT(VLOOKUP($B15,'Round 8'!$B$2:$H$361,7,false),1)="A","W",if(LEFT(VLOOKUP($B15,'Round 8'!$B$2:$H$361,7,false),1)="B","L","")),if(LEFT(VLOOKUP($B15,'Round 8'!$F$2:$H$361,3,false),1)="b","W",if(LEFT(VLOOKUP($B15,'Round 8'!$F$2:$H$361,3,false),1)="a","L",""))),"")</f>
        <v>W</v>
      </c>
      <c r="L15" s="68" t="str">
        <f>iferror(iferror(if(LEFT(VLOOKUP($B15,'Round 9'!$B$2:$H$361,7,false),1)="A","W",if(LEFT(VLOOKUP($B15,'Round 9'!$B$2:$H$361,7,false),1)="B","L","")),if(LEFT(VLOOKUP($B15,'Round 9'!$F$2:$H$361,3,false),1)="b","W",if(LEFT(VLOOKUP($B15,'Round 9'!$F$2:$H$361,3,false),1)="a","L",""))),"")</f>
        <v>W</v>
      </c>
      <c r="M15" s="68" t="str">
        <f>iferror(iferror(if(LEFT(VLOOKUP($B15,'Round 10'!$B$2:$H$362,7,false),1)="A","W",if(LEFT(VLOOKUP($B15,'Round 10'!$B$2:$H$362,7,false),1)="B","L","")),if(LEFT(VLOOKUP($B15,'Round 10'!$F$2:$H$362,3,false),1)="b","W",if(LEFT(VLOOKUP($B15,'Round 10'!$F$2:$H$362,3,false),1)="a","L",""))),"")</f>
        <v/>
      </c>
      <c r="N15" s="62" t="s">
        <v>111</v>
      </c>
    </row>
    <row r="16">
      <c r="A16" s="63">
        <v>15.0</v>
      </c>
      <c r="B16" s="64" t="s">
        <v>112</v>
      </c>
      <c r="C16" s="65" t="str">
        <f t="shared" si="1"/>
        <v>5 - 3</v>
      </c>
      <c r="D16" s="67" t="str">
        <f>iferror(if(LEFT(VLOOKUP($B16,'Round 1'!$B$2:$H$361,7,false),1)="A","W",if(LEFT(VLOOKUP($B16,'Round 1'!$B$2:$H$361,7,false),1)="B","L","")),if(LEFT(VLOOKUP($B16,'Round 1'!$F$2:$H$361,3,false),1)="b","W",if(LEFT(VLOOKUP($B16,'Round 1'!$F$2:$H$361,3,false),1)="a","L","")))</f>
        <v>W</v>
      </c>
      <c r="E16" s="67" t="str">
        <f>iferror(if(LEFT(VLOOKUP($B16,'Round 2'!$C$2:$J$361,8,false),1)="A","W",if(LEFT(VLOOKUP($B16,'Round 2'!$C$2:$J$361,8,false),1)="B","L","")),if(LEFT(VLOOKUP($B16,'Round 2'!$G$2:$J$361,4,false),1)="b","W",if(LEFT(VLOOKUP($B16,'Round 2'!$G$2:$J$361,4,false),1)="a","L","")))</f>
        <v>W</v>
      </c>
      <c r="F16" s="67" t="str">
        <f>iferror(if(LEFT(VLOOKUP($B16,'Round 3'!$B$2:$H$361,7,false),1)="A","W",if(LEFT(VLOOKUP($B16,'Round 3'!$B$2:$H$361,7,false),1)="B","L","")),if(LEFT(VLOOKUP($B16,'Round 3'!$F$2:$H$361,3,false),1)="b","W",if(LEFT(VLOOKUP($B16,'Round 3'!$F$2:$H$361,3,false),1)="a","L","")))</f>
        <v>W</v>
      </c>
      <c r="G16" s="67" t="str">
        <f>iferror(if(LEFT(VLOOKUP($B16,'Round 4'!$B$2:$H$361,7,false),1)="A","W",if(LEFT(VLOOKUP($B16,'Round 4'!$B$2:$H$361,7,false),1)="B","L","")),if(LEFT(VLOOKUP($B16,'Round 4'!$F$2:$H$361,3,false),1)="b","W",if(LEFT(VLOOKUP($B16,'Round 4'!$F$2:$H$361,3,false),1)="a","L","")))</f>
        <v>W</v>
      </c>
      <c r="H16" s="67" t="str">
        <f>iferror(if(LEFT(VLOOKUP($B16,'Round 5'!$B$2:$H$361,7,false),1)="A","W",if(LEFT(VLOOKUP($B16,'Round 5'!$B$2:$H$361,7,false),1)="B","L","")),if(LEFT(VLOOKUP($B16,'Round 5'!$F$2:$H$361,3,false),1)="b","W",if(LEFT(VLOOKUP($B16,'Round 5'!$F$2:$H$361,3,false),1)="a","L","")))</f>
        <v>L</v>
      </c>
      <c r="I16" s="67" t="str">
        <f>iferror(if(LEFT(VLOOKUP($B16,'Round 6'!$B$2:$H$361,7,false),1)="A","W",if(LEFT(VLOOKUP($B16,'Round 6'!$B$2:$H$361,7,false),1)="B","L","")),if(LEFT(VLOOKUP($B16,'Round 6'!$F$2:$H$361,3,false),1)="b","W",if(LEFT(VLOOKUP($B16,'Round 6'!$F$2:$H$361,3,false),1)="a","L","")))</f>
        <v>W</v>
      </c>
      <c r="J16" s="67" t="str">
        <f>iferror(iferror(if(LEFT(VLOOKUP($B16,'Round 7'!$B$2:$H$361,7,false),1)="A","W",if(LEFT(VLOOKUP($B16,'Round 7'!$B$2:$H$361,7,false),1)="B","L","")),if(LEFT(VLOOKUP($B16,'Round 7'!$F$2:$H$361,3,false),1)="b","W",if(LEFT(VLOOKUP($B16,'Round 7'!$F$2:$H$361,3,false),1)="a","L",""))),"")</f>
        <v>L</v>
      </c>
      <c r="K16" s="68" t="str">
        <f>iferror(iferror(if(LEFT(VLOOKUP($B16,'Round 8'!$B$2:$H$361,7,false),1)="A","W",if(LEFT(VLOOKUP($B16,'Round 8'!$B$2:$H$361,7,false),1)="B","L","")),if(LEFT(VLOOKUP($B16,'Round 8'!$F$2:$H$361,3,false),1)="b","W",if(LEFT(VLOOKUP($B16,'Round 8'!$F$2:$H$361,3,false),1)="a","L",""))),"")</f>
        <v>L</v>
      </c>
      <c r="L16" s="68" t="str">
        <f>iferror(iferror(if(LEFT(VLOOKUP($B16,'Round 9'!$B$2:$H$361,7,false),1)="A","W",if(LEFT(VLOOKUP($B16,'Round 9'!$B$2:$H$361,7,false),1)="B","L","")),if(LEFT(VLOOKUP($B16,'Round 9'!$F$2:$H$361,3,false),1)="b","W",if(LEFT(VLOOKUP($B16,'Round 9'!$F$2:$H$361,3,false),1)="a","L",""))),"")</f>
        <v/>
      </c>
      <c r="M16" s="68" t="str">
        <f>iferror(iferror(if(LEFT(VLOOKUP($B16,'Round 10'!$B$2:$H$362,7,false),1)="A","W",if(LEFT(VLOOKUP($B16,'Round 10'!$B$2:$H$362,7,false),1)="B","L","")),if(LEFT(VLOOKUP($B16,'Round 10'!$F$2:$H$362,3,false),1)="b","W",if(LEFT(VLOOKUP($B16,'Round 10'!$F$2:$H$362,3,false),1)="a","L",""))),"")</f>
        <v/>
      </c>
      <c r="N16" s="62" t="s">
        <v>113</v>
      </c>
    </row>
    <row r="17">
      <c r="A17" s="63">
        <v>16.0</v>
      </c>
      <c r="B17" s="64" t="s">
        <v>114</v>
      </c>
      <c r="C17" s="65" t="str">
        <f t="shared" si="1"/>
        <v>8 - 1</v>
      </c>
      <c r="D17" s="67" t="str">
        <f>iferror(if(LEFT(VLOOKUP($B17,'Round 1'!$B$2:$H$361,7,false),1)="A","W",if(LEFT(VLOOKUP($B17,'Round 1'!$B$2:$H$361,7,false),1)="B","L","")),if(LEFT(VLOOKUP($B17,'Round 1'!$F$2:$H$361,3,false),1)="b","W",if(LEFT(VLOOKUP($B17,'Round 1'!$F$2:$H$361,3,false),1)="a","L","")))</f>
        <v>W</v>
      </c>
      <c r="E17" s="67" t="str">
        <f>iferror(if(LEFT(VLOOKUP($B17,'Round 2'!$C$2:$J$361,8,false),1)="A","W",if(LEFT(VLOOKUP($B17,'Round 2'!$C$2:$J$361,8,false),1)="B","L","")),if(LEFT(VLOOKUP($B17,'Round 2'!$G$2:$J$361,4,false),1)="b","W",if(LEFT(VLOOKUP($B17,'Round 2'!$G$2:$J$361,4,false),1)="a","L","")))</f>
        <v>W</v>
      </c>
      <c r="F17" s="67" t="str">
        <f>iferror(if(LEFT(VLOOKUP($B17,'Round 3'!$B$2:$H$361,7,false),1)="A","W",if(LEFT(VLOOKUP($B17,'Round 3'!$B$2:$H$361,7,false),1)="B","L","")),if(LEFT(VLOOKUP($B17,'Round 3'!$F$2:$H$361,3,false),1)="b","W",if(LEFT(VLOOKUP($B17,'Round 3'!$F$2:$H$361,3,false),1)="a","L","")))</f>
        <v>W</v>
      </c>
      <c r="G17" s="67" t="str">
        <f>iferror(if(LEFT(VLOOKUP($B17,'Round 4'!$B$2:$H$361,7,false),1)="A","W",if(LEFT(VLOOKUP($B17,'Round 4'!$B$2:$H$361,7,false),1)="B","L","")),if(LEFT(VLOOKUP($B17,'Round 4'!$F$2:$H$361,3,false),1)="b","W",if(LEFT(VLOOKUP($B17,'Round 4'!$F$2:$H$361,3,false),1)="a","L","")))</f>
        <v>W</v>
      </c>
      <c r="H17" s="67" t="str">
        <f>iferror(if(LEFT(VLOOKUP($B17,'Round 5'!$B$2:$H$361,7,false),1)="A","W",if(LEFT(VLOOKUP($B17,'Round 5'!$B$2:$H$361,7,false),1)="B","L","")),if(LEFT(VLOOKUP($B17,'Round 5'!$F$2:$H$361,3,false),1)="b","W",if(LEFT(VLOOKUP($B17,'Round 5'!$F$2:$H$361,3,false),1)="a","L","")))</f>
        <v>W</v>
      </c>
      <c r="I17" s="67" t="str">
        <f>iferror(if(LEFT(VLOOKUP($B17,'Round 6'!$B$2:$H$361,7,false),1)="A","W",if(LEFT(VLOOKUP($B17,'Round 6'!$B$2:$H$361,7,false),1)="B","L","")),if(LEFT(VLOOKUP($B17,'Round 6'!$F$2:$H$361,3,false),1)="b","W",if(LEFT(VLOOKUP($B17,'Round 6'!$F$2:$H$361,3,false),1)="a","L","")))</f>
        <v>W</v>
      </c>
      <c r="J17" s="67" t="str">
        <f>iferror(iferror(if(LEFT(VLOOKUP($B17,'Round 7'!$B$2:$H$361,7,false),1)="A","W",if(LEFT(VLOOKUP($B17,'Round 7'!$B$2:$H$361,7,false),1)="B","L","")),if(LEFT(VLOOKUP($B17,'Round 7'!$F$2:$H$361,3,false),1)="b","W",if(LEFT(VLOOKUP($B17,'Round 7'!$F$2:$H$361,3,false),1)="a","L",""))),"")</f>
        <v>W</v>
      </c>
      <c r="K17" s="68" t="str">
        <f>iferror(iferror(if(LEFT(VLOOKUP($B17,'Round 8'!$B$2:$H$361,7,false),1)="A","W",if(LEFT(VLOOKUP($B17,'Round 8'!$B$2:$H$361,7,false),1)="B","L","")),if(LEFT(VLOOKUP($B17,'Round 8'!$F$2:$H$361,3,false),1)="b","W",if(LEFT(VLOOKUP($B17,'Round 8'!$F$2:$H$361,3,false),1)="a","L",""))),"")</f>
        <v>L</v>
      </c>
      <c r="L17" s="68" t="str">
        <f>iferror(iferror(if(LEFT(VLOOKUP($B17,'Round 9'!$B$2:$H$361,7,false),1)="A","W",if(LEFT(VLOOKUP($B17,'Round 9'!$B$2:$H$361,7,false),1)="B","L","")),if(LEFT(VLOOKUP($B17,'Round 9'!$F$2:$H$361,3,false),1)="b","W",if(LEFT(VLOOKUP($B17,'Round 9'!$F$2:$H$361,3,false),1)="a","L",""))),"")</f>
        <v>W</v>
      </c>
      <c r="M17" s="68" t="str">
        <f>iferror(iferror(if(LEFT(VLOOKUP($B17,'Round 10'!$B$2:$H$362,7,false),1)="A","W",if(LEFT(VLOOKUP($B17,'Round 10'!$B$2:$H$362,7,false),1)="B","L","")),if(LEFT(VLOOKUP($B17,'Round 10'!$F$2:$H$362,3,false),1)="b","W",if(LEFT(VLOOKUP($B17,'Round 10'!$F$2:$H$362,3,false),1)="a","L",""))),"")</f>
        <v/>
      </c>
      <c r="N17" s="62" t="s">
        <v>115</v>
      </c>
    </row>
    <row r="18">
      <c r="A18" s="63">
        <v>17.0</v>
      </c>
      <c r="B18" s="64" t="s">
        <v>116</v>
      </c>
      <c r="C18" s="65" t="str">
        <f t="shared" si="1"/>
        <v>2 - 3</v>
      </c>
      <c r="D18" s="67" t="str">
        <f>iferror(if(LEFT(VLOOKUP($B18,'Round 1'!$B$2:$H$361,7,false),1)="A","W",if(LEFT(VLOOKUP($B18,'Round 1'!$B$2:$H$361,7,false),1)="B","L","")),if(LEFT(VLOOKUP($B18,'Round 1'!$F$2:$H$361,3,false),1)="b","W",if(LEFT(VLOOKUP($B18,'Round 1'!$F$2:$H$361,3,false),1)="a","L","")))</f>
        <v>W</v>
      </c>
      <c r="E18" s="67" t="str">
        <f>iferror(if(LEFT(VLOOKUP($B18,'Round 2'!$C$2:$J$361,8,false),1)="A","W",if(LEFT(VLOOKUP($B18,'Round 2'!$C$2:$J$361,8,false),1)="B","L","")),if(LEFT(VLOOKUP($B18,'Round 2'!$G$2:$J$361,4,false),1)="b","W",if(LEFT(VLOOKUP($B18,'Round 2'!$G$2:$J$361,4,false),1)="a","L","")))</f>
        <v>W</v>
      </c>
      <c r="F18" s="67" t="str">
        <f>iferror(if(LEFT(VLOOKUP($B18,'Round 3'!$B$2:$H$361,7,false),1)="A","W",if(LEFT(VLOOKUP($B18,'Round 3'!$B$2:$H$361,7,false),1)="B","L","")),if(LEFT(VLOOKUP($B18,'Round 3'!$F$2:$H$361,3,false),1)="b","W",if(LEFT(VLOOKUP($B18,'Round 3'!$F$2:$H$361,3,false),1)="a","L","")))</f>
        <v>L</v>
      </c>
      <c r="G18" s="67" t="str">
        <f>iferror(if(LEFT(VLOOKUP($B18,'Round 4'!$B$2:$H$361,7,false),1)="A","W",if(LEFT(VLOOKUP($B18,'Round 4'!$B$2:$H$361,7,false),1)="B","L","")),if(LEFT(VLOOKUP($B18,'Round 4'!$F$2:$H$361,3,false),1)="b","W",if(LEFT(VLOOKUP($B18,'Round 4'!$F$2:$H$361,3,false),1)="a","L","")))</f>
        <v>L</v>
      </c>
      <c r="H18" s="67" t="str">
        <f>iferror(if(LEFT(VLOOKUP($B18,'Round 5'!$B$2:$H$361,7,false),1)="A","W",if(LEFT(VLOOKUP($B18,'Round 5'!$B$2:$H$361,7,false),1)="B","L","")),if(LEFT(VLOOKUP($B18,'Round 5'!$F$2:$H$361,3,false),1)="b","W",if(LEFT(VLOOKUP($B18,'Round 5'!$F$2:$H$361,3,false),1)="a","L","")))</f>
        <v>L</v>
      </c>
      <c r="I18" s="67"/>
      <c r="J18" s="67" t="str">
        <f>iferror(iferror(if(LEFT(VLOOKUP($B18,'Round 7'!$B$2:$H$361,7,false),1)="A","W",if(LEFT(VLOOKUP($B18,'Round 7'!$B$2:$H$361,7,false),1)="B","L","")),if(LEFT(VLOOKUP($B18,'Round 7'!$F$2:$H$361,3,false),1)="b","W",if(LEFT(VLOOKUP($B18,'Round 7'!$F$2:$H$361,3,false),1)="a","L",""))),"")</f>
        <v/>
      </c>
      <c r="K18" s="68" t="str">
        <f>iferror(iferror(if(LEFT(VLOOKUP($B18,'Round 8'!$B$2:$H$361,7,false),1)="A","W",if(LEFT(VLOOKUP($B18,'Round 8'!$B$2:$H$361,7,false),1)="B","L","")),if(LEFT(VLOOKUP($B18,'Round 8'!$F$2:$H$361,3,false),1)="b","W",if(LEFT(VLOOKUP($B18,'Round 8'!$F$2:$H$361,3,false),1)="a","L",""))),"")</f>
        <v/>
      </c>
      <c r="L18" s="68" t="str">
        <f>iferror(iferror(if(LEFT(VLOOKUP($B18,'Round 9'!$B$2:$H$361,7,false),1)="A","W",if(LEFT(VLOOKUP($B18,'Round 9'!$B$2:$H$361,7,false),1)="B","L","")),if(LEFT(VLOOKUP($B18,'Round 9'!$F$2:$H$361,3,false),1)="b","W",if(LEFT(VLOOKUP($B18,'Round 9'!$F$2:$H$361,3,false),1)="a","L",""))),"")</f>
        <v/>
      </c>
      <c r="M18" s="68" t="str">
        <f>iferror(iferror(if(LEFT(VLOOKUP($B18,'Round 10'!$B$2:$H$362,7,false),1)="A","W",if(LEFT(VLOOKUP($B18,'Round 10'!$B$2:$H$362,7,false),1)="B","L","")),if(LEFT(VLOOKUP($B18,'Round 10'!$F$2:$H$362,3,false),1)="b","W",if(LEFT(VLOOKUP($B18,'Round 10'!$F$2:$H$362,3,false),1)="a","L",""))),"")</f>
        <v/>
      </c>
      <c r="N18" s="62" t="s">
        <v>117</v>
      </c>
    </row>
    <row r="19">
      <c r="A19" s="63">
        <v>18.0</v>
      </c>
      <c r="B19" s="64" t="s">
        <v>118</v>
      </c>
      <c r="C19" s="65" t="str">
        <f t="shared" si="1"/>
        <v>7 - 2</v>
      </c>
      <c r="D19" s="67" t="str">
        <f>iferror(if(LEFT(VLOOKUP($B19,'Round 1'!$B$2:$H$361,7,false),1)="A","W",if(LEFT(VLOOKUP($B19,'Round 1'!$B$2:$H$361,7,false),1)="B","L","")),if(LEFT(VLOOKUP($B19,'Round 1'!$F$2:$H$361,3,false),1)="b","W",if(LEFT(VLOOKUP($B19,'Round 1'!$F$2:$H$361,3,false),1)="a","L","")))</f>
        <v>W</v>
      </c>
      <c r="E19" s="67" t="str">
        <f>iferror(if(LEFT(VLOOKUP($B19,'Round 2'!$C$2:$J$361,8,false),1)="A","W",if(LEFT(VLOOKUP($B19,'Round 2'!$C$2:$J$361,8,false),1)="B","L","")),if(LEFT(VLOOKUP($B19,'Round 2'!$G$2:$J$361,4,false),1)="b","W",if(LEFT(VLOOKUP($B19,'Round 2'!$G$2:$J$361,4,false),1)="a","L","")))</f>
        <v>W</v>
      </c>
      <c r="F19" s="67" t="str">
        <f>iferror(if(LEFT(VLOOKUP($B19,'Round 3'!$B$2:$H$361,7,false),1)="A","W",if(LEFT(VLOOKUP($B19,'Round 3'!$B$2:$H$361,7,false),1)="B","L","")),if(LEFT(VLOOKUP($B19,'Round 3'!$F$2:$H$361,3,false),1)="b","W",if(LEFT(VLOOKUP($B19,'Round 3'!$F$2:$H$361,3,false),1)="a","L","")))</f>
        <v>W</v>
      </c>
      <c r="G19" s="67" t="str">
        <f>iferror(if(LEFT(VLOOKUP($B19,'Round 4'!$B$2:$H$361,7,false),1)="A","W",if(LEFT(VLOOKUP($B19,'Round 4'!$B$2:$H$361,7,false),1)="B","L","")),if(LEFT(VLOOKUP($B19,'Round 4'!$F$2:$H$361,3,false),1)="b","W",if(LEFT(VLOOKUP($B19,'Round 4'!$F$2:$H$361,3,false),1)="a","L","")))</f>
        <v>W</v>
      </c>
      <c r="H19" s="67" t="str">
        <f>iferror(if(LEFT(VLOOKUP($B19,'Round 5'!$B$2:$H$361,7,false),1)="A","W",if(LEFT(VLOOKUP($B19,'Round 5'!$B$2:$H$361,7,false),1)="B","L","")),if(LEFT(VLOOKUP($B19,'Round 5'!$F$2:$H$361,3,false),1)="b","W",if(LEFT(VLOOKUP($B19,'Round 5'!$F$2:$H$361,3,false),1)="a","L","")))</f>
        <v>W</v>
      </c>
      <c r="I19" s="67" t="str">
        <f>iferror(if(LEFT(VLOOKUP($B19,'Round 6'!$B$2:$H$361,7,false),1)="A","W",if(LEFT(VLOOKUP($B19,'Round 6'!$B$2:$H$361,7,false),1)="B","L","")),if(LEFT(VLOOKUP($B19,'Round 6'!$F$2:$H$361,3,false),1)="b","W",if(LEFT(VLOOKUP($B19,'Round 6'!$F$2:$H$361,3,false),1)="a","L","")))</f>
        <v>W</v>
      </c>
      <c r="J19" s="67" t="str">
        <f>iferror(iferror(if(LEFT(VLOOKUP($B19,'Round 7'!$B$2:$H$361,7,false),1)="A","W",if(LEFT(VLOOKUP($B19,'Round 7'!$B$2:$H$361,7,false),1)="B","L","")),if(LEFT(VLOOKUP($B19,'Round 7'!$F$2:$H$361,3,false),1)="b","W",if(LEFT(VLOOKUP($B19,'Round 7'!$F$2:$H$361,3,false),1)="a","L",""))),"")</f>
        <v>L</v>
      </c>
      <c r="K19" s="68" t="str">
        <f>iferror(iferror(if(LEFT(VLOOKUP($B19,'Round 8'!$B$2:$H$361,7,false),1)="A","W",if(LEFT(VLOOKUP($B19,'Round 8'!$B$2:$H$361,7,false),1)="B","L","")),if(LEFT(VLOOKUP($B19,'Round 8'!$F$2:$H$361,3,false),1)="b","W",if(LEFT(VLOOKUP($B19,'Round 8'!$F$2:$H$361,3,false),1)="a","L",""))),"")</f>
        <v>W</v>
      </c>
      <c r="L19" s="68" t="str">
        <f>iferror(iferror(if(LEFT(VLOOKUP($B19,'Round 9'!$B$2:$H$361,7,false),1)="A","W",if(LEFT(VLOOKUP($B19,'Round 9'!$B$2:$H$361,7,false),1)="B","L","")),if(LEFT(VLOOKUP($B19,'Round 9'!$F$2:$H$361,3,false),1)="b","W",if(LEFT(VLOOKUP($B19,'Round 9'!$F$2:$H$361,3,false),1)="a","L",""))),"")</f>
        <v>L</v>
      </c>
      <c r="M19" s="68" t="str">
        <f>iferror(iferror(if(LEFT(VLOOKUP($B19,'Round 10'!$B$2:$H$362,7,false),1)="A","W",if(LEFT(VLOOKUP($B19,'Round 10'!$B$2:$H$362,7,false),1)="B","L","")),if(LEFT(VLOOKUP($B19,'Round 10'!$F$2:$H$362,3,false),1)="b","W",if(LEFT(VLOOKUP($B19,'Round 10'!$F$2:$H$362,3,false),1)="a","L",""))),"")</f>
        <v/>
      </c>
      <c r="N19" s="62" t="s">
        <v>119</v>
      </c>
    </row>
    <row r="20">
      <c r="A20" s="63">
        <v>19.0</v>
      </c>
      <c r="B20" s="64" t="s">
        <v>120</v>
      </c>
      <c r="C20" s="65" t="str">
        <f t="shared" si="1"/>
        <v>7 - 2</v>
      </c>
      <c r="D20" s="67" t="str">
        <f>iferror(if(LEFT(VLOOKUP($B20,'Round 1'!$B$2:$H$361,7,false),1)="A","W",if(LEFT(VLOOKUP($B20,'Round 1'!$B$2:$H$361,7,false),1)="B","L","")),if(LEFT(VLOOKUP($B20,'Round 1'!$F$2:$H$361,3,false),1)="b","W",if(LEFT(VLOOKUP($B20,'Round 1'!$F$2:$H$361,3,false),1)="a","L","")))</f>
        <v>W</v>
      </c>
      <c r="E20" s="67" t="str">
        <f>iferror(if(LEFT(VLOOKUP($B20,'Round 2'!$C$2:$J$361,8,false),1)="A","W",if(LEFT(VLOOKUP($B20,'Round 2'!$C$2:$J$361,8,false),1)="B","L","")),if(LEFT(VLOOKUP($B20,'Round 2'!$G$2:$J$361,4,false),1)="b","W",if(LEFT(VLOOKUP($B20,'Round 2'!$G$2:$J$361,4,false),1)="a","L","")))</f>
        <v>L</v>
      </c>
      <c r="F20" s="67" t="str">
        <f>iferror(if(LEFT(VLOOKUP($B20,'Round 3'!$B$2:$H$361,7,false),1)="A","W",if(LEFT(VLOOKUP($B20,'Round 3'!$B$2:$H$361,7,false),1)="B","L","")),if(LEFT(VLOOKUP($B20,'Round 3'!$F$2:$H$361,3,false),1)="b","W",if(LEFT(VLOOKUP($B20,'Round 3'!$F$2:$H$361,3,false),1)="a","L","")))</f>
        <v>W</v>
      </c>
      <c r="G20" s="67" t="str">
        <f>iferror(if(LEFT(VLOOKUP($B20,'Round 4'!$B$2:$H$361,7,false),1)="A","W",if(LEFT(VLOOKUP($B20,'Round 4'!$B$2:$H$361,7,false),1)="B","L","")),if(LEFT(VLOOKUP($B20,'Round 4'!$F$2:$H$361,3,false),1)="b","W",if(LEFT(VLOOKUP($B20,'Round 4'!$F$2:$H$361,3,false),1)="a","L","")))</f>
        <v>W</v>
      </c>
      <c r="H20" s="67" t="str">
        <f>iferror(if(LEFT(VLOOKUP($B20,'Round 5'!$B$2:$H$361,7,false),1)="A","W",if(LEFT(VLOOKUP($B20,'Round 5'!$B$2:$H$361,7,false),1)="B","L","")),if(LEFT(VLOOKUP($B20,'Round 5'!$F$2:$H$361,3,false),1)="b","W",if(LEFT(VLOOKUP($B20,'Round 5'!$F$2:$H$361,3,false),1)="a","L","")))</f>
        <v>L</v>
      </c>
      <c r="I20" s="67" t="str">
        <f>iferror(if(LEFT(VLOOKUP($B20,'Round 6'!$B$2:$H$361,7,false),1)="A","W",if(LEFT(VLOOKUP($B20,'Round 6'!$B$2:$H$361,7,false),1)="B","L","")),if(LEFT(VLOOKUP($B20,'Round 6'!$F$2:$H$361,3,false),1)="b","W",if(LEFT(VLOOKUP($B20,'Round 6'!$F$2:$H$361,3,false),1)="a","L","")))</f>
        <v>W</v>
      </c>
      <c r="J20" s="67" t="str">
        <f>iferror(iferror(if(LEFT(VLOOKUP($B20,'Round 7'!$B$2:$H$361,7,false),1)="A","W",if(LEFT(VLOOKUP($B20,'Round 7'!$B$2:$H$361,7,false),1)="B","L","")),if(LEFT(VLOOKUP($B20,'Round 7'!$F$2:$H$361,3,false),1)="b","W",if(LEFT(VLOOKUP($B20,'Round 7'!$F$2:$H$361,3,false),1)="a","L",""))),"")</f>
        <v>W</v>
      </c>
      <c r="K20" s="68" t="str">
        <f>iferror(iferror(if(LEFT(VLOOKUP($B20,'Round 8'!$B$2:$H$361,7,false),1)="A","W",if(LEFT(VLOOKUP($B20,'Round 8'!$B$2:$H$361,7,false),1)="B","L","")),if(LEFT(VLOOKUP($B20,'Round 8'!$F$2:$H$361,3,false),1)="b","W",if(LEFT(VLOOKUP($B20,'Round 8'!$F$2:$H$361,3,false),1)="a","L",""))),"")</f>
        <v>W</v>
      </c>
      <c r="L20" s="68" t="str">
        <f>iferror(iferror(if(LEFT(VLOOKUP($B20,'Round 9'!$B$2:$H$361,7,false),1)="A","W",if(LEFT(VLOOKUP($B20,'Round 9'!$B$2:$H$361,7,false),1)="B","L","")),if(LEFT(VLOOKUP($B20,'Round 9'!$F$2:$H$361,3,false),1)="b","W",if(LEFT(VLOOKUP($B20,'Round 9'!$F$2:$H$361,3,false),1)="a","L",""))),"")</f>
        <v>W</v>
      </c>
      <c r="M20" s="68" t="str">
        <f>iferror(iferror(if(LEFT(VLOOKUP($B20,'Round 10'!$B$2:$H$362,7,false),1)="A","W",if(LEFT(VLOOKUP($B20,'Round 10'!$B$2:$H$362,7,false),1)="B","L","")),if(LEFT(VLOOKUP($B20,'Round 10'!$F$2:$H$362,3,false),1)="b","W",if(LEFT(VLOOKUP($B20,'Round 10'!$F$2:$H$362,3,false),1)="a","L",""))),"")</f>
        <v/>
      </c>
      <c r="N20" s="62" t="s">
        <v>121</v>
      </c>
    </row>
    <row r="21">
      <c r="A21" s="63">
        <v>20.0</v>
      </c>
      <c r="B21" s="64" t="s">
        <v>122</v>
      </c>
      <c r="C21" s="65" t="str">
        <f t="shared" si="1"/>
        <v>5 - 3</v>
      </c>
      <c r="D21" s="67" t="str">
        <f>iferror(if(LEFT(VLOOKUP($B21,'Round 1'!$B$2:$H$361,7,false),1)="A","W",if(LEFT(VLOOKUP($B21,'Round 1'!$B$2:$H$361,7,false),1)="B","L","")),if(LEFT(VLOOKUP($B21,'Round 1'!$F$2:$H$361,3,false),1)="b","W",if(LEFT(VLOOKUP($B21,'Round 1'!$F$2:$H$361,3,false),1)="a","L","")))</f>
        <v>L</v>
      </c>
      <c r="E21" s="67" t="str">
        <f>iferror(if(LEFT(VLOOKUP($B21,'Round 2'!$C$2:$J$361,8,false),1)="A","W",if(LEFT(VLOOKUP($B21,'Round 2'!$C$2:$J$361,8,false),1)="B","L","")),if(LEFT(VLOOKUP($B21,'Round 2'!$G$2:$J$361,4,false),1)="b","W",if(LEFT(VLOOKUP($B21,'Round 2'!$G$2:$J$361,4,false),1)="a","L","")))</f>
        <v>W</v>
      </c>
      <c r="F21" s="67" t="str">
        <f>iferror(if(LEFT(VLOOKUP($B21,'Round 3'!$B$2:$H$361,7,false),1)="A","W",if(LEFT(VLOOKUP($B21,'Round 3'!$B$2:$H$361,7,false),1)="B","L","")),if(LEFT(VLOOKUP($B21,'Round 3'!$F$2:$H$361,3,false),1)="b","W",if(LEFT(VLOOKUP($B21,'Round 3'!$F$2:$H$361,3,false),1)="a","L","")))</f>
        <v>W</v>
      </c>
      <c r="G21" s="67" t="str">
        <f>iferror(if(LEFT(VLOOKUP($B21,'Round 4'!$B$2:$H$361,7,false),1)="A","W",if(LEFT(VLOOKUP($B21,'Round 4'!$B$2:$H$361,7,false),1)="B","L","")),if(LEFT(VLOOKUP($B21,'Round 4'!$F$2:$H$361,3,false),1)="b","W",if(LEFT(VLOOKUP($B21,'Round 4'!$F$2:$H$361,3,false),1)="a","L","")))</f>
        <v>W</v>
      </c>
      <c r="H21" s="67" t="str">
        <f>iferror(if(LEFT(VLOOKUP($B21,'Round 5'!$B$2:$H$361,7,false),1)="A","W",if(LEFT(VLOOKUP($B21,'Round 5'!$B$2:$H$361,7,false),1)="B","L","")),if(LEFT(VLOOKUP($B21,'Round 5'!$F$2:$H$361,3,false),1)="b","W",if(LEFT(VLOOKUP($B21,'Round 5'!$F$2:$H$361,3,false),1)="a","L","")))</f>
        <v>W</v>
      </c>
      <c r="I21" s="67" t="str">
        <f>iferror(if(LEFT(VLOOKUP($B21,'Round 6'!$B$2:$H$361,7,false),1)="A","W",if(LEFT(VLOOKUP($B21,'Round 6'!$B$2:$H$361,7,false),1)="B","L","")),if(LEFT(VLOOKUP($B21,'Round 6'!$F$2:$H$361,3,false),1)="b","W",if(LEFT(VLOOKUP($B21,'Round 6'!$F$2:$H$361,3,false),1)="a","L","")))</f>
        <v>L</v>
      </c>
      <c r="J21" s="67" t="str">
        <f>iferror(iferror(if(LEFT(VLOOKUP($B21,'Round 7'!$B$2:$H$361,7,false),1)="A","W",if(LEFT(VLOOKUP($B21,'Round 7'!$B$2:$H$361,7,false),1)="B","L","")),if(LEFT(VLOOKUP($B21,'Round 7'!$F$2:$H$361,3,false),1)="b","W",if(LEFT(VLOOKUP($B21,'Round 7'!$F$2:$H$361,3,false),1)="a","L",""))),"")</f>
        <v>W</v>
      </c>
      <c r="K21" s="68" t="str">
        <f>iferror(iferror(if(LEFT(VLOOKUP($B21,'Round 8'!$B$2:$H$361,7,false),1)="A","W",if(LEFT(VLOOKUP($B21,'Round 8'!$B$2:$H$361,7,false),1)="B","L","")),if(LEFT(VLOOKUP($B21,'Round 8'!$F$2:$H$361,3,false),1)="b","W",if(LEFT(VLOOKUP($B21,'Round 8'!$F$2:$H$361,3,false),1)="a","L",""))),"")</f>
        <v>L</v>
      </c>
      <c r="L21" s="68" t="str">
        <f>iferror(iferror(if(LEFT(VLOOKUP($B21,'Round 9'!$B$2:$H$361,7,false),1)="A","W",if(LEFT(VLOOKUP($B21,'Round 9'!$B$2:$H$361,7,false),1)="B","L","")),if(LEFT(VLOOKUP($B21,'Round 9'!$F$2:$H$361,3,false),1)="b","W",if(LEFT(VLOOKUP($B21,'Round 9'!$F$2:$H$361,3,false),1)="a","L",""))),"")</f>
        <v/>
      </c>
      <c r="M21" s="68" t="str">
        <f>iferror(iferror(if(LEFT(VLOOKUP($B21,'Round 10'!$B$2:$H$362,7,false),1)="A","W",if(LEFT(VLOOKUP($B21,'Round 10'!$B$2:$H$362,7,false),1)="B","L","")),if(LEFT(VLOOKUP($B21,'Round 10'!$F$2:$H$362,3,false),1)="b","W",if(LEFT(VLOOKUP($B21,'Round 10'!$F$2:$H$362,3,false),1)="a","L",""))),"")</f>
        <v/>
      </c>
      <c r="N21" s="62" t="s">
        <v>123</v>
      </c>
    </row>
    <row r="22">
      <c r="A22" s="63">
        <v>21.0</v>
      </c>
      <c r="B22" s="64" t="s">
        <v>124</v>
      </c>
      <c r="C22" s="65" t="str">
        <f t="shared" si="1"/>
        <v>7 - 2</v>
      </c>
      <c r="D22" s="67" t="str">
        <f>iferror(if(LEFT(VLOOKUP($B22,'Round 1'!$B$2:$H$361,7,false),1)="A","W",if(LEFT(VLOOKUP($B22,'Round 1'!$B$2:$H$361,7,false),1)="B","L","")),if(LEFT(VLOOKUP($B22,'Round 1'!$F$2:$H$361,3,false),1)="b","W",if(LEFT(VLOOKUP($B22,'Round 1'!$F$2:$H$361,3,false),1)="a","L","")))</f>
        <v>L</v>
      </c>
      <c r="E22" s="67" t="str">
        <f>iferror(if(LEFT(VLOOKUP($B22,'Round 2'!$C$2:$J$361,8,false),1)="A","W",if(LEFT(VLOOKUP($B22,'Round 2'!$C$2:$J$361,8,false),1)="B","L","")),if(LEFT(VLOOKUP($B22,'Round 2'!$G$2:$J$361,4,false),1)="b","W",if(LEFT(VLOOKUP($B22,'Round 2'!$G$2:$J$361,4,false),1)="a","L","")))</f>
        <v>W</v>
      </c>
      <c r="F22" s="67" t="str">
        <f>iferror(if(LEFT(VLOOKUP($B22,'Round 3'!$B$2:$H$361,7,false),1)="A","W",if(LEFT(VLOOKUP($B22,'Round 3'!$B$2:$H$361,7,false),1)="B","L","")),if(LEFT(VLOOKUP($B22,'Round 3'!$F$2:$H$361,3,false),1)="b","W",if(LEFT(VLOOKUP($B22,'Round 3'!$F$2:$H$361,3,false),1)="a","L","")))</f>
        <v>W</v>
      </c>
      <c r="G22" s="67" t="str">
        <f>iferror(if(LEFT(VLOOKUP($B22,'Round 4'!$B$2:$H$361,7,false),1)="A","W",if(LEFT(VLOOKUP($B22,'Round 4'!$B$2:$H$361,7,false),1)="B","L","")),if(LEFT(VLOOKUP($B22,'Round 4'!$F$2:$H$361,3,false),1)="b","W",if(LEFT(VLOOKUP($B22,'Round 4'!$F$2:$H$361,3,false),1)="a","L","")))</f>
        <v>W</v>
      </c>
      <c r="H22" s="67" t="str">
        <f>iferror(if(LEFT(VLOOKUP($B22,'Round 5'!$B$2:$H$361,7,false),1)="A","W",if(LEFT(VLOOKUP($B22,'Round 5'!$B$2:$H$361,7,false),1)="B","L","")),if(LEFT(VLOOKUP($B22,'Round 5'!$F$2:$H$361,3,false),1)="b","W",if(LEFT(VLOOKUP($B22,'Round 5'!$F$2:$H$361,3,false),1)="a","L","")))</f>
        <v>W</v>
      </c>
      <c r="I22" s="67" t="str">
        <f>iferror(if(LEFT(VLOOKUP($B22,'Round 6'!$B$2:$H$361,7,false),1)="A","W",if(LEFT(VLOOKUP($B22,'Round 6'!$B$2:$H$361,7,false),1)="B","L","")),if(LEFT(VLOOKUP($B22,'Round 6'!$F$2:$H$361,3,false),1)="b","W",if(LEFT(VLOOKUP($B22,'Round 6'!$F$2:$H$361,3,false),1)="a","L","")))</f>
        <v>W</v>
      </c>
      <c r="J22" s="67" t="str">
        <f>iferror(iferror(if(LEFT(VLOOKUP($B22,'Round 7'!$B$2:$H$361,7,false),1)="A","W",if(LEFT(VLOOKUP($B22,'Round 7'!$B$2:$H$361,7,false),1)="B","L","")),if(LEFT(VLOOKUP($B22,'Round 7'!$F$2:$H$361,3,false),1)="b","W",if(LEFT(VLOOKUP($B22,'Round 7'!$F$2:$H$361,3,false),1)="a","L",""))),"")</f>
        <v>W</v>
      </c>
      <c r="K22" s="68" t="str">
        <f>iferror(iferror(if(LEFT(VLOOKUP($B22,'Round 8'!$B$2:$H$361,7,false),1)="A","W",if(LEFT(VLOOKUP($B22,'Round 8'!$B$2:$H$361,7,false),1)="B","L","")),if(LEFT(VLOOKUP($B22,'Round 8'!$F$2:$H$361,3,false),1)="b","W",if(LEFT(VLOOKUP($B22,'Round 8'!$F$2:$H$361,3,false),1)="a","L",""))),"")</f>
        <v>L</v>
      </c>
      <c r="L22" s="68" t="str">
        <f>iferror(iferror(if(LEFT(VLOOKUP($B22,'Round 9'!$B$2:$H$361,7,false),1)="A","W",if(LEFT(VLOOKUP($B22,'Round 9'!$B$2:$H$361,7,false),1)="B","L","")),if(LEFT(VLOOKUP($B22,'Round 9'!$F$2:$H$361,3,false),1)="b","W",if(LEFT(VLOOKUP($B22,'Round 9'!$F$2:$H$361,3,false),1)="a","L",""))),"")</f>
        <v>W</v>
      </c>
      <c r="M22" s="68" t="str">
        <f>iferror(iferror(if(LEFT(VLOOKUP($B22,'Round 10'!$B$2:$H$362,7,false),1)="A","W",if(LEFT(VLOOKUP($B22,'Round 10'!$B$2:$H$362,7,false),1)="B","L","")),if(LEFT(VLOOKUP($B22,'Round 10'!$F$2:$H$362,3,false),1)="b","W",if(LEFT(VLOOKUP($B22,'Round 10'!$F$2:$H$362,3,false),1)="a","L",""))),"")</f>
        <v/>
      </c>
      <c r="N22" s="62" t="s">
        <v>125</v>
      </c>
    </row>
    <row r="23">
      <c r="A23" s="63">
        <v>22.0</v>
      </c>
      <c r="B23" s="64" t="s">
        <v>126</v>
      </c>
      <c r="C23" s="65" t="str">
        <f t="shared" si="1"/>
        <v>7 - 2</v>
      </c>
      <c r="D23" s="67" t="str">
        <f>iferror(if(LEFT(VLOOKUP($B23,'Round 1'!$B$2:$H$361,7,false),1)="A","W",if(LEFT(VLOOKUP($B23,'Round 1'!$B$2:$H$361,7,false),1)="B","L","")),if(LEFT(VLOOKUP($B23,'Round 1'!$F$2:$H$361,3,false),1)="b","W",if(LEFT(VLOOKUP($B23,'Round 1'!$F$2:$H$361,3,false),1)="a","L","")))</f>
        <v>W</v>
      </c>
      <c r="E23" s="67" t="str">
        <f>iferror(if(LEFT(VLOOKUP($B23,'Round 2'!$C$2:$J$361,8,false),1)="A","W",if(LEFT(VLOOKUP($B23,'Round 2'!$C$2:$J$361,8,false),1)="B","L","")),if(LEFT(VLOOKUP($B23,'Round 2'!$G$2:$J$361,4,false),1)="b","W",if(LEFT(VLOOKUP($B23,'Round 2'!$G$2:$J$361,4,false),1)="a","L","")))</f>
        <v>W</v>
      </c>
      <c r="F23" s="67" t="str">
        <f>iferror(if(LEFT(VLOOKUP($B23,'Round 3'!$B$2:$H$361,7,false),1)="A","W",if(LEFT(VLOOKUP($B23,'Round 3'!$B$2:$H$361,7,false),1)="B","L","")),if(LEFT(VLOOKUP($B23,'Round 3'!$F$2:$H$361,3,false),1)="b","W",if(LEFT(VLOOKUP($B23,'Round 3'!$F$2:$H$361,3,false),1)="a","L","")))</f>
        <v>W</v>
      </c>
      <c r="G23" s="67" t="str">
        <f>iferror(if(LEFT(VLOOKUP($B23,'Round 4'!$B$2:$H$361,7,false),1)="A","W",if(LEFT(VLOOKUP($B23,'Round 4'!$B$2:$H$361,7,false),1)="B","L","")),if(LEFT(VLOOKUP($B23,'Round 4'!$F$2:$H$361,3,false),1)="b","W",if(LEFT(VLOOKUP($B23,'Round 4'!$F$2:$H$361,3,false),1)="a","L","")))</f>
        <v>W</v>
      </c>
      <c r="H23" s="67" t="str">
        <f>iferror(if(LEFT(VLOOKUP($B23,'Round 5'!$B$2:$H$361,7,false),1)="A","W",if(LEFT(VLOOKUP($B23,'Round 5'!$B$2:$H$361,7,false),1)="B","L","")),if(LEFT(VLOOKUP($B23,'Round 5'!$F$2:$H$361,3,false),1)="b","W",if(LEFT(VLOOKUP($B23,'Round 5'!$F$2:$H$361,3,false),1)="a","L","")))</f>
        <v>L</v>
      </c>
      <c r="I23" s="67" t="str">
        <f>iferror(if(LEFT(VLOOKUP($B23,'Round 6'!$B$2:$H$361,7,false),1)="A","W",if(LEFT(VLOOKUP($B23,'Round 6'!$B$2:$H$361,7,false),1)="B","L","")),if(LEFT(VLOOKUP($B23,'Round 6'!$F$2:$H$361,3,false),1)="b","W",if(LEFT(VLOOKUP($B23,'Round 6'!$F$2:$H$361,3,false),1)="a","L","")))</f>
        <v>W</v>
      </c>
      <c r="J23" s="67" t="str">
        <f>iferror(iferror(if(LEFT(VLOOKUP($B23,'Round 7'!$B$2:$H$361,7,false),1)="A","W",if(LEFT(VLOOKUP($B23,'Round 7'!$B$2:$H$361,7,false),1)="B","L","")),if(LEFT(VLOOKUP($B23,'Round 7'!$F$2:$H$361,3,false),1)="b","W",if(LEFT(VLOOKUP($B23,'Round 7'!$F$2:$H$361,3,false),1)="a","L",""))),"")</f>
        <v>W</v>
      </c>
      <c r="K23" s="68" t="str">
        <f>iferror(iferror(if(LEFT(VLOOKUP($B23,'Round 8'!$B$2:$H$361,7,false),1)="A","W",if(LEFT(VLOOKUP($B23,'Round 8'!$B$2:$H$361,7,false),1)="B","L","")),if(LEFT(VLOOKUP($B23,'Round 8'!$F$2:$H$361,3,false),1)="b","W",if(LEFT(VLOOKUP($B23,'Round 8'!$F$2:$H$361,3,false),1)="a","L",""))),"")</f>
        <v>W</v>
      </c>
      <c r="L23" s="68" t="str">
        <f>iferror(iferror(if(LEFT(VLOOKUP($B23,'Round 9'!$B$2:$H$361,7,false),1)="A","W",if(LEFT(VLOOKUP($B23,'Round 9'!$B$2:$H$361,7,false),1)="B","L","")),if(LEFT(VLOOKUP($B23,'Round 9'!$F$2:$H$361,3,false),1)="b","W",if(LEFT(VLOOKUP($B23,'Round 9'!$F$2:$H$361,3,false),1)="a","L",""))),"")</f>
        <v>L</v>
      </c>
      <c r="M23" s="68" t="str">
        <f>iferror(iferror(if(LEFT(VLOOKUP($B23,'Round 10'!$B$2:$H$362,7,false),1)="A","W",if(LEFT(VLOOKUP($B23,'Round 10'!$B$2:$H$362,7,false),1)="B","L","")),if(LEFT(VLOOKUP($B23,'Round 10'!$F$2:$H$362,3,false),1)="b","W",if(LEFT(VLOOKUP($B23,'Round 10'!$F$2:$H$362,3,false),1)="a","L",""))),"")</f>
        <v/>
      </c>
      <c r="N23" s="62" t="s">
        <v>127</v>
      </c>
    </row>
    <row r="24">
      <c r="A24" s="63">
        <v>23.0</v>
      </c>
      <c r="B24" s="64" t="s">
        <v>128</v>
      </c>
      <c r="C24" s="65" t="str">
        <f t="shared" si="1"/>
        <v>7 - 2</v>
      </c>
      <c r="D24" s="67" t="str">
        <f>iferror(if(LEFT(VLOOKUP($B24,'Round 1'!$B$2:$H$361,7,false),1)="A","W",if(LEFT(VLOOKUP($B24,'Round 1'!$B$2:$H$361,7,false),1)="B","L","")),if(LEFT(VLOOKUP($B24,'Round 1'!$F$2:$H$361,3,false),1)="b","W",if(LEFT(VLOOKUP($B24,'Round 1'!$F$2:$H$361,3,false),1)="a","L","")))</f>
        <v>L</v>
      </c>
      <c r="E24" s="67" t="str">
        <f>iferror(if(LEFT(VLOOKUP($B24,'Round 2'!$C$2:$J$361,8,false),1)="A","W",if(LEFT(VLOOKUP($B24,'Round 2'!$C$2:$J$361,8,false),1)="B","L","")),if(LEFT(VLOOKUP($B24,'Round 2'!$G$2:$J$361,4,false),1)="b","W",if(LEFT(VLOOKUP($B24,'Round 2'!$G$2:$J$361,4,false),1)="a","L","")))</f>
        <v>W</v>
      </c>
      <c r="F24" s="67" t="str">
        <f>iferror(if(LEFT(VLOOKUP($B24,'Round 3'!$B$2:$H$361,7,false),1)="A","W",if(LEFT(VLOOKUP($B24,'Round 3'!$B$2:$H$361,7,false),1)="B","L","")),if(LEFT(VLOOKUP($B24,'Round 3'!$F$2:$H$361,3,false),1)="b","W",if(LEFT(VLOOKUP($B24,'Round 3'!$F$2:$H$361,3,false),1)="a","L","")))</f>
        <v>W</v>
      </c>
      <c r="G24" s="67" t="str">
        <f>iferror(if(LEFT(VLOOKUP($B24,'Round 4'!$B$2:$H$361,7,false),1)="A","W",if(LEFT(VLOOKUP($B24,'Round 4'!$B$2:$H$361,7,false),1)="B","L","")),if(LEFT(VLOOKUP($B24,'Round 4'!$F$2:$H$361,3,false),1)="b","W",if(LEFT(VLOOKUP($B24,'Round 4'!$F$2:$H$361,3,false),1)="a","L","")))</f>
        <v>L</v>
      </c>
      <c r="H24" s="67" t="str">
        <f>iferror(if(LEFT(VLOOKUP($B24,'Round 5'!$B$2:$H$361,7,false),1)="A","W",if(LEFT(VLOOKUP($B24,'Round 5'!$B$2:$H$361,7,false),1)="B","L","")),if(LEFT(VLOOKUP($B24,'Round 5'!$F$2:$H$361,3,false),1)="b","W",if(LEFT(VLOOKUP($B24,'Round 5'!$F$2:$H$361,3,false),1)="a","L","")))</f>
        <v>W</v>
      </c>
      <c r="I24" s="67" t="str">
        <f>iferror(if(LEFT(VLOOKUP($B24,'Round 6'!$B$2:$H$361,7,false),1)="A","W",if(LEFT(VLOOKUP($B24,'Round 6'!$B$2:$H$361,7,false),1)="B","L","")),if(LEFT(VLOOKUP($B24,'Round 6'!$F$2:$H$361,3,false),1)="b","W",if(LEFT(VLOOKUP($B24,'Round 6'!$F$2:$H$361,3,false),1)="a","L","")))</f>
        <v>W</v>
      </c>
      <c r="J24" s="67" t="str">
        <f>iferror(iferror(if(LEFT(VLOOKUP($B24,'Round 7'!$B$2:$H$361,7,false),1)="A","W",if(LEFT(VLOOKUP($B24,'Round 7'!$B$2:$H$361,7,false),1)="B","L","")),if(LEFT(VLOOKUP($B24,'Round 7'!$F$2:$H$361,3,false),1)="b","W",if(LEFT(VLOOKUP($B24,'Round 7'!$F$2:$H$361,3,false),1)="a","L",""))),"")</f>
        <v>W</v>
      </c>
      <c r="K24" s="68" t="str">
        <f>iferror(iferror(if(LEFT(VLOOKUP($B24,'Round 8'!$B$2:$H$361,7,false),1)="A","W",if(LEFT(VLOOKUP($B24,'Round 8'!$B$2:$H$361,7,false),1)="B","L","")),if(LEFT(VLOOKUP($B24,'Round 8'!$F$2:$H$361,3,false),1)="b","W",if(LEFT(VLOOKUP($B24,'Round 8'!$F$2:$H$361,3,false),1)="a","L",""))),"")</f>
        <v>W</v>
      </c>
      <c r="L24" s="68" t="str">
        <f>iferror(iferror(if(LEFT(VLOOKUP($B24,'Round 9'!$B$2:$H$361,7,false),1)="A","W",if(LEFT(VLOOKUP($B24,'Round 9'!$B$2:$H$361,7,false),1)="B","L","")),if(LEFT(VLOOKUP($B24,'Round 9'!$F$2:$H$361,3,false),1)="b","W",if(LEFT(VLOOKUP($B24,'Round 9'!$F$2:$H$361,3,false),1)="a","L",""))),"")</f>
        <v>W</v>
      </c>
      <c r="M24" s="68" t="str">
        <f>iferror(iferror(if(LEFT(VLOOKUP($B24,'Round 10'!$B$2:$H$362,7,false),1)="A","W",if(LEFT(VLOOKUP($B24,'Round 10'!$B$2:$H$362,7,false),1)="B","L","")),if(LEFT(VLOOKUP($B24,'Round 10'!$F$2:$H$362,3,false),1)="b","W",if(LEFT(VLOOKUP($B24,'Round 10'!$F$2:$H$362,3,false),1)="a","L",""))),"")</f>
        <v/>
      </c>
      <c r="N24" s="62" t="s">
        <v>129</v>
      </c>
    </row>
    <row r="25">
      <c r="A25" s="63">
        <v>24.0</v>
      </c>
      <c r="B25" s="64" t="s">
        <v>130</v>
      </c>
      <c r="C25" s="65" t="str">
        <f t="shared" si="1"/>
        <v>4 - 3</v>
      </c>
      <c r="D25" s="67" t="str">
        <f>iferror(if(LEFT(VLOOKUP($B25,'Round 1'!$B$2:$H$361,7,false),1)="A","W",if(LEFT(VLOOKUP($B25,'Round 1'!$B$2:$H$361,7,false),1)="B","L","")),if(LEFT(VLOOKUP($B25,'Round 1'!$F$2:$H$361,3,false),1)="b","W",if(LEFT(VLOOKUP($B25,'Round 1'!$F$2:$H$361,3,false),1)="a","L","")))</f>
        <v>W</v>
      </c>
      <c r="E25" s="67" t="str">
        <f>iferror(if(LEFT(VLOOKUP($B25,'Round 2'!$C$2:$J$361,8,false),1)="A","W",if(LEFT(VLOOKUP($B25,'Round 2'!$C$2:$J$361,8,false),1)="B","L","")),if(LEFT(VLOOKUP($B25,'Round 2'!$G$2:$J$361,4,false),1)="b","W",if(LEFT(VLOOKUP($B25,'Round 2'!$G$2:$J$361,4,false),1)="a","L","")))</f>
        <v>L</v>
      </c>
      <c r="F25" s="67" t="str">
        <f>iferror(if(LEFT(VLOOKUP($B25,'Round 3'!$B$2:$H$361,7,false),1)="A","W",if(LEFT(VLOOKUP($B25,'Round 3'!$B$2:$H$361,7,false),1)="B","L","")),if(LEFT(VLOOKUP($B25,'Round 3'!$F$2:$H$361,3,false),1)="b","W",if(LEFT(VLOOKUP($B25,'Round 3'!$F$2:$H$361,3,false),1)="a","L","")))</f>
        <v>W</v>
      </c>
      <c r="G25" s="67" t="str">
        <f>iferror(if(LEFT(VLOOKUP($B25,'Round 4'!$B$2:$H$361,7,false),1)="A","W",if(LEFT(VLOOKUP($B25,'Round 4'!$B$2:$H$361,7,false),1)="B","L","")),if(LEFT(VLOOKUP($B25,'Round 4'!$F$2:$H$361,3,false),1)="b","W",if(LEFT(VLOOKUP($B25,'Round 4'!$F$2:$H$361,3,false),1)="a","L","")))</f>
        <v>W</v>
      </c>
      <c r="H25" s="67" t="str">
        <f>iferror(if(LEFT(VLOOKUP($B25,'Round 5'!$B$2:$H$361,7,false),1)="A","W",if(LEFT(VLOOKUP($B25,'Round 5'!$B$2:$H$361,7,false),1)="B","L","")),if(LEFT(VLOOKUP($B25,'Round 5'!$F$2:$H$361,3,false),1)="b","W",if(LEFT(VLOOKUP($B25,'Round 5'!$F$2:$H$361,3,false),1)="a","L","")))</f>
        <v>W</v>
      </c>
      <c r="I25" s="67" t="str">
        <f>iferror(if(LEFT(VLOOKUP($B25,'Round 6'!$B$2:$H$361,7,false),1)="A","W",if(LEFT(VLOOKUP($B25,'Round 6'!$B$2:$H$361,7,false),1)="B","L","")),if(LEFT(VLOOKUP($B25,'Round 6'!$F$2:$H$361,3,false),1)="b","W",if(LEFT(VLOOKUP($B25,'Round 6'!$F$2:$H$361,3,false),1)="a","L","")))</f>
        <v>L</v>
      </c>
      <c r="J25" s="67" t="str">
        <f>iferror(iferror(if(LEFT(VLOOKUP($B25,'Round 7'!$B$2:$H$361,7,false),1)="A","W",if(LEFT(VLOOKUP($B25,'Round 7'!$B$2:$H$361,7,false),1)="B","L","")),if(LEFT(VLOOKUP($B25,'Round 7'!$F$2:$H$361,3,false),1)="b","W",if(LEFT(VLOOKUP($B25,'Round 7'!$F$2:$H$361,3,false),1)="a","L",""))),"")</f>
        <v>L</v>
      </c>
      <c r="K25" s="68" t="str">
        <f>iferror(iferror(if(LEFT(VLOOKUP($B25,'Round 8'!$B$2:$H$361,7,false),1)="A","W",if(LEFT(VLOOKUP($B25,'Round 8'!$B$2:$H$361,7,false),1)="B","L","")),if(LEFT(VLOOKUP($B25,'Round 8'!$F$2:$H$361,3,false),1)="b","W",if(LEFT(VLOOKUP($B25,'Round 8'!$F$2:$H$361,3,false),1)="a","L",""))),"")</f>
        <v/>
      </c>
      <c r="L25" s="68" t="str">
        <f>iferror(iferror(if(LEFT(VLOOKUP($B25,'Round 9'!$B$2:$H$361,7,false),1)="A","W",if(LEFT(VLOOKUP($B25,'Round 9'!$B$2:$H$361,7,false),1)="B","L","")),if(LEFT(VLOOKUP($B25,'Round 9'!$F$2:$H$361,3,false),1)="b","W",if(LEFT(VLOOKUP($B25,'Round 9'!$F$2:$H$361,3,false),1)="a","L",""))),"")</f>
        <v/>
      </c>
      <c r="M25" s="68" t="str">
        <f>iferror(iferror(if(LEFT(VLOOKUP($B25,'Round 10'!$B$2:$H$362,7,false),1)="A","W",if(LEFT(VLOOKUP($B25,'Round 10'!$B$2:$H$362,7,false),1)="B","L","")),if(LEFT(VLOOKUP($B25,'Round 10'!$F$2:$H$362,3,false),1)="b","W",if(LEFT(VLOOKUP($B25,'Round 10'!$F$2:$H$362,3,false),1)="a","L",""))),"")</f>
        <v/>
      </c>
      <c r="N25" s="62" t="s">
        <v>131</v>
      </c>
    </row>
    <row r="26">
      <c r="A26" s="63">
        <v>25.0</v>
      </c>
      <c r="B26" s="64" t="s">
        <v>132</v>
      </c>
      <c r="C26" s="65" t="str">
        <f t="shared" si="1"/>
        <v>7 - 2</v>
      </c>
      <c r="D26" s="67" t="str">
        <f>iferror(if(LEFT(VLOOKUP($B26,'Round 1'!$B$2:$H$361,7,false),1)="A","W",if(LEFT(VLOOKUP($B26,'Round 1'!$B$2:$H$361,7,false),1)="B","L","")),if(LEFT(VLOOKUP($B26,'Round 1'!$F$2:$H$361,3,false),1)="b","W",if(LEFT(VLOOKUP($B26,'Round 1'!$F$2:$H$361,3,false),1)="a","L","")))</f>
        <v>W</v>
      </c>
      <c r="E26" s="67" t="str">
        <f>iferror(if(LEFT(VLOOKUP($B26,'Round 2'!$C$2:$J$361,8,false),1)="A","W",if(LEFT(VLOOKUP($B26,'Round 2'!$C$2:$J$361,8,false),1)="B","L","")),if(LEFT(VLOOKUP($B26,'Round 2'!$G$2:$J$361,4,false),1)="b","W",if(LEFT(VLOOKUP($B26,'Round 2'!$G$2:$J$361,4,false),1)="a","L","")))</f>
        <v>W</v>
      </c>
      <c r="F26" s="67" t="str">
        <f>iferror(if(LEFT(VLOOKUP($B26,'Round 3'!$B$2:$H$361,7,false),1)="A","W",if(LEFT(VLOOKUP($B26,'Round 3'!$B$2:$H$361,7,false),1)="B","L","")),if(LEFT(VLOOKUP($B26,'Round 3'!$F$2:$H$361,3,false),1)="b","W",if(LEFT(VLOOKUP($B26,'Round 3'!$F$2:$H$361,3,false),1)="a","L","")))</f>
        <v>W</v>
      </c>
      <c r="G26" s="67" t="str">
        <f>iferror(if(LEFT(VLOOKUP($B26,'Round 4'!$B$2:$H$361,7,false),1)="A","W",if(LEFT(VLOOKUP($B26,'Round 4'!$B$2:$H$361,7,false),1)="B","L","")),if(LEFT(VLOOKUP($B26,'Round 4'!$F$2:$H$361,3,false),1)="b","W",if(LEFT(VLOOKUP($B26,'Round 4'!$F$2:$H$361,3,false),1)="a","L","")))</f>
        <v>W</v>
      </c>
      <c r="H26" s="67" t="str">
        <f>iferror(if(LEFT(VLOOKUP($B26,'Round 5'!$B$2:$H$361,7,false),1)="A","W",if(LEFT(VLOOKUP($B26,'Round 5'!$B$2:$H$361,7,false),1)="B","L","")),if(LEFT(VLOOKUP($B26,'Round 5'!$F$2:$H$361,3,false),1)="b","W",if(LEFT(VLOOKUP($B26,'Round 5'!$F$2:$H$361,3,false),1)="a","L","")))</f>
        <v>W</v>
      </c>
      <c r="I26" s="67" t="str">
        <f>iferror(if(LEFT(VLOOKUP($B26,'Round 6'!$B$2:$H$361,7,false),1)="A","W",if(LEFT(VLOOKUP($B26,'Round 6'!$B$2:$H$361,7,false),1)="B","L","")),if(LEFT(VLOOKUP($B26,'Round 6'!$F$2:$H$361,3,false),1)="b","W",if(LEFT(VLOOKUP($B26,'Round 6'!$F$2:$H$361,3,false),1)="a","L","")))</f>
        <v>L</v>
      </c>
      <c r="J26" s="67" t="str">
        <f>iferror(iferror(if(LEFT(VLOOKUP($B26,'Round 7'!$B$2:$H$361,7,false),1)="A","W",if(LEFT(VLOOKUP($B26,'Round 7'!$B$2:$H$361,7,false),1)="B","L","")),if(LEFT(VLOOKUP($B26,'Round 7'!$F$2:$H$361,3,false),1)="b","W",if(LEFT(VLOOKUP($B26,'Round 7'!$F$2:$H$361,3,false),1)="a","L",""))),"")</f>
        <v>W</v>
      </c>
      <c r="K26" s="68" t="str">
        <f>iferror(iferror(if(LEFT(VLOOKUP($B26,'Round 8'!$B$2:$H$361,7,false),1)="A","W",if(LEFT(VLOOKUP($B26,'Round 8'!$B$2:$H$361,7,false),1)="B","L","")),if(LEFT(VLOOKUP($B26,'Round 8'!$F$2:$H$361,3,false),1)="b","W",if(LEFT(VLOOKUP($B26,'Round 8'!$F$2:$H$361,3,false),1)="a","L",""))),"")</f>
        <v>W</v>
      </c>
      <c r="L26" s="68" t="str">
        <f>iferror(iferror(if(LEFT(VLOOKUP($B26,'Round 9'!$B$2:$H$361,7,false),1)="A","W",if(LEFT(VLOOKUP($B26,'Round 9'!$B$2:$H$361,7,false),1)="B","L","")),if(LEFT(VLOOKUP($B26,'Round 9'!$F$2:$H$361,3,false),1)="b","W",if(LEFT(VLOOKUP($B26,'Round 9'!$F$2:$H$361,3,false),1)="a","L",""))),"")</f>
        <v>L</v>
      </c>
      <c r="M26" s="68" t="str">
        <f>iferror(iferror(if(LEFT(VLOOKUP($B26,'Round 10'!$B$2:$H$362,7,false),1)="A","W",if(LEFT(VLOOKUP($B26,'Round 10'!$B$2:$H$362,7,false),1)="B","L","")),if(LEFT(VLOOKUP($B26,'Round 10'!$F$2:$H$362,3,false),1)="b","W",if(LEFT(VLOOKUP($B26,'Round 10'!$F$2:$H$362,3,false),1)="a","L",""))),"")</f>
        <v/>
      </c>
      <c r="N26" s="62" t="s">
        <v>133</v>
      </c>
    </row>
    <row r="27">
      <c r="A27" s="63">
        <v>26.0</v>
      </c>
      <c r="B27" s="64" t="s">
        <v>134</v>
      </c>
      <c r="C27" s="65" t="str">
        <f t="shared" si="1"/>
        <v>7 - 2</v>
      </c>
      <c r="D27" s="67" t="str">
        <f>iferror(if(LEFT(VLOOKUP($B27,'Round 1'!$B$2:$H$361,7,false),1)="A","W",if(LEFT(VLOOKUP($B27,'Round 1'!$B$2:$H$361,7,false),1)="B","L","")),if(LEFT(VLOOKUP($B27,'Round 1'!$F$2:$H$361,3,false),1)="b","W",if(LEFT(VLOOKUP($B27,'Round 1'!$F$2:$H$361,3,false),1)="a","L","")))</f>
        <v>L</v>
      </c>
      <c r="E27" s="67" t="str">
        <f>iferror(if(LEFT(VLOOKUP($B27,'Round 2'!$C$2:$J$361,8,false),1)="A","W",if(LEFT(VLOOKUP($B27,'Round 2'!$C$2:$J$361,8,false),1)="B","L","")),if(LEFT(VLOOKUP($B27,'Round 2'!$G$2:$J$361,4,false),1)="b","W",if(LEFT(VLOOKUP($B27,'Round 2'!$G$2:$J$361,4,false),1)="a","L","")))</f>
        <v>W</v>
      </c>
      <c r="F27" s="67" t="str">
        <f>iferror(if(LEFT(VLOOKUP($B27,'Round 3'!$B$2:$H$361,7,false),1)="A","W",if(LEFT(VLOOKUP($B27,'Round 3'!$B$2:$H$361,7,false),1)="B","L","")),if(LEFT(VLOOKUP($B27,'Round 3'!$F$2:$H$361,3,false),1)="b","W",if(LEFT(VLOOKUP($B27,'Round 3'!$F$2:$H$361,3,false),1)="a","L","")))</f>
        <v>W</v>
      </c>
      <c r="G27" s="67" t="str">
        <f>iferror(if(LEFT(VLOOKUP($B27,'Round 4'!$B$2:$H$361,7,false),1)="A","W",if(LEFT(VLOOKUP($B27,'Round 4'!$B$2:$H$361,7,false),1)="B","L","")),if(LEFT(VLOOKUP($B27,'Round 4'!$F$2:$H$361,3,false),1)="b","W",if(LEFT(VLOOKUP($B27,'Round 4'!$F$2:$H$361,3,false),1)="a","L","")))</f>
        <v>W</v>
      </c>
      <c r="H27" s="67" t="str">
        <f>iferror(if(LEFT(VLOOKUP($B27,'Round 5'!$B$2:$H$361,7,false),1)="A","W",if(LEFT(VLOOKUP($B27,'Round 5'!$B$2:$H$361,7,false),1)="B","L","")),if(LEFT(VLOOKUP($B27,'Round 5'!$F$2:$H$361,3,false),1)="b","W",if(LEFT(VLOOKUP($B27,'Round 5'!$F$2:$H$361,3,false),1)="a","L","")))</f>
        <v>W</v>
      </c>
      <c r="I27" s="67" t="str">
        <f>iferror(if(LEFT(VLOOKUP($B27,'Round 6'!$B$2:$H$361,7,false),1)="A","W",if(LEFT(VLOOKUP($B27,'Round 6'!$B$2:$H$361,7,false),1)="B","L","")),if(LEFT(VLOOKUP($B27,'Round 6'!$F$2:$H$361,3,false),1)="b","W",if(LEFT(VLOOKUP($B27,'Round 6'!$F$2:$H$361,3,false),1)="a","L","")))</f>
        <v>L</v>
      </c>
      <c r="J27" s="67" t="str">
        <f>iferror(iferror(if(LEFT(VLOOKUP($B27,'Round 7'!$B$2:$H$361,7,false),1)="A","W",if(LEFT(VLOOKUP($B27,'Round 7'!$B$2:$H$361,7,false),1)="B","L","")),if(LEFT(VLOOKUP($B27,'Round 7'!$F$2:$H$361,3,false),1)="b","W",if(LEFT(VLOOKUP($B27,'Round 7'!$F$2:$H$361,3,false),1)="a","L",""))),"")</f>
        <v>W</v>
      </c>
      <c r="K27" s="68" t="str">
        <f>iferror(iferror(if(LEFT(VLOOKUP($B27,'Round 8'!$B$2:$H$361,7,false),1)="A","W",if(LEFT(VLOOKUP($B27,'Round 8'!$B$2:$H$361,7,false),1)="B","L","")),if(LEFT(VLOOKUP($B27,'Round 8'!$F$2:$H$361,3,false),1)="b","W",if(LEFT(VLOOKUP($B27,'Round 8'!$F$2:$H$361,3,false),1)="a","L",""))),"")</f>
        <v>W</v>
      </c>
      <c r="L27" s="68" t="str">
        <f>iferror(iferror(if(LEFT(VLOOKUP($B27,'Round 9'!$B$2:$H$361,7,false),1)="A","W",if(LEFT(VLOOKUP($B27,'Round 9'!$B$2:$H$361,7,false),1)="B","L","")),if(LEFT(VLOOKUP($B27,'Round 9'!$F$2:$H$361,3,false),1)="b","W",if(LEFT(VLOOKUP($B27,'Round 9'!$F$2:$H$361,3,false),1)="a","L",""))),"")</f>
        <v>W</v>
      </c>
      <c r="M27" s="68" t="str">
        <f>iferror(iferror(if(LEFT(VLOOKUP($B27,'Round 10'!$B$2:$H$362,7,false),1)="A","W",if(LEFT(VLOOKUP($B27,'Round 10'!$B$2:$H$362,7,false),1)="B","L","")),if(LEFT(VLOOKUP($B27,'Round 10'!$F$2:$H$362,3,false),1)="b","W",if(LEFT(VLOOKUP($B27,'Round 10'!$F$2:$H$362,3,false),1)="a","L",""))),"")</f>
        <v/>
      </c>
      <c r="N27" s="62" t="s">
        <v>135</v>
      </c>
    </row>
    <row r="28">
      <c r="A28" s="63">
        <v>27.0</v>
      </c>
      <c r="B28" s="64" t="s">
        <v>136</v>
      </c>
      <c r="C28" s="65" t="str">
        <f t="shared" si="1"/>
        <v>8 - 2</v>
      </c>
      <c r="D28" s="67" t="str">
        <f>iferror(if(LEFT(VLOOKUP($B28,'Round 1'!$B$2:$H$361,7,false),1)="A","W",if(LEFT(VLOOKUP($B28,'Round 1'!$B$2:$H$361,7,false),1)="B","L","")),if(LEFT(VLOOKUP($B28,'Round 1'!$F$2:$H$361,3,false),1)="b","W",if(LEFT(VLOOKUP($B28,'Round 1'!$F$2:$H$361,3,false),1)="a","L","")))</f>
        <v>W</v>
      </c>
      <c r="E28" s="67" t="str">
        <f>iferror(if(LEFT(VLOOKUP($B28,'Round 2'!$C$2:$J$361,8,false),1)="A","W",if(LEFT(VLOOKUP($B28,'Round 2'!$C$2:$J$361,8,false),1)="B","L","")),if(LEFT(VLOOKUP($B28,'Round 2'!$G$2:$J$361,4,false),1)="b","W",if(LEFT(VLOOKUP($B28,'Round 2'!$G$2:$J$361,4,false),1)="a","L","")))</f>
        <v>W</v>
      </c>
      <c r="F28" s="67" t="str">
        <f>iferror(if(LEFT(VLOOKUP($B28,'Round 3'!$B$2:$H$361,7,false),1)="A","W",if(LEFT(VLOOKUP($B28,'Round 3'!$B$2:$H$361,7,false),1)="B","L","")),if(LEFT(VLOOKUP($B28,'Round 3'!$F$2:$H$361,3,false),1)="b","W",if(LEFT(VLOOKUP($B28,'Round 3'!$F$2:$H$361,3,false),1)="a","L","")))</f>
        <v>W</v>
      </c>
      <c r="G28" s="67" t="str">
        <f>iferror(if(LEFT(VLOOKUP($B28,'Round 4'!$B$2:$H$361,7,false),1)="A","W",if(LEFT(VLOOKUP($B28,'Round 4'!$B$2:$H$361,7,false),1)="B","L","")),if(LEFT(VLOOKUP($B28,'Round 4'!$F$2:$H$361,3,false),1)="b","W",if(LEFT(VLOOKUP($B28,'Round 4'!$F$2:$H$361,3,false),1)="a","L","")))</f>
        <v>W</v>
      </c>
      <c r="H28" s="67" t="str">
        <f>iferror(if(LEFT(VLOOKUP($B28,'Round 5'!$B$2:$H$361,7,false),1)="A","W",if(LEFT(VLOOKUP($B28,'Round 5'!$B$2:$H$361,7,false),1)="B","L","")),if(LEFT(VLOOKUP($B28,'Round 5'!$F$2:$H$361,3,false),1)="b","W",if(LEFT(VLOOKUP($B28,'Round 5'!$F$2:$H$361,3,false),1)="a","L","")))</f>
        <v>W</v>
      </c>
      <c r="I28" s="67" t="str">
        <f>iferror(if(LEFT(VLOOKUP($B28,'Round 6'!$B$2:$H$361,7,false),1)="A","W",if(LEFT(VLOOKUP($B28,'Round 6'!$B$2:$H$361,7,false),1)="B","L","")),if(LEFT(VLOOKUP($B28,'Round 6'!$F$2:$H$361,3,false),1)="b","W",if(LEFT(VLOOKUP($B28,'Round 6'!$F$2:$H$361,3,false),1)="a","L","")))</f>
        <v>L</v>
      </c>
      <c r="J28" s="67" t="str">
        <f>iferror(iferror(if(LEFT(VLOOKUP($B28,'Round 7'!$B$2:$H$361,7,false),1)="A","W",if(LEFT(VLOOKUP($B28,'Round 7'!$B$2:$H$361,7,false),1)="B","L","")),if(LEFT(VLOOKUP($B28,'Round 7'!$F$2:$H$361,3,false),1)="b","W",if(LEFT(VLOOKUP($B28,'Round 7'!$F$2:$H$361,3,false),1)="a","L",""))),"")</f>
        <v>W</v>
      </c>
      <c r="K28" s="68" t="str">
        <f>iferror(iferror(if(LEFT(VLOOKUP($B28,'Round 8'!$B$2:$H$361,7,false),1)="A","W",if(LEFT(VLOOKUP($B28,'Round 8'!$B$2:$H$361,7,false),1)="B","L","")),if(LEFT(VLOOKUP($B28,'Round 8'!$F$2:$H$361,3,false),1)="b","W",if(LEFT(VLOOKUP($B28,'Round 8'!$F$2:$H$361,3,false),1)="a","L",""))),"")</f>
        <v>L</v>
      </c>
      <c r="L28" s="68" t="str">
        <f>iferror(iferror(if(LEFT(VLOOKUP($B28,'Round 9'!$B$2:$H$361,7,false),1)="A","W",if(LEFT(VLOOKUP($B28,'Round 9'!$B$2:$H$361,7,false),1)="B","L","")),if(LEFT(VLOOKUP($B28,'Round 9'!$F$2:$H$361,3,false),1)="b","W",if(LEFT(VLOOKUP($B28,'Round 9'!$F$2:$H$361,3,false),1)="a","L",""))),"")</f>
        <v>W</v>
      </c>
      <c r="M28" s="68" t="str">
        <f>iferror(iferror(if(LEFT(VLOOKUP($B28,'Round 10'!$B$2:$H$362,7,false),1)="A","W",if(LEFT(VLOOKUP($B28,'Round 10'!$B$2:$H$362,7,false),1)="B","L","")),if(LEFT(VLOOKUP($B28,'Round 10'!$F$2:$H$362,3,false),1)="b","W",if(LEFT(VLOOKUP($B28,'Round 10'!$F$2:$H$362,3,false),1)="a","L",""))),"")</f>
        <v>W</v>
      </c>
      <c r="N28" s="62" t="s">
        <v>137</v>
      </c>
    </row>
    <row r="29">
      <c r="A29" s="63">
        <v>28.0</v>
      </c>
      <c r="B29" s="64" t="s">
        <v>138</v>
      </c>
      <c r="C29" s="65" t="str">
        <f t="shared" si="1"/>
        <v>7 - 2</v>
      </c>
      <c r="D29" s="67" t="str">
        <f>iferror(if(LEFT(VLOOKUP($B29,'Round 1'!$B$2:$H$361,7,false),1)="A","W",if(LEFT(VLOOKUP($B29,'Round 1'!$B$2:$H$361,7,false),1)="B","L","")),if(LEFT(VLOOKUP($B29,'Round 1'!$F$2:$H$361,3,false),1)="b","W",if(LEFT(VLOOKUP($B29,'Round 1'!$F$2:$H$361,3,false),1)="a","L","")))</f>
        <v>L</v>
      </c>
      <c r="E29" s="67" t="str">
        <f>iferror(if(LEFT(VLOOKUP($B29,'Round 2'!$C$2:$J$361,8,false),1)="A","W",if(LEFT(VLOOKUP($B29,'Round 2'!$C$2:$J$361,8,false),1)="B","L","")),if(LEFT(VLOOKUP($B29,'Round 2'!$G$2:$J$361,4,false),1)="b","W",if(LEFT(VLOOKUP($B29,'Round 2'!$G$2:$J$361,4,false),1)="a","L","")))</f>
        <v>W</v>
      </c>
      <c r="F29" s="67" t="str">
        <f>iferror(if(LEFT(VLOOKUP($B29,'Round 3'!$B$2:$H$361,7,false),1)="A","W",if(LEFT(VLOOKUP($B29,'Round 3'!$B$2:$H$361,7,false),1)="B","L","")),if(LEFT(VLOOKUP($B29,'Round 3'!$F$2:$H$361,3,false),1)="b","W",if(LEFT(VLOOKUP($B29,'Round 3'!$F$2:$H$361,3,false),1)="a","L","")))</f>
        <v>W</v>
      </c>
      <c r="G29" s="67" t="str">
        <f>iferror(if(LEFT(VLOOKUP($B29,'Round 4'!$B$2:$H$361,7,false),1)="A","W",if(LEFT(VLOOKUP($B29,'Round 4'!$B$2:$H$361,7,false),1)="B","L","")),if(LEFT(VLOOKUP($B29,'Round 4'!$F$2:$H$361,3,false),1)="b","W",if(LEFT(VLOOKUP($B29,'Round 4'!$F$2:$H$361,3,false),1)="a","L","")))</f>
        <v>W</v>
      </c>
      <c r="H29" s="67" t="str">
        <f>iferror(if(LEFT(VLOOKUP($B29,'Round 5'!$B$2:$H$361,7,false),1)="A","W",if(LEFT(VLOOKUP($B29,'Round 5'!$B$2:$H$361,7,false),1)="B","L","")),if(LEFT(VLOOKUP($B29,'Round 5'!$F$2:$H$361,3,false),1)="b","W",if(LEFT(VLOOKUP($B29,'Round 5'!$F$2:$H$361,3,false),1)="a","L","")))</f>
        <v>W</v>
      </c>
      <c r="I29" s="67" t="str">
        <f>iferror(if(LEFT(VLOOKUP($B29,'Round 6'!$B$2:$H$361,7,false),1)="A","W",if(LEFT(VLOOKUP($B29,'Round 6'!$B$2:$H$361,7,false),1)="B","L","")),if(LEFT(VLOOKUP($B29,'Round 6'!$F$2:$H$361,3,false),1)="b","W",if(LEFT(VLOOKUP($B29,'Round 6'!$F$2:$H$361,3,false),1)="a","L","")))</f>
        <v>W</v>
      </c>
      <c r="J29" s="67" t="str">
        <f>iferror(iferror(if(LEFT(VLOOKUP($B29,'Round 7'!$B$2:$H$361,7,false),1)="A","W",if(LEFT(VLOOKUP($B29,'Round 7'!$B$2:$H$361,7,false),1)="B","L","")),if(LEFT(VLOOKUP($B29,'Round 7'!$F$2:$H$361,3,false),1)="b","W",if(LEFT(VLOOKUP($B29,'Round 7'!$F$2:$H$361,3,false),1)="a","L",""))),"")</f>
        <v>L</v>
      </c>
      <c r="K29" s="68" t="str">
        <f>iferror(iferror(if(LEFT(VLOOKUP($B29,'Round 8'!$B$2:$H$361,7,false),1)="A","W",if(LEFT(VLOOKUP($B29,'Round 8'!$B$2:$H$361,7,false),1)="B","L","")),if(LEFT(VLOOKUP($B29,'Round 8'!$F$2:$H$361,3,false),1)="b","W",if(LEFT(VLOOKUP($B29,'Round 8'!$F$2:$H$361,3,false),1)="a","L",""))),"")</f>
        <v>W</v>
      </c>
      <c r="L29" s="68" t="str">
        <f>iferror(iferror(if(LEFT(VLOOKUP($B29,'Round 9'!$B$2:$H$361,7,false),1)="A","W",if(LEFT(VLOOKUP($B29,'Round 9'!$B$2:$H$361,7,false),1)="B","L","")),if(LEFT(VLOOKUP($B29,'Round 9'!$F$2:$H$361,3,false),1)="b","W",if(LEFT(VLOOKUP($B29,'Round 9'!$F$2:$H$361,3,false),1)="a","L",""))),"")</f>
        <v>W</v>
      </c>
      <c r="M29" s="68" t="str">
        <f>iferror(iferror(if(LEFT(VLOOKUP($B29,'Round 10'!$B$2:$H$362,7,false),1)="A","W",if(LEFT(VLOOKUP($B29,'Round 10'!$B$2:$H$362,7,false),1)="B","L","")),if(LEFT(VLOOKUP($B29,'Round 10'!$F$2:$H$362,3,false),1)="b","W",if(LEFT(VLOOKUP($B29,'Round 10'!$F$2:$H$362,3,false),1)="a","L",""))),"")</f>
        <v/>
      </c>
      <c r="N29" s="62" t="s">
        <v>139</v>
      </c>
    </row>
    <row r="30">
      <c r="A30" s="63">
        <v>29.0</v>
      </c>
      <c r="B30" s="69">
        <v>48.0</v>
      </c>
      <c r="C30" s="65" t="str">
        <f t="shared" si="1"/>
        <v>7 - 2</v>
      </c>
      <c r="D30" s="67" t="str">
        <f>iferror(if(LEFT(VLOOKUP($B30,'Round 1'!$B$2:$H$361,7,false),1)="A","W",if(LEFT(VLOOKUP($B30,'Round 1'!$B$2:$H$361,7,false),1)="B","L","")),if(LEFT(VLOOKUP($B30,'Round 1'!$F$2:$H$361,3,false),1)="b","W",if(LEFT(VLOOKUP($B30,'Round 1'!$F$2:$H$361,3,false),1)="a","L","")))</f>
        <v>W</v>
      </c>
      <c r="E30" s="67" t="str">
        <f>iferror(if(LEFT(VLOOKUP($B30,'Round 2'!$C$2:$J$361,8,false),1)="A","W",if(LEFT(VLOOKUP($B30,'Round 2'!$C$2:$J$361,8,false),1)="B","L","")),if(LEFT(VLOOKUP($B30,'Round 2'!$G$2:$J$361,4,false),1)="b","W",if(LEFT(VLOOKUP($B30,'Round 2'!$G$2:$J$361,4,false),1)="a","L","")))</f>
        <v>W</v>
      </c>
      <c r="F30" s="67" t="str">
        <f>iferror(if(LEFT(VLOOKUP($B30,'Round 3'!$B$2:$H$361,7,false),1)="A","W",if(LEFT(VLOOKUP($B30,'Round 3'!$B$2:$H$361,7,false),1)="B","L","")),if(LEFT(VLOOKUP($B30,'Round 3'!$F$2:$H$361,3,false),1)="b","W",if(LEFT(VLOOKUP($B30,'Round 3'!$F$2:$H$361,3,false),1)="a","L","")))</f>
        <v>W</v>
      </c>
      <c r="G30" s="67" t="str">
        <f>iferror(if(LEFT(VLOOKUP($B30,'Round 4'!$B$2:$H$361,7,false),1)="A","W",if(LEFT(VLOOKUP($B30,'Round 4'!$B$2:$H$361,7,false),1)="B","L","")),if(LEFT(VLOOKUP($B30,'Round 4'!$F$2:$H$361,3,false),1)="b","W",if(LEFT(VLOOKUP($B30,'Round 4'!$F$2:$H$361,3,false),1)="a","L","")))</f>
        <v>W</v>
      </c>
      <c r="H30" s="67" t="str">
        <f>iferror(if(LEFT(VLOOKUP($B30,'Round 5'!$B$2:$H$361,7,false),1)="A","W",if(LEFT(VLOOKUP($B30,'Round 5'!$B$2:$H$361,7,false),1)="B","L","")),if(LEFT(VLOOKUP($B30,'Round 5'!$F$2:$H$361,3,false),1)="b","W",if(LEFT(VLOOKUP($B30,'Round 5'!$F$2:$H$361,3,false),1)="a","L","")))</f>
        <v>L</v>
      </c>
      <c r="I30" s="67" t="str">
        <f>iferror(if(LEFT(VLOOKUP($B30,'Round 6'!$B$2:$H$361,7,false),1)="A","W",if(LEFT(VLOOKUP($B30,'Round 6'!$B$2:$H$361,7,false),1)="B","L","")),if(LEFT(VLOOKUP($B30,'Round 6'!$F$2:$H$361,3,false),1)="b","W",if(LEFT(VLOOKUP($B30,'Round 6'!$F$2:$H$361,3,false),1)="a","L","")))</f>
        <v>L</v>
      </c>
      <c r="J30" s="67" t="str">
        <f>iferror(iferror(if(LEFT(VLOOKUP($B30,'Round 7'!$B$2:$H$361,7,false),1)="A","W",if(LEFT(VLOOKUP($B30,'Round 7'!$B$2:$H$361,7,false),1)="B","L","")),if(LEFT(VLOOKUP($B30,'Round 7'!$F$2:$H$361,3,false),1)="b","W",if(LEFT(VLOOKUP($B30,'Round 7'!$F$2:$H$361,3,false),1)="a","L",""))),"")</f>
        <v>W</v>
      </c>
      <c r="K30" s="68" t="str">
        <f>iferror(iferror(if(LEFT(VLOOKUP($B30,'Round 8'!$B$2:$H$361,7,false),1)="A","W",if(LEFT(VLOOKUP($B30,'Round 8'!$B$2:$H$361,7,false),1)="B","L","")),if(LEFT(VLOOKUP($B30,'Round 8'!$F$2:$H$361,3,false),1)="b","W",if(LEFT(VLOOKUP($B30,'Round 8'!$F$2:$H$361,3,false),1)="a","L",""))),"")</f>
        <v>W</v>
      </c>
      <c r="L30" s="68" t="str">
        <f>iferror(iferror(if(LEFT(VLOOKUP($B30,'Round 9'!$B$2:$H$361,7,false),1)="A","W",if(LEFT(VLOOKUP($B30,'Round 9'!$B$2:$H$361,7,false),1)="B","L","")),if(LEFT(VLOOKUP($B30,'Round 9'!$F$2:$H$361,3,false),1)="b","W",if(LEFT(VLOOKUP($B30,'Round 9'!$F$2:$H$361,3,false),1)="a","L",""))),"")</f>
        <v>W</v>
      </c>
      <c r="M30" s="68" t="str">
        <f>iferror(iferror(if(LEFT(VLOOKUP($B30,'Round 10'!$B$2:$H$362,7,false),1)="A","W",if(LEFT(VLOOKUP($B30,'Round 10'!$B$2:$H$362,7,false),1)="B","L","")),if(LEFT(VLOOKUP($B30,'Round 10'!$F$2:$H$362,3,false),1)="b","W",if(LEFT(VLOOKUP($B30,'Round 10'!$F$2:$H$362,3,false),1)="a","L",""))),"")</f>
        <v/>
      </c>
      <c r="N30" s="62" t="s">
        <v>140</v>
      </c>
    </row>
    <row r="31">
      <c r="A31" s="63">
        <v>30.0</v>
      </c>
      <c r="B31" s="64" t="s">
        <v>141</v>
      </c>
      <c r="C31" s="65" t="str">
        <f t="shared" si="1"/>
        <v>7 - 2</v>
      </c>
      <c r="D31" s="67" t="str">
        <f>iferror(if(LEFT(VLOOKUP($B31,'Round 1'!$B$2:$H$361,7,false),1)="A","W",if(LEFT(VLOOKUP($B31,'Round 1'!$B$2:$H$361,7,false),1)="B","L","")),if(LEFT(VLOOKUP($B31,'Round 1'!$F$2:$H$361,3,false),1)="b","W",if(LEFT(VLOOKUP($B31,'Round 1'!$F$2:$H$361,3,false),1)="a","L","")))</f>
        <v>L</v>
      </c>
      <c r="E31" s="67" t="str">
        <f>iferror(if(LEFT(VLOOKUP($B31,'Round 2'!$C$2:$J$361,8,false),1)="A","W",if(LEFT(VLOOKUP($B31,'Round 2'!$C$2:$J$361,8,false),1)="B","L","")),if(LEFT(VLOOKUP($B31,'Round 2'!$G$2:$J$361,4,false),1)="b","W",if(LEFT(VLOOKUP($B31,'Round 2'!$G$2:$J$361,4,false),1)="a","L","")))</f>
        <v>W</v>
      </c>
      <c r="F31" s="67" t="str">
        <f>iferror(if(LEFT(VLOOKUP($B31,'Round 3'!$B$2:$H$361,7,false),1)="A","W",if(LEFT(VLOOKUP($B31,'Round 3'!$B$2:$H$361,7,false),1)="B","L","")),if(LEFT(VLOOKUP($B31,'Round 3'!$F$2:$H$361,3,false),1)="b","W",if(LEFT(VLOOKUP($B31,'Round 3'!$F$2:$H$361,3,false),1)="a","L","")))</f>
        <v>W</v>
      </c>
      <c r="G31" s="67" t="str">
        <f>iferror(if(LEFT(VLOOKUP($B31,'Round 4'!$B$2:$H$361,7,false),1)="A","W",if(LEFT(VLOOKUP($B31,'Round 4'!$B$2:$H$361,7,false),1)="B","L","")),if(LEFT(VLOOKUP($B31,'Round 4'!$F$2:$H$361,3,false),1)="b","W",if(LEFT(VLOOKUP($B31,'Round 4'!$F$2:$H$361,3,false),1)="a","L","")))</f>
        <v>W</v>
      </c>
      <c r="H31" s="67" t="str">
        <f>iferror(if(LEFT(VLOOKUP($B31,'Round 5'!$B$2:$H$361,7,false),1)="A","W",if(LEFT(VLOOKUP($B31,'Round 5'!$B$2:$H$361,7,false),1)="B","L","")),if(LEFT(VLOOKUP($B31,'Round 5'!$F$2:$H$361,3,false),1)="b","W",if(LEFT(VLOOKUP($B31,'Round 5'!$F$2:$H$361,3,false),1)="a","L","")))</f>
        <v>W</v>
      </c>
      <c r="I31" s="67" t="str">
        <f>iferror(if(LEFT(VLOOKUP($B31,'Round 6'!$B$2:$H$361,7,false),1)="A","W",if(LEFT(VLOOKUP($B31,'Round 6'!$B$2:$H$361,7,false),1)="B","L","")),if(LEFT(VLOOKUP($B31,'Round 6'!$F$2:$H$361,3,false),1)="b","W",if(LEFT(VLOOKUP($B31,'Round 6'!$F$2:$H$361,3,false),1)="a","L","")))</f>
        <v>W</v>
      </c>
      <c r="J31" s="67" t="str">
        <f>iferror(iferror(if(LEFT(VLOOKUP($B31,'Round 7'!$B$2:$H$361,7,false),1)="A","W",if(LEFT(VLOOKUP($B31,'Round 7'!$B$2:$H$361,7,false),1)="B","L","")),if(LEFT(VLOOKUP($B31,'Round 7'!$F$2:$H$361,3,false),1)="b","W",if(LEFT(VLOOKUP($B31,'Round 7'!$F$2:$H$361,3,false),1)="a","L",""))),"")</f>
        <v>L</v>
      </c>
      <c r="K31" s="68" t="str">
        <f>iferror(iferror(if(LEFT(VLOOKUP($B31,'Round 8'!$B$2:$H$361,7,false),1)="A","W",if(LEFT(VLOOKUP($B31,'Round 8'!$B$2:$H$361,7,false),1)="B","L","")),if(LEFT(VLOOKUP($B31,'Round 8'!$F$2:$H$361,3,false),1)="b","W",if(LEFT(VLOOKUP($B31,'Round 8'!$F$2:$H$361,3,false),1)="a","L",""))),"")</f>
        <v>W</v>
      </c>
      <c r="L31" s="68" t="str">
        <f>iferror(iferror(if(LEFT(VLOOKUP($B31,'Round 9'!$B$2:$H$361,7,false),1)="A","W",if(LEFT(VLOOKUP($B31,'Round 9'!$B$2:$H$361,7,false),1)="B","L","")),if(LEFT(VLOOKUP($B31,'Round 9'!$F$2:$H$361,3,false),1)="b","W",if(LEFT(VLOOKUP($B31,'Round 9'!$F$2:$H$361,3,false),1)="a","L",""))),"")</f>
        <v>W</v>
      </c>
      <c r="M31" s="68" t="str">
        <f>iferror(iferror(if(LEFT(VLOOKUP($B31,'Round 10'!$B$2:$H$362,7,false),1)="A","W",if(LEFT(VLOOKUP($B31,'Round 10'!$B$2:$H$362,7,false),1)="B","L","")),if(LEFT(VLOOKUP($B31,'Round 10'!$F$2:$H$362,3,false),1)="b","W",if(LEFT(VLOOKUP($B31,'Round 10'!$F$2:$H$362,3,false),1)="a","L",""))),"")</f>
        <v/>
      </c>
      <c r="N31" s="62" t="s">
        <v>142</v>
      </c>
    </row>
    <row r="32">
      <c r="A32" s="63">
        <v>31.0</v>
      </c>
      <c r="B32" s="64" t="s">
        <v>143</v>
      </c>
      <c r="C32" s="65" t="str">
        <f t="shared" si="1"/>
        <v>2 - 3</v>
      </c>
      <c r="D32" s="67" t="str">
        <f>iferror(if(LEFT(VLOOKUP($B32,'Round 1'!$B$2:$H$361,7,false),1)="A","W",if(LEFT(VLOOKUP($B32,'Round 1'!$B$2:$H$361,7,false),1)="B","L","")),if(LEFT(VLOOKUP($B32,'Round 1'!$F$2:$H$361,3,false),1)="b","W",if(LEFT(VLOOKUP($B32,'Round 1'!$F$2:$H$361,3,false),1)="a","L","")))</f>
        <v>W</v>
      </c>
      <c r="E32" s="67" t="str">
        <f>iferror(if(LEFT(VLOOKUP($B32,'Round 2'!$C$2:$J$361,8,false),1)="A","W",if(LEFT(VLOOKUP($B32,'Round 2'!$C$2:$J$361,8,false),1)="B","L","")),if(LEFT(VLOOKUP($B32,'Round 2'!$G$2:$J$361,4,false),1)="b","W",if(LEFT(VLOOKUP($B32,'Round 2'!$G$2:$J$361,4,false),1)="a","L","")))</f>
        <v>W</v>
      </c>
      <c r="F32" s="67" t="str">
        <f>iferror(if(LEFT(VLOOKUP($B32,'Round 3'!$B$2:$H$361,7,false),1)="A","W",if(LEFT(VLOOKUP($B32,'Round 3'!$B$2:$H$361,7,false),1)="B","L","")),if(LEFT(VLOOKUP($B32,'Round 3'!$F$2:$H$361,3,false),1)="b","W",if(LEFT(VLOOKUP($B32,'Round 3'!$F$2:$H$361,3,false),1)="a","L","")))</f>
        <v>L</v>
      </c>
      <c r="G32" s="67" t="str">
        <f>iferror(if(LEFT(VLOOKUP($B32,'Round 4'!$B$2:$H$361,7,false),1)="A","W",if(LEFT(VLOOKUP($B32,'Round 4'!$B$2:$H$361,7,false),1)="B","L","")),if(LEFT(VLOOKUP($B32,'Round 4'!$F$2:$H$361,3,false),1)="b","W",if(LEFT(VLOOKUP($B32,'Round 4'!$F$2:$H$361,3,false),1)="a","L","")))</f>
        <v>L</v>
      </c>
      <c r="H32" s="67" t="str">
        <f>iferror(if(LEFT(VLOOKUP($B32,'Round 5'!$B$2:$H$361,7,false),1)="A","W",if(LEFT(VLOOKUP($B32,'Round 5'!$B$2:$H$361,7,false),1)="B","L","")),if(LEFT(VLOOKUP($B32,'Round 5'!$F$2:$H$361,3,false),1)="b","W",if(LEFT(VLOOKUP($B32,'Round 5'!$F$2:$H$361,3,false),1)="a","L","")))</f>
        <v>L</v>
      </c>
      <c r="I32" s="67"/>
      <c r="J32" s="67" t="str">
        <f>iferror(iferror(if(LEFT(VLOOKUP($B32,'Round 7'!$B$2:$H$361,7,false),1)="A","W",if(LEFT(VLOOKUP($B32,'Round 7'!$B$2:$H$361,7,false),1)="B","L","")),if(LEFT(VLOOKUP($B32,'Round 7'!$F$2:$H$361,3,false),1)="b","W",if(LEFT(VLOOKUP($B32,'Round 7'!$F$2:$H$361,3,false),1)="a","L",""))),"")</f>
        <v/>
      </c>
      <c r="K32" s="68" t="str">
        <f>iferror(iferror(if(LEFT(VLOOKUP($B32,'Round 8'!$B$2:$H$361,7,false),1)="A","W",if(LEFT(VLOOKUP($B32,'Round 8'!$B$2:$H$361,7,false),1)="B","L","")),if(LEFT(VLOOKUP($B32,'Round 8'!$F$2:$H$361,3,false),1)="b","W",if(LEFT(VLOOKUP($B32,'Round 8'!$F$2:$H$361,3,false),1)="a","L",""))),"")</f>
        <v/>
      </c>
      <c r="L32" s="68" t="str">
        <f>iferror(iferror(if(LEFT(VLOOKUP($B32,'Round 9'!$B$2:$H$361,7,false),1)="A","W",if(LEFT(VLOOKUP($B32,'Round 9'!$B$2:$H$361,7,false),1)="B","L","")),if(LEFT(VLOOKUP($B32,'Round 9'!$F$2:$H$361,3,false),1)="b","W",if(LEFT(VLOOKUP($B32,'Round 9'!$F$2:$H$361,3,false),1)="a","L",""))),"")</f>
        <v/>
      </c>
      <c r="M32" s="68" t="str">
        <f>iferror(iferror(if(LEFT(VLOOKUP($B32,'Round 10'!$B$2:$H$362,7,false),1)="A","W",if(LEFT(VLOOKUP($B32,'Round 10'!$B$2:$H$362,7,false),1)="B","L","")),if(LEFT(VLOOKUP($B32,'Round 10'!$F$2:$H$362,3,false),1)="b","W",if(LEFT(VLOOKUP($B32,'Round 10'!$F$2:$H$362,3,false),1)="a","L",""))),"")</f>
        <v/>
      </c>
      <c r="N32" s="62" t="s">
        <v>144</v>
      </c>
    </row>
    <row r="33">
      <c r="A33" s="63">
        <v>32.0</v>
      </c>
      <c r="B33" s="64" t="s">
        <v>145</v>
      </c>
      <c r="C33" s="65" t="str">
        <f t="shared" si="1"/>
        <v>6 - 3</v>
      </c>
      <c r="D33" s="67" t="str">
        <f>iferror(if(LEFT(VLOOKUP($B33,'Round 1'!$B$2:$H$361,7,false),1)="A","W",if(LEFT(VLOOKUP($B33,'Round 1'!$B$2:$H$361,7,false),1)="B","L","")),if(LEFT(VLOOKUP($B33,'Round 1'!$F$2:$H$361,3,false),1)="b","W",if(LEFT(VLOOKUP($B33,'Round 1'!$F$2:$H$361,3,false),1)="a","L","")))</f>
        <v>W</v>
      </c>
      <c r="E33" s="67" t="str">
        <f>iferror(if(LEFT(VLOOKUP($B33,'Round 2'!$C$2:$J$361,8,false),1)="A","W",if(LEFT(VLOOKUP($B33,'Round 2'!$C$2:$J$361,8,false),1)="B","L","")),if(LEFT(VLOOKUP($B33,'Round 2'!$G$2:$J$361,4,false),1)="b","W",if(LEFT(VLOOKUP($B33,'Round 2'!$G$2:$J$361,4,false),1)="a","L","")))</f>
        <v>W</v>
      </c>
      <c r="F33" s="67" t="str">
        <f>iferror(if(LEFT(VLOOKUP($B33,'Round 3'!$B$2:$H$361,7,false),1)="A","W",if(LEFT(VLOOKUP($B33,'Round 3'!$B$2:$H$361,7,false),1)="B","L","")),if(LEFT(VLOOKUP($B33,'Round 3'!$F$2:$H$361,3,false),1)="b","W",if(LEFT(VLOOKUP($B33,'Round 3'!$F$2:$H$361,3,false),1)="a","L","")))</f>
        <v>W</v>
      </c>
      <c r="G33" s="67" t="str">
        <f>iferror(if(LEFT(VLOOKUP($B33,'Round 4'!$B$2:$H$361,7,false),1)="A","W",if(LEFT(VLOOKUP($B33,'Round 4'!$B$2:$H$361,7,false),1)="B","L","")),if(LEFT(VLOOKUP($B33,'Round 4'!$F$2:$H$361,3,false),1)="b","W",if(LEFT(VLOOKUP($B33,'Round 4'!$F$2:$H$361,3,false),1)="a","L","")))</f>
        <v>W</v>
      </c>
      <c r="H33" s="67" t="str">
        <f>iferror(if(LEFT(VLOOKUP($B33,'Round 5'!$B$2:$H$361,7,false),1)="A","W",if(LEFT(VLOOKUP($B33,'Round 5'!$B$2:$H$361,7,false),1)="B","L","")),if(LEFT(VLOOKUP($B33,'Round 5'!$F$2:$H$361,3,false),1)="b","W",if(LEFT(VLOOKUP($B33,'Round 5'!$F$2:$H$361,3,false),1)="a","L","")))</f>
        <v>W</v>
      </c>
      <c r="I33" s="67" t="str">
        <f>iferror(if(LEFT(VLOOKUP($B33,'Round 6'!$B$2:$H$361,7,false),1)="A","W",if(LEFT(VLOOKUP($B33,'Round 6'!$B$2:$H$361,7,false),1)="B","L","")),if(LEFT(VLOOKUP($B33,'Round 6'!$F$2:$H$361,3,false),1)="b","W",if(LEFT(VLOOKUP($B33,'Round 6'!$F$2:$H$361,3,false),1)="a","L","")))</f>
        <v>W</v>
      </c>
      <c r="J33" s="67" t="str">
        <f>iferror(iferror(if(LEFT(VLOOKUP($B33,'Round 7'!$B$2:$H$361,7,false),1)="A","W",if(LEFT(VLOOKUP($B33,'Round 7'!$B$2:$H$361,7,false),1)="B","L","")),if(LEFT(VLOOKUP($B33,'Round 7'!$F$2:$H$361,3,false),1)="b","W",if(LEFT(VLOOKUP($B33,'Round 7'!$F$2:$H$361,3,false),1)="a","L",""))),"")</f>
        <v>L</v>
      </c>
      <c r="K33" s="68" t="str">
        <f>iferror(iferror(if(LEFT(VLOOKUP($B33,'Round 8'!$B$2:$H$361,7,false),1)="A","W",if(LEFT(VLOOKUP($B33,'Round 8'!$B$2:$H$361,7,false),1)="B","L","")),if(LEFT(VLOOKUP($B33,'Round 8'!$F$2:$H$361,3,false),1)="b","W",if(LEFT(VLOOKUP($B33,'Round 8'!$F$2:$H$361,3,false),1)="a","L",""))),"")</f>
        <v>L</v>
      </c>
      <c r="L33" s="68" t="str">
        <f>iferror(iferror(if(LEFT(VLOOKUP($B33,'Round 9'!$B$2:$H$361,7,false),1)="A","W",if(LEFT(VLOOKUP($B33,'Round 9'!$B$2:$H$361,7,false),1)="B","L","")),if(LEFT(VLOOKUP($B33,'Round 9'!$F$2:$H$361,3,false),1)="b","W",if(LEFT(VLOOKUP($B33,'Round 9'!$F$2:$H$361,3,false),1)="a","L",""))),"")</f>
        <v>L</v>
      </c>
      <c r="M33" s="68" t="str">
        <f>iferror(iferror(if(LEFT(VLOOKUP($B33,'Round 10'!$B$2:$H$362,7,false),1)="A","W",if(LEFT(VLOOKUP($B33,'Round 10'!$B$2:$H$362,7,false),1)="B","L","")),if(LEFT(VLOOKUP($B33,'Round 10'!$F$2:$H$362,3,false),1)="b","W",if(LEFT(VLOOKUP($B33,'Round 10'!$F$2:$H$362,3,false),1)="a","L",""))),"")</f>
        <v/>
      </c>
      <c r="N33" s="62" t="s">
        <v>146</v>
      </c>
    </row>
    <row r="34">
      <c r="A34" s="63">
        <v>33.0</v>
      </c>
      <c r="B34" s="64" t="s">
        <v>147</v>
      </c>
      <c r="C34" s="65" t="str">
        <f t="shared" si="1"/>
        <v>2 - 3</v>
      </c>
      <c r="D34" s="67" t="str">
        <f>iferror(if(LEFT(VLOOKUP($B34,'Round 1'!$B$2:$H$361,7,false),1)="A","W",if(LEFT(VLOOKUP($B34,'Round 1'!$B$2:$H$361,7,false),1)="B","L","")),if(LEFT(VLOOKUP($B34,'Round 1'!$F$2:$H$361,3,false),1)="b","W",if(LEFT(VLOOKUP($B34,'Round 1'!$F$2:$H$361,3,false),1)="a","L","")))</f>
        <v>W</v>
      </c>
      <c r="E34" s="67" t="str">
        <f>iferror(if(LEFT(VLOOKUP($B34,'Round 2'!$C$2:$J$361,8,false),1)="A","W",if(LEFT(VLOOKUP($B34,'Round 2'!$C$2:$J$361,8,false),1)="B","L","")),if(LEFT(VLOOKUP($B34,'Round 2'!$G$2:$J$361,4,false),1)="b","W",if(LEFT(VLOOKUP($B34,'Round 2'!$G$2:$J$361,4,false),1)="a","L","")))</f>
        <v>L</v>
      </c>
      <c r="F34" s="67" t="str">
        <f>iferror(if(LEFT(VLOOKUP($B34,'Round 3'!$B$2:$H$361,7,false),1)="A","W",if(LEFT(VLOOKUP($B34,'Round 3'!$B$2:$H$361,7,false),1)="B","L","")),if(LEFT(VLOOKUP($B34,'Round 3'!$F$2:$H$361,3,false),1)="b","W",if(LEFT(VLOOKUP($B34,'Round 3'!$F$2:$H$361,3,false),1)="a","L","")))</f>
        <v>W</v>
      </c>
      <c r="G34" s="67" t="str">
        <f>iferror(if(LEFT(VLOOKUP($B34,'Round 4'!$B$2:$H$361,7,false),1)="A","W",if(LEFT(VLOOKUP($B34,'Round 4'!$B$2:$H$361,7,false),1)="B","L","")),if(LEFT(VLOOKUP($B34,'Round 4'!$F$2:$H$361,3,false),1)="b","W",if(LEFT(VLOOKUP($B34,'Round 4'!$F$2:$H$361,3,false),1)="a","L","")))</f>
        <v>L</v>
      </c>
      <c r="H34" s="67" t="str">
        <f>iferror(if(LEFT(VLOOKUP($B34,'Round 5'!$B$2:$H$361,7,false),1)="A","W",if(LEFT(VLOOKUP($B34,'Round 5'!$B$2:$H$361,7,false),1)="B","L","")),if(LEFT(VLOOKUP($B34,'Round 5'!$F$2:$H$361,3,false),1)="b","W",if(LEFT(VLOOKUP($B34,'Round 5'!$F$2:$H$361,3,false),1)="a","L","")))</f>
        <v>L</v>
      </c>
      <c r="I34" s="67"/>
      <c r="J34" s="67" t="str">
        <f>iferror(iferror(if(LEFT(VLOOKUP($B34,'Round 7'!$B$2:$H$361,7,false),1)="A","W",if(LEFT(VLOOKUP($B34,'Round 7'!$B$2:$H$361,7,false),1)="B","L","")),if(LEFT(VLOOKUP($B34,'Round 7'!$F$2:$H$361,3,false),1)="b","W",if(LEFT(VLOOKUP($B34,'Round 7'!$F$2:$H$361,3,false),1)="a","L",""))),"")</f>
        <v/>
      </c>
      <c r="K34" s="68" t="str">
        <f>iferror(iferror(if(LEFT(VLOOKUP($B34,'Round 8'!$B$2:$H$361,7,false),1)="A","W",if(LEFT(VLOOKUP($B34,'Round 8'!$B$2:$H$361,7,false),1)="B","L","")),if(LEFT(VLOOKUP($B34,'Round 8'!$F$2:$H$361,3,false),1)="b","W",if(LEFT(VLOOKUP($B34,'Round 8'!$F$2:$H$361,3,false),1)="a","L",""))),"")</f>
        <v/>
      </c>
      <c r="L34" s="68" t="str">
        <f>iferror(iferror(if(LEFT(VLOOKUP($B34,'Round 9'!$B$2:$H$361,7,false),1)="A","W",if(LEFT(VLOOKUP($B34,'Round 9'!$B$2:$H$361,7,false),1)="B","L","")),if(LEFT(VLOOKUP($B34,'Round 9'!$F$2:$H$361,3,false),1)="b","W",if(LEFT(VLOOKUP($B34,'Round 9'!$F$2:$H$361,3,false),1)="a","L",""))),"")</f>
        <v/>
      </c>
      <c r="M34" s="68" t="str">
        <f>iferror(iferror(if(LEFT(VLOOKUP($B34,'Round 10'!$B$2:$H$362,7,false),1)="A","W",if(LEFT(VLOOKUP($B34,'Round 10'!$B$2:$H$362,7,false),1)="B","L","")),if(LEFT(VLOOKUP($B34,'Round 10'!$F$2:$H$362,3,false),1)="b","W",if(LEFT(VLOOKUP($B34,'Round 10'!$F$2:$H$362,3,false),1)="a","L",""))),"")</f>
        <v/>
      </c>
      <c r="N34" s="62" t="s">
        <v>144</v>
      </c>
    </row>
    <row r="35">
      <c r="A35" s="63">
        <v>34.0</v>
      </c>
      <c r="B35" s="64" t="s">
        <v>148</v>
      </c>
      <c r="C35" s="65" t="str">
        <f t="shared" si="1"/>
        <v>6 - 3</v>
      </c>
      <c r="D35" s="67" t="str">
        <f>iferror(if(LEFT(VLOOKUP($B35,'Round 1'!$B$2:$H$361,7,false),1)="A","W",if(LEFT(VLOOKUP($B35,'Round 1'!$B$2:$H$361,7,false),1)="B","L","")),if(LEFT(VLOOKUP($B35,'Round 1'!$F$2:$H$361,3,false),1)="b","W",if(LEFT(VLOOKUP($B35,'Round 1'!$F$2:$H$361,3,false),1)="a","L","")))</f>
        <v>W</v>
      </c>
      <c r="E35" s="67" t="str">
        <f>iferror(if(LEFT(VLOOKUP($B35,'Round 2'!$C$2:$J$361,8,false),1)="A","W",if(LEFT(VLOOKUP($B35,'Round 2'!$C$2:$J$361,8,false),1)="B","L","")),if(LEFT(VLOOKUP($B35,'Round 2'!$G$2:$J$361,4,false),1)="b","W",if(LEFT(VLOOKUP($B35,'Round 2'!$G$2:$J$361,4,false),1)="a","L","")))</f>
        <v>W</v>
      </c>
      <c r="F35" s="67" t="str">
        <f>iferror(if(LEFT(VLOOKUP($B35,'Round 3'!$B$2:$H$361,7,false),1)="A","W",if(LEFT(VLOOKUP($B35,'Round 3'!$B$2:$H$361,7,false),1)="B","L","")),if(LEFT(VLOOKUP($B35,'Round 3'!$F$2:$H$361,3,false),1)="b","W",if(LEFT(VLOOKUP($B35,'Round 3'!$F$2:$H$361,3,false),1)="a","L","")))</f>
        <v>W</v>
      </c>
      <c r="G35" s="67" t="str">
        <f>iferror(if(LEFT(VLOOKUP($B35,'Round 4'!$B$2:$H$361,7,false),1)="A","W",if(LEFT(VLOOKUP($B35,'Round 4'!$B$2:$H$361,7,false),1)="B","L","")),if(LEFT(VLOOKUP($B35,'Round 4'!$F$2:$H$361,3,false),1)="b","W",if(LEFT(VLOOKUP($B35,'Round 4'!$F$2:$H$361,3,false),1)="a","L","")))</f>
        <v>L</v>
      </c>
      <c r="H35" s="67" t="str">
        <f>iferror(if(LEFT(VLOOKUP($B35,'Round 5'!$B$2:$H$361,7,false),1)="A","W",if(LEFT(VLOOKUP($B35,'Round 5'!$B$2:$H$361,7,false),1)="B","L","")),if(LEFT(VLOOKUP($B35,'Round 5'!$F$2:$H$361,3,false),1)="b","W",if(LEFT(VLOOKUP($B35,'Round 5'!$F$2:$H$361,3,false),1)="a","L","")))</f>
        <v>L</v>
      </c>
      <c r="I35" s="67" t="str">
        <f>iferror(if(LEFT(VLOOKUP($B35,'Round 6'!$B$2:$H$361,7,false),1)="A","W",if(LEFT(VLOOKUP($B35,'Round 6'!$B$2:$H$361,7,false),1)="B","L","")),if(LEFT(VLOOKUP($B35,'Round 6'!$F$2:$H$361,3,false),1)="b","W",if(LEFT(VLOOKUP($B35,'Round 6'!$F$2:$H$361,3,false),1)="a","L","")))</f>
        <v>W</v>
      </c>
      <c r="J35" s="67" t="str">
        <f>iferror(iferror(if(LEFT(VLOOKUP($B35,'Round 7'!$B$2:$H$361,7,false),1)="A","W",if(LEFT(VLOOKUP($B35,'Round 7'!$B$2:$H$361,7,false),1)="B","L","")),if(LEFT(VLOOKUP($B35,'Round 7'!$F$2:$H$361,3,false),1)="b","W",if(LEFT(VLOOKUP($B35,'Round 7'!$F$2:$H$361,3,false),1)="a","L",""))),"")</f>
        <v>W</v>
      </c>
      <c r="K35" s="68" t="str">
        <f>iferror(iferror(if(LEFT(VLOOKUP($B35,'Round 8'!$B$2:$H$361,7,false),1)="A","W",if(LEFT(VLOOKUP($B35,'Round 8'!$B$2:$H$361,7,false),1)="B","L","")),if(LEFT(VLOOKUP($B35,'Round 8'!$F$2:$H$361,3,false),1)="b","W",if(LEFT(VLOOKUP($B35,'Round 8'!$F$2:$H$361,3,false),1)="a","L",""))),"")</f>
        <v>W</v>
      </c>
      <c r="L35" s="68" t="str">
        <f>iferror(iferror(if(LEFT(VLOOKUP($B35,'Round 9'!$B$2:$H$361,7,false),1)="A","W",if(LEFT(VLOOKUP($B35,'Round 9'!$B$2:$H$361,7,false),1)="B","L","")),if(LEFT(VLOOKUP($B35,'Round 9'!$F$2:$H$361,3,false),1)="b","W",if(LEFT(VLOOKUP($B35,'Round 9'!$F$2:$H$361,3,false),1)="a","L",""))),"")</f>
        <v>L</v>
      </c>
      <c r="M35" s="68" t="str">
        <f>iferror(iferror(if(LEFT(VLOOKUP($B35,'Round 10'!$B$2:$H$362,7,false),1)="A","W",if(LEFT(VLOOKUP($B35,'Round 10'!$B$2:$H$362,7,false),1)="B","L","")),if(LEFT(VLOOKUP($B35,'Round 10'!$F$2:$H$362,3,false),1)="b","W",if(LEFT(VLOOKUP($B35,'Round 10'!$F$2:$H$362,3,false),1)="a","L",""))),"")</f>
        <v/>
      </c>
      <c r="N35" s="62" t="s">
        <v>149</v>
      </c>
    </row>
    <row r="36">
      <c r="A36" s="63">
        <v>35.0</v>
      </c>
      <c r="B36" s="64" t="s">
        <v>150</v>
      </c>
      <c r="C36" s="65" t="str">
        <f t="shared" si="1"/>
        <v>7 - 2</v>
      </c>
      <c r="D36" s="67" t="str">
        <f>iferror(if(LEFT(VLOOKUP($B36,'Round 1'!$B$2:$H$361,7,false),1)="A","W",if(LEFT(VLOOKUP($B36,'Round 1'!$B$2:$H$361,7,false),1)="B","L","")),if(LEFT(VLOOKUP($B36,'Round 1'!$F$2:$H$361,3,false),1)="b","W",if(LEFT(VLOOKUP($B36,'Round 1'!$F$2:$H$361,3,false),1)="a","L","")))</f>
        <v>W</v>
      </c>
      <c r="E36" s="67" t="str">
        <f>iferror(if(LEFT(VLOOKUP($B36,'Round 2'!$C$2:$J$361,8,false),1)="A","W",if(LEFT(VLOOKUP($B36,'Round 2'!$C$2:$J$361,8,false),1)="B","L","")),if(LEFT(VLOOKUP($B36,'Round 2'!$G$2:$J$361,4,false),1)="b","W",if(LEFT(VLOOKUP($B36,'Round 2'!$G$2:$J$361,4,false),1)="a","L","")))</f>
        <v>W</v>
      </c>
      <c r="F36" s="67" t="str">
        <f>iferror(if(LEFT(VLOOKUP($B36,'Round 3'!$B$2:$H$361,7,false),1)="A","W",if(LEFT(VLOOKUP($B36,'Round 3'!$B$2:$H$361,7,false),1)="B","L","")),if(LEFT(VLOOKUP($B36,'Round 3'!$F$2:$H$361,3,false),1)="b","W",if(LEFT(VLOOKUP($B36,'Round 3'!$F$2:$H$361,3,false),1)="a","L","")))</f>
        <v>L</v>
      </c>
      <c r="G36" s="67" t="str">
        <f>iferror(if(LEFT(VLOOKUP($B36,'Round 4'!$B$2:$H$361,7,false),1)="A","W",if(LEFT(VLOOKUP($B36,'Round 4'!$B$2:$H$361,7,false),1)="B","L","")),if(LEFT(VLOOKUP($B36,'Round 4'!$F$2:$H$361,3,false),1)="b","W",if(LEFT(VLOOKUP($B36,'Round 4'!$F$2:$H$361,3,false),1)="a","L","")))</f>
        <v>W</v>
      </c>
      <c r="H36" s="67" t="str">
        <f>iferror(if(LEFT(VLOOKUP($B36,'Round 5'!$B$2:$H$361,7,false),1)="A","W",if(LEFT(VLOOKUP($B36,'Round 5'!$B$2:$H$361,7,false),1)="B","L","")),if(LEFT(VLOOKUP($B36,'Round 5'!$F$2:$H$361,3,false),1)="b","W",if(LEFT(VLOOKUP($B36,'Round 5'!$F$2:$H$361,3,false),1)="a","L","")))</f>
        <v>W</v>
      </c>
      <c r="I36" s="67" t="str">
        <f>iferror(if(LEFT(VLOOKUP($B36,'Round 6'!$B$2:$H$361,7,false),1)="A","W",if(LEFT(VLOOKUP($B36,'Round 6'!$B$2:$H$361,7,false),1)="B","L","")),if(LEFT(VLOOKUP($B36,'Round 6'!$F$2:$H$361,3,false),1)="b","W",if(LEFT(VLOOKUP($B36,'Round 6'!$F$2:$H$361,3,false),1)="a","L","")))</f>
        <v>W</v>
      </c>
      <c r="J36" s="67" t="str">
        <f>iferror(iferror(if(LEFT(VLOOKUP($B36,'Round 7'!$B$2:$H$361,7,false),1)="A","W",if(LEFT(VLOOKUP($B36,'Round 7'!$B$2:$H$361,7,false),1)="B","L","")),if(LEFT(VLOOKUP($B36,'Round 7'!$F$2:$H$361,3,false),1)="b","W",if(LEFT(VLOOKUP($B36,'Round 7'!$F$2:$H$361,3,false),1)="a","L",""))),"")</f>
        <v>W</v>
      </c>
      <c r="K36" s="68" t="str">
        <f>iferror(iferror(if(LEFT(VLOOKUP($B36,'Round 8'!$B$2:$H$361,7,false),1)="A","W",if(LEFT(VLOOKUP($B36,'Round 8'!$B$2:$H$361,7,false),1)="B","L","")),if(LEFT(VLOOKUP($B36,'Round 8'!$F$2:$H$361,3,false),1)="b","W",if(LEFT(VLOOKUP($B36,'Round 8'!$F$2:$H$361,3,false),1)="a","L",""))),"")</f>
        <v>L</v>
      </c>
      <c r="L36" s="68" t="str">
        <f>iferror(iferror(if(LEFT(VLOOKUP($B36,'Round 9'!$B$2:$H$361,7,false),1)="A","W",if(LEFT(VLOOKUP($B36,'Round 9'!$B$2:$H$361,7,false),1)="B","L","")),if(LEFT(VLOOKUP($B36,'Round 9'!$F$2:$H$361,3,false),1)="b","W",if(LEFT(VLOOKUP($B36,'Round 9'!$F$2:$H$361,3,false),1)="a","L",""))),"")</f>
        <v>W</v>
      </c>
      <c r="M36" s="68" t="str">
        <f>iferror(iferror(if(LEFT(VLOOKUP($B36,'Round 10'!$B$2:$H$362,7,false),1)="A","W",if(LEFT(VLOOKUP($B36,'Round 10'!$B$2:$H$362,7,false),1)="B","L","")),if(LEFT(VLOOKUP($B36,'Round 10'!$F$2:$H$362,3,false),1)="b","W",if(LEFT(VLOOKUP($B36,'Round 10'!$F$2:$H$362,3,false),1)="a","L",""))),"")</f>
        <v/>
      </c>
      <c r="N36" s="62" t="s">
        <v>151</v>
      </c>
    </row>
    <row r="37">
      <c r="A37" s="63">
        <v>36.0</v>
      </c>
      <c r="B37" s="70" t="s">
        <v>152</v>
      </c>
      <c r="C37" s="65" t="str">
        <f t="shared" si="1"/>
        <v>7 - 2</v>
      </c>
      <c r="D37" s="67" t="str">
        <f>iferror(if(LEFT(VLOOKUP($B37,'Round 1'!$B$2:$H$361,7,false),1)="A","W",if(LEFT(VLOOKUP($B37,'Round 1'!$B$2:$H$361,7,false),1)="B","L","")),if(LEFT(VLOOKUP($B37,'Round 1'!$F$2:$H$361,3,false),1)="b","W",if(LEFT(VLOOKUP($B37,'Round 1'!$F$2:$H$361,3,false),1)="a","L","")))</f>
        <v>W</v>
      </c>
      <c r="E37" s="67" t="str">
        <f>iferror(if(LEFT(VLOOKUP($B37,'Round 2'!$C$2:$J$361,8,false),1)="A","W",if(LEFT(VLOOKUP($B37,'Round 2'!$C$2:$J$361,8,false),1)="B","L","")),if(LEFT(VLOOKUP($B37,'Round 2'!$G$2:$J$361,4,false),1)="b","W",if(LEFT(VLOOKUP($B37,'Round 2'!$G$2:$J$361,4,false),1)="a","L","")))</f>
        <v>W</v>
      </c>
      <c r="F37" s="67" t="str">
        <f>iferror(if(LEFT(VLOOKUP($B37,'Round 3'!$B$2:$H$361,7,false),1)="A","W",if(LEFT(VLOOKUP($B37,'Round 3'!$B$2:$H$361,7,false),1)="B","L","")),if(LEFT(VLOOKUP($B37,'Round 3'!$F$2:$H$361,3,false),1)="b","W",if(LEFT(VLOOKUP($B37,'Round 3'!$F$2:$H$361,3,false),1)="a","L","")))</f>
        <v>W</v>
      </c>
      <c r="G37" s="67" t="str">
        <f>iferror(if(LEFT(VLOOKUP($B37,'Round 4'!$B$2:$H$361,7,false),1)="A","W",if(LEFT(VLOOKUP($B37,'Round 4'!$B$2:$H$361,7,false),1)="B","L","")),if(LEFT(VLOOKUP($B37,'Round 4'!$F$2:$H$361,3,false),1)="b","W",if(LEFT(VLOOKUP($B37,'Round 4'!$F$2:$H$361,3,false),1)="a","L","")))</f>
        <v>L</v>
      </c>
      <c r="H37" s="67" t="str">
        <f>iferror(if(LEFT(VLOOKUP($B37,'Round 5'!$B$2:$H$361,7,false),1)="A","W",if(LEFT(VLOOKUP($B37,'Round 5'!$B$2:$H$361,7,false),1)="B","L","")),if(LEFT(VLOOKUP($B37,'Round 5'!$F$2:$H$361,3,false),1)="b","W",if(LEFT(VLOOKUP($B37,'Round 5'!$F$2:$H$361,3,false),1)="a","L","")))</f>
        <v>W</v>
      </c>
      <c r="I37" s="67" t="str">
        <f>iferror(if(LEFT(VLOOKUP($B37,'Round 6'!$B$2:$H$361,7,false),1)="A","W",if(LEFT(VLOOKUP($B37,'Round 6'!$B$2:$H$361,7,false),1)="B","L","")),if(LEFT(VLOOKUP($B37,'Round 6'!$F$2:$H$361,3,false),1)="b","W",if(LEFT(VLOOKUP($B37,'Round 6'!$F$2:$H$361,3,false),1)="a","L","")))</f>
        <v>W</v>
      </c>
      <c r="J37" s="67" t="str">
        <f>iferror(iferror(if(LEFT(VLOOKUP($B37,'Round 7'!$B$2:$H$361,7,false),1)="A","W",if(LEFT(VLOOKUP($B37,'Round 7'!$B$2:$H$361,7,false),1)="B","L","")),if(LEFT(VLOOKUP($B37,'Round 7'!$F$2:$H$361,3,false),1)="b","W",if(LEFT(VLOOKUP($B37,'Round 7'!$F$2:$H$361,3,false),1)="a","L",""))),"")</f>
        <v>W</v>
      </c>
      <c r="K37" s="68" t="str">
        <f>iferror(iferror(if(LEFT(VLOOKUP($B37,'Round 8'!$B$2:$H$361,7,false),1)="A","W",if(LEFT(VLOOKUP($B37,'Round 8'!$B$2:$H$361,7,false),1)="B","L","")),if(LEFT(VLOOKUP($B37,'Round 8'!$F$2:$H$361,3,false),1)="b","W",if(LEFT(VLOOKUP($B37,'Round 8'!$F$2:$H$361,3,false),1)="a","L",""))),"")</f>
        <v>L</v>
      </c>
      <c r="L37" s="68" t="str">
        <f>iferror(iferror(if(LEFT(VLOOKUP($B37,'Round 9'!$B$2:$H$361,7,false),1)="A","W",if(LEFT(VLOOKUP($B37,'Round 9'!$B$2:$H$361,7,false),1)="B","L","")),if(LEFT(VLOOKUP($B37,'Round 9'!$F$2:$H$361,3,false),1)="b","W",if(LEFT(VLOOKUP($B37,'Round 9'!$F$2:$H$361,3,false),1)="a","L",""))),"")</f>
        <v>W</v>
      </c>
      <c r="M37" s="68" t="str">
        <f>iferror(iferror(if(LEFT(VLOOKUP($B37,'Round 10'!$B$2:$H$362,7,false),1)="A","W",if(LEFT(VLOOKUP($B37,'Round 10'!$B$2:$H$362,7,false),1)="B","L","")),if(LEFT(VLOOKUP($B37,'Round 10'!$F$2:$H$362,3,false),1)="b","W",if(LEFT(VLOOKUP($B37,'Round 10'!$F$2:$H$362,3,false),1)="a","L",""))),"")</f>
        <v/>
      </c>
      <c r="N37" s="62" t="s">
        <v>153</v>
      </c>
    </row>
    <row r="38">
      <c r="A38" s="63">
        <v>37.0</v>
      </c>
      <c r="B38" s="64" t="s">
        <v>154</v>
      </c>
      <c r="C38" s="65" t="str">
        <f t="shared" si="1"/>
        <v>3 - 3</v>
      </c>
      <c r="D38" s="67" t="str">
        <f>iferror(if(LEFT(VLOOKUP($B38,'Round 1'!$B$2:$H$361,7,false),1)="A","W",if(LEFT(VLOOKUP($B38,'Round 1'!$B$2:$H$361,7,false),1)="B","L","")),if(LEFT(VLOOKUP($B38,'Round 1'!$F$2:$H$361,3,false),1)="b","W",if(LEFT(VLOOKUP($B38,'Round 1'!$F$2:$H$361,3,false),1)="a","L","")))</f>
        <v>W</v>
      </c>
      <c r="E38" s="67" t="str">
        <f>iferror(if(LEFT(VLOOKUP($B38,'Round 2'!$C$2:$J$361,8,false),1)="A","W",if(LEFT(VLOOKUP($B38,'Round 2'!$C$2:$J$361,8,false),1)="B","L","")),if(LEFT(VLOOKUP($B38,'Round 2'!$G$2:$J$361,4,false),1)="b","W",if(LEFT(VLOOKUP($B38,'Round 2'!$G$2:$J$361,4,false),1)="a","L","")))</f>
        <v>L</v>
      </c>
      <c r="F38" s="67" t="str">
        <f>iferror(if(LEFT(VLOOKUP($B38,'Round 3'!$B$2:$H$361,7,false),1)="A","W",if(LEFT(VLOOKUP($B38,'Round 3'!$B$2:$H$361,7,false),1)="B","L","")),if(LEFT(VLOOKUP($B38,'Round 3'!$F$2:$H$361,3,false),1)="b","W",if(LEFT(VLOOKUP($B38,'Round 3'!$F$2:$H$361,3,false),1)="a","L","")))</f>
        <v>L</v>
      </c>
      <c r="G38" s="67" t="str">
        <f>iferror(if(LEFT(VLOOKUP($B38,'Round 4'!$B$2:$H$361,7,false),1)="A","W",if(LEFT(VLOOKUP($B38,'Round 4'!$B$2:$H$361,7,false),1)="B","L","")),if(LEFT(VLOOKUP($B38,'Round 4'!$F$2:$H$361,3,false),1)="b","W",if(LEFT(VLOOKUP($B38,'Round 4'!$F$2:$H$361,3,false),1)="a","L","")))</f>
        <v>W</v>
      </c>
      <c r="H38" s="67" t="str">
        <f>iferror(if(LEFT(VLOOKUP($B38,'Round 5'!$B$2:$H$361,7,false),1)="A","W",if(LEFT(VLOOKUP($B38,'Round 5'!$B$2:$H$361,7,false),1)="B","L","")),if(LEFT(VLOOKUP($B38,'Round 5'!$F$2:$H$361,3,false),1)="b","W",if(LEFT(VLOOKUP($B38,'Round 5'!$F$2:$H$361,3,false),1)="a","L","")))</f>
        <v>W</v>
      </c>
      <c r="I38" s="67" t="str">
        <f>iferror(if(LEFT(VLOOKUP($B38,'Round 6'!$B$2:$H$361,7,false),1)="A","W",if(LEFT(VLOOKUP($B38,'Round 6'!$B$2:$H$361,7,false),1)="B","L","")),if(LEFT(VLOOKUP($B38,'Round 6'!$F$2:$H$361,3,false),1)="b","W",if(LEFT(VLOOKUP($B38,'Round 6'!$F$2:$H$361,3,false),1)="a","L","")))</f>
        <v>L</v>
      </c>
      <c r="J38" s="67" t="str">
        <f>iferror(iferror(if(LEFT(VLOOKUP($B38,'Round 7'!$B$2:$H$361,7,false),1)="A","W",if(LEFT(VLOOKUP($B38,'Round 7'!$B$2:$H$361,7,false),1)="B","L","")),if(LEFT(VLOOKUP($B38,'Round 7'!$F$2:$H$361,3,false),1)="b","W",if(LEFT(VLOOKUP($B38,'Round 7'!$F$2:$H$361,3,false),1)="a","L",""))),"")</f>
        <v/>
      </c>
      <c r="K38" s="68" t="str">
        <f>iferror(iferror(if(LEFT(VLOOKUP($B38,'Round 8'!$B$2:$H$361,7,false),1)="A","W",if(LEFT(VLOOKUP($B38,'Round 8'!$B$2:$H$361,7,false),1)="B","L","")),if(LEFT(VLOOKUP($B38,'Round 8'!$F$2:$H$361,3,false),1)="b","W",if(LEFT(VLOOKUP($B38,'Round 8'!$F$2:$H$361,3,false),1)="a","L",""))),"")</f>
        <v/>
      </c>
      <c r="L38" s="68" t="str">
        <f>iferror(iferror(if(LEFT(VLOOKUP($B38,'Round 9'!$B$2:$H$361,7,false),1)="A","W",if(LEFT(VLOOKUP($B38,'Round 9'!$B$2:$H$361,7,false),1)="B","L","")),if(LEFT(VLOOKUP($B38,'Round 9'!$F$2:$H$361,3,false),1)="b","W",if(LEFT(VLOOKUP($B38,'Round 9'!$F$2:$H$361,3,false),1)="a","L",""))),"")</f>
        <v/>
      </c>
      <c r="M38" s="68" t="str">
        <f>iferror(iferror(if(LEFT(VLOOKUP($B38,'Round 10'!$B$2:$H$362,7,false),1)="A","W",if(LEFT(VLOOKUP($B38,'Round 10'!$B$2:$H$362,7,false),1)="B","L","")),if(LEFT(VLOOKUP($B38,'Round 10'!$F$2:$H$362,3,false),1)="b","W",if(LEFT(VLOOKUP($B38,'Round 10'!$F$2:$H$362,3,false),1)="a","L",""))),"")</f>
        <v/>
      </c>
      <c r="N38" s="62" t="s">
        <v>155</v>
      </c>
    </row>
    <row r="39">
      <c r="A39" s="63">
        <v>38.0</v>
      </c>
      <c r="B39" s="64" t="s">
        <v>156</v>
      </c>
      <c r="C39" s="65" t="str">
        <f t="shared" si="1"/>
        <v>4 - 3</v>
      </c>
      <c r="D39" s="67" t="str">
        <f>iferror(if(LEFT(VLOOKUP($B39,'Round 1'!$B$2:$H$361,7,false),1)="A","W",if(LEFT(VLOOKUP($B39,'Round 1'!$B$2:$H$361,7,false),1)="B","L","")),if(LEFT(VLOOKUP($B39,'Round 1'!$F$2:$H$361,3,false),1)="b","W",if(LEFT(VLOOKUP($B39,'Round 1'!$F$2:$H$361,3,false),1)="a","L","")))</f>
        <v>W</v>
      </c>
      <c r="E39" s="67" t="str">
        <f>iferror(if(LEFT(VLOOKUP($B39,'Round 2'!$C$2:$J$361,8,false),1)="A","W",if(LEFT(VLOOKUP($B39,'Round 2'!$C$2:$J$361,8,false),1)="B","L","")),if(LEFT(VLOOKUP($B39,'Round 2'!$G$2:$J$361,4,false),1)="b","W",if(LEFT(VLOOKUP($B39,'Round 2'!$G$2:$J$361,4,false),1)="a","L","")))</f>
        <v>L</v>
      </c>
      <c r="F39" s="67" t="str">
        <f>iferror(if(LEFT(VLOOKUP($B39,'Round 3'!$B$2:$H$361,7,false),1)="A","W",if(LEFT(VLOOKUP($B39,'Round 3'!$B$2:$H$361,7,false),1)="B","L","")),if(LEFT(VLOOKUP($B39,'Round 3'!$F$2:$H$361,3,false),1)="b","W",if(LEFT(VLOOKUP($B39,'Round 3'!$F$2:$H$361,3,false),1)="a","L","")))</f>
        <v>W</v>
      </c>
      <c r="G39" s="67" t="str">
        <f>iferror(if(LEFT(VLOOKUP($B39,'Round 4'!$B$2:$H$361,7,false),1)="A","W",if(LEFT(VLOOKUP($B39,'Round 4'!$B$2:$H$361,7,false),1)="B","L","")),if(LEFT(VLOOKUP($B39,'Round 4'!$F$2:$H$361,3,false),1)="b","W",if(LEFT(VLOOKUP($B39,'Round 4'!$F$2:$H$361,3,false),1)="a","L","")))</f>
        <v>W</v>
      </c>
      <c r="H39" s="67" t="str">
        <f>iferror(if(LEFT(VLOOKUP($B39,'Round 5'!$B$2:$H$361,7,false),1)="A","W",if(LEFT(VLOOKUP($B39,'Round 5'!$B$2:$H$361,7,false),1)="B","L","")),if(LEFT(VLOOKUP($B39,'Round 5'!$F$2:$H$361,3,false),1)="b","W",if(LEFT(VLOOKUP($B39,'Round 5'!$F$2:$H$361,3,false),1)="a","L","")))</f>
        <v>W</v>
      </c>
      <c r="I39" s="67" t="str">
        <f>iferror(if(LEFT(VLOOKUP($B39,'Round 6'!$B$2:$H$361,7,false),1)="A","W",if(LEFT(VLOOKUP($B39,'Round 6'!$B$2:$H$361,7,false),1)="B","L","")),if(LEFT(VLOOKUP($B39,'Round 6'!$F$2:$H$361,3,false),1)="b","W",if(LEFT(VLOOKUP($B39,'Round 6'!$F$2:$H$361,3,false),1)="a","L","")))</f>
        <v>L</v>
      </c>
      <c r="J39" s="67" t="str">
        <f>iferror(iferror(if(LEFT(VLOOKUP($B39,'Round 7'!$B$2:$H$361,7,false),1)="A","W",if(LEFT(VLOOKUP($B39,'Round 7'!$B$2:$H$361,7,false),1)="B","L","")),if(LEFT(VLOOKUP($B39,'Round 7'!$F$2:$H$361,3,false),1)="b","W",if(LEFT(VLOOKUP($B39,'Round 7'!$F$2:$H$361,3,false),1)="a","L",""))),"")</f>
        <v>L</v>
      </c>
      <c r="K39" s="68" t="str">
        <f>iferror(iferror(if(LEFT(VLOOKUP($B39,'Round 8'!$B$2:$H$361,7,false),1)="A","W",if(LEFT(VLOOKUP($B39,'Round 8'!$B$2:$H$361,7,false),1)="B","L","")),if(LEFT(VLOOKUP($B39,'Round 8'!$F$2:$H$361,3,false),1)="b","W",if(LEFT(VLOOKUP($B39,'Round 8'!$F$2:$H$361,3,false),1)="a","L",""))),"")</f>
        <v/>
      </c>
      <c r="L39" s="68" t="str">
        <f>iferror(iferror(if(LEFT(VLOOKUP($B39,'Round 9'!$B$2:$H$361,7,false),1)="A","W",if(LEFT(VLOOKUP($B39,'Round 9'!$B$2:$H$361,7,false),1)="B","L","")),if(LEFT(VLOOKUP($B39,'Round 9'!$F$2:$H$361,3,false),1)="b","W",if(LEFT(VLOOKUP($B39,'Round 9'!$F$2:$H$361,3,false),1)="a","L",""))),"")</f>
        <v/>
      </c>
      <c r="M39" s="68" t="str">
        <f>iferror(iferror(if(LEFT(VLOOKUP($B39,'Round 10'!$B$2:$H$362,7,false),1)="A","W",if(LEFT(VLOOKUP($B39,'Round 10'!$B$2:$H$362,7,false),1)="B","L","")),if(LEFT(VLOOKUP($B39,'Round 10'!$F$2:$H$362,3,false),1)="b","W",if(LEFT(VLOOKUP($B39,'Round 10'!$F$2:$H$362,3,false),1)="a","L",""))),"")</f>
        <v/>
      </c>
      <c r="N39" s="62" t="s">
        <v>157</v>
      </c>
    </row>
    <row r="40">
      <c r="A40" s="63">
        <v>39.0</v>
      </c>
      <c r="B40" s="64" t="s">
        <v>158</v>
      </c>
      <c r="C40" s="65" t="str">
        <f t="shared" si="1"/>
        <v>8 - 1</v>
      </c>
      <c r="D40" s="67" t="str">
        <f>iferror(if(LEFT(VLOOKUP($B40,'Round 1'!$B$2:$H$361,7,false),1)="A","W",if(LEFT(VLOOKUP($B40,'Round 1'!$B$2:$H$361,7,false),1)="B","L","")),if(LEFT(VLOOKUP($B40,'Round 1'!$F$2:$H$361,3,false),1)="b","W",if(LEFT(VLOOKUP($B40,'Round 1'!$F$2:$H$361,3,false),1)="a","L","")))</f>
        <v>W</v>
      </c>
      <c r="E40" s="67" t="str">
        <f>iferror(if(LEFT(VLOOKUP($B40,'Round 2'!$C$2:$J$361,8,false),1)="A","W",if(LEFT(VLOOKUP($B40,'Round 2'!$C$2:$J$361,8,false),1)="B","L","")),if(LEFT(VLOOKUP($B40,'Round 2'!$G$2:$J$361,4,false),1)="b","W",if(LEFT(VLOOKUP($B40,'Round 2'!$G$2:$J$361,4,false),1)="a","L","")))</f>
        <v>W</v>
      </c>
      <c r="F40" s="67" t="str">
        <f>iferror(if(LEFT(VLOOKUP($B40,'Round 3'!$B$2:$H$361,7,false),1)="A","W",if(LEFT(VLOOKUP($B40,'Round 3'!$B$2:$H$361,7,false),1)="B","L","")),if(LEFT(VLOOKUP($B40,'Round 3'!$F$2:$H$361,3,false),1)="b","W",if(LEFT(VLOOKUP($B40,'Round 3'!$F$2:$H$361,3,false),1)="a","L","")))</f>
        <v>W</v>
      </c>
      <c r="G40" s="67" t="str">
        <f>iferror(if(LEFT(VLOOKUP($B40,'Round 4'!$B$2:$H$361,7,false),1)="A","W",if(LEFT(VLOOKUP($B40,'Round 4'!$B$2:$H$361,7,false),1)="B","L","")),if(LEFT(VLOOKUP($B40,'Round 4'!$F$2:$H$361,3,false),1)="b","W",if(LEFT(VLOOKUP($B40,'Round 4'!$F$2:$H$361,3,false),1)="a","L","")))</f>
        <v>L</v>
      </c>
      <c r="H40" s="67" t="str">
        <f>iferror(if(LEFT(VLOOKUP($B40,'Round 5'!$B$2:$H$361,7,false),1)="A","W",if(LEFT(VLOOKUP($B40,'Round 5'!$B$2:$H$361,7,false),1)="B","L","")),if(LEFT(VLOOKUP($B40,'Round 5'!$F$2:$H$361,3,false),1)="b","W",if(LEFT(VLOOKUP($B40,'Round 5'!$F$2:$H$361,3,false),1)="a","L","")))</f>
        <v>W</v>
      </c>
      <c r="I40" s="67" t="str">
        <f>iferror(if(LEFT(VLOOKUP($B40,'Round 6'!$B$2:$H$361,7,false),1)="A","W",if(LEFT(VLOOKUP($B40,'Round 6'!$B$2:$H$361,7,false),1)="B","L","")),if(LEFT(VLOOKUP($B40,'Round 6'!$F$2:$H$361,3,false),1)="b","W",if(LEFT(VLOOKUP($B40,'Round 6'!$F$2:$H$361,3,false),1)="a","L","")))</f>
        <v>W</v>
      </c>
      <c r="J40" s="67" t="str">
        <f>iferror(iferror(if(LEFT(VLOOKUP($B40,'Round 7'!$B$2:$H$361,7,false),1)="A","W",if(LEFT(VLOOKUP($B40,'Round 7'!$B$2:$H$361,7,false),1)="B","L","")),if(LEFT(VLOOKUP($B40,'Round 7'!$F$2:$H$361,3,false),1)="b","W",if(LEFT(VLOOKUP($B40,'Round 7'!$F$2:$H$361,3,false),1)="a","L",""))),"")</f>
        <v>W</v>
      </c>
      <c r="K40" s="68" t="str">
        <f>iferror(iferror(if(LEFT(VLOOKUP($B40,'Round 8'!$B$2:$H$361,7,false),1)="A","W",if(LEFT(VLOOKUP($B40,'Round 8'!$B$2:$H$361,7,false),1)="B","L","")),if(LEFT(VLOOKUP($B40,'Round 8'!$F$2:$H$361,3,false),1)="b","W",if(LEFT(VLOOKUP($B40,'Round 8'!$F$2:$H$361,3,false),1)="a","L",""))),"")</f>
        <v>W</v>
      </c>
      <c r="L40" s="68" t="str">
        <f>iferror(iferror(if(LEFT(VLOOKUP($B40,'Round 9'!$B$2:$H$361,7,false),1)="A","W",if(LEFT(VLOOKUP($B40,'Round 9'!$B$2:$H$361,7,false),1)="B","L","")),if(LEFT(VLOOKUP($B40,'Round 9'!$F$2:$H$361,3,false),1)="b","W",if(LEFT(VLOOKUP($B40,'Round 9'!$F$2:$H$361,3,false),1)="a","L",""))),"")</f>
        <v>W</v>
      </c>
      <c r="M40" s="68" t="str">
        <f>iferror(iferror(if(LEFT(VLOOKUP($B40,'Round 10'!$B$2:$H$362,7,false),1)="A","W",if(LEFT(VLOOKUP($B40,'Round 10'!$B$2:$H$362,7,false),1)="B","L","")),if(LEFT(VLOOKUP($B40,'Round 10'!$F$2:$H$362,3,false),1)="b","W",if(LEFT(VLOOKUP($B40,'Round 10'!$F$2:$H$362,3,false),1)="a","L",""))),"")</f>
        <v/>
      </c>
      <c r="N40" s="62" t="s">
        <v>159</v>
      </c>
    </row>
    <row r="41">
      <c r="A41" s="63">
        <v>40.0</v>
      </c>
      <c r="B41" s="64" t="s">
        <v>160</v>
      </c>
      <c r="C41" s="65" t="str">
        <f t="shared" si="1"/>
        <v>2 - 3</v>
      </c>
      <c r="D41" s="67" t="str">
        <f>iferror(if(LEFT(VLOOKUP($B41,'Round 1'!$B$2:$H$361,7,false),1)="A","W",if(LEFT(VLOOKUP($B41,'Round 1'!$B$2:$H$361,7,false),1)="B","L","")),if(LEFT(VLOOKUP($B41,'Round 1'!$F$2:$H$361,3,false),1)="b","W",if(LEFT(VLOOKUP($B41,'Round 1'!$F$2:$H$361,3,false),1)="a","L","")))</f>
        <v>W</v>
      </c>
      <c r="E41" s="67" t="str">
        <f>iferror(if(LEFT(VLOOKUP($B41,'Round 2'!$C$2:$J$361,8,false),1)="A","W",if(LEFT(VLOOKUP($B41,'Round 2'!$C$2:$J$361,8,false),1)="B","L","")),if(LEFT(VLOOKUP($B41,'Round 2'!$G$2:$J$361,4,false),1)="b","W",if(LEFT(VLOOKUP($B41,'Round 2'!$G$2:$J$361,4,false),1)="a","L","")))</f>
        <v>W</v>
      </c>
      <c r="F41" s="67" t="str">
        <f>iferror(if(LEFT(VLOOKUP($B41,'Round 3'!$B$2:$H$361,7,false),1)="A","W",if(LEFT(VLOOKUP($B41,'Round 3'!$B$2:$H$361,7,false),1)="B","L","")),if(LEFT(VLOOKUP($B41,'Round 3'!$F$2:$H$361,3,false),1)="b","W",if(LEFT(VLOOKUP($B41,'Round 3'!$F$2:$H$361,3,false),1)="a","L","")))</f>
        <v>L</v>
      </c>
      <c r="G41" s="67" t="str">
        <f>iferror(if(LEFT(VLOOKUP($B41,'Round 4'!$B$2:$H$361,7,false),1)="A","W",if(LEFT(VLOOKUP($B41,'Round 4'!$B$2:$H$361,7,false),1)="B","L","")),if(LEFT(VLOOKUP($B41,'Round 4'!$F$2:$H$361,3,false),1)="b","W",if(LEFT(VLOOKUP($B41,'Round 4'!$F$2:$H$361,3,false),1)="a","L","")))</f>
        <v>L</v>
      </c>
      <c r="H41" s="67" t="str">
        <f>iferror(if(LEFT(VLOOKUP($B41,'Round 5'!$B$2:$H$361,7,false),1)="A","W",if(LEFT(VLOOKUP($B41,'Round 5'!$B$2:$H$361,7,false),1)="B","L","")),if(LEFT(VLOOKUP($B41,'Round 5'!$F$2:$H$361,3,false),1)="b","W",if(LEFT(VLOOKUP($B41,'Round 5'!$F$2:$H$361,3,false),1)="a","L","")))</f>
        <v>L</v>
      </c>
      <c r="I41" s="67"/>
      <c r="J41" s="67" t="str">
        <f>iferror(iferror(if(LEFT(VLOOKUP($B41,'Round 7'!$B$2:$H$361,7,false),1)="A","W",if(LEFT(VLOOKUP($B41,'Round 7'!$B$2:$H$361,7,false),1)="B","L","")),if(LEFT(VLOOKUP($B41,'Round 7'!$F$2:$H$361,3,false),1)="b","W",if(LEFT(VLOOKUP($B41,'Round 7'!$F$2:$H$361,3,false),1)="a","L",""))),"")</f>
        <v/>
      </c>
      <c r="K41" s="68" t="str">
        <f>iferror(iferror(if(LEFT(VLOOKUP($B41,'Round 8'!$B$2:$H$361,7,false),1)="A","W",if(LEFT(VLOOKUP($B41,'Round 8'!$B$2:$H$361,7,false),1)="B","L","")),if(LEFT(VLOOKUP($B41,'Round 8'!$F$2:$H$361,3,false),1)="b","W",if(LEFT(VLOOKUP($B41,'Round 8'!$F$2:$H$361,3,false),1)="a","L",""))),"")</f>
        <v/>
      </c>
      <c r="L41" s="68" t="str">
        <f>iferror(iferror(if(LEFT(VLOOKUP($B41,'Round 9'!$B$2:$H$361,7,false),1)="A","W",if(LEFT(VLOOKUP($B41,'Round 9'!$B$2:$H$361,7,false),1)="B","L","")),if(LEFT(VLOOKUP($B41,'Round 9'!$F$2:$H$361,3,false),1)="b","W",if(LEFT(VLOOKUP($B41,'Round 9'!$F$2:$H$361,3,false),1)="a","L",""))),"")</f>
        <v/>
      </c>
      <c r="M41" s="68" t="str">
        <f>iferror(iferror(if(LEFT(VLOOKUP($B41,'Round 10'!$B$2:$H$362,7,false),1)="A","W",if(LEFT(VLOOKUP($B41,'Round 10'!$B$2:$H$362,7,false),1)="B","L","")),if(LEFT(VLOOKUP($B41,'Round 10'!$F$2:$H$362,3,false),1)="b","W",if(LEFT(VLOOKUP($B41,'Round 10'!$F$2:$H$362,3,false),1)="a","L",""))),"")</f>
        <v/>
      </c>
      <c r="N41" s="62" t="s">
        <v>161</v>
      </c>
    </row>
    <row r="42">
      <c r="A42" s="63">
        <v>41.0</v>
      </c>
      <c r="B42" s="64" t="s">
        <v>162</v>
      </c>
      <c r="C42" s="65" t="str">
        <f t="shared" si="1"/>
        <v>5 - 3</v>
      </c>
      <c r="D42" s="67" t="str">
        <f>iferror(if(LEFT(VLOOKUP($B42,'Round 1'!$B$2:$H$361,7,false),1)="A","W",if(LEFT(VLOOKUP($B42,'Round 1'!$B$2:$H$361,7,false),1)="B","L","")),if(LEFT(VLOOKUP($B42,'Round 1'!$F$2:$H$361,3,false),1)="b","W",if(LEFT(VLOOKUP($B42,'Round 1'!$F$2:$H$361,3,false),1)="a","L","")))</f>
        <v>W</v>
      </c>
      <c r="E42" s="67" t="str">
        <f>iferror(if(LEFT(VLOOKUP($B42,'Round 2'!$C$2:$J$361,8,false),1)="A","W",if(LEFT(VLOOKUP($B42,'Round 2'!$C$2:$J$361,8,false),1)="B","L","")),if(LEFT(VLOOKUP($B42,'Round 2'!$G$2:$J$361,4,false),1)="b","W",if(LEFT(VLOOKUP($B42,'Round 2'!$G$2:$J$361,4,false),1)="a","L","")))</f>
        <v>L</v>
      </c>
      <c r="F42" s="67" t="str">
        <f>iferror(if(LEFT(VLOOKUP($B42,'Round 3'!$B$2:$H$361,7,false),1)="A","W",if(LEFT(VLOOKUP($B42,'Round 3'!$B$2:$H$361,7,false),1)="B","L","")),if(LEFT(VLOOKUP($B42,'Round 3'!$F$2:$H$361,3,false),1)="b","W",if(LEFT(VLOOKUP($B42,'Round 3'!$F$2:$H$361,3,false),1)="a","L","")))</f>
        <v>W</v>
      </c>
      <c r="G42" s="67" t="str">
        <f>iferror(if(LEFT(VLOOKUP($B42,'Round 4'!$B$2:$H$361,7,false),1)="A","W",if(LEFT(VLOOKUP($B42,'Round 4'!$B$2:$H$361,7,false),1)="B","L","")),if(LEFT(VLOOKUP($B42,'Round 4'!$F$2:$H$361,3,false),1)="b","W",if(LEFT(VLOOKUP($B42,'Round 4'!$F$2:$H$361,3,false),1)="a","L","")))</f>
        <v>W</v>
      </c>
      <c r="H42" s="67" t="str">
        <f>iferror(if(LEFT(VLOOKUP($B42,'Round 5'!$B$2:$H$361,7,false),1)="A","W",if(LEFT(VLOOKUP($B42,'Round 5'!$B$2:$H$361,7,false),1)="B","L","")),if(LEFT(VLOOKUP($B42,'Round 5'!$F$2:$H$361,3,false),1)="b","W",if(LEFT(VLOOKUP($B42,'Round 5'!$F$2:$H$361,3,false),1)="a","L","")))</f>
        <v>W</v>
      </c>
      <c r="I42" s="67" t="str">
        <f>iferror(if(LEFT(VLOOKUP($B42,'Round 6'!$B$2:$H$361,7,false),1)="A","W",if(LEFT(VLOOKUP($B42,'Round 6'!$B$2:$H$361,7,false),1)="B","L","")),if(LEFT(VLOOKUP($B42,'Round 6'!$F$2:$H$361,3,false),1)="b","W",if(LEFT(VLOOKUP($B42,'Round 6'!$F$2:$H$361,3,false),1)="a","L","")))</f>
        <v>W</v>
      </c>
      <c r="J42" s="67" t="str">
        <f>iferror(iferror(if(LEFT(VLOOKUP($B42,'Round 7'!$B$2:$H$361,7,false),1)="A","W",if(LEFT(VLOOKUP($B42,'Round 7'!$B$2:$H$361,7,false),1)="B","L","")),if(LEFT(VLOOKUP($B42,'Round 7'!$F$2:$H$361,3,false),1)="b","W",if(LEFT(VLOOKUP($B42,'Round 7'!$F$2:$H$361,3,false),1)="a","L",""))),"")</f>
        <v>L</v>
      </c>
      <c r="K42" s="68" t="str">
        <f>iferror(iferror(if(LEFT(VLOOKUP($B42,'Round 8'!$B$2:$H$361,7,false),1)="A","W",if(LEFT(VLOOKUP($B42,'Round 8'!$B$2:$H$361,7,false),1)="B","L","")),if(LEFT(VLOOKUP($B42,'Round 8'!$F$2:$H$361,3,false),1)="b","W",if(LEFT(VLOOKUP($B42,'Round 8'!$F$2:$H$361,3,false),1)="a","L",""))),"")</f>
        <v>L</v>
      </c>
      <c r="L42" s="68" t="str">
        <f>iferror(iferror(if(LEFT(VLOOKUP($B42,'Round 9'!$B$2:$H$361,7,false),1)="A","W",if(LEFT(VLOOKUP($B42,'Round 9'!$B$2:$H$361,7,false),1)="B","L","")),if(LEFT(VLOOKUP($B42,'Round 9'!$F$2:$H$361,3,false),1)="b","W",if(LEFT(VLOOKUP($B42,'Round 9'!$F$2:$H$361,3,false),1)="a","L",""))),"")</f>
        <v/>
      </c>
      <c r="M42" s="68" t="str">
        <f>iferror(iferror(if(LEFT(VLOOKUP($B42,'Round 10'!$B$2:$H$362,7,false),1)="A","W",if(LEFT(VLOOKUP($B42,'Round 10'!$B$2:$H$362,7,false),1)="B","L","")),if(LEFT(VLOOKUP($B42,'Round 10'!$F$2:$H$362,3,false),1)="b","W",if(LEFT(VLOOKUP($B42,'Round 10'!$F$2:$H$362,3,false),1)="a","L",""))),"")</f>
        <v/>
      </c>
      <c r="N42" s="62" t="s">
        <v>163</v>
      </c>
    </row>
    <row r="43">
      <c r="A43" s="63">
        <v>42.0</v>
      </c>
      <c r="B43" s="64" t="s">
        <v>164</v>
      </c>
      <c r="C43" s="65" t="str">
        <f t="shared" si="1"/>
        <v>7 - 2</v>
      </c>
      <c r="D43" s="67" t="str">
        <f>iferror(if(LEFT(VLOOKUP($B43,'Round 1'!$B$2:$H$361,7,false),1)="A","W",if(LEFT(VLOOKUP($B43,'Round 1'!$B$2:$H$361,7,false),1)="B","L","")),if(LEFT(VLOOKUP($B43,'Round 1'!$F$2:$H$361,3,false),1)="b","W",if(LEFT(VLOOKUP($B43,'Round 1'!$F$2:$H$361,3,false),1)="a","L","")))</f>
        <v>W</v>
      </c>
      <c r="E43" s="67" t="str">
        <f>iferror(if(LEFT(VLOOKUP($B43,'Round 2'!$C$2:$J$361,8,false),1)="A","W",if(LEFT(VLOOKUP($B43,'Round 2'!$C$2:$J$361,8,false),1)="B","L","")),if(LEFT(VLOOKUP($B43,'Round 2'!$G$2:$J$361,4,false),1)="b","W",if(LEFT(VLOOKUP($B43,'Round 2'!$G$2:$J$361,4,false),1)="a","L","")))</f>
        <v>W</v>
      </c>
      <c r="F43" s="67" t="str">
        <f>iferror(if(LEFT(VLOOKUP($B43,'Round 3'!$B$2:$H$361,7,false),1)="A","W",if(LEFT(VLOOKUP($B43,'Round 3'!$B$2:$H$361,7,false),1)="B","L","")),if(LEFT(VLOOKUP($B43,'Round 3'!$F$2:$H$361,3,false),1)="b","W",if(LEFT(VLOOKUP($B43,'Round 3'!$F$2:$H$361,3,false),1)="a","L","")))</f>
        <v>W</v>
      </c>
      <c r="G43" s="67" t="str">
        <f>iferror(if(LEFT(VLOOKUP($B43,'Round 4'!$B$2:$H$361,7,false),1)="A","W",if(LEFT(VLOOKUP($B43,'Round 4'!$B$2:$H$361,7,false),1)="B","L","")),if(LEFT(VLOOKUP($B43,'Round 4'!$F$2:$H$361,3,false),1)="b","W",if(LEFT(VLOOKUP($B43,'Round 4'!$F$2:$H$361,3,false),1)="a","L","")))</f>
        <v>W</v>
      </c>
      <c r="H43" s="67" t="str">
        <f>iferror(if(LEFT(VLOOKUP($B43,'Round 5'!$B$2:$H$361,7,false),1)="A","W",if(LEFT(VLOOKUP($B43,'Round 5'!$B$2:$H$361,7,false),1)="B","L","")),if(LEFT(VLOOKUP($B43,'Round 5'!$F$2:$H$361,3,false),1)="b","W",if(LEFT(VLOOKUP($B43,'Round 5'!$F$2:$H$361,3,false),1)="a","L","")))</f>
        <v>L</v>
      </c>
      <c r="I43" s="67" t="str">
        <f>iferror(if(LEFT(VLOOKUP($B43,'Round 6'!$B$2:$H$361,7,false),1)="A","W",if(LEFT(VLOOKUP($B43,'Round 6'!$B$2:$H$361,7,false),1)="B","L","")),if(LEFT(VLOOKUP($B43,'Round 6'!$F$2:$H$361,3,false),1)="b","W",if(LEFT(VLOOKUP($B43,'Round 6'!$F$2:$H$361,3,false),1)="a","L","")))</f>
        <v>W</v>
      </c>
      <c r="J43" s="67" t="str">
        <f>iferror(iferror(if(LEFT(VLOOKUP($B43,'Round 7'!$B$2:$H$361,7,false),1)="A","W",if(LEFT(VLOOKUP($B43,'Round 7'!$B$2:$H$361,7,false),1)="B","L","")),if(LEFT(VLOOKUP($B43,'Round 7'!$F$2:$H$361,3,false),1)="b","W",if(LEFT(VLOOKUP($B43,'Round 7'!$F$2:$H$361,3,false),1)="a","L",""))),"")</f>
        <v>W</v>
      </c>
      <c r="K43" s="68" t="str">
        <f>iferror(iferror(if(LEFT(VLOOKUP($B43,'Round 8'!$B$2:$H$361,7,false),1)="A","W",if(LEFT(VLOOKUP($B43,'Round 8'!$B$2:$H$361,7,false),1)="B","L","")),if(LEFT(VLOOKUP($B43,'Round 8'!$F$2:$H$361,3,false),1)="b","W",if(LEFT(VLOOKUP($B43,'Round 8'!$F$2:$H$361,3,false),1)="a","L",""))),"")</f>
        <v>L</v>
      </c>
      <c r="L43" s="68" t="str">
        <f>iferror(iferror(if(LEFT(VLOOKUP($B43,'Round 9'!$B$2:$H$361,7,false),1)="A","W",if(LEFT(VLOOKUP($B43,'Round 9'!$B$2:$H$361,7,false),1)="B","L","")),if(LEFT(VLOOKUP($B43,'Round 9'!$F$2:$H$361,3,false),1)="b","W",if(LEFT(VLOOKUP($B43,'Round 9'!$F$2:$H$361,3,false),1)="a","L",""))),"")</f>
        <v>W</v>
      </c>
      <c r="M43" s="68" t="str">
        <f>iferror(iferror(if(LEFT(VLOOKUP($B43,'Round 10'!$B$2:$H$362,7,false),1)="A","W",if(LEFT(VLOOKUP($B43,'Round 10'!$B$2:$H$362,7,false),1)="B","L","")),if(LEFT(VLOOKUP($B43,'Round 10'!$F$2:$H$362,3,false),1)="b","W",if(LEFT(VLOOKUP($B43,'Round 10'!$F$2:$H$362,3,false),1)="a","L",""))),"")</f>
        <v/>
      </c>
      <c r="N43" s="62" t="s">
        <v>165</v>
      </c>
    </row>
    <row r="44">
      <c r="A44" s="63">
        <v>43.0</v>
      </c>
      <c r="B44" s="64" t="s">
        <v>166</v>
      </c>
      <c r="C44" s="65" t="str">
        <f t="shared" si="1"/>
        <v>7 - 2</v>
      </c>
      <c r="D44" s="67" t="str">
        <f>iferror(if(LEFT(VLOOKUP($B44,'Round 1'!$B$2:$H$361,7,false),1)="A","W",if(LEFT(VLOOKUP($B44,'Round 1'!$B$2:$H$361,7,false),1)="B","L","")),if(LEFT(VLOOKUP($B44,'Round 1'!$F$2:$H$361,3,false),1)="b","W",if(LEFT(VLOOKUP($B44,'Round 1'!$F$2:$H$361,3,false),1)="a","L","")))</f>
        <v>W</v>
      </c>
      <c r="E44" s="67" t="str">
        <f>iferror(if(LEFT(VLOOKUP($B44,'Round 2'!$C$2:$J$361,8,false),1)="A","W",if(LEFT(VLOOKUP($B44,'Round 2'!$C$2:$J$361,8,false),1)="B","L","")),if(LEFT(VLOOKUP($B44,'Round 2'!$G$2:$J$361,4,false),1)="b","W",if(LEFT(VLOOKUP($B44,'Round 2'!$G$2:$J$361,4,false),1)="a","L","")))</f>
        <v>L</v>
      </c>
      <c r="F44" s="67" t="str">
        <f>iferror(if(LEFT(VLOOKUP($B44,'Round 3'!$B$2:$H$361,7,false),1)="A","W",if(LEFT(VLOOKUP($B44,'Round 3'!$B$2:$H$361,7,false),1)="B","L","")),if(LEFT(VLOOKUP($B44,'Round 3'!$F$2:$H$361,3,false),1)="b","W",if(LEFT(VLOOKUP($B44,'Round 3'!$F$2:$H$361,3,false),1)="a","L","")))</f>
        <v>W</v>
      </c>
      <c r="G44" s="67" t="str">
        <f>iferror(if(LEFT(VLOOKUP($B44,'Round 4'!$B$2:$H$361,7,false),1)="A","W",if(LEFT(VLOOKUP($B44,'Round 4'!$B$2:$H$361,7,false),1)="B","L","")),if(LEFT(VLOOKUP($B44,'Round 4'!$F$2:$H$361,3,false),1)="b","W",if(LEFT(VLOOKUP($B44,'Round 4'!$F$2:$H$361,3,false),1)="a","L","")))</f>
        <v>W</v>
      </c>
      <c r="H44" s="67" t="str">
        <f>iferror(if(LEFT(VLOOKUP($B44,'Round 5'!$B$2:$H$361,7,false),1)="A","W",if(LEFT(VLOOKUP($B44,'Round 5'!$B$2:$H$361,7,false),1)="B","L","")),if(LEFT(VLOOKUP($B44,'Round 5'!$F$2:$H$361,3,false),1)="b","W",if(LEFT(VLOOKUP($B44,'Round 5'!$F$2:$H$361,3,false),1)="a","L","")))</f>
        <v>W</v>
      </c>
      <c r="I44" s="67" t="str">
        <f>iferror(if(LEFT(VLOOKUP($B44,'Round 6'!$B$2:$H$361,7,false),1)="A","W",if(LEFT(VLOOKUP($B44,'Round 6'!$B$2:$H$361,7,false),1)="B","L","")),if(LEFT(VLOOKUP($B44,'Round 6'!$F$2:$H$361,3,false),1)="b","W",if(LEFT(VLOOKUP($B44,'Round 6'!$F$2:$H$361,3,false),1)="a","L","")))</f>
        <v>W</v>
      </c>
      <c r="J44" s="67" t="str">
        <f>iferror(iferror(if(LEFT(VLOOKUP($B44,'Round 7'!$B$2:$H$361,7,false),1)="A","W",if(LEFT(VLOOKUP($B44,'Round 7'!$B$2:$H$361,7,false),1)="B","L","")),if(LEFT(VLOOKUP($B44,'Round 7'!$F$2:$H$361,3,false),1)="b","W",if(LEFT(VLOOKUP($B44,'Round 7'!$F$2:$H$361,3,false),1)="a","L",""))),"")</f>
        <v>W</v>
      </c>
      <c r="K44" s="68" t="str">
        <f>iferror(iferror(if(LEFT(VLOOKUP($B44,'Round 8'!$B$2:$H$361,7,false),1)="A","W",if(LEFT(VLOOKUP($B44,'Round 8'!$B$2:$H$361,7,false),1)="B","L","")),if(LEFT(VLOOKUP($B44,'Round 8'!$F$2:$H$361,3,false),1)="b","W",if(LEFT(VLOOKUP($B44,'Round 8'!$F$2:$H$361,3,false),1)="a","L",""))),"")</f>
        <v>L</v>
      </c>
      <c r="L44" s="68" t="str">
        <f>iferror(iferror(if(LEFT(VLOOKUP($B44,'Round 9'!$B$2:$H$361,7,false),1)="A","W",if(LEFT(VLOOKUP($B44,'Round 9'!$B$2:$H$361,7,false),1)="B","L","")),if(LEFT(VLOOKUP($B44,'Round 9'!$F$2:$H$361,3,false),1)="b","W",if(LEFT(VLOOKUP($B44,'Round 9'!$F$2:$H$361,3,false),1)="a","L",""))),"")</f>
        <v>W</v>
      </c>
      <c r="M44" s="68" t="str">
        <f>iferror(iferror(if(LEFT(VLOOKUP($B44,'Round 10'!$B$2:$H$362,7,false),1)="A","W",if(LEFT(VLOOKUP($B44,'Round 10'!$B$2:$H$362,7,false),1)="B","L","")),if(LEFT(VLOOKUP($B44,'Round 10'!$F$2:$H$362,3,false),1)="b","W",if(LEFT(VLOOKUP($B44,'Round 10'!$F$2:$H$362,3,false),1)="a","L",""))),"")</f>
        <v/>
      </c>
      <c r="N44" s="62" t="s">
        <v>167</v>
      </c>
    </row>
    <row r="45">
      <c r="A45" s="63">
        <v>44.0</v>
      </c>
      <c r="B45" s="64" t="s">
        <v>168</v>
      </c>
      <c r="C45" s="65" t="str">
        <f t="shared" si="1"/>
        <v>4 - 3</v>
      </c>
      <c r="D45" s="67" t="str">
        <f>iferror(if(LEFT(VLOOKUP($B45,'Round 1'!$B$2:$H$361,7,false),1)="A","W",if(LEFT(VLOOKUP($B45,'Round 1'!$B$2:$H$361,7,false),1)="B","L","")),if(LEFT(VLOOKUP($B45,'Round 1'!$F$2:$H$361,3,false),1)="b","W",if(LEFT(VLOOKUP($B45,'Round 1'!$F$2:$H$361,3,false),1)="a","L","")))</f>
        <v>W</v>
      </c>
      <c r="E45" s="67" t="str">
        <f>iferror(if(LEFT(VLOOKUP($B45,'Round 2'!$C$2:$J$361,8,false),1)="A","W",if(LEFT(VLOOKUP($B45,'Round 2'!$C$2:$J$361,8,false),1)="B","L","")),if(LEFT(VLOOKUP($B45,'Round 2'!$G$2:$J$361,4,false),1)="b","W",if(LEFT(VLOOKUP($B45,'Round 2'!$G$2:$J$361,4,false),1)="a","L","")))</f>
        <v>L</v>
      </c>
      <c r="F45" s="67" t="str">
        <f>iferror(if(LEFT(VLOOKUP($B45,'Round 3'!$B$2:$H$361,7,false),1)="A","W",if(LEFT(VLOOKUP($B45,'Round 3'!$B$2:$H$361,7,false),1)="B","L","")),if(LEFT(VLOOKUP($B45,'Round 3'!$F$2:$H$361,3,false),1)="b","W",if(LEFT(VLOOKUP($B45,'Round 3'!$F$2:$H$361,3,false),1)="a","L","")))</f>
        <v>W</v>
      </c>
      <c r="G45" s="67" t="str">
        <f>iferror(if(LEFT(VLOOKUP($B45,'Round 4'!$B$2:$H$361,7,false),1)="A","W",if(LEFT(VLOOKUP($B45,'Round 4'!$B$2:$H$361,7,false),1)="B","L","")),if(LEFT(VLOOKUP($B45,'Round 4'!$F$2:$H$361,3,false),1)="b","W",if(LEFT(VLOOKUP($B45,'Round 4'!$F$2:$H$361,3,false),1)="a","L","")))</f>
        <v>W</v>
      </c>
      <c r="H45" s="67" t="str">
        <f>iferror(if(LEFT(VLOOKUP($B45,'Round 5'!$B$2:$H$361,7,false),1)="A","W",if(LEFT(VLOOKUP($B45,'Round 5'!$B$2:$H$361,7,false),1)="B","L","")),if(LEFT(VLOOKUP($B45,'Round 5'!$F$2:$H$361,3,false),1)="b","W",if(LEFT(VLOOKUP($B45,'Round 5'!$F$2:$H$361,3,false),1)="a","L","")))</f>
        <v>L</v>
      </c>
      <c r="I45" s="67" t="str">
        <f>iferror(if(LEFT(VLOOKUP($B45,'Round 6'!$B$2:$H$361,7,false),1)="A","W",if(LEFT(VLOOKUP($B45,'Round 6'!$B$2:$H$361,7,false),1)="B","L","")),if(LEFT(VLOOKUP($B45,'Round 6'!$F$2:$H$361,3,false),1)="b","W",if(LEFT(VLOOKUP($B45,'Round 6'!$F$2:$H$361,3,false),1)="a","L","")))</f>
        <v>W</v>
      </c>
      <c r="J45" s="67" t="str">
        <f>iferror(iferror(if(LEFT(VLOOKUP($B45,'Round 7'!$B$2:$H$361,7,false),1)="A","W",if(LEFT(VLOOKUP($B45,'Round 7'!$B$2:$H$361,7,false),1)="B","L","")),if(LEFT(VLOOKUP($B45,'Round 7'!$F$2:$H$361,3,false),1)="b","W",if(LEFT(VLOOKUP($B45,'Round 7'!$F$2:$H$361,3,false),1)="a","L",""))),"")</f>
        <v>L</v>
      </c>
      <c r="K45" s="68" t="str">
        <f>iferror(iferror(if(LEFT(VLOOKUP($B45,'Round 8'!$B$2:$H$361,7,false),1)="A","W",if(LEFT(VLOOKUP($B45,'Round 8'!$B$2:$H$361,7,false),1)="B","L","")),if(LEFT(VLOOKUP($B45,'Round 8'!$F$2:$H$361,3,false),1)="b","W",if(LEFT(VLOOKUP($B45,'Round 8'!$F$2:$H$361,3,false),1)="a","L",""))),"")</f>
        <v/>
      </c>
      <c r="L45" s="68" t="str">
        <f>iferror(iferror(if(LEFT(VLOOKUP($B45,'Round 9'!$B$2:$H$361,7,false),1)="A","W",if(LEFT(VLOOKUP($B45,'Round 9'!$B$2:$H$361,7,false),1)="B","L","")),if(LEFT(VLOOKUP($B45,'Round 9'!$F$2:$H$361,3,false),1)="b","W",if(LEFT(VLOOKUP($B45,'Round 9'!$F$2:$H$361,3,false),1)="a","L",""))),"")</f>
        <v/>
      </c>
      <c r="M45" s="68" t="str">
        <f>iferror(iferror(if(LEFT(VLOOKUP($B45,'Round 10'!$B$2:$H$362,7,false),1)="A","W",if(LEFT(VLOOKUP($B45,'Round 10'!$B$2:$H$362,7,false),1)="B","L","")),if(LEFT(VLOOKUP($B45,'Round 10'!$F$2:$H$362,3,false),1)="b","W",if(LEFT(VLOOKUP($B45,'Round 10'!$F$2:$H$362,3,false),1)="a","L",""))),"")</f>
        <v/>
      </c>
      <c r="N45" s="62" t="s">
        <v>169</v>
      </c>
    </row>
    <row r="46">
      <c r="A46" s="63">
        <v>45.0</v>
      </c>
      <c r="B46" s="64" t="s">
        <v>170</v>
      </c>
      <c r="C46" s="65" t="str">
        <f t="shared" si="1"/>
        <v>7 - 2</v>
      </c>
      <c r="D46" s="67" t="str">
        <f>iferror(if(LEFT(VLOOKUP($B46,'Round 1'!$B$2:$H$361,7,false),1)="A","W",if(LEFT(VLOOKUP($B46,'Round 1'!$B$2:$H$361,7,false),1)="B","L","")),if(LEFT(VLOOKUP($B46,'Round 1'!$F$2:$H$361,3,false),1)="b","W",if(LEFT(VLOOKUP($B46,'Round 1'!$F$2:$H$361,3,false),1)="a","L","")))</f>
        <v>W</v>
      </c>
      <c r="E46" s="67" t="str">
        <f>iferror(if(LEFT(VLOOKUP($B46,'Round 2'!$C$2:$J$361,8,false),1)="A","W",if(LEFT(VLOOKUP($B46,'Round 2'!$C$2:$J$361,8,false),1)="B","L","")),if(LEFT(VLOOKUP($B46,'Round 2'!$G$2:$J$361,4,false),1)="b","W",if(LEFT(VLOOKUP($B46,'Round 2'!$G$2:$J$361,4,false),1)="a","L","")))</f>
        <v>W</v>
      </c>
      <c r="F46" s="67" t="str">
        <f>iferror(if(LEFT(VLOOKUP($B46,'Round 3'!$B$2:$H$361,7,false),1)="A","W",if(LEFT(VLOOKUP($B46,'Round 3'!$B$2:$H$361,7,false),1)="B","L","")),if(LEFT(VLOOKUP($B46,'Round 3'!$F$2:$H$361,3,false),1)="b","W",if(LEFT(VLOOKUP($B46,'Round 3'!$F$2:$H$361,3,false),1)="a","L","")))</f>
        <v>W</v>
      </c>
      <c r="G46" s="67" t="str">
        <f>iferror(if(LEFT(VLOOKUP($B46,'Round 4'!$B$2:$H$361,7,false),1)="A","W",if(LEFT(VLOOKUP($B46,'Round 4'!$B$2:$H$361,7,false),1)="B","L","")),if(LEFT(VLOOKUP($B46,'Round 4'!$F$2:$H$361,3,false),1)="b","W",if(LEFT(VLOOKUP($B46,'Round 4'!$F$2:$H$361,3,false),1)="a","L","")))</f>
        <v>W</v>
      </c>
      <c r="H46" s="67" t="str">
        <f>iferror(if(LEFT(VLOOKUP($B46,'Round 5'!$B$2:$H$361,7,false),1)="A","W",if(LEFT(VLOOKUP($B46,'Round 5'!$B$2:$H$361,7,false),1)="B","L","")),if(LEFT(VLOOKUP($B46,'Round 5'!$F$2:$H$361,3,false),1)="b","W",if(LEFT(VLOOKUP($B46,'Round 5'!$F$2:$H$361,3,false),1)="a","L","")))</f>
        <v>L</v>
      </c>
      <c r="I46" s="67" t="str">
        <f>iferror(if(LEFT(VLOOKUP($B46,'Round 6'!$B$2:$H$361,7,false),1)="A","W",if(LEFT(VLOOKUP($B46,'Round 6'!$B$2:$H$361,7,false),1)="B","L","")),if(LEFT(VLOOKUP($B46,'Round 6'!$F$2:$H$361,3,false),1)="b","W",if(LEFT(VLOOKUP($B46,'Round 6'!$F$2:$H$361,3,false),1)="a","L","")))</f>
        <v>W</v>
      </c>
      <c r="J46" s="67" t="str">
        <f>iferror(iferror(if(LEFT(VLOOKUP($B46,'Round 7'!$B$2:$H$361,7,false),1)="A","W",if(LEFT(VLOOKUP($B46,'Round 7'!$B$2:$H$361,7,false),1)="B","L","")),if(LEFT(VLOOKUP($B46,'Round 7'!$F$2:$H$361,3,false),1)="b","W",if(LEFT(VLOOKUP($B46,'Round 7'!$F$2:$H$361,3,false),1)="a","L",""))),"")</f>
        <v>W</v>
      </c>
      <c r="K46" s="68" t="str">
        <f>iferror(iferror(if(LEFT(VLOOKUP($B46,'Round 8'!$B$2:$H$361,7,false),1)="A","W",if(LEFT(VLOOKUP($B46,'Round 8'!$B$2:$H$361,7,false),1)="B","L","")),if(LEFT(VLOOKUP($B46,'Round 8'!$F$2:$H$361,3,false),1)="b","W",if(LEFT(VLOOKUP($B46,'Round 8'!$F$2:$H$361,3,false),1)="a","L",""))),"")</f>
        <v>W</v>
      </c>
      <c r="L46" s="68" t="str">
        <f>iferror(iferror(if(LEFT(VLOOKUP($B46,'Round 9'!$B$2:$H$361,7,false),1)="A","W",if(LEFT(VLOOKUP($B46,'Round 9'!$B$2:$H$361,7,false),1)="B","L","")),if(LEFT(VLOOKUP($B46,'Round 9'!$F$2:$H$361,3,false),1)="b","W",if(LEFT(VLOOKUP($B46,'Round 9'!$F$2:$H$361,3,false),1)="a","L",""))),"")</f>
        <v>L</v>
      </c>
      <c r="M46" s="68" t="str">
        <f>iferror(iferror(if(LEFT(VLOOKUP($B46,'Round 10'!$B$2:$H$362,7,false),1)="A","W",if(LEFT(VLOOKUP($B46,'Round 10'!$B$2:$H$362,7,false),1)="B","L","")),if(LEFT(VLOOKUP($B46,'Round 10'!$F$2:$H$362,3,false),1)="b","W",if(LEFT(VLOOKUP($B46,'Round 10'!$F$2:$H$362,3,false),1)="a","L",""))),"")</f>
        <v/>
      </c>
      <c r="N46" s="62" t="s">
        <v>171</v>
      </c>
    </row>
    <row r="47">
      <c r="A47" s="63">
        <v>46.0</v>
      </c>
      <c r="B47" s="64" t="s">
        <v>172</v>
      </c>
      <c r="C47" s="65" t="str">
        <f t="shared" si="1"/>
        <v>7 - 2</v>
      </c>
      <c r="D47" s="67" t="str">
        <f>iferror(if(LEFT(VLOOKUP($B47,'Round 1'!$B$2:$H$361,7,false),1)="A","W",if(LEFT(VLOOKUP($B47,'Round 1'!$B$2:$H$361,7,false),1)="B","L","")),if(LEFT(VLOOKUP($B47,'Round 1'!$F$2:$H$361,3,false),1)="b","W",if(LEFT(VLOOKUP($B47,'Round 1'!$F$2:$H$361,3,false),1)="a","L","")))</f>
        <v>W</v>
      </c>
      <c r="E47" s="67" t="str">
        <f>iferror(if(LEFT(VLOOKUP($B47,'Round 2'!$C$2:$J$361,8,false),1)="A","W",if(LEFT(VLOOKUP($B47,'Round 2'!$C$2:$J$361,8,false),1)="B","L","")),if(LEFT(VLOOKUP($B47,'Round 2'!$G$2:$J$361,4,false),1)="b","W",if(LEFT(VLOOKUP($B47,'Round 2'!$G$2:$J$361,4,false),1)="a","L","")))</f>
        <v>W</v>
      </c>
      <c r="F47" s="67" t="str">
        <f>iferror(if(LEFT(VLOOKUP($B47,'Round 3'!$B$2:$H$361,7,false),1)="A","W",if(LEFT(VLOOKUP($B47,'Round 3'!$B$2:$H$361,7,false),1)="B","L","")),if(LEFT(VLOOKUP($B47,'Round 3'!$F$2:$H$361,3,false),1)="b","W",if(LEFT(VLOOKUP($B47,'Round 3'!$F$2:$H$361,3,false),1)="a","L","")))</f>
        <v>W</v>
      </c>
      <c r="G47" s="67" t="str">
        <f>iferror(if(LEFT(VLOOKUP($B47,'Round 4'!$B$2:$H$361,7,false),1)="A","W",if(LEFT(VLOOKUP($B47,'Round 4'!$B$2:$H$361,7,false),1)="B","L","")),if(LEFT(VLOOKUP($B47,'Round 4'!$F$2:$H$361,3,false),1)="b","W",if(LEFT(VLOOKUP($B47,'Round 4'!$F$2:$H$361,3,false),1)="a","L","")))</f>
        <v>W</v>
      </c>
      <c r="H47" s="67" t="str">
        <f>iferror(if(LEFT(VLOOKUP($B47,'Round 5'!$B$2:$H$361,7,false),1)="A","W",if(LEFT(VLOOKUP($B47,'Round 5'!$B$2:$H$361,7,false),1)="B","L","")),if(LEFT(VLOOKUP($B47,'Round 5'!$F$2:$H$361,3,false),1)="b","W",if(LEFT(VLOOKUP($B47,'Round 5'!$F$2:$H$361,3,false),1)="a","L","")))</f>
        <v>W</v>
      </c>
      <c r="I47" s="67" t="str">
        <f>iferror(if(LEFT(VLOOKUP($B47,'Round 6'!$B$2:$H$361,7,false),1)="A","W",if(LEFT(VLOOKUP($B47,'Round 6'!$B$2:$H$361,7,false),1)="B","L","")),if(LEFT(VLOOKUP($B47,'Round 6'!$F$2:$H$361,3,false),1)="b","W",if(LEFT(VLOOKUP($B47,'Round 6'!$F$2:$H$361,3,false),1)="a","L","")))</f>
        <v>W</v>
      </c>
      <c r="J47" s="67" t="str">
        <f>iferror(iferror(if(LEFT(VLOOKUP($B47,'Round 7'!$B$2:$H$361,7,false),1)="A","W",if(LEFT(VLOOKUP($B47,'Round 7'!$B$2:$H$361,7,false),1)="B","L","")),if(LEFT(VLOOKUP($B47,'Round 7'!$F$2:$H$361,3,false),1)="b","W",if(LEFT(VLOOKUP($B47,'Round 7'!$F$2:$H$361,3,false),1)="a","L",""))),"")</f>
        <v>L</v>
      </c>
      <c r="K47" s="68" t="str">
        <f>iferror(iferror(if(LEFT(VLOOKUP($B47,'Round 8'!$B$2:$H$361,7,false),1)="A","W",if(LEFT(VLOOKUP($B47,'Round 8'!$B$2:$H$361,7,false),1)="B","L","")),if(LEFT(VLOOKUP($B47,'Round 8'!$F$2:$H$361,3,false),1)="b","W",if(LEFT(VLOOKUP($B47,'Round 8'!$F$2:$H$361,3,false),1)="a","L",""))),"")</f>
        <v>L</v>
      </c>
      <c r="L47" s="68" t="str">
        <f>iferror(iferror(if(LEFT(VLOOKUP($B47,'Round 9'!$B$2:$H$361,7,false),1)="A","W",if(LEFT(VLOOKUP($B47,'Round 9'!$B$2:$H$361,7,false),1)="B","L","")),if(LEFT(VLOOKUP($B47,'Round 9'!$F$2:$H$361,3,false),1)="b","W",if(LEFT(VLOOKUP($B47,'Round 9'!$F$2:$H$361,3,false),1)="a","L",""))),"")</f>
        <v>W</v>
      </c>
      <c r="M47" s="68" t="str">
        <f>iferror(iferror(if(LEFT(VLOOKUP($B47,'Round 10'!$B$2:$H$362,7,false),1)="A","W",if(LEFT(VLOOKUP($B47,'Round 10'!$B$2:$H$362,7,false),1)="B","L","")),if(LEFT(VLOOKUP($B47,'Round 10'!$F$2:$H$362,3,false),1)="b","W",if(LEFT(VLOOKUP($B47,'Round 10'!$F$2:$H$362,3,false),1)="a","L",""))),"")</f>
        <v/>
      </c>
      <c r="N47" s="62" t="s">
        <v>173</v>
      </c>
    </row>
    <row r="48">
      <c r="A48" s="63">
        <v>47.0</v>
      </c>
      <c r="B48" s="64" t="s">
        <v>174</v>
      </c>
      <c r="C48" s="65" t="str">
        <f t="shared" si="1"/>
        <v>7 - 2</v>
      </c>
      <c r="D48" s="67" t="str">
        <f>iferror(if(LEFT(VLOOKUP($B48,'Round 1'!$B$2:$H$361,7,false),1)="A","W",if(LEFT(VLOOKUP($B48,'Round 1'!$B$2:$H$361,7,false),1)="B","L","")),if(LEFT(VLOOKUP($B48,'Round 1'!$F$2:$H$361,3,false),1)="b","W",if(LEFT(VLOOKUP($B48,'Round 1'!$F$2:$H$361,3,false),1)="a","L","")))</f>
        <v>W</v>
      </c>
      <c r="E48" s="67" t="str">
        <f>iferror(if(LEFT(VLOOKUP($B48,'Round 2'!$C$2:$J$361,8,false),1)="A","W",if(LEFT(VLOOKUP($B48,'Round 2'!$C$2:$J$361,8,false),1)="B","L","")),if(LEFT(VLOOKUP($B48,'Round 2'!$G$2:$J$361,4,false),1)="b","W",if(LEFT(VLOOKUP($B48,'Round 2'!$G$2:$J$361,4,false),1)="a","L","")))</f>
        <v>W</v>
      </c>
      <c r="F48" s="67" t="str">
        <f>iferror(if(LEFT(VLOOKUP($B48,'Round 3'!$B$2:$H$361,7,false),1)="A","W",if(LEFT(VLOOKUP($B48,'Round 3'!$B$2:$H$361,7,false),1)="B","L","")),if(LEFT(VLOOKUP($B48,'Round 3'!$F$2:$H$361,3,false),1)="b","W",if(LEFT(VLOOKUP($B48,'Round 3'!$F$2:$H$361,3,false),1)="a","L","")))</f>
        <v>L</v>
      </c>
      <c r="G48" s="67" t="str">
        <f>iferror(if(LEFT(VLOOKUP($B48,'Round 4'!$B$2:$H$361,7,false),1)="A","W",if(LEFT(VLOOKUP($B48,'Round 4'!$B$2:$H$361,7,false),1)="B","L","")),if(LEFT(VLOOKUP($B48,'Round 4'!$F$2:$H$361,3,false),1)="b","W",if(LEFT(VLOOKUP($B48,'Round 4'!$F$2:$H$361,3,false),1)="a","L","")))</f>
        <v>W</v>
      </c>
      <c r="H48" s="67" t="str">
        <f>iferror(if(LEFT(VLOOKUP($B48,'Round 5'!$B$2:$H$361,7,false),1)="A","W",if(LEFT(VLOOKUP($B48,'Round 5'!$B$2:$H$361,7,false),1)="B","L","")),if(LEFT(VLOOKUP($B48,'Round 5'!$F$2:$H$361,3,false),1)="b","W",if(LEFT(VLOOKUP($B48,'Round 5'!$F$2:$H$361,3,false),1)="a","L","")))</f>
        <v>W</v>
      </c>
      <c r="I48" s="67" t="str">
        <f>iferror(if(LEFT(VLOOKUP($B48,'Round 6'!$B$2:$H$361,7,false),1)="A","W",if(LEFT(VLOOKUP($B48,'Round 6'!$B$2:$H$361,7,false),1)="B","L","")),if(LEFT(VLOOKUP($B48,'Round 6'!$F$2:$H$361,3,false),1)="b","W",if(LEFT(VLOOKUP($B48,'Round 6'!$F$2:$H$361,3,false),1)="a","L","")))</f>
        <v>L</v>
      </c>
      <c r="J48" s="67" t="str">
        <f>iferror(iferror(if(LEFT(VLOOKUP($B48,'Round 7'!$B$2:$H$361,7,false),1)="A","W",if(LEFT(VLOOKUP($B48,'Round 7'!$B$2:$H$361,7,false),1)="B","L","")),if(LEFT(VLOOKUP($B48,'Round 7'!$F$2:$H$361,3,false),1)="b","W",if(LEFT(VLOOKUP($B48,'Round 7'!$F$2:$H$361,3,false),1)="a","L",""))),"")</f>
        <v>W</v>
      </c>
      <c r="K48" s="68" t="str">
        <f>iferror(iferror(if(LEFT(VLOOKUP($B48,'Round 8'!$B$2:$H$361,7,false),1)="A","W",if(LEFT(VLOOKUP($B48,'Round 8'!$B$2:$H$361,7,false),1)="B","L","")),if(LEFT(VLOOKUP($B48,'Round 8'!$F$2:$H$361,3,false),1)="b","W",if(LEFT(VLOOKUP($B48,'Round 8'!$F$2:$H$361,3,false),1)="a","L",""))),"")</f>
        <v>W</v>
      </c>
      <c r="L48" s="68" t="str">
        <f>iferror(iferror(if(LEFT(VLOOKUP($B48,'Round 9'!$B$2:$H$361,7,false),1)="A","W",if(LEFT(VLOOKUP($B48,'Round 9'!$B$2:$H$361,7,false),1)="B","L","")),if(LEFT(VLOOKUP($B48,'Round 9'!$F$2:$H$361,3,false),1)="b","W",if(LEFT(VLOOKUP($B48,'Round 9'!$F$2:$H$361,3,false),1)="a","L",""))),"")</f>
        <v>W</v>
      </c>
      <c r="M48" s="68" t="str">
        <f>iferror(iferror(if(LEFT(VLOOKUP($B48,'Round 10'!$B$2:$H$362,7,false),1)="A","W",if(LEFT(VLOOKUP($B48,'Round 10'!$B$2:$H$362,7,false),1)="B","L","")),if(LEFT(VLOOKUP($B48,'Round 10'!$F$2:$H$362,3,false),1)="b","W",if(LEFT(VLOOKUP($B48,'Round 10'!$F$2:$H$362,3,false),1)="a","L",""))),"")</f>
        <v/>
      </c>
      <c r="N48" s="62" t="s">
        <v>175</v>
      </c>
    </row>
    <row r="49">
      <c r="A49" s="63">
        <v>48.0</v>
      </c>
      <c r="B49" s="64" t="s">
        <v>176</v>
      </c>
      <c r="C49" s="65" t="str">
        <f t="shared" si="1"/>
        <v>7 - 2</v>
      </c>
      <c r="D49" s="67" t="str">
        <f>iferror(if(LEFT(VLOOKUP($B49,'Round 1'!$B$2:$H$361,7,false),1)="A","W",if(LEFT(VLOOKUP($B49,'Round 1'!$B$2:$H$361,7,false),1)="B","L","")),if(LEFT(VLOOKUP($B49,'Round 1'!$F$2:$H$361,3,false),1)="b","W",if(LEFT(VLOOKUP($B49,'Round 1'!$F$2:$H$361,3,false),1)="a","L","")))</f>
        <v>W</v>
      </c>
      <c r="E49" s="67" t="str">
        <f>iferror(if(LEFT(VLOOKUP($B49,'Round 2'!$C$2:$J$361,8,false),1)="A","W",if(LEFT(VLOOKUP($B49,'Round 2'!$C$2:$J$361,8,false),1)="B","L","")),if(LEFT(VLOOKUP($B49,'Round 2'!$G$2:$J$361,4,false),1)="b","W",if(LEFT(VLOOKUP($B49,'Round 2'!$G$2:$J$361,4,false),1)="a","L","")))</f>
        <v>W</v>
      </c>
      <c r="F49" s="67" t="str">
        <f>iferror(if(LEFT(VLOOKUP($B49,'Round 3'!$B$2:$H$361,7,false),1)="A","W",if(LEFT(VLOOKUP($B49,'Round 3'!$B$2:$H$361,7,false),1)="B","L","")),if(LEFT(VLOOKUP($B49,'Round 3'!$F$2:$H$361,3,false),1)="b","W",if(LEFT(VLOOKUP($B49,'Round 3'!$F$2:$H$361,3,false),1)="a","L","")))</f>
        <v>L</v>
      </c>
      <c r="G49" s="67" t="str">
        <f>iferror(if(LEFT(VLOOKUP($B49,'Round 4'!$B$2:$H$361,7,false),1)="A","W",if(LEFT(VLOOKUP($B49,'Round 4'!$B$2:$H$361,7,false),1)="B","L","")),if(LEFT(VLOOKUP($B49,'Round 4'!$F$2:$H$361,3,false),1)="b","W",if(LEFT(VLOOKUP($B49,'Round 4'!$F$2:$H$361,3,false),1)="a","L","")))</f>
        <v>W</v>
      </c>
      <c r="H49" s="67" t="str">
        <f>iferror(if(LEFT(VLOOKUP($B49,'Round 5'!$B$2:$H$361,7,false),1)="A","W",if(LEFT(VLOOKUP($B49,'Round 5'!$B$2:$H$361,7,false),1)="B","L","")),if(LEFT(VLOOKUP($B49,'Round 5'!$F$2:$H$361,3,false),1)="b","W",if(LEFT(VLOOKUP($B49,'Round 5'!$F$2:$H$361,3,false),1)="a","L","")))</f>
        <v>W</v>
      </c>
      <c r="I49" s="67" t="str">
        <f>iferror(if(LEFT(VLOOKUP($B49,'Round 6'!$B$2:$H$361,7,false),1)="A","W",if(LEFT(VLOOKUP($B49,'Round 6'!$B$2:$H$361,7,false),1)="B","L","")),if(LEFT(VLOOKUP($B49,'Round 6'!$F$2:$H$361,3,false),1)="b","W",if(LEFT(VLOOKUP($B49,'Round 6'!$F$2:$H$361,3,false),1)="a","L","")))</f>
        <v>W</v>
      </c>
      <c r="J49" s="67" t="str">
        <f>iferror(iferror(if(LEFT(VLOOKUP($B49,'Round 7'!$B$2:$H$361,7,false),1)="A","W",if(LEFT(VLOOKUP($B49,'Round 7'!$B$2:$H$361,7,false),1)="B","L","")),if(LEFT(VLOOKUP($B49,'Round 7'!$F$2:$H$361,3,false),1)="b","W",if(LEFT(VLOOKUP($B49,'Round 7'!$F$2:$H$361,3,false),1)="a","L",""))),"")</f>
        <v>L</v>
      </c>
      <c r="K49" s="68" t="str">
        <f>iferror(iferror(if(LEFT(VLOOKUP($B49,'Round 8'!$B$2:$H$361,7,false),1)="A","W",if(LEFT(VLOOKUP($B49,'Round 8'!$B$2:$H$361,7,false),1)="B","L","")),if(LEFT(VLOOKUP($B49,'Round 8'!$F$2:$H$361,3,false),1)="b","W",if(LEFT(VLOOKUP($B49,'Round 8'!$F$2:$H$361,3,false),1)="a","L",""))),"")</f>
        <v>W</v>
      </c>
      <c r="L49" s="68" t="str">
        <f>iferror(iferror(if(LEFT(VLOOKUP($B49,'Round 9'!$B$2:$H$361,7,false),1)="A","W",if(LEFT(VLOOKUP($B49,'Round 9'!$B$2:$H$361,7,false),1)="B","L","")),if(LEFT(VLOOKUP($B49,'Round 9'!$F$2:$H$361,3,false),1)="b","W",if(LEFT(VLOOKUP($B49,'Round 9'!$F$2:$H$361,3,false),1)="a","L",""))),"")</f>
        <v>W</v>
      </c>
      <c r="M49" s="68" t="str">
        <f>iferror(iferror(if(LEFT(VLOOKUP($B49,'Round 10'!$B$2:$H$362,7,false),1)="A","W",if(LEFT(VLOOKUP($B49,'Round 10'!$B$2:$H$362,7,false),1)="B","L","")),if(LEFT(VLOOKUP($B49,'Round 10'!$F$2:$H$362,3,false),1)="b","W",if(LEFT(VLOOKUP($B49,'Round 10'!$F$2:$H$362,3,false),1)="a","L",""))),"")</f>
        <v/>
      </c>
      <c r="N49" s="62" t="s">
        <v>177</v>
      </c>
    </row>
    <row r="50">
      <c r="A50" s="63">
        <v>49.0</v>
      </c>
      <c r="B50" s="64" t="s">
        <v>178</v>
      </c>
      <c r="C50" s="65" t="str">
        <f t="shared" si="1"/>
        <v>8 - 1</v>
      </c>
      <c r="D50" s="67" t="str">
        <f>iferror(if(LEFT(VLOOKUP($B50,'Round 1'!$B$2:$H$361,7,false),1)="A","W",if(LEFT(VLOOKUP($B50,'Round 1'!$B$2:$H$361,7,false),1)="B","L","")),if(LEFT(VLOOKUP($B50,'Round 1'!$F$2:$H$361,3,false),1)="b","W",if(LEFT(VLOOKUP($B50,'Round 1'!$F$2:$H$361,3,false),1)="a","L","")))</f>
        <v>W</v>
      </c>
      <c r="E50" s="67" t="str">
        <f>iferror(if(LEFT(VLOOKUP($B50,'Round 2'!$C$2:$J$361,8,false),1)="A","W",if(LEFT(VLOOKUP($B50,'Round 2'!$C$2:$J$361,8,false),1)="B","L","")),if(LEFT(VLOOKUP($B50,'Round 2'!$G$2:$J$361,4,false),1)="b","W",if(LEFT(VLOOKUP($B50,'Round 2'!$G$2:$J$361,4,false),1)="a","L","")))</f>
        <v>W</v>
      </c>
      <c r="F50" s="67" t="str">
        <f>iferror(if(LEFT(VLOOKUP($B50,'Round 3'!$B$2:$H$361,7,false),1)="A","W",if(LEFT(VLOOKUP($B50,'Round 3'!$B$2:$H$361,7,false),1)="B","L","")),if(LEFT(VLOOKUP($B50,'Round 3'!$F$2:$H$361,3,false),1)="b","W",if(LEFT(VLOOKUP($B50,'Round 3'!$F$2:$H$361,3,false),1)="a","L","")))</f>
        <v>W</v>
      </c>
      <c r="G50" s="67" t="str">
        <f>iferror(if(LEFT(VLOOKUP($B50,'Round 4'!$B$2:$H$361,7,false),1)="A","W",if(LEFT(VLOOKUP($B50,'Round 4'!$B$2:$H$361,7,false),1)="B","L","")),if(LEFT(VLOOKUP($B50,'Round 4'!$F$2:$H$361,3,false),1)="b","W",if(LEFT(VLOOKUP($B50,'Round 4'!$F$2:$H$361,3,false),1)="a","L","")))</f>
        <v>L</v>
      </c>
      <c r="H50" s="67" t="str">
        <f>iferror(if(LEFT(VLOOKUP($B50,'Round 5'!$B$2:$H$361,7,false),1)="A","W",if(LEFT(VLOOKUP($B50,'Round 5'!$B$2:$H$361,7,false),1)="B","L","")),if(LEFT(VLOOKUP($B50,'Round 5'!$F$2:$H$361,3,false),1)="b","W",if(LEFT(VLOOKUP($B50,'Round 5'!$F$2:$H$361,3,false),1)="a","L","")))</f>
        <v>W</v>
      </c>
      <c r="I50" s="67" t="str">
        <f>iferror(if(LEFT(VLOOKUP($B50,'Round 6'!$B$2:$H$361,7,false),1)="A","W",if(LEFT(VLOOKUP($B50,'Round 6'!$B$2:$H$361,7,false),1)="B","L","")),if(LEFT(VLOOKUP($B50,'Round 6'!$F$2:$H$361,3,false),1)="b","W",if(LEFT(VLOOKUP($B50,'Round 6'!$F$2:$H$361,3,false),1)="a","L","")))</f>
        <v>W</v>
      </c>
      <c r="J50" s="67" t="str">
        <f>iferror(iferror(if(LEFT(VLOOKUP($B50,'Round 7'!$B$2:$H$361,7,false),1)="A","W",if(LEFT(VLOOKUP($B50,'Round 7'!$B$2:$H$361,7,false),1)="B","L","")),if(LEFT(VLOOKUP($B50,'Round 7'!$F$2:$H$361,3,false),1)="b","W",if(LEFT(VLOOKUP($B50,'Round 7'!$F$2:$H$361,3,false),1)="a","L",""))),"")</f>
        <v>W</v>
      </c>
      <c r="K50" s="68" t="str">
        <f>iferror(iferror(if(LEFT(VLOOKUP($B50,'Round 8'!$B$2:$H$361,7,false),1)="A","W",if(LEFT(VLOOKUP($B50,'Round 8'!$B$2:$H$361,7,false),1)="B","L","")),if(LEFT(VLOOKUP($B50,'Round 8'!$F$2:$H$361,3,false),1)="b","W",if(LEFT(VLOOKUP($B50,'Round 8'!$F$2:$H$361,3,false),1)="a","L",""))),"")</f>
        <v>W</v>
      </c>
      <c r="L50" s="68" t="str">
        <f>iferror(iferror(if(LEFT(VLOOKUP($B50,'Round 9'!$B$2:$H$361,7,false),1)="A","W",if(LEFT(VLOOKUP($B50,'Round 9'!$B$2:$H$361,7,false),1)="B","L","")),if(LEFT(VLOOKUP($B50,'Round 9'!$F$2:$H$361,3,false),1)="b","W",if(LEFT(VLOOKUP($B50,'Round 9'!$F$2:$H$361,3,false),1)="a","L",""))),"")</f>
        <v>W</v>
      </c>
      <c r="M50" s="68" t="str">
        <f>iferror(iferror(if(LEFT(VLOOKUP($B50,'Round 10'!$B$2:$H$362,7,false),1)="A","W",if(LEFT(VLOOKUP($B50,'Round 10'!$B$2:$H$362,7,false),1)="B","L","")),if(LEFT(VLOOKUP($B50,'Round 10'!$F$2:$H$362,3,false),1)="b","W",if(LEFT(VLOOKUP($B50,'Round 10'!$F$2:$H$362,3,false),1)="a","L",""))),"")</f>
        <v/>
      </c>
      <c r="N50" s="62" t="s">
        <v>179</v>
      </c>
    </row>
    <row r="51">
      <c r="A51" s="63">
        <v>50.0</v>
      </c>
      <c r="B51" s="64" t="s">
        <v>180</v>
      </c>
      <c r="C51" s="65" t="str">
        <f t="shared" si="1"/>
        <v>5 - 3</v>
      </c>
      <c r="D51" s="67" t="str">
        <f>iferror(if(LEFT(VLOOKUP($B51,'Round 1'!$B$2:$H$361,7,false),1)="A","W",if(LEFT(VLOOKUP($B51,'Round 1'!$B$2:$H$361,7,false),1)="B","L","")),if(LEFT(VLOOKUP($B51,'Round 1'!$F$2:$H$361,3,false),1)="b","W",if(LEFT(VLOOKUP($B51,'Round 1'!$F$2:$H$361,3,false),1)="a","L","")))</f>
        <v>W</v>
      </c>
      <c r="E51" s="67" t="str">
        <f>iferror(if(LEFT(VLOOKUP($B51,'Round 2'!$C$2:$J$361,8,false),1)="A","W",if(LEFT(VLOOKUP($B51,'Round 2'!$C$2:$J$361,8,false),1)="B","L","")),if(LEFT(VLOOKUP($B51,'Round 2'!$G$2:$J$361,4,false),1)="b","W",if(LEFT(VLOOKUP($B51,'Round 2'!$G$2:$J$361,4,false),1)="a","L","")))</f>
        <v>L</v>
      </c>
      <c r="F51" s="67" t="str">
        <f>iferror(if(LEFT(VLOOKUP($B51,'Round 3'!$B$2:$H$361,7,false),1)="A","W",if(LEFT(VLOOKUP($B51,'Round 3'!$B$2:$H$361,7,false),1)="B","L","")),if(LEFT(VLOOKUP($B51,'Round 3'!$F$2:$H$361,3,false),1)="b","W",if(LEFT(VLOOKUP($B51,'Round 3'!$F$2:$H$361,3,false),1)="a","L","")))</f>
        <v>W</v>
      </c>
      <c r="G51" s="67" t="str">
        <f>iferror(if(LEFT(VLOOKUP($B51,'Round 4'!$B$2:$H$361,7,false),1)="A","W",if(LEFT(VLOOKUP($B51,'Round 4'!$B$2:$H$361,7,false),1)="B","L","")),if(LEFT(VLOOKUP($B51,'Round 4'!$F$2:$H$361,3,false),1)="b","W",if(LEFT(VLOOKUP($B51,'Round 4'!$F$2:$H$361,3,false),1)="a","L","")))</f>
        <v>W</v>
      </c>
      <c r="H51" s="67" t="str">
        <f>iferror(if(LEFT(VLOOKUP($B51,'Round 5'!$B$2:$H$361,7,false),1)="A","W",if(LEFT(VLOOKUP($B51,'Round 5'!$B$2:$H$361,7,false),1)="B","L","")),if(LEFT(VLOOKUP($B51,'Round 5'!$F$2:$H$361,3,false),1)="b","W",if(LEFT(VLOOKUP($B51,'Round 5'!$F$2:$H$361,3,false),1)="a","L","")))</f>
        <v>W</v>
      </c>
      <c r="I51" s="67" t="str">
        <f>iferror(if(LEFT(VLOOKUP($B51,'Round 6'!$B$2:$H$361,7,false),1)="A","W",if(LEFT(VLOOKUP($B51,'Round 6'!$B$2:$H$361,7,false),1)="B","L","")),if(LEFT(VLOOKUP($B51,'Round 6'!$F$2:$H$361,3,false),1)="b","W",if(LEFT(VLOOKUP($B51,'Round 6'!$F$2:$H$361,3,false),1)="a","L","")))</f>
        <v>W</v>
      </c>
      <c r="J51" s="67" t="str">
        <f>iferror(iferror(if(LEFT(VLOOKUP($B51,'Round 7'!$B$2:$H$361,7,false),1)="A","W",if(LEFT(VLOOKUP($B51,'Round 7'!$B$2:$H$361,7,false),1)="B","L","")),if(LEFT(VLOOKUP($B51,'Round 7'!$F$2:$H$361,3,false),1)="b","W",if(LEFT(VLOOKUP($B51,'Round 7'!$F$2:$H$361,3,false),1)="a","L",""))),"")</f>
        <v>L</v>
      </c>
      <c r="K51" s="68" t="str">
        <f>iferror(iferror(if(LEFT(VLOOKUP($B51,'Round 8'!$B$2:$H$361,7,false),1)="A","W",if(LEFT(VLOOKUP($B51,'Round 8'!$B$2:$H$361,7,false),1)="B","L","")),if(LEFT(VLOOKUP($B51,'Round 8'!$F$2:$H$361,3,false),1)="b","W",if(LEFT(VLOOKUP($B51,'Round 8'!$F$2:$H$361,3,false),1)="a","L",""))),"")</f>
        <v>L</v>
      </c>
      <c r="L51" s="68" t="str">
        <f>iferror(iferror(if(LEFT(VLOOKUP($B51,'Round 9'!$B$2:$H$361,7,false),1)="A","W",if(LEFT(VLOOKUP($B51,'Round 9'!$B$2:$H$361,7,false),1)="B","L","")),if(LEFT(VLOOKUP($B51,'Round 9'!$F$2:$H$361,3,false),1)="b","W",if(LEFT(VLOOKUP($B51,'Round 9'!$F$2:$H$361,3,false),1)="a","L",""))),"")</f>
        <v/>
      </c>
      <c r="M51" s="68" t="str">
        <f>iferror(iferror(if(LEFT(VLOOKUP($B51,'Round 10'!$B$2:$H$362,7,false),1)="A","W",if(LEFT(VLOOKUP($B51,'Round 10'!$B$2:$H$362,7,false),1)="B","L","")),if(LEFT(VLOOKUP($B51,'Round 10'!$F$2:$H$362,3,false),1)="b","W",if(LEFT(VLOOKUP($B51,'Round 10'!$F$2:$H$362,3,false),1)="a","L",""))),"")</f>
        <v/>
      </c>
      <c r="N51" s="62" t="s">
        <v>181</v>
      </c>
    </row>
    <row r="52">
      <c r="A52" s="63">
        <v>51.0</v>
      </c>
      <c r="B52" s="64" t="s">
        <v>182</v>
      </c>
      <c r="C52" s="65" t="str">
        <f t="shared" si="1"/>
        <v>1 - 3</v>
      </c>
      <c r="D52" s="67" t="str">
        <f>iferror(if(LEFT(VLOOKUP($B52,'Round 1'!$B$2:$H$361,7,false),1)="A","W",if(LEFT(VLOOKUP($B52,'Round 1'!$B$2:$H$361,7,false),1)="B","L","")),if(LEFT(VLOOKUP($B52,'Round 1'!$F$2:$H$361,3,false),1)="b","W",if(LEFT(VLOOKUP($B52,'Round 1'!$F$2:$H$361,3,false),1)="a","L","")))</f>
        <v>W</v>
      </c>
      <c r="E52" s="67" t="str">
        <f>iferror(if(LEFT(VLOOKUP($B52,'Round 2'!$C$2:$J$361,8,false),1)="A","W",if(LEFT(VLOOKUP($B52,'Round 2'!$C$2:$J$361,8,false),1)="B","L","")),if(LEFT(VLOOKUP($B52,'Round 2'!$G$2:$J$361,4,false),1)="b","W",if(LEFT(VLOOKUP($B52,'Round 2'!$G$2:$J$361,4,false),1)="a","L","")))</f>
        <v>L</v>
      </c>
      <c r="F52" s="67" t="str">
        <f>iferror(if(LEFT(VLOOKUP($B52,'Round 3'!$B$2:$H$361,7,false),1)="A","W",if(LEFT(VLOOKUP($B52,'Round 3'!$B$2:$H$361,7,false),1)="B","L","")),if(LEFT(VLOOKUP($B52,'Round 3'!$F$2:$H$361,3,false),1)="b","W",if(LEFT(VLOOKUP($B52,'Round 3'!$F$2:$H$361,3,false),1)="a","L","")))</f>
        <v>L</v>
      </c>
      <c r="G52" s="67" t="str">
        <f>iferror(if(LEFT(VLOOKUP($B52,'Round 4'!$B$2:$H$361,7,false),1)="A","W",if(LEFT(VLOOKUP($B52,'Round 4'!$B$2:$H$361,7,false),1)="B","L","")),if(LEFT(VLOOKUP($B52,'Round 4'!$F$2:$H$361,3,false),1)="b","W",if(LEFT(VLOOKUP($B52,'Round 4'!$F$2:$H$361,3,false),1)="a","L","")))</f>
        <v>L</v>
      </c>
      <c r="H52" s="67"/>
      <c r="I52" s="67"/>
      <c r="J52" s="67" t="str">
        <f>iferror(iferror(if(LEFT(VLOOKUP($B52,'Round 7'!$B$2:$H$361,7,false),1)="A","W",if(LEFT(VLOOKUP($B52,'Round 7'!$B$2:$H$361,7,false),1)="B","L","")),if(LEFT(VLOOKUP($B52,'Round 7'!$F$2:$H$361,3,false),1)="b","W",if(LEFT(VLOOKUP($B52,'Round 7'!$F$2:$H$361,3,false),1)="a","L",""))),"")</f>
        <v/>
      </c>
      <c r="K52" s="68" t="str">
        <f>iferror(iferror(if(LEFT(VLOOKUP($B52,'Round 8'!$B$2:$H$361,7,false),1)="A","W",if(LEFT(VLOOKUP($B52,'Round 8'!$B$2:$H$361,7,false),1)="B","L","")),if(LEFT(VLOOKUP($B52,'Round 8'!$F$2:$H$361,3,false),1)="b","W",if(LEFT(VLOOKUP($B52,'Round 8'!$F$2:$H$361,3,false),1)="a","L",""))),"")</f>
        <v/>
      </c>
      <c r="L52" s="68" t="str">
        <f>iferror(iferror(if(LEFT(VLOOKUP($B52,'Round 9'!$B$2:$H$361,7,false),1)="A","W",if(LEFT(VLOOKUP($B52,'Round 9'!$B$2:$H$361,7,false),1)="B","L","")),if(LEFT(VLOOKUP($B52,'Round 9'!$F$2:$H$361,3,false),1)="b","W",if(LEFT(VLOOKUP($B52,'Round 9'!$F$2:$H$361,3,false),1)="a","L",""))),"")</f>
        <v/>
      </c>
      <c r="M52" s="68" t="str">
        <f>iferror(iferror(if(LEFT(VLOOKUP($B52,'Round 10'!$B$2:$H$362,7,false),1)="A","W",if(LEFT(VLOOKUP($B52,'Round 10'!$B$2:$H$362,7,false),1)="B","L","")),if(LEFT(VLOOKUP($B52,'Round 10'!$F$2:$H$362,3,false),1)="b","W",if(LEFT(VLOOKUP($B52,'Round 10'!$F$2:$H$362,3,false),1)="a","L",""))),"")</f>
        <v/>
      </c>
      <c r="N52" s="62" t="s">
        <v>183</v>
      </c>
    </row>
    <row r="53">
      <c r="A53" s="63">
        <v>52.0</v>
      </c>
      <c r="B53" s="64" t="s">
        <v>184</v>
      </c>
      <c r="C53" s="65" t="str">
        <f t="shared" si="1"/>
        <v>3 - 3</v>
      </c>
      <c r="D53" s="67" t="str">
        <f>iferror(if(LEFT(VLOOKUP($B53,'Round 1'!$B$2:$H$361,7,false),1)="A","W",if(LEFT(VLOOKUP($B53,'Round 1'!$B$2:$H$361,7,false),1)="B","L","")),if(LEFT(VLOOKUP($B53,'Round 1'!$F$2:$H$361,3,false),1)="b","W",if(LEFT(VLOOKUP($B53,'Round 1'!$F$2:$H$361,3,false),1)="a","L","")))</f>
        <v>W</v>
      </c>
      <c r="E53" s="67" t="str">
        <f>iferror(if(LEFT(VLOOKUP($B53,'Round 2'!$C$2:$J$361,8,false),1)="A","W",if(LEFT(VLOOKUP($B53,'Round 2'!$C$2:$J$361,8,false),1)="B","L","")),if(LEFT(VLOOKUP($B53,'Round 2'!$G$2:$J$361,4,false),1)="b","W",if(LEFT(VLOOKUP($B53,'Round 2'!$G$2:$J$361,4,false),1)="a","L","")))</f>
        <v>L</v>
      </c>
      <c r="F53" s="67" t="str">
        <f>iferror(if(LEFT(VLOOKUP($B53,'Round 3'!$B$2:$H$361,7,false),1)="A","W",if(LEFT(VLOOKUP($B53,'Round 3'!$B$2:$H$361,7,false),1)="B","L","")),if(LEFT(VLOOKUP($B53,'Round 3'!$F$2:$H$361,3,false),1)="b","W",if(LEFT(VLOOKUP($B53,'Round 3'!$F$2:$H$361,3,false),1)="a","L","")))</f>
        <v>W</v>
      </c>
      <c r="G53" s="67" t="str">
        <f>iferror(if(LEFT(VLOOKUP($B53,'Round 4'!$B$2:$H$361,7,false),1)="A","W",if(LEFT(VLOOKUP($B53,'Round 4'!$B$2:$H$361,7,false),1)="B","L","")),if(LEFT(VLOOKUP($B53,'Round 4'!$F$2:$H$361,3,false),1)="b","W",if(LEFT(VLOOKUP($B53,'Round 4'!$F$2:$H$361,3,false),1)="a","L","")))</f>
        <v>L</v>
      </c>
      <c r="H53" s="67" t="str">
        <f>iferror(if(LEFT(VLOOKUP($B53,'Round 5'!$B$2:$H$361,7,false),1)="A","W",if(LEFT(VLOOKUP($B53,'Round 5'!$B$2:$H$361,7,false),1)="B","L","")),if(LEFT(VLOOKUP($B53,'Round 5'!$F$2:$H$361,3,false),1)="b","W",if(LEFT(VLOOKUP($B53,'Round 5'!$F$2:$H$361,3,false),1)="a","L","")))</f>
        <v>W</v>
      </c>
      <c r="I53" s="67" t="str">
        <f>iferror(if(LEFT(VLOOKUP($B53,'Round 6'!$B$2:$H$361,7,false),1)="A","W",if(LEFT(VLOOKUP($B53,'Round 6'!$B$2:$H$361,7,false),1)="B","L","")),if(LEFT(VLOOKUP($B53,'Round 6'!$F$2:$H$361,3,false),1)="b","W",if(LEFT(VLOOKUP($B53,'Round 6'!$F$2:$H$361,3,false),1)="a","L","")))</f>
        <v>L</v>
      </c>
      <c r="J53" s="67" t="str">
        <f>iferror(iferror(if(LEFT(VLOOKUP($B53,'Round 7'!$B$2:$H$361,7,false),1)="A","W",if(LEFT(VLOOKUP($B53,'Round 7'!$B$2:$H$361,7,false),1)="B","L","")),if(LEFT(VLOOKUP($B53,'Round 7'!$F$2:$H$361,3,false),1)="b","W",if(LEFT(VLOOKUP($B53,'Round 7'!$F$2:$H$361,3,false),1)="a","L",""))),"")</f>
        <v/>
      </c>
      <c r="K53" s="68" t="str">
        <f>iferror(iferror(if(LEFT(VLOOKUP($B53,'Round 8'!$B$2:$H$361,7,false),1)="A","W",if(LEFT(VLOOKUP($B53,'Round 8'!$B$2:$H$361,7,false),1)="B","L","")),if(LEFT(VLOOKUP($B53,'Round 8'!$F$2:$H$361,3,false),1)="b","W",if(LEFT(VLOOKUP($B53,'Round 8'!$F$2:$H$361,3,false),1)="a","L",""))),"")</f>
        <v/>
      </c>
      <c r="L53" s="68" t="str">
        <f>iferror(iferror(if(LEFT(VLOOKUP($B53,'Round 9'!$B$2:$H$361,7,false),1)="A","W",if(LEFT(VLOOKUP($B53,'Round 9'!$B$2:$H$361,7,false),1)="B","L","")),if(LEFT(VLOOKUP($B53,'Round 9'!$F$2:$H$361,3,false),1)="b","W",if(LEFT(VLOOKUP($B53,'Round 9'!$F$2:$H$361,3,false),1)="a","L",""))),"")</f>
        <v/>
      </c>
      <c r="M53" s="68" t="str">
        <f>iferror(iferror(if(LEFT(VLOOKUP($B53,'Round 10'!$B$2:$H$362,7,false),1)="A","W",if(LEFT(VLOOKUP($B53,'Round 10'!$B$2:$H$362,7,false),1)="B","L","")),if(LEFT(VLOOKUP($B53,'Round 10'!$F$2:$H$362,3,false),1)="b","W",if(LEFT(VLOOKUP($B53,'Round 10'!$F$2:$H$362,3,false),1)="a","L",""))),"")</f>
        <v/>
      </c>
      <c r="N53" s="62" t="s">
        <v>185</v>
      </c>
    </row>
    <row r="54">
      <c r="A54" s="63">
        <v>53.0</v>
      </c>
      <c r="B54" s="64" t="s">
        <v>186</v>
      </c>
      <c r="C54" s="65" t="str">
        <f t="shared" si="1"/>
        <v>4 - 3</v>
      </c>
      <c r="D54" s="67" t="str">
        <f>iferror(if(LEFT(VLOOKUP($B54,'Round 1'!$B$2:$H$361,7,false),1)="A","W",if(LEFT(VLOOKUP($B54,'Round 1'!$B$2:$H$361,7,false),1)="B","L","")),if(LEFT(VLOOKUP($B54,'Round 1'!$F$2:$H$361,3,false),1)="b","W",if(LEFT(VLOOKUP($B54,'Round 1'!$F$2:$H$361,3,false),1)="a","L","")))</f>
        <v>W</v>
      </c>
      <c r="E54" s="67" t="str">
        <f>iferror(if(LEFT(VLOOKUP($B54,'Round 2'!$C$2:$J$361,8,false),1)="A","W",if(LEFT(VLOOKUP($B54,'Round 2'!$C$2:$J$361,8,false),1)="B","L","")),if(LEFT(VLOOKUP($B54,'Round 2'!$G$2:$J$361,4,false),1)="b","W",if(LEFT(VLOOKUP($B54,'Round 2'!$G$2:$J$361,4,false),1)="a","L","")))</f>
        <v>W</v>
      </c>
      <c r="F54" s="67" t="str">
        <f>iferror(if(LEFT(VLOOKUP($B54,'Round 3'!$B$2:$H$361,7,false),1)="A","W",if(LEFT(VLOOKUP($B54,'Round 3'!$B$2:$H$361,7,false),1)="B","L","")),if(LEFT(VLOOKUP($B54,'Round 3'!$F$2:$H$361,3,false),1)="b","W",if(LEFT(VLOOKUP($B54,'Round 3'!$F$2:$H$361,3,false),1)="a","L","")))</f>
        <v>W</v>
      </c>
      <c r="G54" s="67" t="str">
        <f>iferror(if(LEFT(VLOOKUP($B54,'Round 4'!$B$2:$H$361,7,false),1)="A","W",if(LEFT(VLOOKUP($B54,'Round 4'!$B$2:$H$361,7,false),1)="B","L","")),if(LEFT(VLOOKUP($B54,'Round 4'!$F$2:$H$361,3,false),1)="b","W",if(LEFT(VLOOKUP($B54,'Round 4'!$F$2:$H$361,3,false),1)="a","L","")))</f>
        <v>L</v>
      </c>
      <c r="H54" s="67" t="str">
        <f>iferror(if(LEFT(VLOOKUP($B54,'Round 5'!$B$2:$H$361,7,false),1)="A","W",if(LEFT(VLOOKUP($B54,'Round 5'!$B$2:$H$361,7,false),1)="B","L","")),if(LEFT(VLOOKUP($B54,'Round 5'!$F$2:$H$361,3,false),1)="b","W",if(LEFT(VLOOKUP($B54,'Round 5'!$F$2:$H$361,3,false),1)="a","L","")))</f>
        <v>L</v>
      </c>
      <c r="I54" s="67" t="str">
        <f>iferror(if(LEFT(VLOOKUP($B54,'Round 6'!$B$2:$H$361,7,false),1)="A","W",if(LEFT(VLOOKUP($B54,'Round 6'!$B$2:$H$361,7,false),1)="B","L","")),if(LEFT(VLOOKUP($B54,'Round 6'!$F$2:$H$361,3,false),1)="b","W",if(LEFT(VLOOKUP($B54,'Round 6'!$F$2:$H$361,3,false),1)="a","L","")))</f>
        <v>W</v>
      </c>
      <c r="J54" s="67" t="str">
        <f>iferror(iferror(if(LEFT(VLOOKUP($B54,'Round 7'!$B$2:$H$361,7,false),1)="A","W",if(LEFT(VLOOKUP($B54,'Round 7'!$B$2:$H$361,7,false),1)="B","L","")),if(LEFT(VLOOKUP($B54,'Round 7'!$F$2:$H$361,3,false),1)="b","W",if(LEFT(VLOOKUP($B54,'Round 7'!$F$2:$H$361,3,false),1)="a","L",""))),"")</f>
        <v>L</v>
      </c>
      <c r="K54" s="68" t="str">
        <f>iferror(iferror(if(LEFT(VLOOKUP($B54,'Round 8'!$B$2:$H$361,7,false),1)="A","W",if(LEFT(VLOOKUP($B54,'Round 8'!$B$2:$H$361,7,false),1)="B","L","")),if(LEFT(VLOOKUP($B54,'Round 8'!$F$2:$H$361,3,false),1)="b","W",if(LEFT(VLOOKUP($B54,'Round 8'!$F$2:$H$361,3,false),1)="a","L",""))),"")</f>
        <v/>
      </c>
      <c r="L54" s="68" t="str">
        <f>iferror(iferror(if(LEFT(VLOOKUP($B54,'Round 9'!$B$2:$H$361,7,false),1)="A","W",if(LEFT(VLOOKUP($B54,'Round 9'!$B$2:$H$361,7,false),1)="B","L","")),if(LEFT(VLOOKUP($B54,'Round 9'!$F$2:$H$361,3,false),1)="b","W",if(LEFT(VLOOKUP($B54,'Round 9'!$F$2:$H$361,3,false),1)="a","L",""))),"")</f>
        <v/>
      </c>
      <c r="M54" s="68" t="str">
        <f>iferror(iferror(if(LEFT(VLOOKUP($B54,'Round 10'!$B$2:$H$362,7,false),1)="A","W",if(LEFT(VLOOKUP($B54,'Round 10'!$B$2:$H$362,7,false),1)="B","L","")),if(LEFT(VLOOKUP($B54,'Round 10'!$F$2:$H$362,3,false),1)="b","W",if(LEFT(VLOOKUP($B54,'Round 10'!$F$2:$H$362,3,false),1)="a","L",""))),"")</f>
        <v/>
      </c>
      <c r="N54" s="62" t="s">
        <v>187</v>
      </c>
    </row>
    <row r="55">
      <c r="A55" s="63">
        <v>54.0</v>
      </c>
      <c r="B55" s="64" t="s">
        <v>188</v>
      </c>
      <c r="C55" s="65" t="str">
        <f t="shared" si="1"/>
        <v>1 - 3</v>
      </c>
      <c r="D55" s="67" t="str">
        <f>iferror(if(LEFT(VLOOKUP($B55,'Round 1'!$B$2:$H$361,7,false),1)="A","W",if(LEFT(VLOOKUP($B55,'Round 1'!$B$2:$H$361,7,false),1)="B","L","")),if(LEFT(VLOOKUP($B55,'Round 1'!$F$2:$H$361,3,false),1)="b","W",if(LEFT(VLOOKUP($B55,'Round 1'!$F$2:$H$361,3,false),1)="a","L","")))</f>
        <v>W</v>
      </c>
      <c r="E55" s="67" t="str">
        <f>iferror(if(LEFT(VLOOKUP($B55,'Round 2'!$C$2:$J$361,8,false),1)="A","W",if(LEFT(VLOOKUP($B55,'Round 2'!$C$2:$J$361,8,false),1)="B","L","")),if(LEFT(VLOOKUP($B55,'Round 2'!$G$2:$J$361,4,false),1)="b","W",if(LEFT(VLOOKUP($B55,'Round 2'!$G$2:$J$361,4,false),1)="a","L","")))</f>
        <v>L</v>
      </c>
      <c r="F55" s="67" t="str">
        <f>iferror(if(LEFT(VLOOKUP($B55,'Round 3'!$B$2:$H$361,7,false),1)="A","W",if(LEFT(VLOOKUP($B55,'Round 3'!$B$2:$H$361,7,false),1)="B","L","")),if(LEFT(VLOOKUP($B55,'Round 3'!$F$2:$H$361,3,false),1)="b","W",if(LEFT(VLOOKUP($B55,'Round 3'!$F$2:$H$361,3,false),1)="a","L","")))</f>
        <v>L</v>
      </c>
      <c r="G55" s="67" t="str">
        <f>iferror(if(LEFT(VLOOKUP($B55,'Round 4'!$B$2:$H$361,7,false),1)="A","W",if(LEFT(VLOOKUP($B55,'Round 4'!$B$2:$H$361,7,false),1)="B","L","")),if(LEFT(VLOOKUP($B55,'Round 4'!$F$2:$H$361,3,false),1)="b","W",if(LEFT(VLOOKUP($B55,'Round 4'!$F$2:$H$361,3,false),1)="a","L","")))</f>
        <v>L</v>
      </c>
      <c r="H55" s="67"/>
      <c r="I55" s="67"/>
      <c r="J55" s="67" t="str">
        <f>iferror(iferror(if(LEFT(VLOOKUP($B55,'Round 7'!$B$2:$H$361,7,false),1)="A","W",if(LEFT(VLOOKUP($B55,'Round 7'!$B$2:$H$361,7,false),1)="B","L","")),if(LEFT(VLOOKUP($B55,'Round 7'!$F$2:$H$361,3,false),1)="b","W",if(LEFT(VLOOKUP($B55,'Round 7'!$F$2:$H$361,3,false),1)="a","L",""))),"")</f>
        <v/>
      </c>
      <c r="K55" s="68" t="str">
        <f>iferror(iferror(if(LEFT(VLOOKUP($B55,'Round 8'!$B$2:$H$361,7,false),1)="A","W",if(LEFT(VLOOKUP($B55,'Round 8'!$B$2:$H$361,7,false),1)="B","L","")),if(LEFT(VLOOKUP($B55,'Round 8'!$F$2:$H$361,3,false),1)="b","W",if(LEFT(VLOOKUP($B55,'Round 8'!$F$2:$H$361,3,false),1)="a","L",""))),"")</f>
        <v/>
      </c>
      <c r="L55" s="68" t="str">
        <f>iferror(iferror(if(LEFT(VLOOKUP($B55,'Round 9'!$B$2:$H$361,7,false),1)="A","W",if(LEFT(VLOOKUP($B55,'Round 9'!$B$2:$H$361,7,false),1)="B","L","")),if(LEFT(VLOOKUP($B55,'Round 9'!$F$2:$H$361,3,false),1)="b","W",if(LEFT(VLOOKUP($B55,'Round 9'!$F$2:$H$361,3,false),1)="a","L",""))),"")</f>
        <v/>
      </c>
      <c r="M55" s="68" t="str">
        <f>iferror(iferror(if(LEFT(VLOOKUP($B55,'Round 10'!$B$2:$H$362,7,false),1)="A","W",if(LEFT(VLOOKUP($B55,'Round 10'!$B$2:$H$362,7,false),1)="B","L","")),if(LEFT(VLOOKUP($B55,'Round 10'!$F$2:$H$362,3,false),1)="b","W",if(LEFT(VLOOKUP($B55,'Round 10'!$F$2:$H$362,3,false),1)="a","L",""))),"")</f>
        <v/>
      </c>
      <c r="N55" s="62" t="s">
        <v>189</v>
      </c>
    </row>
    <row r="56">
      <c r="A56" s="63">
        <v>55.0</v>
      </c>
      <c r="B56" s="64" t="s">
        <v>190</v>
      </c>
      <c r="C56" s="65" t="str">
        <f t="shared" si="1"/>
        <v>7 - 2</v>
      </c>
      <c r="D56" s="67" t="str">
        <f>iferror(if(LEFT(VLOOKUP($B56,'Round 1'!$B$2:$H$361,7,false),1)="A","W",if(LEFT(VLOOKUP($B56,'Round 1'!$B$2:$H$361,7,false),1)="B","L","")),if(LEFT(VLOOKUP($B56,'Round 1'!$F$2:$H$361,3,false),1)="b","W",if(LEFT(VLOOKUP($B56,'Round 1'!$F$2:$H$361,3,false),1)="a","L","")))</f>
        <v>W</v>
      </c>
      <c r="E56" s="67" t="str">
        <f>iferror(if(LEFT(VLOOKUP($B56,'Round 2'!$C$2:$J$361,8,false),1)="A","W",if(LEFT(VLOOKUP($B56,'Round 2'!$C$2:$J$361,8,false),1)="B","L","")),if(LEFT(VLOOKUP($B56,'Round 2'!$G$2:$J$361,4,false),1)="b","W",if(LEFT(VLOOKUP($B56,'Round 2'!$G$2:$J$361,4,false),1)="a","L","")))</f>
        <v>W</v>
      </c>
      <c r="F56" s="67" t="str">
        <f>iferror(if(LEFT(VLOOKUP($B56,'Round 3'!$B$2:$H$361,7,false),1)="A","W",if(LEFT(VLOOKUP($B56,'Round 3'!$B$2:$H$361,7,false),1)="B","L","")),if(LEFT(VLOOKUP($B56,'Round 3'!$F$2:$H$361,3,false),1)="b","W",if(LEFT(VLOOKUP($B56,'Round 3'!$F$2:$H$361,3,false),1)="a","L","")))</f>
        <v>W</v>
      </c>
      <c r="G56" s="67" t="str">
        <f>iferror(if(LEFT(VLOOKUP($B56,'Round 4'!$B$2:$H$361,7,false),1)="A","W",if(LEFT(VLOOKUP($B56,'Round 4'!$B$2:$H$361,7,false),1)="B","L","")),if(LEFT(VLOOKUP($B56,'Round 4'!$F$2:$H$361,3,false),1)="b","W",if(LEFT(VLOOKUP($B56,'Round 4'!$F$2:$H$361,3,false),1)="a","L","")))</f>
        <v>W</v>
      </c>
      <c r="H56" s="67" t="str">
        <f>iferror(if(LEFT(VLOOKUP($B56,'Round 5'!$B$2:$H$361,7,false),1)="A","W",if(LEFT(VLOOKUP($B56,'Round 5'!$B$2:$H$361,7,false),1)="B","L","")),if(LEFT(VLOOKUP($B56,'Round 5'!$F$2:$H$361,3,false),1)="b","W",if(LEFT(VLOOKUP($B56,'Round 5'!$F$2:$H$361,3,false),1)="a","L","")))</f>
        <v>L</v>
      </c>
      <c r="I56" s="67" t="str">
        <f>iferror(if(LEFT(VLOOKUP($B56,'Round 6'!$B$2:$H$361,7,false),1)="A","W",if(LEFT(VLOOKUP($B56,'Round 6'!$B$2:$H$361,7,false),1)="B","L","")),if(LEFT(VLOOKUP($B56,'Round 6'!$F$2:$H$361,3,false),1)="b","W",if(LEFT(VLOOKUP($B56,'Round 6'!$F$2:$H$361,3,false),1)="a","L","")))</f>
        <v>W</v>
      </c>
      <c r="J56" s="67" t="str">
        <f>iferror(iferror(if(LEFT(VLOOKUP($B56,'Round 7'!$B$2:$H$361,7,false),1)="A","W",if(LEFT(VLOOKUP($B56,'Round 7'!$B$2:$H$361,7,false),1)="B","L","")),if(LEFT(VLOOKUP($B56,'Round 7'!$F$2:$H$361,3,false),1)="b","W",if(LEFT(VLOOKUP($B56,'Round 7'!$F$2:$H$361,3,false),1)="a","L",""))),"")</f>
        <v>L</v>
      </c>
      <c r="K56" s="68" t="str">
        <f>iferror(iferror(if(LEFT(VLOOKUP($B56,'Round 8'!$B$2:$H$361,7,false),1)="A","W",if(LEFT(VLOOKUP($B56,'Round 8'!$B$2:$H$361,7,false),1)="B","L","")),if(LEFT(VLOOKUP($B56,'Round 8'!$F$2:$H$361,3,false),1)="b","W",if(LEFT(VLOOKUP($B56,'Round 8'!$F$2:$H$361,3,false),1)="a","L",""))),"")</f>
        <v>W</v>
      </c>
      <c r="L56" s="68" t="str">
        <f>iferror(iferror(if(LEFT(VLOOKUP($B56,'Round 9'!$B$2:$H$361,7,false),1)="A","W",if(LEFT(VLOOKUP($B56,'Round 9'!$B$2:$H$361,7,false),1)="B","L","")),if(LEFT(VLOOKUP($B56,'Round 9'!$F$2:$H$361,3,false),1)="b","W",if(LEFT(VLOOKUP($B56,'Round 9'!$F$2:$H$361,3,false),1)="a","L",""))),"")</f>
        <v>W</v>
      </c>
      <c r="M56" s="68" t="str">
        <f>iferror(iferror(if(LEFT(VLOOKUP($B56,'Round 10'!$B$2:$H$362,7,false),1)="A","W",if(LEFT(VLOOKUP($B56,'Round 10'!$B$2:$H$362,7,false),1)="B","L","")),if(LEFT(VLOOKUP($B56,'Round 10'!$F$2:$H$362,3,false),1)="b","W",if(LEFT(VLOOKUP($B56,'Round 10'!$F$2:$H$362,3,false),1)="a","L",""))),"")</f>
        <v/>
      </c>
      <c r="N56" s="62" t="s">
        <v>191</v>
      </c>
    </row>
    <row r="57">
      <c r="A57" s="63">
        <v>56.0</v>
      </c>
      <c r="B57" s="64" t="s">
        <v>192</v>
      </c>
      <c r="C57" s="65" t="str">
        <f t="shared" si="1"/>
        <v>7 - 2</v>
      </c>
      <c r="D57" s="67" t="str">
        <f>iferror(if(LEFT(VLOOKUP($B57,'Round 1'!$B$2:$H$361,7,false),1)="A","W",if(LEFT(VLOOKUP($B57,'Round 1'!$B$2:$H$361,7,false),1)="B","L","")),if(LEFT(VLOOKUP($B57,'Round 1'!$F$2:$H$361,3,false),1)="b","W",if(LEFT(VLOOKUP($B57,'Round 1'!$F$2:$H$361,3,false),1)="a","L","")))</f>
        <v>W</v>
      </c>
      <c r="E57" s="67" t="str">
        <f>iferror(if(LEFT(VLOOKUP($B57,'Round 2'!$C$2:$J$361,8,false),1)="A","W",if(LEFT(VLOOKUP($B57,'Round 2'!$C$2:$J$361,8,false),1)="B","L","")),if(LEFT(VLOOKUP($B57,'Round 2'!$G$2:$J$361,4,false),1)="b","W",if(LEFT(VLOOKUP($B57,'Round 2'!$G$2:$J$361,4,false),1)="a","L","")))</f>
        <v>W</v>
      </c>
      <c r="F57" s="67" t="str">
        <f>iferror(if(LEFT(VLOOKUP($B57,'Round 3'!$B$2:$H$361,7,false),1)="A","W",if(LEFT(VLOOKUP($B57,'Round 3'!$B$2:$H$361,7,false),1)="B","L","")),if(LEFT(VLOOKUP($B57,'Round 3'!$F$2:$H$361,3,false),1)="b","W",if(LEFT(VLOOKUP($B57,'Round 3'!$F$2:$H$361,3,false),1)="a","L","")))</f>
        <v>W</v>
      </c>
      <c r="G57" s="67" t="str">
        <f>iferror(if(LEFT(VLOOKUP($B57,'Round 4'!$B$2:$H$361,7,false),1)="A","W",if(LEFT(VLOOKUP($B57,'Round 4'!$B$2:$H$361,7,false),1)="B","L","")),if(LEFT(VLOOKUP($B57,'Round 4'!$F$2:$H$361,3,false),1)="b","W",if(LEFT(VLOOKUP($B57,'Round 4'!$F$2:$H$361,3,false),1)="a","L","")))</f>
        <v>L</v>
      </c>
      <c r="H57" s="67" t="str">
        <f>iferror(if(LEFT(VLOOKUP($B57,'Round 5'!$B$2:$H$361,7,false),1)="A","W",if(LEFT(VLOOKUP($B57,'Round 5'!$B$2:$H$361,7,false),1)="B","L","")),if(LEFT(VLOOKUP($B57,'Round 5'!$F$2:$H$361,3,false),1)="b","W",if(LEFT(VLOOKUP($B57,'Round 5'!$F$2:$H$361,3,false),1)="a","L","")))</f>
        <v>L</v>
      </c>
      <c r="I57" s="67" t="str">
        <f>iferror(if(LEFT(VLOOKUP($B57,'Round 6'!$B$2:$H$361,7,false),1)="A","W",if(LEFT(VLOOKUP($B57,'Round 6'!$B$2:$H$361,7,false),1)="B","L","")),if(LEFT(VLOOKUP($B57,'Round 6'!$F$2:$H$361,3,false),1)="b","W",if(LEFT(VLOOKUP($B57,'Round 6'!$F$2:$H$361,3,false),1)="a","L","")))</f>
        <v>W</v>
      </c>
      <c r="J57" s="67" t="str">
        <f>iferror(iferror(if(LEFT(VLOOKUP($B57,'Round 7'!$B$2:$H$361,7,false),1)="A","W",if(LEFT(VLOOKUP($B57,'Round 7'!$B$2:$H$361,7,false),1)="B","L","")),if(LEFT(VLOOKUP($B57,'Round 7'!$F$2:$H$361,3,false),1)="b","W",if(LEFT(VLOOKUP($B57,'Round 7'!$F$2:$H$361,3,false),1)="a","L",""))),"")</f>
        <v>W</v>
      </c>
      <c r="K57" s="68" t="str">
        <f>iferror(iferror(if(LEFT(VLOOKUP($B57,'Round 8'!$B$2:$H$361,7,false),1)="A","W",if(LEFT(VLOOKUP($B57,'Round 8'!$B$2:$H$361,7,false),1)="B","L","")),if(LEFT(VLOOKUP($B57,'Round 8'!$F$2:$H$361,3,false),1)="b","W",if(LEFT(VLOOKUP($B57,'Round 8'!$F$2:$H$361,3,false),1)="a","L",""))),"")</f>
        <v>W</v>
      </c>
      <c r="L57" s="68" t="str">
        <f>iferror(iferror(if(LEFT(VLOOKUP($B57,'Round 9'!$B$2:$H$361,7,false),1)="A","W",if(LEFT(VLOOKUP($B57,'Round 9'!$B$2:$H$361,7,false),1)="B","L","")),if(LEFT(VLOOKUP($B57,'Round 9'!$F$2:$H$361,3,false),1)="b","W",if(LEFT(VLOOKUP($B57,'Round 9'!$F$2:$H$361,3,false),1)="a","L",""))),"")</f>
        <v>W</v>
      </c>
      <c r="M57" s="68" t="str">
        <f>iferror(iferror(if(LEFT(VLOOKUP($B57,'Round 10'!$B$2:$H$362,7,false),1)="A","W",if(LEFT(VLOOKUP($B57,'Round 10'!$B$2:$H$362,7,false),1)="B","L","")),if(LEFT(VLOOKUP($B57,'Round 10'!$F$2:$H$362,3,false),1)="b","W",if(LEFT(VLOOKUP($B57,'Round 10'!$F$2:$H$362,3,false),1)="a","L",""))),"")</f>
        <v/>
      </c>
      <c r="N57" s="62" t="s">
        <v>193</v>
      </c>
    </row>
    <row r="58">
      <c r="A58" s="63">
        <v>57.0</v>
      </c>
      <c r="B58" s="64" t="s">
        <v>194</v>
      </c>
      <c r="C58" s="65" t="str">
        <f t="shared" si="1"/>
        <v>5 - 3</v>
      </c>
      <c r="D58" s="67" t="str">
        <f>iferror(if(LEFT(VLOOKUP($B58,'Round 1'!$B$2:$H$361,7,false),1)="A","W",if(LEFT(VLOOKUP($B58,'Round 1'!$B$2:$H$361,7,false),1)="B","L","")),if(LEFT(VLOOKUP($B58,'Round 1'!$F$2:$H$361,3,false),1)="b","W",if(LEFT(VLOOKUP($B58,'Round 1'!$F$2:$H$361,3,false),1)="a","L","")))</f>
        <v>W</v>
      </c>
      <c r="E58" s="67" t="str">
        <f>iferror(if(LEFT(VLOOKUP($B58,'Round 2'!$C$2:$J$361,8,false),1)="A","W",if(LEFT(VLOOKUP($B58,'Round 2'!$C$2:$J$361,8,false),1)="B","L","")),if(LEFT(VLOOKUP($B58,'Round 2'!$G$2:$J$361,4,false),1)="b","W",if(LEFT(VLOOKUP($B58,'Round 2'!$G$2:$J$361,4,false),1)="a","L","")))</f>
        <v>W</v>
      </c>
      <c r="F58" s="67" t="str">
        <f>iferror(if(LEFT(VLOOKUP($B58,'Round 3'!$B$2:$H$361,7,false),1)="A","W",if(LEFT(VLOOKUP($B58,'Round 3'!$B$2:$H$361,7,false),1)="B","L","")),if(LEFT(VLOOKUP($B58,'Round 3'!$F$2:$H$361,3,false),1)="b","W",if(LEFT(VLOOKUP($B58,'Round 3'!$F$2:$H$361,3,false),1)="a","L","")))</f>
        <v>W</v>
      </c>
      <c r="G58" s="67" t="str">
        <f>iferror(if(LEFT(VLOOKUP($B58,'Round 4'!$B$2:$H$361,7,false),1)="A","W",if(LEFT(VLOOKUP($B58,'Round 4'!$B$2:$H$361,7,false),1)="B","L","")),if(LEFT(VLOOKUP($B58,'Round 4'!$F$2:$H$361,3,false),1)="b","W",if(LEFT(VLOOKUP($B58,'Round 4'!$F$2:$H$361,3,false),1)="a","L","")))</f>
        <v>W</v>
      </c>
      <c r="H58" s="67" t="str">
        <f>iferror(if(LEFT(VLOOKUP($B58,'Round 5'!$B$2:$H$361,7,false),1)="A","W",if(LEFT(VLOOKUP($B58,'Round 5'!$B$2:$H$361,7,false),1)="B","L","")),if(LEFT(VLOOKUP($B58,'Round 5'!$F$2:$H$361,3,false),1)="b","W",if(LEFT(VLOOKUP($B58,'Round 5'!$F$2:$H$361,3,false),1)="a","L","")))</f>
        <v>L</v>
      </c>
      <c r="I58" s="67" t="str">
        <f>iferror(if(LEFT(VLOOKUP($B58,'Round 6'!$B$2:$H$361,7,false),1)="A","W",if(LEFT(VLOOKUP($B58,'Round 6'!$B$2:$H$361,7,false),1)="B","L","")),if(LEFT(VLOOKUP($B58,'Round 6'!$F$2:$H$361,3,false),1)="b","W",if(LEFT(VLOOKUP($B58,'Round 6'!$F$2:$H$361,3,false),1)="a","L","")))</f>
        <v>W</v>
      </c>
      <c r="J58" s="67" t="str">
        <f>iferror(iferror(if(LEFT(VLOOKUP($B58,'Round 7'!$B$2:$H$361,7,false),1)="A","W",if(LEFT(VLOOKUP($B58,'Round 7'!$B$2:$H$361,7,false),1)="B","L","")),if(LEFT(VLOOKUP($B58,'Round 7'!$F$2:$H$361,3,false),1)="b","W",if(LEFT(VLOOKUP($B58,'Round 7'!$F$2:$H$361,3,false),1)="a","L",""))),"")</f>
        <v>L</v>
      </c>
      <c r="K58" s="68" t="str">
        <f>iferror(iferror(if(LEFT(VLOOKUP($B58,'Round 8'!$B$2:$H$361,7,false),1)="A","W",if(LEFT(VLOOKUP($B58,'Round 8'!$B$2:$H$361,7,false),1)="B","L","")),if(LEFT(VLOOKUP($B58,'Round 8'!$F$2:$H$361,3,false),1)="b","W",if(LEFT(VLOOKUP($B58,'Round 8'!$F$2:$H$361,3,false),1)="a","L",""))),"")</f>
        <v>L</v>
      </c>
      <c r="L58" s="68" t="str">
        <f>iferror(iferror(if(LEFT(VLOOKUP($B58,'Round 9'!$B$2:$H$361,7,false),1)="A","W",if(LEFT(VLOOKUP($B58,'Round 9'!$B$2:$H$361,7,false),1)="B","L","")),if(LEFT(VLOOKUP($B58,'Round 9'!$F$2:$H$361,3,false),1)="b","W",if(LEFT(VLOOKUP($B58,'Round 9'!$F$2:$H$361,3,false),1)="a","L",""))),"")</f>
        <v/>
      </c>
      <c r="M58" s="68" t="str">
        <f>iferror(iferror(if(LEFT(VLOOKUP($B58,'Round 10'!$B$2:$H$362,7,false),1)="A","W",if(LEFT(VLOOKUP($B58,'Round 10'!$B$2:$H$362,7,false),1)="B","L","")),if(LEFT(VLOOKUP($B58,'Round 10'!$F$2:$H$362,3,false),1)="b","W",if(LEFT(VLOOKUP($B58,'Round 10'!$F$2:$H$362,3,false),1)="a","L",""))),"")</f>
        <v/>
      </c>
      <c r="N58" s="62" t="s">
        <v>195</v>
      </c>
    </row>
    <row r="59">
      <c r="A59" s="63">
        <v>58.0</v>
      </c>
      <c r="B59" s="64" t="s">
        <v>196</v>
      </c>
      <c r="C59" s="65" t="str">
        <f t="shared" si="1"/>
        <v>4 - 3</v>
      </c>
      <c r="D59" s="67" t="str">
        <f>iferror(if(LEFT(VLOOKUP($B59,'Round 1'!$B$2:$H$361,7,false),1)="A","W",if(LEFT(VLOOKUP($B59,'Round 1'!$B$2:$H$361,7,false),1)="B","L","")),if(LEFT(VLOOKUP($B59,'Round 1'!$F$2:$H$361,3,false),1)="b","W",if(LEFT(VLOOKUP($B59,'Round 1'!$F$2:$H$361,3,false),1)="a","L","")))</f>
        <v>W</v>
      </c>
      <c r="E59" s="67" t="str">
        <f>iferror(if(LEFT(VLOOKUP($B59,'Round 2'!$C$2:$J$361,8,false),1)="A","W",if(LEFT(VLOOKUP($B59,'Round 2'!$C$2:$J$361,8,false),1)="B","L","")),if(LEFT(VLOOKUP($B59,'Round 2'!$G$2:$J$361,4,false),1)="b","W",if(LEFT(VLOOKUP($B59,'Round 2'!$G$2:$J$361,4,false),1)="a","L","")))</f>
        <v>L</v>
      </c>
      <c r="F59" s="67" t="str">
        <f>iferror(if(LEFT(VLOOKUP($B59,'Round 3'!$B$2:$H$361,7,false),1)="A","W",if(LEFT(VLOOKUP($B59,'Round 3'!$B$2:$H$361,7,false),1)="B","L","")),if(LEFT(VLOOKUP($B59,'Round 3'!$F$2:$H$361,3,false),1)="b","W",if(LEFT(VLOOKUP($B59,'Round 3'!$F$2:$H$361,3,false),1)="a","L","")))</f>
        <v>W</v>
      </c>
      <c r="G59" s="67" t="str">
        <f>iferror(if(LEFT(VLOOKUP($B59,'Round 4'!$B$2:$H$361,7,false),1)="A","W",if(LEFT(VLOOKUP($B59,'Round 4'!$B$2:$H$361,7,false),1)="B","L","")),if(LEFT(VLOOKUP($B59,'Round 4'!$F$2:$H$361,3,false),1)="b","W",if(LEFT(VLOOKUP($B59,'Round 4'!$F$2:$H$361,3,false),1)="a","L","")))</f>
        <v>W</v>
      </c>
      <c r="H59" s="67" t="str">
        <f>iferror(if(LEFT(VLOOKUP($B59,'Round 5'!$B$2:$H$361,7,false),1)="A","W",if(LEFT(VLOOKUP($B59,'Round 5'!$B$2:$H$361,7,false),1)="B","L","")),if(LEFT(VLOOKUP($B59,'Round 5'!$F$2:$H$361,3,false),1)="b","W",if(LEFT(VLOOKUP($B59,'Round 5'!$F$2:$H$361,3,false),1)="a","L","")))</f>
        <v>W</v>
      </c>
      <c r="I59" s="67" t="str">
        <f>iferror(if(LEFT(VLOOKUP($B59,'Round 6'!$B$2:$H$361,7,false),1)="A","W",if(LEFT(VLOOKUP($B59,'Round 6'!$B$2:$H$361,7,false),1)="B","L","")),if(LEFT(VLOOKUP($B59,'Round 6'!$F$2:$H$361,3,false),1)="b","W",if(LEFT(VLOOKUP($B59,'Round 6'!$F$2:$H$361,3,false),1)="a","L","")))</f>
        <v>L</v>
      </c>
      <c r="J59" s="67" t="str">
        <f>iferror(iferror(if(LEFT(VLOOKUP($B59,'Round 7'!$B$2:$H$361,7,false),1)="A","W",if(LEFT(VLOOKUP($B59,'Round 7'!$B$2:$H$361,7,false),1)="B","L","")),if(LEFT(VLOOKUP($B59,'Round 7'!$F$2:$H$361,3,false),1)="b","W",if(LEFT(VLOOKUP($B59,'Round 7'!$F$2:$H$361,3,false),1)="a","L",""))),"")</f>
        <v>L</v>
      </c>
      <c r="K59" s="68" t="str">
        <f>iferror(iferror(if(LEFT(VLOOKUP($B59,'Round 8'!$B$2:$H$361,7,false),1)="A","W",if(LEFT(VLOOKUP($B59,'Round 8'!$B$2:$H$361,7,false),1)="B","L","")),if(LEFT(VLOOKUP($B59,'Round 8'!$F$2:$H$361,3,false),1)="b","W",if(LEFT(VLOOKUP($B59,'Round 8'!$F$2:$H$361,3,false),1)="a","L",""))),"")</f>
        <v/>
      </c>
      <c r="L59" s="68" t="str">
        <f>iferror(iferror(if(LEFT(VLOOKUP($B59,'Round 9'!$B$2:$H$361,7,false),1)="A","W",if(LEFT(VLOOKUP($B59,'Round 9'!$B$2:$H$361,7,false),1)="B","L","")),if(LEFT(VLOOKUP($B59,'Round 9'!$F$2:$H$361,3,false),1)="b","W",if(LEFT(VLOOKUP($B59,'Round 9'!$F$2:$H$361,3,false),1)="a","L",""))),"")</f>
        <v/>
      </c>
      <c r="M59" s="68" t="str">
        <f>iferror(iferror(if(LEFT(VLOOKUP($B59,'Round 10'!$B$2:$H$362,7,false),1)="A","W",if(LEFT(VLOOKUP($B59,'Round 10'!$B$2:$H$362,7,false),1)="B","L","")),if(LEFT(VLOOKUP($B59,'Round 10'!$F$2:$H$362,3,false),1)="b","W",if(LEFT(VLOOKUP($B59,'Round 10'!$F$2:$H$362,3,false),1)="a","L",""))),"")</f>
        <v/>
      </c>
      <c r="N59" s="62" t="s">
        <v>197</v>
      </c>
    </row>
    <row r="60">
      <c r="A60" s="63">
        <v>59.0</v>
      </c>
      <c r="B60" s="64" t="s">
        <v>198</v>
      </c>
      <c r="C60" s="65" t="str">
        <f t="shared" si="1"/>
        <v>3 - 3</v>
      </c>
      <c r="D60" s="67" t="str">
        <f>iferror(if(LEFT(VLOOKUP($B60,'Round 1'!$B$2:$H$361,7,false),1)="A","W",if(LEFT(VLOOKUP($B60,'Round 1'!$B$2:$H$361,7,false),1)="B","L","")),if(LEFT(VLOOKUP($B60,'Round 1'!$F$2:$H$361,3,false),1)="b","W",if(LEFT(VLOOKUP($B60,'Round 1'!$F$2:$H$361,3,false),1)="a","L","")))</f>
        <v>W</v>
      </c>
      <c r="E60" s="67" t="str">
        <f>iferror(if(LEFT(VLOOKUP($B60,'Round 2'!$C$2:$J$361,8,false),1)="A","W",if(LEFT(VLOOKUP($B60,'Round 2'!$C$2:$J$361,8,false),1)="B","L","")),if(LEFT(VLOOKUP($B60,'Round 2'!$G$2:$J$361,4,false),1)="b","W",if(LEFT(VLOOKUP($B60,'Round 2'!$G$2:$J$361,4,false),1)="a","L","")))</f>
        <v>W</v>
      </c>
      <c r="F60" s="67" t="str">
        <f>iferror(if(LEFT(VLOOKUP($B60,'Round 3'!$B$2:$H$361,7,false),1)="A","W",if(LEFT(VLOOKUP($B60,'Round 3'!$B$2:$H$361,7,false),1)="B","L","")),if(LEFT(VLOOKUP($B60,'Round 3'!$F$2:$H$361,3,false),1)="b","W",if(LEFT(VLOOKUP($B60,'Round 3'!$F$2:$H$361,3,false),1)="a","L","")))</f>
        <v>L</v>
      </c>
      <c r="G60" s="67" t="str">
        <f>iferror(if(LEFT(VLOOKUP($B60,'Round 4'!$B$2:$H$361,7,false),1)="A","W",if(LEFT(VLOOKUP($B60,'Round 4'!$B$2:$H$361,7,false),1)="B","L","")),if(LEFT(VLOOKUP($B60,'Round 4'!$F$2:$H$361,3,false),1)="b","W",if(LEFT(VLOOKUP($B60,'Round 4'!$F$2:$H$361,3,false),1)="a","L","")))</f>
        <v>L</v>
      </c>
      <c r="H60" s="67" t="str">
        <f>iferror(if(LEFT(VLOOKUP($B60,'Round 5'!$B$2:$H$361,7,false),1)="A","W",if(LEFT(VLOOKUP($B60,'Round 5'!$B$2:$H$361,7,false),1)="B","L","")),if(LEFT(VLOOKUP($B60,'Round 5'!$F$2:$H$361,3,false),1)="b","W",if(LEFT(VLOOKUP($B60,'Round 5'!$F$2:$H$361,3,false),1)="a","L","")))</f>
        <v>W</v>
      </c>
      <c r="I60" s="67" t="str">
        <f>iferror(if(LEFT(VLOOKUP($B60,'Round 6'!$B$2:$H$361,7,false),1)="A","W",if(LEFT(VLOOKUP($B60,'Round 6'!$B$2:$H$361,7,false),1)="B","L","")),if(LEFT(VLOOKUP($B60,'Round 6'!$F$2:$H$361,3,false),1)="b","W",if(LEFT(VLOOKUP($B60,'Round 6'!$F$2:$H$361,3,false),1)="a","L","")))</f>
        <v>L</v>
      </c>
      <c r="J60" s="67" t="str">
        <f>iferror(iferror(if(LEFT(VLOOKUP($B60,'Round 7'!$B$2:$H$361,7,false),1)="A","W",if(LEFT(VLOOKUP($B60,'Round 7'!$B$2:$H$361,7,false),1)="B","L","")),if(LEFT(VLOOKUP($B60,'Round 7'!$F$2:$H$361,3,false),1)="b","W",if(LEFT(VLOOKUP($B60,'Round 7'!$F$2:$H$361,3,false),1)="a","L",""))),"")</f>
        <v/>
      </c>
      <c r="K60" s="68" t="str">
        <f>iferror(iferror(if(LEFT(VLOOKUP($B60,'Round 8'!$B$2:$H$361,7,false),1)="A","W",if(LEFT(VLOOKUP($B60,'Round 8'!$B$2:$H$361,7,false),1)="B","L","")),if(LEFT(VLOOKUP($B60,'Round 8'!$F$2:$H$361,3,false),1)="b","W",if(LEFT(VLOOKUP($B60,'Round 8'!$F$2:$H$361,3,false),1)="a","L",""))),"")</f>
        <v/>
      </c>
      <c r="L60" s="68" t="str">
        <f>iferror(iferror(if(LEFT(VLOOKUP($B60,'Round 9'!$B$2:$H$361,7,false),1)="A","W",if(LEFT(VLOOKUP($B60,'Round 9'!$B$2:$H$361,7,false),1)="B","L","")),if(LEFT(VLOOKUP($B60,'Round 9'!$F$2:$H$361,3,false),1)="b","W",if(LEFT(VLOOKUP($B60,'Round 9'!$F$2:$H$361,3,false),1)="a","L",""))),"")</f>
        <v/>
      </c>
      <c r="M60" s="68" t="str">
        <f>iferror(iferror(if(LEFT(VLOOKUP($B60,'Round 10'!$B$2:$H$362,7,false),1)="A","W",if(LEFT(VLOOKUP($B60,'Round 10'!$B$2:$H$362,7,false),1)="B","L","")),if(LEFT(VLOOKUP($B60,'Round 10'!$F$2:$H$362,3,false),1)="b","W",if(LEFT(VLOOKUP($B60,'Round 10'!$F$2:$H$362,3,false),1)="a","L",""))),"")</f>
        <v/>
      </c>
      <c r="N60" s="62" t="s">
        <v>199</v>
      </c>
    </row>
    <row r="61">
      <c r="A61" s="63">
        <v>60.0</v>
      </c>
      <c r="B61" s="64" t="s">
        <v>200</v>
      </c>
      <c r="C61" s="65" t="str">
        <f t="shared" si="1"/>
        <v>7 - 2</v>
      </c>
      <c r="D61" s="67" t="str">
        <f>iferror(if(LEFT(VLOOKUP($B61,'Round 1'!$B$2:$H$361,7,false),1)="A","W",if(LEFT(VLOOKUP($B61,'Round 1'!$B$2:$H$361,7,false),1)="B","L","")),if(LEFT(VLOOKUP($B61,'Round 1'!$F$2:$H$361,3,false),1)="b","W",if(LEFT(VLOOKUP($B61,'Round 1'!$F$2:$H$361,3,false),1)="a","L","")))</f>
        <v>W</v>
      </c>
      <c r="E61" s="67" t="str">
        <f>iferror(if(LEFT(VLOOKUP($B61,'Round 2'!$C$2:$J$361,8,false),1)="A","W",if(LEFT(VLOOKUP($B61,'Round 2'!$C$2:$J$361,8,false),1)="B","L","")),if(LEFT(VLOOKUP($B61,'Round 2'!$G$2:$J$361,4,false),1)="b","W",if(LEFT(VLOOKUP($B61,'Round 2'!$G$2:$J$361,4,false),1)="a","L","")))</f>
        <v>W</v>
      </c>
      <c r="F61" s="67" t="str">
        <f>iferror(if(LEFT(VLOOKUP($B61,'Round 3'!$B$2:$H$361,7,false),1)="A","W",if(LEFT(VLOOKUP($B61,'Round 3'!$B$2:$H$361,7,false),1)="B","L","")),if(LEFT(VLOOKUP($B61,'Round 3'!$F$2:$H$361,3,false),1)="b","W",if(LEFT(VLOOKUP($B61,'Round 3'!$F$2:$H$361,3,false),1)="a","L","")))</f>
        <v>W</v>
      </c>
      <c r="G61" s="67" t="str">
        <f>iferror(if(LEFT(VLOOKUP($B61,'Round 4'!$B$2:$H$361,7,false),1)="A","W",if(LEFT(VLOOKUP($B61,'Round 4'!$B$2:$H$361,7,false),1)="B","L","")),if(LEFT(VLOOKUP($B61,'Round 4'!$F$2:$H$361,3,false),1)="b","W",if(LEFT(VLOOKUP($B61,'Round 4'!$F$2:$H$361,3,false),1)="a","L","")))</f>
        <v>L</v>
      </c>
      <c r="H61" s="67" t="str">
        <f>iferror(if(LEFT(VLOOKUP($B61,'Round 5'!$B$2:$H$361,7,false),1)="A","W",if(LEFT(VLOOKUP($B61,'Round 5'!$B$2:$H$361,7,false),1)="B","L","")),if(LEFT(VLOOKUP($B61,'Round 5'!$F$2:$H$361,3,false),1)="b","W",if(LEFT(VLOOKUP($B61,'Round 5'!$F$2:$H$361,3,false),1)="a","L","")))</f>
        <v>W</v>
      </c>
      <c r="I61" s="67" t="str">
        <f>iferror(if(LEFT(VLOOKUP($B61,'Round 6'!$B$2:$H$361,7,false),1)="A","W",if(LEFT(VLOOKUP($B61,'Round 6'!$B$2:$H$361,7,false),1)="B","L","")),if(LEFT(VLOOKUP($B61,'Round 6'!$F$2:$H$361,3,false),1)="b","W",if(LEFT(VLOOKUP($B61,'Round 6'!$F$2:$H$361,3,false),1)="a","L","")))</f>
        <v>W</v>
      </c>
      <c r="J61" s="67" t="str">
        <f>iferror(iferror(if(LEFT(VLOOKUP($B61,'Round 7'!$B$2:$H$361,7,false),1)="A","W",if(LEFT(VLOOKUP($B61,'Round 7'!$B$2:$H$361,7,false),1)="B","L","")),if(LEFT(VLOOKUP($B61,'Round 7'!$F$2:$H$361,3,false),1)="b","W",if(LEFT(VLOOKUP($B61,'Round 7'!$F$2:$H$361,3,false),1)="a","L",""))),"")</f>
        <v>W</v>
      </c>
      <c r="K61" s="68" t="str">
        <f>iferror(iferror(if(LEFT(VLOOKUP($B61,'Round 8'!$B$2:$H$361,7,false),1)="A","W",if(LEFT(VLOOKUP($B61,'Round 8'!$B$2:$H$361,7,false),1)="B","L","")),if(LEFT(VLOOKUP($B61,'Round 8'!$F$2:$H$361,3,false),1)="b","W",if(LEFT(VLOOKUP($B61,'Round 8'!$F$2:$H$361,3,false),1)="a","L",""))),"")</f>
        <v>L</v>
      </c>
      <c r="L61" s="68" t="str">
        <f>iferror(iferror(if(LEFT(VLOOKUP($B61,'Round 9'!$B$2:$H$361,7,false),1)="A","W",if(LEFT(VLOOKUP($B61,'Round 9'!$B$2:$H$361,7,false),1)="B","L","")),if(LEFT(VLOOKUP($B61,'Round 9'!$F$2:$H$361,3,false),1)="b","W",if(LEFT(VLOOKUP($B61,'Round 9'!$F$2:$H$361,3,false),1)="a","L",""))),"")</f>
        <v>W</v>
      </c>
      <c r="M61" s="68" t="str">
        <f>iferror(iferror(if(LEFT(VLOOKUP($B61,'Round 10'!$B$2:$H$362,7,false),1)="A","W",if(LEFT(VLOOKUP($B61,'Round 10'!$B$2:$H$362,7,false),1)="B","L","")),if(LEFT(VLOOKUP($B61,'Round 10'!$F$2:$H$362,3,false),1)="b","W",if(LEFT(VLOOKUP($B61,'Round 10'!$F$2:$H$362,3,false),1)="a","L",""))),"")</f>
        <v/>
      </c>
      <c r="N61" s="62" t="s">
        <v>201</v>
      </c>
    </row>
    <row r="62">
      <c r="A62" s="63">
        <v>61.0</v>
      </c>
      <c r="B62" s="64" t="s">
        <v>202</v>
      </c>
      <c r="C62" s="65" t="str">
        <f t="shared" si="1"/>
        <v>8 - 1</v>
      </c>
      <c r="D62" s="67" t="str">
        <f>iferror(if(LEFT(VLOOKUP($B62,'Round 1'!$B$2:$H$361,7,false),1)="A","W",if(LEFT(VLOOKUP($B62,'Round 1'!$B$2:$H$361,7,false),1)="B","L","")),if(LEFT(VLOOKUP($B62,'Round 1'!$F$2:$H$361,3,false),1)="b","W",if(LEFT(VLOOKUP($B62,'Round 1'!$F$2:$H$361,3,false),1)="a","L","")))</f>
        <v>L</v>
      </c>
      <c r="E62" s="67" t="str">
        <f>iferror(if(LEFT(VLOOKUP($B62,'Round 2'!$C$2:$J$361,8,false),1)="A","W",if(LEFT(VLOOKUP($B62,'Round 2'!$C$2:$J$361,8,false),1)="B","L","")),if(LEFT(VLOOKUP($B62,'Round 2'!$G$2:$J$361,4,false),1)="b","W",if(LEFT(VLOOKUP($B62,'Round 2'!$G$2:$J$361,4,false),1)="a","L","")))</f>
        <v>W</v>
      </c>
      <c r="F62" s="67" t="str">
        <f>iferror(if(LEFT(VLOOKUP($B62,'Round 3'!$B$2:$H$361,7,false),1)="A","W",if(LEFT(VLOOKUP($B62,'Round 3'!$B$2:$H$361,7,false),1)="B","L","")),if(LEFT(VLOOKUP($B62,'Round 3'!$F$2:$H$361,3,false),1)="b","W",if(LEFT(VLOOKUP($B62,'Round 3'!$F$2:$H$361,3,false),1)="a","L","")))</f>
        <v>W</v>
      </c>
      <c r="G62" s="67" t="str">
        <f>iferror(if(LEFT(VLOOKUP($B62,'Round 4'!$B$2:$H$361,7,false),1)="A","W",if(LEFT(VLOOKUP($B62,'Round 4'!$B$2:$H$361,7,false),1)="B","L","")),if(LEFT(VLOOKUP($B62,'Round 4'!$F$2:$H$361,3,false),1)="b","W",if(LEFT(VLOOKUP($B62,'Round 4'!$F$2:$H$361,3,false),1)="a","L","")))</f>
        <v>W</v>
      </c>
      <c r="H62" s="67" t="str">
        <f>iferror(if(LEFT(VLOOKUP($B62,'Round 5'!$B$2:$H$361,7,false),1)="A","W",if(LEFT(VLOOKUP($B62,'Round 5'!$B$2:$H$361,7,false),1)="B","L","")),if(LEFT(VLOOKUP($B62,'Round 5'!$F$2:$H$361,3,false),1)="b","W",if(LEFT(VLOOKUP($B62,'Round 5'!$F$2:$H$361,3,false),1)="a","L","")))</f>
        <v>W</v>
      </c>
      <c r="I62" s="67" t="str">
        <f>iferror(if(LEFT(VLOOKUP($B62,'Round 6'!$B$2:$H$361,7,false),1)="A","W",if(LEFT(VLOOKUP($B62,'Round 6'!$B$2:$H$361,7,false),1)="B","L","")),if(LEFT(VLOOKUP($B62,'Round 6'!$F$2:$H$361,3,false),1)="b","W",if(LEFT(VLOOKUP($B62,'Round 6'!$F$2:$H$361,3,false),1)="a","L","")))</f>
        <v>W</v>
      </c>
      <c r="J62" s="67" t="str">
        <f>iferror(iferror(if(LEFT(VLOOKUP($B62,'Round 7'!$B$2:$H$361,7,false),1)="A","W",if(LEFT(VLOOKUP($B62,'Round 7'!$B$2:$H$361,7,false),1)="B","L","")),if(LEFT(VLOOKUP($B62,'Round 7'!$F$2:$H$361,3,false),1)="b","W",if(LEFT(VLOOKUP($B62,'Round 7'!$F$2:$H$361,3,false),1)="a","L",""))),"")</f>
        <v>W</v>
      </c>
      <c r="K62" s="68" t="str">
        <f>iferror(iferror(if(LEFT(VLOOKUP($B62,'Round 8'!$B$2:$H$361,7,false),1)="A","W",if(LEFT(VLOOKUP($B62,'Round 8'!$B$2:$H$361,7,false),1)="B","L","")),if(LEFT(VLOOKUP($B62,'Round 8'!$F$2:$H$361,3,false),1)="b","W",if(LEFT(VLOOKUP($B62,'Round 8'!$F$2:$H$361,3,false),1)="a","L",""))),"")</f>
        <v>W</v>
      </c>
      <c r="L62" s="68" t="str">
        <f>iferror(iferror(if(LEFT(VLOOKUP($B62,'Round 9'!$B$2:$H$361,7,false),1)="A","W",if(LEFT(VLOOKUP($B62,'Round 9'!$B$2:$H$361,7,false),1)="B","L","")),if(LEFT(VLOOKUP($B62,'Round 9'!$F$2:$H$361,3,false),1)="b","W",if(LEFT(VLOOKUP($B62,'Round 9'!$F$2:$H$361,3,false),1)="a","L",""))),"")</f>
        <v>W</v>
      </c>
      <c r="M62" s="68" t="str">
        <f>iferror(iferror(if(LEFT(VLOOKUP($B62,'Round 10'!$B$2:$H$362,7,false),1)="A","W",if(LEFT(VLOOKUP($B62,'Round 10'!$B$2:$H$362,7,false),1)="B","L","")),if(LEFT(VLOOKUP($B62,'Round 10'!$F$2:$H$362,3,false),1)="b","W",if(LEFT(VLOOKUP($B62,'Round 10'!$F$2:$H$362,3,false),1)="a","L",""))),"")</f>
        <v/>
      </c>
      <c r="N62" s="62" t="s">
        <v>203</v>
      </c>
    </row>
    <row r="63">
      <c r="A63" s="63">
        <v>62.0</v>
      </c>
      <c r="B63" s="64" t="s">
        <v>204</v>
      </c>
      <c r="C63" s="65" t="str">
        <f t="shared" si="1"/>
        <v>5 - 3</v>
      </c>
      <c r="D63" s="67" t="str">
        <f>iferror(if(LEFT(VLOOKUP($B63,'Round 1'!$B$2:$H$361,7,false),1)="A","W",if(LEFT(VLOOKUP($B63,'Round 1'!$B$2:$H$361,7,false),1)="B","L","")),if(LEFT(VLOOKUP($B63,'Round 1'!$F$2:$H$361,3,false),1)="b","W",if(LEFT(VLOOKUP($B63,'Round 1'!$F$2:$H$361,3,false),1)="a","L","")))</f>
        <v>L</v>
      </c>
      <c r="E63" s="67" t="str">
        <f>iferror(if(LEFT(VLOOKUP($B63,'Round 2'!$C$2:$J$361,8,false),1)="A","W",if(LEFT(VLOOKUP($B63,'Round 2'!$C$2:$J$361,8,false),1)="B","L","")),if(LEFT(VLOOKUP($B63,'Round 2'!$G$2:$J$361,4,false),1)="b","W",if(LEFT(VLOOKUP($B63,'Round 2'!$G$2:$J$361,4,false),1)="a","L","")))</f>
        <v>W</v>
      </c>
      <c r="F63" s="67" t="str">
        <f>iferror(if(LEFT(VLOOKUP($B63,'Round 3'!$B$2:$H$361,7,false),1)="A","W",if(LEFT(VLOOKUP($B63,'Round 3'!$B$2:$H$361,7,false),1)="B","L","")),if(LEFT(VLOOKUP($B63,'Round 3'!$F$2:$H$361,3,false),1)="b","W",if(LEFT(VLOOKUP($B63,'Round 3'!$F$2:$H$361,3,false),1)="a","L","")))</f>
        <v>W</v>
      </c>
      <c r="G63" s="67" t="str">
        <f>iferror(if(LEFT(VLOOKUP($B63,'Round 4'!$B$2:$H$361,7,false),1)="A","W",if(LEFT(VLOOKUP($B63,'Round 4'!$B$2:$H$361,7,false),1)="B","L","")),if(LEFT(VLOOKUP($B63,'Round 4'!$F$2:$H$361,3,false),1)="b","W",if(LEFT(VLOOKUP($B63,'Round 4'!$F$2:$H$361,3,false),1)="a","L","")))</f>
        <v>W</v>
      </c>
      <c r="H63" s="67" t="str">
        <f>iferror(if(LEFT(VLOOKUP($B63,'Round 5'!$B$2:$H$361,7,false),1)="A","W",if(LEFT(VLOOKUP($B63,'Round 5'!$B$2:$H$361,7,false),1)="B","L","")),if(LEFT(VLOOKUP($B63,'Round 5'!$F$2:$H$361,3,false),1)="b","W",if(LEFT(VLOOKUP($B63,'Round 5'!$F$2:$H$361,3,false),1)="a","L","")))</f>
        <v>W</v>
      </c>
      <c r="I63" s="67" t="str">
        <f>iferror(if(LEFT(VLOOKUP($B63,'Round 6'!$B$2:$H$361,7,false),1)="A","W",if(LEFT(VLOOKUP($B63,'Round 6'!$B$2:$H$361,7,false),1)="B","L","")),if(LEFT(VLOOKUP($B63,'Round 6'!$F$2:$H$361,3,false),1)="b","W",if(LEFT(VLOOKUP($B63,'Round 6'!$F$2:$H$361,3,false),1)="a","L","")))</f>
        <v>W</v>
      </c>
      <c r="J63" s="67" t="str">
        <f>iferror(iferror(if(LEFT(VLOOKUP($B63,'Round 7'!$B$2:$H$361,7,false),1)="A","W",if(LEFT(VLOOKUP($B63,'Round 7'!$B$2:$H$361,7,false),1)="B","L","")),if(LEFT(VLOOKUP($B63,'Round 7'!$F$2:$H$361,3,false),1)="b","W",if(LEFT(VLOOKUP($B63,'Round 7'!$F$2:$H$361,3,false),1)="a","L",""))),"")</f>
        <v>L</v>
      </c>
      <c r="K63" s="68" t="str">
        <f>iferror(iferror(if(LEFT(VLOOKUP($B63,'Round 8'!$B$2:$H$361,7,false),1)="A","W",if(LEFT(VLOOKUP($B63,'Round 8'!$B$2:$H$361,7,false),1)="B","L","")),if(LEFT(VLOOKUP($B63,'Round 8'!$F$2:$H$361,3,false),1)="b","W",if(LEFT(VLOOKUP($B63,'Round 8'!$F$2:$H$361,3,false),1)="a","L",""))),"")</f>
        <v>L</v>
      </c>
      <c r="L63" s="68" t="str">
        <f>iferror(iferror(if(LEFT(VLOOKUP($B63,'Round 9'!$B$2:$H$361,7,false),1)="A","W",if(LEFT(VLOOKUP($B63,'Round 9'!$B$2:$H$361,7,false),1)="B","L","")),if(LEFT(VLOOKUP($B63,'Round 9'!$F$2:$H$361,3,false),1)="b","W",if(LEFT(VLOOKUP($B63,'Round 9'!$F$2:$H$361,3,false),1)="a","L",""))),"")</f>
        <v/>
      </c>
      <c r="M63" s="68" t="str">
        <f>iferror(iferror(if(LEFT(VLOOKUP($B63,'Round 10'!$B$2:$H$362,7,false),1)="A","W",if(LEFT(VLOOKUP($B63,'Round 10'!$B$2:$H$362,7,false),1)="B","L","")),if(LEFT(VLOOKUP($B63,'Round 10'!$F$2:$H$362,3,false),1)="b","W",if(LEFT(VLOOKUP($B63,'Round 10'!$F$2:$H$362,3,false),1)="a","L",""))),"")</f>
        <v/>
      </c>
      <c r="N63" s="62" t="s">
        <v>205</v>
      </c>
    </row>
    <row r="64">
      <c r="A64" s="63">
        <v>63.0</v>
      </c>
      <c r="B64" s="64" t="s">
        <v>206</v>
      </c>
      <c r="C64" s="65" t="str">
        <f t="shared" si="1"/>
        <v>4 - 3</v>
      </c>
      <c r="D64" s="67" t="str">
        <f>iferror(if(LEFT(VLOOKUP($B64,'Round 1'!$B$2:$H$361,7,false),1)="A","W",if(LEFT(VLOOKUP($B64,'Round 1'!$B$2:$H$361,7,false),1)="B","L","")),if(LEFT(VLOOKUP($B64,'Round 1'!$F$2:$H$361,3,false),1)="b","W",if(LEFT(VLOOKUP($B64,'Round 1'!$F$2:$H$361,3,false),1)="a","L","")))</f>
        <v>L</v>
      </c>
      <c r="E64" s="67" t="str">
        <f>iferror(if(LEFT(VLOOKUP($B64,'Round 2'!$C$2:$J$361,8,false),1)="A","W",if(LEFT(VLOOKUP($B64,'Round 2'!$C$2:$J$361,8,false),1)="B","L","")),if(LEFT(VLOOKUP($B64,'Round 2'!$G$2:$J$361,4,false),1)="b","W",if(LEFT(VLOOKUP($B64,'Round 2'!$G$2:$J$361,4,false),1)="a","L","")))</f>
        <v>W</v>
      </c>
      <c r="F64" s="67" t="str">
        <f>iferror(if(LEFT(VLOOKUP($B64,'Round 3'!$B$2:$H$361,7,false),1)="A","W",if(LEFT(VLOOKUP($B64,'Round 3'!$B$2:$H$361,7,false),1)="B","L","")),if(LEFT(VLOOKUP($B64,'Round 3'!$F$2:$H$361,3,false),1)="b","W",if(LEFT(VLOOKUP($B64,'Round 3'!$F$2:$H$361,3,false),1)="a","L","")))</f>
        <v>W</v>
      </c>
      <c r="G64" s="67" t="str">
        <f>iferror(if(LEFT(VLOOKUP($B64,'Round 4'!$B$2:$H$361,7,false),1)="A","W",if(LEFT(VLOOKUP($B64,'Round 4'!$B$2:$H$361,7,false),1)="B","L","")),if(LEFT(VLOOKUP($B64,'Round 4'!$F$2:$H$361,3,false),1)="b","W",if(LEFT(VLOOKUP($B64,'Round 4'!$F$2:$H$361,3,false),1)="a","L","")))</f>
        <v>W</v>
      </c>
      <c r="H64" s="67" t="str">
        <f>iferror(if(LEFT(VLOOKUP($B64,'Round 5'!$B$2:$H$361,7,false),1)="A","W",if(LEFT(VLOOKUP($B64,'Round 5'!$B$2:$H$361,7,false),1)="B","L","")),if(LEFT(VLOOKUP($B64,'Round 5'!$F$2:$H$361,3,false),1)="b","W",if(LEFT(VLOOKUP($B64,'Round 5'!$F$2:$H$361,3,false),1)="a","L","")))</f>
        <v>W</v>
      </c>
      <c r="I64" s="67" t="str">
        <f>iferror(if(LEFT(VLOOKUP($B64,'Round 6'!$B$2:$H$361,7,false),1)="A","W",if(LEFT(VLOOKUP($B64,'Round 6'!$B$2:$H$361,7,false),1)="B","L","")),if(LEFT(VLOOKUP($B64,'Round 6'!$F$2:$H$361,3,false),1)="b","W",if(LEFT(VLOOKUP($B64,'Round 6'!$F$2:$H$361,3,false),1)="a","L","")))</f>
        <v>L</v>
      </c>
      <c r="J64" s="67" t="str">
        <f>iferror(iferror(if(LEFT(VLOOKUP($B64,'Round 7'!$B$2:$H$361,7,false),1)="A","W",if(LEFT(VLOOKUP($B64,'Round 7'!$B$2:$H$361,7,false),1)="B","L","")),if(LEFT(VLOOKUP($B64,'Round 7'!$F$2:$H$361,3,false),1)="b","W",if(LEFT(VLOOKUP($B64,'Round 7'!$F$2:$H$361,3,false),1)="a","L",""))),"")</f>
        <v>L</v>
      </c>
      <c r="K64" s="68" t="str">
        <f>iferror(iferror(if(LEFT(VLOOKUP($B64,'Round 8'!$B$2:$H$361,7,false),1)="A","W",if(LEFT(VLOOKUP($B64,'Round 8'!$B$2:$H$361,7,false),1)="B","L","")),if(LEFT(VLOOKUP($B64,'Round 8'!$F$2:$H$361,3,false),1)="b","W",if(LEFT(VLOOKUP($B64,'Round 8'!$F$2:$H$361,3,false),1)="a","L",""))),"")</f>
        <v/>
      </c>
      <c r="L64" s="68" t="str">
        <f>iferror(iferror(if(LEFT(VLOOKUP($B64,'Round 9'!$B$2:$H$361,7,false),1)="A","W",if(LEFT(VLOOKUP($B64,'Round 9'!$B$2:$H$361,7,false),1)="B","L","")),if(LEFT(VLOOKUP($B64,'Round 9'!$F$2:$H$361,3,false),1)="b","W",if(LEFT(VLOOKUP($B64,'Round 9'!$F$2:$H$361,3,false),1)="a","L",""))),"")</f>
        <v/>
      </c>
      <c r="M64" s="68" t="str">
        <f>iferror(iferror(if(LEFT(VLOOKUP($B64,'Round 10'!$B$2:$H$362,7,false),1)="A","W",if(LEFT(VLOOKUP($B64,'Round 10'!$B$2:$H$362,7,false),1)="B","L","")),if(LEFT(VLOOKUP($B64,'Round 10'!$F$2:$H$362,3,false),1)="b","W",if(LEFT(VLOOKUP($B64,'Round 10'!$F$2:$H$362,3,false),1)="a","L",""))),"")</f>
        <v/>
      </c>
      <c r="N64" s="62" t="s">
        <v>207</v>
      </c>
    </row>
    <row r="65">
      <c r="A65" s="63">
        <v>64.0</v>
      </c>
      <c r="B65" s="64" t="s">
        <v>208</v>
      </c>
      <c r="C65" s="65" t="str">
        <f t="shared" si="1"/>
        <v>7 - 2</v>
      </c>
      <c r="D65" s="67" t="str">
        <f>iferror(if(LEFT(VLOOKUP($B65,'Round 1'!$B$2:$H$361,7,false),1)="A","W",if(LEFT(VLOOKUP($B65,'Round 1'!$B$2:$H$361,7,false),1)="B","L","")),if(LEFT(VLOOKUP($B65,'Round 1'!$F$2:$H$361,3,false),1)="b","W",if(LEFT(VLOOKUP($B65,'Round 1'!$F$2:$H$361,3,false),1)="a","L","")))</f>
        <v>W</v>
      </c>
      <c r="E65" s="67" t="str">
        <f>iferror(if(LEFT(VLOOKUP($B65,'Round 2'!$C$2:$J$361,8,false),1)="A","W",if(LEFT(VLOOKUP($B65,'Round 2'!$C$2:$J$361,8,false),1)="B","L","")),if(LEFT(VLOOKUP($B65,'Round 2'!$G$2:$J$361,4,false),1)="b","W",if(LEFT(VLOOKUP($B65,'Round 2'!$G$2:$J$361,4,false),1)="a","L","")))</f>
        <v>L</v>
      </c>
      <c r="F65" s="67" t="str">
        <f>iferror(if(LEFT(VLOOKUP($B65,'Round 3'!$B$2:$H$361,7,false),1)="A","W",if(LEFT(VLOOKUP($B65,'Round 3'!$B$2:$H$361,7,false),1)="B","L","")),if(LEFT(VLOOKUP($B65,'Round 3'!$F$2:$H$361,3,false),1)="b","W",if(LEFT(VLOOKUP($B65,'Round 3'!$F$2:$H$361,3,false),1)="a","L","")))</f>
        <v>W</v>
      </c>
      <c r="G65" s="67" t="str">
        <f>iferror(if(LEFT(VLOOKUP($B65,'Round 4'!$B$2:$H$361,7,false),1)="A","W",if(LEFT(VLOOKUP($B65,'Round 4'!$B$2:$H$361,7,false),1)="B","L","")),if(LEFT(VLOOKUP($B65,'Round 4'!$F$2:$H$361,3,false),1)="b","W",if(LEFT(VLOOKUP($B65,'Round 4'!$F$2:$H$361,3,false),1)="a","L","")))</f>
        <v>W</v>
      </c>
      <c r="H65" s="67" t="str">
        <f>iferror(if(LEFT(VLOOKUP($B65,'Round 5'!$B$2:$H$361,7,false),1)="A","W",if(LEFT(VLOOKUP($B65,'Round 5'!$B$2:$H$361,7,false),1)="B","L","")),if(LEFT(VLOOKUP($B65,'Round 5'!$F$2:$H$361,3,false),1)="b","W",if(LEFT(VLOOKUP($B65,'Round 5'!$F$2:$H$361,3,false),1)="a","L","")))</f>
        <v>W</v>
      </c>
      <c r="I65" s="67" t="str">
        <f>iferror(if(LEFT(VLOOKUP($B65,'Round 6'!$B$2:$H$361,7,false),1)="A","W",if(LEFT(VLOOKUP($B65,'Round 6'!$B$2:$H$361,7,false),1)="B","L","")),if(LEFT(VLOOKUP($B65,'Round 6'!$F$2:$H$361,3,false),1)="b","W",if(LEFT(VLOOKUP($B65,'Round 6'!$F$2:$H$361,3,false),1)="a","L","")))</f>
        <v>W</v>
      </c>
      <c r="J65" s="67" t="str">
        <f>iferror(iferror(if(LEFT(VLOOKUP($B65,'Round 7'!$B$2:$H$361,7,false),1)="A","W",if(LEFT(VLOOKUP($B65,'Round 7'!$B$2:$H$361,7,false),1)="B","L","")),if(LEFT(VLOOKUP($B65,'Round 7'!$F$2:$H$361,3,false),1)="b","W",if(LEFT(VLOOKUP($B65,'Round 7'!$F$2:$H$361,3,false),1)="a","L",""))),"")</f>
        <v>L</v>
      </c>
      <c r="K65" s="68" t="str">
        <f>iferror(iferror(if(LEFT(VLOOKUP($B65,'Round 8'!$B$2:$H$361,7,false),1)="A","W",if(LEFT(VLOOKUP($B65,'Round 8'!$B$2:$H$361,7,false),1)="B","L","")),if(LEFT(VLOOKUP($B65,'Round 8'!$F$2:$H$361,3,false),1)="b","W",if(LEFT(VLOOKUP($B65,'Round 8'!$F$2:$H$361,3,false),1)="a","L",""))),"")</f>
        <v>W</v>
      </c>
      <c r="L65" s="68" t="str">
        <f>iferror(iferror(if(LEFT(VLOOKUP($B65,'Round 9'!$B$2:$H$361,7,false),1)="A","W",if(LEFT(VLOOKUP($B65,'Round 9'!$B$2:$H$361,7,false),1)="B","L","")),if(LEFT(VLOOKUP($B65,'Round 9'!$F$2:$H$361,3,false),1)="b","W",if(LEFT(VLOOKUP($B65,'Round 9'!$F$2:$H$361,3,false),1)="a","L",""))),"")</f>
        <v>W</v>
      </c>
      <c r="M65" s="68" t="str">
        <f>iferror(iferror(if(LEFT(VLOOKUP($B65,'Round 10'!$B$2:$H$362,7,false),1)="A","W",if(LEFT(VLOOKUP($B65,'Round 10'!$B$2:$H$362,7,false),1)="B","L","")),if(LEFT(VLOOKUP($B65,'Round 10'!$F$2:$H$362,3,false),1)="b","W",if(LEFT(VLOOKUP($B65,'Round 10'!$F$2:$H$362,3,false),1)="a","L",""))),"")</f>
        <v/>
      </c>
      <c r="N65" s="62" t="s">
        <v>209</v>
      </c>
    </row>
    <row r="66">
      <c r="A66" s="63">
        <v>65.0</v>
      </c>
      <c r="B66" s="64" t="s">
        <v>210</v>
      </c>
      <c r="C66" s="65" t="str">
        <f t="shared" si="1"/>
        <v>4 - 3</v>
      </c>
      <c r="D66" s="67" t="str">
        <f>iferror(if(LEFT(VLOOKUP($B66,'Round 1'!$B$2:$H$361,7,false),1)="A","W",if(LEFT(VLOOKUP($B66,'Round 1'!$B$2:$H$361,7,false),1)="B","L","")),if(LEFT(VLOOKUP($B66,'Round 1'!$F$2:$H$361,3,false),1)="b","W",if(LEFT(VLOOKUP($B66,'Round 1'!$F$2:$H$361,3,false),1)="a","L","")))</f>
        <v>W</v>
      </c>
      <c r="E66" s="67" t="str">
        <f>iferror(if(LEFT(VLOOKUP($B66,'Round 2'!$C$2:$J$361,8,false),1)="A","W",if(LEFT(VLOOKUP($B66,'Round 2'!$C$2:$J$361,8,false),1)="B","L","")),if(LEFT(VLOOKUP($B66,'Round 2'!$G$2:$J$361,4,false),1)="b","W",if(LEFT(VLOOKUP($B66,'Round 2'!$G$2:$J$361,4,false),1)="a","L","")))</f>
        <v>W</v>
      </c>
      <c r="F66" s="67" t="str">
        <f>iferror(if(LEFT(VLOOKUP($B66,'Round 3'!$B$2:$H$361,7,false),1)="A","W",if(LEFT(VLOOKUP($B66,'Round 3'!$B$2:$H$361,7,false),1)="B","L","")),if(LEFT(VLOOKUP($B66,'Round 3'!$F$2:$H$361,3,false),1)="b","W",if(LEFT(VLOOKUP($B66,'Round 3'!$F$2:$H$361,3,false),1)="a","L","")))</f>
        <v>W</v>
      </c>
      <c r="G66" s="67" t="str">
        <f>iferror(if(LEFT(VLOOKUP($B66,'Round 4'!$B$2:$H$361,7,false),1)="A","W",if(LEFT(VLOOKUP($B66,'Round 4'!$B$2:$H$361,7,false),1)="B","L","")),if(LEFT(VLOOKUP($B66,'Round 4'!$F$2:$H$361,3,false),1)="b","W",if(LEFT(VLOOKUP($B66,'Round 4'!$F$2:$H$361,3,false),1)="a","L","")))</f>
        <v>W</v>
      </c>
      <c r="H66" s="67" t="str">
        <f>iferror(if(LEFT(VLOOKUP($B66,'Round 5'!$B$2:$H$361,7,false),1)="A","W",if(LEFT(VLOOKUP($B66,'Round 5'!$B$2:$H$361,7,false),1)="B","L","")),if(LEFT(VLOOKUP($B66,'Round 5'!$F$2:$H$361,3,false),1)="b","W",if(LEFT(VLOOKUP($B66,'Round 5'!$F$2:$H$361,3,false),1)="a","L","")))</f>
        <v>L</v>
      </c>
      <c r="I66" s="67" t="str">
        <f>iferror(if(LEFT(VLOOKUP($B66,'Round 6'!$B$2:$H$361,7,false),1)="A","W",if(LEFT(VLOOKUP($B66,'Round 6'!$B$2:$H$361,7,false),1)="B","L","")),if(LEFT(VLOOKUP($B66,'Round 6'!$F$2:$H$361,3,false),1)="b","W",if(LEFT(VLOOKUP($B66,'Round 6'!$F$2:$H$361,3,false),1)="a","L","")))</f>
        <v>L</v>
      </c>
      <c r="J66" s="67" t="str">
        <f>iferror(iferror(if(LEFT(VLOOKUP($B66,'Round 7'!$B$2:$H$361,7,false),1)="A","W",if(LEFT(VLOOKUP($B66,'Round 7'!$B$2:$H$361,7,false),1)="B","L","")),if(LEFT(VLOOKUP($B66,'Round 7'!$F$2:$H$361,3,false),1)="b","W",if(LEFT(VLOOKUP($B66,'Round 7'!$F$2:$H$361,3,false),1)="a","L",""))),"")</f>
        <v>L</v>
      </c>
      <c r="K66" s="68" t="str">
        <f>iferror(iferror(if(LEFT(VLOOKUP($B66,'Round 8'!$B$2:$H$361,7,false),1)="A","W",if(LEFT(VLOOKUP($B66,'Round 8'!$B$2:$H$361,7,false),1)="B","L","")),if(LEFT(VLOOKUP($B66,'Round 8'!$F$2:$H$361,3,false),1)="b","W",if(LEFT(VLOOKUP($B66,'Round 8'!$F$2:$H$361,3,false),1)="a","L",""))),"")</f>
        <v/>
      </c>
      <c r="L66" s="68" t="str">
        <f>iferror(iferror(if(LEFT(VLOOKUP($B66,'Round 9'!$B$2:$H$361,7,false),1)="A","W",if(LEFT(VLOOKUP($B66,'Round 9'!$B$2:$H$361,7,false),1)="B","L","")),if(LEFT(VLOOKUP($B66,'Round 9'!$F$2:$H$361,3,false),1)="b","W",if(LEFT(VLOOKUP($B66,'Round 9'!$F$2:$H$361,3,false),1)="a","L",""))),"")</f>
        <v/>
      </c>
      <c r="M66" s="68" t="str">
        <f>iferror(iferror(if(LEFT(VLOOKUP($B66,'Round 10'!$B$2:$H$362,7,false),1)="A","W",if(LEFT(VLOOKUP($B66,'Round 10'!$B$2:$H$362,7,false),1)="B","L","")),if(LEFT(VLOOKUP($B66,'Round 10'!$F$2:$H$362,3,false),1)="b","W",if(LEFT(VLOOKUP($B66,'Round 10'!$F$2:$H$362,3,false),1)="a","L",""))),"")</f>
        <v/>
      </c>
      <c r="N66" s="62" t="s">
        <v>211</v>
      </c>
    </row>
    <row r="67">
      <c r="A67" s="63">
        <v>66.0</v>
      </c>
      <c r="B67" s="64" t="s">
        <v>212</v>
      </c>
      <c r="C67" s="65" t="str">
        <f t="shared" si="1"/>
        <v>7 - 2</v>
      </c>
      <c r="D67" s="67" t="str">
        <f>iferror(if(LEFT(VLOOKUP($B67,'Round 1'!$B$2:$H$361,7,false),1)="A","W",if(LEFT(VLOOKUP($B67,'Round 1'!$B$2:$H$361,7,false),1)="B","L","")),if(LEFT(VLOOKUP($B67,'Round 1'!$F$2:$H$361,3,false),1)="b","W",if(LEFT(VLOOKUP($B67,'Round 1'!$F$2:$H$361,3,false),1)="a","L","")))</f>
        <v>W</v>
      </c>
      <c r="E67" s="67" t="str">
        <f>iferror(if(LEFT(VLOOKUP($B67,'Round 2'!$C$2:$J$361,8,false),1)="A","W",if(LEFT(VLOOKUP($B67,'Round 2'!$C$2:$J$361,8,false),1)="B","L","")),if(LEFT(VLOOKUP($B67,'Round 2'!$G$2:$J$361,4,false),1)="b","W",if(LEFT(VLOOKUP($B67,'Round 2'!$G$2:$J$361,4,false),1)="a","L","")))</f>
        <v>L</v>
      </c>
      <c r="F67" s="67" t="str">
        <f>iferror(if(LEFT(VLOOKUP($B67,'Round 3'!$B$2:$H$361,7,false),1)="A","W",if(LEFT(VLOOKUP($B67,'Round 3'!$B$2:$H$361,7,false),1)="B","L","")),if(LEFT(VLOOKUP($B67,'Round 3'!$F$2:$H$361,3,false),1)="b","W",if(LEFT(VLOOKUP($B67,'Round 3'!$F$2:$H$361,3,false),1)="a","L","")))</f>
        <v>L</v>
      </c>
      <c r="G67" s="67" t="str">
        <f>iferror(if(LEFT(VLOOKUP($B67,'Round 4'!$B$2:$H$361,7,false),1)="A","W",if(LEFT(VLOOKUP($B67,'Round 4'!$B$2:$H$361,7,false),1)="B","L","")),if(LEFT(VLOOKUP($B67,'Round 4'!$F$2:$H$361,3,false),1)="b","W",if(LEFT(VLOOKUP($B67,'Round 4'!$F$2:$H$361,3,false),1)="a","L","")))</f>
        <v>W</v>
      </c>
      <c r="H67" s="67" t="str">
        <f>iferror(if(LEFT(VLOOKUP($B67,'Round 5'!$B$2:$H$361,7,false),1)="A","W",if(LEFT(VLOOKUP($B67,'Round 5'!$B$2:$H$361,7,false),1)="B","L","")),if(LEFT(VLOOKUP($B67,'Round 5'!$F$2:$H$361,3,false),1)="b","W",if(LEFT(VLOOKUP($B67,'Round 5'!$F$2:$H$361,3,false),1)="a","L","")))</f>
        <v>W</v>
      </c>
      <c r="I67" s="67" t="str">
        <f>iferror(if(LEFT(VLOOKUP($B67,'Round 6'!$B$2:$H$361,7,false),1)="A","W",if(LEFT(VLOOKUP($B67,'Round 6'!$B$2:$H$361,7,false),1)="B","L","")),if(LEFT(VLOOKUP($B67,'Round 6'!$F$2:$H$361,3,false),1)="b","W",if(LEFT(VLOOKUP($B67,'Round 6'!$F$2:$H$361,3,false),1)="a","L","")))</f>
        <v>W</v>
      </c>
      <c r="J67" s="67" t="str">
        <f>iferror(iferror(if(LEFT(VLOOKUP($B67,'Round 7'!$B$2:$H$361,7,false),1)="A","W",if(LEFT(VLOOKUP($B67,'Round 7'!$B$2:$H$361,7,false),1)="B","L","")),if(LEFT(VLOOKUP($B67,'Round 7'!$F$2:$H$361,3,false),1)="b","W",if(LEFT(VLOOKUP($B67,'Round 7'!$F$2:$H$361,3,false),1)="a","L",""))),"")</f>
        <v>W</v>
      </c>
      <c r="K67" s="68" t="str">
        <f>iferror(iferror(if(LEFT(VLOOKUP($B67,'Round 8'!$B$2:$H$361,7,false),1)="A","W",if(LEFT(VLOOKUP($B67,'Round 8'!$B$2:$H$361,7,false),1)="B","L","")),if(LEFT(VLOOKUP($B67,'Round 8'!$F$2:$H$361,3,false),1)="b","W",if(LEFT(VLOOKUP($B67,'Round 8'!$F$2:$H$361,3,false),1)="a","L",""))),"")</f>
        <v>W</v>
      </c>
      <c r="L67" s="68" t="str">
        <f>iferror(iferror(if(LEFT(VLOOKUP($B67,'Round 9'!$B$2:$H$361,7,false),1)="A","W",if(LEFT(VLOOKUP($B67,'Round 9'!$B$2:$H$361,7,false),1)="B","L","")),if(LEFT(VLOOKUP($B67,'Round 9'!$F$2:$H$361,3,false),1)="b","W",if(LEFT(VLOOKUP($B67,'Round 9'!$F$2:$H$361,3,false),1)="a","L",""))),"")</f>
        <v>W</v>
      </c>
      <c r="M67" s="68" t="str">
        <f>iferror(iferror(if(LEFT(VLOOKUP($B67,'Round 10'!$B$2:$H$362,7,false),1)="A","W",if(LEFT(VLOOKUP($B67,'Round 10'!$B$2:$H$362,7,false),1)="B","L","")),if(LEFT(VLOOKUP($B67,'Round 10'!$F$2:$H$362,3,false),1)="b","W",if(LEFT(VLOOKUP($B67,'Round 10'!$F$2:$H$362,3,false),1)="a","L",""))),"")</f>
        <v/>
      </c>
      <c r="N67" s="62" t="s">
        <v>213</v>
      </c>
    </row>
    <row r="68">
      <c r="A68" s="63">
        <v>67.0</v>
      </c>
      <c r="B68" s="64" t="s">
        <v>214</v>
      </c>
      <c r="C68" s="65" t="str">
        <f t="shared" si="1"/>
        <v>0 - 3</v>
      </c>
      <c r="D68" s="67" t="str">
        <f>iferror(if(LEFT(VLOOKUP($B68,'Round 1'!$B$2:$H$361,7,false),1)="A","W",if(LEFT(VLOOKUP($B68,'Round 1'!$B$2:$H$361,7,false),1)="B","L","")),if(LEFT(VLOOKUP($B68,'Round 1'!$F$2:$H$361,3,false),1)="b","W",if(LEFT(VLOOKUP($B68,'Round 1'!$F$2:$H$361,3,false),1)="a","L","")))</f>
        <v>L</v>
      </c>
      <c r="E68" s="67" t="str">
        <f>iferror(if(LEFT(VLOOKUP($B68,'Round 2'!$C$2:$J$361,8,false),1)="A","W",if(LEFT(VLOOKUP($B68,'Round 2'!$C$2:$J$361,8,false),1)="B","L","")),if(LEFT(VLOOKUP($B68,'Round 2'!$G$2:$J$361,4,false),1)="b","W",if(LEFT(VLOOKUP($B68,'Round 2'!$G$2:$J$361,4,false),1)="a","L","")))</f>
        <v>L</v>
      </c>
      <c r="F68" s="67" t="str">
        <f>iferror(if(LEFT(VLOOKUP($B68,'Round 3'!$B$2:$H$361,7,false),1)="A","W",if(LEFT(VLOOKUP($B68,'Round 3'!$B$2:$H$361,7,false),1)="B","L","")),if(LEFT(VLOOKUP($B68,'Round 3'!$F$2:$H$361,3,false),1)="b","W",if(LEFT(VLOOKUP($B68,'Round 3'!$F$2:$H$361,3,false),1)="a","L","")))</f>
        <v>L</v>
      </c>
      <c r="G68" s="67"/>
      <c r="H68" s="67"/>
      <c r="I68" s="67"/>
      <c r="J68" s="67" t="str">
        <f>iferror(iferror(if(LEFT(VLOOKUP($B68,'Round 7'!$B$2:$H$361,7,false),1)="A","W",if(LEFT(VLOOKUP($B68,'Round 7'!$B$2:$H$361,7,false),1)="B","L","")),if(LEFT(VLOOKUP($B68,'Round 7'!$F$2:$H$361,3,false),1)="b","W",if(LEFT(VLOOKUP($B68,'Round 7'!$F$2:$H$361,3,false),1)="a","L",""))),"")</f>
        <v/>
      </c>
      <c r="K68" s="68" t="str">
        <f>iferror(iferror(if(LEFT(VLOOKUP($B68,'Round 8'!$B$2:$H$361,7,false),1)="A","W",if(LEFT(VLOOKUP($B68,'Round 8'!$B$2:$H$361,7,false),1)="B","L","")),if(LEFT(VLOOKUP($B68,'Round 8'!$F$2:$H$361,3,false),1)="b","W",if(LEFT(VLOOKUP($B68,'Round 8'!$F$2:$H$361,3,false),1)="a","L",""))),"")</f>
        <v/>
      </c>
      <c r="L68" s="68" t="str">
        <f>iferror(iferror(if(LEFT(VLOOKUP($B68,'Round 9'!$B$2:$H$361,7,false),1)="A","W",if(LEFT(VLOOKUP($B68,'Round 9'!$B$2:$H$361,7,false),1)="B","L","")),if(LEFT(VLOOKUP($B68,'Round 9'!$F$2:$H$361,3,false),1)="b","W",if(LEFT(VLOOKUP($B68,'Round 9'!$F$2:$H$361,3,false),1)="a","L",""))),"")</f>
        <v/>
      </c>
      <c r="M68" s="68" t="str">
        <f>iferror(iferror(if(LEFT(VLOOKUP($B68,'Round 10'!$B$2:$H$362,7,false),1)="A","W",if(LEFT(VLOOKUP($B68,'Round 10'!$B$2:$H$362,7,false),1)="B","L","")),if(LEFT(VLOOKUP($B68,'Round 10'!$F$2:$H$362,3,false),1)="b","W",if(LEFT(VLOOKUP($B68,'Round 10'!$F$2:$H$362,3,false),1)="a","L",""))),"")</f>
        <v/>
      </c>
      <c r="N68" s="62" t="s">
        <v>215</v>
      </c>
    </row>
    <row r="69">
      <c r="A69" s="63">
        <v>68.0</v>
      </c>
      <c r="B69" s="64" t="s">
        <v>216</v>
      </c>
      <c r="C69" s="65" t="str">
        <f t="shared" si="1"/>
        <v>0 - 3</v>
      </c>
      <c r="D69" s="67" t="str">
        <f>iferror(if(LEFT(VLOOKUP($B69,'Round 1'!$B$2:$H$361,7,false),1)="A","W",if(LEFT(VLOOKUP($B69,'Round 1'!$B$2:$H$361,7,false),1)="B","L","")),if(LEFT(VLOOKUP($B69,'Round 1'!$F$2:$H$361,3,false),1)="b","W",if(LEFT(VLOOKUP($B69,'Round 1'!$F$2:$H$361,3,false),1)="a","L","")))</f>
        <v>L</v>
      </c>
      <c r="E69" s="67" t="str">
        <f>iferror(if(LEFT(VLOOKUP($B69,'Round 2'!$C$2:$J$361,8,false),1)="A","W",if(LEFT(VLOOKUP($B69,'Round 2'!$C$2:$J$361,8,false),1)="B","L","")),if(LEFT(VLOOKUP($B69,'Round 2'!$G$2:$J$361,4,false),1)="b","W",if(LEFT(VLOOKUP($B69,'Round 2'!$G$2:$J$361,4,false),1)="a","L","")))</f>
        <v>L</v>
      </c>
      <c r="F69" s="67" t="str">
        <f>iferror(if(LEFT(VLOOKUP($B69,'Round 3'!$B$2:$H$361,7,false),1)="A","W",if(LEFT(VLOOKUP($B69,'Round 3'!$B$2:$H$361,7,false),1)="B","L","")),if(LEFT(VLOOKUP($B69,'Round 3'!$F$2:$H$361,3,false),1)="b","W",if(LEFT(VLOOKUP($B69,'Round 3'!$F$2:$H$361,3,false),1)="a","L","")))</f>
        <v>L</v>
      </c>
      <c r="G69" s="67"/>
      <c r="H69" s="67"/>
      <c r="I69" s="67"/>
      <c r="J69" s="67" t="str">
        <f>iferror(iferror(if(LEFT(VLOOKUP($B69,'Round 7'!$B$2:$H$361,7,false),1)="A","W",if(LEFT(VLOOKUP($B69,'Round 7'!$B$2:$H$361,7,false),1)="B","L","")),if(LEFT(VLOOKUP($B69,'Round 7'!$F$2:$H$361,3,false),1)="b","W",if(LEFT(VLOOKUP($B69,'Round 7'!$F$2:$H$361,3,false),1)="a","L",""))),"")</f>
        <v/>
      </c>
      <c r="K69" s="68" t="str">
        <f>iferror(iferror(if(LEFT(VLOOKUP($B69,'Round 8'!$B$2:$H$361,7,false),1)="A","W",if(LEFT(VLOOKUP($B69,'Round 8'!$B$2:$H$361,7,false),1)="B","L","")),if(LEFT(VLOOKUP($B69,'Round 8'!$F$2:$H$361,3,false),1)="b","W",if(LEFT(VLOOKUP($B69,'Round 8'!$F$2:$H$361,3,false),1)="a","L",""))),"")</f>
        <v/>
      </c>
      <c r="L69" s="68" t="str">
        <f>iferror(iferror(if(LEFT(VLOOKUP($B69,'Round 9'!$B$2:$H$361,7,false),1)="A","W",if(LEFT(VLOOKUP($B69,'Round 9'!$B$2:$H$361,7,false),1)="B","L","")),if(LEFT(VLOOKUP($B69,'Round 9'!$F$2:$H$361,3,false),1)="b","W",if(LEFT(VLOOKUP($B69,'Round 9'!$F$2:$H$361,3,false),1)="a","L",""))),"")</f>
        <v/>
      </c>
      <c r="M69" s="68" t="str">
        <f>iferror(iferror(if(LEFT(VLOOKUP($B69,'Round 10'!$B$2:$H$362,7,false),1)="A","W",if(LEFT(VLOOKUP($B69,'Round 10'!$B$2:$H$362,7,false),1)="B","L","")),if(LEFT(VLOOKUP($B69,'Round 10'!$F$2:$H$362,3,false),1)="b","W",if(LEFT(VLOOKUP($B69,'Round 10'!$F$2:$H$362,3,false),1)="a","L",""))),"")</f>
        <v/>
      </c>
      <c r="N69" s="62" t="s">
        <v>217</v>
      </c>
    </row>
    <row r="70">
      <c r="A70" s="63">
        <v>69.0</v>
      </c>
      <c r="B70" s="64" t="s">
        <v>218</v>
      </c>
      <c r="C70" s="65" t="str">
        <f t="shared" si="1"/>
        <v>8 - 1</v>
      </c>
      <c r="D70" s="67" t="str">
        <f>iferror(if(LEFT(VLOOKUP($B70,'Round 1'!$B$2:$H$361,7,false),1)="A","W",if(LEFT(VLOOKUP($B70,'Round 1'!$B$2:$H$361,7,false),1)="B","L","")),if(LEFT(VLOOKUP($B70,'Round 1'!$F$2:$H$361,3,false),1)="b","W",if(LEFT(VLOOKUP($B70,'Round 1'!$F$2:$H$361,3,false),1)="a","L","")))</f>
        <v>W</v>
      </c>
      <c r="E70" s="67" t="str">
        <f>iferror(if(LEFT(VLOOKUP($B70,'Round 2'!$C$2:$J$361,8,false),1)="A","W",if(LEFT(VLOOKUP($B70,'Round 2'!$C$2:$J$361,8,false),1)="B","L","")),if(LEFT(VLOOKUP($B70,'Round 2'!$G$2:$J$361,4,false),1)="b","W",if(LEFT(VLOOKUP($B70,'Round 2'!$G$2:$J$361,4,false),1)="a","L","")))</f>
        <v>W</v>
      </c>
      <c r="F70" s="67" t="str">
        <f>iferror(if(LEFT(VLOOKUP($B70,'Round 3'!$B$2:$H$361,7,false),1)="A","W",if(LEFT(VLOOKUP($B70,'Round 3'!$B$2:$H$361,7,false),1)="B","L","")),if(LEFT(VLOOKUP($B70,'Round 3'!$F$2:$H$361,3,false),1)="b","W",if(LEFT(VLOOKUP($B70,'Round 3'!$F$2:$H$361,3,false),1)="a","L","")))</f>
        <v>W</v>
      </c>
      <c r="G70" s="67" t="str">
        <f>iferror(if(LEFT(VLOOKUP($B70,'Round 4'!$B$2:$H$361,7,false),1)="A","W",if(LEFT(VLOOKUP($B70,'Round 4'!$B$2:$H$361,7,false),1)="B","L","")),if(LEFT(VLOOKUP($B70,'Round 4'!$F$2:$H$361,3,false),1)="b","W",if(LEFT(VLOOKUP($B70,'Round 4'!$F$2:$H$361,3,false),1)="a","L","")))</f>
        <v>W</v>
      </c>
      <c r="H70" s="67" t="str">
        <f>iferror(if(LEFT(VLOOKUP($B70,'Round 5'!$B$2:$H$361,7,false),1)="A","W",if(LEFT(VLOOKUP($B70,'Round 5'!$B$2:$H$361,7,false),1)="B","L","")),if(LEFT(VLOOKUP($B70,'Round 5'!$F$2:$H$361,3,false),1)="b","W",if(LEFT(VLOOKUP($B70,'Round 5'!$F$2:$H$361,3,false),1)="a","L","")))</f>
        <v>W</v>
      </c>
      <c r="I70" s="67" t="str">
        <f>iferror(if(LEFT(VLOOKUP($B70,'Round 6'!$B$2:$H$361,7,false),1)="A","W",if(LEFT(VLOOKUP($B70,'Round 6'!$B$2:$H$361,7,false),1)="B","L","")),if(LEFT(VLOOKUP($B70,'Round 6'!$F$2:$H$361,3,false),1)="b","W",if(LEFT(VLOOKUP($B70,'Round 6'!$F$2:$H$361,3,false),1)="a","L","")))</f>
        <v>L</v>
      </c>
      <c r="J70" s="67" t="str">
        <f>iferror(iferror(if(LEFT(VLOOKUP($B70,'Round 7'!$B$2:$H$361,7,false),1)="A","W",if(LEFT(VLOOKUP($B70,'Round 7'!$B$2:$H$361,7,false),1)="B","L","")),if(LEFT(VLOOKUP($B70,'Round 7'!$F$2:$H$361,3,false),1)="b","W",if(LEFT(VLOOKUP($B70,'Round 7'!$F$2:$H$361,3,false),1)="a","L",""))),"")</f>
        <v>W</v>
      </c>
      <c r="K70" s="68" t="str">
        <f>iferror(iferror(if(LEFT(VLOOKUP($B70,'Round 8'!$B$2:$H$361,7,false),1)="A","W",if(LEFT(VLOOKUP($B70,'Round 8'!$B$2:$H$361,7,false),1)="B","L","")),if(LEFT(VLOOKUP($B70,'Round 8'!$F$2:$H$361,3,false),1)="b","W",if(LEFT(VLOOKUP($B70,'Round 8'!$F$2:$H$361,3,false),1)="a","L",""))),"")</f>
        <v>W</v>
      </c>
      <c r="L70" s="68" t="str">
        <f>iferror(iferror(if(LEFT(VLOOKUP($B70,'Round 9'!$B$2:$H$361,7,false),1)="A","W",if(LEFT(VLOOKUP($B70,'Round 9'!$B$2:$H$361,7,false),1)="B","L","")),if(LEFT(VLOOKUP($B70,'Round 9'!$F$2:$H$361,3,false),1)="b","W",if(LEFT(VLOOKUP($B70,'Round 9'!$F$2:$H$361,3,false),1)="a","L",""))),"")</f>
        <v>W</v>
      </c>
      <c r="M70" s="68" t="str">
        <f>iferror(iferror(if(LEFT(VLOOKUP($B70,'Round 10'!$B$2:$H$362,7,false),1)="A","W",if(LEFT(VLOOKUP($B70,'Round 10'!$B$2:$H$362,7,false),1)="B","L","")),if(LEFT(VLOOKUP($B70,'Round 10'!$F$2:$H$362,3,false),1)="b","W",if(LEFT(VLOOKUP($B70,'Round 10'!$F$2:$H$362,3,false),1)="a","L",""))),"")</f>
        <v/>
      </c>
      <c r="N70" s="62" t="s">
        <v>219</v>
      </c>
    </row>
    <row r="71">
      <c r="A71" s="63">
        <v>70.0</v>
      </c>
      <c r="B71" s="64" t="s">
        <v>220</v>
      </c>
      <c r="C71" s="65" t="str">
        <f t="shared" si="1"/>
        <v>7 - 2</v>
      </c>
      <c r="D71" s="67" t="str">
        <f>iferror(if(LEFT(VLOOKUP($B71,'Round 1'!$B$2:$H$361,7,false),1)="A","W",if(LEFT(VLOOKUP($B71,'Round 1'!$B$2:$H$361,7,false),1)="B","L","")),if(LEFT(VLOOKUP($B71,'Round 1'!$F$2:$H$361,3,false),1)="b","W",if(LEFT(VLOOKUP($B71,'Round 1'!$F$2:$H$361,3,false),1)="a","L","")))</f>
        <v>L</v>
      </c>
      <c r="E71" s="67" t="str">
        <f>iferror(if(LEFT(VLOOKUP($B71,'Round 2'!$C$2:$J$361,8,false),1)="A","W",if(LEFT(VLOOKUP($B71,'Round 2'!$C$2:$J$361,8,false),1)="B","L","")),if(LEFT(VLOOKUP($B71,'Round 2'!$G$2:$J$361,4,false),1)="b","W",if(LEFT(VLOOKUP($B71,'Round 2'!$G$2:$J$361,4,false),1)="a","L","")))</f>
        <v>W</v>
      </c>
      <c r="F71" s="67" t="str">
        <f>iferror(if(LEFT(VLOOKUP($B71,'Round 3'!$B$2:$H$361,7,false),1)="A","W",if(LEFT(VLOOKUP($B71,'Round 3'!$B$2:$H$361,7,false),1)="B","L","")),if(LEFT(VLOOKUP($B71,'Round 3'!$F$2:$H$361,3,false),1)="b","W",if(LEFT(VLOOKUP($B71,'Round 3'!$F$2:$H$361,3,false),1)="a","L","")))</f>
        <v>W</v>
      </c>
      <c r="G71" s="67" t="str">
        <f>iferror(if(LEFT(VLOOKUP($B71,'Round 4'!$B$2:$H$361,7,false),1)="A","W",if(LEFT(VLOOKUP($B71,'Round 4'!$B$2:$H$361,7,false),1)="B","L","")),if(LEFT(VLOOKUP($B71,'Round 4'!$F$2:$H$361,3,false),1)="b","W",if(LEFT(VLOOKUP($B71,'Round 4'!$F$2:$H$361,3,false),1)="a","L","")))</f>
        <v>W</v>
      </c>
      <c r="H71" s="67" t="str">
        <f>iferror(if(LEFT(VLOOKUP($B71,'Round 5'!$B$2:$H$361,7,false),1)="A","W",if(LEFT(VLOOKUP($B71,'Round 5'!$B$2:$H$361,7,false),1)="B","L","")),if(LEFT(VLOOKUP($B71,'Round 5'!$F$2:$H$361,3,false),1)="b","W",if(LEFT(VLOOKUP($B71,'Round 5'!$F$2:$H$361,3,false),1)="a","L","")))</f>
        <v>W</v>
      </c>
      <c r="I71" s="67" t="str">
        <f>iferror(if(LEFT(VLOOKUP($B71,'Round 6'!$B$2:$H$361,7,false),1)="A","W",if(LEFT(VLOOKUP($B71,'Round 6'!$B$2:$H$361,7,false),1)="B","L","")),if(LEFT(VLOOKUP($B71,'Round 6'!$F$2:$H$361,3,false),1)="b","W",if(LEFT(VLOOKUP($B71,'Round 6'!$F$2:$H$361,3,false),1)="a","L","")))</f>
        <v>W</v>
      </c>
      <c r="J71" s="67" t="str">
        <f>iferror(iferror(if(LEFT(VLOOKUP($B71,'Round 7'!$B$2:$H$361,7,false),1)="A","W",if(LEFT(VLOOKUP($B71,'Round 7'!$B$2:$H$361,7,false),1)="B","L","")),if(LEFT(VLOOKUP($B71,'Round 7'!$F$2:$H$361,3,false),1)="b","W",if(LEFT(VLOOKUP($B71,'Round 7'!$F$2:$H$361,3,false),1)="a","L",""))),"")</f>
        <v>W</v>
      </c>
      <c r="K71" s="68" t="str">
        <f>iferror(iferror(if(LEFT(VLOOKUP($B71,'Round 8'!$B$2:$H$361,7,false),1)="A","W",if(LEFT(VLOOKUP($B71,'Round 8'!$B$2:$H$361,7,false),1)="B","L","")),if(LEFT(VLOOKUP($B71,'Round 8'!$F$2:$H$361,3,false),1)="b","W",if(LEFT(VLOOKUP($B71,'Round 8'!$F$2:$H$361,3,false),1)="a","L",""))),"")</f>
        <v>L</v>
      </c>
      <c r="L71" s="68" t="str">
        <f>iferror(iferror(if(LEFT(VLOOKUP($B71,'Round 9'!$B$2:$H$361,7,false),1)="A","W",if(LEFT(VLOOKUP($B71,'Round 9'!$B$2:$H$361,7,false),1)="B","L","")),if(LEFT(VLOOKUP($B71,'Round 9'!$F$2:$H$361,3,false),1)="b","W",if(LEFT(VLOOKUP($B71,'Round 9'!$F$2:$H$361,3,false),1)="a","L",""))),"")</f>
        <v>W</v>
      </c>
      <c r="M71" s="68" t="str">
        <f>iferror(iferror(if(LEFT(VLOOKUP($B71,'Round 10'!$B$2:$H$362,7,false),1)="A","W",if(LEFT(VLOOKUP($B71,'Round 10'!$B$2:$H$362,7,false),1)="B","L","")),if(LEFT(VLOOKUP($B71,'Round 10'!$F$2:$H$362,3,false),1)="b","W",if(LEFT(VLOOKUP($B71,'Round 10'!$F$2:$H$362,3,false),1)="a","L",""))),"")</f>
        <v/>
      </c>
      <c r="N71" s="62" t="s">
        <v>221</v>
      </c>
    </row>
    <row r="72">
      <c r="A72" s="63">
        <v>71.0</v>
      </c>
      <c r="B72" s="64" t="s">
        <v>222</v>
      </c>
      <c r="C72" s="65" t="str">
        <f t="shared" si="1"/>
        <v>3 - 3</v>
      </c>
      <c r="D72" s="67" t="str">
        <f>iferror(if(LEFT(VLOOKUP($B72,'Round 1'!$B$2:$H$361,7,false),1)="A","W",if(LEFT(VLOOKUP($B72,'Round 1'!$B$2:$H$361,7,false),1)="B","L","")),if(LEFT(VLOOKUP($B72,'Round 1'!$F$2:$H$361,3,false),1)="b","W",if(LEFT(VLOOKUP($B72,'Round 1'!$F$2:$H$361,3,false),1)="a","L","")))</f>
        <v>W</v>
      </c>
      <c r="E72" s="67" t="str">
        <f>iferror(if(LEFT(VLOOKUP($B72,'Round 2'!$C$2:$J$361,8,false),1)="A","W",if(LEFT(VLOOKUP($B72,'Round 2'!$C$2:$J$361,8,false),1)="B","L","")),if(LEFT(VLOOKUP($B72,'Round 2'!$G$2:$J$361,4,false),1)="b","W",if(LEFT(VLOOKUP($B72,'Round 2'!$G$2:$J$361,4,false),1)="a","L","")))</f>
        <v>W</v>
      </c>
      <c r="F72" s="67" t="str">
        <f>iferror(if(LEFT(VLOOKUP($B72,'Round 3'!$B$2:$H$361,7,false),1)="A","W",if(LEFT(VLOOKUP($B72,'Round 3'!$B$2:$H$361,7,false),1)="B","L","")),if(LEFT(VLOOKUP($B72,'Round 3'!$F$2:$H$361,3,false),1)="b","W",if(LEFT(VLOOKUP($B72,'Round 3'!$F$2:$H$361,3,false),1)="a","L","")))</f>
        <v>L</v>
      </c>
      <c r="G72" s="67" t="str">
        <f>iferror(if(LEFT(VLOOKUP($B72,'Round 4'!$B$2:$H$361,7,false),1)="A","W",if(LEFT(VLOOKUP($B72,'Round 4'!$B$2:$H$361,7,false),1)="B","L","")),if(LEFT(VLOOKUP($B72,'Round 4'!$F$2:$H$361,3,false),1)="b","W",if(LEFT(VLOOKUP($B72,'Round 4'!$F$2:$H$361,3,false),1)="a","L","")))</f>
        <v>L</v>
      </c>
      <c r="H72" s="67" t="str">
        <f>iferror(if(LEFT(VLOOKUP($B72,'Round 5'!$B$2:$H$361,7,false),1)="A","W",if(LEFT(VLOOKUP($B72,'Round 5'!$B$2:$H$361,7,false),1)="B","L","")),if(LEFT(VLOOKUP($B72,'Round 5'!$F$2:$H$361,3,false),1)="b","W",if(LEFT(VLOOKUP($B72,'Round 5'!$F$2:$H$361,3,false),1)="a","L","")))</f>
        <v>W</v>
      </c>
      <c r="I72" s="67" t="str">
        <f>iferror(if(LEFT(VLOOKUP($B72,'Round 6'!$B$2:$H$361,7,false),1)="A","W",if(LEFT(VLOOKUP($B72,'Round 6'!$B$2:$H$361,7,false),1)="B","L","")),if(LEFT(VLOOKUP($B72,'Round 6'!$F$2:$H$361,3,false),1)="b","W",if(LEFT(VLOOKUP($B72,'Round 6'!$F$2:$H$361,3,false),1)="a","L","")))</f>
        <v>L</v>
      </c>
      <c r="J72" s="67" t="str">
        <f>iferror(iferror(if(LEFT(VLOOKUP($B72,'Round 7'!$B$2:$H$361,7,false),1)="A","W",if(LEFT(VLOOKUP($B72,'Round 7'!$B$2:$H$361,7,false),1)="B","L","")),if(LEFT(VLOOKUP($B72,'Round 7'!$F$2:$H$361,3,false),1)="b","W",if(LEFT(VLOOKUP($B72,'Round 7'!$F$2:$H$361,3,false),1)="a","L",""))),"")</f>
        <v/>
      </c>
      <c r="K72" s="68" t="str">
        <f>iferror(iferror(if(LEFT(VLOOKUP($B72,'Round 8'!$B$2:$H$361,7,false),1)="A","W",if(LEFT(VLOOKUP($B72,'Round 8'!$B$2:$H$361,7,false),1)="B","L","")),if(LEFT(VLOOKUP($B72,'Round 8'!$F$2:$H$361,3,false),1)="b","W",if(LEFT(VLOOKUP($B72,'Round 8'!$F$2:$H$361,3,false),1)="a","L",""))),"")</f>
        <v/>
      </c>
      <c r="L72" s="68" t="str">
        <f>iferror(iferror(if(LEFT(VLOOKUP($B72,'Round 9'!$B$2:$H$361,7,false),1)="A","W",if(LEFT(VLOOKUP($B72,'Round 9'!$B$2:$H$361,7,false),1)="B","L","")),if(LEFT(VLOOKUP($B72,'Round 9'!$F$2:$H$361,3,false),1)="b","W",if(LEFT(VLOOKUP($B72,'Round 9'!$F$2:$H$361,3,false),1)="a","L",""))),"")</f>
        <v/>
      </c>
      <c r="M72" s="68" t="str">
        <f>iferror(iferror(if(LEFT(VLOOKUP($B72,'Round 10'!$B$2:$H$362,7,false),1)="A","W",if(LEFT(VLOOKUP($B72,'Round 10'!$B$2:$H$362,7,false),1)="B","L","")),if(LEFT(VLOOKUP($B72,'Round 10'!$F$2:$H$362,3,false),1)="b","W",if(LEFT(VLOOKUP($B72,'Round 10'!$F$2:$H$362,3,false),1)="a","L",""))),"")</f>
        <v/>
      </c>
      <c r="N72" s="62" t="s">
        <v>223</v>
      </c>
    </row>
    <row r="73">
      <c r="A73" s="63">
        <v>72.0</v>
      </c>
      <c r="B73" s="64" t="s">
        <v>224</v>
      </c>
      <c r="C73" s="65" t="str">
        <f t="shared" si="1"/>
        <v>2 - 3</v>
      </c>
      <c r="D73" s="67" t="str">
        <f>iferror(if(LEFT(VLOOKUP($B73,'Round 1'!$B$2:$H$361,7,false),1)="A","W",if(LEFT(VLOOKUP($B73,'Round 1'!$B$2:$H$361,7,false),1)="B","L","")),if(LEFT(VLOOKUP($B73,'Round 1'!$F$2:$H$361,3,false),1)="b","W",if(LEFT(VLOOKUP($B73,'Round 1'!$F$2:$H$361,3,false),1)="a","L","")))</f>
        <v>L</v>
      </c>
      <c r="E73" s="67" t="str">
        <f>iferror(if(LEFT(VLOOKUP($B73,'Round 2'!$C$2:$J$361,8,false),1)="A","W",if(LEFT(VLOOKUP($B73,'Round 2'!$C$2:$J$361,8,false),1)="B","L","")),if(LEFT(VLOOKUP($B73,'Round 2'!$G$2:$J$361,4,false),1)="b","W",if(LEFT(VLOOKUP($B73,'Round 2'!$G$2:$J$361,4,false),1)="a","L","")))</f>
        <v>L</v>
      </c>
      <c r="F73" s="67" t="str">
        <f>iferror(if(LEFT(VLOOKUP($B73,'Round 3'!$B$2:$H$361,7,false),1)="A","W",if(LEFT(VLOOKUP($B73,'Round 3'!$B$2:$H$361,7,false),1)="B","L","")),if(LEFT(VLOOKUP($B73,'Round 3'!$F$2:$H$361,3,false),1)="b","W",if(LEFT(VLOOKUP($B73,'Round 3'!$F$2:$H$361,3,false),1)="a","L","")))</f>
        <v>W</v>
      </c>
      <c r="G73" s="67" t="str">
        <f>iferror(if(LEFT(VLOOKUP($B73,'Round 4'!$B$2:$H$361,7,false),1)="A","W",if(LEFT(VLOOKUP($B73,'Round 4'!$B$2:$H$361,7,false),1)="B","L","")),if(LEFT(VLOOKUP($B73,'Round 4'!$F$2:$H$361,3,false),1)="b","W",if(LEFT(VLOOKUP($B73,'Round 4'!$F$2:$H$361,3,false),1)="a","L","")))</f>
        <v>W</v>
      </c>
      <c r="H73" s="67" t="str">
        <f>iferror(if(LEFT(VLOOKUP($B73,'Round 5'!$B$2:$H$361,7,false),1)="A","W",if(LEFT(VLOOKUP($B73,'Round 5'!$B$2:$H$361,7,false),1)="B","L","")),if(LEFT(VLOOKUP($B73,'Round 5'!$F$2:$H$361,3,false),1)="b","W",if(LEFT(VLOOKUP($B73,'Round 5'!$F$2:$H$361,3,false),1)="a","L","")))</f>
        <v>L</v>
      </c>
      <c r="I73" s="67"/>
      <c r="J73" s="67" t="str">
        <f>iferror(iferror(if(LEFT(VLOOKUP($B73,'Round 7'!$B$2:$H$361,7,false),1)="A","W",if(LEFT(VLOOKUP($B73,'Round 7'!$B$2:$H$361,7,false),1)="B","L","")),if(LEFT(VLOOKUP($B73,'Round 7'!$F$2:$H$361,3,false),1)="b","W",if(LEFT(VLOOKUP($B73,'Round 7'!$F$2:$H$361,3,false),1)="a","L",""))),"")</f>
        <v/>
      </c>
      <c r="K73" s="68" t="str">
        <f>iferror(iferror(if(LEFT(VLOOKUP($B73,'Round 8'!$B$2:$H$361,7,false),1)="A","W",if(LEFT(VLOOKUP($B73,'Round 8'!$B$2:$H$361,7,false),1)="B","L","")),if(LEFT(VLOOKUP($B73,'Round 8'!$F$2:$H$361,3,false),1)="b","W",if(LEFT(VLOOKUP($B73,'Round 8'!$F$2:$H$361,3,false),1)="a","L",""))),"")</f>
        <v/>
      </c>
      <c r="L73" s="68" t="str">
        <f>iferror(iferror(if(LEFT(VLOOKUP($B73,'Round 9'!$B$2:$H$361,7,false),1)="A","W",if(LEFT(VLOOKUP($B73,'Round 9'!$B$2:$H$361,7,false),1)="B","L","")),if(LEFT(VLOOKUP($B73,'Round 9'!$F$2:$H$361,3,false),1)="b","W",if(LEFT(VLOOKUP($B73,'Round 9'!$F$2:$H$361,3,false),1)="a","L",""))),"")</f>
        <v/>
      </c>
      <c r="M73" s="68" t="str">
        <f>iferror(iferror(if(LEFT(VLOOKUP($B73,'Round 10'!$B$2:$H$362,7,false),1)="A","W",if(LEFT(VLOOKUP($B73,'Round 10'!$B$2:$H$362,7,false),1)="B","L","")),if(LEFT(VLOOKUP($B73,'Round 10'!$F$2:$H$362,3,false),1)="b","W",if(LEFT(VLOOKUP($B73,'Round 10'!$F$2:$H$362,3,false),1)="a","L",""))),"")</f>
        <v/>
      </c>
      <c r="N73" s="62" t="s">
        <v>225</v>
      </c>
    </row>
    <row r="74">
      <c r="A74" s="63">
        <v>73.0</v>
      </c>
      <c r="B74" s="64" t="s">
        <v>226</v>
      </c>
      <c r="C74" s="65" t="str">
        <f t="shared" si="1"/>
        <v>1 - 3</v>
      </c>
      <c r="D74" s="67" t="str">
        <f>iferror(if(LEFT(VLOOKUP($B74,'Round 1'!$B$2:$H$361,7,false),1)="A","W",if(LEFT(VLOOKUP($B74,'Round 1'!$B$2:$H$361,7,false),1)="B","L","")),if(LEFT(VLOOKUP($B74,'Round 1'!$F$2:$H$361,3,false),1)="b","W",if(LEFT(VLOOKUP($B74,'Round 1'!$F$2:$H$361,3,false),1)="a","L","")))</f>
        <v>W</v>
      </c>
      <c r="E74" s="67" t="str">
        <f>iferror(if(LEFT(VLOOKUP($B74,'Round 2'!$C$2:$J$361,8,false),1)="A","W",if(LEFT(VLOOKUP($B74,'Round 2'!$C$2:$J$361,8,false),1)="B","L","")),if(LEFT(VLOOKUP($B74,'Round 2'!$G$2:$J$361,4,false),1)="b","W",if(LEFT(VLOOKUP($B74,'Round 2'!$G$2:$J$361,4,false),1)="a","L","")))</f>
        <v>L</v>
      </c>
      <c r="F74" s="67" t="str">
        <f>iferror(if(LEFT(VLOOKUP($B74,'Round 3'!$B$2:$H$361,7,false),1)="A","W",if(LEFT(VLOOKUP($B74,'Round 3'!$B$2:$H$361,7,false),1)="B","L","")),if(LEFT(VLOOKUP($B74,'Round 3'!$F$2:$H$361,3,false),1)="b","W",if(LEFT(VLOOKUP($B74,'Round 3'!$F$2:$H$361,3,false),1)="a","L","")))</f>
        <v>L</v>
      </c>
      <c r="G74" s="67" t="str">
        <f>iferror(if(LEFT(VLOOKUP($B74,'Round 4'!$B$2:$H$361,7,false),1)="A","W",if(LEFT(VLOOKUP($B74,'Round 4'!$B$2:$H$361,7,false),1)="B","L","")),if(LEFT(VLOOKUP($B74,'Round 4'!$F$2:$H$361,3,false),1)="b","W",if(LEFT(VLOOKUP($B74,'Round 4'!$F$2:$H$361,3,false),1)="a","L","")))</f>
        <v>L</v>
      </c>
      <c r="H74" s="67"/>
      <c r="I74" s="67"/>
      <c r="J74" s="67" t="str">
        <f>iferror(iferror(if(LEFT(VLOOKUP($B74,'Round 7'!$B$2:$H$361,7,false),1)="A","W",if(LEFT(VLOOKUP($B74,'Round 7'!$B$2:$H$361,7,false),1)="B","L","")),if(LEFT(VLOOKUP($B74,'Round 7'!$F$2:$H$361,3,false),1)="b","W",if(LEFT(VLOOKUP($B74,'Round 7'!$F$2:$H$361,3,false),1)="a","L",""))),"")</f>
        <v/>
      </c>
      <c r="K74" s="68" t="str">
        <f>iferror(iferror(if(LEFT(VLOOKUP($B74,'Round 8'!$B$2:$H$361,7,false),1)="A","W",if(LEFT(VLOOKUP($B74,'Round 8'!$B$2:$H$361,7,false),1)="B","L","")),if(LEFT(VLOOKUP($B74,'Round 8'!$F$2:$H$361,3,false),1)="b","W",if(LEFT(VLOOKUP($B74,'Round 8'!$F$2:$H$361,3,false),1)="a","L",""))),"")</f>
        <v/>
      </c>
      <c r="L74" s="68" t="str">
        <f>iferror(iferror(if(LEFT(VLOOKUP($B74,'Round 9'!$B$2:$H$361,7,false),1)="A","W",if(LEFT(VLOOKUP($B74,'Round 9'!$B$2:$H$361,7,false),1)="B","L","")),if(LEFT(VLOOKUP($B74,'Round 9'!$F$2:$H$361,3,false),1)="b","W",if(LEFT(VLOOKUP($B74,'Round 9'!$F$2:$H$361,3,false),1)="a","L",""))),"")</f>
        <v/>
      </c>
      <c r="M74" s="68" t="str">
        <f>iferror(iferror(if(LEFT(VLOOKUP($B74,'Round 10'!$B$2:$H$362,7,false),1)="A","W",if(LEFT(VLOOKUP($B74,'Round 10'!$B$2:$H$362,7,false),1)="B","L","")),if(LEFT(VLOOKUP($B74,'Round 10'!$F$2:$H$362,3,false),1)="b","W",if(LEFT(VLOOKUP($B74,'Round 10'!$F$2:$H$362,3,false),1)="a","L",""))),"")</f>
        <v/>
      </c>
      <c r="N74" s="62" t="s">
        <v>227</v>
      </c>
    </row>
    <row r="75">
      <c r="A75" s="63">
        <v>74.0</v>
      </c>
      <c r="B75" s="71" t="s">
        <v>228</v>
      </c>
      <c r="C75" s="65" t="str">
        <f t="shared" si="1"/>
        <v>8 - 1</v>
      </c>
      <c r="D75" s="67" t="str">
        <f>iferror(if(LEFT(VLOOKUP($B75,'Round 1'!$B$2:$H$361,7,false),1)="A","W",if(LEFT(VLOOKUP($B75,'Round 1'!$B$2:$H$361,7,false),1)="B","L","")),if(LEFT(VLOOKUP($B75,'Round 1'!$F$2:$H$361,3,false),1)="b","W",if(LEFT(VLOOKUP($B75,'Round 1'!$F$2:$H$361,3,false),1)="a","L","")))</f>
        <v>W</v>
      </c>
      <c r="E75" s="67" t="str">
        <f>iferror(if(LEFT(VLOOKUP($B75,'Round 2'!$C$2:$J$361,8,false),1)="A","W",if(LEFT(VLOOKUP($B75,'Round 2'!$C$2:$J$361,8,false),1)="B","L","")),if(LEFT(VLOOKUP($B75,'Round 2'!$G$2:$J$361,4,false),1)="b","W",if(LEFT(VLOOKUP($B75,'Round 2'!$G$2:$J$361,4,false),1)="a","L","")))</f>
        <v>W</v>
      </c>
      <c r="F75" s="67" t="str">
        <f>iferror(if(LEFT(VLOOKUP($B75,'Round 3'!$B$2:$H$361,7,false),1)="A","W",if(LEFT(VLOOKUP($B75,'Round 3'!$B$2:$H$361,7,false),1)="B","L","")),if(LEFT(VLOOKUP($B75,'Round 3'!$F$2:$H$361,3,false),1)="b","W",if(LEFT(VLOOKUP($B75,'Round 3'!$F$2:$H$361,3,false),1)="a","L","")))</f>
        <v>W</v>
      </c>
      <c r="G75" s="67" t="str">
        <f>iferror(if(LEFT(VLOOKUP($B75,'Round 4'!$B$2:$H$361,7,false),1)="A","W",if(LEFT(VLOOKUP($B75,'Round 4'!$B$2:$H$361,7,false),1)="B","L","")),if(LEFT(VLOOKUP($B75,'Round 4'!$F$2:$H$361,3,false),1)="b","W",if(LEFT(VLOOKUP($B75,'Round 4'!$F$2:$H$361,3,false),1)="a","L","")))</f>
        <v>W</v>
      </c>
      <c r="H75" s="67" t="str">
        <f>iferror(if(LEFT(VLOOKUP($B75,'Round 5'!$B$2:$H$361,7,false),1)="A","W",if(LEFT(VLOOKUP($B75,'Round 5'!$B$2:$H$361,7,false),1)="B","L","")),if(LEFT(VLOOKUP($B75,'Round 5'!$F$2:$H$361,3,false),1)="b","W",if(LEFT(VLOOKUP($B75,'Round 5'!$F$2:$H$361,3,false),1)="a","L","")))</f>
        <v>L</v>
      </c>
      <c r="I75" s="67" t="str">
        <f>iferror(if(LEFT(VLOOKUP($B75,'Round 6'!$B$2:$H$361,7,false),1)="A","W",if(LEFT(VLOOKUP($B75,'Round 6'!$B$2:$H$361,7,false),1)="B","L","")),if(LEFT(VLOOKUP($B75,'Round 6'!$F$2:$H$361,3,false),1)="b","W",if(LEFT(VLOOKUP($B75,'Round 6'!$F$2:$H$361,3,false),1)="a","L","")))</f>
        <v>W</v>
      </c>
      <c r="J75" s="67" t="str">
        <f>iferror(iferror(if(LEFT(VLOOKUP($B75,'Round 7'!$B$2:$H$361,7,false),1)="A","W",if(LEFT(VLOOKUP($B75,'Round 7'!$B$2:$H$361,7,false),1)="B","L","")),if(LEFT(VLOOKUP($B75,'Round 7'!$F$2:$H$361,3,false),1)="b","W",if(LEFT(VLOOKUP($B75,'Round 7'!$F$2:$H$361,3,false),1)="a","L",""))),"")</f>
        <v>W</v>
      </c>
      <c r="K75" s="68" t="str">
        <f>iferror(iferror(if(LEFT(VLOOKUP($B75,'Round 8'!$B$2:$H$361,7,false),1)="A","W",if(LEFT(VLOOKUP($B75,'Round 8'!$B$2:$H$361,7,false),1)="B","L","")),if(LEFT(VLOOKUP($B75,'Round 8'!$F$2:$H$361,3,false),1)="b","W",if(LEFT(VLOOKUP($B75,'Round 8'!$F$2:$H$361,3,false),1)="a","L",""))),"")</f>
        <v>W</v>
      </c>
      <c r="L75" s="68" t="str">
        <f>iferror(iferror(if(LEFT(VLOOKUP($B75,'Round 9'!$B$2:$H$361,7,false),1)="A","W",if(LEFT(VLOOKUP($B75,'Round 9'!$B$2:$H$361,7,false),1)="B","L","")),if(LEFT(VLOOKUP($B75,'Round 9'!$F$2:$H$361,3,false),1)="b","W",if(LEFT(VLOOKUP($B75,'Round 9'!$F$2:$H$361,3,false),1)="a","L",""))),"")</f>
        <v>W</v>
      </c>
      <c r="M75" s="68" t="str">
        <f>iferror(iferror(if(LEFT(VLOOKUP($B75,'Round 10'!$B$2:$H$362,7,false),1)="A","W",if(LEFT(VLOOKUP($B75,'Round 10'!$B$2:$H$362,7,false),1)="B","L","")),if(LEFT(VLOOKUP($B75,'Round 10'!$F$2:$H$362,3,false),1)="b","W",if(LEFT(VLOOKUP($B75,'Round 10'!$F$2:$H$362,3,false),1)="a","L",""))),"")</f>
        <v/>
      </c>
      <c r="N75" s="62" t="s">
        <v>229</v>
      </c>
    </row>
    <row r="76">
      <c r="A76" s="63">
        <v>75.0</v>
      </c>
      <c r="B76" s="64" t="s">
        <v>230</v>
      </c>
      <c r="C76" s="65" t="str">
        <f t="shared" si="1"/>
        <v>3 - 3</v>
      </c>
      <c r="D76" s="67" t="str">
        <f>iferror(if(LEFT(VLOOKUP($B76,'Round 1'!$B$2:$H$361,7,false),1)="A","W",if(LEFT(VLOOKUP($B76,'Round 1'!$B$2:$H$361,7,false),1)="B","L","")),if(LEFT(VLOOKUP($B76,'Round 1'!$F$2:$H$361,3,false),1)="b","W",if(LEFT(VLOOKUP($B76,'Round 1'!$F$2:$H$361,3,false),1)="a","L","")))</f>
        <v>W</v>
      </c>
      <c r="E76" s="67" t="str">
        <f>iferror(if(LEFT(VLOOKUP($B76,'Round 2'!$C$2:$J$361,8,false),1)="A","W",if(LEFT(VLOOKUP($B76,'Round 2'!$C$2:$J$361,8,false),1)="B","L","")),if(LEFT(VLOOKUP($B76,'Round 2'!$G$2:$J$361,4,false),1)="b","W",if(LEFT(VLOOKUP($B76,'Round 2'!$G$2:$J$361,4,false),1)="a","L","")))</f>
        <v>L</v>
      </c>
      <c r="F76" s="67" t="str">
        <f>iferror(if(LEFT(VLOOKUP($B76,'Round 3'!$B$2:$H$361,7,false),1)="A","W",if(LEFT(VLOOKUP($B76,'Round 3'!$B$2:$H$361,7,false),1)="B","L","")),if(LEFT(VLOOKUP($B76,'Round 3'!$F$2:$H$361,3,false),1)="b","W",if(LEFT(VLOOKUP($B76,'Round 3'!$F$2:$H$361,3,false),1)="a","L","")))</f>
        <v>W</v>
      </c>
      <c r="G76" s="67" t="str">
        <f>iferror(if(LEFT(VLOOKUP($B76,'Round 4'!$B$2:$H$361,7,false),1)="A","W",if(LEFT(VLOOKUP($B76,'Round 4'!$B$2:$H$361,7,false),1)="B","L","")),if(LEFT(VLOOKUP($B76,'Round 4'!$F$2:$H$361,3,false),1)="b","W",if(LEFT(VLOOKUP($B76,'Round 4'!$F$2:$H$361,3,false),1)="a","L","")))</f>
        <v>W</v>
      </c>
      <c r="H76" s="67" t="str">
        <f>iferror(if(LEFT(VLOOKUP($B76,'Round 5'!$B$2:$H$361,7,false),1)="A","W",if(LEFT(VLOOKUP($B76,'Round 5'!$B$2:$H$361,7,false),1)="B","L","")),if(LEFT(VLOOKUP($B76,'Round 5'!$F$2:$H$361,3,false),1)="b","W",if(LEFT(VLOOKUP($B76,'Round 5'!$F$2:$H$361,3,false),1)="a","L","")))</f>
        <v>L</v>
      </c>
      <c r="I76" s="67" t="str">
        <f>iferror(if(LEFT(VLOOKUP($B76,'Round 6'!$B$2:$H$361,7,false),1)="A","W",if(LEFT(VLOOKUP($B76,'Round 6'!$B$2:$H$361,7,false),1)="B","L","")),if(LEFT(VLOOKUP($B76,'Round 6'!$F$2:$H$361,3,false),1)="b","W",if(LEFT(VLOOKUP($B76,'Round 6'!$F$2:$H$361,3,false),1)="a","L","")))</f>
        <v>L</v>
      </c>
      <c r="J76" s="67" t="str">
        <f>iferror(iferror(if(LEFT(VLOOKUP($B76,'Round 7'!$B$2:$H$361,7,false),1)="A","W",if(LEFT(VLOOKUP($B76,'Round 7'!$B$2:$H$361,7,false),1)="B","L","")),if(LEFT(VLOOKUP($B76,'Round 7'!$F$2:$H$361,3,false),1)="b","W",if(LEFT(VLOOKUP($B76,'Round 7'!$F$2:$H$361,3,false),1)="a","L",""))),"")</f>
        <v/>
      </c>
      <c r="K76" s="68" t="str">
        <f>iferror(iferror(if(LEFT(VLOOKUP($B76,'Round 8'!$B$2:$H$361,7,false),1)="A","W",if(LEFT(VLOOKUP($B76,'Round 8'!$B$2:$H$361,7,false),1)="B","L","")),if(LEFT(VLOOKUP($B76,'Round 8'!$F$2:$H$361,3,false),1)="b","W",if(LEFT(VLOOKUP($B76,'Round 8'!$F$2:$H$361,3,false),1)="a","L",""))),"")</f>
        <v/>
      </c>
      <c r="L76" s="68" t="str">
        <f>iferror(iferror(if(LEFT(VLOOKUP($B76,'Round 9'!$B$2:$H$361,7,false),1)="A","W",if(LEFT(VLOOKUP($B76,'Round 9'!$B$2:$H$361,7,false),1)="B","L","")),if(LEFT(VLOOKUP($B76,'Round 9'!$F$2:$H$361,3,false),1)="b","W",if(LEFT(VLOOKUP($B76,'Round 9'!$F$2:$H$361,3,false),1)="a","L",""))),"")</f>
        <v/>
      </c>
      <c r="M76" s="68" t="str">
        <f>iferror(iferror(if(LEFT(VLOOKUP($B76,'Round 10'!$B$2:$H$362,7,false),1)="A","W",if(LEFT(VLOOKUP($B76,'Round 10'!$B$2:$H$362,7,false),1)="B","L","")),if(LEFT(VLOOKUP($B76,'Round 10'!$F$2:$H$362,3,false),1)="b","W",if(LEFT(VLOOKUP($B76,'Round 10'!$F$2:$H$362,3,false),1)="a","L",""))),"")</f>
        <v/>
      </c>
      <c r="N76" s="62" t="s">
        <v>231</v>
      </c>
    </row>
    <row r="77">
      <c r="A77" s="63">
        <v>76.0</v>
      </c>
      <c r="B77" s="64" t="s">
        <v>232</v>
      </c>
      <c r="C77" s="65" t="str">
        <f t="shared" si="1"/>
        <v>1 - 3</v>
      </c>
      <c r="D77" s="67" t="str">
        <f>iferror(if(LEFT(VLOOKUP($B77,'Round 1'!$B$2:$H$361,7,false),1)="A","W",if(LEFT(VLOOKUP($B77,'Round 1'!$B$2:$H$361,7,false),1)="B","L","")),if(LEFT(VLOOKUP($B77,'Round 1'!$F$2:$H$361,3,false),1)="b","W",if(LEFT(VLOOKUP($B77,'Round 1'!$F$2:$H$361,3,false),1)="a","L","")))</f>
        <v>L</v>
      </c>
      <c r="E77" s="67" t="str">
        <f>iferror(if(LEFT(VLOOKUP($B77,'Round 2'!$C$2:$J$361,8,false),1)="A","W",if(LEFT(VLOOKUP($B77,'Round 2'!$C$2:$J$361,8,false),1)="B","L","")),if(LEFT(VLOOKUP($B77,'Round 2'!$G$2:$J$361,4,false),1)="b","W",if(LEFT(VLOOKUP($B77,'Round 2'!$G$2:$J$361,4,false),1)="a","L","")))</f>
        <v>L</v>
      </c>
      <c r="F77" s="67" t="str">
        <f>iferror(if(LEFT(VLOOKUP($B77,'Round 3'!$B$2:$H$361,7,false),1)="A","W",if(LEFT(VLOOKUP($B77,'Round 3'!$B$2:$H$361,7,false),1)="B","L","")),if(LEFT(VLOOKUP($B77,'Round 3'!$F$2:$H$361,3,false),1)="b","W",if(LEFT(VLOOKUP($B77,'Round 3'!$F$2:$H$361,3,false),1)="a","L","")))</f>
        <v>W</v>
      </c>
      <c r="G77" s="67" t="str">
        <f>iferror(if(LEFT(VLOOKUP($B77,'Round 4'!$B$2:$H$361,7,false),1)="A","W",if(LEFT(VLOOKUP($B77,'Round 4'!$B$2:$H$361,7,false),1)="B","L","")),if(LEFT(VLOOKUP($B77,'Round 4'!$F$2:$H$361,3,false),1)="b","W",if(LEFT(VLOOKUP($B77,'Round 4'!$F$2:$H$361,3,false),1)="a","L","")))</f>
        <v>L</v>
      </c>
      <c r="H77" s="67"/>
      <c r="I77" s="67"/>
      <c r="J77" s="67" t="str">
        <f>iferror(iferror(if(LEFT(VLOOKUP($B77,'Round 7'!$B$2:$H$361,7,false),1)="A","W",if(LEFT(VLOOKUP($B77,'Round 7'!$B$2:$H$361,7,false),1)="B","L","")),if(LEFT(VLOOKUP($B77,'Round 7'!$F$2:$H$361,3,false),1)="b","W",if(LEFT(VLOOKUP($B77,'Round 7'!$F$2:$H$361,3,false),1)="a","L",""))),"")</f>
        <v/>
      </c>
      <c r="K77" s="68" t="str">
        <f>iferror(iferror(if(LEFT(VLOOKUP($B77,'Round 8'!$B$2:$H$361,7,false),1)="A","W",if(LEFT(VLOOKUP($B77,'Round 8'!$B$2:$H$361,7,false),1)="B","L","")),if(LEFT(VLOOKUP($B77,'Round 8'!$F$2:$H$361,3,false),1)="b","W",if(LEFT(VLOOKUP($B77,'Round 8'!$F$2:$H$361,3,false),1)="a","L",""))),"")</f>
        <v/>
      </c>
      <c r="L77" s="68" t="str">
        <f>iferror(iferror(if(LEFT(VLOOKUP($B77,'Round 9'!$B$2:$H$361,7,false),1)="A","W",if(LEFT(VLOOKUP($B77,'Round 9'!$B$2:$H$361,7,false),1)="B","L","")),if(LEFT(VLOOKUP($B77,'Round 9'!$F$2:$H$361,3,false),1)="b","W",if(LEFT(VLOOKUP($B77,'Round 9'!$F$2:$H$361,3,false),1)="a","L",""))),"")</f>
        <v/>
      </c>
      <c r="M77" s="68" t="str">
        <f>iferror(iferror(if(LEFT(VLOOKUP($B77,'Round 10'!$B$2:$H$362,7,false),1)="A","W",if(LEFT(VLOOKUP($B77,'Round 10'!$B$2:$H$362,7,false),1)="B","L","")),if(LEFT(VLOOKUP($B77,'Round 10'!$F$2:$H$362,3,false),1)="b","W",if(LEFT(VLOOKUP($B77,'Round 10'!$F$2:$H$362,3,false),1)="a","L",""))),"")</f>
        <v/>
      </c>
      <c r="N77" s="62" t="s">
        <v>144</v>
      </c>
    </row>
    <row r="78">
      <c r="A78" s="63">
        <v>77.0</v>
      </c>
      <c r="B78" s="64" t="s">
        <v>233</v>
      </c>
      <c r="C78" s="65" t="str">
        <f t="shared" si="1"/>
        <v>7 - 2</v>
      </c>
      <c r="D78" s="67" t="str">
        <f>iferror(if(LEFT(VLOOKUP($B78,'Round 1'!$B$2:$H$361,7,false),1)="A","W",if(LEFT(VLOOKUP($B78,'Round 1'!$B$2:$H$361,7,false),1)="B","L","")),if(LEFT(VLOOKUP($B78,'Round 1'!$F$2:$H$361,3,false),1)="b","W",if(LEFT(VLOOKUP($B78,'Round 1'!$F$2:$H$361,3,false),1)="a","L","")))</f>
        <v>W</v>
      </c>
      <c r="E78" s="67" t="str">
        <f>iferror(if(LEFT(VLOOKUP($B78,'Round 2'!$C$2:$J$361,8,false),1)="A","W",if(LEFT(VLOOKUP($B78,'Round 2'!$C$2:$J$361,8,false),1)="B","L","")),if(LEFT(VLOOKUP($B78,'Round 2'!$G$2:$J$361,4,false),1)="b","W",if(LEFT(VLOOKUP($B78,'Round 2'!$G$2:$J$361,4,false),1)="a","L","")))</f>
        <v>W</v>
      </c>
      <c r="F78" s="67" t="str">
        <f>iferror(if(LEFT(VLOOKUP($B78,'Round 3'!$B$2:$H$361,7,false),1)="A","W",if(LEFT(VLOOKUP($B78,'Round 3'!$B$2:$H$361,7,false),1)="B","L","")),if(LEFT(VLOOKUP($B78,'Round 3'!$F$2:$H$361,3,false),1)="b","W",if(LEFT(VLOOKUP($B78,'Round 3'!$F$2:$H$361,3,false),1)="a","L","")))</f>
        <v>W</v>
      </c>
      <c r="G78" s="67" t="str">
        <f>iferror(if(LEFT(VLOOKUP($B78,'Round 4'!$B$2:$H$361,7,false),1)="A","W",if(LEFT(VLOOKUP($B78,'Round 4'!$B$2:$H$361,7,false),1)="B","L","")),if(LEFT(VLOOKUP($B78,'Round 4'!$F$2:$H$361,3,false),1)="b","W",if(LEFT(VLOOKUP($B78,'Round 4'!$F$2:$H$361,3,false),1)="a","L","")))</f>
        <v>W</v>
      </c>
      <c r="H78" s="67" t="str">
        <f>iferror(if(LEFT(VLOOKUP($B78,'Round 5'!$B$2:$H$361,7,false),1)="A","W",if(LEFT(VLOOKUP($B78,'Round 5'!$B$2:$H$361,7,false),1)="B","L","")),if(LEFT(VLOOKUP($B78,'Round 5'!$F$2:$H$361,3,false),1)="b","W",if(LEFT(VLOOKUP($B78,'Round 5'!$F$2:$H$361,3,false),1)="a","L","")))</f>
        <v>W</v>
      </c>
      <c r="I78" s="67" t="str">
        <f>iferror(if(LEFT(VLOOKUP($B78,'Round 6'!$B$2:$H$361,7,false),1)="A","W",if(LEFT(VLOOKUP($B78,'Round 6'!$B$2:$H$361,7,false),1)="B","L","")),if(LEFT(VLOOKUP($B78,'Round 6'!$F$2:$H$361,3,false),1)="b","W",if(LEFT(VLOOKUP($B78,'Round 6'!$F$2:$H$361,3,false),1)="a","L","")))</f>
        <v>W</v>
      </c>
      <c r="J78" s="67" t="str">
        <f>iferror(iferror(if(LEFT(VLOOKUP($B78,'Round 7'!$B$2:$H$361,7,false),1)="A","W",if(LEFT(VLOOKUP($B78,'Round 7'!$B$2:$H$361,7,false),1)="B","L","")),if(LEFT(VLOOKUP($B78,'Round 7'!$F$2:$H$361,3,false),1)="b","W",if(LEFT(VLOOKUP($B78,'Round 7'!$F$2:$H$361,3,false),1)="a","L",""))),"")</f>
        <v>W</v>
      </c>
      <c r="K78" s="68" t="str">
        <f>iferror(iferror(if(LEFT(VLOOKUP($B78,'Round 8'!$B$2:$H$361,7,false),1)="A","W",if(LEFT(VLOOKUP($B78,'Round 8'!$B$2:$H$361,7,false),1)="B","L","")),if(LEFT(VLOOKUP($B78,'Round 8'!$F$2:$H$361,3,false),1)="b","W",if(LEFT(VLOOKUP($B78,'Round 8'!$F$2:$H$361,3,false),1)="a","L",""))),"")</f>
        <v>L</v>
      </c>
      <c r="L78" s="68" t="str">
        <f>iferror(iferror(if(LEFT(VLOOKUP($B78,'Round 9'!$B$2:$H$361,7,false),1)="A","W",if(LEFT(VLOOKUP($B78,'Round 9'!$B$2:$H$361,7,false),1)="B","L","")),if(LEFT(VLOOKUP($B78,'Round 9'!$F$2:$H$361,3,false),1)="b","W",if(LEFT(VLOOKUP($B78,'Round 9'!$F$2:$H$361,3,false),1)="a","L",""))),"")</f>
        <v>L</v>
      </c>
      <c r="M78" s="68" t="str">
        <f>iferror(iferror(if(LEFT(VLOOKUP($B78,'Round 10'!$B$2:$H$362,7,false),1)="A","W",if(LEFT(VLOOKUP($B78,'Round 10'!$B$2:$H$362,7,false),1)="B","L","")),if(LEFT(VLOOKUP($B78,'Round 10'!$F$2:$H$362,3,false),1)="b","W",if(LEFT(VLOOKUP($B78,'Round 10'!$F$2:$H$362,3,false),1)="a","L",""))),"")</f>
        <v/>
      </c>
      <c r="N78" s="62" t="s">
        <v>234</v>
      </c>
    </row>
    <row r="79">
      <c r="A79" s="63">
        <v>78.0</v>
      </c>
      <c r="B79" s="64" t="s">
        <v>235</v>
      </c>
      <c r="C79" s="65" t="str">
        <f t="shared" si="1"/>
        <v>7 - 2</v>
      </c>
      <c r="D79" s="67" t="str">
        <f>iferror(if(LEFT(VLOOKUP($B79,'Round 1'!$B$2:$H$361,7,false),1)="A","W",if(LEFT(VLOOKUP($B79,'Round 1'!$B$2:$H$361,7,false),1)="B","L","")),if(LEFT(VLOOKUP($B79,'Round 1'!$F$2:$H$361,3,false),1)="b","W",if(LEFT(VLOOKUP($B79,'Round 1'!$F$2:$H$361,3,false),1)="a","L","")))</f>
        <v>W</v>
      </c>
      <c r="E79" s="67" t="str">
        <f>iferror(if(LEFT(VLOOKUP($B79,'Round 2'!$C$2:$J$361,8,false),1)="A","W",if(LEFT(VLOOKUP($B79,'Round 2'!$C$2:$J$361,8,false),1)="B","L","")),if(LEFT(VLOOKUP($B79,'Round 2'!$G$2:$J$361,4,false),1)="b","W",if(LEFT(VLOOKUP($B79,'Round 2'!$G$2:$J$361,4,false),1)="a","L","")))</f>
        <v>L</v>
      </c>
      <c r="F79" s="67" t="str">
        <f>iferror(if(LEFT(VLOOKUP($B79,'Round 3'!$B$2:$H$361,7,false),1)="A","W",if(LEFT(VLOOKUP($B79,'Round 3'!$B$2:$H$361,7,false),1)="B","L","")),if(LEFT(VLOOKUP($B79,'Round 3'!$F$2:$H$361,3,false),1)="b","W",if(LEFT(VLOOKUP($B79,'Round 3'!$F$2:$H$361,3,false),1)="a","L","")))</f>
        <v>W</v>
      </c>
      <c r="G79" s="67" t="str">
        <f>iferror(if(LEFT(VLOOKUP($B79,'Round 4'!$B$2:$H$361,7,false),1)="A","W",if(LEFT(VLOOKUP($B79,'Round 4'!$B$2:$H$361,7,false),1)="B","L","")),if(LEFT(VLOOKUP($B79,'Round 4'!$F$2:$H$361,3,false),1)="b","W",if(LEFT(VLOOKUP($B79,'Round 4'!$F$2:$H$361,3,false),1)="a","L","")))</f>
        <v>W</v>
      </c>
      <c r="H79" s="67" t="str">
        <f>iferror(if(LEFT(VLOOKUP($B79,'Round 5'!$B$2:$H$361,7,false),1)="A","W",if(LEFT(VLOOKUP($B79,'Round 5'!$B$2:$H$361,7,false),1)="B","L","")),if(LEFT(VLOOKUP($B79,'Round 5'!$F$2:$H$361,3,false),1)="b","W",if(LEFT(VLOOKUP($B79,'Round 5'!$F$2:$H$361,3,false),1)="a","L","")))</f>
        <v>W</v>
      </c>
      <c r="I79" s="67" t="str">
        <f>iferror(if(LEFT(VLOOKUP($B79,'Round 6'!$B$2:$H$361,7,false),1)="A","W",if(LEFT(VLOOKUP($B79,'Round 6'!$B$2:$H$361,7,false),1)="B","L","")),if(LEFT(VLOOKUP($B79,'Round 6'!$F$2:$H$361,3,false),1)="b","W",if(LEFT(VLOOKUP($B79,'Round 6'!$F$2:$H$361,3,false),1)="a","L","")))</f>
        <v>W</v>
      </c>
      <c r="J79" s="67" t="str">
        <f>iferror(iferror(if(LEFT(VLOOKUP($B79,'Round 7'!$B$2:$H$361,7,false),1)="A","W",if(LEFT(VLOOKUP($B79,'Round 7'!$B$2:$H$361,7,false),1)="B","L","")),if(LEFT(VLOOKUP($B79,'Round 7'!$F$2:$H$361,3,false),1)="b","W",if(LEFT(VLOOKUP($B79,'Round 7'!$F$2:$H$361,3,false),1)="a","L",""))),"")</f>
        <v>W</v>
      </c>
      <c r="K79" s="68" t="str">
        <f>iferror(iferror(if(LEFT(VLOOKUP($B79,'Round 8'!$B$2:$H$361,7,false),1)="A","W",if(LEFT(VLOOKUP($B79,'Round 8'!$B$2:$H$361,7,false),1)="B","L","")),if(LEFT(VLOOKUP($B79,'Round 8'!$F$2:$H$361,3,false),1)="b","W",if(LEFT(VLOOKUP($B79,'Round 8'!$F$2:$H$361,3,false),1)="a","L",""))),"")</f>
        <v>W</v>
      </c>
      <c r="L79" s="68" t="str">
        <f>iferror(iferror(if(LEFT(VLOOKUP($B79,'Round 9'!$B$2:$H$361,7,false),1)="A","W",if(LEFT(VLOOKUP($B79,'Round 9'!$B$2:$H$361,7,false),1)="B","L","")),if(LEFT(VLOOKUP($B79,'Round 9'!$F$2:$H$361,3,false),1)="b","W",if(LEFT(VLOOKUP($B79,'Round 9'!$F$2:$H$361,3,false),1)="a","L",""))),"")</f>
        <v>L</v>
      </c>
      <c r="M79" s="68" t="str">
        <f>iferror(iferror(if(LEFT(VLOOKUP($B79,'Round 10'!$B$2:$H$362,7,false),1)="A","W",if(LEFT(VLOOKUP($B79,'Round 10'!$B$2:$H$362,7,false),1)="B","L","")),if(LEFT(VLOOKUP($B79,'Round 10'!$F$2:$H$362,3,false),1)="b","W",if(LEFT(VLOOKUP($B79,'Round 10'!$F$2:$H$362,3,false),1)="a","L",""))),"")</f>
        <v/>
      </c>
      <c r="N79" s="62" t="s">
        <v>236</v>
      </c>
    </row>
    <row r="80">
      <c r="A80" s="63">
        <v>79.0</v>
      </c>
      <c r="B80" s="64" t="s">
        <v>237</v>
      </c>
      <c r="C80" s="65" t="str">
        <f t="shared" si="1"/>
        <v>3 - 3</v>
      </c>
      <c r="D80" s="67" t="str">
        <f>iferror(if(LEFT(VLOOKUP($B80,'Round 1'!$B$2:$H$361,7,false),1)="A","W",if(LEFT(VLOOKUP($B80,'Round 1'!$B$2:$H$361,7,false),1)="B","L","")),if(LEFT(VLOOKUP($B80,'Round 1'!$F$2:$H$361,3,false),1)="b","W",if(LEFT(VLOOKUP($B80,'Round 1'!$F$2:$H$361,3,false),1)="a","L","")))</f>
        <v>W</v>
      </c>
      <c r="E80" s="67" t="str">
        <f>iferror(if(LEFT(VLOOKUP($B80,'Round 2'!$C$2:$J$361,8,false),1)="A","W",if(LEFT(VLOOKUP($B80,'Round 2'!$C$2:$J$361,8,false),1)="B","L","")),if(LEFT(VLOOKUP($B80,'Round 2'!$G$2:$J$361,4,false),1)="b","W",if(LEFT(VLOOKUP($B80,'Round 2'!$G$2:$J$361,4,false),1)="a","L","")))</f>
        <v>L</v>
      </c>
      <c r="F80" s="67" t="str">
        <f>iferror(if(LEFT(VLOOKUP($B80,'Round 3'!$B$2:$H$361,7,false),1)="A","W",if(LEFT(VLOOKUP($B80,'Round 3'!$B$2:$H$361,7,false),1)="B","L","")),if(LEFT(VLOOKUP($B80,'Round 3'!$F$2:$H$361,3,false),1)="b","W",if(LEFT(VLOOKUP($B80,'Round 3'!$F$2:$H$361,3,false),1)="a","L","")))</f>
        <v>L</v>
      </c>
      <c r="G80" s="67" t="str">
        <f>iferror(if(LEFT(VLOOKUP($B80,'Round 4'!$B$2:$H$361,7,false),1)="A","W",if(LEFT(VLOOKUP($B80,'Round 4'!$B$2:$H$361,7,false),1)="B","L","")),if(LEFT(VLOOKUP($B80,'Round 4'!$F$2:$H$361,3,false),1)="b","W",if(LEFT(VLOOKUP($B80,'Round 4'!$F$2:$H$361,3,false),1)="a","L","")))</f>
        <v>W</v>
      </c>
      <c r="H80" s="67" t="str">
        <f>iferror(if(LEFT(VLOOKUP($B80,'Round 5'!$B$2:$H$361,7,false),1)="A","W",if(LEFT(VLOOKUP($B80,'Round 5'!$B$2:$H$361,7,false),1)="B","L","")),if(LEFT(VLOOKUP($B80,'Round 5'!$F$2:$H$361,3,false),1)="b","W",if(LEFT(VLOOKUP($B80,'Round 5'!$F$2:$H$361,3,false),1)="a","L","")))</f>
        <v>W</v>
      </c>
      <c r="I80" s="67" t="str">
        <f>iferror(if(LEFT(VLOOKUP($B80,'Round 6'!$B$2:$H$361,7,false),1)="A","W",if(LEFT(VLOOKUP($B80,'Round 6'!$B$2:$H$361,7,false),1)="B","L","")),if(LEFT(VLOOKUP($B80,'Round 6'!$F$2:$H$361,3,false),1)="b","W",if(LEFT(VLOOKUP($B80,'Round 6'!$F$2:$H$361,3,false),1)="a","L","")))</f>
        <v>L</v>
      </c>
      <c r="J80" s="67" t="str">
        <f>iferror(iferror(if(LEFT(VLOOKUP($B80,'Round 7'!$B$2:$H$361,7,false),1)="A","W",if(LEFT(VLOOKUP($B80,'Round 7'!$B$2:$H$361,7,false),1)="B","L","")),if(LEFT(VLOOKUP($B80,'Round 7'!$F$2:$H$361,3,false),1)="b","W",if(LEFT(VLOOKUP($B80,'Round 7'!$F$2:$H$361,3,false),1)="a","L",""))),"")</f>
        <v/>
      </c>
      <c r="K80" s="68" t="str">
        <f>iferror(iferror(if(LEFT(VLOOKUP($B80,'Round 8'!$B$2:$H$361,7,false),1)="A","W",if(LEFT(VLOOKUP($B80,'Round 8'!$B$2:$H$361,7,false),1)="B","L","")),if(LEFT(VLOOKUP($B80,'Round 8'!$F$2:$H$361,3,false),1)="b","W",if(LEFT(VLOOKUP($B80,'Round 8'!$F$2:$H$361,3,false),1)="a","L",""))),"")</f>
        <v/>
      </c>
      <c r="L80" s="68" t="str">
        <f>iferror(iferror(if(LEFT(VLOOKUP($B80,'Round 9'!$B$2:$H$361,7,false),1)="A","W",if(LEFT(VLOOKUP($B80,'Round 9'!$B$2:$H$361,7,false),1)="B","L","")),if(LEFT(VLOOKUP($B80,'Round 9'!$F$2:$H$361,3,false),1)="b","W",if(LEFT(VLOOKUP($B80,'Round 9'!$F$2:$H$361,3,false),1)="a","L",""))),"")</f>
        <v/>
      </c>
      <c r="M80" s="68" t="str">
        <f>iferror(iferror(if(LEFT(VLOOKUP($B80,'Round 10'!$B$2:$H$362,7,false),1)="A","W",if(LEFT(VLOOKUP($B80,'Round 10'!$B$2:$H$362,7,false),1)="B","L","")),if(LEFT(VLOOKUP($B80,'Round 10'!$F$2:$H$362,3,false),1)="b","W",if(LEFT(VLOOKUP($B80,'Round 10'!$F$2:$H$362,3,false),1)="a","L",""))),"")</f>
        <v/>
      </c>
      <c r="N80" s="62" t="s">
        <v>238</v>
      </c>
    </row>
    <row r="81">
      <c r="A81" s="63">
        <v>80.0</v>
      </c>
      <c r="B81" s="64" t="s">
        <v>239</v>
      </c>
      <c r="C81" s="65" t="str">
        <f t="shared" si="1"/>
        <v>5 - 3</v>
      </c>
      <c r="D81" s="67" t="str">
        <f>iferror(if(LEFT(VLOOKUP($B81,'Round 1'!$B$2:$H$361,7,false),1)="A","W",if(LEFT(VLOOKUP($B81,'Round 1'!$B$2:$H$361,7,false),1)="B","L","")),if(LEFT(VLOOKUP($B81,'Round 1'!$F$2:$H$361,3,false),1)="b","W",if(LEFT(VLOOKUP($B81,'Round 1'!$F$2:$H$361,3,false),1)="a","L","")))</f>
        <v>W</v>
      </c>
      <c r="E81" s="67" t="str">
        <f>iferror(if(LEFT(VLOOKUP($B81,'Round 2'!$C$2:$J$361,8,false),1)="A","W",if(LEFT(VLOOKUP($B81,'Round 2'!$C$2:$J$361,8,false),1)="B","L","")),if(LEFT(VLOOKUP($B81,'Round 2'!$G$2:$J$361,4,false),1)="b","W",if(LEFT(VLOOKUP($B81,'Round 2'!$G$2:$J$361,4,false),1)="a","L","")))</f>
        <v>W</v>
      </c>
      <c r="F81" s="67" t="str">
        <f>iferror(if(LEFT(VLOOKUP($B81,'Round 3'!$B$2:$H$361,7,false),1)="A","W",if(LEFT(VLOOKUP($B81,'Round 3'!$B$2:$H$361,7,false),1)="B","L","")),if(LEFT(VLOOKUP($B81,'Round 3'!$F$2:$H$361,3,false),1)="b","W",if(LEFT(VLOOKUP($B81,'Round 3'!$F$2:$H$361,3,false),1)="a","L","")))</f>
        <v>L</v>
      </c>
      <c r="G81" s="67" t="str">
        <f>iferror(if(LEFT(VLOOKUP($B81,'Round 4'!$B$2:$H$361,7,false),1)="A","W",if(LEFT(VLOOKUP($B81,'Round 4'!$B$2:$H$361,7,false),1)="B","L","")),if(LEFT(VLOOKUP($B81,'Round 4'!$F$2:$H$361,3,false),1)="b","W",if(LEFT(VLOOKUP($B81,'Round 4'!$F$2:$H$361,3,false),1)="a","L","")))</f>
        <v>W</v>
      </c>
      <c r="H81" s="67" t="str">
        <f>iferror(if(LEFT(VLOOKUP($B81,'Round 5'!$B$2:$H$361,7,false),1)="A","W",if(LEFT(VLOOKUP($B81,'Round 5'!$B$2:$H$361,7,false),1)="B","L","")),if(LEFT(VLOOKUP($B81,'Round 5'!$F$2:$H$361,3,false),1)="b","W",if(LEFT(VLOOKUP($B81,'Round 5'!$F$2:$H$361,3,false),1)="a","L","")))</f>
        <v>W</v>
      </c>
      <c r="I81" s="67" t="str">
        <f>iferror(if(LEFT(VLOOKUP($B81,'Round 6'!$B$2:$H$361,7,false),1)="A","W",if(LEFT(VLOOKUP($B81,'Round 6'!$B$2:$H$361,7,false),1)="B","L","")),if(LEFT(VLOOKUP($B81,'Round 6'!$F$2:$H$361,3,false),1)="b","W",if(LEFT(VLOOKUP($B81,'Round 6'!$F$2:$H$361,3,false),1)="a","L","")))</f>
        <v>W</v>
      </c>
      <c r="J81" s="67" t="str">
        <f>iferror(iferror(if(LEFT(VLOOKUP($B81,'Round 7'!$B$2:$H$361,7,false),1)="A","W",if(LEFT(VLOOKUP($B81,'Round 7'!$B$2:$H$361,7,false),1)="B","L","")),if(LEFT(VLOOKUP($B81,'Round 7'!$F$2:$H$361,3,false),1)="b","W",if(LEFT(VLOOKUP($B81,'Round 7'!$F$2:$H$361,3,false),1)="a","L",""))),"")</f>
        <v>L</v>
      </c>
      <c r="K81" s="68" t="str">
        <f>iferror(iferror(if(LEFT(VLOOKUP($B81,'Round 8'!$B$2:$H$361,7,false),1)="A","W",if(LEFT(VLOOKUP($B81,'Round 8'!$B$2:$H$361,7,false),1)="B","L","")),if(LEFT(VLOOKUP($B81,'Round 8'!$F$2:$H$361,3,false),1)="b","W",if(LEFT(VLOOKUP($B81,'Round 8'!$F$2:$H$361,3,false),1)="a","L",""))),"")</f>
        <v>L</v>
      </c>
      <c r="L81" s="68" t="str">
        <f>iferror(iferror(if(LEFT(VLOOKUP($B81,'Round 9'!$B$2:$H$361,7,false),1)="A","W",if(LEFT(VLOOKUP($B81,'Round 9'!$B$2:$H$361,7,false),1)="B","L","")),if(LEFT(VLOOKUP($B81,'Round 9'!$F$2:$H$361,3,false),1)="b","W",if(LEFT(VLOOKUP($B81,'Round 9'!$F$2:$H$361,3,false),1)="a","L",""))),"")</f>
        <v/>
      </c>
      <c r="M81" s="68" t="str">
        <f>iferror(iferror(if(LEFT(VLOOKUP($B81,'Round 10'!$B$2:$H$362,7,false),1)="A","W",if(LEFT(VLOOKUP($B81,'Round 10'!$B$2:$H$362,7,false),1)="B","L","")),if(LEFT(VLOOKUP($B81,'Round 10'!$F$2:$H$362,3,false),1)="b","W",if(LEFT(VLOOKUP($B81,'Round 10'!$F$2:$H$362,3,false),1)="a","L",""))),"")</f>
        <v/>
      </c>
      <c r="N81" s="62" t="s">
        <v>240</v>
      </c>
    </row>
    <row r="82">
      <c r="A82" s="63">
        <v>81.0</v>
      </c>
      <c r="B82" s="64" t="s">
        <v>241</v>
      </c>
      <c r="C82" s="65" t="str">
        <f t="shared" si="1"/>
        <v>4 - 3</v>
      </c>
      <c r="D82" s="67" t="str">
        <f>iferror(if(LEFT(VLOOKUP($B82,'Round 1'!$B$2:$H$361,7,false),1)="A","W",if(LEFT(VLOOKUP($B82,'Round 1'!$B$2:$H$361,7,false),1)="B","L","")),if(LEFT(VLOOKUP($B82,'Round 1'!$F$2:$H$361,3,false),1)="b","W",if(LEFT(VLOOKUP($B82,'Round 1'!$F$2:$H$361,3,false),1)="a","L","")))</f>
        <v>W</v>
      </c>
      <c r="E82" s="67" t="str">
        <f>iferror(if(LEFT(VLOOKUP($B82,'Round 2'!$C$2:$J$361,8,false),1)="A","W",if(LEFT(VLOOKUP($B82,'Round 2'!$C$2:$J$361,8,false),1)="B","L","")),if(LEFT(VLOOKUP($B82,'Round 2'!$G$2:$J$361,4,false),1)="b","W",if(LEFT(VLOOKUP($B82,'Round 2'!$G$2:$J$361,4,false),1)="a","L","")))</f>
        <v>W</v>
      </c>
      <c r="F82" s="67" t="str">
        <f>iferror(if(LEFT(VLOOKUP($B82,'Round 3'!$B$2:$H$361,7,false),1)="A","W",if(LEFT(VLOOKUP($B82,'Round 3'!$B$2:$H$361,7,false),1)="B","L","")),if(LEFT(VLOOKUP($B82,'Round 3'!$F$2:$H$361,3,false),1)="b","W",if(LEFT(VLOOKUP($B82,'Round 3'!$F$2:$H$361,3,false),1)="a","L","")))</f>
        <v>L</v>
      </c>
      <c r="G82" s="67" t="str">
        <f>iferror(if(LEFT(VLOOKUP($B82,'Round 4'!$B$2:$H$361,7,false),1)="A","W",if(LEFT(VLOOKUP($B82,'Round 4'!$B$2:$H$361,7,false),1)="B","L","")),if(LEFT(VLOOKUP($B82,'Round 4'!$F$2:$H$361,3,false),1)="b","W",if(LEFT(VLOOKUP($B82,'Round 4'!$F$2:$H$361,3,false),1)="a","L","")))</f>
        <v>W</v>
      </c>
      <c r="H82" s="67" t="str">
        <f>iferror(if(LEFT(VLOOKUP($B82,'Round 5'!$B$2:$H$361,7,false),1)="A","W",if(LEFT(VLOOKUP($B82,'Round 5'!$B$2:$H$361,7,false),1)="B","L","")),if(LEFT(VLOOKUP($B82,'Round 5'!$F$2:$H$361,3,false),1)="b","W",if(LEFT(VLOOKUP($B82,'Round 5'!$F$2:$H$361,3,false),1)="a","L","")))</f>
        <v>W</v>
      </c>
      <c r="I82" s="67" t="str">
        <f>iferror(if(LEFT(VLOOKUP($B82,'Round 6'!$B$2:$H$361,7,false),1)="A","W",if(LEFT(VLOOKUP($B82,'Round 6'!$B$2:$H$361,7,false),1)="B","L","")),if(LEFT(VLOOKUP($B82,'Round 6'!$F$2:$H$361,3,false),1)="b","W",if(LEFT(VLOOKUP($B82,'Round 6'!$F$2:$H$361,3,false),1)="a","L","")))</f>
        <v>L</v>
      </c>
      <c r="J82" s="67" t="str">
        <f>iferror(iferror(if(LEFT(VLOOKUP($B82,'Round 7'!$B$2:$H$361,7,false),1)="A","W",if(LEFT(VLOOKUP($B82,'Round 7'!$B$2:$H$361,7,false),1)="B","L","")),if(LEFT(VLOOKUP($B82,'Round 7'!$F$2:$H$361,3,false),1)="b","W",if(LEFT(VLOOKUP($B82,'Round 7'!$F$2:$H$361,3,false),1)="a","L",""))),"")</f>
        <v>L</v>
      </c>
      <c r="K82" s="68" t="str">
        <f>iferror(iferror(if(LEFT(VLOOKUP($B82,'Round 8'!$B$2:$H$361,7,false),1)="A","W",if(LEFT(VLOOKUP($B82,'Round 8'!$B$2:$H$361,7,false),1)="B","L","")),if(LEFT(VLOOKUP($B82,'Round 8'!$F$2:$H$361,3,false),1)="b","W",if(LEFT(VLOOKUP($B82,'Round 8'!$F$2:$H$361,3,false),1)="a","L",""))),"")</f>
        <v/>
      </c>
      <c r="L82" s="68" t="str">
        <f>iferror(iferror(if(LEFT(VLOOKUP($B82,'Round 9'!$B$2:$H$361,7,false),1)="A","W",if(LEFT(VLOOKUP($B82,'Round 9'!$B$2:$H$361,7,false),1)="B","L","")),if(LEFT(VLOOKUP($B82,'Round 9'!$F$2:$H$361,3,false),1)="b","W",if(LEFT(VLOOKUP($B82,'Round 9'!$F$2:$H$361,3,false),1)="a","L",""))),"")</f>
        <v/>
      </c>
      <c r="M82" s="68" t="str">
        <f>iferror(iferror(if(LEFT(VLOOKUP($B82,'Round 10'!$B$2:$H$362,7,false),1)="A","W",if(LEFT(VLOOKUP($B82,'Round 10'!$B$2:$H$362,7,false),1)="B","L","")),if(LEFT(VLOOKUP($B82,'Round 10'!$F$2:$H$362,3,false),1)="b","W",if(LEFT(VLOOKUP($B82,'Round 10'!$F$2:$H$362,3,false),1)="a","L",""))),"")</f>
        <v/>
      </c>
      <c r="N82" s="62" t="s">
        <v>242</v>
      </c>
    </row>
    <row r="83">
      <c r="A83" s="63">
        <v>82.0</v>
      </c>
      <c r="B83" s="64" t="s">
        <v>243</v>
      </c>
      <c r="C83" s="65" t="str">
        <f t="shared" si="1"/>
        <v>5 - 3</v>
      </c>
      <c r="D83" s="67" t="str">
        <f>iferror(if(LEFT(VLOOKUP($B83,'Round 1'!$B$2:$H$361,7,false),1)="A","W",if(LEFT(VLOOKUP($B83,'Round 1'!$B$2:$H$361,7,false),1)="B","L","")),if(LEFT(VLOOKUP($B83,'Round 1'!$F$2:$H$361,3,false),1)="b","W",if(LEFT(VLOOKUP($B83,'Round 1'!$F$2:$H$361,3,false),1)="a","L","")))</f>
        <v>W</v>
      </c>
      <c r="E83" s="67" t="str">
        <f>iferror(if(LEFT(VLOOKUP($B83,'Round 2'!$C$2:$J$361,8,false),1)="A","W",if(LEFT(VLOOKUP($B83,'Round 2'!$C$2:$J$361,8,false),1)="B","L","")),if(LEFT(VLOOKUP($B83,'Round 2'!$G$2:$J$361,4,false),1)="b","W",if(LEFT(VLOOKUP($B83,'Round 2'!$G$2:$J$361,4,false),1)="a","L","")))</f>
        <v>W</v>
      </c>
      <c r="F83" s="67" t="str">
        <f>iferror(if(LEFT(VLOOKUP($B83,'Round 3'!$B$2:$H$361,7,false),1)="A","W",if(LEFT(VLOOKUP($B83,'Round 3'!$B$2:$H$361,7,false),1)="B","L","")),if(LEFT(VLOOKUP($B83,'Round 3'!$F$2:$H$361,3,false),1)="b","W",if(LEFT(VLOOKUP($B83,'Round 3'!$F$2:$H$361,3,false),1)="a","L","")))</f>
        <v>W</v>
      </c>
      <c r="G83" s="67" t="str">
        <f>iferror(if(LEFT(VLOOKUP($B83,'Round 4'!$B$2:$H$361,7,false),1)="A","W",if(LEFT(VLOOKUP($B83,'Round 4'!$B$2:$H$361,7,false),1)="B","L","")),if(LEFT(VLOOKUP($B83,'Round 4'!$F$2:$H$361,3,false),1)="b","W",if(LEFT(VLOOKUP($B83,'Round 4'!$F$2:$H$361,3,false),1)="a","L","")))</f>
        <v>W</v>
      </c>
      <c r="H83" s="67" t="str">
        <f>iferror(if(LEFT(VLOOKUP($B83,'Round 5'!$B$2:$H$361,7,false),1)="A","W",if(LEFT(VLOOKUP($B83,'Round 5'!$B$2:$H$361,7,false),1)="B","L","")),if(LEFT(VLOOKUP($B83,'Round 5'!$F$2:$H$361,3,false),1)="b","W",if(LEFT(VLOOKUP($B83,'Round 5'!$F$2:$H$361,3,false),1)="a","L","")))</f>
        <v>W</v>
      </c>
      <c r="I83" s="67" t="str">
        <f>iferror(if(LEFT(VLOOKUP($B83,'Round 6'!$B$2:$H$361,7,false),1)="A","W",if(LEFT(VLOOKUP($B83,'Round 6'!$B$2:$H$361,7,false),1)="B","L","")),if(LEFT(VLOOKUP($B83,'Round 6'!$F$2:$H$361,3,false),1)="b","W",if(LEFT(VLOOKUP($B83,'Round 6'!$F$2:$H$361,3,false),1)="a","L","")))</f>
        <v>L</v>
      </c>
      <c r="J83" s="67" t="str">
        <f>iferror(iferror(if(LEFT(VLOOKUP($B83,'Round 7'!$B$2:$H$361,7,false),1)="A","W",if(LEFT(VLOOKUP($B83,'Round 7'!$B$2:$H$361,7,false),1)="B","L","")),if(LEFT(VLOOKUP($B83,'Round 7'!$F$2:$H$361,3,false),1)="b","W",if(LEFT(VLOOKUP($B83,'Round 7'!$F$2:$H$361,3,false),1)="a","L",""))),"")</f>
        <v>L</v>
      </c>
      <c r="K83" s="68" t="str">
        <f>iferror(iferror(if(LEFT(VLOOKUP($B83,'Round 8'!$B$2:$H$361,7,false),1)="A","W",if(LEFT(VLOOKUP($B83,'Round 8'!$B$2:$H$361,7,false),1)="B","L","")),if(LEFT(VLOOKUP($B83,'Round 8'!$F$2:$H$361,3,false),1)="b","W",if(LEFT(VLOOKUP($B83,'Round 8'!$F$2:$H$361,3,false),1)="a","L",""))),"")</f>
        <v>L</v>
      </c>
      <c r="L83" s="68" t="str">
        <f>iferror(iferror(if(LEFT(VLOOKUP($B83,'Round 9'!$B$2:$H$361,7,false),1)="A","W",if(LEFT(VLOOKUP($B83,'Round 9'!$B$2:$H$361,7,false),1)="B","L","")),if(LEFT(VLOOKUP($B83,'Round 9'!$F$2:$H$361,3,false),1)="b","W",if(LEFT(VLOOKUP($B83,'Round 9'!$F$2:$H$361,3,false),1)="a","L",""))),"")</f>
        <v/>
      </c>
      <c r="M83" s="68" t="str">
        <f>iferror(iferror(if(LEFT(VLOOKUP($B83,'Round 10'!$B$2:$H$362,7,false),1)="A","W",if(LEFT(VLOOKUP($B83,'Round 10'!$B$2:$H$362,7,false),1)="B","L","")),if(LEFT(VLOOKUP($B83,'Round 10'!$F$2:$H$362,3,false),1)="b","W",if(LEFT(VLOOKUP($B83,'Round 10'!$F$2:$H$362,3,false),1)="a","L",""))),"")</f>
        <v/>
      </c>
      <c r="N83" s="62" t="s">
        <v>244</v>
      </c>
    </row>
    <row r="84">
      <c r="A84" s="63">
        <v>83.0</v>
      </c>
      <c r="B84" s="64" t="s">
        <v>245</v>
      </c>
      <c r="C84" s="65" t="str">
        <f t="shared" si="1"/>
        <v>3 - 3</v>
      </c>
      <c r="D84" s="67" t="str">
        <f>iferror(if(LEFT(VLOOKUP($B84,'Round 1'!$B$2:$H$361,7,false),1)="A","W",if(LEFT(VLOOKUP($B84,'Round 1'!$B$2:$H$361,7,false),1)="B","L","")),if(LEFT(VLOOKUP($B84,'Round 1'!$F$2:$H$361,3,false),1)="b","W",if(LEFT(VLOOKUP($B84,'Round 1'!$F$2:$H$361,3,false),1)="a","L","")))</f>
        <v>W</v>
      </c>
      <c r="E84" s="67" t="str">
        <f>iferror(if(LEFT(VLOOKUP($B84,'Round 2'!$C$2:$J$361,8,false),1)="A","W",if(LEFT(VLOOKUP($B84,'Round 2'!$C$2:$J$361,8,false),1)="B","L","")),if(LEFT(VLOOKUP($B84,'Round 2'!$G$2:$J$361,4,false),1)="b","W",if(LEFT(VLOOKUP($B84,'Round 2'!$G$2:$J$361,4,false),1)="a","L","")))</f>
        <v>L</v>
      </c>
      <c r="F84" s="67" t="str">
        <f>iferror(if(LEFT(VLOOKUP($B84,'Round 3'!$B$2:$H$361,7,false),1)="A","W",if(LEFT(VLOOKUP($B84,'Round 3'!$B$2:$H$361,7,false),1)="B","L","")),if(LEFT(VLOOKUP($B84,'Round 3'!$F$2:$H$361,3,false),1)="b","W",if(LEFT(VLOOKUP($B84,'Round 3'!$F$2:$H$361,3,false),1)="a","L","")))</f>
        <v>W</v>
      </c>
      <c r="G84" s="67" t="str">
        <f>iferror(if(LEFT(VLOOKUP($B84,'Round 4'!$B$2:$H$361,7,false),1)="A","W",if(LEFT(VLOOKUP($B84,'Round 4'!$B$2:$H$361,7,false),1)="B","L","")),if(LEFT(VLOOKUP($B84,'Round 4'!$F$2:$H$361,3,false),1)="b","W",if(LEFT(VLOOKUP($B84,'Round 4'!$F$2:$H$361,3,false),1)="a","L","")))</f>
        <v>W</v>
      </c>
      <c r="H84" s="67" t="str">
        <f>iferror(if(LEFT(VLOOKUP($B84,'Round 5'!$B$2:$H$361,7,false),1)="A","W",if(LEFT(VLOOKUP($B84,'Round 5'!$B$2:$H$361,7,false),1)="B","L","")),if(LEFT(VLOOKUP($B84,'Round 5'!$F$2:$H$361,3,false),1)="b","W",if(LEFT(VLOOKUP($B84,'Round 5'!$F$2:$H$361,3,false),1)="a","L","")))</f>
        <v>L</v>
      </c>
      <c r="I84" s="67" t="str">
        <f>iferror(if(LEFT(VLOOKUP($B84,'Round 6'!$B$2:$H$361,7,false),1)="A","W",if(LEFT(VLOOKUP($B84,'Round 6'!$B$2:$H$361,7,false),1)="B","L","")),if(LEFT(VLOOKUP($B84,'Round 6'!$F$2:$H$361,3,false),1)="b","W",if(LEFT(VLOOKUP($B84,'Round 6'!$F$2:$H$361,3,false),1)="a","L","")))</f>
        <v>L</v>
      </c>
      <c r="J84" s="67" t="str">
        <f>iferror(iferror(if(LEFT(VLOOKUP($B84,'Round 7'!$B$2:$H$361,7,false),1)="A","W",if(LEFT(VLOOKUP($B84,'Round 7'!$B$2:$H$361,7,false),1)="B","L","")),if(LEFT(VLOOKUP($B84,'Round 7'!$F$2:$H$361,3,false),1)="b","W",if(LEFT(VLOOKUP($B84,'Round 7'!$F$2:$H$361,3,false),1)="a","L",""))),"")</f>
        <v/>
      </c>
      <c r="K84" s="68" t="str">
        <f>iferror(iferror(if(LEFT(VLOOKUP($B84,'Round 8'!$B$2:$H$361,7,false),1)="A","W",if(LEFT(VLOOKUP($B84,'Round 8'!$B$2:$H$361,7,false),1)="B","L","")),if(LEFT(VLOOKUP($B84,'Round 8'!$F$2:$H$361,3,false),1)="b","W",if(LEFT(VLOOKUP($B84,'Round 8'!$F$2:$H$361,3,false),1)="a","L",""))),"")</f>
        <v/>
      </c>
      <c r="L84" s="68" t="str">
        <f>iferror(iferror(if(LEFT(VLOOKUP($B84,'Round 9'!$B$2:$H$361,7,false),1)="A","W",if(LEFT(VLOOKUP($B84,'Round 9'!$B$2:$H$361,7,false),1)="B","L","")),if(LEFT(VLOOKUP($B84,'Round 9'!$F$2:$H$361,3,false),1)="b","W",if(LEFT(VLOOKUP($B84,'Round 9'!$F$2:$H$361,3,false),1)="a","L",""))),"")</f>
        <v/>
      </c>
      <c r="M84" s="68" t="str">
        <f>iferror(iferror(if(LEFT(VLOOKUP($B84,'Round 10'!$B$2:$H$362,7,false),1)="A","W",if(LEFT(VLOOKUP($B84,'Round 10'!$B$2:$H$362,7,false),1)="B","L","")),if(LEFT(VLOOKUP($B84,'Round 10'!$F$2:$H$362,3,false),1)="b","W",if(LEFT(VLOOKUP($B84,'Round 10'!$F$2:$H$362,3,false),1)="a","L",""))),"")</f>
        <v/>
      </c>
      <c r="N84" s="62" t="s">
        <v>246</v>
      </c>
    </row>
    <row r="85">
      <c r="A85" s="63">
        <v>84.0</v>
      </c>
      <c r="B85" s="64" t="s">
        <v>247</v>
      </c>
      <c r="C85" s="65" t="str">
        <f t="shared" si="1"/>
        <v>5 - 3</v>
      </c>
      <c r="D85" s="67" t="str">
        <f>iferror(if(LEFT(VLOOKUP($B85,'Round 1'!$B$2:$H$361,7,false),1)="A","W",if(LEFT(VLOOKUP($B85,'Round 1'!$B$2:$H$361,7,false),1)="B","L","")),if(LEFT(VLOOKUP($B85,'Round 1'!$F$2:$H$361,3,false),1)="b","W",if(LEFT(VLOOKUP($B85,'Round 1'!$F$2:$H$361,3,false),1)="a","L","")))</f>
        <v>W</v>
      </c>
      <c r="E85" s="67" t="str">
        <f>iferror(if(LEFT(VLOOKUP($B85,'Round 2'!$C$2:$J$361,8,false),1)="A","W",if(LEFT(VLOOKUP($B85,'Round 2'!$C$2:$J$361,8,false),1)="B","L","")),if(LEFT(VLOOKUP($B85,'Round 2'!$G$2:$J$361,4,false),1)="b","W",if(LEFT(VLOOKUP($B85,'Round 2'!$G$2:$J$361,4,false),1)="a","L","")))</f>
        <v>L</v>
      </c>
      <c r="F85" s="67" t="str">
        <f>iferror(if(LEFT(VLOOKUP($B85,'Round 3'!$B$2:$H$361,7,false),1)="A","W",if(LEFT(VLOOKUP($B85,'Round 3'!$B$2:$H$361,7,false),1)="B","L","")),if(LEFT(VLOOKUP($B85,'Round 3'!$F$2:$H$361,3,false),1)="b","W",if(LEFT(VLOOKUP($B85,'Round 3'!$F$2:$H$361,3,false),1)="a","L","")))</f>
        <v>W</v>
      </c>
      <c r="G85" s="67" t="str">
        <f>iferror(if(LEFT(VLOOKUP($B85,'Round 4'!$B$2:$H$361,7,false),1)="A","W",if(LEFT(VLOOKUP($B85,'Round 4'!$B$2:$H$361,7,false),1)="B","L","")),if(LEFT(VLOOKUP($B85,'Round 4'!$F$2:$H$361,3,false),1)="b","W",if(LEFT(VLOOKUP($B85,'Round 4'!$F$2:$H$361,3,false),1)="a","L","")))</f>
        <v>W</v>
      </c>
      <c r="H85" s="67" t="str">
        <f>iferror(if(LEFT(VLOOKUP($B85,'Round 5'!$B$2:$H$361,7,false),1)="A","W",if(LEFT(VLOOKUP($B85,'Round 5'!$B$2:$H$361,7,false),1)="B","L","")),if(LEFT(VLOOKUP($B85,'Round 5'!$F$2:$H$361,3,false),1)="b","W",if(LEFT(VLOOKUP($B85,'Round 5'!$F$2:$H$361,3,false),1)="a","L","")))</f>
        <v>W</v>
      </c>
      <c r="I85" s="67" t="str">
        <f>iferror(if(LEFT(VLOOKUP($B85,'Round 6'!$B$2:$H$361,7,false),1)="A","W",if(LEFT(VLOOKUP($B85,'Round 6'!$B$2:$H$361,7,false),1)="B","L","")),if(LEFT(VLOOKUP($B85,'Round 6'!$F$2:$H$361,3,false),1)="b","W",if(LEFT(VLOOKUP($B85,'Round 6'!$F$2:$H$361,3,false),1)="a","L","")))</f>
        <v>W</v>
      </c>
      <c r="J85" s="67" t="str">
        <f>iferror(iferror(if(LEFT(VLOOKUP($B85,'Round 7'!$B$2:$H$361,7,false),1)="A","W",if(LEFT(VLOOKUP($B85,'Round 7'!$B$2:$H$361,7,false),1)="B","L","")),if(LEFT(VLOOKUP($B85,'Round 7'!$F$2:$H$361,3,false),1)="b","W",if(LEFT(VLOOKUP($B85,'Round 7'!$F$2:$H$361,3,false),1)="a","L",""))),"")</f>
        <v>L</v>
      </c>
      <c r="K85" s="68" t="str">
        <f>iferror(iferror(if(LEFT(VLOOKUP($B85,'Round 8'!$B$2:$H$361,7,false),1)="A","W",if(LEFT(VLOOKUP($B85,'Round 8'!$B$2:$H$361,7,false),1)="B","L","")),if(LEFT(VLOOKUP($B85,'Round 8'!$F$2:$H$361,3,false),1)="b","W",if(LEFT(VLOOKUP($B85,'Round 8'!$F$2:$H$361,3,false),1)="a","L",""))),"")</f>
        <v>L</v>
      </c>
      <c r="L85" s="68" t="str">
        <f>iferror(iferror(if(LEFT(VLOOKUP($B85,'Round 9'!$B$2:$H$361,7,false),1)="A","W",if(LEFT(VLOOKUP($B85,'Round 9'!$B$2:$H$361,7,false),1)="B","L","")),if(LEFT(VLOOKUP($B85,'Round 9'!$F$2:$H$361,3,false),1)="b","W",if(LEFT(VLOOKUP($B85,'Round 9'!$F$2:$H$361,3,false),1)="a","L",""))),"")</f>
        <v/>
      </c>
      <c r="M85" s="68" t="str">
        <f>iferror(iferror(if(LEFT(VLOOKUP($B85,'Round 10'!$B$2:$H$362,7,false),1)="A","W",if(LEFT(VLOOKUP($B85,'Round 10'!$B$2:$H$362,7,false),1)="B","L","")),if(LEFT(VLOOKUP($B85,'Round 10'!$F$2:$H$362,3,false),1)="b","W",if(LEFT(VLOOKUP($B85,'Round 10'!$F$2:$H$362,3,false),1)="a","L",""))),"")</f>
        <v/>
      </c>
      <c r="N85" s="62" t="s">
        <v>248</v>
      </c>
    </row>
    <row r="86">
      <c r="A86" s="63">
        <v>85.0</v>
      </c>
      <c r="B86" s="64" t="s">
        <v>249</v>
      </c>
      <c r="C86" s="65" t="str">
        <f t="shared" si="1"/>
        <v>7 - 2</v>
      </c>
      <c r="D86" s="67" t="str">
        <f>iferror(if(LEFT(VLOOKUP($B86,'Round 1'!$B$2:$H$361,7,false),1)="A","W",if(LEFT(VLOOKUP($B86,'Round 1'!$B$2:$H$361,7,false),1)="B","L","")),if(LEFT(VLOOKUP($B86,'Round 1'!$F$2:$H$361,3,false),1)="b","W",if(LEFT(VLOOKUP($B86,'Round 1'!$F$2:$H$361,3,false),1)="a","L","")))</f>
        <v>W</v>
      </c>
      <c r="E86" s="67" t="str">
        <f>iferror(if(LEFT(VLOOKUP($B86,'Round 2'!$C$2:$J$361,8,false),1)="A","W",if(LEFT(VLOOKUP($B86,'Round 2'!$C$2:$J$361,8,false),1)="B","L","")),if(LEFT(VLOOKUP($B86,'Round 2'!$G$2:$J$361,4,false),1)="b","W",if(LEFT(VLOOKUP($B86,'Round 2'!$G$2:$J$361,4,false),1)="a","L","")))</f>
        <v>W</v>
      </c>
      <c r="F86" s="67" t="str">
        <f>iferror(if(LEFT(VLOOKUP($B86,'Round 3'!$B$2:$H$361,7,false),1)="A","W",if(LEFT(VLOOKUP($B86,'Round 3'!$B$2:$H$361,7,false),1)="B","L","")),if(LEFT(VLOOKUP($B86,'Round 3'!$F$2:$H$361,3,false),1)="b","W",if(LEFT(VLOOKUP($B86,'Round 3'!$F$2:$H$361,3,false),1)="a","L","")))</f>
        <v>W</v>
      </c>
      <c r="G86" s="67" t="str">
        <f>iferror(if(LEFT(VLOOKUP($B86,'Round 4'!$B$2:$H$361,7,false),1)="A","W",if(LEFT(VLOOKUP($B86,'Round 4'!$B$2:$H$361,7,false),1)="B","L","")),if(LEFT(VLOOKUP($B86,'Round 4'!$F$2:$H$361,3,false),1)="b","W",if(LEFT(VLOOKUP($B86,'Round 4'!$F$2:$H$361,3,false),1)="a","L","")))</f>
        <v>L</v>
      </c>
      <c r="H86" s="67" t="str">
        <f>iferror(if(LEFT(VLOOKUP($B86,'Round 5'!$B$2:$H$361,7,false),1)="A","W",if(LEFT(VLOOKUP($B86,'Round 5'!$B$2:$H$361,7,false),1)="B","L","")),if(LEFT(VLOOKUP($B86,'Round 5'!$F$2:$H$361,3,false),1)="b","W",if(LEFT(VLOOKUP($B86,'Round 5'!$F$2:$H$361,3,false),1)="a","L","")))</f>
        <v>W</v>
      </c>
      <c r="I86" s="67" t="str">
        <f>iferror(if(LEFT(VLOOKUP($B86,'Round 6'!$B$2:$H$361,7,false),1)="A","W",if(LEFT(VLOOKUP($B86,'Round 6'!$B$2:$H$361,7,false),1)="B","L","")),if(LEFT(VLOOKUP($B86,'Round 6'!$F$2:$H$361,3,false),1)="b","W",if(LEFT(VLOOKUP($B86,'Round 6'!$F$2:$H$361,3,false),1)="a","L","")))</f>
        <v>L</v>
      </c>
      <c r="J86" s="67" t="str">
        <f>iferror(iferror(if(LEFT(VLOOKUP($B86,'Round 7'!$B$2:$H$361,7,false),1)="A","W",if(LEFT(VLOOKUP($B86,'Round 7'!$B$2:$H$361,7,false),1)="B","L","")),if(LEFT(VLOOKUP($B86,'Round 7'!$F$2:$H$361,3,false),1)="b","W",if(LEFT(VLOOKUP($B86,'Round 7'!$F$2:$H$361,3,false),1)="a","L",""))),"")</f>
        <v>W</v>
      </c>
      <c r="K86" s="68" t="str">
        <f>iferror(iferror(if(LEFT(VLOOKUP($B86,'Round 8'!$B$2:$H$361,7,false),1)="A","W",if(LEFT(VLOOKUP($B86,'Round 8'!$B$2:$H$361,7,false),1)="B","L","")),if(LEFT(VLOOKUP($B86,'Round 8'!$F$2:$H$361,3,false),1)="b","W",if(LEFT(VLOOKUP($B86,'Round 8'!$F$2:$H$361,3,false),1)="a","L",""))),"")</f>
        <v>W</v>
      </c>
      <c r="L86" s="68" t="str">
        <f>iferror(iferror(if(LEFT(VLOOKUP($B86,'Round 9'!$B$2:$H$361,7,false),1)="A","W",if(LEFT(VLOOKUP($B86,'Round 9'!$B$2:$H$361,7,false),1)="B","L","")),if(LEFT(VLOOKUP($B86,'Round 9'!$F$2:$H$361,3,false),1)="b","W",if(LEFT(VLOOKUP($B86,'Round 9'!$F$2:$H$361,3,false),1)="a","L",""))),"")</f>
        <v>W</v>
      </c>
      <c r="M86" s="68" t="str">
        <f>iferror(iferror(if(LEFT(VLOOKUP($B86,'Round 10'!$B$2:$H$362,7,false),1)="A","W",if(LEFT(VLOOKUP($B86,'Round 10'!$B$2:$H$362,7,false),1)="B","L","")),if(LEFT(VLOOKUP($B86,'Round 10'!$F$2:$H$362,3,false),1)="b","W",if(LEFT(VLOOKUP($B86,'Round 10'!$F$2:$H$362,3,false),1)="a","L",""))),"")</f>
        <v/>
      </c>
      <c r="N86" s="62" t="s">
        <v>250</v>
      </c>
    </row>
    <row r="87">
      <c r="A87" s="63">
        <v>86.0</v>
      </c>
      <c r="B87" s="64" t="s">
        <v>251</v>
      </c>
      <c r="C87" s="65" t="str">
        <f t="shared" si="1"/>
        <v>6 - 3</v>
      </c>
      <c r="D87" s="67" t="str">
        <f>iferror(if(LEFT(VLOOKUP($B87,'Round 1'!$B$2:$H$361,7,false),1)="A","W",if(LEFT(VLOOKUP($B87,'Round 1'!$B$2:$H$361,7,false),1)="B","L","")),if(LEFT(VLOOKUP($B87,'Round 1'!$F$2:$H$361,3,false),1)="b","W",if(LEFT(VLOOKUP($B87,'Round 1'!$F$2:$H$361,3,false),1)="a","L","")))</f>
        <v>W</v>
      </c>
      <c r="E87" s="67" t="str">
        <f>iferror(if(LEFT(VLOOKUP($B87,'Round 2'!$C$2:$J$361,8,false),1)="A","W",if(LEFT(VLOOKUP($B87,'Round 2'!$C$2:$J$361,8,false),1)="B","L","")),if(LEFT(VLOOKUP($B87,'Round 2'!$G$2:$J$361,4,false),1)="b","W",if(LEFT(VLOOKUP($B87,'Round 2'!$G$2:$J$361,4,false),1)="a","L","")))</f>
        <v>W</v>
      </c>
      <c r="F87" s="67" t="str">
        <f>iferror(if(LEFT(VLOOKUP($B87,'Round 3'!$B$2:$H$361,7,false),1)="A","W",if(LEFT(VLOOKUP($B87,'Round 3'!$B$2:$H$361,7,false),1)="B","L","")),if(LEFT(VLOOKUP($B87,'Round 3'!$F$2:$H$361,3,false),1)="b","W",if(LEFT(VLOOKUP($B87,'Round 3'!$F$2:$H$361,3,false),1)="a","L","")))</f>
        <v>W</v>
      </c>
      <c r="G87" s="67" t="str">
        <f>iferror(if(LEFT(VLOOKUP($B87,'Round 4'!$B$2:$H$361,7,false),1)="A","W",if(LEFT(VLOOKUP($B87,'Round 4'!$B$2:$H$361,7,false),1)="B","L","")),if(LEFT(VLOOKUP($B87,'Round 4'!$F$2:$H$361,3,false),1)="b","W",if(LEFT(VLOOKUP($B87,'Round 4'!$F$2:$H$361,3,false),1)="a","L","")))</f>
        <v>W</v>
      </c>
      <c r="H87" s="67" t="str">
        <f>iferror(if(LEFT(VLOOKUP($B87,'Round 5'!$B$2:$H$361,7,false),1)="A","W",if(LEFT(VLOOKUP($B87,'Round 5'!$B$2:$H$361,7,false),1)="B","L","")),if(LEFT(VLOOKUP($B87,'Round 5'!$F$2:$H$361,3,false),1)="b","W",if(LEFT(VLOOKUP($B87,'Round 5'!$F$2:$H$361,3,false),1)="a","L","")))</f>
        <v>W</v>
      </c>
      <c r="I87" s="67" t="str">
        <f>iferror(if(LEFT(VLOOKUP($B87,'Round 6'!$B$2:$H$361,7,false),1)="A","W",if(LEFT(VLOOKUP($B87,'Round 6'!$B$2:$H$361,7,false),1)="B","L","")),if(LEFT(VLOOKUP($B87,'Round 6'!$F$2:$H$361,3,false),1)="b","W",if(LEFT(VLOOKUP($B87,'Round 6'!$F$2:$H$361,3,false),1)="a","L","")))</f>
        <v>L</v>
      </c>
      <c r="J87" s="67" t="str">
        <f>iferror(iferror(if(LEFT(VLOOKUP($B87,'Round 7'!$B$2:$H$361,7,false),1)="A","W",if(LEFT(VLOOKUP($B87,'Round 7'!$B$2:$H$361,7,false),1)="B","L","")),if(LEFT(VLOOKUP($B87,'Round 7'!$F$2:$H$361,3,false),1)="b","W",if(LEFT(VLOOKUP($B87,'Round 7'!$F$2:$H$361,3,false),1)="a","L",""))),"")</f>
        <v>L</v>
      </c>
      <c r="K87" s="68" t="str">
        <f>iferror(iferror(if(LEFT(VLOOKUP($B87,'Round 8'!$B$2:$H$361,7,false),1)="A","W",if(LEFT(VLOOKUP($B87,'Round 8'!$B$2:$H$361,7,false),1)="B","L","")),if(LEFT(VLOOKUP($B87,'Round 8'!$F$2:$H$361,3,false),1)="b","W",if(LEFT(VLOOKUP($B87,'Round 8'!$F$2:$H$361,3,false),1)="a","L",""))),"")</f>
        <v>W</v>
      </c>
      <c r="L87" s="68" t="str">
        <f>iferror(iferror(if(LEFT(VLOOKUP($B87,'Round 9'!$B$2:$H$361,7,false),1)="A","W",if(LEFT(VLOOKUP($B87,'Round 9'!$B$2:$H$361,7,false),1)="B","L","")),if(LEFT(VLOOKUP($B87,'Round 9'!$F$2:$H$361,3,false),1)="b","W",if(LEFT(VLOOKUP($B87,'Round 9'!$F$2:$H$361,3,false),1)="a","L",""))),"")</f>
        <v>L</v>
      </c>
      <c r="M87" s="68" t="str">
        <f>iferror(iferror(if(LEFT(VLOOKUP($B87,'Round 10'!$B$2:$H$362,7,false),1)="A","W",if(LEFT(VLOOKUP($B87,'Round 10'!$B$2:$H$362,7,false),1)="B","L","")),if(LEFT(VLOOKUP($B87,'Round 10'!$F$2:$H$362,3,false),1)="b","W",if(LEFT(VLOOKUP($B87,'Round 10'!$F$2:$H$362,3,false),1)="a","L",""))),"")</f>
        <v/>
      </c>
      <c r="N87" s="62" t="s">
        <v>252</v>
      </c>
    </row>
    <row r="88">
      <c r="A88" s="63">
        <v>87.0</v>
      </c>
      <c r="B88" s="64" t="s">
        <v>253</v>
      </c>
      <c r="C88" s="65" t="str">
        <f t="shared" si="1"/>
        <v>5 - 3</v>
      </c>
      <c r="D88" s="67" t="str">
        <f>iferror(if(LEFT(VLOOKUP($B88,'Round 1'!$B$2:$H$361,7,false),1)="A","W",if(LEFT(VLOOKUP($B88,'Round 1'!$B$2:$H$361,7,false),1)="B","L","")),if(LEFT(VLOOKUP($B88,'Round 1'!$F$2:$H$361,3,false),1)="b","W",if(LEFT(VLOOKUP($B88,'Round 1'!$F$2:$H$361,3,false),1)="a","L","")))</f>
        <v>L</v>
      </c>
      <c r="E88" s="67" t="str">
        <f>iferror(if(LEFT(VLOOKUP($B88,'Round 2'!$C$2:$J$361,8,false),1)="A","W",if(LEFT(VLOOKUP($B88,'Round 2'!$C$2:$J$361,8,false),1)="B","L","")),if(LEFT(VLOOKUP($B88,'Round 2'!$G$2:$J$361,4,false),1)="b","W",if(LEFT(VLOOKUP($B88,'Round 2'!$G$2:$J$361,4,false),1)="a","L","")))</f>
        <v>L</v>
      </c>
      <c r="F88" s="67" t="str">
        <f>iferror(if(LEFT(VLOOKUP($B88,'Round 3'!$B$2:$H$361,7,false),1)="A","W",if(LEFT(VLOOKUP($B88,'Round 3'!$B$2:$H$361,7,false),1)="B","L","")),if(LEFT(VLOOKUP($B88,'Round 3'!$F$2:$H$361,3,false),1)="b","W",if(LEFT(VLOOKUP($B88,'Round 3'!$F$2:$H$361,3,false),1)="a","L","")))</f>
        <v>W</v>
      </c>
      <c r="G88" s="67" t="str">
        <f>iferror(if(LEFT(VLOOKUP($B88,'Round 4'!$B$2:$H$361,7,false),1)="A","W",if(LEFT(VLOOKUP($B88,'Round 4'!$B$2:$H$361,7,false),1)="B","L","")),if(LEFT(VLOOKUP($B88,'Round 4'!$F$2:$H$361,3,false),1)="b","W",if(LEFT(VLOOKUP($B88,'Round 4'!$F$2:$H$361,3,false),1)="a","L","")))</f>
        <v>W</v>
      </c>
      <c r="H88" s="67" t="str">
        <f>iferror(if(LEFT(VLOOKUP($B88,'Round 5'!$B$2:$H$361,7,false),1)="A","W",if(LEFT(VLOOKUP($B88,'Round 5'!$B$2:$H$361,7,false),1)="B","L","")),if(LEFT(VLOOKUP($B88,'Round 5'!$F$2:$H$361,3,false),1)="b","W",if(LEFT(VLOOKUP($B88,'Round 5'!$F$2:$H$361,3,false),1)="a","L","")))</f>
        <v>W</v>
      </c>
      <c r="I88" s="67" t="str">
        <f>iferror(if(LEFT(VLOOKUP($B88,'Round 6'!$B$2:$H$361,7,false),1)="A","W",if(LEFT(VLOOKUP($B88,'Round 6'!$B$2:$H$361,7,false),1)="B","L","")),if(LEFT(VLOOKUP($B88,'Round 6'!$F$2:$H$361,3,false),1)="b","W",if(LEFT(VLOOKUP($B88,'Round 6'!$F$2:$H$361,3,false),1)="a","L","")))</f>
        <v>W</v>
      </c>
      <c r="J88" s="67" t="str">
        <f>iferror(iferror(if(LEFT(VLOOKUP($B88,'Round 7'!$B$2:$H$361,7,false),1)="A","W",if(LEFT(VLOOKUP($B88,'Round 7'!$B$2:$H$361,7,false),1)="B","L","")),if(LEFT(VLOOKUP($B88,'Round 7'!$F$2:$H$361,3,false),1)="b","W",if(LEFT(VLOOKUP($B88,'Round 7'!$F$2:$H$361,3,false),1)="a","L",""))),"")</f>
        <v>W</v>
      </c>
      <c r="K88" s="68" t="str">
        <f>iferror(iferror(if(LEFT(VLOOKUP($B88,'Round 8'!$B$2:$H$361,7,false),1)="A","W",if(LEFT(VLOOKUP($B88,'Round 8'!$B$2:$H$361,7,false),1)="B","L","")),if(LEFT(VLOOKUP($B88,'Round 8'!$F$2:$H$361,3,false),1)="b","W",if(LEFT(VLOOKUP($B88,'Round 8'!$F$2:$H$361,3,false),1)="a","L",""))),"")</f>
        <v>L</v>
      </c>
      <c r="L88" s="68" t="str">
        <f>iferror(iferror(if(LEFT(VLOOKUP($B88,'Round 9'!$B$2:$H$361,7,false),1)="A","W",if(LEFT(VLOOKUP($B88,'Round 9'!$B$2:$H$361,7,false),1)="B","L","")),if(LEFT(VLOOKUP($B88,'Round 9'!$F$2:$H$361,3,false),1)="b","W",if(LEFT(VLOOKUP($B88,'Round 9'!$F$2:$H$361,3,false),1)="a","L",""))),"")</f>
        <v/>
      </c>
      <c r="M88" s="68" t="str">
        <f>iferror(iferror(if(LEFT(VLOOKUP($B88,'Round 10'!$B$2:$H$362,7,false),1)="A","W",if(LEFT(VLOOKUP($B88,'Round 10'!$B$2:$H$362,7,false),1)="B","L","")),if(LEFT(VLOOKUP($B88,'Round 10'!$F$2:$H$362,3,false),1)="b","W",if(LEFT(VLOOKUP($B88,'Round 10'!$F$2:$H$362,3,false),1)="a","L",""))),"")</f>
        <v/>
      </c>
      <c r="N88" s="62" t="s">
        <v>254</v>
      </c>
    </row>
    <row r="89">
      <c r="A89" s="63">
        <v>88.0</v>
      </c>
      <c r="B89" s="64" t="s">
        <v>255</v>
      </c>
      <c r="C89" s="65" t="str">
        <f t="shared" si="1"/>
        <v>1 - 3</v>
      </c>
      <c r="D89" s="67" t="str">
        <f>iferror(if(LEFT(VLOOKUP($B89,'Round 1'!$B$2:$H$361,7,false),1)="A","W",if(LEFT(VLOOKUP($B89,'Round 1'!$B$2:$H$361,7,false),1)="B","L","")),if(LEFT(VLOOKUP($B89,'Round 1'!$F$2:$H$361,3,false),1)="b","W",if(LEFT(VLOOKUP($B89,'Round 1'!$F$2:$H$361,3,false),1)="a","L","")))</f>
        <v>W</v>
      </c>
      <c r="E89" s="67" t="str">
        <f>iferror(if(LEFT(VLOOKUP($B89,'Round 2'!$C$2:$J$361,8,false),1)="A","W",if(LEFT(VLOOKUP($B89,'Round 2'!$C$2:$J$361,8,false),1)="B","L","")),if(LEFT(VLOOKUP($B89,'Round 2'!$G$2:$J$361,4,false),1)="b","W",if(LEFT(VLOOKUP($B89,'Round 2'!$G$2:$J$361,4,false),1)="a","L","")))</f>
        <v>L</v>
      </c>
      <c r="F89" s="67" t="str">
        <f>iferror(if(LEFT(VLOOKUP($B89,'Round 3'!$B$2:$H$361,7,false),1)="A","W",if(LEFT(VLOOKUP($B89,'Round 3'!$B$2:$H$361,7,false),1)="B","L","")),if(LEFT(VLOOKUP($B89,'Round 3'!$F$2:$H$361,3,false),1)="b","W",if(LEFT(VLOOKUP($B89,'Round 3'!$F$2:$H$361,3,false),1)="a","L","")))</f>
        <v>L</v>
      </c>
      <c r="G89" s="67" t="str">
        <f>iferror(if(LEFT(VLOOKUP($B89,'Round 4'!$B$2:$H$361,7,false),1)="A","W",if(LEFT(VLOOKUP($B89,'Round 4'!$B$2:$H$361,7,false),1)="B","L","")),if(LEFT(VLOOKUP($B89,'Round 4'!$F$2:$H$361,3,false),1)="b","W",if(LEFT(VLOOKUP($B89,'Round 4'!$F$2:$H$361,3,false),1)="a","L","")))</f>
        <v>L</v>
      </c>
      <c r="H89" s="67"/>
      <c r="I89" s="67"/>
      <c r="J89" s="67" t="str">
        <f>iferror(iferror(if(LEFT(VLOOKUP($B89,'Round 7'!$B$2:$H$361,7,false),1)="A","W",if(LEFT(VLOOKUP($B89,'Round 7'!$B$2:$H$361,7,false),1)="B","L","")),if(LEFT(VLOOKUP($B89,'Round 7'!$F$2:$H$361,3,false),1)="b","W",if(LEFT(VLOOKUP($B89,'Round 7'!$F$2:$H$361,3,false),1)="a","L",""))),"")</f>
        <v/>
      </c>
      <c r="K89" s="68" t="str">
        <f>iferror(iferror(if(LEFT(VLOOKUP($B89,'Round 8'!$B$2:$H$361,7,false),1)="A","W",if(LEFT(VLOOKUP($B89,'Round 8'!$B$2:$H$361,7,false),1)="B","L","")),if(LEFT(VLOOKUP($B89,'Round 8'!$F$2:$H$361,3,false),1)="b","W",if(LEFT(VLOOKUP($B89,'Round 8'!$F$2:$H$361,3,false),1)="a","L",""))),"")</f>
        <v/>
      </c>
      <c r="L89" s="68" t="str">
        <f>iferror(iferror(if(LEFT(VLOOKUP($B89,'Round 9'!$B$2:$H$361,7,false),1)="A","W",if(LEFT(VLOOKUP($B89,'Round 9'!$B$2:$H$361,7,false),1)="B","L","")),if(LEFT(VLOOKUP($B89,'Round 9'!$F$2:$H$361,3,false),1)="b","W",if(LEFT(VLOOKUP($B89,'Round 9'!$F$2:$H$361,3,false),1)="a","L",""))),"")</f>
        <v/>
      </c>
      <c r="M89" s="68" t="str">
        <f>iferror(iferror(if(LEFT(VLOOKUP($B89,'Round 10'!$B$2:$H$362,7,false),1)="A","W",if(LEFT(VLOOKUP($B89,'Round 10'!$B$2:$H$362,7,false),1)="B","L","")),if(LEFT(VLOOKUP($B89,'Round 10'!$F$2:$H$362,3,false),1)="b","W",if(LEFT(VLOOKUP($B89,'Round 10'!$F$2:$H$362,3,false),1)="a","L",""))),"")</f>
        <v/>
      </c>
      <c r="N89" s="62" t="s">
        <v>256</v>
      </c>
    </row>
    <row r="90">
      <c r="A90" s="63">
        <v>89.0</v>
      </c>
      <c r="B90" s="64" t="s">
        <v>257</v>
      </c>
      <c r="C90" s="65" t="str">
        <f t="shared" si="1"/>
        <v>4 - 3</v>
      </c>
      <c r="D90" s="67" t="str">
        <f>iferror(if(LEFT(VLOOKUP($B90,'Round 1'!$B$2:$H$361,7,false),1)="A","W",if(LEFT(VLOOKUP($B90,'Round 1'!$B$2:$H$361,7,false),1)="B","L","")),if(LEFT(VLOOKUP($B90,'Round 1'!$F$2:$H$361,3,false),1)="b","W",if(LEFT(VLOOKUP($B90,'Round 1'!$F$2:$H$361,3,false),1)="a","L","")))</f>
        <v>L</v>
      </c>
      <c r="E90" s="67" t="str">
        <f>iferror(if(LEFT(VLOOKUP($B90,'Round 2'!$C$2:$J$361,8,false),1)="A","W",if(LEFT(VLOOKUP($B90,'Round 2'!$C$2:$J$361,8,false),1)="B","L","")),if(LEFT(VLOOKUP($B90,'Round 2'!$G$2:$J$361,4,false),1)="b","W",if(LEFT(VLOOKUP($B90,'Round 2'!$G$2:$J$361,4,false),1)="a","L","")))</f>
        <v>L</v>
      </c>
      <c r="F90" s="67" t="str">
        <f>iferror(if(LEFT(VLOOKUP($B90,'Round 3'!$B$2:$H$361,7,false),1)="A","W",if(LEFT(VLOOKUP($B90,'Round 3'!$B$2:$H$361,7,false),1)="B","L","")),if(LEFT(VLOOKUP($B90,'Round 3'!$F$2:$H$361,3,false),1)="b","W",if(LEFT(VLOOKUP($B90,'Round 3'!$F$2:$H$361,3,false),1)="a","L","")))</f>
        <v>W</v>
      </c>
      <c r="G90" s="67" t="str">
        <f>iferror(if(LEFT(VLOOKUP($B90,'Round 4'!$B$2:$H$361,7,false),1)="A","W",if(LEFT(VLOOKUP($B90,'Round 4'!$B$2:$H$361,7,false),1)="B","L","")),if(LEFT(VLOOKUP($B90,'Round 4'!$F$2:$H$361,3,false),1)="b","W",if(LEFT(VLOOKUP($B90,'Round 4'!$F$2:$H$361,3,false),1)="a","L","")))</f>
        <v>W</v>
      </c>
      <c r="H90" s="67" t="str">
        <f>iferror(if(LEFT(VLOOKUP($B90,'Round 5'!$B$2:$H$361,7,false),1)="A","W",if(LEFT(VLOOKUP($B90,'Round 5'!$B$2:$H$361,7,false),1)="B","L","")),if(LEFT(VLOOKUP($B90,'Round 5'!$F$2:$H$361,3,false),1)="b","W",if(LEFT(VLOOKUP($B90,'Round 5'!$F$2:$H$361,3,false),1)="a","L","")))</f>
        <v>W</v>
      </c>
      <c r="I90" s="67" t="str">
        <f>iferror(if(LEFT(VLOOKUP($B90,'Round 6'!$B$2:$H$361,7,false),1)="A","W",if(LEFT(VLOOKUP($B90,'Round 6'!$B$2:$H$361,7,false),1)="B","L","")),if(LEFT(VLOOKUP($B90,'Round 6'!$F$2:$H$361,3,false),1)="b","W",if(LEFT(VLOOKUP($B90,'Round 6'!$F$2:$H$361,3,false),1)="a","L","")))</f>
        <v>W</v>
      </c>
      <c r="J90" s="67" t="str">
        <f>iferror(iferror(if(LEFT(VLOOKUP($B90,'Round 7'!$B$2:$H$361,7,false),1)="A","W",if(LEFT(VLOOKUP($B90,'Round 7'!$B$2:$H$361,7,false),1)="B","L","")),if(LEFT(VLOOKUP($B90,'Round 7'!$F$2:$H$361,3,false),1)="b","W",if(LEFT(VLOOKUP($B90,'Round 7'!$F$2:$H$361,3,false),1)="a","L",""))),"")</f>
        <v>L</v>
      </c>
      <c r="K90" s="68" t="str">
        <f>iferror(iferror(if(LEFT(VLOOKUP($B90,'Round 8'!$B$2:$H$361,7,false),1)="A","W",if(LEFT(VLOOKUP($B90,'Round 8'!$B$2:$H$361,7,false),1)="B","L","")),if(LEFT(VLOOKUP($B90,'Round 8'!$F$2:$H$361,3,false),1)="b","W",if(LEFT(VLOOKUP($B90,'Round 8'!$F$2:$H$361,3,false),1)="a","L",""))),"")</f>
        <v/>
      </c>
      <c r="L90" s="68" t="str">
        <f>iferror(iferror(if(LEFT(VLOOKUP($B90,'Round 9'!$B$2:$H$361,7,false),1)="A","W",if(LEFT(VLOOKUP($B90,'Round 9'!$B$2:$H$361,7,false),1)="B","L","")),if(LEFT(VLOOKUP($B90,'Round 9'!$F$2:$H$361,3,false),1)="b","W",if(LEFT(VLOOKUP($B90,'Round 9'!$F$2:$H$361,3,false),1)="a","L",""))),"")</f>
        <v/>
      </c>
      <c r="M90" s="68" t="str">
        <f>iferror(iferror(if(LEFT(VLOOKUP($B90,'Round 10'!$B$2:$H$362,7,false),1)="A","W",if(LEFT(VLOOKUP($B90,'Round 10'!$B$2:$H$362,7,false),1)="B","L","")),if(LEFT(VLOOKUP($B90,'Round 10'!$F$2:$H$362,3,false),1)="b","W",if(LEFT(VLOOKUP($B90,'Round 10'!$F$2:$H$362,3,false),1)="a","L",""))),"")</f>
        <v/>
      </c>
      <c r="N90" s="62" t="s">
        <v>258</v>
      </c>
    </row>
    <row r="91">
      <c r="A91" s="63">
        <v>90.0</v>
      </c>
      <c r="B91" s="64" t="s">
        <v>259</v>
      </c>
      <c r="C91" s="65" t="str">
        <f t="shared" si="1"/>
        <v>6 - 3</v>
      </c>
      <c r="D91" s="67" t="str">
        <f>iferror(if(LEFT(VLOOKUP($B91,'Round 1'!$B$2:$H$361,7,false),1)="A","W",if(LEFT(VLOOKUP($B91,'Round 1'!$B$2:$H$361,7,false),1)="B","L","")),if(LEFT(VLOOKUP($B91,'Round 1'!$F$2:$H$361,3,false),1)="b","W",if(LEFT(VLOOKUP($B91,'Round 1'!$F$2:$H$361,3,false),1)="a","L","")))</f>
        <v>W</v>
      </c>
      <c r="E91" s="67" t="str">
        <f>iferror(if(LEFT(VLOOKUP($B91,'Round 2'!$C$2:$J$361,8,false),1)="A","W",if(LEFT(VLOOKUP($B91,'Round 2'!$C$2:$J$361,8,false),1)="B","L","")),if(LEFT(VLOOKUP($B91,'Round 2'!$G$2:$J$361,4,false),1)="b","W",if(LEFT(VLOOKUP($B91,'Round 2'!$G$2:$J$361,4,false),1)="a","L","")))</f>
        <v>W</v>
      </c>
      <c r="F91" s="67" t="str">
        <f>iferror(if(LEFT(VLOOKUP($B91,'Round 3'!$B$2:$H$361,7,false),1)="A","W",if(LEFT(VLOOKUP($B91,'Round 3'!$B$2:$H$361,7,false),1)="B","L","")),if(LEFT(VLOOKUP($B91,'Round 3'!$F$2:$H$361,3,false),1)="b","W",if(LEFT(VLOOKUP($B91,'Round 3'!$F$2:$H$361,3,false),1)="a","L","")))</f>
        <v>L</v>
      </c>
      <c r="G91" s="67" t="str">
        <f>iferror(if(LEFT(VLOOKUP($B91,'Round 4'!$B$2:$H$361,7,false),1)="A","W",if(LEFT(VLOOKUP($B91,'Round 4'!$B$2:$H$361,7,false),1)="B","L","")),if(LEFT(VLOOKUP($B91,'Round 4'!$F$2:$H$361,3,false),1)="b","W",if(LEFT(VLOOKUP($B91,'Round 4'!$F$2:$H$361,3,false),1)="a","L","")))</f>
        <v>W</v>
      </c>
      <c r="H91" s="67" t="str">
        <f>iferror(if(LEFT(VLOOKUP($B91,'Round 5'!$B$2:$H$361,7,false),1)="A","W",if(LEFT(VLOOKUP($B91,'Round 5'!$B$2:$H$361,7,false),1)="B","L","")),if(LEFT(VLOOKUP($B91,'Round 5'!$F$2:$H$361,3,false),1)="b","W",if(LEFT(VLOOKUP($B91,'Round 5'!$F$2:$H$361,3,false),1)="a","L","")))</f>
        <v>W</v>
      </c>
      <c r="I91" s="67" t="str">
        <f>iferror(if(LEFT(VLOOKUP($B91,'Round 6'!$B$2:$H$361,7,false),1)="A","W",if(LEFT(VLOOKUP($B91,'Round 6'!$B$2:$H$361,7,false),1)="B","L","")),if(LEFT(VLOOKUP($B91,'Round 6'!$F$2:$H$361,3,false),1)="b","W",if(LEFT(VLOOKUP($B91,'Round 6'!$F$2:$H$361,3,false),1)="a","L","")))</f>
        <v>L</v>
      </c>
      <c r="J91" s="67" t="str">
        <f>iferror(iferror(if(LEFT(VLOOKUP($B91,'Round 7'!$B$2:$H$361,7,false),1)="A","W",if(LEFT(VLOOKUP($B91,'Round 7'!$B$2:$H$361,7,false),1)="B","L","")),if(LEFT(VLOOKUP($B91,'Round 7'!$F$2:$H$361,3,false),1)="b","W",if(LEFT(VLOOKUP($B91,'Round 7'!$F$2:$H$361,3,false),1)="a","L",""))),"")</f>
        <v>W</v>
      </c>
      <c r="K91" s="68" t="str">
        <f>iferror(iferror(if(LEFT(VLOOKUP($B91,'Round 8'!$B$2:$H$361,7,false),1)="A","W",if(LEFT(VLOOKUP($B91,'Round 8'!$B$2:$H$361,7,false),1)="B","L","")),if(LEFT(VLOOKUP($B91,'Round 8'!$F$2:$H$361,3,false),1)="b","W",if(LEFT(VLOOKUP($B91,'Round 8'!$F$2:$H$361,3,false),1)="a","L",""))),"")</f>
        <v>W</v>
      </c>
      <c r="L91" s="68" t="str">
        <f>iferror(iferror(if(LEFT(VLOOKUP($B91,'Round 9'!$B$2:$H$361,7,false),1)="A","W",if(LEFT(VLOOKUP($B91,'Round 9'!$B$2:$H$361,7,false),1)="B","L","")),if(LEFT(VLOOKUP($B91,'Round 9'!$F$2:$H$361,3,false),1)="b","W",if(LEFT(VLOOKUP($B91,'Round 9'!$F$2:$H$361,3,false),1)="a","L",""))),"")</f>
        <v>L</v>
      </c>
      <c r="M91" s="68" t="str">
        <f>iferror(iferror(if(LEFT(VLOOKUP($B91,'Round 10'!$B$2:$H$362,7,false),1)="A","W",if(LEFT(VLOOKUP($B91,'Round 10'!$B$2:$H$362,7,false),1)="B","L","")),if(LEFT(VLOOKUP($B91,'Round 10'!$F$2:$H$362,3,false),1)="b","W",if(LEFT(VLOOKUP($B91,'Round 10'!$F$2:$H$362,3,false),1)="a","L",""))),"")</f>
        <v/>
      </c>
      <c r="N91" s="62" t="s">
        <v>260</v>
      </c>
    </row>
    <row r="92">
      <c r="A92" s="63">
        <v>91.0</v>
      </c>
      <c r="B92" s="64" t="s">
        <v>261</v>
      </c>
      <c r="C92" s="65" t="str">
        <f t="shared" si="1"/>
        <v>4 - 3</v>
      </c>
      <c r="D92" s="67" t="str">
        <f>iferror(if(LEFT(VLOOKUP($B92,'Round 1'!$B$2:$H$361,7,false),1)="A","W",if(LEFT(VLOOKUP($B92,'Round 1'!$B$2:$H$361,7,false),1)="B","L","")),if(LEFT(VLOOKUP($B92,'Round 1'!$F$2:$H$361,3,false),1)="b","W",if(LEFT(VLOOKUP($B92,'Round 1'!$F$2:$H$361,3,false),1)="a","L","")))</f>
        <v>L</v>
      </c>
      <c r="E92" s="67" t="str">
        <f>iferror(if(LEFT(VLOOKUP($B92,'Round 2'!$C$2:$J$361,8,false),1)="A","W",if(LEFT(VLOOKUP($B92,'Round 2'!$C$2:$J$361,8,false),1)="B","L","")),if(LEFT(VLOOKUP($B92,'Round 2'!$G$2:$J$361,4,false),1)="b","W",if(LEFT(VLOOKUP($B92,'Round 2'!$G$2:$J$361,4,false),1)="a","L","")))</f>
        <v>W</v>
      </c>
      <c r="F92" s="67" t="str">
        <f>iferror(if(LEFT(VLOOKUP($B92,'Round 3'!$B$2:$H$361,7,false),1)="A","W",if(LEFT(VLOOKUP($B92,'Round 3'!$B$2:$H$361,7,false),1)="B","L","")),if(LEFT(VLOOKUP($B92,'Round 3'!$F$2:$H$361,3,false),1)="b","W",if(LEFT(VLOOKUP($B92,'Round 3'!$F$2:$H$361,3,false),1)="a","L","")))</f>
        <v>W</v>
      </c>
      <c r="G92" s="67" t="str">
        <f>iferror(if(LEFT(VLOOKUP($B92,'Round 4'!$B$2:$H$361,7,false),1)="A","W",if(LEFT(VLOOKUP($B92,'Round 4'!$B$2:$H$361,7,false),1)="B","L","")),if(LEFT(VLOOKUP($B92,'Round 4'!$F$2:$H$361,3,false),1)="b","W",if(LEFT(VLOOKUP($B92,'Round 4'!$F$2:$H$361,3,false),1)="a","L","")))</f>
        <v>W</v>
      </c>
      <c r="H92" s="67" t="str">
        <f>iferror(if(LEFT(VLOOKUP($B92,'Round 5'!$B$2:$H$361,7,false),1)="A","W",if(LEFT(VLOOKUP($B92,'Round 5'!$B$2:$H$361,7,false),1)="B","L","")),if(LEFT(VLOOKUP($B92,'Round 5'!$F$2:$H$361,3,false),1)="b","W",if(LEFT(VLOOKUP($B92,'Round 5'!$F$2:$H$361,3,false),1)="a","L","")))</f>
        <v>L</v>
      </c>
      <c r="I92" s="67" t="str">
        <f>iferror(if(LEFT(VLOOKUP($B92,'Round 6'!$B$2:$H$361,7,false),1)="A","W",if(LEFT(VLOOKUP($B92,'Round 6'!$B$2:$H$361,7,false),1)="B","L","")),if(LEFT(VLOOKUP($B92,'Round 6'!$F$2:$H$361,3,false),1)="b","W",if(LEFT(VLOOKUP($B92,'Round 6'!$F$2:$H$361,3,false),1)="a","L","")))</f>
        <v>W</v>
      </c>
      <c r="J92" s="67" t="str">
        <f>iferror(iferror(if(LEFT(VLOOKUP($B92,'Round 7'!$B$2:$H$361,7,false),1)="A","W",if(LEFT(VLOOKUP($B92,'Round 7'!$B$2:$H$361,7,false),1)="B","L","")),if(LEFT(VLOOKUP($B92,'Round 7'!$F$2:$H$361,3,false),1)="b","W",if(LEFT(VLOOKUP($B92,'Round 7'!$F$2:$H$361,3,false),1)="a","L",""))),"")</f>
        <v>L</v>
      </c>
      <c r="K92" s="68" t="str">
        <f>iferror(iferror(if(LEFT(VLOOKUP($B92,'Round 8'!$B$2:$H$361,7,false),1)="A","W",if(LEFT(VLOOKUP($B92,'Round 8'!$B$2:$H$361,7,false),1)="B","L","")),if(LEFT(VLOOKUP($B92,'Round 8'!$F$2:$H$361,3,false),1)="b","W",if(LEFT(VLOOKUP($B92,'Round 8'!$F$2:$H$361,3,false),1)="a","L",""))),"")</f>
        <v/>
      </c>
      <c r="L92" s="68" t="str">
        <f>iferror(iferror(if(LEFT(VLOOKUP($B92,'Round 9'!$B$2:$H$361,7,false),1)="A","W",if(LEFT(VLOOKUP($B92,'Round 9'!$B$2:$H$361,7,false),1)="B","L","")),if(LEFT(VLOOKUP($B92,'Round 9'!$F$2:$H$361,3,false),1)="b","W",if(LEFT(VLOOKUP($B92,'Round 9'!$F$2:$H$361,3,false),1)="a","L",""))),"")</f>
        <v/>
      </c>
      <c r="M92" s="68" t="str">
        <f>iferror(iferror(if(LEFT(VLOOKUP($B92,'Round 10'!$B$2:$H$362,7,false),1)="A","W",if(LEFT(VLOOKUP($B92,'Round 10'!$B$2:$H$362,7,false),1)="B","L","")),if(LEFT(VLOOKUP($B92,'Round 10'!$F$2:$H$362,3,false),1)="b","W",if(LEFT(VLOOKUP($B92,'Round 10'!$F$2:$H$362,3,false),1)="a","L",""))),"")</f>
        <v/>
      </c>
      <c r="N92" s="62" t="s">
        <v>262</v>
      </c>
    </row>
    <row r="93">
      <c r="A93" s="63">
        <v>92.0</v>
      </c>
      <c r="B93" s="64" t="s">
        <v>263</v>
      </c>
      <c r="C93" s="65" t="str">
        <f t="shared" si="1"/>
        <v>2 - 3</v>
      </c>
      <c r="D93" s="67" t="str">
        <f>iferror(if(LEFT(VLOOKUP($B93,'Round 1'!$B$2:$H$361,7,false),1)="A","W",if(LEFT(VLOOKUP($B93,'Round 1'!$B$2:$H$361,7,false),1)="B","L","")),if(LEFT(VLOOKUP($B93,'Round 1'!$F$2:$H$361,3,false),1)="b","W",if(LEFT(VLOOKUP($B93,'Round 1'!$F$2:$H$361,3,false),1)="a","L","")))</f>
        <v>L</v>
      </c>
      <c r="E93" s="67" t="str">
        <f>iferror(if(LEFT(VLOOKUP($B93,'Round 2'!$C$2:$J$361,8,false),1)="A","W",if(LEFT(VLOOKUP($B93,'Round 2'!$C$2:$J$361,8,false),1)="B","L","")),if(LEFT(VLOOKUP($B93,'Round 2'!$G$2:$J$361,4,false),1)="b","W",if(LEFT(VLOOKUP($B93,'Round 2'!$G$2:$J$361,4,false),1)="a","L","")))</f>
        <v>W</v>
      </c>
      <c r="F93" s="67" t="str">
        <f>iferror(if(LEFT(VLOOKUP($B93,'Round 3'!$B$2:$H$361,7,false),1)="A","W",if(LEFT(VLOOKUP($B93,'Round 3'!$B$2:$H$361,7,false),1)="B","L","")),if(LEFT(VLOOKUP($B93,'Round 3'!$F$2:$H$361,3,false),1)="b","W",if(LEFT(VLOOKUP($B93,'Round 3'!$F$2:$H$361,3,false),1)="a","L","")))</f>
        <v>L</v>
      </c>
      <c r="G93" s="67" t="str">
        <f>iferror(if(LEFT(VLOOKUP($B93,'Round 4'!$B$2:$H$361,7,false),1)="A","W",if(LEFT(VLOOKUP($B93,'Round 4'!$B$2:$H$361,7,false),1)="B","L","")),if(LEFT(VLOOKUP($B93,'Round 4'!$F$2:$H$361,3,false),1)="b","W",if(LEFT(VLOOKUP($B93,'Round 4'!$F$2:$H$361,3,false),1)="a","L","")))</f>
        <v>W</v>
      </c>
      <c r="H93" s="67" t="str">
        <f>iferror(if(LEFT(VLOOKUP($B93,'Round 5'!$B$2:$H$361,7,false),1)="A","W",if(LEFT(VLOOKUP($B93,'Round 5'!$B$2:$H$361,7,false),1)="B","L","")),if(LEFT(VLOOKUP($B93,'Round 5'!$F$2:$H$361,3,false),1)="b","W",if(LEFT(VLOOKUP($B93,'Round 5'!$F$2:$H$361,3,false),1)="a","L","")))</f>
        <v>L</v>
      </c>
      <c r="I93" s="67"/>
      <c r="J93" s="67" t="str">
        <f>iferror(iferror(if(LEFT(VLOOKUP($B93,'Round 7'!$B$2:$H$361,7,false),1)="A","W",if(LEFT(VLOOKUP($B93,'Round 7'!$B$2:$H$361,7,false),1)="B","L","")),if(LEFT(VLOOKUP($B93,'Round 7'!$F$2:$H$361,3,false),1)="b","W",if(LEFT(VLOOKUP($B93,'Round 7'!$F$2:$H$361,3,false),1)="a","L",""))),"")</f>
        <v/>
      </c>
      <c r="K93" s="68" t="str">
        <f>iferror(iferror(if(LEFT(VLOOKUP($B93,'Round 8'!$B$2:$H$361,7,false),1)="A","W",if(LEFT(VLOOKUP($B93,'Round 8'!$B$2:$H$361,7,false),1)="B","L","")),if(LEFT(VLOOKUP($B93,'Round 8'!$F$2:$H$361,3,false),1)="b","W",if(LEFT(VLOOKUP($B93,'Round 8'!$F$2:$H$361,3,false),1)="a","L",""))),"")</f>
        <v/>
      </c>
      <c r="L93" s="68" t="str">
        <f>iferror(iferror(if(LEFT(VLOOKUP($B93,'Round 9'!$B$2:$H$361,7,false),1)="A","W",if(LEFT(VLOOKUP($B93,'Round 9'!$B$2:$H$361,7,false),1)="B","L","")),if(LEFT(VLOOKUP($B93,'Round 9'!$F$2:$H$361,3,false),1)="b","W",if(LEFT(VLOOKUP($B93,'Round 9'!$F$2:$H$361,3,false),1)="a","L",""))),"")</f>
        <v/>
      </c>
      <c r="M93" s="68" t="str">
        <f>iferror(iferror(if(LEFT(VLOOKUP($B93,'Round 10'!$B$2:$H$362,7,false),1)="A","W",if(LEFT(VLOOKUP($B93,'Round 10'!$B$2:$H$362,7,false),1)="B","L","")),if(LEFT(VLOOKUP($B93,'Round 10'!$F$2:$H$362,3,false),1)="b","W",if(LEFT(VLOOKUP($B93,'Round 10'!$F$2:$H$362,3,false),1)="a","L",""))),"")</f>
        <v/>
      </c>
      <c r="N93" s="62" t="s">
        <v>264</v>
      </c>
    </row>
    <row r="94">
      <c r="A94" s="63">
        <v>93.0</v>
      </c>
      <c r="B94" s="64" t="s">
        <v>265</v>
      </c>
      <c r="C94" s="65" t="str">
        <f t="shared" si="1"/>
        <v>3 - 3</v>
      </c>
      <c r="D94" s="67" t="str">
        <f>iferror(if(LEFT(VLOOKUP($B94,'Round 1'!$B$2:$H$361,7,false),1)="A","W",if(LEFT(VLOOKUP($B94,'Round 1'!$B$2:$H$361,7,false),1)="B","L","")),if(LEFT(VLOOKUP($B94,'Round 1'!$F$2:$H$361,3,false),1)="b","W",if(LEFT(VLOOKUP($B94,'Round 1'!$F$2:$H$361,3,false),1)="a","L","")))</f>
        <v>L</v>
      </c>
      <c r="E94" s="67" t="str">
        <f>iferror(if(LEFT(VLOOKUP($B94,'Round 2'!$C$2:$J$361,8,false),1)="A","W",if(LEFT(VLOOKUP($B94,'Round 2'!$C$2:$J$361,8,false),1)="B","L","")),if(LEFT(VLOOKUP($B94,'Round 2'!$G$2:$J$361,4,false),1)="b","W",if(LEFT(VLOOKUP($B94,'Round 2'!$G$2:$J$361,4,false),1)="a","L","")))</f>
        <v>W</v>
      </c>
      <c r="F94" s="67" t="str">
        <f>iferror(if(LEFT(VLOOKUP($B94,'Round 3'!$B$2:$H$361,7,false),1)="A","W",if(LEFT(VLOOKUP($B94,'Round 3'!$B$2:$H$361,7,false),1)="B","L","")),if(LEFT(VLOOKUP($B94,'Round 3'!$F$2:$H$361,3,false),1)="b","W",if(LEFT(VLOOKUP($B94,'Round 3'!$F$2:$H$361,3,false),1)="a","L","")))</f>
        <v>W</v>
      </c>
      <c r="G94" s="67" t="str">
        <f>iferror(if(LEFT(VLOOKUP($B94,'Round 4'!$B$2:$H$361,7,false),1)="A","W",if(LEFT(VLOOKUP($B94,'Round 4'!$B$2:$H$361,7,false),1)="B","L","")),if(LEFT(VLOOKUP($B94,'Round 4'!$F$2:$H$361,3,false),1)="b","W",if(LEFT(VLOOKUP($B94,'Round 4'!$F$2:$H$361,3,false),1)="a","L","")))</f>
        <v>W</v>
      </c>
      <c r="H94" s="67" t="str">
        <f>iferror(if(LEFT(VLOOKUP($B94,'Round 5'!$B$2:$H$361,7,false),1)="A","W",if(LEFT(VLOOKUP($B94,'Round 5'!$B$2:$H$361,7,false),1)="B","L","")),if(LEFT(VLOOKUP($B94,'Round 5'!$F$2:$H$361,3,false),1)="b","W",if(LEFT(VLOOKUP($B94,'Round 5'!$F$2:$H$361,3,false),1)="a","L","")))</f>
        <v>L</v>
      </c>
      <c r="I94" s="67" t="str">
        <f>iferror(if(LEFT(VLOOKUP($B94,'Round 6'!$B$2:$H$361,7,false),1)="A","W",if(LEFT(VLOOKUP($B94,'Round 6'!$B$2:$H$361,7,false),1)="B","L","")),if(LEFT(VLOOKUP($B94,'Round 6'!$F$2:$H$361,3,false),1)="b","W",if(LEFT(VLOOKUP($B94,'Round 6'!$F$2:$H$361,3,false),1)="a","L","")))</f>
        <v>L</v>
      </c>
      <c r="J94" s="67" t="str">
        <f>iferror(iferror(if(LEFT(VLOOKUP($B94,'Round 7'!$B$2:$H$361,7,false),1)="A","W",if(LEFT(VLOOKUP($B94,'Round 7'!$B$2:$H$361,7,false),1)="B","L","")),if(LEFT(VLOOKUP($B94,'Round 7'!$F$2:$H$361,3,false),1)="b","W",if(LEFT(VLOOKUP($B94,'Round 7'!$F$2:$H$361,3,false),1)="a","L",""))),"")</f>
        <v/>
      </c>
      <c r="K94" s="68" t="str">
        <f>iferror(iferror(if(LEFT(VLOOKUP($B94,'Round 8'!$B$2:$H$361,7,false),1)="A","W",if(LEFT(VLOOKUP($B94,'Round 8'!$B$2:$H$361,7,false),1)="B","L","")),if(LEFT(VLOOKUP($B94,'Round 8'!$F$2:$H$361,3,false),1)="b","W",if(LEFT(VLOOKUP($B94,'Round 8'!$F$2:$H$361,3,false),1)="a","L",""))),"")</f>
        <v/>
      </c>
      <c r="L94" s="68" t="str">
        <f>iferror(iferror(if(LEFT(VLOOKUP($B94,'Round 9'!$B$2:$H$361,7,false),1)="A","W",if(LEFT(VLOOKUP($B94,'Round 9'!$B$2:$H$361,7,false),1)="B","L","")),if(LEFT(VLOOKUP($B94,'Round 9'!$F$2:$H$361,3,false),1)="b","W",if(LEFT(VLOOKUP($B94,'Round 9'!$F$2:$H$361,3,false),1)="a","L",""))),"")</f>
        <v/>
      </c>
      <c r="M94" s="68" t="str">
        <f>iferror(iferror(if(LEFT(VLOOKUP($B94,'Round 10'!$B$2:$H$362,7,false),1)="A","W",if(LEFT(VLOOKUP($B94,'Round 10'!$B$2:$H$362,7,false),1)="B","L","")),if(LEFT(VLOOKUP($B94,'Round 10'!$F$2:$H$362,3,false),1)="b","W",if(LEFT(VLOOKUP($B94,'Round 10'!$F$2:$H$362,3,false),1)="a","L",""))),"")</f>
        <v/>
      </c>
      <c r="N94" s="62" t="s">
        <v>266</v>
      </c>
    </row>
    <row r="95">
      <c r="A95" s="63">
        <v>94.0</v>
      </c>
      <c r="B95" s="64" t="s">
        <v>267</v>
      </c>
      <c r="C95" s="65" t="str">
        <f t="shared" si="1"/>
        <v>3 - 3</v>
      </c>
      <c r="D95" s="67" t="str">
        <f>iferror(if(LEFT(VLOOKUP($B95,'Round 1'!$B$2:$H$361,7,false),1)="A","W",if(LEFT(VLOOKUP($B95,'Round 1'!$B$2:$H$361,7,false),1)="B","L","")),if(LEFT(VLOOKUP($B95,'Round 1'!$F$2:$H$361,3,false),1)="b","W",if(LEFT(VLOOKUP($B95,'Round 1'!$F$2:$H$361,3,false),1)="a","L","")))</f>
        <v>L</v>
      </c>
      <c r="E95" s="67" t="str">
        <f>iferror(if(LEFT(VLOOKUP($B95,'Round 2'!$C$2:$J$361,8,false),1)="A","W",if(LEFT(VLOOKUP($B95,'Round 2'!$C$2:$J$361,8,false),1)="B","L","")),if(LEFT(VLOOKUP($B95,'Round 2'!$G$2:$J$361,4,false),1)="b","W",if(LEFT(VLOOKUP($B95,'Round 2'!$G$2:$J$361,4,false),1)="a","L","")))</f>
        <v>W</v>
      </c>
      <c r="F95" s="67" t="str">
        <f>iferror(if(LEFT(VLOOKUP($B95,'Round 3'!$B$2:$H$361,7,false),1)="A","W",if(LEFT(VLOOKUP($B95,'Round 3'!$B$2:$H$361,7,false),1)="B","L","")),if(LEFT(VLOOKUP($B95,'Round 3'!$F$2:$H$361,3,false),1)="b","W",if(LEFT(VLOOKUP($B95,'Round 3'!$F$2:$H$361,3,false),1)="a","L","")))</f>
        <v>W</v>
      </c>
      <c r="G95" s="67" t="str">
        <f>iferror(if(LEFT(VLOOKUP($B95,'Round 4'!$B$2:$H$361,7,false),1)="A","W",if(LEFT(VLOOKUP($B95,'Round 4'!$B$2:$H$361,7,false),1)="B","L","")),if(LEFT(VLOOKUP($B95,'Round 4'!$F$2:$H$361,3,false),1)="b","W",if(LEFT(VLOOKUP($B95,'Round 4'!$F$2:$H$361,3,false),1)="a","L","")))</f>
        <v>W</v>
      </c>
      <c r="H95" s="67" t="str">
        <f>iferror(if(LEFT(VLOOKUP($B95,'Round 5'!$B$2:$H$361,7,false),1)="A","W",if(LEFT(VLOOKUP($B95,'Round 5'!$B$2:$H$361,7,false),1)="B","L","")),if(LEFT(VLOOKUP($B95,'Round 5'!$F$2:$H$361,3,false),1)="b","W",if(LEFT(VLOOKUP($B95,'Round 5'!$F$2:$H$361,3,false),1)="a","L","")))</f>
        <v>L</v>
      </c>
      <c r="I95" s="67" t="str">
        <f>iferror(if(LEFT(VLOOKUP($B95,'Round 6'!$B$2:$H$361,7,false),1)="A","W",if(LEFT(VLOOKUP($B95,'Round 6'!$B$2:$H$361,7,false),1)="B","L","")),if(LEFT(VLOOKUP($B95,'Round 6'!$F$2:$H$361,3,false),1)="b","W",if(LEFT(VLOOKUP($B95,'Round 6'!$F$2:$H$361,3,false),1)="a","L","")))</f>
        <v>L</v>
      </c>
      <c r="J95" s="67" t="str">
        <f>iferror(iferror(if(LEFT(VLOOKUP($B95,'Round 7'!$B$2:$H$361,7,false),1)="A","W",if(LEFT(VLOOKUP($B95,'Round 7'!$B$2:$H$361,7,false),1)="B","L","")),if(LEFT(VLOOKUP($B95,'Round 7'!$F$2:$H$361,3,false),1)="b","W",if(LEFT(VLOOKUP($B95,'Round 7'!$F$2:$H$361,3,false),1)="a","L",""))),"")</f>
        <v/>
      </c>
      <c r="K95" s="68" t="str">
        <f>iferror(iferror(if(LEFT(VLOOKUP($B95,'Round 8'!$B$2:$H$361,7,false),1)="A","W",if(LEFT(VLOOKUP($B95,'Round 8'!$B$2:$H$361,7,false),1)="B","L","")),if(LEFT(VLOOKUP($B95,'Round 8'!$F$2:$H$361,3,false),1)="b","W",if(LEFT(VLOOKUP($B95,'Round 8'!$F$2:$H$361,3,false),1)="a","L",""))),"")</f>
        <v/>
      </c>
      <c r="L95" s="68" t="str">
        <f>iferror(iferror(if(LEFT(VLOOKUP($B95,'Round 9'!$B$2:$H$361,7,false),1)="A","W",if(LEFT(VLOOKUP($B95,'Round 9'!$B$2:$H$361,7,false),1)="B","L","")),if(LEFT(VLOOKUP($B95,'Round 9'!$F$2:$H$361,3,false),1)="b","W",if(LEFT(VLOOKUP($B95,'Round 9'!$F$2:$H$361,3,false),1)="a","L",""))),"")</f>
        <v/>
      </c>
      <c r="M95" s="68" t="str">
        <f>iferror(iferror(if(LEFT(VLOOKUP($B95,'Round 10'!$B$2:$H$362,7,false),1)="A","W",if(LEFT(VLOOKUP($B95,'Round 10'!$B$2:$H$362,7,false),1)="B","L","")),if(LEFT(VLOOKUP($B95,'Round 10'!$F$2:$H$362,3,false),1)="b","W",if(LEFT(VLOOKUP($B95,'Round 10'!$F$2:$H$362,3,false),1)="a","L",""))),"")</f>
        <v/>
      </c>
      <c r="N95" s="62" t="s">
        <v>268</v>
      </c>
    </row>
    <row r="96">
      <c r="A96" s="63">
        <v>95.0</v>
      </c>
      <c r="B96" s="64" t="s">
        <v>269</v>
      </c>
      <c r="C96" s="65" t="str">
        <f t="shared" si="1"/>
        <v>7 - 2</v>
      </c>
      <c r="D96" s="67" t="str">
        <f>iferror(if(LEFT(VLOOKUP($B96,'Round 1'!$B$2:$H$361,7,false),1)="A","W",if(LEFT(VLOOKUP($B96,'Round 1'!$B$2:$H$361,7,false),1)="B","L","")),if(LEFT(VLOOKUP($B96,'Round 1'!$F$2:$H$361,3,false),1)="b","W",if(LEFT(VLOOKUP($B96,'Round 1'!$F$2:$H$361,3,false),1)="a","L","")))</f>
        <v>W</v>
      </c>
      <c r="E96" s="67" t="str">
        <f>iferror(if(LEFT(VLOOKUP($B96,'Round 2'!$C$2:$J$361,8,false),1)="A","W",if(LEFT(VLOOKUP($B96,'Round 2'!$C$2:$J$361,8,false),1)="B","L","")),if(LEFT(VLOOKUP($B96,'Round 2'!$G$2:$J$361,4,false),1)="b","W",if(LEFT(VLOOKUP($B96,'Round 2'!$G$2:$J$361,4,false),1)="a","L","")))</f>
        <v>W</v>
      </c>
      <c r="F96" s="67" t="str">
        <f>iferror(if(LEFT(VLOOKUP($B96,'Round 3'!$B$2:$H$361,7,false),1)="A","W",if(LEFT(VLOOKUP($B96,'Round 3'!$B$2:$H$361,7,false),1)="B","L","")),if(LEFT(VLOOKUP($B96,'Round 3'!$F$2:$H$361,3,false),1)="b","W",if(LEFT(VLOOKUP($B96,'Round 3'!$F$2:$H$361,3,false),1)="a","L","")))</f>
        <v>W</v>
      </c>
      <c r="G96" s="67" t="str">
        <f>iferror(if(LEFT(VLOOKUP($B96,'Round 4'!$B$2:$H$361,7,false),1)="A","W",if(LEFT(VLOOKUP($B96,'Round 4'!$B$2:$H$361,7,false),1)="B","L","")),if(LEFT(VLOOKUP($B96,'Round 4'!$F$2:$H$361,3,false),1)="b","W",if(LEFT(VLOOKUP($B96,'Round 4'!$F$2:$H$361,3,false),1)="a","L","")))</f>
        <v>L</v>
      </c>
      <c r="H96" s="67" t="str">
        <f>iferror(if(LEFT(VLOOKUP($B96,'Round 5'!$B$2:$H$361,7,false),1)="A","W",if(LEFT(VLOOKUP($B96,'Round 5'!$B$2:$H$361,7,false),1)="B","L","")),if(LEFT(VLOOKUP($B96,'Round 5'!$F$2:$H$361,3,false),1)="b","W",if(LEFT(VLOOKUP($B96,'Round 5'!$F$2:$H$361,3,false),1)="a","L","")))</f>
        <v>W</v>
      </c>
      <c r="I96" s="67" t="str">
        <f>iferror(if(LEFT(VLOOKUP($B96,'Round 6'!$B$2:$H$361,7,false),1)="A","W",if(LEFT(VLOOKUP($B96,'Round 6'!$B$2:$H$361,7,false),1)="B","L","")),if(LEFT(VLOOKUP($B96,'Round 6'!$F$2:$H$361,3,false),1)="b","W",if(LEFT(VLOOKUP($B96,'Round 6'!$F$2:$H$361,3,false),1)="a","L","")))</f>
        <v>W</v>
      </c>
      <c r="J96" s="67" t="str">
        <f>iferror(iferror(if(LEFT(VLOOKUP($B96,'Round 7'!$B$2:$H$361,7,false),1)="A","W",if(LEFT(VLOOKUP($B96,'Round 7'!$B$2:$H$361,7,false),1)="B","L","")),if(LEFT(VLOOKUP($B96,'Round 7'!$F$2:$H$361,3,false),1)="b","W",if(LEFT(VLOOKUP($B96,'Round 7'!$F$2:$H$361,3,false),1)="a","L",""))),"")</f>
        <v>W</v>
      </c>
      <c r="K96" s="68" t="str">
        <f>iferror(iferror(if(LEFT(VLOOKUP($B96,'Round 8'!$B$2:$H$361,7,false),1)="A","W",if(LEFT(VLOOKUP($B96,'Round 8'!$B$2:$H$361,7,false),1)="B","L","")),if(LEFT(VLOOKUP($B96,'Round 8'!$F$2:$H$361,3,false),1)="b","W",if(LEFT(VLOOKUP($B96,'Round 8'!$F$2:$H$361,3,false),1)="a","L",""))),"")</f>
        <v>W</v>
      </c>
      <c r="L96" s="68" t="str">
        <f>iferror(iferror(if(LEFT(VLOOKUP($B96,'Round 9'!$B$2:$H$361,7,false),1)="A","W",if(LEFT(VLOOKUP($B96,'Round 9'!$B$2:$H$361,7,false),1)="B","L","")),if(LEFT(VLOOKUP($B96,'Round 9'!$F$2:$H$361,3,false),1)="b","W",if(LEFT(VLOOKUP($B96,'Round 9'!$F$2:$H$361,3,false),1)="a","L",""))),"")</f>
        <v>L</v>
      </c>
      <c r="M96" s="68" t="str">
        <f>iferror(iferror(if(LEFT(VLOOKUP($B96,'Round 10'!$B$2:$H$362,7,false),1)="A","W",if(LEFT(VLOOKUP($B96,'Round 10'!$B$2:$H$362,7,false),1)="B","L","")),if(LEFT(VLOOKUP($B96,'Round 10'!$F$2:$H$362,3,false),1)="b","W",if(LEFT(VLOOKUP($B96,'Round 10'!$F$2:$H$362,3,false),1)="a","L",""))),"")</f>
        <v/>
      </c>
      <c r="N96" s="62" t="s">
        <v>270</v>
      </c>
    </row>
    <row r="97">
      <c r="A97" s="63">
        <v>96.0</v>
      </c>
      <c r="B97" s="64" t="s">
        <v>271</v>
      </c>
      <c r="C97" s="65" t="str">
        <f t="shared" si="1"/>
        <v>3 - 3</v>
      </c>
      <c r="D97" s="67" t="str">
        <f>iferror(if(LEFT(VLOOKUP($B97,'Round 1'!$B$2:$H$361,7,false),1)="A","W",if(LEFT(VLOOKUP($B97,'Round 1'!$B$2:$H$361,7,false),1)="B","L","")),if(LEFT(VLOOKUP($B97,'Round 1'!$F$2:$H$361,3,false),1)="b","W",if(LEFT(VLOOKUP($B97,'Round 1'!$F$2:$H$361,3,false),1)="a","L","")))</f>
        <v>W</v>
      </c>
      <c r="E97" s="67" t="str">
        <f>iferror(if(LEFT(VLOOKUP($B97,'Round 2'!$C$2:$J$361,8,false),1)="A","W",if(LEFT(VLOOKUP($B97,'Round 2'!$C$2:$J$361,8,false),1)="B","L","")),if(LEFT(VLOOKUP($B97,'Round 2'!$G$2:$J$361,4,false),1)="b","W",if(LEFT(VLOOKUP($B97,'Round 2'!$G$2:$J$361,4,false),1)="a","L","")))</f>
        <v>L</v>
      </c>
      <c r="F97" s="67" t="str">
        <f>iferror(if(LEFT(VLOOKUP($B97,'Round 3'!$B$2:$H$361,7,false),1)="A","W",if(LEFT(VLOOKUP($B97,'Round 3'!$B$2:$H$361,7,false),1)="B","L","")),if(LEFT(VLOOKUP($B97,'Round 3'!$F$2:$H$361,3,false),1)="b","W",if(LEFT(VLOOKUP($B97,'Round 3'!$F$2:$H$361,3,false),1)="a","L","")))</f>
        <v>L</v>
      </c>
      <c r="G97" s="67" t="str">
        <f>iferror(if(LEFT(VLOOKUP($B97,'Round 4'!$B$2:$H$361,7,false),1)="A","W",if(LEFT(VLOOKUP($B97,'Round 4'!$B$2:$H$361,7,false),1)="B","L","")),if(LEFT(VLOOKUP($B97,'Round 4'!$F$2:$H$361,3,false),1)="b","W",if(LEFT(VLOOKUP($B97,'Round 4'!$F$2:$H$361,3,false),1)="a","L","")))</f>
        <v>W</v>
      </c>
      <c r="H97" s="67" t="str">
        <f>iferror(if(LEFT(VLOOKUP($B97,'Round 5'!$B$2:$H$361,7,false),1)="A","W",if(LEFT(VLOOKUP($B97,'Round 5'!$B$2:$H$361,7,false),1)="B","L","")),if(LEFT(VLOOKUP($B97,'Round 5'!$F$2:$H$361,3,false),1)="b","W",if(LEFT(VLOOKUP($B97,'Round 5'!$F$2:$H$361,3,false),1)="a","L","")))</f>
        <v>W</v>
      </c>
      <c r="I97" s="67" t="str">
        <f>iferror(if(LEFT(VLOOKUP($B97,'Round 6'!$B$2:$H$361,7,false),1)="A","W",if(LEFT(VLOOKUP($B97,'Round 6'!$B$2:$H$361,7,false),1)="B","L","")),if(LEFT(VLOOKUP($B97,'Round 6'!$F$2:$H$361,3,false),1)="b","W",if(LEFT(VLOOKUP($B97,'Round 6'!$F$2:$H$361,3,false),1)="a","L","")))</f>
        <v>L</v>
      </c>
      <c r="J97" s="67" t="str">
        <f>iferror(iferror(if(LEFT(VLOOKUP($B97,'Round 7'!$B$2:$H$361,7,false),1)="A","W",if(LEFT(VLOOKUP($B97,'Round 7'!$B$2:$H$361,7,false),1)="B","L","")),if(LEFT(VLOOKUP($B97,'Round 7'!$F$2:$H$361,3,false),1)="b","W",if(LEFT(VLOOKUP($B97,'Round 7'!$F$2:$H$361,3,false),1)="a","L",""))),"")</f>
        <v/>
      </c>
      <c r="K97" s="68" t="str">
        <f>iferror(iferror(if(LEFT(VLOOKUP($B97,'Round 8'!$B$2:$H$361,7,false),1)="A","W",if(LEFT(VLOOKUP($B97,'Round 8'!$B$2:$H$361,7,false),1)="B","L","")),if(LEFT(VLOOKUP($B97,'Round 8'!$F$2:$H$361,3,false),1)="b","W",if(LEFT(VLOOKUP($B97,'Round 8'!$F$2:$H$361,3,false),1)="a","L",""))),"")</f>
        <v/>
      </c>
      <c r="L97" s="68" t="str">
        <f>iferror(iferror(if(LEFT(VLOOKUP($B97,'Round 9'!$B$2:$H$361,7,false),1)="A","W",if(LEFT(VLOOKUP($B97,'Round 9'!$B$2:$H$361,7,false),1)="B","L","")),if(LEFT(VLOOKUP($B97,'Round 9'!$F$2:$H$361,3,false),1)="b","W",if(LEFT(VLOOKUP($B97,'Round 9'!$F$2:$H$361,3,false),1)="a","L",""))),"")</f>
        <v/>
      </c>
      <c r="M97" s="68" t="str">
        <f>iferror(iferror(if(LEFT(VLOOKUP($B97,'Round 10'!$B$2:$H$362,7,false),1)="A","W",if(LEFT(VLOOKUP($B97,'Round 10'!$B$2:$H$362,7,false),1)="B","L","")),if(LEFT(VLOOKUP($B97,'Round 10'!$F$2:$H$362,3,false),1)="b","W",if(LEFT(VLOOKUP($B97,'Round 10'!$F$2:$H$362,3,false),1)="a","L",""))),"")</f>
        <v/>
      </c>
      <c r="N97" s="62" t="s">
        <v>272</v>
      </c>
    </row>
    <row r="98">
      <c r="A98" s="63">
        <v>97.0</v>
      </c>
      <c r="B98" s="64" t="s">
        <v>273</v>
      </c>
      <c r="C98" s="65" t="str">
        <f t="shared" si="1"/>
        <v>6 - 3</v>
      </c>
      <c r="D98" s="67" t="str">
        <f>iferror(if(LEFT(VLOOKUP($B98,'Round 1'!$B$2:$H$361,7,false),1)="A","W",if(LEFT(VLOOKUP($B98,'Round 1'!$B$2:$H$361,7,false),1)="B","L","")),if(LEFT(VLOOKUP($B98,'Round 1'!$F$2:$H$361,3,false),1)="b","W",if(LEFT(VLOOKUP($B98,'Round 1'!$F$2:$H$361,3,false),1)="a","L","")))</f>
        <v>W</v>
      </c>
      <c r="E98" s="67" t="str">
        <f>iferror(if(LEFT(VLOOKUP($B98,'Round 2'!$C$2:$J$361,8,false),1)="A","W",if(LEFT(VLOOKUP($B98,'Round 2'!$C$2:$J$361,8,false),1)="B","L","")),if(LEFT(VLOOKUP($B98,'Round 2'!$G$2:$J$361,4,false),1)="b","W",if(LEFT(VLOOKUP($B98,'Round 2'!$G$2:$J$361,4,false),1)="a","L","")))</f>
        <v>W</v>
      </c>
      <c r="F98" s="67" t="str">
        <f>iferror(if(LEFT(VLOOKUP($B98,'Round 3'!$B$2:$H$361,7,false),1)="A","W",if(LEFT(VLOOKUP($B98,'Round 3'!$B$2:$H$361,7,false),1)="B","L","")),if(LEFT(VLOOKUP($B98,'Round 3'!$F$2:$H$361,3,false),1)="b","W",if(LEFT(VLOOKUP($B98,'Round 3'!$F$2:$H$361,3,false),1)="a","L","")))</f>
        <v>W</v>
      </c>
      <c r="G98" s="67" t="str">
        <f>iferror(if(LEFT(VLOOKUP($B98,'Round 4'!$B$2:$H$361,7,false),1)="A","W",if(LEFT(VLOOKUP($B98,'Round 4'!$B$2:$H$361,7,false),1)="B","L","")),if(LEFT(VLOOKUP($B98,'Round 4'!$F$2:$H$361,3,false),1)="b","W",if(LEFT(VLOOKUP($B98,'Round 4'!$F$2:$H$361,3,false),1)="a","L","")))</f>
        <v>W</v>
      </c>
      <c r="H98" s="67" t="str">
        <f>iferror(if(LEFT(VLOOKUP($B98,'Round 5'!$B$2:$H$361,7,false),1)="A","W",if(LEFT(VLOOKUP($B98,'Round 5'!$B$2:$H$361,7,false),1)="B","L","")),if(LEFT(VLOOKUP($B98,'Round 5'!$F$2:$H$361,3,false),1)="b","W",if(LEFT(VLOOKUP($B98,'Round 5'!$F$2:$H$361,3,false),1)="a","L","")))</f>
        <v>L</v>
      </c>
      <c r="I98" s="67" t="str">
        <f>iferror(if(LEFT(VLOOKUP($B98,'Round 6'!$B$2:$H$361,7,false),1)="A","W",if(LEFT(VLOOKUP($B98,'Round 6'!$B$2:$H$361,7,false),1)="B","L","")),if(LEFT(VLOOKUP($B98,'Round 6'!$F$2:$H$361,3,false),1)="b","W",if(LEFT(VLOOKUP($B98,'Round 6'!$F$2:$H$361,3,false),1)="a","L","")))</f>
        <v>W</v>
      </c>
      <c r="J98" s="67" t="str">
        <f>iferror(iferror(if(LEFT(VLOOKUP($B98,'Round 7'!$B$2:$H$361,7,false),1)="A","W",if(LEFT(VLOOKUP($B98,'Round 7'!$B$2:$H$361,7,false),1)="B","L","")),if(LEFT(VLOOKUP($B98,'Round 7'!$F$2:$H$361,3,false),1)="b","W",if(LEFT(VLOOKUP($B98,'Round 7'!$F$2:$H$361,3,false),1)="a","L",""))),"")</f>
        <v>W</v>
      </c>
      <c r="K98" s="68" t="str">
        <f>iferror(iferror(if(LEFT(VLOOKUP($B98,'Round 8'!$B$2:$H$361,7,false),1)="A","W",if(LEFT(VLOOKUP($B98,'Round 8'!$B$2:$H$361,7,false),1)="B","L","")),if(LEFT(VLOOKUP($B98,'Round 8'!$F$2:$H$361,3,false),1)="b","W",if(LEFT(VLOOKUP($B98,'Round 8'!$F$2:$H$361,3,false),1)="a","L",""))),"")</f>
        <v>L</v>
      </c>
      <c r="L98" s="68" t="str">
        <f>iferror(iferror(if(LEFT(VLOOKUP($B98,'Round 9'!$B$2:$H$361,7,false),1)="A","W",if(LEFT(VLOOKUP($B98,'Round 9'!$B$2:$H$361,7,false),1)="B","L","")),if(LEFT(VLOOKUP($B98,'Round 9'!$F$2:$H$361,3,false),1)="b","W",if(LEFT(VLOOKUP($B98,'Round 9'!$F$2:$H$361,3,false),1)="a","L",""))),"")</f>
        <v>L</v>
      </c>
      <c r="M98" s="68" t="str">
        <f>iferror(iferror(if(LEFT(VLOOKUP($B98,'Round 10'!$B$2:$H$362,7,false),1)="A","W",if(LEFT(VLOOKUP($B98,'Round 10'!$B$2:$H$362,7,false),1)="B","L","")),if(LEFT(VLOOKUP($B98,'Round 10'!$F$2:$H$362,3,false),1)="b","W",if(LEFT(VLOOKUP($B98,'Round 10'!$F$2:$H$362,3,false),1)="a","L",""))),"")</f>
        <v/>
      </c>
      <c r="N98" s="62" t="s">
        <v>274</v>
      </c>
    </row>
    <row r="99">
      <c r="A99" s="63">
        <v>98.0</v>
      </c>
      <c r="B99" s="64" t="s">
        <v>275</v>
      </c>
      <c r="C99" s="65" t="str">
        <f t="shared" si="1"/>
        <v>5 - 3</v>
      </c>
      <c r="D99" s="67" t="str">
        <f>iferror(if(LEFT(VLOOKUP($B99,'Round 1'!$B$2:$H$361,7,false),1)="A","W",if(LEFT(VLOOKUP($B99,'Round 1'!$B$2:$H$361,7,false),1)="B","L","")),if(LEFT(VLOOKUP($B99,'Round 1'!$F$2:$H$361,3,false),1)="b","W",if(LEFT(VLOOKUP($B99,'Round 1'!$F$2:$H$361,3,false),1)="a","L","")))</f>
        <v>W</v>
      </c>
      <c r="E99" s="67" t="str">
        <f>iferror(if(LEFT(VLOOKUP($B99,'Round 2'!$C$2:$J$361,8,false),1)="A","W",if(LEFT(VLOOKUP($B99,'Round 2'!$C$2:$J$361,8,false),1)="B","L","")),if(LEFT(VLOOKUP($B99,'Round 2'!$G$2:$J$361,4,false),1)="b","W",if(LEFT(VLOOKUP($B99,'Round 2'!$G$2:$J$361,4,false),1)="a","L","")))</f>
        <v>L</v>
      </c>
      <c r="F99" s="67" t="str">
        <f>iferror(if(LEFT(VLOOKUP($B99,'Round 3'!$B$2:$H$361,7,false),1)="A","W",if(LEFT(VLOOKUP($B99,'Round 3'!$B$2:$H$361,7,false),1)="B","L","")),if(LEFT(VLOOKUP($B99,'Round 3'!$F$2:$H$361,3,false),1)="b","W",if(LEFT(VLOOKUP($B99,'Round 3'!$F$2:$H$361,3,false),1)="a","L","")))</f>
        <v>W</v>
      </c>
      <c r="G99" s="67" t="str">
        <f>iferror(if(LEFT(VLOOKUP($B99,'Round 4'!$B$2:$H$361,7,false),1)="A","W",if(LEFT(VLOOKUP($B99,'Round 4'!$B$2:$H$361,7,false),1)="B","L","")),if(LEFT(VLOOKUP($B99,'Round 4'!$F$2:$H$361,3,false),1)="b","W",if(LEFT(VLOOKUP($B99,'Round 4'!$F$2:$H$361,3,false),1)="a","L","")))</f>
        <v>W</v>
      </c>
      <c r="H99" s="67" t="str">
        <f>iferror(if(LEFT(VLOOKUP($B99,'Round 5'!$B$2:$H$361,7,false),1)="A","W",if(LEFT(VLOOKUP($B99,'Round 5'!$B$2:$H$361,7,false),1)="B","L","")),if(LEFT(VLOOKUP($B99,'Round 5'!$F$2:$H$361,3,false),1)="b","W",if(LEFT(VLOOKUP($B99,'Round 5'!$F$2:$H$361,3,false),1)="a","L","")))</f>
        <v>W</v>
      </c>
      <c r="I99" s="67" t="str">
        <f>iferror(if(LEFT(VLOOKUP($B99,'Round 6'!$B$2:$H$361,7,false),1)="A","W",if(LEFT(VLOOKUP($B99,'Round 6'!$B$2:$H$361,7,false),1)="B","L","")),if(LEFT(VLOOKUP($B99,'Round 6'!$F$2:$H$361,3,false),1)="b","W",if(LEFT(VLOOKUP($B99,'Round 6'!$F$2:$H$361,3,false),1)="a","L","")))</f>
        <v>W</v>
      </c>
      <c r="J99" s="67" t="str">
        <f>iferror(iferror(if(LEFT(VLOOKUP($B99,'Round 7'!$B$2:$H$361,7,false),1)="A","W",if(LEFT(VLOOKUP($B99,'Round 7'!$B$2:$H$361,7,false),1)="B","L","")),if(LEFT(VLOOKUP($B99,'Round 7'!$F$2:$H$361,3,false),1)="b","W",if(LEFT(VLOOKUP($B99,'Round 7'!$F$2:$H$361,3,false),1)="a","L",""))),"")</f>
        <v>L</v>
      </c>
      <c r="K99" s="68" t="str">
        <f>iferror(iferror(if(LEFT(VLOOKUP($B99,'Round 8'!$B$2:$H$361,7,false),1)="A","W",if(LEFT(VLOOKUP($B99,'Round 8'!$B$2:$H$361,7,false),1)="B","L","")),if(LEFT(VLOOKUP($B99,'Round 8'!$F$2:$H$361,3,false),1)="b","W",if(LEFT(VLOOKUP($B99,'Round 8'!$F$2:$H$361,3,false),1)="a","L",""))),"")</f>
        <v>L</v>
      </c>
      <c r="L99" s="68" t="str">
        <f>iferror(iferror(if(LEFT(VLOOKUP($B99,'Round 9'!$B$2:$H$361,7,false),1)="A","W",if(LEFT(VLOOKUP($B99,'Round 9'!$B$2:$H$361,7,false),1)="B","L","")),if(LEFT(VLOOKUP($B99,'Round 9'!$F$2:$H$361,3,false),1)="b","W",if(LEFT(VLOOKUP($B99,'Round 9'!$F$2:$H$361,3,false),1)="a","L",""))),"")</f>
        <v/>
      </c>
      <c r="M99" s="68" t="str">
        <f>iferror(iferror(if(LEFT(VLOOKUP($B99,'Round 10'!$B$2:$H$362,7,false),1)="A","W",if(LEFT(VLOOKUP($B99,'Round 10'!$B$2:$H$362,7,false),1)="B","L","")),if(LEFT(VLOOKUP($B99,'Round 10'!$F$2:$H$362,3,false),1)="b","W",if(LEFT(VLOOKUP($B99,'Round 10'!$F$2:$H$362,3,false),1)="a","L",""))),"")</f>
        <v/>
      </c>
      <c r="N99" s="62" t="s">
        <v>276</v>
      </c>
    </row>
    <row r="100">
      <c r="A100" s="63">
        <v>99.0</v>
      </c>
      <c r="B100" s="71" t="s">
        <v>277</v>
      </c>
      <c r="C100" s="65" t="str">
        <f t="shared" si="1"/>
        <v>5 - 3</v>
      </c>
      <c r="D100" s="67" t="str">
        <f>iferror(if(LEFT(VLOOKUP($B100,'Round 1'!$B$2:$H$361,7,false),1)="A","W",if(LEFT(VLOOKUP($B100,'Round 1'!$B$2:$H$361,7,false),1)="B","L","")),if(LEFT(VLOOKUP($B100,'Round 1'!$F$2:$H$361,3,false),1)="b","W",if(LEFT(VLOOKUP($B100,'Round 1'!$F$2:$H$361,3,false),1)="a","L","")))</f>
        <v>W</v>
      </c>
      <c r="E100" s="67" t="str">
        <f>iferror(if(LEFT(VLOOKUP($B100,'Round 2'!$C$2:$J$361,8,false),1)="A","W",if(LEFT(VLOOKUP($B100,'Round 2'!$C$2:$J$361,8,false),1)="B","L","")),if(LEFT(VLOOKUP($B100,'Round 2'!$G$2:$J$361,4,false),1)="b","W",if(LEFT(VLOOKUP($B100,'Round 2'!$G$2:$J$361,4,false),1)="a","L","")))</f>
        <v>L</v>
      </c>
      <c r="F100" s="67" t="str">
        <f>iferror(if(LEFT(VLOOKUP($B100,'Round 3'!$B$2:$H$361,7,false),1)="A","W",if(LEFT(VLOOKUP($B100,'Round 3'!$B$2:$H$361,7,false),1)="B","L","")),if(LEFT(VLOOKUP($B100,'Round 3'!$F$2:$H$361,3,false),1)="b","W",if(LEFT(VLOOKUP($B100,'Round 3'!$F$2:$H$361,3,false),1)="a","L","")))</f>
        <v>W</v>
      </c>
      <c r="G100" s="67" t="str">
        <f>iferror(if(LEFT(VLOOKUP($B100,'Round 4'!$B$2:$H$361,7,false),1)="A","W",if(LEFT(VLOOKUP($B100,'Round 4'!$B$2:$H$361,7,false),1)="B","L","")),if(LEFT(VLOOKUP($B100,'Round 4'!$F$2:$H$361,3,false),1)="b","W",if(LEFT(VLOOKUP($B100,'Round 4'!$F$2:$H$361,3,false),1)="a","L","")))</f>
        <v>W</v>
      </c>
      <c r="H100" s="67" t="str">
        <f>iferror(if(LEFT(VLOOKUP($B100,'Round 5'!$B$2:$H$361,7,false),1)="A","W",if(LEFT(VLOOKUP($B100,'Round 5'!$B$2:$H$361,7,false),1)="B","L","")),if(LEFT(VLOOKUP($B100,'Round 5'!$F$2:$H$361,3,false),1)="b","W",if(LEFT(VLOOKUP($B100,'Round 5'!$F$2:$H$361,3,false),1)="a","L","")))</f>
        <v>L</v>
      </c>
      <c r="I100" s="67" t="str">
        <f>iferror(if(LEFT(VLOOKUP($B100,'Round 6'!$B$2:$H$361,7,false),1)="A","W",if(LEFT(VLOOKUP($B100,'Round 6'!$B$2:$H$361,7,false),1)="B","L","")),if(LEFT(VLOOKUP($B100,'Round 6'!$F$2:$H$361,3,false),1)="b","W",if(LEFT(VLOOKUP($B100,'Round 6'!$F$2:$H$361,3,false),1)="a","L","")))</f>
        <v>W</v>
      </c>
      <c r="J100" s="67" t="str">
        <f>iferror(iferror(if(LEFT(VLOOKUP($B100,'Round 7'!$B$2:$H$361,7,false),1)="A","W",if(LEFT(VLOOKUP($B100,'Round 7'!$B$2:$H$361,7,false),1)="B","L","")),if(LEFT(VLOOKUP($B100,'Round 7'!$F$2:$H$361,3,false),1)="b","W",if(LEFT(VLOOKUP($B100,'Round 7'!$F$2:$H$361,3,false),1)="a","L",""))),"")</f>
        <v>W</v>
      </c>
      <c r="K100" s="68" t="str">
        <f>iferror(iferror(if(LEFT(VLOOKUP($B100,'Round 8'!$B$2:$H$361,7,false),1)="A","W",if(LEFT(VLOOKUP($B100,'Round 8'!$B$2:$H$361,7,false),1)="B","L","")),if(LEFT(VLOOKUP($B100,'Round 8'!$F$2:$H$361,3,false),1)="b","W",if(LEFT(VLOOKUP($B100,'Round 8'!$F$2:$H$361,3,false),1)="a","L",""))),"")</f>
        <v>L</v>
      </c>
      <c r="L100" s="68" t="str">
        <f>iferror(iferror(if(LEFT(VLOOKUP($B100,'Round 9'!$B$2:$H$361,7,false),1)="A","W",if(LEFT(VLOOKUP($B100,'Round 9'!$B$2:$H$361,7,false),1)="B","L","")),if(LEFT(VLOOKUP($B100,'Round 9'!$F$2:$H$361,3,false),1)="b","W",if(LEFT(VLOOKUP($B100,'Round 9'!$F$2:$H$361,3,false),1)="a","L",""))),"")</f>
        <v/>
      </c>
      <c r="M100" s="68" t="str">
        <f>iferror(iferror(if(LEFT(VLOOKUP($B100,'Round 10'!$B$2:$H$362,7,false),1)="A","W",if(LEFT(VLOOKUP($B100,'Round 10'!$B$2:$H$362,7,false),1)="B","L","")),if(LEFT(VLOOKUP($B100,'Round 10'!$F$2:$H$362,3,false),1)="b","W",if(LEFT(VLOOKUP($B100,'Round 10'!$F$2:$H$362,3,false),1)="a","L",""))),"")</f>
        <v/>
      </c>
      <c r="N100" s="62" t="s">
        <v>278</v>
      </c>
    </row>
    <row r="101">
      <c r="A101" s="63">
        <v>100.0</v>
      </c>
      <c r="B101" s="71" t="s">
        <v>279</v>
      </c>
      <c r="C101" s="65" t="str">
        <f t="shared" si="1"/>
        <v>7 - 2</v>
      </c>
      <c r="D101" s="67" t="str">
        <f>iferror(if(LEFT(VLOOKUP($B101,'Round 1'!$B$2:$H$361,7,false),1)="A","W",if(LEFT(VLOOKUP($B101,'Round 1'!$B$2:$H$361,7,false),1)="B","L","")),if(LEFT(VLOOKUP($B101,'Round 1'!$F$2:$H$361,3,false),1)="b","W",if(LEFT(VLOOKUP($B101,'Round 1'!$F$2:$H$361,3,false),1)="a","L","")))</f>
        <v>W</v>
      </c>
      <c r="E101" s="67" t="str">
        <f>iferror(if(LEFT(VLOOKUP($B101,'Round 2'!$C$2:$J$361,8,false),1)="A","W",if(LEFT(VLOOKUP($B101,'Round 2'!$C$2:$J$361,8,false),1)="B","L","")),if(LEFT(VLOOKUP($B101,'Round 2'!$G$2:$J$361,4,false),1)="b","W",if(LEFT(VLOOKUP($B101,'Round 2'!$G$2:$J$361,4,false),1)="a","L","")))</f>
        <v>W</v>
      </c>
      <c r="F101" s="67" t="str">
        <f>iferror(if(LEFT(VLOOKUP($B101,'Round 3'!$B$2:$H$361,7,false),1)="A","W",if(LEFT(VLOOKUP($B101,'Round 3'!$B$2:$H$361,7,false),1)="B","L","")),if(LEFT(VLOOKUP($B101,'Round 3'!$F$2:$H$361,3,false),1)="b","W",if(LEFT(VLOOKUP($B101,'Round 3'!$F$2:$H$361,3,false),1)="a","L","")))</f>
        <v>L</v>
      </c>
      <c r="G101" s="67" t="str">
        <f>iferror(if(LEFT(VLOOKUP($B101,'Round 4'!$B$2:$H$361,7,false),1)="A","W",if(LEFT(VLOOKUP($B101,'Round 4'!$B$2:$H$361,7,false),1)="B","L","")),if(LEFT(VLOOKUP($B101,'Round 4'!$F$2:$H$361,3,false),1)="b","W",if(LEFT(VLOOKUP($B101,'Round 4'!$F$2:$H$361,3,false),1)="a","L","")))</f>
        <v>W</v>
      </c>
      <c r="H101" s="67" t="str">
        <f>iferror(if(LEFT(VLOOKUP($B101,'Round 5'!$B$2:$H$361,7,false),1)="A","W",if(LEFT(VLOOKUP($B101,'Round 5'!$B$2:$H$361,7,false),1)="B","L","")),if(LEFT(VLOOKUP($B101,'Round 5'!$F$2:$H$361,3,false),1)="b","W",if(LEFT(VLOOKUP($B101,'Round 5'!$F$2:$H$361,3,false),1)="a","L","")))</f>
        <v>L</v>
      </c>
      <c r="I101" s="67" t="str">
        <f>iferror(if(LEFT(VLOOKUP($B101,'Round 6'!$B$2:$H$361,7,false),1)="A","W",if(LEFT(VLOOKUP($B101,'Round 6'!$B$2:$H$361,7,false),1)="B","L","")),if(LEFT(VLOOKUP($B101,'Round 6'!$F$2:$H$361,3,false),1)="b","W",if(LEFT(VLOOKUP($B101,'Round 6'!$F$2:$H$361,3,false),1)="a","L","")))</f>
        <v>W</v>
      </c>
      <c r="J101" s="67" t="str">
        <f>iferror(iferror(if(LEFT(VLOOKUP($B101,'Round 7'!$B$2:$H$361,7,false),1)="A","W",if(LEFT(VLOOKUP($B101,'Round 7'!$B$2:$H$361,7,false),1)="B","L","")),if(LEFT(VLOOKUP($B101,'Round 7'!$F$2:$H$361,3,false),1)="b","W",if(LEFT(VLOOKUP($B101,'Round 7'!$F$2:$H$361,3,false),1)="a","L",""))),"")</f>
        <v>W</v>
      </c>
      <c r="K101" s="68" t="str">
        <f>iferror(iferror(if(LEFT(VLOOKUP($B101,'Round 8'!$B$2:$H$361,7,false),1)="A","W",if(LEFT(VLOOKUP($B101,'Round 8'!$B$2:$H$361,7,false),1)="B","L","")),if(LEFT(VLOOKUP($B101,'Round 8'!$F$2:$H$361,3,false),1)="b","W",if(LEFT(VLOOKUP($B101,'Round 8'!$F$2:$H$361,3,false),1)="a","L",""))),"")</f>
        <v>W</v>
      </c>
      <c r="L101" s="68" t="str">
        <f>iferror(iferror(if(LEFT(VLOOKUP($B101,'Round 9'!$B$2:$H$361,7,false),1)="A","W",if(LEFT(VLOOKUP($B101,'Round 9'!$B$2:$H$361,7,false),1)="B","L","")),if(LEFT(VLOOKUP($B101,'Round 9'!$F$2:$H$361,3,false),1)="b","W",if(LEFT(VLOOKUP($B101,'Round 9'!$F$2:$H$361,3,false),1)="a","L",""))),"")</f>
        <v>W</v>
      </c>
      <c r="M101" s="68" t="str">
        <f>iferror(iferror(if(LEFT(VLOOKUP($B101,'Round 10'!$B$2:$H$362,7,false),1)="A","W",if(LEFT(VLOOKUP($B101,'Round 10'!$B$2:$H$362,7,false),1)="B","L","")),if(LEFT(VLOOKUP($B101,'Round 10'!$F$2:$H$362,3,false),1)="b","W",if(LEFT(VLOOKUP($B101,'Round 10'!$F$2:$H$362,3,false),1)="a","L",""))),"")</f>
        <v/>
      </c>
      <c r="N101" s="62" t="s">
        <v>280</v>
      </c>
    </row>
    <row r="102">
      <c r="A102" s="63">
        <v>101.0</v>
      </c>
      <c r="B102" s="64" t="s">
        <v>281</v>
      </c>
      <c r="C102" s="65" t="str">
        <f t="shared" si="1"/>
        <v>1 - 3</v>
      </c>
      <c r="D102" s="67" t="str">
        <f>iferror(if(LEFT(VLOOKUP($B102,'Round 1'!$B$2:$H$361,7,false),1)="A","W",if(LEFT(VLOOKUP($B102,'Round 1'!$B$2:$H$361,7,false),1)="B","L","")),if(LEFT(VLOOKUP($B102,'Round 1'!$F$2:$H$361,3,false),1)="b","W",if(LEFT(VLOOKUP($B102,'Round 1'!$F$2:$H$361,3,false),1)="a","L","")))</f>
        <v>W</v>
      </c>
      <c r="E102" s="67" t="str">
        <f>iferror(if(LEFT(VLOOKUP($B102,'Round 2'!$C$2:$J$361,8,false),1)="A","W",if(LEFT(VLOOKUP($B102,'Round 2'!$C$2:$J$361,8,false),1)="B","L","")),if(LEFT(VLOOKUP($B102,'Round 2'!$G$2:$J$361,4,false),1)="b","W",if(LEFT(VLOOKUP($B102,'Round 2'!$G$2:$J$361,4,false),1)="a","L","")))</f>
        <v>L</v>
      </c>
      <c r="F102" s="67" t="str">
        <f>iferror(if(LEFT(VLOOKUP($B102,'Round 3'!$B$2:$H$361,7,false),1)="A","W",if(LEFT(VLOOKUP($B102,'Round 3'!$B$2:$H$361,7,false),1)="B","L","")),if(LEFT(VLOOKUP($B102,'Round 3'!$F$2:$H$361,3,false),1)="b","W",if(LEFT(VLOOKUP($B102,'Round 3'!$F$2:$H$361,3,false),1)="a","L","")))</f>
        <v>L</v>
      </c>
      <c r="G102" s="67" t="str">
        <f>iferror(if(LEFT(VLOOKUP($B102,'Round 4'!$B$2:$H$361,7,false),1)="A","W",if(LEFT(VLOOKUP($B102,'Round 4'!$B$2:$H$361,7,false),1)="B","L","")),if(LEFT(VLOOKUP($B102,'Round 4'!$F$2:$H$361,3,false),1)="b","W",if(LEFT(VLOOKUP($B102,'Round 4'!$F$2:$H$361,3,false),1)="a","L","")))</f>
        <v>L</v>
      </c>
      <c r="H102" s="67"/>
      <c r="I102" s="67"/>
      <c r="J102" s="67" t="str">
        <f>iferror(iferror(if(LEFT(VLOOKUP($B102,'Round 7'!$B$2:$H$361,7,false),1)="A","W",if(LEFT(VLOOKUP($B102,'Round 7'!$B$2:$H$361,7,false),1)="B","L","")),if(LEFT(VLOOKUP($B102,'Round 7'!$F$2:$H$361,3,false),1)="b","W",if(LEFT(VLOOKUP($B102,'Round 7'!$F$2:$H$361,3,false),1)="a","L",""))),"")</f>
        <v/>
      </c>
      <c r="K102" s="68" t="str">
        <f>iferror(iferror(if(LEFT(VLOOKUP($B102,'Round 8'!$B$2:$H$361,7,false),1)="A","W",if(LEFT(VLOOKUP($B102,'Round 8'!$B$2:$H$361,7,false),1)="B","L","")),if(LEFT(VLOOKUP($B102,'Round 8'!$F$2:$H$361,3,false),1)="b","W",if(LEFT(VLOOKUP($B102,'Round 8'!$F$2:$H$361,3,false),1)="a","L",""))),"")</f>
        <v/>
      </c>
      <c r="L102" s="68" t="str">
        <f>iferror(iferror(if(LEFT(VLOOKUP($B102,'Round 9'!$B$2:$H$361,7,false),1)="A","W",if(LEFT(VLOOKUP($B102,'Round 9'!$B$2:$H$361,7,false),1)="B","L","")),if(LEFT(VLOOKUP($B102,'Round 9'!$F$2:$H$361,3,false),1)="b","W",if(LEFT(VLOOKUP($B102,'Round 9'!$F$2:$H$361,3,false),1)="a","L",""))),"")</f>
        <v/>
      </c>
      <c r="M102" s="68" t="str">
        <f>iferror(iferror(if(LEFT(VLOOKUP($B102,'Round 10'!$B$2:$H$362,7,false),1)="A","W",if(LEFT(VLOOKUP($B102,'Round 10'!$B$2:$H$362,7,false),1)="B","L","")),if(LEFT(VLOOKUP($B102,'Round 10'!$F$2:$H$362,3,false),1)="b","W",if(LEFT(VLOOKUP($B102,'Round 10'!$F$2:$H$362,3,false),1)="a","L",""))),"")</f>
        <v/>
      </c>
      <c r="N102" s="62" t="s">
        <v>282</v>
      </c>
    </row>
    <row r="103">
      <c r="A103" s="63">
        <v>102.0</v>
      </c>
      <c r="B103" s="64" t="s">
        <v>283</v>
      </c>
      <c r="C103" s="65" t="str">
        <f t="shared" si="1"/>
        <v>1 - 3</v>
      </c>
      <c r="D103" s="67" t="str">
        <f>iferror(if(LEFT(VLOOKUP($B103,'Round 1'!$B$2:$H$361,7,false),1)="A","W",if(LEFT(VLOOKUP($B103,'Round 1'!$B$2:$H$361,7,false),1)="B","L","")),if(LEFT(VLOOKUP($B103,'Round 1'!$F$2:$H$361,3,false),1)="b","W",if(LEFT(VLOOKUP($B103,'Round 1'!$F$2:$H$361,3,false),1)="a","L","")))</f>
        <v>L</v>
      </c>
      <c r="E103" s="67" t="str">
        <f>iferror(if(LEFT(VLOOKUP($B103,'Round 2'!$C$2:$J$361,8,false),1)="A","W",if(LEFT(VLOOKUP($B103,'Round 2'!$C$2:$J$361,8,false),1)="B","L","")),if(LEFT(VLOOKUP($B103,'Round 2'!$G$2:$J$361,4,false),1)="b","W",if(LEFT(VLOOKUP($B103,'Round 2'!$G$2:$J$361,4,false),1)="a","L","")))</f>
        <v>L</v>
      </c>
      <c r="F103" s="67" t="str">
        <f>iferror(if(LEFT(VLOOKUP($B103,'Round 3'!$B$2:$H$361,7,false),1)="A","W",if(LEFT(VLOOKUP($B103,'Round 3'!$B$2:$H$361,7,false),1)="B","L","")),if(LEFT(VLOOKUP($B103,'Round 3'!$F$2:$H$361,3,false),1)="b","W",if(LEFT(VLOOKUP($B103,'Round 3'!$F$2:$H$361,3,false),1)="a","L","")))</f>
        <v>W</v>
      </c>
      <c r="G103" s="67" t="str">
        <f>iferror(if(LEFT(VLOOKUP($B103,'Round 4'!$B$2:$H$361,7,false),1)="A","W",if(LEFT(VLOOKUP($B103,'Round 4'!$B$2:$H$361,7,false),1)="B","L","")),if(LEFT(VLOOKUP($B103,'Round 4'!$F$2:$H$361,3,false),1)="b","W",if(LEFT(VLOOKUP($B103,'Round 4'!$F$2:$H$361,3,false),1)="a","L","")))</f>
        <v>L</v>
      </c>
      <c r="H103" s="67"/>
      <c r="I103" s="67"/>
      <c r="J103" s="67" t="str">
        <f>iferror(iferror(if(LEFT(VLOOKUP($B103,'Round 7'!$B$2:$H$361,7,false),1)="A","W",if(LEFT(VLOOKUP($B103,'Round 7'!$B$2:$H$361,7,false),1)="B","L","")),if(LEFT(VLOOKUP($B103,'Round 7'!$F$2:$H$361,3,false),1)="b","W",if(LEFT(VLOOKUP($B103,'Round 7'!$F$2:$H$361,3,false),1)="a","L",""))),"")</f>
        <v/>
      </c>
      <c r="K103" s="68" t="str">
        <f>iferror(iferror(if(LEFT(VLOOKUP($B103,'Round 8'!$B$2:$H$361,7,false),1)="A","W",if(LEFT(VLOOKUP($B103,'Round 8'!$B$2:$H$361,7,false),1)="B","L","")),if(LEFT(VLOOKUP($B103,'Round 8'!$F$2:$H$361,3,false),1)="b","W",if(LEFT(VLOOKUP($B103,'Round 8'!$F$2:$H$361,3,false),1)="a","L",""))),"")</f>
        <v/>
      </c>
      <c r="L103" s="68" t="str">
        <f>iferror(iferror(if(LEFT(VLOOKUP($B103,'Round 9'!$B$2:$H$361,7,false),1)="A","W",if(LEFT(VLOOKUP($B103,'Round 9'!$B$2:$H$361,7,false),1)="B","L","")),if(LEFT(VLOOKUP($B103,'Round 9'!$F$2:$H$361,3,false),1)="b","W",if(LEFT(VLOOKUP($B103,'Round 9'!$F$2:$H$361,3,false),1)="a","L",""))),"")</f>
        <v/>
      </c>
      <c r="M103" s="68" t="str">
        <f>iferror(iferror(if(LEFT(VLOOKUP($B103,'Round 10'!$B$2:$H$362,7,false),1)="A","W",if(LEFT(VLOOKUP($B103,'Round 10'!$B$2:$H$362,7,false),1)="B","L","")),if(LEFT(VLOOKUP($B103,'Round 10'!$F$2:$H$362,3,false),1)="b","W",if(LEFT(VLOOKUP($B103,'Round 10'!$F$2:$H$362,3,false),1)="a","L",""))),"")</f>
        <v/>
      </c>
      <c r="N103" s="62" t="s">
        <v>284</v>
      </c>
    </row>
    <row r="104">
      <c r="A104" s="63">
        <v>103.0</v>
      </c>
      <c r="B104" s="64" t="s">
        <v>285</v>
      </c>
      <c r="C104" s="65" t="str">
        <f t="shared" si="1"/>
        <v>3 - 3</v>
      </c>
      <c r="D104" s="67" t="str">
        <f>iferror(if(LEFT(VLOOKUP($B104,'Round 1'!$B$2:$H$361,7,false),1)="A","W",if(LEFT(VLOOKUP($B104,'Round 1'!$B$2:$H$361,7,false),1)="B","L","")),if(LEFT(VLOOKUP($B104,'Round 1'!$F$2:$H$361,3,false),1)="b","W",if(LEFT(VLOOKUP($B104,'Round 1'!$F$2:$H$361,3,false),1)="a","L","")))</f>
        <v>W</v>
      </c>
      <c r="E104" s="67" t="str">
        <f>iferror(if(LEFT(VLOOKUP($B104,'Round 2'!$C$2:$J$361,8,false),1)="A","W",if(LEFT(VLOOKUP($B104,'Round 2'!$C$2:$J$361,8,false),1)="B","L","")),if(LEFT(VLOOKUP($B104,'Round 2'!$G$2:$J$361,4,false),1)="b","W",if(LEFT(VLOOKUP($B104,'Round 2'!$G$2:$J$361,4,false),1)="a","L","")))</f>
        <v>W</v>
      </c>
      <c r="F104" s="67" t="str">
        <f>iferror(if(LEFT(VLOOKUP($B104,'Round 3'!$B$2:$H$361,7,false),1)="A","W",if(LEFT(VLOOKUP($B104,'Round 3'!$B$2:$H$361,7,false),1)="B","L","")),if(LEFT(VLOOKUP($B104,'Round 3'!$F$2:$H$361,3,false),1)="b","W",if(LEFT(VLOOKUP($B104,'Round 3'!$F$2:$H$361,3,false),1)="a","L","")))</f>
        <v>W</v>
      </c>
      <c r="G104" s="67" t="str">
        <f>iferror(if(LEFT(VLOOKUP($B104,'Round 4'!$B$2:$H$361,7,false),1)="A","W",if(LEFT(VLOOKUP($B104,'Round 4'!$B$2:$H$361,7,false),1)="B","L","")),if(LEFT(VLOOKUP($B104,'Round 4'!$F$2:$H$361,3,false),1)="b","W",if(LEFT(VLOOKUP($B104,'Round 4'!$F$2:$H$361,3,false),1)="a","L","")))</f>
        <v>L</v>
      </c>
      <c r="H104" s="67" t="str">
        <f>iferror(if(LEFT(VLOOKUP($B104,'Round 5'!$B$2:$H$361,7,false),1)="A","W",if(LEFT(VLOOKUP($B104,'Round 5'!$B$2:$H$361,7,false),1)="B","L","")),if(LEFT(VLOOKUP($B104,'Round 5'!$F$2:$H$361,3,false),1)="b","W",if(LEFT(VLOOKUP($B104,'Round 5'!$F$2:$H$361,3,false),1)="a","L","")))</f>
        <v>L</v>
      </c>
      <c r="I104" s="67" t="str">
        <f>iferror(if(LEFT(VLOOKUP($B104,'Round 6'!$B$2:$H$361,7,false),1)="A","W",if(LEFT(VLOOKUP($B104,'Round 6'!$B$2:$H$361,7,false),1)="B","L","")),if(LEFT(VLOOKUP($B104,'Round 6'!$F$2:$H$361,3,false),1)="b","W",if(LEFT(VLOOKUP($B104,'Round 6'!$F$2:$H$361,3,false),1)="a","L","")))</f>
        <v>L</v>
      </c>
      <c r="J104" s="67" t="str">
        <f>iferror(iferror(if(LEFT(VLOOKUP($B104,'Round 7'!$B$2:$H$361,7,false),1)="A","W",if(LEFT(VLOOKUP($B104,'Round 7'!$B$2:$H$361,7,false),1)="B","L","")),if(LEFT(VLOOKUP($B104,'Round 7'!$F$2:$H$361,3,false),1)="b","W",if(LEFT(VLOOKUP($B104,'Round 7'!$F$2:$H$361,3,false),1)="a","L",""))),"")</f>
        <v/>
      </c>
      <c r="K104" s="68" t="str">
        <f>iferror(iferror(if(LEFT(VLOOKUP($B104,'Round 8'!$B$2:$H$361,7,false),1)="A","W",if(LEFT(VLOOKUP($B104,'Round 8'!$B$2:$H$361,7,false),1)="B","L","")),if(LEFT(VLOOKUP($B104,'Round 8'!$F$2:$H$361,3,false),1)="b","W",if(LEFT(VLOOKUP($B104,'Round 8'!$F$2:$H$361,3,false),1)="a","L",""))),"")</f>
        <v/>
      </c>
      <c r="L104" s="68" t="str">
        <f>iferror(iferror(if(LEFT(VLOOKUP($B104,'Round 9'!$B$2:$H$361,7,false),1)="A","W",if(LEFT(VLOOKUP($B104,'Round 9'!$B$2:$H$361,7,false),1)="B","L","")),if(LEFT(VLOOKUP($B104,'Round 9'!$F$2:$H$361,3,false),1)="b","W",if(LEFT(VLOOKUP($B104,'Round 9'!$F$2:$H$361,3,false),1)="a","L",""))),"")</f>
        <v/>
      </c>
      <c r="M104" s="68" t="str">
        <f>iferror(iferror(if(LEFT(VLOOKUP($B104,'Round 10'!$B$2:$H$362,7,false),1)="A","W",if(LEFT(VLOOKUP($B104,'Round 10'!$B$2:$H$362,7,false),1)="B","L","")),if(LEFT(VLOOKUP($B104,'Round 10'!$F$2:$H$362,3,false),1)="b","W",if(LEFT(VLOOKUP($B104,'Round 10'!$F$2:$H$362,3,false),1)="a","L",""))),"")</f>
        <v/>
      </c>
      <c r="N104" s="62" t="s">
        <v>286</v>
      </c>
    </row>
    <row r="105">
      <c r="A105" s="63">
        <v>104.0</v>
      </c>
      <c r="B105" s="64" t="s">
        <v>287</v>
      </c>
      <c r="C105" s="65" t="str">
        <f t="shared" si="1"/>
        <v>2 - 3</v>
      </c>
      <c r="D105" s="67" t="str">
        <f>iferror(if(LEFT(VLOOKUP($B105,'Round 1'!$B$2:$H$361,7,false),1)="A","W",if(LEFT(VLOOKUP($B105,'Round 1'!$B$2:$H$361,7,false),1)="B","L","")),if(LEFT(VLOOKUP($B105,'Round 1'!$F$2:$H$361,3,false),1)="b","W",if(LEFT(VLOOKUP($B105,'Round 1'!$F$2:$H$361,3,false),1)="a","L","")))</f>
        <v>L</v>
      </c>
      <c r="E105" s="67" t="str">
        <f>iferror(if(LEFT(VLOOKUP($B105,'Round 2'!$C$2:$J$361,8,false),1)="A","W",if(LEFT(VLOOKUP($B105,'Round 2'!$C$2:$J$361,8,false),1)="B","L","")),if(LEFT(VLOOKUP($B105,'Round 2'!$G$2:$J$361,4,false),1)="b","W",if(LEFT(VLOOKUP($B105,'Round 2'!$G$2:$J$361,4,false),1)="a","L","")))</f>
        <v>L</v>
      </c>
      <c r="F105" s="67" t="str">
        <f>iferror(if(LEFT(VLOOKUP($B105,'Round 3'!$B$2:$H$361,7,false),1)="A","W",if(LEFT(VLOOKUP($B105,'Round 3'!$B$2:$H$361,7,false),1)="B","L","")),if(LEFT(VLOOKUP($B105,'Round 3'!$F$2:$H$361,3,false),1)="b","W",if(LEFT(VLOOKUP($B105,'Round 3'!$F$2:$H$361,3,false),1)="a","L","")))</f>
        <v>W</v>
      </c>
      <c r="G105" s="67" t="str">
        <f>iferror(if(LEFT(VLOOKUP($B105,'Round 4'!$B$2:$H$361,7,false),1)="A","W",if(LEFT(VLOOKUP($B105,'Round 4'!$B$2:$H$361,7,false),1)="B","L","")),if(LEFT(VLOOKUP($B105,'Round 4'!$F$2:$H$361,3,false),1)="b","W",if(LEFT(VLOOKUP($B105,'Round 4'!$F$2:$H$361,3,false),1)="a","L","")))</f>
        <v>W</v>
      </c>
      <c r="H105" s="67" t="str">
        <f>iferror(if(LEFT(VLOOKUP($B105,'Round 5'!$B$2:$H$361,7,false),1)="A","W",if(LEFT(VLOOKUP($B105,'Round 5'!$B$2:$H$361,7,false),1)="B","L","")),if(LEFT(VLOOKUP($B105,'Round 5'!$F$2:$H$361,3,false),1)="b","W",if(LEFT(VLOOKUP($B105,'Round 5'!$F$2:$H$361,3,false),1)="a","L","")))</f>
        <v>L</v>
      </c>
      <c r="I105" s="67"/>
      <c r="J105" s="67" t="str">
        <f>iferror(iferror(if(LEFT(VLOOKUP($B105,'Round 7'!$B$2:$H$361,7,false),1)="A","W",if(LEFT(VLOOKUP($B105,'Round 7'!$B$2:$H$361,7,false),1)="B","L","")),if(LEFT(VLOOKUP($B105,'Round 7'!$F$2:$H$361,3,false),1)="b","W",if(LEFT(VLOOKUP($B105,'Round 7'!$F$2:$H$361,3,false),1)="a","L",""))),"")</f>
        <v/>
      </c>
      <c r="K105" s="68" t="str">
        <f>iferror(iferror(if(LEFT(VLOOKUP($B105,'Round 8'!$B$2:$H$361,7,false),1)="A","W",if(LEFT(VLOOKUP($B105,'Round 8'!$B$2:$H$361,7,false),1)="B","L","")),if(LEFT(VLOOKUP($B105,'Round 8'!$F$2:$H$361,3,false),1)="b","W",if(LEFT(VLOOKUP($B105,'Round 8'!$F$2:$H$361,3,false),1)="a","L",""))),"")</f>
        <v/>
      </c>
      <c r="L105" s="68" t="str">
        <f>iferror(iferror(if(LEFT(VLOOKUP($B105,'Round 9'!$B$2:$H$361,7,false),1)="A","W",if(LEFT(VLOOKUP($B105,'Round 9'!$B$2:$H$361,7,false),1)="B","L","")),if(LEFT(VLOOKUP($B105,'Round 9'!$F$2:$H$361,3,false),1)="b","W",if(LEFT(VLOOKUP($B105,'Round 9'!$F$2:$H$361,3,false),1)="a","L",""))),"")</f>
        <v/>
      </c>
      <c r="M105" s="68" t="str">
        <f>iferror(iferror(if(LEFT(VLOOKUP($B105,'Round 10'!$B$2:$H$362,7,false),1)="A","W",if(LEFT(VLOOKUP($B105,'Round 10'!$B$2:$H$362,7,false),1)="B","L","")),if(LEFT(VLOOKUP($B105,'Round 10'!$F$2:$H$362,3,false),1)="b","W",if(LEFT(VLOOKUP($B105,'Round 10'!$F$2:$H$362,3,false),1)="a","L",""))),"")</f>
        <v/>
      </c>
      <c r="N105" s="62" t="s">
        <v>288</v>
      </c>
    </row>
    <row r="106">
      <c r="A106" s="63">
        <v>105.0</v>
      </c>
      <c r="B106" s="71" t="s">
        <v>289</v>
      </c>
      <c r="C106" s="65" t="str">
        <f t="shared" si="1"/>
        <v>4 - 3</v>
      </c>
      <c r="D106" s="67" t="str">
        <f>iferror(if(LEFT(VLOOKUP($B106,'Round 1'!$B$2:$H$361,7,false),1)="A","W",if(LEFT(VLOOKUP($B106,'Round 1'!$B$2:$H$361,7,false),1)="B","L","")),if(LEFT(VLOOKUP($B106,'Round 1'!$F$2:$H$361,3,false),1)="b","W",if(LEFT(VLOOKUP($B106,'Round 1'!$F$2:$H$361,3,false),1)="a","L","")))</f>
        <v>W</v>
      </c>
      <c r="E106" s="67" t="str">
        <f>iferror(if(LEFT(VLOOKUP($B106,'Round 2'!$C$2:$J$361,8,false),1)="A","W",if(LEFT(VLOOKUP($B106,'Round 2'!$C$2:$J$361,8,false),1)="B","L","")),if(LEFT(VLOOKUP($B106,'Round 2'!$G$2:$J$361,4,false),1)="b","W",if(LEFT(VLOOKUP($B106,'Round 2'!$G$2:$J$361,4,false),1)="a","L","")))</f>
        <v>L</v>
      </c>
      <c r="F106" s="67" t="str">
        <f>iferror(if(LEFT(VLOOKUP($B106,'Round 3'!$B$2:$H$361,7,false),1)="A","W",if(LEFT(VLOOKUP($B106,'Round 3'!$B$2:$H$361,7,false),1)="B","L","")),if(LEFT(VLOOKUP($B106,'Round 3'!$F$2:$H$361,3,false),1)="b","W",if(LEFT(VLOOKUP($B106,'Round 3'!$F$2:$H$361,3,false),1)="a","L","")))</f>
        <v>W</v>
      </c>
      <c r="G106" s="67" t="str">
        <f>iferror(if(LEFT(VLOOKUP($B106,'Round 4'!$B$2:$H$361,7,false),1)="A","W",if(LEFT(VLOOKUP($B106,'Round 4'!$B$2:$H$361,7,false),1)="B","L","")),if(LEFT(VLOOKUP($B106,'Round 4'!$F$2:$H$361,3,false),1)="b","W",if(LEFT(VLOOKUP($B106,'Round 4'!$F$2:$H$361,3,false),1)="a","L","")))</f>
        <v>W</v>
      </c>
      <c r="H106" s="67" t="str">
        <f>iferror(if(LEFT(VLOOKUP($B106,'Round 5'!$B$2:$H$361,7,false),1)="A","W",if(LEFT(VLOOKUP($B106,'Round 5'!$B$2:$H$361,7,false),1)="B","L","")),if(LEFT(VLOOKUP($B106,'Round 5'!$F$2:$H$361,3,false),1)="b","W",if(LEFT(VLOOKUP($B106,'Round 5'!$F$2:$H$361,3,false),1)="a","L","")))</f>
        <v>L</v>
      </c>
      <c r="I106" s="67" t="str">
        <f>iferror(if(LEFT(VLOOKUP($B106,'Round 6'!$B$2:$H$361,7,false),1)="A","W",if(LEFT(VLOOKUP($B106,'Round 6'!$B$2:$H$361,7,false),1)="B","L","")),if(LEFT(VLOOKUP($B106,'Round 6'!$F$2:$H$361,3,false),1)="b","W",if(LEFT(VLOOKUP($B106,'Round 6'!$F$2:$H$361,3,false),1)="a","L","")))</f>
        <v>W</v>
      </c>
      <c r="J106" s="67" t="str">
        <f>iferror(iferror(if(LEFT(VLOOKUP($B106,'Round 7'!$B$2:$H$361,7,false),1)="A","W",if(LEFT(VLOOKUP($B106,'Round 7'!$B$2:$H$361,7,false),1)="B","L","")),if(LEFT(VLOOKUP($B106,'Round 7'!$F$2:$H$361,3,false),1)="b","W",if(LEFT(VLOOKUP($B106,'Round 7'!$F$2:$H$361,3,false),1)="a","L",""))),"")</f>
        <v>L</v>
      </c>
      <c r="K106" s="68" t="str">
        <f>iferror(iferror(if(LEFT(VLOOKUP($B106,'Round 8'!$B$2:$H$361,7,false),1)="A","W",if(LEFT(VLOOKUP($B106,'Round 8'!$B$2:$H$361,7,false),1)="B","L","")),if(LEFT(VLOOKUP($B106,'Round 8'!$F$2:$H$361,3,false),1)="b","W",if(LEFT(VLOOKUP($B106,'Round 8'!$F$2:$H$361,3,false),1)="a","L",""))),"")</f>
        <v/>
      </c>
      <c r="L106" s="68" t="str">
        <f>iferror(iferror(if(LEFT(VLOOKUP($B106,'Round 9'!$B$2:$H$361,7,false),1)="A","W",if(LEFT(VLOOKUP($B106,'Round 9'!$B$2:$H$361,7,false),1)="B","L","")),if(LEFT(VLOOKUP($B106,'Round 9'!$F$2:$H$361,3,false),1)="b","W",if(LEFT(VLOOKUP($B106,'Round 9'!$F$2:$H$361,3,false),1)="a","L",""))),"")</f>
        <v/>
      </c>
      <c r="M106" s="68" t="str">
        <f>iferror(iferror(if(LEFT(VLOOKUP($B106,'Round 10'!$B$2:$H$362,7,false),1)="A","W",if(LEFT(VLOOKUP($B106,'Round 10'!$B$2:$H$362,7,false),1)="B","L","")),if(LEFT(VLOOKUP($B106,'Round 10'!$F$2:$H$362,3,false),1)="b","W",if(LEFT(VLOOKUP($B106,'Round 10'!$F$2:$H$362,3,false),1)="a","L",""))),"")</f>
        <v/>
      </c>
      <c r="N106" s="62" t="s">
        <v>290</v>
      </c>
    </row>
    <row r="107">
      <c r="A107" s="63">
        <v>106.0</v>
      </c>
      <c r="B107" s="64" t="s">
        <v>291</v>
      </c>
      <c r="C107" s="65" t="str">
        <f t="shared" si="1"/>
        <v>1 - 3</v>
      </c>
      <c r="D107" s="67" t="str">
        <f>iferror(if(LEFT(VLOOKUP($B107,'Round 1'!$B$2:$H$361,7,false),1)="A","W",if(LEFT(VLOOKUP($B107,'Round 1'!$B$2:$H$361,7,false),1)="B","L","")),if(LEFT(VLOOKUP($B107,'Round 1'!$F$2:$H$361,3,false),1)="b","W",if(LEFT(VLOOKUP($B107,'Round 1'!$F$2:$H$361,3,false),1)="a","L","")))</f>
        <v>L</v>
      </c>
      <c r="E107" s="67" t="str">
        <f>iferror(if(LEFT(VLOOKUP($B107,'Round 2'!$C$2:$J$361,8,false),1)="A","W",if(LEFT(VLOOKUP($B107,'Round 2'!$C$2:$J$361,8,false),1)="B","L","")),if(LEFT(VLOOKUP($B107,'Round 2'!$G$2:$J$361,4,false),1)="b","W",if(LEFT(VLOOKUP($B107,'Round 2'!$G$2:$J$361,4,false),1)="a","L","")))</f>
        <v>W</v>
      </c>
      <c r="F107" s="67" t="str">
        <f>iferror(if(LEFT(VLOOKUP($B107,'Round 3'!$B$2:$H$361,7,false),1)="A","W",if(LEFT(VLOOKUP($B107,'Round 3'!$B$2:$H$361,7,false),1)="B","L","")),if(LEFT(VLOOKUP($B107,'Round 3'!$F$2:$H$361,3,false),1)="b","W",if(LEFT(VLOOKUP($B107,'Round 3'!$F$2:$H$361,3,false),1)="a","L","")))</f>
        <v>L</v>
      </c>
      <c r="G107" s="67" t="str">
        <f>iferror(if(LEFT(VLOOKUP($B107,'Round 4'!$B$2:$H$361,7,false),1)="A","W",if(LEFT(VLOOKUP($B107,'Round 4'!$B$2:$H$361,7,false),1)="B","L","")),if(LEFT(VLOOKUP($B107,'Round 4'!$F$2:$H$361,3,false),1)="b","W",if(LEFT(VLOOKUP($B107,'Round 4'!$F$2:$H$361,3,false),1)="a","L","")))</f>
        <v>L</v>
      </c>
      <c r="H107" s="67"/>
      <c r="I107" s="67"/>
      <c r="J107" s="67" t="str">
        <f>iferror(iferror(if(LEFT(VLOOKUP($B107,'Round 7'!$B$2:$H$361,7,false),1)="A","W",if(LEFT(VLOOKUP($B107,'Round 7'!$B$2:$H$361,7,false),1)="B","L","")),if(LEFT(VLOOKUP($B107,'Round 7'!$F$2:$H$361,3,false),1)="b","W",if(LEFT(VLOOKUP($B107,'Round 7'!$F$2:$H$361,3,false),1)="a","L",""))),"")</f>
        <v/>
      </c>
      <c r="K107" s="68" t="str">
        <f>iferror(iferror(if(LEFT(VLOOKUP($B107,'Round 8'!$B$2:$H$361,7,false),1)="A","W",if(LEFT(VLOOKUP($B107,'Round 8'!$B$2:$H$361,7,false),1)="B","L","")),if(LEFT(VLOOKUP($B107,'Round 8'!$F$2:$H$361,3,false),1)="b","W",if(LEFT(VLOOKUP($B107,'Round 8'!$F$2:$H$361,3,false),1)="a","L",""))),"")</f>
        <v/>
      </c>
      <c r="L107" s="68" t="str">
        <f>iferror(iferror(if(LEFT(VLOOKUP($B107,'Round 9'!$B$2:$H$361,7,false),1)="A","W",if(LEFT(VLOOKUP($B107,'Round 9'!$B$2:$H$361,7,false),1)="B","L","")),if(LEFT(VLOOKUP($B107,'Round 9'!$F$2:$H$361,3,false),1)="b","W",if(LEFT(VLOOKUP($B107,'Round 9'!$F$2:$H$361,3,false),1)="a","L",""))),"")</f>
        <v/>
      </c>
      <c r="M107" s="68" t="str">
        <f>iferror(iferror(if(LEFT(VLOOKUP($B107,'Round 10'!$B$2:$H$362,7,false),1)="A","W",if(LEFT(VLOOKUP($B107,'Round 10'!$B$2:$H$362,7,false),1)="B","L","")),if(LEFT(VLOOKUP($B107,'Round 10'!$F$2:$H$362,3,false),1)="b","W",if(LEFT(VLOOKUP($B107,'Round 10'!$F$2:$H$362,3,false),1)="a","L",""))),"")</f>
        <v/>
      </c>
      <c r="N107" s="62" t="s">
        <v>292</v>
      </c>
    </row>
    <row r="108">
      <c r="A108" s="63">
        <v>107.0</v>
      </c>
      <c r="B108" s="64" t="s">
        <v>293</v>
      </c>
      <c r="C108" s="65" t="str">
        <f t="shared" si="1"/>
        <v>5 - 3</v>
      </c>
      <c r="D108" s="67" t="str">
        <f>iferror(if(LEFT(VLOOKUP($B108,'Round 1'!$B$2:$H$361,7,false),1)="A","W",if(LEFT(VLOOKUP($B108,'Round 1'!$B$2:$H$361,7,false),1)="B","L","")),if(LEFT(VLOOKUP($B108,'Round 1'!$F$2:$H$361,3,false),1)="b","W",if(LEFT(VLOOKUP($B108,'Round 1'!$F$2:$H$361,3,false),1)="a","L","")))</f>
        <v>W</v>
      </c>
      <c r="E108" s="67" t="str">
        <f>iferror(if(LEFT(VLOOKUP($B108,'Round 2'!$C$2:$J$361,8,false),1)="A","W",if(LEFT(VLOOKUP($B108,'Round 2'!$C$2:$J$361,8,false),1)="B","L","")),if(LEFT(VLOOKUP($B108,'Round 2'!$G$2:$J$361,4,false),1)="b","W",if(LEFT(VLOOKUP($B108,'Round 2'!$G$2:$J$361,4,false),1)="a","L","")))</f>
        <v>L</v>
      </c>
      <c r="F108" s="67" t="str">
        <f>iferror(if(LEFT(VLOOKUP($B108,'Round 3'!$B$2:$H$361,7,false),1)="A","W",if(LEFT(VLOOKUP($B108,'Round 3'!$B$2:$H$361,7,false),1)="B","L","")),if(LEFT(VLOOKUP($B108,'Round 3'!$F$2:$H$361,3,false),1)="b","W",if(LEFT(VLOOKUP($B108,'Round 3'!$F$2:$H$361,3,false),1)="a","L","")))</f>
        <v>W</v>
      </c>
      <c r="G108" s="67" t="str">
        <f>iferror(if(LEFT(VLOOKUP($B108,'Round 4'!$B$2:$H$361,7,false),1)="A","W",if(LEFT(VLOOKUP($B108,'Round 4'!$B$2:$H$361,7,false),1)="B","L","")),if(LEFT(VLOOKUP($B108,'Round 4'!$F$2:$H$361,3,false),1)="b","W",if(LEFT(VLOOKUP($B108,'Round 4'!$F$2:$H$361,3,false),1)="a","L","")))</f>
        <v>W</v>
      </c>
      <c r="H108" s="67" t="str">
        <f>iferror(if(LEFT(VLOOKUP($B108,'Round 5'!$B$2:$H$361,7,false),1)="A","W",if(LEFT(VLOOKUP($B108,'Round 5'!$B$2:$H$361,7,false),1)="B","L","")),if(LEFT(VLOOKUP($B108,'Round 5'!$F$2:$H$361,3,false),1)="b","W",if(LEFT(VLOOKUP($B108,'Round 5'!$F$2:$H$361,3,false),1)="a","L","")))</f>
        <v>L</v>
      </c>
      <c r="I108" s="67" t="str">
        <f>iferror(if(LEFT(VLOOKUP($B108,'Round 6'!$B$2:$H$361,7,false),1)="A","W",if(LEFT(VLOOKUP($B108,'Round 6'!$B$2:$H$361,7,false),1)="B","L","")),if(LEFT(VLOOKUP($B108,'Round 6'!$F$2:$H$361,3,false),1)="b","W",if(LEFT(VLOOKUP($B108,'Round 6'!$F$2:$H$361,3,false),1)="a","L","")))</f>
        <v>W</v>
      </c>
      <c r="J108" s="67" t="str">
        <f>iferror(iferror(if(LEFT(VLOOKUP($B108,'Round 7'!$B$2:$H$361,7,false),1)="A","W",if(LEFT(VLOOKUP($B108,'Round 7'!$B$2:$H$361,7,false),1)="B","L","")),if(LEFT(VLOOKUP($B108,'Round 7'!$F$2:$H$361,3,false),1)="b","W",if(LEFT(VLOOKUP($B108,'Round 7'!$F$2:$H$361,3,false),1)="a","L",""))),"")</f>
        <v>W</v>
      </c>
      <c r="K108" s="68" t="str">
        <f>iferror(iferror(if(LEFT(VLOOKUP($B108,'Round 8'!$B$2:$H$361,7,false),1)="A","W",if(LEFT(VLOOKUP($B108,'Round 8'!$B$2:$H$361,7,false),1)="B","L","")),if(LEFT(VLOOKUP($B108,'Round 8'!$F$2:$H$361,3,false),1)="b","W",if(LEFT(VLOOKUP($B108,'Round 8'!$F$2:$H$361,3,false),1)="a","L",""))),"")</f>
        <v>L</v>
      </c>
      <c r="L108" s="68" t="str">
        <f>iferror(iferror(if(LEFT(VLOOKUP($B108,'Round 9'!$B$2:$H$361,7,false),1)="A","W",if(LEFT(VLOOKUP($B108,'Round 9'!$B$2:$H$361,7,false),1)="B","L","")),if(LEFT(VLOOKUP($B108,'Round 9'!$F$2:$H$361,3,false),1)="b","W",if(LEFT(VLOOKUP($B108,'Round 9'!$F$2:$H$361,3,false),1)="a","L",""))),"")</f>
        <v/>
      </c>
      <c r="M108" s="68" t="str">
        <f>iferror(iferror(if(LEFT(VLOOKUP($B108,'Round 10'!$B$2:$H$362,7,false),1)="A","W",if(LEFT(VLOOKUP($B108,'Round 10'!$B$2:$H$362,7,false),1)="B","L","")),if(LEFT(VLOOKUP($B108,'Round 10'!$F$2:$H$362,3,false),1)="b","W",if(LEFT(VLOOKUP($B108,'Round 10'!$F$2:$H$362,3,false),1)="a","L",""))),"")</f>
        <v/>
      </c>
      <c r="N108" s="62" t="s">
        <v>294</v>
      </c>
    </row>
    <row r="109">
      <c r="A109" s="63">
        <v>108.0</v>
      </c>
      <c r="B109" s="64" t="s">
        <v>295</v>
      </c>
      <c r="C109" s="65" t="str">
        <f t="shared" si="1"/>
        <v>3 - 3</v>
      </c>
      <c r="D109" s="67" t="str">
        <f>iferror(if(LEFT(VLOOKUP($B109,'Round 1'!$B$2:$H$361,7,false),1)="A","W",if(LEFT(VLOOKUP($B109,'Round 1'!$B$2:$H$361,7,false),1)="B","L","")),if(LEFT(VLOOKUP($B109,'Round 1'!$F$2:$H$361,3,false),1)="b","W",if(LEFT(VLOOKUP($B109,'Round 1'!$F$2:$H$361,3,false),1)="a","L","")))</f>
        <v>W</v>
      </c>
      <c r="E109" s="67" t="str">
        <f>iferror(if(LEFT(VLOOKUP($B109,'Round 2'!$C$2:$J$361,8,false),1)="A","W",if(LEFT(VLOOKUP($B109,'Round 2'!$C$2:$J$361,8,false),1)="B","L","")),if(LEFT(VLOOKUP($B109,'Round 2'!$G$2:$J$361,4,false),1)="b","W",if(LEFT(VLOOKUP($B109,'Round 2'!$G$2:$J$361,4,false),1)="a","L","")))</f>
        <v>W</v>
      </c>
      <c r="F109" s="67" t="str">
        <f>iferror(if(LEFT(VLOOKUP($B109,'Round 3'!$B$2:$H$361,7,false),1)="A","W",if(LEFT(VLOOKUP($B109,'Round 3'!$B$2:$H$361,7,false),1)="B","L","")),if(LEFT(VLOOKUP($B109,'Round 3'!$F$2:$H$361,3,false),1)="b","W",if(LEFT(VLOOKUP($B109,'Round 3'!$F$2:$H$361,3,false),1)="a","L","")))</f>
        <v>W</v>
      </c>
      <c r="G109" s="67" t="str">
        <f>iferror(if(LEFT(VLOOKUP($B109,'Round 4'!$B$2:$H$361,7,false),1)="A","W",if(LEFT(VLOOKUP($B109,'Round 4'!$B$2:$H$361,7,false),1)="B","L","")),if(LEFT(VLOOKUP($B109,'Round 4'!$F$2:$H$361,3,false),1)="b","W",if(LEFT(VLOOKUP($B109,'Round 4'!$F$2:$H$361,3,false),1)="a","L","")))</f>
        <v>L</v>
      </c>
      <c r="H109" s="67" t="str">
        <f>iferror(if(LEFT(VLOOKUP($B109,'Round 5'!$B$2:$H$361,7,false),1)="A","W",if(LEFT(VLOOKUP($B109,'Round 5'!$B$2:$H$361,7,false),1)="B","L","")),if(LEFT(VLOOKUP($B109,'Round 5'!$F$2:$H$361,3,false),1)="b","W",if(LEFT(VLOOKUP($B109,'Round 5'!$F$2:$H$361,3,false),1)="a","L","")))</f>
        <v>L</v>
      </c>
      <c r="I109" s="67" t="str">
        <f>iferror(if(LEFT(VLOOKUP($B109,'Round 6'!$B$2:$H$361,7,false),1)="A","W",if(LEFT(VLOOKUP($B109,'Round 6'!$B$2:$H$361,7,false),1)="B","L","")),if(LEFT(VLOOKUP($B109,'Round 6'!$F$2:$H$361,3,false),1)="b","W",if(LEFT(VLOOKUP($B109,'Round 6'!$F$2:$H$361,3,false),1)="a","L","")))</f>
        <v>L</v>
      </c>
      <c r="J109" s="67" t="str">
        <f>iferror(iferror(if(LEFT(VLOOKUP($B109,'Round 7'!$B$2:$H$361,7,false),1)="A","W",if(LEFT(VLOOKUP($B109,'Round 7'!$B$2:$H$361,7,false),1)="B","L","")),if(LEFT(VLOOKUP($B109,'Round 7'!$F$2:$H$361,3,false),1)="b","W",if(LEFT(VLOOKUP($B109,'Round 7'!$F$2:$H$361,3,false),1)="a","L",""))),"")</f>
        <v/>
      </c>
      <c r="K109" s="68" t="str">
        <f>iferror(iferror(if(LEFT(VLOOKUP($B109,'Round 8'!$B$2:$H$361,7,false),1)="A","W",if(LEFT(VLOOKUP($B109,'Round 8'!$B$2:$H$361,7,false),1)="B","L","")),if(LEFT(VLOOKUP($B109,'Round 8'!$F$2:$H$361,3,false),1)="b","W",if(LEFT(VLOOKUP($B109,'Round 8'!$F$2:$H$361,3,false),1)="a","L",""))),"")</f>
        <v/>
      </c>
      <c r="L109" s="68" t="str">
        <f>iferror(iferror(if(LEFT(VLOOKUP($B109,'Round 9'!$B$2:$H$361,7,false),1)="A","W",if(LEFT(VLOOKUP($B109,'Round 9'!$B$2:$H$361,7,false),1)="B","L","")),if(LEFT(VLOOKUP($B109,'Round 9'!$F$2:$H$361,3,false),1)="b","W",if(LEFT(VLOOKUP($B109,'Round 9'!$F$2:$H$361,3,false),1)="a","L",""))),"")</f>
        <v/>
      </c>
      <c r="M109" s="68" t="str">
        <f>iferror(iferror(if(LEFT(VLOOKUP($B109,'Round 10'!$B$2:$H$362,7,false),1)="A","W",if(LEFT(VLOOKUP($B109,'Round 10'!$B$2:$H$362,7,false),1)="B","L","")),if(LEFT(VLOOKUP($B109,'Round 10'!$F$2:$H$362,3,false),1)="b","W",if(LEFT(VLOOKUP($B109,'Round 10'!$F$2:$H$362,3,false),1)="a","L",""))),"")</f>
        <v/>
      </c>
      <c r="N109" s="62" t="s">
        <v>144</v>
      </c>
    </row>
    <row r="110">
      <c r="A110" s="63">
        <v>109.0</v>
      </c>
      <c r="B110" s="64" t="s">
        <v>296</v>
      </c>
      <c r="C110" s="65" t="str">
        <f t="shared" si="1"/>
        <v>0 - 3</v>
      </c>
      <c r="D110" s="67" t="str">
        <f>iferror(if(LEFT(VLOOKUP($B110,'Round 1'!$B$2:$H$361,7,false),1)="A","W",if(LEFT(VLOOKUP($B110,'Round 1'!$B$2:$H$361,7,false),1)="B","L","")),if(LEFT(VLOOKUP($B110,'Round 1'!$F$2:$H$361,3,false),1)="b","W",if(LEFT(VLOOKUP($B110,'Round 1'!$F$2:$H$361,3,false),1)="a","L","")))</f>
        <v>L</v>
      </c>
      <c r="E110" s="67" t="str">
        <f>iferror(if(LEFT(VLOOKUP($B110,'Round 2'!$C$2:$J$361,8,false),1)="A","W",if(LEFT(VLOOKUP($B110,'Round 2'!$C$2:$J$361,8,false),1)="B","L","")),if(LEFT(VLOOKUP($B110,'Round 2'!$G$2:$J$361,4,false),1)="b","W",if(LEFT(VLOOKUP($B110,'Round 2'!$G$2:$J$361,4,false),1)="a","L","")))</f>
        <v>L</v>
      </c>
      <c r="F110" s="67" t="str">
        <f>iferror(if(LEFT(VLOOKUP($B110,'Round 3'!$B$2:$H$361,7,false),1)="A","W",if(LEFT(VLOOKUP($B110,'Round 3'!$B$2:$H$361,7,false),1)="B","L","")),if(LEFT(VLOOKUP($B110,'Round 3'!$F$2:$H$361,3,false),1)="b","W",if(LEFT(VLOOKUP($B110,'Round 3'!$F$2:$H$361,3,false),1)="a","L","")))</f>
        <v>L</v>
      </c>
      <c r="G110" s="67"/>
      <c r="H110" s="67"/>
      <c r="I110" s="67"/>
      <c r="J110" s="67" t="str">
        <f>iferror(iferror(if(LEFT(VLOOKUP($B110,'Round 7'!$B$2:$H$361,7,false),1)="A","W",if(LEFT(VLOOKUP($B110,'Round 7'!$B$2:$H$361,7,false),1)="B","L","")),if(LEFT(VLOOKUP($B110,'Round 7'!$F$2:$H$361,3,false),1)="b","W",if(LEFT(VLOOKUP($B110,'Round 7'!$F$2:$H$361,3,false),1)="a","L",""))),"")</f>
        <v/>
      </c>
      <c r="K110" s="68" t="str">
        <f>iferror(iferror(if(LEFT(VLOOKUP($B110,'Round 8'!$B$2:$H$361,7,false),1)="A","W",if(LEFT(VLOOKUP($B110,'Round 8'!$B$2:$H$361,7,false),1)="B","L","")),if(LEFT(VLOOKUP($B110,'Round 8'!$F$2:$H$361,3,false),1)="b","W",if(LEFT(VLOOKUP($B110,'Round 8'!$F$2:$H$361,3,false),1)="a","L",""))),"")</f>
        <v/>
      </c>
      <c r="L110" s="68" t="str">
        <f>iferror(iferror(if(LEFT(VLOOKUP($B110,'Round 9'!$B$2:$H$361,7,false),1)="A","W",if(LEFT(VLOOKUP($B110,'Round 9'!$B$2:$H$361,7,false),1)="B","L","")),if(LEFT(VLOOKUP($B110,'Round 9'!$F$2:$H$361,3,false),1)="b","W",if(LEFT(VLOOKUP($B110,'Round 9'!$F$2:$H$361,3,false),1)="a","L",""))),"")</f>
        <v/>
      </c>
      <c r="M110" s="68" t="str">
        <f>iferror(iferror(if(LEFT(VLOOKUP($B110,'Round 10'!$B$2:$H$362,7,false),1)="A","W",if(LEFT(VLOOKUP($B110,'Round 10'!$B$2:$H$362,7,false),1)="B","L","")),if(LEFT(VLOOKUP($B110,'Round 10'!$F$2:$H$362,3,false),1)="b","W",if(LEFT(VLOOKUP($B110,'Round 10'!$F$2:$H$362,3,false),1)="a","L",""))),"")</f>
        <v/>
      </c>
      <c r="N110" s="62" t="s">
        <v>297</v>
      </c>
    </row>
    <row r="111">
      <c r="A111" s="63">
        <v>110.0</v>
      </c>
      <c r="B111" s="64" t="s">
        <v>298</v>
      </c>
      <c r="C111" s="65" t="str">
        <f t="shared" si="1"/>
        <v>1 - 3</v>
      </c>
      <c r="D111" s="67" t="str">
        <f>iferror(if(LEFT(VLOOKUP($B111,'Round 1'!$B$2:$H$361,7,false),1)="A","W",if(LEFT(VLOOKUP($B111,'Round 1'!$B$2:$H$361,7,false),1)="B","L","")),if(LEFT(VLOOKUP($B111,'Round 1'!$F$2:$H$361,3,false),1)="b","W",if(LEFT(VLOOKUP($B111,'Round 1'!$F$2:$H$361,3,false),1)="a","L","")))</f>
        <v>L</v>
      </c>
      <c r="E111" s="67" t="str">
        <f>iferror(if(LEFT(VLOOKUP($B111,'Round 2'!$C$2:$J$361,8,false),1)="A","W",if(LEFT(VLOOKUP($B111,'Round 2'!$C$2:$J$361,8,false),1)="B","L","")),if(LEFT(VLOOKUP($B111,'Round 2'!$G$2:$J$361,4,false),1)="b","W",if(LEFT(VLOOKUP($B111,'Round 2'!$G$2:$J$361,4,false),1)="a","L","")))</f>
        <v>L</v>
      </c>
      <c r="F111" s="67" t="str">
        <f>iferror(if(LEFT(VLOOKUP($B111,'Round 3'!$B$2:$H$361,7,false),1)="A","W",if(LEFT(VLOOKUP($B111,'Round 3'!$B$2:$H$361,7,false),1)="B","L","")),if(LEFT(VLOOKUP($B111,'Round 3'!$F$2:$H$361,3,false),1)="b","W",if(LEFT(VLOOKUP($B111,'Round 3'!$F$2:$H$361,3,false),1)="a","L","")))</f>
        <v>W</v>
      </c>
      <c r="G111" s="67" t="str">
        <f>iferror(if(LEFT(VLOOKUP($B111,'Round 4'!$B$2:$H$361,7,false),1)="A","W",if(LEFT(VLOOKUP($B111,'Round 4'!$B$2:$H$361,7,false),1)="B","L","")),if(LEFT(VLOOKUP($B111,'Round 4'!$F$2:$H$361,3,false),1)="b","W",if(LEFT(VLOOKUP($B111,'Round 4'!$F$2:$H$361,3,false),1)="a","L","")))</f>
        <v>L</v>
      </c>
      <c r="H111" s="67"/>
      <c r="I111" s="67"/>
      <c r="J111" s="67" t="str">
        <f>iferror(iferror(if(LEFT(VLOOKUP($B111,'Round 7'!$B$2:$H$361,7,false),1)="A","W",if(LEFT(VLOOKUP($B111,'Round 7'!$B$2:$H$361,7,false),1)="B","L","")),if(LEFT(VLOOKUP($B111,'Round 7'!$F$2:$H$361,3,false),1)="b","W",if(LEFT(VLOOKUP($B111,'Round 7'!$F$2:$H$361,3,false),1)="a","L",""))),"")</f>
        <v/>
      </c>
      <c r="K111" s="68" t="str">
        <f>iferror(iferror(if(LEFT(VLOOKUP($B111,'Round 8'!$B$2:$H$361,7,false),1)="A","W",if(LEFT(VLOOKUP($B111,'Round 8'!$B$2:$H$361,7,false),1)="B","L","")),if(LEFT(VLOOKUP($B111,'Round 8'!$F$2:$H$361,3,false),1)="b","W",if(LEFT(VLOOKUP($B111,'Round 8'!$F$2:$H$361,3,false),1)="a","L",""))),"")</f>
        <v/>
      </c>
      <c r="L111" s="68" t="str">
        <f>iferror(iferror(if(LEFT(VLOOKUP($B111,'Round 9'!$B$2:$H$361,7,false),1)="A","W",if(LEFT(VLOOKUP($B111,'Round 9'!$B$2:$H$361,7,false),1)="B","L","")),if(LEFT(VLOOKUP($B111,'Round 9'!$F$2:$H$361,3,false),1)="b","W",if(LEFT(VLOOKUP($B111,'Round 9'!$F$2:$H$361,3,false),1)="a","L",""))),"")</f>
        <v/>
      </c>
      <c r="M111" s="68" t="str">
        <f>iferror(iferror(if(LEFT(VLOOKUP($B111,'Round 10'!$B$2:$H$362,7,false),1)="A","W",if(LEFT(VLOOKUP($B111,'Round 10'!$B$2:$H$362,7,false),1)="B","L","")),if(LEFT(VLOOKUP($B111,'Round 10'!$F$2:$H$362,3,false),1)="b","W",if(LEFT(VLOOKUP($B111,'Round 10'!$F$2:$H$362,3,false),1)="a","L",""))),"")</f>
        <v/>
      </c>
      <c r="N111" s="62" t="s">
        <v>299</v>
      </c>
    </row>
    <row r="112">
      <c r="A112" s="63">
        <v>111.0</v>
      </c>
      <c r="B112" s="64" t="s">
        <v>300</v>
      </c>
      <c r="C112" s="65" t="str">
        <f t="shared" si="1"/>
        <v>1 - 3</v>
      </c>
      <c r="D112" s="67" t="str">
        <f>iferror(if(LEFT(VLOOKUP($B112,'Round 1'!$B$2:$H$361,7,false),1)="A","W",if(LEFT(VLOOKUP($B112,'Round 1'!$B$2:$H$361,7,false),1)="B","L","")),if(LEFT(VLOOKUP($B112,'Round 1'!$F$2:$H$361,3,false),1)="b","W",if(LEFT(VLOOKUP($B112,'Round 1'!$F$2:$H$361,3,false),1)="a","L","")))</f>
        <v>W</v>
      </c>
      <c r="E112" s="67" t="str">
        <f>iferror(if(LEFT(VLOOKUP($B112,'Round 2'!$C$2:$J$361,8,false),1)="A","W",if(LEFT(VLOOKUP($B112,'Round 2'!$C$2:$J$361,8,false),1)="B","L","")),if(LEFT(VLOOKUP($B112,'Round 2'!$G$2:$J$361,4,false),1)="b","W",if(LEFT(VLOOKUP($B112,'Round 2'!$G$2:$J$361,4,false),1)="a","L","")))</f>
        <v>L</v>
      </c>
      <c r="F112" s="67" t="str">
        <f>iferror(if(LEFT(VLOOKUP($B112,'Round 3'!$B$2:$H$361,7,false),1)="A","W",if(LEFT(VLOOKUP($B112,'Round 3'!$B$2:$H$361,7,false),1)="B","L","")),if(LEFT(VLOOKUP($B112,'Round 3'!$F$2:$H$361,3,false),1)="b","W",if(LEFT(VLOOKUP($B112,'Round 3'!$F$2:$H$361,3,false),1)="a","L","")))</f>
        <v>L</v>
      </c>
      <c r="G112" s="67" t="str">
        <f>iferror(if(LEFT(VLOOKUP($B112,'Round 4'!$B$2:$H$361,7,false),1)="A","W",if(LEFT(VLOOKUP($B112,'Round 4'!$B$2:$H$361,7,false),1)="B","L","")),if(LEFT(VLOOKUP($B112,'Round 4'!$F$2:$H$361,3,false),1)="b","W",if(LEFT(VLOOKUP($B112,'Round 4'!$F$2:$H$361,3,false),1)="a","L","")))</f>
        <v>L</v>
      </c>
      <c r="H112" s="67"/>
      <c r="I112" s="67"/>
      <c r="J112" s="67" t="str">
        <f>iferror(iferror(if(LEFT(VLOOKUP($B112,'Round 7'!$B$2:$H$361,7,false),1)="A","W",if(LEFT(VLOOKUP($B112,'Round 7'!$B$2:$H$361,7,false),1)="B","L","")),if(LEFT(VLOOKUP($B112,'Round 7'!$F$2:$H$361,3,false),1)="b","W",if(LEFT(VLOOKUP($B112,'Round 7'!$F$2:$H$361,3,false),1)="a","L",""))),"")</f>
        <v/>
      </c>
      <c r="K112" s="68" t="str">
        <f>iferror(iferror(if(LEFT(VLOOKUP($B112,'Round 8'!$B$2:$H$361,7,false),1)="A","W",if(LEFT(VLOOKUP($B112,'Round 8'!$B$2:$H$361,7,false),1)="B","L","")),if(LEFT(VLOOKUP($B112,'Round 8'!$F$2:$H$361,3,false),1)="b","W",if(LEFT(VLOOKUP($B112,'Round 8'!$F$2:$H$361,3,false),1)="a","L",""))),"")</f>
        <v/>
      </c>
      <c r="L112" s="68" t="str">
        <f>iferror(iferror(if(LEFT(VLOOKUP($B112,'Round 9'!$B$2:$H$361,7,false),1)="A","W",if(LEFT(VLOOKUP($B112,'Round 9'!$B$2:$H$361,7,false),1)="B","L","")),if(LEFT(VLOOKUP($B112,'Round 9'!$F$2:$H$361,3,false),1)="b","W",if(LEFT(VLOOKUP($B112,'Round 9'!$F$2:$H$361,3,false),1)="a","L",""))),"")</f>
        <v/>
      </c>
      <c r="M112" s="68" t="str">
        <f>iferror(iferror(if(LEFT(VLOOKUP($B112,'Round 10'!$B$2:$H$362,7,false),1)="A","W",if(LEFT(VLOOKUP($B112,'Round 10'!$B$2:$H$362,7,false),1)="B","L","")),if(LEFT(VLOOKUP($B112,'Round 10'!$F$2:$H$362,3,false),1)="b","W",if(LEFT(VLOOKUP($B112,'Round 10'!$F$2:$H$362,3,false),1)="a","L",""))),"")</f>
        <v/>
      </c>
      <c r="N112" s="62" t="s">
        <v>301</v>
      </c>
    </row>
    <row r="113">
      <c r="A113" s="63">
        <v>112.0</v>
      </c>
      <c r="B113" s="64" t="s">
        <v>302</v>
      </c>
      <c r="C113" s="65" t="str">
        <f t="shared" si="1"/>
        <v>2 - 3</v>
      </c>
      <c r="D113" s="67" t="str">
        <f>iferror(if(LEFT(VLOOKUP($B113,'Round 1'!$B$2:$H$361,7,false),1)="A","W",if(LEFT(VLOOKUP($B113,'Round 1'!$B$2:$H$361,7,false),1)="B","L","")),if(LEFT(VLOOKUP($B113,'Round 1'!$F$2:$H$361,3,false),1)="b","W",if(LEFT(VLOOKUP($B113,'Round 1'!$F$2:$H$361,3,false),1)="a","L","")))</f>
        <v>L</v>
      </c>
      <c r="E113" s="67" t="str">
        <f>iferror(if(LEFT(VLOOKUP($B113,'Round 2'!$C$2:$J$361,8,false),1)="A","W",if(LEFT(VLOOKUP($B113,'Round 2'!$C$2:$J$361,8,false),1)="B","L","")),if(LEFT(VLOOKUP($B113,'Round 2'!$G$2:$J$361,4,false),1)="b","W",if(LEFT(VLOOKUP($B113,'Round 2'!$G$2:$J$361,4,false),1)="a","L","")))</f>
        <v>W</v>
      </c>
      <c r="F113" s="67" t="str">
        <f>iferror(if(LEFT(VLOOKUP($B113,'Round 3'!$B$2:$H$361,7,false),1)="A","W",if(LEFT(VLOOKUP($B113,'Round 3'!$B$2:$H$361,7,false),1)="B","L","")),if(LEFT(VLOOKUP($B113,'Round 3'!$F$2:$H$361,3,false),1)="b","W",if(LEFT(VLOOKUP($B113,'Round 3'!$F$2:$H$361,3,false),1)="a","L","")))</f>
        <v>W</v>
      </c>
      <c r="G113" s="67" t="str">
        <f>iferror(if(LEFT(VLOOKUP($B113,'Round 4'!$B$2:$H$361,7,false),1)="A","W",if(LEFT(VLOOKUP($B113,'Round 4'!$B$2:$H$361,7,false),1)="B","L","")),if(LEFT(VLOOKUP($B113,'Round 4'!$F$2:$H$361,3,false),1)="b","W",if(LEFT(VLOOKUP($B113,'Round 4'!$F$2:$H$361,3,false),1)="a","L","")))</f>
        <v>L</v>
      </c>
      <c r="H113" s="67" t="str">
        <f>iferror(if(LEFT(VLOOKUP($B113,'Round 5'!$B$2:$H$361,7,false),1)="A","W",if(LEFT(VLOOKUP($B113,'Round 5'!$B$2:$H$361,7,false),1)="B","L","")),if(LEFT(VLOOKUP($B113,'Round 5'!$F$2:$H$361,3,false),1)="b","W",if(LEFT(VLOOKUP($B113,'Round 5'!$F$2:$H$361,3,false),1)="a","L","")))</f>
        <v>L</v>
      </c>
      <c r="I113" s="67"/>
      <c r="J113" s="67" t="str">
        <f>iferror(iferror(if(LEFT(VLOOKUP($B113,'Round 7'!$B$2:$H$361,7,false),1)="A","W",if(LEFT(VLOOKUP($B113,'Round 7'!$B$2:$H$361,7,false),1)="B","L","")),if(LEFT(VLOOKUP($B113,'Round 7'!$F$2:$H$361,3,false),1)="b","W",if(LEFT(VLOOKUP($B113,'Round 7'!$F$2:$H$361,3,false),1)="a","L",""))),"")</f>
        <v/>
      </c>
      <c r="K113" s="68" t="str">
        <f>iferror(iferror(if(LEFT(VLOOKUP($B113,'Round 8'!$B$2:$H$361,7,false),1)="A","W",if(LEFT(VLOOKUP($B113,'Round 8'!$B$2:$H$361,7,false),1)="B","L","")),if(LEFT(VLOOKUP($B113,'Round 8'!$F$2:$H$361,3,false),1)="b","W",if(LEFT(VLOOKUP($B113,'Round 8'!$F$2:$H$361,3,false),1)="a","L",""))),"")</f>
        <v/>
      </c>
      <c r="L113" s="68" t="str">
        <f>iferror(iferror(if(LEFT(VLOOKUP($B113,'Round 9'!$B$2:$H$361,7,false),1)="A","W",if(LEFT(VLOOKUP($B113,'Round 9'!$B$2:$H$361,7,false),1)="B","L","")),if(LEFT(VLOOKUP($B113,'Round 9'!$F$2:$H$361,3,false),1)="b","W",if(LEFT(VLOOKUP($B113,'Round 9'!$F$2:$H$361,3,false),1)="a","L",""))),"")</f>
        <v/>
      </c>
      <c r="M113" s="68" t="str">
        <f>iferror(iferror(if(LEFT(VLOOKUP($B113,'Round 10'!$B$2:$H$362,7,false),1)="A","W",if(LEFT(VLOOKUP($B113,'Round 10'!$B$2:$H$362,7,false),1)="B","L","")),if(LEFT(VLOOKUP($B113,'Round 10'!$F$2:$H$362,3,false),1)="b","W",if(LEFT(VLOOKUP($B113,'Round 10'!$F$2:$H$362,3,false),1)="a","L",""))),"")</f>
        <v/>
      </c>
      <c r="N113" s="62" t="s">
        <v>303</v>
      </c>
    </row>
    <row r="114">
      <c r="A114" s="63">
        <v>113.0</v>
      </c>
      <c r="B114" s="64" t="s">
        <v>304</v>
      </c>
      <c r="C114" s="65" t="str">
        <f t="shared" si="1"/>
        <v>7 - 2</v>
      </c>
      <c r="D114" s="67" t="str">
        <f>iferror(if(LEFT(VLOOKUP($B114,'Round 1'!$B$2:$H$361,7,false),1)="A","W",if(LEFT(VLOOKUP($B114,'Round 1'!$B$2:$H$361,7,false),1)="B","L","")),if(LEFT(VLOOKUP($B114,'Round 1'!$F$2:$H$361,3,false),1)="b","W",if(LEFT(VLOOKUP($B114,'Round 1'!$F$2:$H$361,3,false),1)="a","L","")))</f>
        <v>W</v>
      </c>
      <c r="E114" s="67" t="str">
        <f>iferror(if(LEFT(VLOOKUP($B114,'Round 2'!$C$2:$J$361,8,false),1)="A","W",if(LEFT(VLOOKUP($B114,'Round 2'!$C$2:$J$361,8,false),1)="B","L","")),if(LEFT(VLOOKUP($B114,'Round 2'!$G$2:$J$361,4,false),1)="b","W",if(LEFT(VLOOKUP($B114,'Round 2'!$G$2:$J$361,4,false),1)="a","L","")))</f>
        <v>W</v>
      </c>
      <c r="F114" s="67" t="str">
        <f>iferror(if(LEFT(VLOOKUP($B114,'Round 3'!$B$2:$H$361,7,false),1)="A","W",if(LEFT(VLOOKUP($B114,'Round 3'!$B$2:$H$361,7,false),1)="B","L","")),if(LEFT(VLOOKUP($B114,'Round 3'!$F$2:$H$361,3,false),1)="b","W",if(LEFT(VLOOKUP($B114,'Round 3'!$F$2:$H$361,3,false),1)="a","L","")))</f>
        <v>W</v>
      </c>
      <c r="G114" s="67" t="str">
        <f>iferror(if(LEFT(VLOOKUP($B114,'Round 4'!$B$2:$H$361,7,false),1)="A","W",if(LEFT(VLOOKUP($B114,'Round 4'!$B$2:$H$361,7,false),1)="B","L","")),if(LEFT(VLOOKUP($B114,'Round 4'!$F$2:$H$361,3,false),1)="b","W",if(LEFT(VLOOKUP($B114,'Round 4'!$F$2:$H$361,3,false),1)="a","L","")))</f>
        <v>W</v>
      </c>
      <c r="H114" s="67" t="str">
        <f>iferror(if(LEFT(VLOOKUP($B114,'Round 5'!$B$2:$H$361,7,false),1)="A","W",if(LEFT(VLOOKUP($B114,'Round 5'!$B$2:$H$361,7,false),1)="B","L","")),if(LEFT(VLOOKUP($B114,'Round 5'!$F$2:$H$361,3,false),1)="b","W",if(LEFT(VLOOKUP($B114,'Round 5'!$F$2:$H$361,3,false),1)="a","L","")))</f>
        <v>W</v>
      </c>
      <c r="I114" s="67" t="str">
        <f>iferror(if(LEFT(VLOOKUP($B114,'Round 6'!$B$2:$H$361,7,false),1)="A","W",if(LEFT(VLOOKUP($B114,'Round 6'!$B$2:$H$361,7,false),1)="B","L","")),if(LEFT(VLOOKUP($B114,'Round 6'!$F$2:$H$361,3,false),1)="b","W",if(LEFT(VLOOKUP($B114,'Round 6'!$F$2:$H$361,3,false),1)="a","L","")))</f>
        <v>L</v>
      </c>
      <c r="J114" s="67" t="str">
        <f>iferror(iferror(if(LEFT(VLOOKUP($B114,'Round 7'!$B$2:$H$361,7,false),1)="A","W",if(LEFT(VLOOKUP($B114,'Round 7'!$B$2:$H$361,7,false),1)="B","L","")),if(LEFT(VLOOKUP($B114,'Round 7'!$F$2:$H$361,3,false),1)="b","W",if(LEFT(VLOOKUP($B114,'Round 7'!$F$2:$H$361,3,false),1)="a","L",""))),"")</f>
        <v>W</v>
      </c>
      <c r="K114" s="68" t="str">
        <f>iferror(iferror(if(LEFT(VLOOKUP($B114,'Round 8'!$B$2:$H$361,7,false),1)="A","W",if(LEFT(VLOOKUP($B114,'Round 8'!$B$2:$H$361,7,false),1)="B","L","")),if(LEFT(VLOOKUP($B114,'Round 8'!$F$2:$H$361,3,false),1)="b","W",if(LEFT(VLOOKUP($B114,'Round 8'!$F$2:$H$361,3,false),1)="a","L",""))),"")</f>
        <v>L</v>
      </c>
      <c r="L114" s="68" t="str">
        <f>iferror(iferror(if(LEFT(VLOOKUP($B114,'Round 9'!$B$2:$H$361,7,false),1)="A","W",if(LEFT(VLOOKUP($B114,'Round 9'!$B$2:$H$361,7,false),1)="B","L","")),if(LEFT(VLOOKUP($B114,'Round 9'!$F$2:$H$361,3,false),1)="b","W",if(LEFT(VLOOKUP($B114,'Round 9'!$F$2:$H$361,3,false),1)="a","L",""))),"")</f>
        <v>W</v>
      </c>
      <c r="M114" s="68" t="str">
        <f>iferror(iferror(if(LEFT(VLOOKUP($B114,'Round 10'!$B$2:$H$362,7,false),1)="A","W",if(LEFT(VLOOKUP($B114,'Round 10'!$B$2:$H$362,7,false),1)="B","L","")),if(LEFT(VLOOKUP($B114,'Round 10'!$F$2:$H$362,3,false),1)="b","W",if(LEFT(VLOOKUP($B114,'Round 10'!$F$2:$H$362,3,false),1)="a","L",""))),"")</f>
        <v/>
      </c>
      <c r="N114" s="62" t="s">
        <v>305</v>
      </c>
    </row>
    <row r="115">
      <c r="A115" s="63">
        <v>114.0</v>
      </c>
      <c r="B115" s="64" t="s">
        <v>306</v>
      </c>
      <c r="C115" s="65" t="str">
        <f t="shared" si="1"/>
        <v>1 - 3</v>
      </c>
      <c r="D115" s="67" t="str">
        <f>iferror(if(LEFT(VLOOKUP($B115,'Round 1'!$B$2:$H$361,7,false),1)="A","W",if(LEFT(VLOOKUP($B115,'Round 1'!$B$2:$H$361,7,false),1)="B","L","")),if(LEFT(VLOOKUP($B115,'Round 1'!$F$2:$H$361,3,false),1)="b","W",if(LEFT(VLOOKUP($B115,'Round 1'!$F$2:$H$361,3,false),1)="a","L","")))</f>
        <v>W</v>
      </c>
      <c r="E115" s="67" t="str">
        <f>iferror(if(LEFT(VLOOKUP($B115,'Round 2'!$C$2:$J$361,8,false),1)="A","W",if(LEFT(VLOOKUP($B115,'Round 2'!$C$2:$J$361,8,false),1)="B","L","")),if(LEFT(VLOOKUP($B115,'Round 2'!$G$2:$J$361,4,false),1)="b","W",if(LEFT(VLOOKUP($B115,'Round 2'!$G$2:$J$361,4,false),1)="a","L","")))</f>
        <v>L</v>
      </c>
      <c r="F115" s="67" t="str">
        <f>iferror(if(LEFT(VLOOKUP($B115,'Round 3'!$B$2:$H$361,7,false),1)="A","W",if(LEFT(VLOOKUP($B115,'Round 3'!$B$2:$H$361,7,false),1)="B","L","")),if(LEFT(VLOOKUP($B115,'Round 3'!$F$2:$H$361,3,false),1)="b","W",if(LEFT(VLOOKUP($B115,'Round 3'!$F$2:$H$361,3,false),1)="a","L","")))</f>
        <v>L</v>
      </c>
      <c r="G115" s="67" t="str">
        <f>iferror(if(LEFT(VLOOKUP($B115,'Round 4'!$B$2:$H$361,7,false),1)="A","W",if(LEFT(VLOOKUP($B115,'Round 4'!$B$2:$H$361,7,false),1)="B","L","")),if(LEFT(VLOOKUP($B115,'Round 4'!$F$2:$H$361,3,false),1)="b","W",if(LEFT(VLOOKUP($B115,'Round 4'!$F$2:$H$361,3,false),1)="a","L","")))</f>
        <v>L</v>
      </c>
      <c r="H115" s="67"/>
      <c r="I115" s="67"/>
      <c r="J115" s="67" t="str">
        <f>iferror(iferror(if(LEFT(VLOOKUP($B115,'Round 7'!$B$2:$H$361,7,false),1)="A","W",if(LEFT(VLOOKUP($B115,'Round 7'!$B$2:$H$361,7,false),1)="B","L","")),if(LEFT(VLOOKUP($B115,'Round 7'!$F$2:$H$361,3,false),1)="b","W",if(LEFT(VLOOKUP($B115,'Round 7'!$F$2:$H$361,3,false),1)="a","L",""))),"")</f>
        <v/>
      </c>
      <c r="K115" s="68" t="str">
        <f>iferror(iferror(if(LEFT(VLOOKUP($B115,'Round 8'!$B$2:$H$361,7,false),1)="A","W",if(LEFT(VLOOKUP($B115,'Round 8'!$B$2:$H$361,7,false),1)="B","L","")),if(LEFT(VLOOKUP($B115,'Round 8'!$F$2:$H$361,3,false),1)="b","W",if(LEFT(VLOOKUP($B115,'Round 8'!$F$2:$H$361,3,false),1)="a","L",""))),"")</f>
        <v/>
      </c>
      <c r="L115" s="68" t="str">
        <f>iferror(iferror(if(LEFT(VLOOKUP($B115,'Round 9'!$B$2:$H$361,7,false),1)="A","W",if(LEFT(VLOOKUP($B115,'Round 9'!$B$2:$H$361,7,false),1)="B","L","")),if(LEFT(VLOOKUP($B115,'Round 9'!$F$2:$H$361,3,false),1)="b","W",if(LEFT(VLOOKUP($B115,'Round 9'!$F$2:$H$361,3,false),1)="a","L",""))),"")</f>
        <v/>
      </c>
      <c r="M115" s="68" t="str">
        <f>iferror(iferror(if(LEFT(VLOOKUP($B115,'Round 10'!$B$2:$H$362,7,false),1)="A","W",if(LEFT(VLOOKUP($B115,'Round 10'!$B$2:$H$362,7,false),1)="B","L","")),if(LEFT(VLOOKUP($B115,'Round 10'!$F$2:$H$362,3,false),1)="b","W",if(LEFT(VLOOKUP($B115,'Round 10'!$F$2:$H$362,3,false),1)="a","L",""))),"")</f>
        <v/>
      </c>
      <c r="N115" s="62" t="s">
        <v>307</v>
      </c>
    </row>
    <row r="116">
      <c r="A116" s="63">
        <v>115.0</v>
      </c>
      <c r="B116" s="64" t="s">
        <v>308</v>
      </c>
      <c r="C116" s="65" t="str">
        <f t="shared" si="1"/>
        <v>0 - 3</v>
      </c>
      <c r="D116" s="67" t="str">
        <f>iferror(if(LEFT(VLOOKUP($B116,'Round 1'!$B$2:$H$361,7,false),1)="A","W",if(LEFT(VLOOKUP($B116,'Round 1'!$B$2:$H$361,7,false),1)="B","L","")),if(LEFT(VLOOKUP($B116,'Round 1'!$F$2:$H$361,3,false),1)="b","W",if(LEFT(VLOOKUP($B116,'Round 1'!$F$2:$H$361,3,false),1)="a","L","")))</f>
        <v>L</v>
      </c>
      <c r="E116" s="67" t="str">
        <f>iferror(if(LEFT(VLOOKUP($B116,'Round 2'!$C$2:$J$361,8,false),1)="A","W",if(LEFT(VLOOKUP($B116,'Round 2'!$C$2:$J$361,8,false),1)="B","L","")),if(LEFT(VLOOKUP($B116,'Round 2'!$G$2:$J$361,4,false),1)="b","W",if(LEFT(VLOOKUP($B116,'Round 2'!$G$2:$J$361,4,false),1)="a","L","")))</f>
        <v>L</v>
      </c>
      <c r="F116" s="67" t="str">
        <f>iferror(if(LEFT(VLOOKUP($B116,'Round 3'!$B$2:$H$361,7,false),1)="A","W",if(LEFT(VLOOKUP($B116,'Round 3'!$B$2:$H$361,7,false),1)="B","L","")),if(LEFT(VLOOKUP($B116,'Round 3'!$F$2:$H$361,3,false),1)="b","W",if(LEFT(VLOOKUP($B116,'Round 3'!$F$2:$H$361,3,false),1)="a","L","")))</f>
        <v>L</v>
      </c>
      <c r="G116" s="67"/>
      <c r="H116" s="67"/>
      <c r="I116" s="67"/>
      <c r="J116" s="67" t="str">
        <f>iferror(iferror(if(LEFT(VLOOKUP($B116,'Round 7'!$B$2:$H$361,7,false),1)="A","W",if(LEFT(VLOOKUP($B116,'Round 7'!$B$2:$H$361,7,false),1)="B","L","")),if(LEFT(VLOOKUP($B116,'Round 7'!$F$2:$H$361,3,false),1)="b","W",if(LEFT(VLOOKUP($B116,'Round 7'!$F$2:$H$361,3,false),1)="a","L",""))),"")</f>
        <v/>
      </c>
      <c r="K116" s="68" t="str">
        <f>iferror(iferror(if(LEFT(VLOOKUP($B116,'Round 8'!$B$2:$H$361,7,false),1)="A","W",if(LEFT(VLOOKUP($B116,'Round 8'!$B$2:$H$361,7,false),1)="B","L","")),if(LEFT(VLOOKUP($B116,'Round 8'!$F$2:$H$361,3,false),1)="b","W",if(LEFT(VLOOKUP($B116,'Round 8'!$F$2:$H$361,3,false),1)="a","L",""))),"")</f>
        <v/>
      </c>
      <c r="L116" s="68" t="str">
        <f>iferror(iferror(if(LEFT(VLOOKUP($B116,'Round 9'!$B$2:$H$361,7,false),1)="A","W",if(LEFT(VLOOKUP($B116,'Round 9'!$B$2:$H$361,7,false),1)="B","L","")),if(LEFT(VLOOKUP($B116,'Round 9'!$F$2:$H$361,3,false),1)="b","W",if(LEFT(VLOOKUP($B116,'Round 9'!$F$2:$H$361,3,false),1)="a","L",""))),"")</f>
        <v/>
      </c>
      <c r="M116" s="68" t="str">
        <f>iferror(iferror(if(LEFT(VLOOKUP($B116,'Round 10'!$B$2:$H$362,7,false),1)="A","W",if(LEFT(VLOOKUP($B116,'Round 10'!$B$2:$H$362,7,false),1)="B","L","")),if(LEFT(VLOOKUP($B116,'Round 10'!$F$2:$H$362,3,false),1)="b","W",if(LEFT(VLOOKUP($B116,'Round 10'!$F$2:$H$362,3,false),1)="a","L",""))),"")</f>
        <v/>
      </c>
      <c r="N116" s="62" t="s">
        <v>309</v>
      </c>
    </row>
    <row r="117">
      <c r="A117" s="63">
        <v>116.0</v>
      </c>
      <c r="B117" s="64" t="s">
        <v>310</v>
      </c>
      <c r="C117" s="65" t="str">
        <f t="shared" si="1"/>
        <v>0 - 3</v>
      </c>
      <c r="D117" s="67" t="str">
        <f>iferror(if(LEFT(VLOOKUP($B117,'Round 1'!$B$2:$H$361,7,false),1)="A","W",if(LEFT(VLOOKUP($B117,'Round 1'!$B$2:$H$361,7,false),1)="B","L","")),if(LEFT(VLOOKUP($B117,'Round 1'!$F$2:$H$361,3,false),1)="b","W",if(LEFT(VLOOKUP($B117,'Round 1'!$F$2:$H$361,3,false),1)="a","L","")))</f>
        <v>L</v>
      </c>
      <c r="E117" s="67" t="str">
        <f>iferror(if(LEFT(VLOOKUP($B117,'Round 2'!$C$2:$J$361,8,false),1)="A","W",if(LEFT(VLOOKUP($B117,'Round 2'!$C$2:$J$361,8,false),1)="B","L","")),if(LEFT(VLOOKUP($B117,'Round 2'!$G$2:$J$361,4,false),1)="b","W",if(LEFT(VLOOKUP($B117,'Round 2'!$G$2:$J$361,4,false),1)="a","L","")))</f>
        <v>L</v>
      </c>
      <c r="F117" s="67" t="str">
        <f>iferror(if(LEFT(VLOOKUP($B117,'Round 3'!$B$2:$H$361,7,false),1)="A","W",if(LEFT(VLOOKUP($B117,'Round 3'!$B$2:$H$361,7,false),1)="B","L","")),if(LEFT(VLOOKUP($B117,'Round 3'!$F$2:$H$361,3,false),1)="b","W",if(LEFT(VLOOKUP($B117,'Round 3'!$F$2:$H$361,3,false),1)="a","L","")))</f>
        <v>L</v>
      </c>
      <c r="G117" s="67"/>
      <c r="H117" s="67"/>
      <c r="I117" s="67"/>
      <c r="J117" s="67" t="str">
        <f>iferror(iferror(if(LEFT(VLOOKUP($B117,'Round 7'!$B$2:$H$361,7,false),1)="A","W",if(LEFT(VLOOKUP($B117,'Round 7'!$B$2:$H$361,7,false),1)="B","L","")),if(LEFT(VLOOKUP($B117,'Round 7'!$F$2:$H$361,3,false),1)="b","W",if(LEFT(VLOOKUP($B117,'Round 7'!$F$2:$H$361,3,false),1)="a","L",""))),"")</f>
        <v/>
      </c>
      <c r="K117" s="68" t="str">
        <f>iferror(iferror(if(LEFT(VLOOKUP($B117,'Round 8'!$B$2:$H$361,7,false),1)="A","W",if(LEFT(VLOOKUP($B117,'Round 8'!$B$2:$H$361,7,false),1)="B","L","")),if(LEFT(VLOOKUP($B117,'Round 8'!$F$2:$H$361,3,false),1)="b","W",if(LEFT(VLOOKUP($B117,'Round 8'!$F$2:$H$361,3,false),1)="a","L",""))),"")</f>
        <v/>
      </c>
      <c r="L117" s="68" t="str">
        <f>iferror(iferror(if(LEFT(VLOOKUP($B117,'Round 9'!$B$2:$H$361,7,false),1)="A","W",if(LEFT(VLOOKUP($B117,'Round 9'!$B$2:$H$361,7,false),1)="B","L","")),if(LEFT(VLOOKUP($B117,'Round 9'!$F$2:$H$361,3,false),1)="b","W",if(LEFT(VLOOKUP($B117,'Round 9'!$F$2:$H$361,3,false),1)="a","L",""))),"")</f>
        <v/>
      </c>
      <c r="M117" s="68" t="str">
        <f>iferror(iferror(if(LEFT(VLOOKUP($B117,'Round 10'!$B$2:$H$362,7,false),1)="A","W",if(LEFT(VLOOKUP($B117,'Round 10'!$B$2:$H$362,7,false),1)="B","L","")),if(LEFT(VLOOKUP($B117,'Round 10'!$F$2:$H$362,3,false),1)="b","W",if(LEFT(VLOOKUP($B117,'Round 10'!$F$2:$H$362,3,false),1)="a","L",""))),"")</f>
        <v/>
      </c>
      <c r="N117" s="62" t="s">
        <v>311</v>
      </c>
    </row>
    <row r="118">
      <c r="A118" s="63">
        <v>117.0</v>
      </c>
      <c r="B118" s="64" t="s">
        <v>312</v>
      </c>
      <c r="C118" s="65" t="str">
        <f t="shared" si="1"/>
        <v>2 - 3</v>
      </c>
      <c r="D118" s="67" t="str">
        <f>iferror(if(LEFT(VLOOKUP($B118,'Round 1'!$B$2:$H$361,7,false),1)="A","W",if(LEFT(VLOOKUP($B118,'Round 1'!$B$2:$H$361,7,false),1)="B","L","")),if(LEFT(VLOOKUP($B118,'Round 1'!$F$2:$H$361,3,false),1)="b","W",if(LEFT(VLOOKUP($B118,'Round 1'!$F$2:$H$361,3,false),1)="a","L","")))</f>
        <v>L</v>
      </c>
      <c r="E118" s="67" t="str">
        <f>iferror(if(LEFT(VLOOKUP($B118,'Round 2'!$C$2:$J$361,8,false),1)="A","W",if(LEFT(VLOOKUP($B118,'Round 2'!$C$2:$J$361,8,false),1)="B","L","")),if(LEFT(VLOOKUP($B118,'Round 2'!$G$2:$J$361,4,false),1)="b","W",if(LEFT(VLOOKUP($B118,'Round 2'!$G$2:$J$361,4,false),1)="a","L","")))</f>
        <v>W</v>
      </c>
      <c r="F118" s="67" t="str">
        <f>iferror(if(LEFT(VLOOKUP($B118,'Round 3'!$B$2:$H$361,7,false),1)="A","W",if(LEFT(VLOOKUP($B118,'Round 3'!$B$2:$H$361,7,false),1)="B","L","")),if(LEFT(VLOOKUP($B118,'Round 3'!$F$2:$H$361,3,false),1)="b","W",if(LEFT(VLOOKUP($B118,'Round 3'!$F$2:$H$361,3,false),1)="a","L","")))</f>
        <v>W</v>
      </c>
      <c r="G118" s="67" t="str">
        <f>iferror(if(LEFT(VLOOKUP($B118,'Round 4'!$B$2:$H$361,7,false),1)="A","W",if(LEFT(VLOOKUP($B118,'Round 4'!$B$2:$H$361,7,false),1)="B","L","")),if(LEFT(VLOOKUP($B118,'Round 4'!$F$2:$H$361,3,false),1)="b","W",if(LEFT(VLOOKUP($B118,'Round 4'!$F$2:$H$361,3,false),1)="a","L","")))</f>
        <v>L</v>
      </c>
      <c r="H118" s="67" t="str">
        <f>iferror(if(LEFT(VLOOKUP($B118,'Round 5'!$B$2:$H$361,7,false),1)="A","W",if(LEFT(VLOOKUP($B118,'Round 5'!$B$2:$H$361,7,false),1)="B","L","")),if(LEFT(VLOOKUP($B118,'Round 5'!$F$2:$H$361,3,false),1)="b","W",if(LEFT(VLOOKUP($B118,'Round 5'!$F$2:$H$361,3,false),1)="a","L","")))</f>
        <v>L</v>
      </c>
      <c r="I118" s="67"/>
      <c r="J118" s="67" t="str">
        <f>iferror(iferror(if(LEFT(VLOOKUP($B118,'Round 7'!$B$2:$H$361,7,false),1)="A","W",if(LEFT(VLOOKUP($B118,'Round 7'!$B$2:$H$361,7,false),1)="B","L","")),if(LEFT(VLOOKUP($B118,'Round 7'!$F$2:$H$361,3,false),1)="b","W",if(LEFT(VLOOKUP($B118,'Round 7'!$F$2:$H$361,3,false),1)="a","L",""))),"")</f>
        <v/>
      </c>
      <c r="K118" s="68" t="str">
        <f>iferror(iferror(if(LEFT(VLOOKUP($B118,'Round 8'!$B$2:$H$361,7,false),1)="A","W",if(LEFT(VLOOKUP($B118,'Round 8'!$B$2:$H$361,7,false),1)="B","L","")),if(LEFT(VLOOKUP($B118,'Round 8'!$F$2:$H$361,3,false),1)="b","W",if(LEFT(VLOOKUP($B118,'Round 8'!$F$2:$H$361,3,false),1)="a","L",""))),"")</f>
        <v/>
      </c>
      <c r="L118" s="68" t="str">
        <f>iferror(iferror(if(LEFT(VLOOKUP($B118,'Round 9'!$B$2:$H$361,7,false),1)="A","W",if(LEFT(VLOOKUP($B118,'Round 9'!$B$2:$H$361,7,false),1)="B","L","")),if(LEFT(VLOOKUP($B118,'Round 9'!$F$2:$H$361,3,false),1)="b","W",if(LEFT(VLOOKUP($B118,'Round 9'!$F$2:$H$361,3,false),1)="a","L",""))),"")</f>
        <v/>
      </c>
      <c r="M118" s="68" t="str">
        <f>iferror(iferror(if(LEFT(VLOOKUP($B118,'Round 10'!$B$2:$H$362,7,false),1)="A","W",if(LEFT(VLOOKUP($B118,'Round 10'!$B$2:$H$362,7,false),1)="B","L","")),if(LEFT(VLOOKUP($B118,'Round 10'!$F$2:$H$362,3,false),1)="b","W",if(LEFT(VLOOKUP($B118,'Round 10'!$F$2:$H$362,3,false),1)="a","L",""))),"")</f>
        <v/>
      </c>
      <c r="N118" s="62" t="s">
        <v>313</v>
      </c>
    </row>
    <row r="119">
      <c r="A119" s="63">
        <v>118.0</v>
      </c>
      <c r="B119" s="64" t="s">
        <v>314</v>
      </c>
      <c r="C119" s="65" t="str">
        <f t="shared" si="1"/>
        <v>5 - 3</v>
      </c>
      <c r="D119" s="67" t="str">
        <f>iferror(if(LEFT(VLOOKUP($B119,'Round 1'!$B$2:$H$361,7,false),1)="A","W",if(LEFT(VLOOKUP($B119,'Round 1'!$B$2:$H$361,7,false),1)="B","L","")),if(LEFT(VLOOKUP($B119,'Round 1'!$F$2:$H$361,3,false),1)="b","W",if(LEFT(VLOOKUP($B119,'Round 1'!$F$2:$H$361,3,false),1)="a","L","")))</f>
        <v>L</v>
      </c>
      <c r="E119" s="67" t="str">
        <f>iferror(if(LEFT(VLOOKUP($B119,'Round 2'!$C$2:$J$361,8,false),1)="A","W",if(LEFT(VLOOKUP($B119,'Round 2'!$C$2:$J$361,8,false),1)="B","L","")),if(LEFT(VLOOKUP($B119,'Round 2'!$G$2:$J$361,4,false),1)="b","W",if(LEFT(VLOOKUP($B119,'Round 2'!$G$2:$J$361,4,false),1)="a","L","")))</f>
        <v>W</v>
      </c>
      <c r="F119" s="67" t="str">
        <f>iferror(if(LEFT(VLOOKUP($B119,'Round 3'!$B$2:$H$361,7,false),1)="A","W",if(LEFT(VLOOKUP($B119,'Round 3'!$B$2:$H$361,7,false),1)="B","L","")),if(LEFT(VLOOKUP($B119,'Round 3'!$F$2:$H$361,3,false),1)="b","W",if(LEFT(VLOOKUP($B119,'Round 3'!$F$2:$H$361,3,false),1)="a","L","")))</f>
        <v>W</v>
      </c>
      <c r="G119" s="67" t="str">
        <f>iferror(if(LEFT(VLOOKUP($B119,'Round 4'!$B$2:$H$361,7,false),1)="A","W",if(LEFT(VLOOKUP($B119,'Round 4'!$B$2:$H$361,7,false),1)="B","L","")),if(LEFT(VLOOKUP($B119,'Round 4'!$F$2:$H$361,3,false),1)="b","W",if(LEFT(VLOOKUP($B119,'Round 4'!$F$2:$H$361,3,false),1)="a","L","")))</f>
        <v>L</v>
      </c>
      <c r="H119" s="67" t="str">
        <f>iferror(if(LEFT(VLOOKUP($B119,'Round 5'!$B$2:$H$361,7,false),1)="A","W",if(LEFT(VLOOKUP($B119,'Round 5'!$B$2:$H$361,7,false),1)="B","L","")),if(LEFT(VLOOKUP($B119,'Round 5'!$F$2:$H$361,3,false),1)="b","W",if(LEFT(VLOOKUP($B119,'Round 5'!$F$2:$H$361,3,false),1)="a","L","")))</f>
        <v>W</v>
      </c>
      <c r="I119" s="67" t="str">
        <f>iferror(if(LEFT(VLOOKUP($B119,'Round 6'!$B$2:$H$361,7,false),1)="A","W",if(LEFT(VLOOKUP($B119,'Round 6'!$B$2:$H$361,7,false),1)="B","L","")),if(LEFT(VLOOKUP($B119,'Round 6'!$F$2:$H$361,3,false),1)="b","W",if(LEFT(VLOOKUP($B119,'Round 6'!$F$2:$H$361,3,false),1)="a","L","")))</f>
        <v>W</v>
      </c>
      <c r="J119" s="67" t="str">
        <f>iferror(iferror(if(LEFT(VLOOKUP($B119,'Round 7'!$B$2:$H$361,7,false),1)="A","W",if(LEFT(VLOOKUP($B119,'Round 7'!$B$2:$H$361,7,false),1)="B","L","")),if(LEFT(VLOOKUP($B119,'Round 7'!$F$2:$H$361,3,false),1)="b","W",if(LEFT(VLOOKUP($B119,'Round 7'!$F$2:$H$361,3,false),1)="a","L",""))),"")</f>
        <v>W</v>
      </c>
      <c r="K119" s="68" t="str">
        <f>iferror(iferror(if(LEFT(VLOOKUP($B119,'Round 8'!$B$2:$H$361,7,false),1)="A","W",if(LEFT(VLOOKUP($B119,'Round 8'!$B$2:$H$361,7,false),1)="B","L","")),if(LEFT(VLOOKUP($B119,'Round 8'!$F$2:$H$361,3,false),1)="b","W",if(LEFT(VLOOKUP($B119,'Round 8'!$F$2:$H$361,3,false),1)="a","L",""))),"")</f>
        <v>L</v>
      </c>
      <c r="L119" s="68" t="str">
        <f>iferror(iferror(if(LEFT(VLOOKUP($B119,'Round 9'!$B$2:$H$361,7,false),1)="A","W",if(LEFT(VLOOKUP($B119,'Round 9'!$B$2:$H$361,7,false),1)="B","L","")),if(LEFT(VLOOKUP($B119,'Round 9'!$F$2:$H$361,3,false),1)="b","W",if(LEFT(VLOOKUP($B119,'Round 9'!$F$2:$H$361,3,false),1)="a","L",""))),"")</f>
        <v/>
      </c>
      <c r="M119" s="68" t="str">
        <f>iferror(iferror(if(LEFT(VLOOKUP($B119,'Round 10'!$B$2:$H$362,7,false),1)="A","W",if(LEFT(VLOOKUP($B119,'Round 10'!$B$2:$H$362,7,false),1)="B","L","")),if(LEFT(VLOOKUP($B119,'Round 10'!$F$2:$H$362,3,false),1)="b","W",if(LEFT(VLOOKUP($B119,'Round 10'!$F$2:$H$362,3,false),1)="a","L",""))),"")</f>
        <v/>
      </c>
      <c r="N119" s="62" t="s">
        <v>315</v>
      </c>
    </row>
    <row r="120">
      <c r="A120" s="63">
        <v>119.0</v>
      </c>
      <c r="B120" s="64" t="s">
        <v>316</v>
      </c>
      <c r="C120" s="65" t="str">
        <f t="shared" si="1"/>
        <v>0 - 3</v>
      </c>
      <c r="D120" s="67" t="str">
        <f>iferror(if(LEFT(VLOOKUP($B120,'Round 1'!$B$2:$H$361,7,false),1)="A","W",if(LEFT(VLOOKUP($B120,'Round 1'!$B$2:$H$361,7,false),1)="B","L","")),if(LEFT(VLOOKUP($B120,'Round 1'!$F$2:$H$361,3,false),1)="b","W",if(LEFT(VLOOKUP($B120,'Round 1'!$F$2:$H$361,3,false),1)="a","L","")))</f>
        <v>L</v>
      </c>
      <c r="E120" s="67" t="str">
        <f>iferror(if(LEFT(VLOOKUP($B120,'Round 2'!$C$2:$J$361,8,false),1)="A","W",if(LEFT(VLOOKUP($B120,'Round 2'!$C$2:$J$361,8,false),1)="B","L","")),if(LEFT(VLOOKUP($B120,'Round 2'!$G$2:$J$361,4,false),1)="b","W",if(LEFT(VLOOKUP($B120,'Round 2'!$G$2:$J$361,4,false),1)="a","L","")))</f>
        <v>L</v>
      </c>
      <c r="F120" s="67" t="str">
        <f>iferror(if(LEFT(VLOOKUP($B120,'Round 3'!$B$2:$H$361,7,false),1)="A","W",if(LEFT(VLOOKUP($B120,'Round 3'!$B$2:$H$361,7,false),1)="B","L","")),if(LEFT(VLOOKUP($B120,'Round 3'!$F$2:$H$361,3,false),1)="b","W",if(LEFT(VLOOKUP($B120,'Round 3'!$F$2:$H$361,3,false),1)="a","L","")))</f>
        <v>L</v>
      </c>
      <c r="G120" s="67"/>
      <c r="H120" s="67"/>
      <c r="I120" s="67"/>
      <c r="J120" s="67" t="str">
        <f>iferror(iferror(if(LEFT(VLOOKUP($B120,'Round 7'!$B$2:$H$361,7,false),1)="A","W",if(LEFT(VLOOKUP($B120,'Round 7'!$B$2:$H$361,7,false),1)="B","L","")),if(LEFT(VLOOKUP($B120,'Round 7'!$F$2:$H$361,3,false),1)="b","W",if(LEFT(VLOOKUP($B120,'Round 7'!$F$2:$H$361,3,false),1)="a","L",""))),"")</f>
        <v/>
      </c>
      <c r="K120" s="68" t="str">
        <f>iferror(iferror(if(LEFT(VLOOKUP($B120,'Round 8'!$B$2:$H$361,7,false),1)="A","W",if(LEFT(VLOOKUP($B120,'Round 8'!$B$2:$H$361,7,false),1)="B","L","")),if(LEFT(VLOOKUP($B120,'Round 8'!$F$2:$H$361,3,false),1)="b","W",if(LEFT(VLOOKUP($B120,'Round 8'!$F$2:$H$361,3,false),1)="a","L",""))),"")</f>
        <v/>
      </c>
      <c r="L120" s="68" t="str">
        <f>iferror(iferror(if(LEFT(VLOOKUP($B120,'Round 9'!$B$2:$H$361,7,false),1)="A","W",if(LEFT(VLOOKUP($B120,'Round 9'!$B$2:$H$361,7,false),1)="B","L","")),if(LEFT(VLOOKUP($B120,'Round 9'!$F$2:$H$361,3,false),1)="b","W",if(LEFT(VLOOKUP($B120,'Round 9'!$F$2:$H$361,3,false),1)="a","L",""))),"")</f>
        <v/>
      </c>
      <c r="M120" s="68" t="str">
        <f>iferror(iferror(if(LEFT(VLOOKUP($B120,'Round 10'!$B$2:$H$362,7,false),1)="A","W",if(LEFT(VLOOKUP($B120,'Round 10'!$B$2:$H$362,7,false),1)="B","L","")),if(LEFT(VLOOKUP($B120,'Round 10'!$F$2:$H$362,3,false),1)="b","W",if(LEFT(VLOOKUP($B120,'Round 10'!$F$2:$H$362,3,false),1)="a","L",""))),"")</f>
        <v/>
      </c>
      <c r="N120" s="72" t="s">
        <v>144</v>
      </c>
    </row>
    <row r="121">
      <c r="A121" s="63">
        <v>120.0</v>
      </c>
      <c r="B121" s="64" t="s">
        <v>317</v>
      </c>
      <c r="C121" s="65" t="str">
        <f t="shared" si="1"/>
        <v>7 - 2</v>
      </c>
      <c r="D121" s="67" t="str">
        <f>iferror(if(LEFT(VLOOKUP($B121,'Round 1'!$B$2:$H$361,7,false),1)="A","W",if(LEFT(VLOOKUP($B121,'Round 1'!$B$2:$H$361,7,false),1)="B","L","")),if(LEFT(VLOOKUP($B121,'Round 1'!$F$2:$H$361,3,false),1)="b","W",if(LEFT(VLOOKUP($B121,'Round 1'!$F$2:$H$361,3,false),1)="a","L","")))</f>
        <v>W</v>
      </c>
      <c r="E121" s="67" t="str">
        <f>iferror(if(LEFT(VLOOKUP($B121,'Round 2'!$C$2:$J$361,8,false),1)="A","W",if(LEFT(VLOOKUP($B121,'Round 2'!$C$2:$J$361,8,false),1)="B","L","")),if(LEFT(VLOOKUP($B121,'Round 2'!$G$2:$J$361,4,false),1)="b","W",if(LEFT(VLOOKUP($B121,'Round 2'!$G$2:$J$361,4,false),1)="a","L","")))</f>
        <v>W</v>
      </c>
      <c r="F121" s="67" t="str">
        <f>iferror(if(LEFT(VLOOKUP($B121,'Round 3'!$B$2:$H$361,7,false),1)="A","W",if(LEFT(VLOOKUP($B121,'Round 3'!$B$2:$H$361,7,false),1)="B","L","")),if(LEFT(VLOOKUP($B121,'Round 3'!$F$2:$H$361,3,false),1)="b","W",if(LEFT(VLOOKUP($B121,'Round 3'!$F$2:$H$361,3,false),1)="a","L","")))</f>
        <v>W</v>
      </c>
      <c r="G121" s="67" t="str">
        <f>iferror(if(LEFT(VLOOKUP($B121,'Round 4'!$B$2:$H$361,7,false),1)="A","W",if(LEFT(VLOOKUP($B121,'Round 4'!$B$2:$H$361,7,false),1)="B","L","")),if(LEFT(VLOOKUP($B121,'Round 4'!$F$2:$H$361,3,false),1)="b","W",if(LEFT(VLOOKUP($B121,'Round 4'!$F$2:$H$361,3,false),1)="a","L","")))</f>
        <v>W</v>
      </c>
      <c r="H121" s="67" t="str">
        <f>iferror(if(LEFT(VLOOKUP($B121,'Round 5'!$B$2:$H$361,7,false),1)="A","W",if(LEFT(VLOOKUP($B121,'Round 5'!$B$2:$H$361,7,false),1)="B","L","")),if(LEFT(VLOOKUP($B121,'Round 5'!$F$2:$H$361,3,false),1)="b","W",if(LEFT(VLOOKUP($B121,'Round 5'!$F$2:$H$361,3,false),1)="a","L","")))</f>
        <v>W</v>
      </c>
      <c r="I121" s="67" t="str">
        <f>iferror(if(LEFT(VLOOKUP($B121,'Round 6'!$B$2:$H$361,7,false),1)="A","W",if(LEFT(VLOOKUP($B121,'Round 6'!$B$2:$H$361,7,false),1)="B","L","")),if(LEFT(VLOOKUP($B121,'Round 6'!$F$2:$H$361,3,false),1)="b","W",if(LEFT(VLOOKUP($B121,'Round 6'!$F$2:$H$361,3,false),1)="a","L","")))</f>
        <v>W</v>
      </c>
      <c r="J121" s="67" t="str">
        <f>iferror(iferror(if(LEFT(VLOOKUP($B121,'Round 7'!$B$2:$H$361,7,false),1)="A","W",if(LEFT(VLOOKUP($B121,'Round 7'!$B$2:$H$361,7,false),1)="B","L","")),if(LEFT(VLOOKUP($B121,'Round 7'!$F$2:$H$361,3,false),1)="b","W",if(LEFT(VLOOKUP($B121,'Round 7'!$F$2:$H$361,3,false),1)="a","L",""))),"")</f>
        <v>L</v>
      </c>
      <c r="K121" s="68" t="str">
        <f>iferror(iferror(if(LEFT(VLOOKUP($B121,'Round 8'!$B$2:$H$361,7,false),1)="A","W",if(LEFT(VLOOKUP($B121,'Round 8'!$B$2:$H$361,7,false),1)="B","L","")),if(LEFT(VLOOKUP($B121,'Round 8'!$F$2:$H$361,3,false),1)="b","W",if(LEFT(VLOOKUP($B121,'Round 8'!$F$2:$H$361,3,false),1)="a","L",""))),"")</f>
        <v>W</v>
      </c>
      <c r="L121" s="68" t="str">
        <f>iferror(iferror(if(LEFT(VLOOKUP($B121,'Round 9'!$B$2:$H$361,7,false),1)="A","W",if(LEFT(VLOOKUP($B121,'Round 9'!$B$2:$H$361,7,false),1)="B","L","")),if(LEFT(VLOOKUP($B121,'Round 9'!$F$2:$H$361,3,false),1)="b","W",if(LEFT(VLOOKUP($B121,'Round 9'!$F$2:$H$361,3,false),1)="a","L",""))),"")</f>
        <v>L</v>
      </c>
      <c r="M121" s="68" t="str">
        <f>iferror(iferror(if(LEFT(VLOOKUP($B121,'Round 10'!$B$2:$H$362,7,false),1)="A","W",if(LEFT(VLOOKUP($B121,'Round 10'!$B$2:$H$362,7,false),1)="B","L","")),if(LEFT(VLOOKUP($B121,'Round 10'!$F$2:$H$362,3,false),1)="b","W",if(LEFT(VLOOKUP($B121,'Round 10'!$F$2:$H$362,3,false),1)="a","L",""))),"")</f>
        <v/>
      </c>
      <c r="N121" s="62" t="s">
        <v>318</v>
      </c>
    </row>
    <row r="122">
      <c r="A122" s="63">
        <v>121.0</v>
      </c>
      <c r="B122" s="64" t="s">
        <v>319</v>
      </c>
      <c r="C122" s="65" t="str">
        <f t="shared" si="1"/>
        <v>4 - 3</v>
      </c>
      <c r="D122" s="67" t="str">
        <f>iferror(if(LEFT(VLOOKUP($B122,'Round 1'!$B$2:$H$361,7,false),1)="A","W",if(LEFT(VLOOKUP($B122,'Round 1'!$B$2:$H$361,7,false),1)="B","L","")),if(LEFT(VLOOKUP($B122,'Round 1'!$F$2:$H$361,3,false),1)="b","W",if(LEFT(VLOOKUP($B122,'Round 1'!$F$2:$H$361,3,false),1)="a","L","")))</f>
        <v>W</v>
      </c>
      <c r="E122" s="67" t="str">
        <f>iferror(if(LEFT(VLOOKUP($B122,'Round 2'!$C$2:$J$361,8,false),1)="A","W",if(LEFT(VLOOKUP($B122,'Round 2'!$C$2:$J$361,8,false),1)="B","L","")),if(LEFT(VLOOKUP($B122,'Round 2'!$G$2:$J$361,4,false),1)="b","W",if(LEFT(VLOOKUP($B122,'Round 2'!$G$2:$J$361,4,false),1)="a","L","")))</f>
        <v>W</v>
      </c>
      <c r="F122" s="67" t="str">
        <f>iferror(if(LEFT(VLOOKUP($B122,'Round 3'!$B$2:$H$361,7,false),1)="A","W",if(LEFT(VLOOKUP($B122,'Round 3'!$B$2:$H$361,7,false),1)="B","L","")),if(LEFT(VLOOKUP($B122,'Round 3'!$F$2:$H$361,3,false),1)="b","W",if(LEFT(VLOOKUP($B122,'Round 3'!$F$2:$H$361,3,false),1)="a","L","")))</f>
        <v>W</v>
      </c>
      <c r="G122" s="67" t="str">
        <f>iferror(if(LEFT(VLOOKUP($B122,'Round 4'!$B$2:$H$361,7,false),1)="A","W",if(LEFT(VLOOKUP($B122,'Round 4'!$B$2:$H$361,7,false),1)="B","L","")),if(LEFT(VLOOKUP($B122,'Round 4'!$F$2:$H$361,3,false),1)="b","W",if(LEFT(VLOOKUP($B122,'Round 4'!$F$2:$H$361,3,false),1)="a","L","")))</f>
        <v>L</v>
      </c>
      <c r="H122" s="67" t="str">
        <f>iferror(if(LEFT(VLOOKUP($B122,'Round 5'!$B$2:$H$361,7,false),1)="A","W",if(LEFT(VLOOKUP($B122,'Round 5'!$B$2:$H$361,7,false),1)="B","L","")),if(LEFT(VLOOKUP($B122,'Round 5'!$F$2:$H$361,3,false),1)="b","W",if(LEFT(VLOOKUP($B122,'Round 5'!$F$2:$H$361,3,false),1)="a","L","")))</f>
        <v>L</v>
      </c>
      <c r="I122" s="67" t="str">
        <f>iferror(if(LEFT(VLOOKUP($B122,'Round 6'!$B$2:$H$361,7,false),1)="A","W",if(LEFT(VLOOKUP($B122,'Round 6'!$B$2:$H$361,7,false),1)="B","L","")),if(LEFT(VLOOKUP($B122,'Round 6'!$F$2:$H$361,3,false),1)="b","W",if(LEFT(VLOOKUP($B122,'Round 6'!$F$2:$H$361,3,false),1)="a","L","")))</f>
        <v>W</v>
      </c>
      <c r="J122" s="67" t="str">
        <f>iferror(iferror(if(LEFT(VLOOKUP($B122,'Round 7'!$B$2:$H$361,7,false),1)="A","W",if(LEFT(VLOOKUP($B122,'Round 7'!$B$2:$H$361,7,false),1)="B","L","")),if(LEFT(VLOOKUP($B122,'Round 7'!$F$2:$H$361,3,false),1)="b","W",if(LEFT(VLOOKUP($B122,'Round 7'!$F$2:$H$361,3,false),1)="a","L",""))),"")</f>
        <v>L</v>
      </c>
      <c r="K122" s="68" t="str">
        <f>iferror(iferror(if(LEFT(VLOOKUP($B122,'Round 8'!$B$2:$H$361,7,false),1)="A","W",if(LEFT(VLOOKUP($B122,'Round 8'!$B$2:$H$361,7,false),1)="B","L","")),if(LEFT(VLOOKUP($B122,'Round 8'!$F$2:$H$361,3,false),1)="b","W",if(LEFT(VLOOKUP($B122,'Round 8'!$F$2:$H$361,3,false),1)="a","L",""))),"")</f>
        <v/>
      </c>
      <c r="L122" s="68" t="str">
        <f>iferror(iferror(if(LEFT(VLOOKUP($B122,'Round 9'!$B$2:$H$361,7,false),1)="A","W",if(LEFT(VLOOKUP($B122,'Round 9'!$B$2:$H$361,7,false),1)="B","L","")),if(LEFT(VLOOKUP($B122,'Round 9'!$F$2:$H$361,3,false),1)="b","W",if(LEFT(VLOOKUP($B122,'Round 9'!$F$2:$H$361,3,false),1)="a","L",""))),"")</f>
        <v/>
      </c>
      <c r="M122" s="68" t="str">
        <f>iferror(iferror(if(LEFT(VLOOKUP($B122,'Round 10'!$B$2:$H$362,7,false),1)="A","W",if(LEFT(VLOOKUP($B122,'Round 10'!$B$2:$H$362,7,false),1)="B","L","")),if(LEFT(VLOOKUP($B122,'Round 10'!$F$2:$H$362,3,false),1)="b","W",if(LEFT(VLOOKUP($B122,'Round 10'!$F$2:$H$362,3,false),1)="a","L",""))),"")</f>
        <v/>
      </c>
      <c r="N122" s="62" t="s">
        <v>320</v>
      </c>
    </row>
    <row r="123">
      <c r="A123" s="63">
        <v>122.0</v>
      </c>
      <c r="B123" s="64" t="s">
        <v>321</v>
      </c>
      <c r="C123" s="65" t="str">
        <f t="shared" si="1"/>
        <v>0 - 3</v>
      </c>
      <c r="D123" s="67" t="str">
        <f>iferror(if(LEFT(VLOOKUP($B123,'Round 1'!$B$2:$H$361,7,false),1)="A","W",if(LEFT(VLOOKUP($B123,'Round 1'!$B$2:$H$361,7,false),1)="B","L","")),if(LEFT(VLOOKUP($B123,'Round 1'!$F$2:$H$361,3,false),1)="b","W",if(LEFT(VLOOKUP($B123,'Round 1'!$F$2:$H$361,3,false),1)="a","L","")))</f>
        <v>L</v>
      </c>
      <c r="E123" s="67" t="str">
        <f>iferror(if(LEFT(VLOOKUP($B123,'Round 2'!$C$2:$J$361,8,false),1)="A","W",if(LEFT(VLOOKUP($B123,'Round 2'!$C$2:$J$361,8,false),1)="B","L","")),if(LEFT(VLOOKUP($B123,'Round 2'!$G$2:$J$361,4,false),1)="b","W",if(LEFT(VLOOKUP($B123,'Round 2'!$G$2:$J$361,4,false),1)="a","L","")))</f>
        <v>L</v>
      </c>
      <c r="F123" s="67" t="str">
        <f>iferror(if(LEFT(VLOOKUP($B123,'Round 3'!$B$2:$H$361,7,false),1)="A","W",if(LEFT(VLOOKUP($B123,'Round 3'!$B$2:$H$361,7,false),1)="B","L","")),if(LEFT(VLOOKUP($B123,'Round 3'!$F$2:$H$361,3,false),1)="b","W",if(LEFT(VLOOKUP($B123,'Round 3'!$F$2:$H$361,3,false),1)="a","L","")))</f>
        <v>L</v>
      </c>
      <c r="G123" s="67"/>
      <c r="H123" s="67"/>
      <c r="I123" s="67"/>
      <c r="J123" s="67" t="str">
        <f>iferror(iferror(if(LEFT(VLOOKUP($B123,'Round 7'!$B$2:$H$361,7,false),1)="A","W",if(LEFT(VLOOKUP($B123,'Round 7'!$B$2:$H$361,7,false),1)="B","L","")),if(LEFT(VLOOKUP($B123,'Round 7'!$F$2:$H$361,3,false),1)="b","W",if(LEFT(VLOOKUP($B123,'Round 7'!$F$2:$H$361,3,false),1)="a","L",""))),"")</f>
        <v/>
      </c>
      <c r="K123" s="68" t="str">
        <f>iferror(iferror(if(LEFT(VLOOKUP($B123,'Round 8'!$B$2:$H$361,7,false),1)="A","W",if(LEFT(VLOOKUP($B123,'Round 8'!$B$2:$H$361,7,false),1)="B","L","")),if(LEFT(VLOOKUP($B123,'Round 8'!$F$2:$H$361,3,false),1)="b","W",if(LEFT(VLOOKUP($B123,'Round 8'!$F$2:$H$361,3,false),1)="a","L",""))),"")</f>
        <v/>
      </c>
      <c r="L123" s="68" t="str">
        <f>iferror(iferror(if(LEFT(VLOOKUP($B123,'Round 9'!$B$2:$H$361,7,false),1)="A","W",if(LEFT(VLOOKUP($B123,'Round 9'!$B$2:$H$361,7,false),1)="B","L","")),if(LEFT(VLOOKUP($B123,'Round 9'!$F$2:$H$361,3,false),1)="b","W",if(LEFT(VLOOKUP($B123,'Round 9'!$F$2:$H$361,3,false),1)="a","L",""))),"")</f>
        <v/>
      </c>
      <c r="M123" s="68" t="str">
        <f>iferror(iferror(if(LEFT(VLOOKUP($B123,'Round 10'!$B$2:$H$362,7,false),1)="A","W",if(LEFT(VLOOKUP($B123,'Round 10'!$B$2:$H$362,7,false),1)="B","L","")),if(LEFT(VLOOKUP($B123,'Round 10'!$F$2:$H$362,3,false),1)="b","W",if(LEFT(VLOOKUP($B123,'Round 10'!$F$2:$H$362,3,false),1)="a","L",""))),"")</f>
        <v/>
      </c>
      <c r="N123" s="62" t="s">
        <v>322</v>
      </c>
    </row>
    <row r="124">
      <c r="A124" s="63">
        <v>123.0</v>
      </c>
      <c r="B124" s="64" t="s">
        <v>323</v>
      </c>
      <c r="C124" s="65" t="str">
        <f t="shared" si="1"/>
        <v>0 - 3</v>
      </c>
      <c r="D124" s="67" t="str">
        <f>iferror(if(LEFT(VLOOKUP($B124,'Round 1'!$B$2:$H$361,7,false),1)="A","W",if(LEFT(VLOOKUP($B124,'Round 1'!$B$2:$H$361,7,false),1)="B","L","")),if(LEFT(VLOOKUP($B124,'Round 1'!$F$2:$H$361,3,false),1)="b","W",if(LEFT(VLOOKUP($B124,'Round 1'!$F$2:$H$361,3,false),1)="a","L","")))</f>
        <v>L</v>
      </c>
      <c r="E124" s="67" t="str">
        <f>iferror(if(LEFT(VLOOKUP($B124,'Round 2'!$C$2:$J$361,8,false),1)="A","W",if(LEFT(VLOOKUP($B124,'Round 2'!$C$2:$J$361,8,false),1)="B","L","")),if(LEFT(VLOOKUP($B124,'Round 2'!$G$2:$J$361,4,false),1)="b","W",if(LEFT(VLOOKUP($B124,'Round 2'!$G$2:$J$361,4,false),1)="a","L","")))</f>
        <v>L</v>
      </c>
      <c r="F124" s="67" t="str">
        <f>iferror(if(LEFT(VLOOKUP($B124,'Round 3'!$B$2:$H$361,7,false),1)="A","W",if(LEFT(VLOOKUP($B124,'Round 3'!$B$2:$H$361,7,false),1)="B","L","")),if(LEFT(VLOOKUP($B124,'Round 3'!$F$2:$H$361,3,false),1)="b","W",if(LEFT(VLOOKUP($B124,'Round 3'!$F$2:$H$361,3,false),1)="a","L","")))</f>
        <v>L</v>
      </c>
      <c r="G124" s="67"/>
      <c r="H124" s="67"/>
      <c r="I124" s="67"/>
      <c r="J124" s="67" t="str">
        <f>iferror(iferror(if(LEFT(VLOOKUP($B124,'Round 7'!$B$2:$H$361,7,false),1)="A","W",if(LEFT(VLOOKUP($B124,'Round 7'!$B$2:$H$361,7,false),1)="B","L","")),if(LEFT(VLOOKUP($B124,'Round 7'!$F$2:$H$361,3,false),1)="b","W",if(LEFT(VLOOKUP($B124,'Round 7'!$F$2:$H$361,3,false),1)="a","L",""))),"")</f>
        <v/>
      </c>
      <c r="K124" s="68" t="str">
        <f>iferror(iferror(if(LEFT(VLOOKUP($B124,'Round 8'!$B$2:$H$361,7,false),1)="A","W",if(LEFT(VLOOKUP($B124,'Round 8'!$B$2:$H$361,7,false),1)="B","L","")),if(LEFT(VLOOKUP($B124,'Round 8'!$F$2:$H$361,3,false),1)="b","W",if(LEFT(VLOOKUP($B124,'Round 8'!$F$2:$H$361,3,false),1)="a","L",""))),"")</f>
        <v/>
      </c>
      <c r="L124" s="68" t="str">
        <f>iferror(iferror(if(LEFT(VLOOKUP($B124,'Round 9'!$B$2:$H$361,7,false),1)="A","W",if(LEFT(VLOOKUP($B124,'Round 9'!$B$2:$H$361,7,false),1)="B","L","")),if(LEFT(VLOOKUP($B124,'Round 9'!$F$2:$H$361,3,false),1)="b","W",if(LEFT(VLOOKUP($B124,'Round 9'!$F$2:$H$361,3,false),1)="a","L",""))),"")</f>
        <v/>
      </c>
      <c r="M124" s="68" t="str">
        <f>iferror(iferror(if(LEFT(VLOOKUP($B124,'Round 10'!$B$2:$H$362,7,false),1)="A","W",if(LEFT(VLOOKUP($B124,'Round 10'!$B$2:$H$362,7,false),1)="B","L","")),if(LEFT(VLOOKUP($B124,'Round 10'!$F$2:$H$362,3,false),1)="b","W",if(LEFT(VLOOKUP($B124,'Round 10'!$F$2:$H$362,3,false),1)="a","L",""))),"")</f>
        <v/>
      </c>
      <c r="N124" s="72" t="s">
        <v>144</v>
      </c>
    </row>
    <row r="125">
      <c r="A125" s="63">
        <v>124.0</v>
      </c>
      <c r="B125" s="64" t="s">
        <v>324</v>
      </c>
      <c r="C125" s="65" t="str">
        <f t="shared" si="1"/>
        <v>5 - 3</v>
      </c>
      <c r="D125" s="67" t="str">
        <f>iferror(if(LEFT(VLOOKUP($B125,'Round 1'!$B$2:$H$361,7,false),1)="A","W",if(LEFT(VLOOKUP($B125,'Round 1'!$B$2:$H$361,7,false),1)="B","L","")),if(LEFT(VLOOKUP($B125,'Round 1'!$F$2:$H$361,3,false),1)="b","W",if(LEFT(VLOOKUP($B125,'Round 1'!$F$2:$H$361,3,false),1)="a","L","")))</f>
        <v>W</v>
      </c>
      <c r="E125" s="67" t="str">
        <f>iferror(if(LEFT(VLOOKUP($B125,'Round 2'!$C$2:$J$361,8,false),1)="A","W",if(LEFT(VLOOKUP($B125,'Round 2'!$C$2:$J$361,8,false),1)="B","L","")),if(LEFT(VLOOKUP($B125,'Round 2'!$G$2:$J$361,4,false),1)="b","W",if(LEFT(VLOOKUP($B125,'Round 2'!$G$2:$J$361,4,false),1)="a","L","")))</f>
        <v>W</v>
      </c>
      <c r="F125" s="67" t="str">
        <f>iferror(if(LEFT(VLOOKUP($B125,'Round 3'!$B$2:$H$361,7,false),1)="A","W",if(LEFT(VLOOKUP($B125,'Round 3'!$B$2:$H$361,7,false),1)="B","L","")),if(LEFT(VLOOKUP($B125,'Round 3'!$F$2:$H$361,3,false),1)="b","W",if(LEFT(VLOOKUP($B125,'Round 3'!$F$2:$H$361,3,false),1)="a","L","")))</f>
        <v>L</v>
      </c>
      <c r="G125" s="67" t="str">
        <f>iferror(if(LEFT(VLOOKUP($B125,'Round 4'!$B$2:$H$361,7,false),1)="A","W",if(LEFT(VLOOKUP($B125,'Round 4'!$B$2:$H$361,7,false),1)="B","L","")),if(LEFT(VLOOKUP($B125,'Round 4'!$F$2:$H$361,3,false),1)="b","W",if(LEFT(VLOOKUP($B125,'Round 4'!$F$2:$H$361,3,false),1)="a","L","")))</f>
        <v>W</v>
      </c>
      <c r="H125" s="67" t="str">
        <f>iferror(if(LEFT(VLOOKUP($B125,'Round 5'!$B$2:$H$361,7,false),1)="A","W",if(LEFT(VLOOKUP($B125,'Round 5'!$B$2:$H$361,7,false),1)="B","L","")),if(LEFT(VLOOKUP($B125,'Round 5'!$F$2:$H$361,3,false),1)="b","W",if(LEFT(VLOOKUP($B125,'Round 5'!$F$2:$H$361,3,false),1)="a","L","")))</f>
        <v>W</v>
      </c>
      <c r="I125" s="67" t="str">
        <f>iferror(if(LEFT(VLOOKUP($B125,'Round 6'!$B$2:$H$361,7,false),1)="A","W",if(LEFT(VLOOKUP($B125,'Round 6'!$B$2:$H$361,7,false),1)="B","L","")),if(LEFT(VLOOKUP($B125,'Round 6'!$F$2:$H$361,3,false),1)="b","W",if(LEFT(VLOOKUP($B125,'Round 6'!$F$2:$H$361,3,false),1)="a","L","")))</f>
        <v>W</v>
      </c>
      <c r="J125" s="67" t="str">
        <f>iferror(iferror(if(LEFT(VLOOKUP($B125,'Round 7'!$B$2:$H$361,7,false),1)="A","W",if(LEFT(VLOOKUP($B125,'Round 7'!$B$2:$H$361,7,false),1)="B","L","")),if(LEFT(VLOOKUP($B125,'Round 7'!$F$2:$H$361,3,false),1)="b","W",if(LEFT(VLOOKUP($B125,'Round 7'!$F$2:$H$361,3,false),1)="a","L",""))),"")</f>
        <v>L</v>
      </c>
      <c r="K125" s="68" t="str">
        <f>iferror(iferror(if(LEFT(VLOOKUP($B125,'Round 8'!$B$2:$H$361,7,false),1)="A","W",if(LEFT(VLOOKUP($B125,'Round 8'!$B$2:$H$361,7,false),1)="B","L","")),if(LEFT(VLOOKUP($B125,'Round 8'!$F$2:$H$361,3,false),1)="b","W",if(LEFT(VLOOKUP($B125,'Round 8'!$F$2:$H$361,3,false),1)="a","L",""))),"")</f>
        <v>L</v>
      </c>
      <c r="L125" s="68" t="str">
        <f>iferror(iferror(if(LEFT(VLOOKUP($B125,'Round 9'!$B$2:$H$361,7,false),1)="A","W",if(LEFT(VLOOKUP($B125,'Round 9'!$B$2:$H$361,7,false),1)="B","L","")),if(LEFT(VLOOKUP($B125,'Round 9'!$F$2:$H$361,3,false),1)="b","W",if(LEFT(VLOOKUP($B125,'Round 9'!$F$2:$H$361,3,false),1)="a","L",""))),"")</f>
        <v/>
      </c>
      <c r="M125" s="68" t="str">
        <f>iferror(iferror(if(LEFT(VLOOKUP($B125,'Round 10'!$B$2:$H$362,7,false),1)="A","W",if(LEFT(VLOOKUP($B125,'Round 10'!$B$2:$H$362,7,false),1)="B","L","")),if(LEFT(VLOOKUP($B125,'Round 10'!$F$2:$H$362,3,false),1)="b","W",if(LEFT(VLOOKUP($B125,'Round 10'!$F$2:$H$362,3,false),1)="a","L",""))),"")</f>
        <v/>
      </c>
      <c r="N125" s="62" t="s">
        <v>325</v>
      </c>
    </row>
    <row r="126">
      <c r="A126" s="63">
        <v>125.0</v>
      </c>
      <c r="B126" s="64" t="s">
        <v>326</v>
      </c>
      <c r="C126" s="65" t="str">
        <f t="shared" si="1"/>
        <v>1 - 3</v>
      </c>
      <c r="D126" s="67" t="str">
        <f>iferror(if(LEFT(VLOOKUP($B126,'Round 1'!$B$2:$H$361,7,false),1)="A","W",if(LEFT(VLOOKUP($B126,'Round 1'!$B$2:$H$361,7,false),1)="B","L","")),if(LEFT(VLOOKUP($B126,'Round 1'!$F$2:$H$361,3,false),1)="b","W",if(LEFT(VLOOKUP($B126,'Round 1'!$F$2:$H$361,3,false),1)="a","L","")))</f>
        <v>L</v>
      </c>
      <c r="E126" s="67" t="str">
        <f>iferror(if(LEFT(VLOOKUP($B126,'Round 2'!$C$2:$J$361,8,false),1)="A","W",if(LEFT(VLOOKUP($B126,'Round 2'!$C$2:$J$361,8,false),1)="B","L","")),if(LEFT(VLOOKUP($B126,'Round 2'!$G$2:$J$361,4,false),1)="b","W",if(LEFT(VLOOKUP($B126,'Round 2'!$G$2:$J$361,4,false),1)="a","L","")))</f>
        <v>W</v>
      </c>
      <c r="F126" s="67" t="str">
        <f>iferror(if(LEFT(VLOOKUP($B126,'Round 3'!$B$2:$H$361,7,false),1)="A","W",if(LEFT(VLOOKUP($B126,'Round 3'!$B$2:$H$361,7,false),1)="B","L","")),if(LEFT(VLOOKUP($B126,'Round 3'!$F$2:$H$361,3,false),1)="b","W",if(LEFT(VLOOKUP($B126,'Round 3'!$F$2:$H$361,3,false),1)="a","L","")))</f>
        <v>L</v>
      </c>
      <c r="G126" s="67" t="str">
        <f>iferror(if(LEFT(VLOOKUP($B126,'Round 4'!$B$2:$H$361,7,false),1)="A","W",if(LEFT(VLOOKUP($B126,'Round 4'!$B$2:$H$361,7,false),1)="B","L","")),if(LEFT(VLOOKUP($B126,'Round 4'!$F$2:$H$361,3,false),1)="b","W",if(LEFT(VLOOKUP($B126,'Round 4'!$F$2:$H$361,3,false),1)="a","L","")))</f>
        <v>L</v>
      </c>
      <c r="H126" s="67"/>
      <c r="I126" s="67"/>
      <c r="J126" s="67" t="str">
        <f>iferror(iferror(if(LEFT(VLOOKUP($B126,'Round 7'!$B$2:$H$361,7,false),1)="A","W",if(LEFT(VLOOKUP($B126,'Round 7'!$B$2:$H$361,7,false),1)="B","L","")),if(LEFT(VLOOKUP($B126,'Round 7'!$F$2:$H$361,3,false),1)="b","W",if(LEFT(VLOOKUP($B126,'Round 7'!$F$2:$H$361,3,false),1)="a","L",""))),"")</f>
        <v/>
      </c>
      <c r="K126" s="68" t="str">
        <f>iferror(iferror(if(LEFT(VLOOKUP($B126,'Round 8'!$B$2:$H$361,7,false),1)="A","W",if(LEFT(VLOOKUP($B126,'Round 8'!$B$2:$H$361,7,false),1)="B","L","")),if(LEFT(VLOOKUP($B126,'Round 8'!$F$2:$H$361,3,false),1)="b","W",if(LEFT(VLOOKUP($B126,'Round 8'!$F$2:$H$361,3,false),1)="a","L",""))),"")</f>
        <v/>
      </c>
      <c r="L126" s="68" t="str">
        <f>iferror(iferror(if(LEFT(VLOOKUP($B126,'Round 9'!$B$2:$H$361,7,false),1)="A","W",if(LEFT(VLOOKUP($B126,'Round 9'!$B$2:$H$361,7,false),1)="B","L","")),if(LEFT(VLOOKUP($B126,'Round 9'!$F$2:$H$361,3,false),1)="b","W",if(LEFT(VLOOKUP($B126,'Round 9'!$F$2:$H$361,3,false),1)="a","L",""))),"")</f>
        <v/>
      </c>
      <c r="M126" s="68" t="str">
        <f>iferror(iferror(if(LEFT(VLOOKUP($B126,'Round 10'!$B$2:$H$362,7,false),1)="A","W",if(LEFT(VLOOKUP($B126,'Round 10'!$B$2:$H$362,7,false),1)="B","L","")),if(LEFT(VLOOKUP($B126,'Round 10'!$F$2:$H$362,3,false),1)="b","W",if(LEFT(VLOOKUP($B126,'Round 10'!$F$2:$H$362,3,false),1)="a","L",""))),"")</f>
        <v/>
      </c>
      <c r="N126" s="62" t="s">
        <v>327</v>
      </c>
    </row>
    <row r="127">
      <c r="A127" s="63">
        <v>126.0</v>
      </c>
      <c r="B127" s="64" t="s">
        <v>328</v>
      </c>
      <c r="C127" s="65" t="str">
        <f t="shared" si="1"/>
        <v>2 - 3</v>
      </c>
      <c r="D127" s="67" t="str">
        <f>iferror(if(LEFT(VLOOKUP($B127,'Round 1'!$B$2:$H$361,7,false),1)="A","W",if(LEFT(VLOOKUP($B127,'Round 1'!$B$2:$H$361,7,false),1)="B","L","")),if(LEFT(VLOOKUP($B127,'Round 1'!$F$2:$H$361,3,false),1)="b","W",if(LEFT(VLOOKUP($B127,'Round 1'!$F$2:$H$361,3,false),1)="a","L","")))</f>
        <v>W</v>
      </c>
      <c r="E127" s="67" t="str">
        <f>iferror(if(LEFT(VLOOKUP($B127,'Round 2'!$C$2:$J$361,8,false),1)="A","W",if(LEFT(VLOOKUP($B127,'Round 2'!$C$2:$J$361,8,false),1)="B","L","")),if(LEFT(VLOOKUP($B127,'Round 2'!$G$2:$J$361,4,false),1)="b","W",if(LEFT(VLOOKUP($B127,'Round 2'!$G$2:$J$361,4,false),1)="a","L","")))</f>
        <v>L</v>
      </c>
      <c r="F127" s="67" t="str">
        <f>iferror(if(LEFT(VLOOKUP($B127,'Round 3'!$B$2:$H$361,7,false),1)="A","W",if(LEFT(VLOOKUP($B127,'Round 3'!$B$2:$H$361,7,false),1)="B","L","")),if(LEFT(VLOOKUP($B127,'Round 3'!$F$2:$H$361,3,false),1)="b","W",if(LEFT(VLOOKUP($B127,'Round 3'!$F$2:$H$361,3,false),1)="a","L","")))</f>
        <v>W</v>
      </c>
      <c r="G127" s="67" t="str">
        <f>iferror(if(LEFT(VLOOKUP($B127,'Round 4'!$B$2:$H$361,7,false),1)="A","W",if(LEFT(VLOOKUP($B127,'Round 4'!$B$2:$H$361,7,false),1)="B","L","")),if(LEFT(VLOOKUP($B127,'Round 4'!$F$2:$H$361,3,false),1)="b","W",if(LEFT(VLOOKUP($B127,'Round 4'!$F$2:$H$361,3,false),1)="a","L","")))</f>
        <v>L</v>
      </c>
      <c r="H127" s="67" t="str">
        <f>iferror(if(LEFT(VLOOKUP($B127,'Round 5'!$B$2:$H$361,7,false),1)="A","W",if(LEFT(VLOOKUP($B127,'Round 5'!$B$2:$H$361,7,false),1)="B","L","")),if(LEFT(VLOOKUP($B127,'Round 5'!$F$2:$H$361,3,false),1)="b","W",if(LEFT(VLOOKUP($B127,'Round 5'!$F$2:$H$361,3,false),1)="a","L","")))</f>
        <v>L</v>
      </c>
      <c r="I127" s="67"/>
      <c r="J127" s="67" t="str">
        <f>iferror(iferror(if(LEFT(VLOOKUP($B127,'Round 7'!$B$2:$H$361,7,false),1)="A","W",if(LEFT(VLOOKUP($B127,'Round 7'!$B$2:$H$361,7,false),1)="B","L","")),if(LEFT(VLOOKUP($B127,'Round 7'!$F$2:$H$361,3,false),1)="b","W",if(LEFT(VLOOKUP($B127,'Round 7'!$F$2:$H$361,3,false),1)="a","L",""))),"")</f>
        <v/>
      </c>
      <c r="K127" s="68" t="str">
        <f>iferror(iferror(if(LEFT(VLOOKUP($B127,'Round 8'!$B$2:$H$361,7,false),1)="A","W",if(LEFT(VLOOKUP($B127,'Round 8'!$B$2:$H$361,7,false),1)="B","L","")),if(LEFT(VLOOKUP($B127,'Round 8'!$F$2:$H$361,3,false),1)="b","W",if(LEFT(VLOOKUP($B127,'Round 8'!$F$2:$H$361,3,false),1)="a","L",""))),"")</f>
        <v/>
      </c>
      <c r="L127" s="68" t="str">
        <f>iferror(iferror(if(LEFT(VLOOKUP($B127,'Round 9'!$B$2:$H$361,7,false),1)="A","W",if(LEFT(VLOOKUP($B127,'Round 9'!$B$2:$H$361,7,false),1)="B","L","")),if(LEFT(VLOOKUP($B127,'Round 9'!$F$2:$H$361,3,false),1)="b","W",if(LEFT(VLOOKUP($B127,'Round 9'!$F$2:$H$361,3,false),1)="a","L",""))),"")</f>
        <v/>
      </c>
      <c r="M127" s="68" t="str">
        <f>iferror(iferror(if(LEFT(VLOOKUP($B127,'Round 10'!$B$2:$H$362,7,false),1)="A","W",if(LEFT(VLOOKUP($B127,'Round 10'!$B$2:$H$362,7,false),1)="B","L","")),if(LEFT(VLOOKUP($B127,'Round 10'!$F$2:$H$362,3,false),1)="b","W",if(LEFT(VLOOKUP($B127,'Round 10'!$F$2:$H$362,3,false),1)="a","L",""))),"")</f>
        <v/>
      </c>
      <c r="N127" s="62" t="s">
        <v>329</v>
      </c>
    </row>
    <row r="128">
      <c r="A128" s="63">
        <v>127.0</v>
      </c>
      <c r="B128" s="64" t="s">
        <v>330</v>
      </c>
      <c r="C128" s="65" t="str">
        <f t="shared" si="1"/>
        <v>3 - 3</v>
      </c>
      <c r="D128" s="67" t="str">
        <f>iferror(if(LEFT(VLOOKUP($B128,'Round 1'!$B$2:$H$361,7,false),1)="A","W",if(LEFT(VLOOKUP($B128,'Round 1'!$B$2:$H$361,7,false),1)="B","L","")),if(LEFT(VLOOKUP($B128,'Round 1'!$F$2:$H$361,3,false),1)="b","W",if(LEFT(VLOOKUP($B128,'Round 1'!$F$2:$H$361,3,false),1)="a","L","")))</f>
        <v>L</v>
      </c>
      <c r="E128" s="67" t="str">
        <f>iferror(if(LEFT(VLOOKUP($B128,'Round 2'!$C$2:$J$361,8,false),1)="A","W",if(LEFT(VLOOKUP($B128,'Round 2'!$C$2:$J$361,8,false),1)="B","L","")),if(LEFT(VLOOKUP($B128,'Round 2'!$G$2:$J$361,4,false),1)="b","W",if(LEFT(VLOOKUP($B128,'Round 2'!$G$2:$J$361,4,false),1)="a","L","")))</f>
        <v>W</v>
      </c>
      <c r="F128" s="67" t="str">
        <f>iferror(if(LEFT(VLOOKUP($B128,'Round 3'!$B$2:$H$361,7,false),1)="A","W",if(LEFT(VLOOKUP($B128,'Round 3'!$B$2:$H$361,7,false),1)="B","L","")),if(LEFT(VLOOKUP($B128,'Round 3'!$F$2:$H$361,3,false),1)="b","W",if(LEFT(VLOOKUP($B128,'Round 3'!$F$2:$H$361,3,false),1)="a","L","")))</f>
        <v>W</v>
      </c>
      <c r="G128" s="67" t="str">
        <f>iferror(if(LEFT(VLOOKUP($B128,'Round 4'!$B$2:$H$361,7,false),1)="A","W",if(LEFT(VLOOKUP($B128,'Round 4'!$B$2:$H$361,7,false),1)="B","L","")),if(LEFT(VLOOKUP($B128,'Round 4'!$F$2:$H$361,3,false),1)="b","W",if(LEFT(VLOOKUP($B128,'Round 4'!$F$2:$H$361,3,false),1)="a","L","")))</f>
        <v>L</v>
      </c>
      <c r="H128" s="67" t="str">
        <f>iferror(if(LEFT(VLOOKUP($B128,'Round 5'!$B$2:$H$361,7,false),1)="A","W",if(LEFT(VLOOKUP($B128,'Round 5'!$B$2:$H$361,7,false),1)="B","L","")),if(LEFT(VLOOKUP($B128,'Round 5'!$F$2:$H$361,3,false),1)="b","W",if(LEFT(VLOOKUP($B128,'Round 5'!$F$2:$H$361,3,false),1)="a","L","")))</f>
        <v>W</v>
      </c>
      <c r="I128" s="67" t="str">
        <f>iferror(if(LEFT(VLOOKUP($B128,'Round 6'!$B$2:$H$361,7,false),1)="A","W",if(LEFT(VLOOKUP($B128,'Round 6'!$B$2:$H$361,7,false),1)="B","L","")),if(LEFT(VLOOKUP($B128,'Round 6'!$F$2:$H$361,3,false),1)="b","W",if(LEFT(VLOOKUP($B128,'Round 6'!$F$2:$H$361,3,false),1)="a","L","")))</f>
        <v>L</v>
      </c>
      <c r="J128" s="67" t="str">
        <f>iferror(iferror(if(LEFT(VLOOKUP($B128,'Round 7'!$B$2:$H$361,7,false),1)="A","W",if(LEFT(VLOOKUP($B128,'Round 7'!$B$2:$H$361,7,false),1)="B","L","")),if(LEFT(VLOOKUP($B128,'Round 7'!$F$2:$H$361,3,false),1)="b","W",if(LEFT(VLOOKUP($B128,'Round 7'!$F$2:$H$361,3,false),1)="a","L",""))),"")</f>
        <v/>
      </c>
      <c r="K128" s="68" t="str">
        <f>iferror(iferror(if(LEFT(VLOOKUP($B128,'Round 8'!$B$2:$H$361,7,false),1)="A","W",if(LEFT(VLOOKUP($B128,'Round 8'!$B$2:$H$361,7,false),1)="B","L","")),if(LEFT(VLOOKUP($B128,'Round 8'!$F$2:$H$361,3,false),1)="b","W",if(LEFT(VLOOKUP($B128,'Round 8'!$F$2:$H$361,3,false),1)="a","L",""))),"")</f>
        <v/>
      </c>
      <c r="L128" s="68" t="str">
        <f>iferror(iferror(if(LEFT(VLOOKUP($B128,'Round 9'!$B$2:$H$361,7,false),1)="A","W",if(LEFT(VLOOKUP($B128,'Round 9'!$B$2:$H$361,7,false),1)="B","L","")),if(LEFT(VLOOKUP($B128,'Round 9'!$F$2:$H$361,3,false),1)="b","W",if(LEFT(VLOOKUP($B128,'Round 9'!$F$2:$H$361,3,false),1)="a","L",""))),"")</f>
        <v/>
      </c>
      <c r="M128" s="68" t="str">
        <f>iferror(iferror(if(LEFT(VLOOKUP($B128,'Round 10'!$B$2:$H$362,7,false),1)="A","W",if(LEFT(VLOOKUP($B128,'Round 10'!$B$2:$H$362,7,false),1)="B","L","")),if(LEFT(VLOOKUP($B128,'Round 10'!$F$2:$H$362,3,false),1)="b","W",if(LEFT(VLOOKUP($B128,'Round 10'!$F$2:$H$362,3,false),1)="a","L",""))),"")</f>
        <v/>
      </c>
      <c r="N128" s="62" t="s">
        <v>331</v>
      </c>
    </row>
    <row r="129">
      <c r="A129" s="63">
        <v>128.0</v>
      </c>
      <c r="B129" s="64" t="s">
        <v>332</v>
      </c>
      <c r="C129" s="65" t="str">
        <f t="shared" si="1"/>
        <v>2 - 3</v>
      </c>
      <c r="D129" s="67" t="str">
        <f>iferror(if(LEFT(VLOOKUP($B129,'Round 1'!$B$2:$H$361,7,false),1)="A","W",if(LEFT(VLOOKUP($B129,'Round 1'!$B$2:$H$361,7,false),1)="B","L","")),if(LEFT(VLOOKUP($B129,'Round 1'!$F$2:$H$361,3,false),1)="b","W",if(LEFT(VLOOKUP($B129,'Round 1'!$F$2:$H$361,3,false),1)="a","L","")))</f>
        <v>W</v>
      </c>
      <c r="E129" s="67" t="str">
        <f>iferror(if(LEFT(VLOOKUP($B129,'Round 2'!$C$2:$J$361,8,false),1)="A","W",if(LEFT(VLOOKUP($B129,'Round 2'!$C$2:$J$361,8,false),1)="B","L","")),if(LEFT(VLOOKUP($B129,'Round 2'!$G$2:$J$361,4,false),1)="b","W",if(LEFT(VLOOKUP($B129,'Round 2'!$G$2:$J$361,4,false),1)="a","L","")))</f>
        <v>L</v>
      </c>
      <c r="F129" s="67" t="str">
        <f>iferror(if(LEFT(VLOOKUP($B129,'Round 3'!$B$2:$H$361,7,false),1)="A","W",if(LEFT(VLOOKUP($B129,'Round 3'!$B$2:$H$361,7,false),1)="B","L","")),if(LEFT(VLOOKUP($B129,'Round 3'!$F$2:$H$361,3,false),1)="b","W",if(LEFT(VLOOKUP($B129,'Round 3'!$F$2:$H$361,3,false),1)="a","L","")))</f>
        <v>L</v>
      </c>
      <c r="G129" s="67" t="str">
        <f>iferror(if(LEFT(VLOOKUP($B129,'Round 4'!$B$2:$H$361,7,false),1)="A","W",if(LEFT(VLOOKUP($B129,'Round 4'!$B$2:$H$361,7,false),1)="B","L","")),if(LEFT(VLOOKUP($B129,'Round 4'!$F$2:$H$361,3,false),1)="b","W",if(LEFT(VLOOKUP($B129,'Round 4'!$F$2:$H$361,3,false),1)="a","L","")))</f>
        <v>W</v>
      </c>
      <c r="H129" s="67" t="str">
        <f>iferror(if(LEFT(VLOOKUP($B129,'Round 5'!$B$2:$H$361,7,false),1)="A","W",if(LEFT(VLOOKUP($B129,'Round 5'!$B$2:$H$361,7,false),1)="B","L","")),if(LEFT(VLOOKUP($B129,'Round 5'!$F$2:$H$361,3,false),1)="b","W",if(LEFT(VLOOKUP($B129,'Round 5'!$F$2:$H$361,3,false),1)="a","L","")))</f>
        <v>L</v>
      </c>
      <c r="I129" s="67"/>
      <c r="J129" s="67" t="str">
        <f>iferror(iferror(if(LEFT(VLOOKUP($B129,'Round 7'!$B$2:$H$361,7,false),1)="A","W",if(LEFT(VLOOKUP($B129,'Round 7'!$B$2:$H$361,7,false),1)="B","L","")),if(LEFT(VLOOKUP($B129,'Round 7'!$F$2:$H$361,3,false),1)="b","W",if(LEFT(VLOOKUP($B129,'Round 7'!$F$2:$H$361,3,false),1)="a","L",""))),"")</f>
        <v/>
      </c>
      <c r="K129" s="68" t="str">
        <f>iferror(iferror(if(LEFT(VLOOKUP($B129,'Round 8'!$B$2:$H$361,7,false),1)="A","W",if(LEFT(VLOOKUP($B129,'Round 8'!$B$2:$H$361,7,false),1)="B","L","")),if(LEFT(VLOOKUP($B129,'Round 8'!$F$2:$H$361,3,false),1)="b","W",if(LEFT(VLOOKUP($B129,'Round 8'!$F$2:$H$361,3,false),1)="a","L",""))),"")</f>
        <v/>
      </c>
      <c r="L129" s="68" t="str">
        <f>iferror(iferror(if(LEFT(VLOOKUP($B129,'Round 9'!$B$2:$H$361,7,false),1)="A","W",if(LEFT(VLOOKUP($B129,'Round 9'!$B$2:$H$361,7,false),1)="B","L","")),if(LEFT(VLOOKUP($B129,'Round 9'!$F$2:$H$361,3,false),1)="b","W",if(LEFT(VLOOKUP($B129,'Round 9'!$F$2:$H$361,3,false),1)="a","L",""))),"")</f>
        <v/>
      </c>
      <c r="M129" s="68" t="str">
        <f>iferror(iferror(if(LEFT(VLOOKUP($B129,'Round 10'!$B$2:$H$362,7,false),1)="A","W",if(LEFT(VLOOKUP($B129,'Round 10'!$B$2:$H$362,7,false),1)="B","L","")),if(LEFT(VLOOKUP($B129,'Round 10'!$F$2:$H$362,3,false),1)="b","W",if(LEFT(VLOOKUP($B129,'Round 10'!$F$2:$H$362,3,false),1)="a","L",""))),"")</f>
        <v/>
      </c>
      <c r="N129" s="62" t="s">
        <v>333</v>
      </c>
    </row>
    <row r="130">
      <c r="A130" s="63">
        <v>129.0</v>
      </c>
      <c r="B130" s="64" t="s">
        <v>334</v>
      </c>
      <c r="C130" s="65" t="str">
        <f t="shared" si="1"/>
        <v>4 - 3</v>
      </c>
      <c r="D130" s="67" t="str">
        <f>iferror(if(LEFT(VLOOKUP($B130,'Round 1'!$B$2:$H$361,7,false),1)="A","W",if(LEFT(VLOOKUP($B130,'Round 1'!$B$2:$H$361,7,false),1)="B","L","")),if(LEFT(VLOOKUP($B130,'Round 1'!$F$2:$H$361,3,false),1)="b","W",if(LEFT(VLOOKUP($B130,'Round 1'!$F$2:$H$361,3,false),1)="a","L","")))</f>
        <v>W</v>
      </c>
      <c r="E130" s="67" t="str">
        <f>iferror(if(LEFT(VLOOKUP($B130,'Round 2'!$C$2:$J$361,8,false),1)="A","W",if(LEFT(VLOOKUP($B130,'Round 2'!$C$2:$J$361,8,false),1)="B","L","")),if(LEFT(VLOOKUP($B130,'Round 2'!$G$2:$J$361,4,false),1)="b","W",if(LEFT(VLOOKUP($B130,'Round 2'!$G$2:$J$361,4,false),1)="a","L","")))</f>
        <v>W</v>
      </c>
      <c r="F130" s="67" t="str">
        <f>iferror(if(LEFT(VLOOKUP($B130,'Round 3'!$B$2:$H$361,7,false),1)="A","W",if(LEFT(VLOOKUP($B130,'Round 3'!$B$2:$H$361,7,false),1)="B","L","")),if(LEFT(VLOOKUP($B130,'Round 3'!$F$2:$H$361,3,false),1)="b","W",if(LEFT(VLOOKUP($B130,'Round 3'!$F$2:$H$361,3,false),1)="a","L","")))</f>
        <v>L</v>
      </c>
      <c r="G130" s="67" t="str">
        <f>iferror(if(LEFT(VLOOKUP($B130,'Round 4'!$B$2:$H$361,7,false),1)="A","W",if(LEFT(VLOOKUP($B130,'Round 4'!$B$2:$H$361,7,false),1)="B","L","")),if(LEFT(VLOOKUP($B130,'Round 4'!$F$2:$H$361,3,false),1)="b","W",if(LEFT(VLOOKUP($B130,'Round 4'!$F$2:$H$361,3,false),1)="a","L","")))</f>
        <v>W</v>
      </c>
      <c r="H130" s="67" t="str">
        <f>iferror(if(LEFT(VLOOKUP($B130,'Round 5'!$B$2:$H$361,7,false),1)="A","W",if(LEFT(VLOOKUP($B130,'Round 5'!$B$2:$H$361,7,false),1)="B","L","")),if(LEFT(VLOOKUP($B130,'Round 5'!$F$2:$H$361,3,false),1)="b","W",if(LEFT(VLOOKUP($B130,'Round 5'!$F$2:$H$361,3,false),1)="a","L","")))</f>
        <v>L</v>
      </c>
      <c r="I130" s="67" t="str">
        <f>iferror(if(LEFT(VLOOKUP($B130,'Round 6'!$B$2:$H$361,7,false),1)="A","W",if(LEFT(VLOOKUP($B130,'Round 6'!$B$2:$H$361,7,false),1)="B","L","")),if(LEFT(VLOOKUP($B130,'Round 6'!$F$2:$H$361,3,false),1)="b","W",if(LEFT(VLOOKUP($B130,'Round 6'!$F$2:$H$361,3,false),1)="a","L","")))</f>
        <v>W</v>
      </c>
      <c r="J130" s="67" t="str">
        <f>iferror(iferror(if(LEFT(VLOOKUP($B130,'Round 7'!$B$2:$H$361,7,false),1)="A","W",if(LEFT(VLOOKUP($B130,'Round 7'!$B$2:$H$361,7,false),1)="B","L","")),if(LEFT(VLOOKUP($B130,'Round 7'!$F$2:$H$361,3,false),1)="b","W",if(LEFT(VLOOKUP($B130,'Round 7'!$F$2:$H$361,3,false),1)="a","L",""))),"")</f>
        <v>L</v>
      </c>
      <c r="K130" s="68" t="str">
        <f>iferror(iferror(if(LEFT(VLOOKUP($B130,'Round 8'!$B$2:$H$361,7,false),1)="A","W",if(LEFT(VLOOKUP($B130,'Round 8'!$B$2:$H$361,7,false),1)="B","L","")),if(LEFT(VLOOKUP($B130,'Round 8'!$F$2:$H$361,3,false),1)="b","W",if(LEFT(VLOOKUP($B130,'Round 8'!$F$2:$H$361,3,false),1)="a","L",""))),"")</f>
        <v/>
      </c>
      <c r="L130" s="68" t="str">
        <f>iferror(iferror(if(LEFT(VLOOKUP($B130,'Round 9'!$B$2:$H$361,7,false),1)="A","W",if(LEFT(VLOOKUP($B130,'Round 9'!$B$2:$H$361,7,false),1)="B","L","")),if(LEFT(VLOOKUP($B130,'Round 9'!$F$2:$H$361,3,false),1)="b","W",if(LEFT(VLOOKUP($B130,'Round 9'!$F$2:$H$361,3,false),1)="a","L",""))),"")</f>
        <v/>
      </c>
      <c r="M130" s="68" t="str">
        <f>iferror(iferror(if(LEFT(VLOOKUP($B130,'Round 10'!$B$2:$H$362,7,false),1)="A","W",if(LEFT(VLOOKUP($B130,'Round 10'!$B$2:$H$362,7,false),1)="B","L","")),if(LEFT(VLOOKUP($B130,'Round 10'!$F$2:$H$362,3,false),1)="b","W",if(LEFT(VLOOKUP($B130,'Round 10'!$F$2:$H$362,3,false),1)="a","L",""))),"")</f>
        <v/>
      </c>
      <c r="N130" s="62" t="s">
        <v>335</v>
      </c>
    </row>
    <row r="131">
      <c r="A131" s="63">
        <v>130.0</v>
      </c>
      <c r="B131" s="64" t="s">
        <v>336</v>
      </c>
      <c r="C131" s="65" t="str">
        <f t="shared" si="1"/>
        <v>5 - 3</v>
      </c>
      <c r="D131" s="67" t="str">
        <f>iferror(if(LEFT(VLOOKUP($B131,'Round 1'!$B$2:$H$361,7,false),1)="A","W",if(LEFT(VLOOKUP($B131,'Round 1'!$B$2:$H$361,7,false),1)="B","L","")),if(LEFT(VLOOKUP($B131,'Round 1'!$F$2:$H$361,3,false),1)="b","W",if(LEFT(VLOOKUP($B131,'Round 1'!$F$2:$H$361,3,false),1)="a","L","")))</f>
        <v>W</v>
      </c>
      <c r="E131" s="67" t="str">
        <f>iferror(if(LEFT(VLOOKUP($B131,'Round 2'!$C$2:$J$361,8,false),1)="A","W",if(LEFT(VLOOKUP($B131,'Round 2'!$C$2:$J$361,8,false),1)="B","L","")),if(LEFT(VLOOKUP($B131,'Round 2'!$G$2:$J$361,4,false),1)="b","W",if(LEFT(VLOOKUP($B131,'Round 2'!$G$2:$J$361,4,false),1)="a","L","")))</f>
        <v>W</v>
      </c>
      <c r="F131" s="67" t="str">
        <f>iferror(if(LEFT(VLOOKUP($B131,'Round 3'!$B$2:$H$361,7,false),1)="A","W",if(LEFT(VLOOKUP($B131,'Round 3'!$B$2:$H$361,7,false),1)="B","L","")),if(LEFT(VLOOKUP($B131,'Round 3'!$F$2:$H$361,3,false),1)="b","W",if(LEFT(VLOOKUP($B131,'Round 3'!$F$2:$H$361,3,false),1)="a","L","")))</f>
        <v>W</v>
      </c>
      <c r="G131" s="67" t="str">
        <f>iferror(if(LEFT(VLOOKUP($B131,'Round 4'!$B$2:$H$361,7,false),1)="A","W",if(LEFT(VLOOKUP($B131,'Round 4'!$B$2:$H$361,7,false),1)="B","L","")),if(LEFT(VLOOKUP($B131,'Round 4'!$F$2:$H$361,3,false),1)="b","W",if(LEFT(VLOOKUP($B131,'Round 4'!$F$2:$H$361,3,false),1)="a","L","")))</f>
        <v>W</v>
      </c>
      <c r="H131" s="67" t="str">
        <f>iferror(if(LEFT(VLOOKUP($B131,'Round 5'!$B$2:$H$361,7,false),1)="A","W",if(LEFT(VLOOKUP($B131,'Round 5'!$B$2:$H$361,7,false),1)="B","L","")),if(LEFT(VLOOKUP($B131,'Round 5'!$F$2:$H$361,3,false),1)="b","W",if(LEFT(VLOOKUP($B131,'Round 5'!$F$2:$H$361,3,false),1)="a","L","")))</f>
        <v>L</v>
      </c>
      <c r="I131" s="67" t="str">
        <f>iferror(if(LEFT(VLOOKUP($B131,'Round 6'!$B$2:$H$361,7,false),1)="A","W",if(LEFT(VLOOKUP($B131,'Round 6'!$B$2:$H$361,7,false),1)="B","L","")),if(LEFT(VLOOKUP($B131,'Round 6'!$F$2:$H$361,3,false),1)="b","W",if(LEFT(VLOOKUP($B131,'Round 6'!$F$2:$H$361,3,false),1)="a","L","")))</f>
        <v>L</v>
      </c>
      <c r="J131" s="67" t="str">
        <f>iferror(iferror(if(LEFT(VLOOKUP($B131,'Round 7'!$B$2:$H$361,7,false),1)="A","W",if(LEFT(VLOOKUP($B131,'Round 7'!$B$2:$H$361,7,false),1)="B","L","")),if(LEFT(VLOOKUP($B131,'Round 7'!$F$2:$H$361,3,false),1)="b","W",if(LEFT(VLOOKUP($B131,'Round 7'!$F$2:$H$361,3,false),1)="a","L",""))),"")</f>
        <v>W</v>
      </c>
      <c r="K131" s="68" t="str">
        <f>iferror(iferror(if(LEFT(VLOOKUP($B131,'Round 8'!$B$2:$H$361,7,false),1)="A","W",if(LEFT(VLOOKUP($B131,'Round 8'!$B$2:$H$361,7,false),1)="B","L","")),if(LEFT(VLOOKUP($B131,'Round 8'!$F$2:$H$361,3,false),1)="b","W",if(LEFT(VLOOKUP($B131,'Round 8'!$F$2:$H$361,3,false),1)="a","L",""))),"")</f>
        <v>L</v>
      </c>
      <c r="L131" s="68" t="str">
        <f>iferror(iferror(if(LEFT(VLOOKUP($B131,'Round 9'!$B$2:$H$361,7,false),1)="A","W",if(LEFT(VLOOKUP($B131,'Round 9'!$B$2:$H$361,7,false),1)="B","L","")),if(LEFT(VLOOKUP($B131,'Round 9'!$F$2:$H$361,3,false),1)="b","W",if(LEFT(VLOOKUP($B131,'Round 9'!$F$2:$H$361,3,false),1)="a","L",""))),"")</f>
        <v/>
      </c>
      <c r="M131" s="68" t="str">
        <f>iferror(iferror(if(LEFT(VLOOKUP($B131,'Round 10'!$B$2:$H$362,7,false),1)="A","W",if(LEFT(VLOOKUP($B131,'Round 10'!$B$2:$H$362,7,false),1)="B","L","")),if(LEFT(VLOOKUP($B131,'Round 10'!$F$2:$H$362,3,false),1)="b","W",if(LEFT(VLOOKUP($B131,'Round 10'!$F$2:$H$362,3,false),1)="a","L",""))),"")</f>
        <v/>
      </c>
      <c r="N131" s="62" t="s">
        <v>337</v>
      </c>
    </row>
    <row r="132">
      <c r="A132" s="63">
        <v>131.0</v>
      </c>
      <c r="B132" s="64" t="s">
        <v>338</v>
      </c>
      <c r="C132" s="65" t="str">
        <f t="shared" si="1"/>
        <v>5 - 3</v>
      </c>
      <c r="D132" s="67" t="str">
        <f>iferror(if(LEFT(VLOOKUP($B132,'Round 1'!$B$2:$H$361,7,false),1)="A","W",if(LEFT(VLOOKUP($B132,'Round 1'!$B$2:$H$361,7,false),1)="B","L","")),if(LEFT(VLOOKUP($B132,'Round 1'!$F$2:$H$361,3,false),1)="b","W",if(LEFT(VLOOKUP($B132,'Round 1'!$F$2:$H$361,3,false),1)="a","L","")))</f>
        <v>W</v>
      </c>
      <c r="E132" s="67" t="str">
        <f>iferror(if(LEFT(VLOOKUP($B132,'Round 2'!$C$2:$J$361,8,false),1)="A","W",if(LEFT(VLOOKUP($B132,'Round 2'!$C$2:$J$361,8,false),1)="B","L","")),if(LEFT(VLOOKUP($B132,'Round 2'!$G$2:$J$361,4,false),1)="b","W",if(LEFT(VLOOKUP($B132,'Round 2'!$G$2:$J$361,4,false),1)="a","L","")))</f>
        <v>L</v>
      </c>
      <c r="F132" s="67" t="str">
        <f>iferror(if(LEFT(VLOOKUP($B132,'Round 3'!$B$2:$H$361,7,false),1)="A","W",if(LEFT(VLOOKUP($B132,'Round 3'!$B$2:$H$361,7,false),1)="B","L","")),if(LEFT(VLOOKUP($B132,'Round 3'!$F$2:$H$361,3,false),1)="b","W",if(LEFT(VLOOKUP($B132,'Round 3'!$F$2:$H$361,3,false),1)="a","L","")))</f>
        <v>L</v>
      </c>
      <c r="G132" s="67" t="str">
        <f>iferror(if(LEFT(VLOOKUP($B132,'Round 4'!$B$2:$H$361,7,false),1)="A","W",if(LEFT(VLOOKUP($B132,'Round 4'!$B$2:$H$361,7,false),1)="B","L","")),if(LEFT(VLOOKUP($B132,'Round 4'!$F$2:$H$361,3,false),1)="b","W",if(LEFT(VLOOKUP($B132,'Round 4'!$F$2:$H$361,3,false),1)="a","L","")))</f>
        <v>W</v>
      </c>
      <c r="H132" s="67" t="str">
        <f>iferror(if(LEFT(VLOOKUP($B132,'Round 5'!$B$2:$H$361,7,false),1)="A","W",if(LEFT(VLOOKUP($B132,'Round 5'!$B$2:$H$361,7,false),1)="B","L","")),if(LEFT(VLOOKUP($B132,'Round 5'!$F$2:$H$361,3,false),1)="b","W",if(LEFT(VLOOKUP($B132,'Round 5'!$F$2:$H$361,3,false),1)="a","L","")))</f>
        <v>W</v>
      </c>
      <c r="I132" s="67" t="str">
        <f>iferror(if(LEFT(VLOOKUP($B132,'Round 6'!$B$2:$H$361,7,false),1)="A","W",if(LEFT(VLOOKUP($B132,'Round 6'!$B$2:$H$361,7,false),1)="B","L","")),if(LEFT(VLOOKUP($B132,'Round 6'!$F$2:$H$361,3,false),1)="b","W",if(LEFT(VLOOKUP($B132,'Round 6'!$F$2:$H$361,3,false),1)="a","L","")))</f>
        <v>W</v>
      </c>
      <c r="J132" s="67" t="str">
        <f>iferror(iferror(if(LEFT(VLOOKUP($B132,'Round 7'!$B$2:$H$361,7,false),1)="A","W",if(LEFT(VLOOKUP($B132,'Round 7'!$B$2:$H$361,7,false),1)="B","L","")),if(LEFT(VLOOKUP($B132,'Round 7'!$F$2:$H$361,3,false),1)="b","W",if(LEFT(VLOOKUP($B132,'Round 7'!$F$2:$H$361,3,false),1)="a","L",""))),"")</f>
        <v>W</v>
      </c>
      <c r="K132" s="68" t="str">
        <f>iferror(iferror(if(LEFT(VLOOKUP($B132,'Round 8'!$B$2:$H$361,7,false),1)="A","W",if(LEFT(VLOOKUP($B132,'Round 8'!$B$2:$H$361,7,false),1)="B","L","")),if(LEFT(VLOOKUP($B132,'Round 8'!$F$2:$H$361,3,false),1)="b","W",if(LEFT(VLOOKUP($B132,'Round 8'!$F$2:$H$361,3,false),1)="a","L",""))),"")</f>
        <v>L</v>
      </c>
      <c r="L132" s="68" t="str">
        <f>iferror(iferror(if(LEFT(VLOOKUP($B132,'Round 9'!$B$2:$H$361,7,false),1)="A","W",if(LEFT(VLOOKUP($B132,'Round 9'!$B$2:$H$361,7,false),1)="B","L","")),if(LEFT(VLOOKUP($B132,'Round 9'!$F$2:$H$361,3,false),1)="b","W",if(LEFT(VLOOKUP($B132,'Round 9'!$F$2:$H$361,3,false),1)="a","L",""))),"")</f>
        <v/>
      </c>
      <c r="M132" s="68" t="str">
        <f>iferror(iferror(if(LEFT(VLOOKUP($B132,'Round 10'!$B$2:$H$362,7,false),1)="A","W",if(LEFT(VLOOKUP($B132,'Round 10'!$B$2:$H$362,7,false),1)="B","L","")),if(LEFT(VLOOKUP($B132,'Round 10'!$F$2:$H$362,3,false),1)="b","W",if(LEFT(VLOOKUP($B132,'Round 10'!$F$2:$H$362,3,false),1)="a","L",""))),"")</f>
        <v/>
      </c>
      <c r="N132" s="62" t="s">
        <v>339</v>
      </c>
    </row>
    <row r="133">
      <c r="A133" s="63">
        <v>132.0</v>
      </c>
      <c r="B133" s="64" t="s">
        <v>340</v>
      </c>
      <c r="C133" s="65" t="str">
        <f t="shared" si="1"/>
        <v>2 - 3</v>
      </c>
      <c r="D133" s="67" t="str">
        <f>iferror(if(LEFT(VLOOKUP($B133,'Round 1'!$B$2:$H$361,7,false),1)="A","W",if(LEFT(VLOOKUP($B133,'Round 1'!$B$2:$H$361,7,false),1)="B","L","")),if(LEFT(VLOOKUP($B133,'Round 1'!$F$2:$H$361,3,false),1)="b","W",if(LEFT(VLOOKUP($B133,'Round 1'!$F$2:$H$361,3,false),1)="a","L","")))</f>
        <v>W</v>
      </c>
      <c r="E133" s="67" t="str">
        <f>iferror(if(LEFT(VLOOKUP($B133,'Round 2'!$C$2:$J$361,8,false),1)="A","W",if(LEFT(VLOOKUP($B133,'Round 2'!$C$2:$J$361,8,false),1)="B","L","")),if(LEFT(VLOOKUP($B133,'Round 2'!$G$2:$J$361,4,false),1)="b","W",if(LEFT(VLOOKUP($B133,'Round 2'!$G$2:$J$361,4,false),1)="a","L","")))</f>
        <v>W</v>
      </c>
      <c r="F133" s="67" t="str">
        <f>iferror(if(LEFT(VLOOKUP($B133,'Round 3'!$B$2:$H$361,7,false),1)="A","W",if(LEFT(VLOOKUP($B133,'Round 3'!$B$2:$H$361,7,false),1)="B","L","")),if(LEFT(VLOOKUP($B133,'Round 3'!$F$2:$H$361,3,false),1)="b","W",if(LEFT(VLOOKUP($B133,'Round 3'!$F$2:$H$361,3,false),1)="a","L","")))</f>
        <v>L</v>
      </c>
      <c r="G133" s="67" t="str">
        <f>iferror(if(LEFT(VLOOKUP($B133,'Round 4'!$B$2:$H$361,7,false),1)="A","W",if(LEFT(VLOOKUP($B133,'Round 4'!$B$2:$H$361,7,false),1)="B","L","")),if(LEFT(VLOOKUP($B133,'Round 4'!$F$2:$H$361,3,false),1)="b","W",if(LEFT(VLOOKUP($B133,'Round 4'!$F$2:$H$361,3,false),1)="a","L","")))</f>
        <v>L</v>
      </c>
      <c r="H133" s="67" t="str">
        <f>iferror(if(LEFT(VLOOKUP($B133,'Round 5'!$B$2:$H$361,7,false),1)="A","W",if(LEFT(VLOOKUP($B133,'Round 5'!$B$2:$H$361,7,false),1)="B","L","")),if(LEFT(VLOOKUP($B133,'Round 5'!$F$2:$H$361,3,false),1)="b","W",if(LEFT(VLOOKUP($B133,'Round 5'!$F$2:$H$361,3,false),1)="a","L","")))</f>
        <v>L</v>
      </c>
      <c r="I133" s="67"/>
      <c r="J133" s="67" t="str">
        <f>iferror(iferror(if(LEFT(VLOOKUP($B133,'Round 7'!$B$2:$H$361,7,false),1)="A","W",if(LEFT(VLOOKUP($B133,'Round 7'!$B$2:$H$361,7,false),1)="B","L","")),if(LEFT(VLOOKUP($B133,'Round 7'!$F$2:$H$361,3,false),1)="b","W",if(LEFT(VLOOKUP($B133,'Round 7'!$F$2:$H$361,3,false),1)="a","L",""))),"")</f>
        <v/>
      </c>
      <c r="K133" s="68" t="str">
        <f>iferror(iferror(if(LEFT(VLOOKUP($B133,'Round 8'!$B$2:$H$361,7,false),1)="A","W",if(LEFT(VLOOKUP($B133,'Round 8'!$B$2:$H$361,7,false),1)="B","L","")),if(LEFT(VLOOKUP($B133,'Round 8'!$F$2:$H$361,3,false),1)="b","W",if(LEFT(VLOOKUP($B133,'Round 8'!$F$2:$H$361,3,false),1)="a","L",""))),"")</f>
        <v/>
      </c>
      <c r="L133" s="68" t="str">
        <f>iferror(iferror(if(LEFT(VLOOKUP($B133,'Round 9'!$B$2:$H$361,7,false),1)="A","W",if(LEFT(VLOOKUP($B133,'Round 9'!$B$2:$H$361,7,false),1)="B","L","")),if(LEFT(VLOOKUP($B133,'Round 9'!$F$2:$H$361,3,false),1)="b","W",if(LEFT(VLOOKUP($B133,'Round 9'!$F$2:$H$361,3,false),1)="a","L",""))),"")</f>
        <v/>
      </c>
      <c r="M133" s="68" t="str">
        <f>iferror(iferror(if(LEFT(VLOOKUP($B133,'Round 10'!$B$2:$H$362,7,false),1)="A","W",if(LEFT(VLOOKUP($B133,'Round 10'!$B$2:$H$362,7,false),1)="B","L","")),if(LEFT(VLOOKUP($B133,'Round 10'!$F$2:$H$362,3,false),1)="b","W",if(LEFT(VLOOKUP($B133,'Round 10'!$F$2:$H$362,3,false),1)="a","L",""))),"")</f>
        <v/>
      </c>
      <c r="N133" s="62" t="s">
        <v>341</v>
      </c>
    </row>
    <row r="134">
      <c r="A134" s="63">
        <v>133.0</v>
      </c>
      <c r="B134" s="64" t="s">
        <v>342</v>
      </c>
      <c r="C134" s="65" t="str">
        <f t="shared" si="1"/>
        <v>3 - 3</v>
      </c>
      <c r="D134" s="67" t="str">
        <f>iferror(if(LEFT(VLOOKUP($B134,'Round 1'!$B$2:$H$361,7,false),1)="A","W",if(LEFT(VLOOKUP($B134,'Round 1'!$B$2:$H$361,7,false),1)="B","L","")),if(LEFT(VLOOKUP($B134,'Round 1'!$F$2:$H$361,3,false),1)="b","W",if(LEFT(VLOOKUP($B134,'Round 1'!$F$2:$H$361,3,false),1)="a","L","")))</f>
        <v>L</v>
      </c>
      <c r="E134" s="67" t="str">
        <f>iferror(if(LEFT(VLOOKUP($B134,'Round 2'!$C$2:$J$361,8,false),1)="A","W",if(LEFT(VLOOKUP($B134,'Round 2'!$C$2:$J$361,8,false),1)="B","L","")),if(LEFT(VLOOKUP($B134,'Round 2'!$G$2:$J$361,4,false),1)="b","W",if(LEFT(VLOOKUP($B134,'Round 2'!$G$2:$J$361,4,false),1)="a","L","")))</f>
        <v>W</v>
      </c>
      <c r="F134" s="67" t="str">
        <f>iferror(if(LEFT(VLOOKUP($B134,'Round 3'!$B$2:$H$361,7,false),1)="A","W",if(LEFT(VLOOKUP($B134,'Round 3'!$B$2:$H$361,7,false),1)="B","L","")),if(LEFT(VLOOKUP($B134,'Round 3'!$F$2:$H$361,3,false),1)="b","W",if(LEFT(VLOOKUP($B134,'Round 3'!$F$2:$H$361,3,false),1)="a","L","")))</f>
        <v>W</v>
      </c>
      <c r="G134" s="67" t="str">
        <f>iferror(if(LEFT(VLOOKUP($B134,'Round 4'!$B$2:$H$361,7,false),1)="A","W",if(LEFT(VLOOKUP($B134,'Round 4'!$B$2:$H$361,7,false),1)="B","L","")),if(LEFT(VLOOKUP($B134,'Round 4'!$F$2:$H$361,3,false),1)="b","W",if(LEFT(VLOOKUP($B134,'Round 4'!$F$2:$H$361,3,false),1)="a","L","")))</f>
        <v>W</v>
      </c>
      <c r="H134" s="67" t="str">
        <f>iferror(if(LEFT(VLOOKUP($B134,'Round 5'!$B$2:$H$361,7,false),1)="A","W",if(LEFT(VLOOKUP($B134,'Round 5'!$B$2:$H$361,7,false),1)="B","L","")),if(LEFT(VLOOKUP($B134,'Round 5'!$F$2:$H$361,3,false),1)="b","W",if(LEFT(VLOOKUP($B134,'Round 5'!$F$2:$H$361,3,false),1)="a","L","")))</f>
        <v>L</v>
      </c>
      <c r="I134" s="67" t="str">
        <f>iferror(if(LEFT(VLOOKUP($B134,'Round 6'!$B$2:$H$361,7,false),1)="A","W",if(LEFT(VLOOKUP($B134,'Round 6'!$B$2:$H$361,7,false),1)="B","L","")),if(LEFT(VLOOKUP($B134,'Round 6'!$F$2:$H$361,3,false),1)="b","W",if(LEFT(VLOOKUP($B134,'Round 6'!$F$2:$H$361,3,false),1)="a","L","")))</f>
        <v>L</v>
      </c>
      <c r="J134" s="67" t="str">
        <f>iferror(iferror(if(LEFT(VLOOKUP($B134,'Round 7'!$B$2:$H$361,7,false),1)="A","W",if(LEFT(VLOOKUP($B134,'Round 7'!$B$2:$H$361,7,false),1)="B","L","")),if(LEFT(VLOOKUP($B134,'Round 7'!$F$2:$H$361,3,false),1)="b","W",if(LEFT(VLOOKUP($B134,'Round 7'!$F$2:$H$361,3,false),1)="a","L",""))),"")</f>
        <v/>
      </c>
      <c r="K134" s="68" t="str">
        <f>iferror(iferror(if(LEFT(VLOOKUP($B134,'Round 8'!$B$2:$H$361,7,false),1)="A","W",if(LEFT(VLOOKUP($B134,'Round 8'!$B$2:$H$361,7,false),1)="B","L","")),if(LEFT(VLOOKUP($B134,'Round 8'!$F$2:$H$361,3,false),1)="b","W",if(LEFT(VLOOKUP($B134,'Round 8'!$F$2:$H$361,3,false),1)="a","L",""))),"")</f>
        <v/>
      </c>
      <c r="L134" s="68" t="str">
        <f>iferror(iferror(if(LEFT(VLOOKUP($B134,'Round 9'!$B$2:$H$361,7,false),1)="A","W",if(LEFT(VLOOKUP($B134,'Round 9'!$B$2:$H$361,7,false),1)="B","L","")),if(LEFT(VLOOKUP($B134,'Round 9'!$F$2:$H$361,3,false),1)="b","W",if(LEFT(VLOOKUP($B134,'Round 9'!$F$2:$H$361,3,false),1)="a","L",""))),"")</f>
        <v/>
      </c>
      <c r="M134" s="68" t="str">
        <f>iferror(iferror(if(LEFT(VLOOKUP($B134,'Round 10'!$B$2:$H$362,7,false),1)="A","W",if(LEFT(VLOOKUP($B134,'Round 10'!$B$2:$H$362,7,false),1)="B","L","")),if(LEFT(VLOOKUP($B134,'Round 10'!$F$2:$H$362,3,false),1)="b","W",if(LEFT(VLOOKUP($B134,'Round 10'!$F$2:$H$362,3,false),1)="a","L",""))),"")</f>
        <v/>
      </c>
      <c r="N134" s="62" t="s">
        <v>343</v>
      </c>
    </row>
    <row r="135">
      <c r="A135" s="63">
        <v>134.0</v>
      </c>
      <c r="B135" s="64" t="s">
        <v>344</v>
      </c>
      <c r="C135" s="65" t="str">
        <f t="shared" si="1"/>
        <v>3 - 3</v>
      </c>
      <c r="D135" s="67" t="str">
        <f>iferror(if(LEFT(VLOOKUP($B135,'Round 1'!$B$2:$H$361,7,false),1)="A","W",if(LEFT(VLOOKUP($B135,'Round 1'!$B$2:$H$361,7,false),1)="B","L","")),if(LEFT(VLOOKUP($B135,'Round 1'!$F$2:$H$361,3,false),1)="b","W",if(LEFT(VLOOKUP($B135,'Round 1'!$F$2:$H$361,3,false),1)="a","L","")))</f>
        <v>L</v>
      </c>
      <c r="E135" s="67" t="str">
        <f>iferror(if(LEFT(VLOOKUP($B135,'Round 2'!$C$2:$J$361,8,false),1)="A","W",if(LEFT(VLOOKUP($B135,'Round 2'!$C$2:$J$361,8,false),1)="B","L","")),if(LEFT(VLOOKUP($B135,'Round 2'!$G$2:$J$361,4,false),1)="b","W",if(LEFT(VLOOKUP($B135,'Round 2'!$G$2:$J$361,4,false),1)="a","L","")))</f>
        <v>W</v>
      </c>
      <c r="F135" s="67" t="str">
        <f>iferror(if(LEFT(VLOOKUP($B135,'Round 3'!$B$2:$H$361,7,false),1)="A","W",if(LEFT(VLOOKUP($B135,'Round 3'!$B$2:$H$361,7,false),1)="B","L","")),if(LEFT(VLOOKUP($B135,'Round 3'!$F$2:$H$361,3,false),1)="b","W",if(LEFT(VLOOKUP($B135,'Round 3'!$F$2:$H$361,3,false),1)="a","L","")))</f>
        <v>W</v>
      </c>
      <c r="G135" s="67" t="str">
        <f>iferror(if(LEFT(VLOOKUP($B135,'Round 4'!$B$2:$H$361,7,false),1)="A","W",if(LEFT(VLOOKUP($B135,'Round 4'!$B$2:$H$361,7,false),1)="B","L","")),if(LEFT(VLOOKUP($B135,'Round 4'!$F$2:$H$361,3,false),1)="b","W",if(LEFT(VLOOKUP($B135,'Round 4'!$F$2:$H$361,3,false),1)="a","L","")))</f>
        <v>W</v>
      </c>
      <c r="H135" s="67" t="str">
        <f>iferror(if(LEFT(VLOOKUP($B135,'Round 5'!$B$2:$H$361,7,false),1)="A","W",if(LEFT(VLOOKUP($B135,'Round 5'!$B$2:$H$361,7,false),1)="B","L","")),if(LEFT(VLOOKUP($B135,'Round 5'!$F$2:$H$361,3,false),1)="b","W",if(LEFT(VLOOKUP($B135,'Round 5'!$F$2:$H$361,3,false),1)="a","L","")))</f>
        <v>L</v>
      </c>
      <c r="I135" s="67" t="str">
        <f>iferror(if(LEFT(VLOOKUP($B135,'Round 6'!$B$2:$H$361,7,false),1)="A","W",if(LEFT(VLOOKUP($B135,'Round 6'!$B$2:$H$361,7,false),1)="B","L","")),if(LEFT(VLOOKUP($B135,'Round 6'!$F$2:$H$361,3,false),1)="b","W",if(LEFT(VLOOKUP($B135,'Round 6'!$F$2:$H$361,3,false),1)="a","L","")))</f>
        <v>L</v>
      </c>
      <c r="J135" s="67" t="str">
        <f>iferror(iferror(if(LEFT(VLOOKUP($B135,'Round 7'!$B$2:$H$361,7,false),1)="A","W",if(LEFT(VLOOKUP($B135,'Round 7'!$B$2:$H$361,7,false),1)="B","L","")),if(LEFT(VLOOKUP($B135,'Round 7'!$F$2:$H$361,3,false),1)="b","W",if(LEFT(VLOOKUP($B135,'Round 7'!$F$2:$H$361,3,false),1)="a","L",""))),"")</f>
        <v/>
      </c>
      <c r="K135" s="68" t="str">
        <f>iferror(iferror(if(LEFT(VLOOKUP($B135,'Round 8'!$B$2:$H$361,7,false),1)="A","W",if(LEFT(VLOOKUP($B135,'Round 8'!$B$2:$H$361,7,false),1)="B","L","")),if(LEFT(VLOOKUP($B135,'Round 8'!$F$2:$H$361,3,false),1)="b","W",if(LEFT(VLOOKUP($B135,'Round 8'!$F$2:$H$361,3,false),1)="a","L",""))),"")</f>
        <v/>
      </c>
      <c r="L135" s="68" t="str">
        <f>iferror(iferror(if(LEFT(VLOOKUP($B135,'Round 9'!$B$2:$H$361,7,false),1)="A","W",if(LEFT(VLOOKUP($B135,'Round 9'!$B$2:$H$361,7,false),1)="B","L","")),if(LEFT(VLOOKUP($B135,'Round 9'!$F$2:$H$361,3,false),1)="b","W",if(LEFT(VLOOKUP($B135,'Round 9'!$F$2:$H$361,3,false),1)="a","L",""))),"")</f>
        <v/>
      </c>
      <c r="M135" s="68" t="str">
        <f>iferror(iferror(if(LEFT(VLOOKUP($B135,'Round 10'!$B$2:$H$362,7,false),1)="A","W",if(LEFT(VLOOKUP($B135,'Round 10'!$B$2:$H$362,7,false),1)="B","L","")),if(LEFT(VLOOKUP($B135,'Round 10'!$F$2:$H$362,3,false),1)="b","W",if(LEFT(VLOOKUP($B135,'Round 10'!$F$2:$H$362,3,false),1)="a","L",""))),"")</f>
        <v/>
      </c>
      <c r="N135" s="62" t="s">
        <v>345</v>
      </c>
    </row>
    <row r="136">
      <c r="A136" s="63">
        <v>135.0</v>
      </c>
      <c r="B136" s="64" t="s">
        <v>346</v>
      </c>
      <c r="C136" s="65" t="str">
        <f t="shared" si="1"/>
        <v>3 - 3</v>
      </c>
      <c r="D136" s="67" t="str">
        <f>iferror(if(LEFT(VLOOKUP($B136,'Round 1'!$B$2:$H$361,7,false),1)="A","W",if(LEFT(VLOOKUP($B136,'Round 1'!$B$2:$H$361,7,false),1)="B","L","")),if(LEFT(VLOOKUP($B136,'Round 1'!$F$2:$H$361,3,false),1)="b","W",if(LEFT(VLOOKUP($B136,'Round 1'!$F$2:$H$361,3,false),1)="a","L","")))</f>
        <v>L</v>
      </c>
      <c r="E136" s="67" t="str">
        <f>iferror(if(LEFT(VLOOKUP($B136,'Round 2'!$C$2:$J$361,8,false),1)="A","W",if(LEFT(VLOOKUP($B136,'Round 2'!$C$2:$J$361,8,false),1)="B","L","")),if(LEFT(VLOOKUP($B136,'Round 2'!$G$2:$J$361,4,false),1)="b","W",if(LEFT(VLOOKUP($B136,'Round 2'!$G$2:$J$361,4,false),1)="a","L","")))</f>
        <v>W</v>
      </c>
      <c r="F136" s="67" t="str">
        <f>iferror(if(LEFT(VLOOKUP($B136,'Round 3'!$B$2:$H$361,7,false),1)="A","W",if(LEFT(VLOOKUP($B136,'Round 3'!$B$2:$H$361,7,false),1)="B","L","")),if(LEFT(VLOOKUP($B136,'Round 3'!$F$2:$H$361,3,false),1)="b","W",if(LEFT(VLOOKUP($B136,'Round 3'!$F$2:$H$361,3,false),1)="a","L","")))</f>
        <v>L</v>
      </c>
      <c r="G136" s="67" t="str">
        <f>iferror(if(LEFT(VLOOKUP($B136,'Round 4'!$B$2:$H$361,7,false),1)="A","W",if(LEFT(VLOOKUP($B136,'Round 4'!$B$2:$H$361,7,false),1)="B","L","")),if(LEFT(VLOOKUP($B136,'Round 4'!$F$2:$H$361,3,false),1)="b","W",if(LEFT(VLOOKUP($B136,'Round 4'!$F$2:$H$361,3,false),1)="a","L","")))</f>
        <v>W</v>
      </c>
      <c r="H136" s="67" t="str">
        <f>iferror(if(LEFT(VLOOKUP($B136,'Round 5'!$B$2:$H$361,7,false),1)="A","W",if(LEFT(VLOOKUP($B136,'Round 5'!$B$2:$H$361,7,false),1)="B","L","")),if(LEFT(VLOOKUP($B136,'Round 5'!$F$2:$H$361,3,false),1)="b","W",if(LEFT(VLOOKUP($B136,'Round 5'!$F$2:$H$361,3,false),1)="a","L","")))</f>
        <v>W</v>
      </c>
      <c r="I136" s="67" t="str">
        <f>iferror(if(LEFT(VLOOKUP($B136,'Round 6'!$B$2:$H$361,7,false),1)="A","W",if(LEFT(VLOOKUP($B136,'Round 6'!$B$2:$H$361,7,false),1)="B","L","")),if(LEFT(VLOOKUP($B136,'Round 6'!$F$2:$H$361,3,false),1)="b","W",if(LEFT(VLOOKUP($B136,'Round 6'!$F$2:$H$361,3,false),1)="a","L","")))</f>
        <v>L</v>
      </c>
      <c r="J136" s="67" t="str">
        <f>iferror(iferror(if(LEFT(VLOOKUP($B136,'Round 7'!$B$2:$H$361,7,false),1)="A","W",if(LEFT(VLOOKUP($B136,'Round 7'!$B$2:$H$361,7,false),1)="B","L","")),if(LEFT(VLOOKUP($B136,'Round 7'!$F$2:$H$361,3,false),1)="b","W",if(LEFT(VLOOKUP($B136,'Round 7'!$F$2:$H$361,3,false),1)="a","L",""))),"")</f>
        <v/>
      </c>
      <c r="K136" s="68" t="str">
        <f>iferror(iferror(if(LEFT(VLOOKUP($B136,'Round 8'!$B$2:$H$361,7,false),1)="A","W",if(LEFT(VLOOKUP($B136,'Round 8'!$B$2:$H$361,7,false),1)="B","L","")),if(LEFT(VLOOKUP($B136,'Round 8'!$F$2:$H$361,3,false),1)="b","W",if(LEFT(VLOOKUP($B136,'Round 8'!$F$2:$H$361,3,false),1)="a","L",""))),"")</f>
        <v/>
      </c>
      <c r="L136" s="68" t="str">
        <f>iferror(iferror(if(LEFT(VLOOKUP($B136,'Round 9'!$B$2:$H$361,7,false),1)="A","W",if(LEFT(VLOOKUP($B136,'Round 9'!$B$2:$H$361,7,false),1)="B","L","")),if(LEFT(VLOOKUP($B136,'Round 9'!$F$2:$H$361,3,false),1)="b","W",if(LEFT(VLOOKUP($B136,'Round 9'!$F$2:$H$361,3,false),1)="a","L",""))),"")</f>
        <v/>
      </c>
      <c r="M136" s="68" t="str">
        <f>iferror(iferror(if(LEFT(VLOOKUP($B136,'Round 10'!$B$2:$H$362,7,false),1)="A","W",if(LEFT(VLOOKUP($B136,'Round 10'!$B$2:$H$362,7,false),1)="B","L","")),if(LEFT(VLOOKUP($B136,'Round 10'!$F$2:$H$362,3,false),1)="b","W",if(LEFT(VLOOKUP($B136,'Round 10'!$F$2:$H$362,3,false),1)="a","L",""))),"")</f>
        <v/>
      </c>
      <c r="N136" s="62" t="s">
        <v>347</v>
      </c>
    </row>
    <row r="137">
      <c r="A137" s="63">
        <v>136.0</v>
      </c>
      <c r="B137" s="64" t="s">
        <v>348</v>
      </c>
      <c r="C137" s="65" t="str">
        <f t="shared" si="1"/>
        <v>3 - 3</v>
      </c>
      <c r="D137" s="67" t="str">
        <f>iferror(if(LEFT(VLOOKUP($B137,'Round 1'!$B$2:$H$361,7,false),1)="A","W",if(LEFT(VLOOKUP($B137,'Round 1'!$B$2:$H$361,7,false),1)="B","L","")),if(LEFT(VLOOKUP($B137,'Round 1'!$F$2:$H$361,3,false),1)="b","W",if(LEFT(VLOOKUP($B137,'Round 1'!$F$2:$H$361,3,false),1)="a","L","")))</f>
        <v>L</v>
      </c>
      <c r="E137" s="67" t="str">
        <f>iferror(if(LEFT(VLOOKUP($B137,'Round 2'!$C$2:$J$361,8,false),1)="A","W",if(LEFT(VLOOKUP($B137,'Round 2'!$C$2:$J$361,8,false),1)="B","L","")),if(LEFT(VLOOKUP($B137,'Round 2'!$G$2:$J$361,4,false),1)="b","W",if(LEFT(VLOOKUP($B137,'Round 2'!$G$2:$J$361,4,false),1)="a","L","")))</f>
        <v>L</v>
      </c>
      <c r="F137" s="67" t="str">
        <f>iferror(if(LEFT(VLOOKUP($B137,'Round 3'!$B$2:$H$361,7,false),1)="A","W",if(LEFT(VLOOKUP($B137,'Round 3'!$B$2:$H$361,7,false),1)="B","L","")),if(LEFT(VLOOKUP($B137,'Round 3'!$F$2:$H$361,3,false),1)="b","W",if(LEFT(VLOOKUP($B137,'Round 3'!$F$2:$H$361,3,false),1)="a","L","")))</f>
        <v>W</v>
      </c>
      <c r="G137" s="67" t="str">
        <f>iferror(if(LEFT(VLOOKUP($B137,'Round 4'!$B$2:$H$361,7,false),1)="A","W",if(LEFT(VLOOKUP($B137,'Round 4'!$B$2:$H$361,7,false),1)="B","L","")),if(LEFT(VLOOKUP($B137,'Round 4'!$F$2:$H$361,3,false),1)="b","W",if(LEFT(VLOOKUP($B137,'Round 4'!$F$2:$H$361,3,false),1)="a","L","")))</f>
        <v>W</v>
      </c>
      <c r="H137" s="67" t="str">
        <f>iferror(if(LEFT(VLOOKUP($B137,'Round 5'!$B$2:$H$361,7,false),1)="A","W",if(LEFT(VLOOKUP($B137,'Round 5'!$B$2:$H$361,7,false),1)="B","L","")),if(LEFT(VLOOKUP($B137,'Round 5'!$F$2:$H$361,3,false),1)="b","W",if(LEFT(VLOOKUP($B137,'Round 5'!$F$2:$H$361,3,false),1)="a","L","")))</f>
        <v>W</v>
      </c>
      <c r="I137" s="67" t="str">
        <f>iferror(if(LEFT(VLOOKUP($B137,'Round 6'!$B$2:$H$361,7,false),1)="A","W",if(LEFT(VLOOKUP($B137,'Round 6'!$B$2:$H$361,7,false),1)="B","L","")),if(LEFT(VLOOKUP($B137,'Round 6'!$F$2:$H$361,3,false),1)="b","W",if(LEFT(VLOOKUP($B137,'Round 6'!$F$2:$H$361,3,false),1)="a","L","")))</f>
        <v>L</v>
      </c>
      <c r="J137" s="67" t="str">
        <f>iferror(iferror(if(LEFT(VLOOKUP($B137,'Round 7'!$B$2:$H$361,7,false),1)="A","W",if(LEFT(VLOOKUP($B137,'Round 7'!$B$2:$H$361,7,false),1)="B","L","")),if(LEFT(VLOOKUP($B137,'Round 7'!$F$2:$H$361,3,false),1)="b","W",if(LEFT(VLOOKUP($B137,'Round 7'!$F$2:$H$361,3,false),1)="a","L",""))),"")</f>
        <v/>
      </c>
      <c r="K137" s="68" t="str">
        <f>iferror(iferror(if(LEFT(VLOOKUP($B137,'Round 8'!$B$2:$H$361,7,false),1)="A","W",if(LEFT(VLOOKUP($B137,'Round 8'!$B$2:$H$361,7,false),1)="B","L","")),if(LEFT(VLOOKUP($B137,'Round 8'!$F$2:$H$361,3,false),1)="b","W",if(LEFT(VLOOKUP($B137,'Round 8'!$F$2:$H$361,3,false),1)="a","L",""))),"")</f>
        <v/>
      </c>
      <c r="L137" s="68" t="str">
        <f>iferror(iferror(if(LEFT(VLOOKUP($B137,'Round 9'!$B$2:$H$361,7,false),1)="A","W",if(LEFT(VLOOKUP($B137,'Round 9'!$B$2:$H$361,7,false),1)="B","L","")),if(LEFT(VLOOKUP($B137,'Round 9'!$F$2:$H$361,3,false),1)="b","W",if(LEFT(VLOOKUP($B137,'Round 9'!$F$2:$H$361,3,false),1)="a","L",""))),"")</f>
        <v/>
      </c>
      <c r="M137" s="68" t="str">
        <f>iferror(iferror(if(LEFT(VLOOKUP($B137,'Round 10'!$B$2:$H$362,7,false),1)="A","W",if(LEFT(VLOOKUP($B137,'Round 10'!$B$2:$H$362,7,false),1)="B","L","")),if(LEFT(VLOOKUP($B137,'Round 10'!$F$2:$H$362,3,false),1)="b","W",if(LEFT(VLOOKUP($B137,'Round 10'!$F$2:$H$362,3,false),1)="a","L",""))),"")</f>
        <v/>
      </c>
      <c r="N137" s="62" t="s">
        <v>349</v>
      </c>
    </row>
    <row r="138">
      <c r="A138" s="63">
        <v>137.0</v>
      </c>
      <c r="B138" s="64" t="s">
        <v>350</v>
      </c>
      <c r="C138" s="65" t="str">
        <f t="shared" si="1"/>
        <v>2 - 3</v>
      </c>
      <c r="D138" s="67" t="str">
        <f>iferror(if(LEFT(VLOOKUP($B138,'Round 1'!$B$2:$H$361,7,false),1)="A","W",if(LEFT(VLOOKUP($B138,'Round 1'!$B$2:$H$361,7,false),1)="B","L","")),if(LEFT(VLOOKUP($B138,'Round 1'!$F$2:$H$361,3,false),1)="b","W",if(LEFT(VLOOKUP($B138,'Round 1'!$F$2:$H$361,3,false),1)="a","L","")))</f>
        <v>W</v>
      </c>
      <c r="E138" s="67" t="str">
        <f>iferror(if(LEFT(VLOOKUP($B138,'Round 2'!$C$2:$J$361,8,false),1)="A","W",if(LEFT(VLOOKUP($B138,'Round 2'!$C$2:$J$361,8,false),1)="B","L","")),if(LEFT(VLOOKUP($B138,'Round 2'!$G$2:$J$361,4,false),1)="b","W",if(LEFT(VLOOKUP($B138,'Round 2'!$G$2:$J$361,4,false),1)="a","L","")))</f>
        <v>L</v>
      </c>
      <c r="F138" s="67" t="str">
        <f>iferror(if(LEFT(VLOOKUP($B138,'Round 3'!$B$2:$H$361,7,false),1)="A","W",if(LEFT(VLOOKUP($B138,'Round 3'!$B$2:$H$361,7,false),1)="B","L","")),if(LEFT(VLOOKUP($B138,'Round 3'!$F$2:$H$361,3,false),1)="b","W",if(LEFT(VLOOKUP($B138,'Round 3'!$F$2:$H$361,3,false),1)="a","L","")))</f>
        <v>W</v>
      </c>
      <c r="G138" s="67" t="str">
        <f>iferror(if(LEFT(VLOOKUP($B138,'Round 4'!$B$2:$H$361,7,false),1)="A","W",if(LEFT(VLOOKUP($B138,'Round 4'!$B$2:$H$361,7,false),1)="B","L","")),if(LEFT(VLOOKUP($B138,'Round 4'!$F$2:$H$361,3,false),1)="b","W",if(LEFT(VLOOKUP($B138,'Round 4'!$F$2:$H$361,3,false),1)="a","L","")))</f>
        <v>L</v>
      </c>
      <c r="H138" s="67" t="str">
        <f>iferror(if(LEFT(VLOOKUP($B138,'Round 5'!$B$2:$H$361,7,false),1)="A","W",if(LEFT(VLOOKUP($B138,'Round 5'!$B$2:$H$361,7,false),1)="B","L","")),if(LEFT(VLOOKUP($B138,'Round 5'!$F$2:$H$361,3,false),1)="b","W",if(LEFT(VLOOKUP($B138,'Round 5'!$F$2:$H$361,3,false),1)="a","L","")))</f>
        <v>L</v>
      </c>
      <c r="I138" s="67"/>
      <c r="J138" s="67" t="str">
        <f>iferror(iferror(if(LEFT(VLOOKUP($B138,'Round 7'!$B$2:$H$361,7,false),1)="A","W",if(LEFT(VLOOKUP($B138,'Round 7'!$B$2:$H$361,7,false),1)="B","L","")),if(LEFT(VLOOKUP($B138,'Round 7'!$F$2:$H$361,3,false),1)="b","W",if(LEFT(VLOOKUP($B138,'Round 7'!$F$2:$H$361,3,false),1)="a","L",""))),"")</f>
        <v/>
      </c>
      <c r="K138" s="68" t="str">
        <f>iferror(iferror(if(LEFT(VLOOKUP($B138,'Round 8'!$B$2:$H$361,7,false),1)="A","W",if(LEFT(VLOOKUP($B138,'Round 8'!$B$2:$H$361,7,false),1)="B","L","")),if(LEFT(VLOOKUP($B138,'Round 8'!$F$2:$H$361,3,false),1)="b","W",if(LEFT(VLOOKUP($B138,'Round 8'!$F$2:$H$361,3,false),1)="a","L",""))),"")</f>
        <v/>
      </c>
      <c r="L138" s="68" t="str">
        <f>iferror(iferror(if(LEFT(VLOOKUP($B138,'Round 9'!$B$2:$H$361,7,false),1)="A","W",if(LEFT(VLOOKUP($B138,'Round 9'!$B$2:$H$361,7,false),1)="B","L","")),if(LEFT(VLOOKUP($B138,'Round 9'!$F$2:$H$361,3,false),1)="b","W",if(LEFT(VLOOKUP($B138,'Round 9'!$F$2:$H$361,3,false),1)="a","L",""))),"")</f>
        <v/>
      </c>
      <c r="M138" s="68" t="str">
        <f>iferror(iferror(if(LEFT(VLOOKUP($B138,'Round 10'!$B$2:$H$362,7,false),1)="A","W",if(LEFT(VLOOKUP($B138,'Round 10'!$B$2:$H$362,7,false),1)="B","L","")),if(LEFT(VLOOKUP($B138,'Round 10'!$F$2:$H$362,3,false),1)="b","W",if(LEFT(VLOOKUP($B138,'Round 10'!$F$2:$H$362,3,false),1)="a","L",""))),"")</f>
        <v/>
      </c>
      <c r="N138" s="62" t="s">
        <v>351</v>
      </c>
    </row>
    <row r="139">
      <c r="A139" s="63">
        <v>138.0</v>
      </c>
      <c r="B139" s="64" t="s">
        <v>352</v>
      </c>
      <c r="C139" s="65" t="str">
        <f t="shared" si="1"/>
        <v>2 - 3</v>
      </c>
      <c r="D139" s="67" t="str">
        <f>iferror(if(LEFT(VLOOKUP($B139,'Round 1'!$B$2:$H$361,7,false),1)="A","W",if(LEFT(VLOOKUP($B139,'Round 1'!$B$2:$H$361,7,false),1)="B","L","")),if(LEFT(VLOOKUP($B139,'Round 1'!$F$2:$H$361,3,false),1)="b","W",if(LEFT(VLOOKUP($B139,'Round 1'!$F$2:$H$361,3,false),1)="a","L","")))</f>
        <v>W</v>
      </c>
      <c r="E139" s="67" t="str">
        <f>iferror(if(LEFT(VLOOKUP($B139,'Round 2'!$C$2:$J$361,8,false),1)="A","W",if(LEFT(VLOOKUP($B139,'Round 2'!$C$2:$J$361,8,false),1)="B","L","")),if(LEFT(VLOOKUP($B139,'Round 2'!$G$2:$J$361,4,false),1)="b","W",if(LEFT(VLOOKUP($B139,'Round 2'!$G$2:$J$361,4,false),1)="a","L","")))</f>
        <v>L</v>
      </c>
      <c r="F139" s="67" t="str">
        <f>iferror(if(LEFT(VLOOKUP($B139,'Round 3'!$B$2:$H$361,7,false),1)="A","W",if(LEFT(VLOOKUP($B139,'Round 3'!$B$2:$H$361,7,false),1)="B","L","")),if(LEFT(VLOOKUP($B139,'Round 3'!$F$2:$H$361,3,false),1)="b","W",if(LEFT(VLOOKUP($B139,'Round 3'!$F$2:$H$361,3,false),1)="a","L","")))</f>
        <v>W</v>
      </c>
      <c r="G139" s="67" t="str">
        <f>iferror(if(LEFT(VLOOKUP($B139,'Round 4'!$B$2:$H$361,7,false),1)="A","W",if(LEFT(VLOOKUP($B139,'Round 4'!$B$2:$H$361,7,false),1)="B","L","")),if(LEFT(VLOOKUP($B139,'Round 4'!$F$2:$H$361,3,false),1)="b","W",if(LEFT(VLOOKUP($B139,'Round 4'!$F$2:$H$361,3,false),1)="a","L","")))</f>
        <v>L</v>
      </c>
      <c r="H139" s="67" t="str">
        <f>iferror(if(LEFT(VLOOKUP($B139,'Round 5'!$B$2:$H$361,7,false),1)="A","W",if(LEFT(VLOOKUP($B139,'Round 5'!$B$2:$H$361,7,false),1)="B","L","")),if(LEFT(VLOOKUP($B139,'Round 5'!$F$2:$H$361,3,false),1)="b","W",if(LEFT(VLOOKUP($B139,'Round 5'!$F$2:$H$361,3,false),1)="a","L","")))</f>
        <v>L</v>
      </c>
      <c r="I139" s="67"/>
      <c r="J139" s="67" t="str">
        <f>iferror(iferror(if(LEFT(VLOOKUP($B139,'Round 7'!$B$2:$H$361,7,false),1)="A","W",if(LEFT(VLOOKUP($B139,'Round 7'!$B$2:$H$361,7,false),1)="B","L","")),if(LEFT(VLOOKUP($B139,'Round 7'!$F$2:$H$361,3,false),1)="b","W",if(LEFT(VLOOKUP($B139,'Round 7'!$F$2:$H$361,3,false),1)="a","L",""))),"")</f>
        <v/>
      </c>
      <c r="K139" s="68" t="str">
        <f>iferror(iferror(if(LEFT(VLOOKUP($B139,'Round 8'!$B$2:$H$361,7,false),1)="A","W",if(LEFT(VLOOKUP($B139,'Round 8'!$B$2:$H$361,7,false),1)="B","L","")),if(LEFT(VLOOKUP($B139,'Round 8'!$F$2:$H$361,3,false),1)="b","W",if(LEFT(VLOOKUP($B139,'Round 8'!$F$2:$H$361,3,false),1)="a","L",""))),"")</f>
        <v/>
      </c>
      <c r="L139" s="68" t="str">
        <f>iferror(iferror(if(LEFT(VLOOKUP($B139,'Round 9'!$B$2:$H$361,7,false),1)="A","W",if(LEFT(VLOOKUP($B139,'Round 9'!$B$2:$H$361,7,false),1)="B","L","")),if(LEFT(VLOOKUP($B139,'Round 9'!$F$2:$H$361,3,false),1)="b","W",if(LEFT(VLOOKUP($B139,'Round 9'!$F$2:$H$361,3,false),1)="a","L",""))),"")</f>
        <v/>
      </c>
      <c r="M139" s="68" t="str">
        <f>iferror(iferror(if(LEFT(VLOOKUP($B139,'Round 10'!$B$2:$H$362,7,false),1)="A","W",if(LEFT(VLOOKUP($B139,'Round 10'!$B$2:$H$362,7,false),1)="B","L","")),if(LEFT(VLOOKUP($B139,'Round 10'!$F$2:$H$362,3,false),1)="b","W",if(LEFT(VLOOKUP($B139,'Round 10'!$F$2:$H$362,3,false),1)="a","L",""))),"")</f>
        <v/>
      </c>
      <c r="N139" s="62" t="s">
        <v>353</v>
      </c>
    </row>
    <row r="140">
      <c r="A140" s="63">
        <v>139.0</v>
      </c>
      <c r="B140" s="64" t="s">
        <v>354</v>
      </c>
      <c r="C140" s="65" t="str">
        <f t="shared" si="1"/>
        <v>0 - 3</v>
      </c>
      <c r="D140" s="67" t="str">
        <f>iferror(if(LEFT(VLOOKUP($B140,'Round 1'!$B$2:$H$361,7,false),1)="A","W",if(LEFT(VLOOKUP($B140,'Round 1'!$B$2:$H$361,7,false),1)="B","L","")),if(LEFT(VLOOKUP($B140,'Round 1'!$F$2:$H$361,3,false),1)="b","W",if(LEFT(VLOOKUP($B140,'Round 1'!$F$2:$H$361,3,false),1)="a","L","")))</f>
        <v>L</v>
      </c>
      <c r="E140" s="67" t="str">
        <f>iferror(if(LEFT(VLOOKUP($B140,'Round 2'!$C$2:$J$361,8,false),1)="A","W",if(LEFT(VLOOKUP($B140,'Round 2'!$C$2:$J$361,8,false),1)="B","L","")),if(LEFT(VLOOKUP($B140,'Round 2'!$G$2:$J$361,4,false),1)="b","W",if(LEFT(VLOOKUP($B140,'Round 2'!$G$2:$J$361,4,false),1)="a","L","")))</f>
        <v>L</v>
      </c>
      <c r="F140" s="67" t="str">
        <f>iferror(if(LEFT(VLOOKUP($B140,'Round 3'!$B$2:$H$361,7,false),1)="A","W",if(LEFT(VLOOKUP($B140,'Round 3'!$B$2:$H$361,7,false),1)="B","L","")),if(LEFT(VLOOKUP($B140,'Round 3'!$F$2:$H$361,3,false),1)="b","W",if(LEFT(VLOOKUP($B140,'Round 3'!$F$2:$H$361,3,false),1)="a","L","")))</f>
        <v>L</v>
      </c>
      <c r="G140" s="67"/>
      <c r="H140" s="67"/>
      <c r="I140" s="67"/>
      <c r="J140" s="67" t="str">
        <f>iferror(iferror(if(LEFT(VLOOKUP($B140,'Round 7'!$B$2:$H$361,7,false),1)="A","W",if(LEFT(VLOOKUP($B140,'Round 7'!$B$2:$H$361,7,false),1)="B","L","")),if(LEFT(VLOOKUP($B140,'Round 7'!$F$2:$H$361,3,false),1)="b","W",if(LEFT(VLOOKUP($B140,'Round 7'!$F$2:$H$361,3,false),1)="a","L",""))),"")</f>
        <v/>
      </c>
      <c r="K140" s="68" t="str">
        <f>iferror(iferror(if(LEFT(VLOOKUP($B140,'Round 8'!$B$2:$H$361,7,false),1)="A","W",if(LEFT(VLOOKUP($B140,'Round 8'!$B$2:$H$361,7,false),1)="B","L","")),if(LEFT(VLOOKUP($B140,'Round 8'!$F$2:$H$361,3,false),1)="b","W",if(LEFT(VLOOKUP($B140,'Round 8'!$F$2:$H$361,3,false),1)="a","L",""))),"")</f>
        <v/>
      </c>
      <c r="L140" s="68" t="str">
        <f>iferror(iferror(if(LEFT(VLOOKUP($B140,'Round 9'!$B$2:$H$361,7,false),1)="A","W",if(LEFT(VLOOKUP($B140,'Round 9'!$B$2:$H$361,7,false),1)="B","L","")),if(LEFT(VLOOKUP($B140,'Round 9'!$F$2:$H$361,3,false),1)="b","W",if(LEFT(VLOOKUP($B140,'Round 9'!$F$2:$H$361,3,false),1)="a","L",""))),"")</f>
        <v/>
      </c>
      <c r="M140" s="68" t="str">
        <f>iferror(iferror(if(LEFT(VLOOKUP($B140,'Round 10'!$B$2:$H$362,7,false),1)="A","W",if(LEFT(VLOOKUP($B140,'Round 10'!$B$2:$H$362,7,false),1)="B","L","")),if(LEFT(VLOOKUP($B140,'Round 10'!$F$2:$H$362,3,false),1)="b","W",if(LEFT(VLOOKUP($B140,'Round 10'!$F$2:$H$362,3,false),1)="a","L",""))),"")</f>
        <v/>
      </c>
      <c r="N140" s="72" t="s">
        <v>144</v>
      </c>
    </row>
    <row r="141">
      <c r="A141" s="63">
        <v>140.0</v>
      </c>
      <c r="B141" s="64" t="s">
        <v>355</v>
      </c>
      <c r="C141" s="65" t="str">
        <f t="shared" si="1"/>
        <v>3 - 3</v>
      </c>
      <c r="D141" s="67" t="str">
        <f>iferror(if(LEFT(VLOOKUP($B141,'Round 1'!$B$2:$H$361,7,false),1)="A","W",if(LEFT(VLOOKUP($B141,'Round 1'!$B$2:$H$361,7,false),1)="B","L","")),if(LEFT(VLOOKUP($B141,'Round 1'!$F$2:$H$361,3,false),1)="b","W",if(LEFT(VLOOKUP($B141,'Round 1'!$F$2:$H$361,3,false),1)="a","L","")))</f>
        <v>L</v>
      </c>
      <c r="E141" s="67" t="str">
        <f>iferror(if(LEFT(VLOOKUP($B141,'Round 2'!$C$2:$J$361,8,false),1)="A","W",if(LEFT(VLOOKUP($B141,'Round 2'!$C$2:$J$361,8,false),1)="B","L","")),if(LEFT(VLOOKUP($B141,'Round 2'!$G$2:$J$361,4,false),1)="b","W",if(LEFT(VLOOKUP($B141,'Round 2'!$G$2:$J$361,4,false),1)="a","L","")))</f>
        <v>W</v>
      </c>
      <c r="F141" s="67" t="str">
        <f>iferror(if(LEFT(VLOOKUP($B141,'Round 3'!$B$2:$H$361,7,false),1)="A","W",if(LEFT(VLOOKUP($B141,'Round 3'!$B$2:$H$361,7,false),1)="B","L","")),if(LEFT(VLOOKUP($B141,'Round 3'!$F$2:$H$361,3,false),1)="b","W",if(LEFT(VLOOKUP($B141,'Round 3'!$F$2:$H$361,3,false),1)="a","L","")))</f>
        <v>L</v>
      </c>
      <c r="G141" s="67" t="str">
        <f>iferror(if(LEFT(VLOOKUP($B141,'Round 4'!$B$2:$H$361,7,false),1)="A","W",if(LEFT(VLOOKUP($B141,'Round 4'!$B$2:$H$361,7,false),1)="B","L","")),if(LEFT(VLOOKUP($B141,'Round 4'!$F$2:$H$361,3,false),1)="b","W",if(LEFT(VLOOKUP($B141,'Round 4'!$F$2:$H$361,3,false),1)="a","L","")))</f>
        <v>W</v>
      </c>
      <c r="H141" s="67" t="str">
        <f>iferror(if(LEFT(VLOOKUP($B141,'Round 5'!$B$2:$H$361,7,false),1)="A","W",if(LEFT(VLOOKUP($B141,'Round 5'!$B$2:$H$361,7,false),1)="B","L","")),if(LEFT(VLOOKUP($B141,'Round 5'!$F$2:$H$361,3,false),1)="b","W",if(LEFT(VLOOKUP($B141,'Round 5'!$F$2:$H$361,3,false),1)="a","L","")))</f>
        <v>W</v>
      </c>
      <c r="I141" s="67" t="str">
        <f>iferror(if(LEFT(VLOOKUP($B141,'Round 6'!$B$2:$H$361,7,false),1)="A","W",if(LEFT(VLOOKUP($B141,'Round 6'!$B$2:$H$361,7,false),1)="B","L","")),if(LEFT(VLOOKUP($B141,'Round 6'!$F$2:$H$361,3,false),1)="b","W",if(LEFT(VLOOKUP($B141,'Round 6'!$F$2:$H$361,3,false),1)="a","L","")))</f>
        <v>L</v>
      </c>
      <c r="J141" s="67" t="str">
        <f>iferror(iferror(if(LEFT(VLOOKUP($B141,'Round 7'!$B$2:$H$361,7,false),1)="A","W",if(LEFT(VLOOKUP($B141,'Round 7'!$B$2:$H$361,7,false),1)="B","L","")),if(LEFT(VLOOKUP($B141,'Round 7'!$F$2:$H$361,3,false),1)="b","W",if(LEFT(VLOOKUP($B141,'Round 7'!$F$2:$H$361,3,false),1)="a","L",""))),"")</f>
        <v/>
      </c>
      <c r="K141" s="68" t="str">
        <f>iferror(iferror(if(LEFT(VLOOKUP($B141,'Round 8'!$B$2:$H$361,7,false),1)="A","W",if(LEFT(VLOOKUP($B141,'Round 8'!$B$2:$H$361,7,false),1)="B","L","")),if(LEFT(VLOOKUP($B141,'Round 8'!$F$2:$H$361,3,false),1)="b","W",if(LEFT(VLOOKUP($B141,'Round 8'!$F$2:$H$361,3,false),1)="a","L",""))),"")</f>
        <v/>
      </c>
      <c r="L141" s="68" t="str">
        <f>iferror(iferror(if(LEFT(VLOOKUP($B141,'Round 9'!$B$2:$H$361,7,false),1)="A","W",if(LEFT(VLOOKUP($B141,'Round 9'!$B$2:$H$361,7,false),1)="B","L","")),if(LEFT(VLOOKUP($B141,'Round 9'!$F$2:$H$361,3,false),1)="b","W",if(LEFT(VLOOKUP($B141,'Round 9'!$F$2:$H$361,3,false),1)="a","L",""))),"")</f>
        <v/>
      </c>
      <c r="M141" s="68" t="str">
        <f>iferror(iferror(if(LEFT(VLOOKUP($B141,'Round 10'!$B$2:$H$362,7,false),1)="A","W",if(LEFT(VLOOKUP($B141,'Round 10'!$B$2:$H$362,7,false),1)="B","L","")),if(LEFT(VLOOKUP($B141,'Round 10'!$F$2:$H$362,3,false),1)="b","W",if(LEFT(VLOOKUP($B141,'Round 10'!$F$2:$H$362,3,false),1)="a","L",""))),"")</f>
        <v/>
      </c>
      <c r="N141" s="62" t="s">
        <v>356</v>
      </c>
    </row>
    <row r="142">
      <c r="A142" s="63">
        <v>141.0</v>
      </c>
      <c r="B142" s="71" t="s">
        <v>357</v>
      </c>
      <c r="C142" s="65" t="str">
        <f t="shared" si="1"/>
        <v>3 - 3</v>
      </c>
      <c r="D142" s="67" t="str">
        <f>iferror(if(LEFT(VLOOKUP($B142,'Round 1'!$B$2:$H$361,7,false),1)="A","W",if(LEFT(VLOOKUP($B142,'Round 1'!$B$2:$H$361,7,false),1)="B","L","")),if(LEFT(VLOOKUP($B142,'Round 1'!$F$2:$H$361,3,false),1)="b","W",if(LEFT(VLOOKUP($B142,'Round 1'!$F$2:$H$361,3,false),1)="a","L","")))</f>
        <v>W</v>
      </c>
      <c r="E142" s="67" t="str">
        <f>iferror(if(LEFT(VLOOKUP($B142,'Round 2'!$C$2:$J$361,8,false),1)="A","W",if(LEFT(VLOOKUP($B142,'Round 2'!$C$2:$J$361,8,false),1)="B","L","")),if(LEFT(VLOOKUP($B142,'Round 2'!$G$2:$J$361,4,false),1)="b","W",if(LEFT(VLOOKUP($B142,'Round 2'!$G$2:$J$361,4,false),1)="a","L","")))</f>
        <v>L</v>
      </c>
      <c r="F142" s="67" t="str">
        <f>iferror(if(LEFT(VLOOKUP($B142,'Round 3'!$B$2:$H$361,7,false),1)="A","W",if(LEFT(VLOOKUP($B142,'Round 3'!$B$2:$H$361,7,false),1)="B","L","")),if(LEFT(VLOOKUP($B142,'Round 3'!$F$2:$H$361,3,false),1)="b","W",if(LEFT(VLOOKUP($B142,'Round 3'!$F$2:$H$361,3,false),1)="a","L","")))</f>
        <v>L</v>
      </c>
      <c r="G142" s="67" t="str">
        <f>iferror(if(LEFT(VLOOKUP($B142,'Round 4'!$B$2:$H$361,7,false),1)="A","W",if(LEFT(VLOOKUP($B142,'Round 4'!$B$2:$H$361,7,false),1)="B","L","")),if(LEFT(VLOOKUP($B142,'Round 4'!$F$2:$H$361,3,false),1)="b","W",if(LEFT(VLOOKUP($B142,'Round 4'!$F$2:$H$361,3,false),1)="a","L","")))</f>
        <v>W</v>
      </c>
      <c r="H142" s="67" t="str">
        <f>iferror(if(LEFT(VLOOKUP($B142,'Round 5'!$B$2:$H$361,7,false),1)="A","W",if(LEFT(VLOOKUP($B142,'Round 5'!$B$2:$H$361,7,false),1)="B","L","")),if(LEFT(VLOOKUP($B142,'Round 5'!$F$2:$H$361,3,false),1)="b","W",if(LEFT(VLOOKUP($B142,'Round 5'!$F$2:$H$361,3,false),1)="a","L","")))</f>
        <v>W</v>
      </c>
      <c r="I142" s="67" t="str">
        <f>iferror(if(LEFT(VLOOKUP($B142,'Round 6'!$B$2:$H$361,7,false),1)="A","W",if(LEFT(VLOOKUP($B142,'Round 6'!$B$2:$H$361,7,false),1)="B","L","")),if(LEFT(VLOOKUP($B142,'Round 6'!$F$2:$H$361,3,false),1)="b","W",if(LEFT(VLOOKUP($B142,'Round 6'!$F$2:$H$361,3,false),1)="a","L","")))</f>
        <v>L</v>
      </c>
      <c r="J142" s="67" t="str">
        <f>iferror(iferror(if(LEFT(VLOOKUP($B142,'Round 7'!$B$2:$H$361,7,false),1)="A","W",if(LEFT(VLOOKUP($B142,'Round 7'!$B$2:$H$361,7,false),1)="B","L","")),if(LEFT(VLOOKUP($B142,'Round 7'!$F$2:$H$361,3,false),1)="b","W",if(LEFT(VLOOKUP($B142,'Round 7'!$F$2:$H$361,3,false),1)="a","L",""))),"")</f>
        <v/>
      </c>
      <c r="K142" s="68" t="str">
        <f>iferror(iferror(if(LEFT(VLOOKUP($B142,'Round 8'!$B$2:$H$361,7,false),1)="A","W",if(LEFT(VLOOKUP($B142,'Round 8'!$B$2:$H$361,7,false),1)="B","L","")),if(LEFT(VLOOKUP($B142,'Round 8'!$F$2:$H$361,3,false),1)="b","W",if(LEFT(VLOOKUP($B142,'Round 8'!$F$2:$H$361,3,false),1)="a","L",""))),"")</f>
        <v/>
      </c>
      <c r="L142" s="68" t="str">
        <f>iferror(iferror(if(LEFT(VLOOKUP($B142,'Round 9'!$B$2:$H$361,7,false),1)="A","W",if(LEFT(VLOOKUP($B142,'Round 9'!$B$2:$H$361,7,false),1)="B","L","")),if(LEFT(VLOOKUP($B142,'Round 9'!$F$2:$H$361,3,false),1)="b","W",if(LEFT(VLOOKUP($B142,'Round 9'!$F$2:$H$361,3,false),1)="a","L",""))),"")</f>
        <v/>
      </c>
      <c r="M142" s="68" t="str">
        <f>iferror(iferror(if(LEFT(VLOOKUP($B142,'Round 10'!$B$2:$H$362,7,false),1)="A","W",if(LEFT(VLOOKUP($B142,'Round 10'!$B$2:$H$362,7,false),1)="B","L","")),if(LEFT(VLOOKUP($B142,'Round 10'!$F$2:$H$362,3,false),1)="b","W",if(LEFT(VLOOKUP($B142,'Round 10'!$F$2:$H$362,3,false),1)="a","L",""))),"")</f>
        <v/>
      </c>
      <c r="N142" s="62" t="s">
        <v>358</v>
      </c>
    </row>
    <row r="143">
      <c r="A143" s="63">
        <v>142.0</v>
      </c>
      <c r="B143" s="64" t="s">
        <v>359</v>
      </c>
      <c r="C143" s="65" t="str">
        <f t="shared" si="1"/>
        <v>3 - 3</v>
      </c>
      <c r="D143" s="67" t="str">
        <f>iferror(if(LEFT(VLOOKUP($B143,'Round 1'!$B$2:$H$361,7,false),1)="A","W",if(LEFT(VLOOKUP($B143,'Round 1'!$B$2:$H$361,7,false),1)="B","L","")),if(LEFT(VLOOKUP($B143,'Round 1'!$F$2:$H$361,3,false),1)="b","W",if(LEFT(VLOOKUP($B143,'Round 1'!$F$2:$H$361,3,false),1)="a","L","")))</f>
        <v>W</v>
      </c>
      <c r="E143" s="67" t="str">
        <f>iferror(if(LEFT(VLOOKUP($B143,'Round 2'!$C$2:$J$361,8,false),1)="A","W",if(LEFT(VLOOKUP($B143,'Round 2'!$C$2:$J$361,8,false),1)="B","L","")),if(LEFT(VLOOKUP($B143,'Round 2'!$G$2:$J$361,4,false),1)="b","W",if(LEFT(VLOOKUP($B143,'Round 2'!$G$2:$J$361,4,false),1)="a","L","")))</f>
        <v>W</v>
      </c>
      <c r="F143" s="67" t="str">
        <f>iferror(if(LEFT(VLOOKUP($B143,'Round 3'!$B$2:$H$361,7,false),1)="A","W",if(LEFT(VLOOKUP($B143,'Round 3'!$B$2:$H$361,7,false),1)="B","L","")),if(LEFT(VLOOKUP($B143,'Round 3'!$F$2:$H$361,3,false),1)="b","W",if(LEFT(VLOOKUP($B143,'Round 3'!$F$2:$H$361,3,false),1)="a","L","")))</f>
        <v>L</v>
      </c>
      <c r="G143" s="67" t="str">
        <f>iferror(if(LEFT(VLOOKUP($B143,'Round 4'!$B$2:$H$361,7,false),1)="A","W",if(LEFT(VLOOKUP($B143,'Round 4'!$B$2:$H$361,7,false),1)="B","L","")),if(LEFT(VLOOKUP($B143,'Round 4'!$F$2:$H$361,3,false),1)="b","W",if(LEFT(VLOOKUP($B143,'Round 4'!$F$2:$H$361,3,false),1)="a","L","")))</f>
        <v>L</v>
      </c>
      <c r="H143" s="67" t="str">
        <f>iferror(if(LEFT(VLOOKUP($B143,'Round 5'!$B$2:$H$361,7,false),1)="A","W",if(LEFT(VLOOKUP($B143,'Round 5'!$B$2:$H$361,7,false),1)="B","L","")),if(LEFT(VLOOKUP($B143,'Round 5'!$F$2:$H$361,3,false),1)="b","W",if(LEFT(VLOOKUP($B143,'Round 5'!$F$2:$H$361,3,false),1)="a","L","")))</f>
        <v>W</v>
      </c>
      <c r="I143" s="67" t="str">
        <f>iferror(if(LEFT(VLOOKUP($B143,'Round 6'!$B$2:$H$361,7,false),1)="A","W",if(LEFT(VLOOKUP($B143,'Round 6'!$B$2:$H$361,7,false),1)="B","L","")),if(LEFT(VLOOKUP($B143,'Round 6'!$F$2:$H$361,3,false),1)="b","W",if(LEFT(VLOOKUP($B143,'Round 6'!$F$2:$H$361,3,false),1)="a","L","")))</f>
        <v>L</v>
      </c>
      <c r="J143" s="67" t="str">
        <f>iferror(iferror(if(LEFT(VLOOKUP($B143,'Round 7'!$B$2:$H$361,7,false),1)="A","W",if(LEFT(VLOOKUP($B143,'Round 7'!$B$2:$H$361,7,false),1)="B","L","")),if(LEFT(VLOOKUP($B143,'Round 7'!$F$2:$H$361,3,false),1)="b","W",if(LEFT(VLOOKUP($B143,'Round 7'!$F$2:$H$361,3,false),1)="a","L",""))),"")</f>
        <v/>
      </c>
      <c r="K143" s="68" t="str">
        <f>iferror(iferror(if(LEFT(VLOOKUP($B143,'Round 8'!$B$2:$H$361,7,false),1)="A","W",if(LEFT(VLOOKUP($B143,'Round 8'!$B$2:$H$361,7,false),1)="B","L","")),if(LEFT(VLOOKUP($B143,'Round 8'!$F$2:$H$361,3,false),1)="b","W",if(LEFT(VLOOKUP($B143,'Round 8'!$F$2:$H$361,3,false),1)="a","L",""))),"")</f>
        <v/>
      </c>
      <c r="L143" s="68" t="str">
        <f>iferror(iferror(if(LEFT(VLOOKUP($B143,'Round 9'!$B$2:$H$361,7,false),1)="A","W",if(LEFT(VLOOKUP($B143,'Round 9'!$B$2:$H$361,7,false),1)="B","L","")),if(LEFT(VLOOKUP($B143,'Round 9'!$F$2:$H$361,3,false),1)="b","W",if(LEFT(VLOOKUP($B143,'Round 9'!$F$2:$H$361,3,false),1)="a","L",""))),"")</f>
        <v/>
      </c>
      <c r="M143" s="68" t="str">
        <f>iferror(iferror(if(LEFT(VLOOKUP($B143,'Round 10'!$B$2:$H$362,7,false),1)="A","W",if(LEFT(VLOOKUP($B143,'Round 10'!$B$2:$H$362,7,false),1)="B","L","")),if(LEFT(VLOOKUP($B143,'Round 10'!$F$2:$H$362,3,false),1)="b","W",if(LEFT(VLOOKUP($B143,'Round 10'!$F$2:$H$362,3,false),1)="a","L",""))),"")</f>
        <v/>
      </c>
      <c r="N143" s="62" t="s">
        <v>360</v>
      </c>
    </row>
    <row r="144">
      <c r="A144" s="63">
        <v>143.0</v>
      </c>
      <c r="B144" s="64" t="s">
        <v>361</v>
      </c>
      <c r="C144" s="65" t="str">
        <f t="shared" si="1"/>
        <v>1 - 3</v>
      </c>
      <c r="D144" s="67" t="str">
        <f>iferror(if(LEFT(VLOOKUP($B144,'Round 1'!$B$2:$H$361,7,false),1)="A","W",if(LEFT(VLOOKUP($B144,'Round 1'!$B$2:$H$361,7,false),1)="B","L","")),if(LEFT(VLOOKUP($B144,'Round 1'!$F$2:$H$361,3,false),1)="b","W",if(LEFT(VLOOKUP($B144,'Round 1'!$F$2:$H$361,3,false),1)="a","L","")))</f>
        <v>L</v>
      </c>
      <c r="E144" s="67" t="str">
        <f>iferror(if(LEFT(VLOOKUP($B144,'Round 2'!$C$2:$J$361,8,false),1)="A","W",if(LEFT(VLOOKUP($B144,'Round 2'!$C$2:$J$361,8,false),1)="B","L","")),if(LEFT(VLOOKUP($B144,'Round 2'!$G$2:$J$361,4,false),1)="b","W",if(LEFT(VLOOKUP($B144,'Round 2'!$G$2:$J$361,4,false),1)="a","L","")))</f>
        <v>L</v>
      </c>
      <c r="F144" s="67" t="str">
        <f>iferror(if(LEFT(VLOOKUP($B144,'Round 3'!$B$2:$H$361,7,false),1)="A","W",if(LEFT(VLOOKUP($B144,'Round 3'!$B$2:$H$361,7,false),1)="B","L","")),if(LEFT(VLOOKUP($B144,'Round 3'!$F$2:$H$361,3,false),1)="b","W",if(LEFT(VLOOKUP($B144,'Round 3'!$F$2:$H$361,3,false),1)="a","L","")))</f>
        <v>W</v>
      </c>
      <c r="G144" s="67" t="str">
        <f>iferror(if(LEFT(VLOOKUP($B144,'Round 4'!$B$2:$H$361,7,false),1)="A","W",if(LEFT(VLOOKUP($B144,'Round 4'!$B$2:$H$361,7,false),1)="B","L","")),if(LEFT(VLOOKUP($B144,'Round 4'!$F$2:$H$361,3,false),1)="b","W",if(LEFT(VLOOKUP($B144,'Round 4'!$F$2:$H$361,3,false),1)="a","L","")))</f>
        <v>L</v>
      </c>
      <c r="H144" s="67"/>
      <c r="I144" s="67"/>
      <c r="J144" s="67" t="str">
        <f>iferror(iferror(if(LEFT(VLOOKUP($B144,'Round 7'!$B$2:$H$361,7,false),1)="A","W",if(LEFT(VLOOKUP($B144,'Round 7'!$B$2:$H$361,7,false),1)="B","L","")),if(LEFT(VLOOKUP($B144,'Round 7'!$F$2:$H$361,3,false),1)="b","W",if(LEFT(VLOOKUP($B144,'Round 7'!$F$2:$H$361,3,false),1)="a","L",""))),"")</f>
        <v/>
      </c>
      <c r="K144" s="68" t="str">
        <f>iferror(iferror(if(LEFT(VLOOKUP($B144,'Round 8'!$B$2:$H$361,7,false),1)="A","W",if(LEFT(VLOOKUP($B144,'Round 8'!$B$2:$H$361,7,false),1)="B","L","")),if(LEFT(VLOOKUP($B144,'Round 8'!$F$2:$H$361,3,false),1)="b","W",if(LEFT(VLOOKUP($B144,'Round 8'!$F$2:$H$361,3,false),1)="a","L",""))),"")</f>
        <v/>
      </c>
      <c r="L144" s="68" t="str">
        <f>iferror(iferror(if(LEFT(VLOOKUP($B144,'Round 9'!$B$2:$H$361,7,false),1)="A","W",if(LEFT(VLOOKUP($B144,'Round 9'!$B$2:$H$361,7,false),1)="B","L","")),if(LEFT(VLOOKUP($B144,'Round 9'!$F$2:$H$361,3,false),1)="b","W",if(LEFT(VLOOKUP($B144,'Round 9'!$F$2:$H$361,3,false),1)="a","L",""))),"")</f>
        <v/>
      </c>
      <c r="M144" s="68" t="str">
        <f>iferror(iferror(if(LEFT(VLOOKUP($B144,'Round 10'!$B$2:$H$362,7,false),1)="A","W",if(LEFT(VLOOKUP($B144,'Round 10'!$B$2:$H$362,7,false),1)="B","L","")),if(LEFT(VLOOKUP($B144,'Round 10'!$F$2:$H$362,3,false),1)="b","W",if(LEFT(VLOOKUP($B144,'Round 10'!$F$2:$H$362,3,false),1)="a","L",""))),"")</f>
        <v/>
      </c>
      <c r="N144" s="62" t="s">
        <v>362</v>
      </c>
    </row>
    <row r="145">
      <c r="A145" s="63">
        <v>144.0</v>
      </c>
      <c r="B145" s="64" t="s">
        <v>363</v>
      </c>
      <c r="C145" s="65" t="str">
        <f t="shared" si="1"/>
        <v>1 - 3</v>
      </c>
      <c r="D145" s="67" t="str">
        <f>iferror(if(LEFT(VLOOKUP($B145,'Round 1'!$B$2:$H$361,7,false),1)="A","W",if(LEFT(VLOOKUP($B145,'Round 1'!$B$2:$H$361,7,false),1)="B","L","")),if(LEFT(VLOOKUP($B145,'Round 1'!$F$2:$H$361,3,false),1)="b","W",if(LEFT(VLOOKUP($B145,'Round 1'!$F$2:$H$361,3,false),1)="a","L","")))</f>
        <v>L</v>
      </c>
      <c r="E145" s="67" t="str">
        <f>iferror(if(LEFT(VLOOKUP($B145,'Round 2'!$C$2:$J$361,8,false),1)="A","W",if(LEFT(VLOOKUP($B145,'Round 2'!$C$2:$J$361,8,false),1)="B","L","")),if(LEFT(VLOOKUP($B145,'Round 2'!$G$2:$J$361,4,false),1)="b","W",if(LEFT(VLOOKUP($B145,'Round 2'!$G$2:$J$361,4,false),1)="a","L","")))</f>
        <v>L</v>
      </c>
      <c r="F145" s="67" t="str">
        <f>iferror(if(LEFT(VLOOKUP($B145,'Round 3'!$B$2:$H$361,7,false),1)="A","W",if(LEFT(VLOOKUP($B145,'Round 3'!$B$2:$H$361,7,false),1)="B","L","")),if(LEFT(VLOOKUP($B145,'Round 3'!$F$2:$H$361,3,false),1)="b","W",if(LEFT(VLOOKUP($B145,'Round 3'!$F$2:$H$361,3,false),1)="a","L","")))</f>
        <v>W</v>
      </c>
      <c r="G145" s="67" t="str">
        <f>iferror(if(LEFT(VLOOKUP($B145,'Round 4'!$B$2:$H$361,7,false),1)="A","W",if(LEFT(VLOOKUP($B145,'Round 4'!$B$2:$H$361,7,false),1)="B","L","")),if(LEFT(VLOOKUP($B145,'Round 4'!$F$2:$H$361,3,false),1)="b","W",if(LEFT(VLOOKUP($B145,'Round 4'!$F$2:$H$361,3,false),1)="a","L","")))</f>
        <v>L</v>
      </c>
      <c r="H145" s="67"/>
      <c r="I145" s="67"/>
      <c r="J145" s="67" t="str">
        <f>iferror(iferror(if(LEFT(VLOOKUP($B145,'Round 7'!$B$2:$H$361,7,false),1)="A","W",if(LEFT(VLOOKUP($B145,'Round 7'!$B$2:$H$361,7,false),1)="B","L","")),if(LEFT(VLOOKUP($B145,'Round 7'!$F$2:$H$361,3,false),1)="b","W",if(LEFT(VLOOKUP($B145,'Round 7'!$F$2:$H$361,3,false),1)="a","L",""))),"")</f>
        <v/>
      </c>
      <c r="K145" s="68" t="str">
        <f>iferror(iferror(if(LEFT(VLOOKUP($B145,'Round 8'!$B$2:$H$361,7,false),1)="A","W",if(LEFT(VLOOKUP($B145,'Round 8'!$B$2:$H$361,7,false),1)="B","L","")),if(LEFT(VLOOKUP($B145,'Round 8'!$F$2:$H$361,3,false),1)="b","W",if(LEFT(VLOOKUP($B145,'Round 8'!$F$2:$H$361,3,false),1)="a","L",""))),"")</f>
        <v/>
      </c>
      <c r="L145" s="68" t="str">
        <f>iferror(iferror(if(LEFT(VLOOKUP($B145,'Round 9'!$B$2:$H$361,7,false),1)="A","W",if(LEFT(VLOOKUP($B145,'Round 9'!$B$2:$H$361,7,false),1)="B","L","")),if(LEFT(VLOOKUP($B145,'Round 9'!$F$2:$H$361,3,false),1)="b","W",if(LEFT(VLOOKUP($B145,'Round 9'!$F$2:$H$361,3,false),1)="a","L",""))),"")</f>
        <v/>
      </c>
      <c r="M145" s="68" t="str">
        <f>iferror(iferror(if(LEFT(VLOOKUP($B145,'Round 10'!$B$2:$H$362,7,false),1)="A","W",if(LEFT(VLOOKUP($B145,'Round 10'!$B$2:$H$362,7,false),1)="B","L","")),if(LEFT(VLOOKUP($B145,'Round 10'!$F$2:$H$362,3,false),1)="b","W",if(LEFT(VLOOKUP($B145,'Round 10'!$F$2:$H$362,3,false),1)="a","L",""))),"")</f>
        <v/>
      </c>
      <c r="N145" s="62" t="s">
        <v>364</v>
      </c>
    </row>
    <row r="146">
      <c r="A146" s="63">
        <v>145.0</v>
      </c>
      <c r="B146" s="64" t="s">
        <v>365</v>
      </c>
      <c r="C146" s="65" t="str">
        <f t="shared" si="1"/>
        <v>6 - 3</v>
      </c>
      <c r="D146" s="67" t="str">
        <f>iferror(if(LEFT(VLOOKUP($B146,'Round 1'!$B$2:$H$361,7,false),1)="A","W",if(LEFT(VLOOKUP($B146,'Round 1'!$B$2:$H$361,7,false),1)="B","L","")),if(LEFT(VLOOKUP($B146,'Round 1'!$F$2:$H$361,3,false),1)="b","W",if(LEFT(VLOOKUP($B146,'Round 1'!$F$2:$H$361,3,false),1)="a","L","")))</f>
        <v>L</v>
      </c>
      <c r="E146" s="67" t="str">
        <f>iferror(if(LEFT(VLOOKUP($B146,'Round 2'!$C$2:$J$361,8,false),1)="A","W",if(LEFT(VLOOKUP($B146,'Round 2'!$C$2:$J$361,8,false),1)="B","L","")),if(LEFT(VLOOKUP($B146,'Round 2'!$G$2:$J$361,4,false),1)="b","W",if(LEFT(VLOOKUP($B146,'Round 2'!$G$2:$J$361,4,false),1)="a","L","")))</f>
        <v>W</v>
      </c>
      <c r="F146" s="67" t="str">
        <f>iferror(if(LEFT(VLOOKUP($B146,'Round 3'!$B$2:$H$361,7,false),1)="A","W",if(LEFT(VLOOKUP($B146,'Round 3'!$B$2:$H$361,7,false),1)="B","L","")),if(LEFT(VLOOKUP($B146,'Round 3'!$F$2:$H$361,3,false),1)="b","W",if(LEFT(VLOOKUP($B146,'Round 3'!$F$2:$H$361,3,false),1)="a","L","")))</f>
        <v>W</v>
      </c>
      <c r="G146" s="67" t="str">
        <f>iferror(if(LEFT(VLOOKUP($B146,'Round 4'!$B$2:$H$361,7,false),1)="A","W",if(LEFT(VLOOKUP($B146,'Round 4'!$B$2:$H$361,7,false),1)="B","L","")),if(LEFT(VLOOKUP($B146,'Round 4'!$F$2:$H$361,3,false),1)="b","W",if(LEFT(VLOOKUP($B146,'Round 4'!$F$2:$H$361,3,false),1)="a","L","")))</f>
        <v>W</v>
      </c>
      <c r="H146" s="67" t="str">
        <f>iferror(if(LEFT(VLOOKUP($B146,'Round 5'!$B$2:$H$361,7,false),1)="A","W",if(LEFT(VLOOKUP($B146,'Round 5'!$B$2:$H$361,7,false),1)="B","L","")),if(LEFT(VLOOKUP($B146,'Round 5'!$F$2:$H$361,3,false),1)="b","W",if(LEFT(VLOOKUP($B146,'Round 5'!$F$2:$H$361,3,false),1)="a","L","")))</f>
        <v>W</v>
      </c>
      <c r="I146" s="67" t="str">
        <f>iferror(if(LEFT(VLOOKUP($B146,'Round 6'!$B$2:$H$361,7,false),1)="A","W",if(LEFT(VLOOKUP($B146,'Round 6'!$B$2:$H$361,7,false),1)="B","L","")),if(LEFT(VLOOKUP($B146,'Round 6'!$F$2:$H$361,3,false),1)="b","W",if(LEFT(VLOOKUP($B146,'Round 6'!$F$2:$H$361,3,false),1)="a","L","")))</f>
        <v>W</v>
      </c>
      <c r="J146" s="67" t="str">
        <f>iferror(iferror(if(LEFT(VLOOKUP($B146,'Round 7'!$B$2:$H$361,7,false),1)="A","W",if(LEFT(VLOOKUP($B146,'Round 7'!$B$2:$H$361,7,false),1)="B","L","")),if(LEFT(VLOOKUP($B146,'Round 7'!$F$2:$H$361,3,false),1)="b","W",if(LEFT(VLOOKUP($B146,'Round 7'!$F$2:$H$361,3,false),1)="a","L",""))),"")</f>
        <v>L</v>
      </c>
      <c r="K146" s="68" t="str">
        <f>iferror(iferror(if(LEFT(VLOOKUP($B146,'Round 8'!$B$2:$H$361,7,false),1)="A","W",if(LEFT(VLOOKUP($B146,'Round 8'!$B$2:$H$361,7,false),1)="B","L","")),if(LEFT(VLOOKUP($B146,'Round 8'!$F$2:$H$361,3,false),1)="b","W",if(LEFT(VLOOKUP($B146,'Round 8'!$F$2:$H$361,3,false),1)="a","L",""))),"")</f>
        <v>W</v>
      </c>
      <c r="L146" s="68" t="str">
        <f>iferror(iferror(if(LEFT(VLOOKUP($B146,'Round 9'!$B$2:$H$361,7,false),1)="A","W",if(LEFT(VLOOKUP($B146,'Round 9'!$B$2:$H$361,7,false),1)="B","L","")),if(LEFT(VLOOKUP($B146,'Round 9'!$F$2:$H$361,3,false),1)="b","W",if(LEFT(VLOOKUP($B146,'Round 9'!$F$2:$H$361,3,false),1)="a","L",""))),"")</f>
        <v>L</v>
      </c>
      <c r="M146" s="68" t="str">
        <f>iferror(iferror(if(LEFT(VLOOKUP($B146,'Round 10'!$B$2:$H$362,7,false),1)="A","W",if(LEFT(VLOOKUP($B146,'Round 10'!$B$2:$H$362,7,false),1)="B","L","")),if(LEFT(VLOOKUP($B146,'Round 10'!$F$2:$H$362,3,false),1)="b","W",if(LEFT(VLOOKUP($B146,'Round 10'!$F$2:$H$362,3,false),1)="a","L",""))),"")</f>
        <v/>
      </c>
      <c r="N146" s="62" t="s">
        <v>366</v>
      </c>
    </row>
    <row r="147">
      <c r="A147" s="63">
        <v>146.0</v>
      </c>
      <c r="B147" s="64" t="s">
        <v>367</v>
      </c>
      <c r="C147" s="65" t="str">
        <f t="shared" si="1"/>
        <v>0 - 3</v>
      </c>
      <c r="D147" s="67" t="str">
        <f>iferror(if(LEFT(VLOOKUP($B147,'Round 1'!$B$2:$H$361,7,false),1)="A","W",if(LEFT(VLOOKUP($B147,'Round 1'!$B$2:$H$361,7,false),1)="B","L","")),if(LEFT(VLOOKUP($B147,'Round 1'!$F$2:$H$361,3,false),1)="b","W",if(LEFT(VLOOKUP($B147,'Round 1'!$F$2:$H$361,3,false),1)="a","L","")))</f>
        <v>L</v>
      </c>
      <c r="E147" s="67" t="str">
        <f>iferror(if(LEFT(VLOOKUP($B147,'Round 2'!$C$2:$J$361,8,false),1)="A","W",if(LEFT(VLOOKUP($B147,'Round 2'!$C$2:$J$361,8,false),1)="B","L","")),if(LEFT(VLOOKUP($B147,'Round 2'!$G$2:$J$361,4,false),1)="b","W",if(LEFT(VLOOKUP($B147,'Round 2'!$G$2:$J$361,4,false),1)="a","L","")))</f>
        <v>L</v>
      </c>
      <c r="F147" s="67" t="str">
        <f>iferror(if(LEFT(VLOOKUP($B147,'Round 3'!$B$2:$H$361,7,false),1)="A","W",if(LEFT(VLOOKUP($B147,'Round 3'!$B$2:$H$361,7,false),1)="B","L","")),if(LEFT(VLOOKUP($B147,'Round 3'!$F$2:$H$361,3,false),1)="b","W",if(LEFT(VLOOKUP($B147,'Round 3'!$F$2:$H$361,3,false),1)="a","L","")))</f>
        <v>L</v>
      </c>
      <c r="G147" s="67"/>
      <c r="H147" s="67"/>
      <c r="I147" s="67"/>
      <c r="J147" s="67" t="str">
        <f>iferror(iferror(if(LEFT(VLOOKUP($B147,'Round 7'!$B$2:$H$361,7,false),1)="A","W",if(LEFT(VLOOKUP($B147,'Round 7'!$B$2:$H$361,7,false),1)="B","L","")),if(LEFT(VLOOKUP($B147,'Round 7'!$F$2:$H$361,3,false),1)="b","W",if(LEFT(VLOOKUP($B147,'Round 7'!$F$2:$H$361,3,false),1)="a","L",""))),"")</f>
        <v/>
      </c>
      <c r="K147" s="68" t="str">
        <f>iferror(iferror(if(LEFT(VLOOKUP($B147,'Round 8'!$B$2:$H$361,7,false),1)="A","W",if(LEFT(VLOOKUP($B147,'Round 8'!$B$2:$H$361,7,false),1)="B","L","")),if(LEFT(VLOOKUP($B147,'Round 8'!$F$2:$H$361,3,false),1)="b","W",if(LEFT(VLOOKUP($B147,'Round 8'!$F$2:$H$361,3,false),1)="a","L",""))),"")</f>
        <v/>
      </c>
      <c r="L147" s="68" t="str">
        <f>iferror(iferror(if(LEFT(VLOOKUP($B147,'Round 9'!$B$2:$H$361,7,false),1)="A","W",if(LEFT(VLOOKUP($B147,'Round 9'!$B$2:$H$361,7,false),1)="B","L","")),if(LEFT(VLOOKUP($B147,'Round 9'!$F$2:$H$361,3,false),1)="b","W",if(LEFT(VLOOKUP($B147,'Round 9'!$F$2:$H$361,3,false),1)="a","L",""))),"")</f>
        <v/>
      </c>
      <c r="M147" s="68" t="str">
        <f>iferror(iferror(if(LEFT(VLOOKUP($B147,'Round 10'!$B$2:$H$362,7,false),1)="A","W",if(LEFT(VLOOKUP($B147,'Round 10'!$B$2:$H$362,7,false),1)="B","L","")),if(LEFT(VLOOKUP($B147,'Round 10'!$F$2:$H$362,3,false),1)="b","W",if(LEFT(VLOOKUP($B147,'Round 10'!$F$2:$H$362,3,false),1)="a","L",""))),"")</f>
        <v/>
      </c>
      <c r="N147" s="62" t="s">
        <v>368</v>
      </c>
    </row>
    <row r="148">
      <c r="A148" s="63">
        <v>147.0</v>
      </c>
      <c r="B148" s="64" t="s">
        <v>369</v>
      </c>
      <c r="C148" s="65" t="str">
        <f t="shared" si="1"/>
        <v>1 - 3</v>
      </c>
      <c r="D148" s="67" t="str">
        <f>iferror(if(LEFT(VLOOKUP($B148,'Round 1'!$B$2:$H$361,7,false),1)="A","W",if(LEFT(VLOOKUP($B148,'Round 1'!$B$2:$H$361,7,false),1)="B","L","")),if(LEFT(VLOOKUP($B148,'Round 1'!$F$2:$H$361,3,false),1)="b","W",if(LEFT(VLOOKUP($B148,'Round 1'!$F$2:$H$361,3,false),1)="a","L","")))</f>
        <v>W</v>
      </c>
      <c r="E148" s="67" t="str">
        <f>iferror(if(LEFT(VLOOKUP($B148,'Round 2'!$C$2:$J$361,8,false),1)="A","W",if(LEFT(VLOOKUP($B148,'Round 2'!$C$2:$J$361,8,false),1)="B","L","")),if(LEFT(VLOOKUP($B148,'Round 2'!$G$2:$J$361,4,false),1)="b","W",if(LEFT(VLOOKUP($B148,'Round 2'!$G$2:$J$361,4,false),1)="a","L","")))</f>
        <v>L</v>
      </c>
      <c r="F148" s="67" t="str">
        <f>iferror(if(LEFT(VLOOKUP($B148,'Round 3'!$B$2:$H$361,7,false),1)="A","W",if(LEFT(VLOOKUP($B148,'Round 3'!$B$2:$H$361,7,false),1)="B","L","")),if(LEFT(VLOOKUP($B148,'Round 3'!$F$2:$H$361,3,false),1)="b","W",if(LEFT(VLOOKUP($B148,'Round 3'!$F$2:$H$361,3,false),1)="a","L","")))</f>
        <v>L</v>
      </c>
      <c r="G148" s="67" t="str">
        <f>iferror(if(LEFT(VLOOKUP($B148,'Round 4'!$B$2:$H$361,7,false),1)="A","W",if(LEFT(VLOOKUP($B148,'Round 4'!$B$2:$H$361,7,false),1)="B","L","")),if(LEFT(VLOOKUP($B148,'Round 4'!$F$2:$H$361,3,false),1)="b","W",if(LEFT(VLOOKUP($B148,'Round 4'!$F$2:$H$361,3,false),1)="a","L","")))</f>
        <v>L</v>
      </c>
      <c r="H148" s="67"/>
      <c r="I148" s="67"/>
      <c r="J148" s="67" t="str">
        <f>iferror(iferror(if(LEFT(VLOOKUP($B148,'Round 7'!$B$2:$H$361,7,false),1)="A","W",if(LEFT(VLOOKUP($B148,'Round 7'!$B$2:$H$361,7,false),1)="B","L","")),if(LEFT(VLOOKUP($B148,'Round 7'!$F$2:$H$361,3,false),1)="b","W",if(LEFT(VLOOKUP($B148,'Round 7'!$F$2:$H$361,3,false),1)="a","L",""))),"")</f>
        <v/>
      </c>
      <c r="K148" s="68" t="str">
        <f>iferror(iferror(if(LEFT(VLOOKUP($B148,'Round 8'!$B$2:$H$361,7,false),1)="A","W",if(LEFT(VLOOKUP($B148,'Round 8'!$B$2:$H$361,7,false),1)="B","L","")),if(LEFT(VLOOKUP($B148,'Round 8'!$F$2:$H$361,3,false),1)="b","W",if(LEFT(VLOOKUP($B148,'Round 8'!$F$2:$H$361,3,false),1)="a","L",""))),"")</f>
        <v/>
      </c>
      <c r="L148" s="68" t="str">
        <f>iferror(iferror(if(LEFT(VLOOKUP($B148,'Round 9'!$B$2:$H$361,7,false),1)="A","W",if(LEFT(VLOOKUP($B148,'Round 9'!$B$2:$H$361,7,false),1)="B","L","")),if(LEFT(VLOOKUP($B148,'Round 9'!$F$2:$H$361,3,false),1)="b","W",if(LEFT(VLOOKUP($B148,'Round 9'!$F$2:$H$361,3,false),1)="a","L",""))),"")</f>
        <v/>
      </c>
      <c r="M148" s="68" t="str">
        <f>iferror(iferror(if(LEFT(VLOOKUP($B148,'Round 10'!$B$2:$H$362,7,false),1)="A","W",if(LEFT(VLOOKUP($B148,'Round 10'!$B$2:$H$362,7,false),1)="B","L","")),if(LEFT(VLOOKUP($B148,'Round 10'!$F$2:$H$362,3,false),1)="b","W",if(LEFT(VLOOKUP($B148,'Round 10'!$F$2:$H$362,3,false),1)="a","L",""))),"")</f>
        <v/>
      </c>
      <c r="N148" s="62" t="s">
        <v>370</v>
      </c>
    </row>
    <row r="149">
      <c r="A149" s="63">
        <v>148.0</v>
      </c>
      <c r="B149" s="64" t="s">
        <v>371</v>
      </c>
      <c r="C149" s="65" t="str">
        <f t="shared" si="1"/>
        <v>0 - 3</v>
      </c>
      <c r="D149" s="67" t="str">
        <f>iferror(if(LEFT(VLOOKUP($B149,'Round 1'!$B$2:$H$361,7,false),1)="A","W",if(LEFT(VLOOKUP($B149,'Round 1'!$B$2:$H$361,7,false),1)="B","L","")),if(LEFT(VLOOKUP($B149,'Round 1'!$F$2:$H$361,3,false),1)="b","W",if(LEFT(VLOOKUP($B149,'Round 1'!$F$2:$H$361,3,false),1)="a","L","")))</f>
        <v>L</v>
      </c>
      <c r="E149" s="67" t="str">
        <f>iferror(if(LEFT(VLOOKUP($B149,'Round 2'!$C$2:$J$361,8,false),1)="A","W",if(LEFT(VLOOKUP($B149,'Round 2'!$C$2:$J$361,8,false),1)="B","L","")),if(LEFT(VLOOKUP($B149,'Round 2'!$G$2:$J$361,4,false),1)="b","W",if(LEFT(VLOOKUP($B149,'Round 2'!$G$2:$J$361,4,false),1)="a","L","")))</f>
        <v>L</v>
      </c>
      <c r="F149" s="67" t="str">
        <f>iferror(if(LEFT(VLOOKUP($B149,'Round 3'!$B$2:$H$361,7,false),1)="A","W",if(LEFT(VLOOKUP($B149,'Round 3'!$B$2:$H$361,7,false),1)="B","L","")),if(LEFT(VLOOKUP($B149,'Round 3'!$F$2:$H$361,3,false),1)="b","W",if(LEFT(VLOOKUP($B149,'Round 3'!$F$2:$H$361,3,false),1)="a","L","")))</f>
        <v>L</v>
      </c>
      <c r="G149" s="67"/>
      <c r="H149" s="67"/>
      <c r="I149" s="67"/>
      <c r="J149" s="67" t="str">
        <f>iferror(iferror(if(LEFT(VLOOKUP($B149,'Round 7'!$B$2:$H$361,7,false),1)="A","W",if(LEFT(VLOOKUP($B149,'Round 7'!$B$2:$H$361,7,false),1)="B","L","")),if(LEFT(VLOOKUP($B149,'Round 7'!$F$2:$H$361,3,false),1)="b","W",if(LEFT(VLOOKUP($B149,'Round 7'!$F$2:$H$361,3,false),1)="a","L",""))),"")</f>
        <v/>
      </c>
      <c r="K149" s="68" t="str">
        <f>iferror(iferror(if(LEFT(VLOOKUP($B149,'Round 8'!$B$2:$H$361,7,false),1)="A","W",if(LEFT(VLOOKUP($B149,'Round 8'!$B$2:$H$361,7,false),1)="B","L","")),if(LEFT(VLOOKUP($B149,'Round 8'!$F$2:$H$361,3,false),1)="b","W",if(LEFT(VLOOKUP($B149,'Round 8'!$F$2:$H$361,3,false),1)="a","L",""))),"")</f>
        <v/>
      </c>
      <c r="L149" s="68" t="str">
        <f>iferror(iferror(if(LEFT(VLOOKUP($B149,'Round 9'!$B$2:$H$361,7,false),1)="A","W",if(LEFT(VLOOKUP($B149,'Round 9'!$B$2:$H$361,7,false),1)="B","L","")),if(LEFT(VLOOKUP($B149,'Round 9'!$F$2:$H$361,3,false),1)="b","W",if(LEFT(VLOOKUP($B149,'Round 9'!$F$2:$H$361,3,false),1)="a","L",""))),"")</f>
        <v/>
      </c>
      <c r="M149" s="68" t="str">
        <f>iferror(iferror(if(LEFT(VLOOKUP($B149,'Round 10'!$B$2:$H$362,7,false),1)="A","W",if(LEFT(VLOOKUP($B149,'Round 10'!$B$2:$H$362,7,false),1)="B","L","")),if(LEFT(VLOOKUP($B149,'Round 10'!$F$2:$H$362,3,false),1)="b","W",if(LEFT(VLOOKUP($B149,'Round 10'!$F$2:$H$362,3,false),1)="a","L",""))),"")</f>
        <v/>
      </c>
      <c r="N149" s="62" t="s">
        <v>144</v>
      </c>
    </row>
    <row r="150">
      <c r="A150" s="63">
        <v>149.0</v>
      </c>
      <c r="B150" s="64" t="s">
        <v>372</v>
      </c>
      <c r="C150" s="65" t="str">
        <f t="shared" si="1"/>
        <v>5 - 3</v>
      </c>
      <c r="D150" s="67" t="str">
        <f>iferror(if(LEFT(VLOOKUP($B150,'Round 1'!$B$2:$H$361,7,false),1)="A","W",if(LEFT(VLOOKUP($B150,'Round 1'!$B$2:$H$361,7,false),1)="B","L","")),if(LEFT(VLOOKUP($B150,'Round 1'!$F$2:$H$361,3,false),1)="b","W",if(LEFT(VLOOKUP($B150,'Round 1'!$F$2:$H$361,3,false),1)="a","L","")))</f>
        <v>L</v>
      </c>
      <c r="E150" s="67" t="str">
        <f>iferror(if(LEFT(VLOOKUP($B150,'Round 2'!$C$2:$J$361,8,false),1)="A","W",if(LEFT(VLOOKUP($B150,'Round 2'!$C$2:$J$361,8,false),1)="B","L","")),if(LEFT(VLOOKUP($B150,'Round 2'!$G$2:$J$361,4,false),1)="b","W",if(LEFT(VLOOKUP($B150,'Round 2'!$G$2:$J$361,4,false),1)="a","L","")))</f>
        <v>W</v>
      </c>
      <c r="F150" s="67" t="str">
        <f>iferror(if(LEFT(VLOOKUP($B150,'Round 3'!$B$2:$H$361,7,false),1)="A","W",if(LEFT(VLOOKUP($B150,'Round 3'!$B$2:$H$361,7,false),1)="B","L","")),if(LEFT(VLOOKUP($B150,'Round 3'!$F$2:$H$361,3,false),1)="b","W",if(LEFT(VLOOKUP($B150,'Round 3'!$F$2:$H$361,3,false),1)="a","L","")))</f>
        <v>L</v>
      </c>
      <c r="G150" s="67" t="str">
        <f>iferror(if(LEFT(VLOOKUP($B150,'Round 4'!$B$2:$H$361,7,false),1)="A","W",if(LEFT(VLOOKUP($B150,'Round 4'!$B$2:$H$361,7,false),1)="B","L","")),if(LEFT(VLOOKUP($B150,'Round 4'!$F$2:$H$361,3,false),1)="b","W",if(LEFT(VLOOKUP($B150,'Round 4'!$F$2:$H$361,3,false),1)="a","L","")))</f>
        <v>W</v>
      </c>
      <c r="H150" s="67" t="str">
        <f>iferror(if(LEFT(VLOOKUP($B150,'Round 5'!$B$2:$H$361,7,false),1)="A","W",if(LEFT(VLOOKUP($B150,'Round 5'!$B$2:$H$361,7,false),1)="B","L","")),if(LEFT(VLOOKUP($B150,'Round 5'!$F$2:$H$361,3,false),1)="b","W",if(LEFT(VLOOKUP($B150,'Round 5'!$F$2:$H$361,3,false),1)="a","L","")))</f>
        <v>W</v>
      </c>
      <c r="I150" s="67" t="str">
        <f>iferror(if(LEFT(VLOOKUP($B150,'Round 6'!$B$2:$H$361,7,false),1)="A","W",if(LEFT(VLOOKUP($B150,'Round 6'!$B$2:$H$361,7,false),1)="B","L","")),if(LEFT(VLOOKUP($B150,'Round 6'!$F$2:$H$361,3,false),1)="b","W",if(LEFT(VLOOKUP($B150,'Round 6'!$F$2:$H$361,3,false),1)="a","L","")))</f>
        <v>W</v>
      </c>
      <c r="J150" s="67" t="str">
        <f>iferror(iferror(if(LEFT(VLOOKUP($B150,'Round 7'!$B$2:$H$361,7,false),1)="A","W",if(LEFT(VLOOKUP($B150,'Round 7'!$B$2:$H$361,7,false),1)="B","L","")),if(LEFT(VLOOKUP($B150,'Round 7'!$F$2:$H$361,3,false),1)="b","W",if(LEFT(VLOOKUP($B150,'Round 7'!$F$2:$H$361,3,false),1)="a","L",""))),"")</f>
        <v>W</v>
      </c>
      <c r="K150" s="68" t="str">
        <f>iferror(iferror(if(LEFT(VLOOKUP($B150,'Round 8'!$B$2:$H$361,7,false),1)="A","W",if(LEFT(VLOOKUP($B150,'Round 8'!$B$2:$H$361,7,false),1)="B","L","")),if(LEFT(VLOOKUP($B150,'Round 8'!$F$2:$H$361,3,false),1)="b","W",if(LEFT(VLOOKUP($B150,'Round 8'!$F$2:$H$361,3,false),1)="a","L",""))),"")</f>
        <v>L</v>
      </c>
      <c r="L150" s="68" t="str">
        <f>iferror(iferror(if(LEFT(VLOOKUP($B150,'Round 9'!$B$2:$H$361,7,false),1)="A","W",if(LEFT(VLOOKUP($B150,'Round 9'!$B$2:$H$361,7,false),1)="B","L","")),if(LEFT(VLOOKUP($B150,'Round 9'!$F$2:$H$361,3,false),1)="b","W",if(LEFT(VLOOKUP($B150,'Round 9'!$F$2:$H$361,3,false),1)="a","L",""))),"")</f>
        <v/>
      </c>
      <c r="M150" s="68" t="str">
        <f>iferror(iferror(if(LEFT(VLOOKUP($B150,'Round 10'!$B$2:$H$362,7,false),1)="A","W",if(LEFT(VLOOKUP($B150,'Round 10'!$B$2:$H$362,7,false),1)="B","L","")),if(LEFT(VLOOKUP($B150,'Round 10'!$F$2:$H$362,3,false),1)="b","W",if(LEFT(VLOOKUP($B150,'Round 10'!$F$2:$H$362,3,false),1)="a","L",""))),"")</f>
        <v/>
      </c>
      <c r="N150" s="62" t="s">
        <v>373</v>
      </c>
    </row>
    <row r="151">
      <c r="A151" s="63">
        <v>150.0</v>
      </c>
      <c r="B151" s="64" t="s">
        <v>374</v>
      </c>
      <c r="C151" s="65" t="str">
        <f t="shared" si="1"/>
        <v>4 - 3</v>
      </c>
      <c r="D151" s="67" t="str">
        <f>iferror(if(LEFT(VLOOKUP($B151,'Round 1'!$B$2:$H$361,7,false),1)="A","W",if(LEFT(VLOOKUP($B151,'Round 1'!$B$2:$H$361,7,false),1)="B","L","")),if(LEFT(VLOOKUP($B151,'Round 1'!$F$2:$H$361,3,false),1)="b","W",if(LEFT(VLOOKUP($B151,'Round 1'!$F$2:$H$361,3,false),1)="a","L","")))</f>
        <v>W</v>
      </c>
      <c r="E151" s="67" t="str">
        <f>iferror(if(LEFT(VLOOKUP($B151,'Round 2'!$C$2:$J$361,8,false),1)="A","W",if(LEFT(VLOOKUP($B151,'Round 2'!$C$2:$J$361,8,false),1)="B","L","")),if(LEFT(VLOOKUP($B151,'Round 2'!$G$2:$J$361,4,false),1)="b","W",if(LEFT(VLOOKUP($B151,'Round 2'!$G$2:$J$361,4,false),1)="a","L","")))</f>
        <v>W</v>
      </c>
      <c r="F151" s="67" t="str">
        <f>iferror(if(LEFT(VLOOKUP($B151,'Round 3'!$B$2:$H$361,7,false),1)="A","W",if(LEFT(VLOOKUP($B151,'Round 3'!$B$2:$H$361,7,false),1)="B","L","")),if(LEFT(VLOOKUP($B151,'Round 3'!$F$2:$H$361,3,false),1)="b","W",if(LEFT(VLOOKUP($B151,'Round 3'!$F$2:$H$361,3,false),1)="a","L","")))</f>
        <v>W</v>
      </c>
      <c r="G151" s="67" t="str">
        <f>iferror(if(LEFT(VLOOKUP($B151,'Round 4'!$B$2:$H$361,7,false),1)="A","W",if(LEFT(VLOOKUP($B151,'Round 4'!$B$2:$H$361,7,false),1)="B","L","")),if(LEFT(VLOOKUP($B151,'Round 4'!$F$2:$H$361,3,false),1)="b","W",if(LEFT(VLOOKUP($B151,'Round 4'!$F$2:$H$361,3,false),1)="a","L","")))</f>
        <v>L</v>
      </c>
      <c r="H151" s="67" t="str">
        <f>iferror(if(LEFT(VLOOKUP($B151,'Round 5'!$B$2:$H$361,7,false),1)="A","W",if(LEFT(VLOOKUP($B151,'Round 5'!$B$2:$H$361,7,false),1)="B","L","")),if(LEFT(VLOOKUP($B151,'Round 5'!$F$2:$H$361,3,false),1)="b","W",if(LEFT(VLOOKUP($B151,'Round 5'!$F$2:$H$361,3,false),1)="a","L","")))</f>
        <v>L</v>
      </c>
      <c r="I151" s="67" t="str">
        <f>iferror(if(LEFT(VLOOKUP($B151,'Round 6'!$B$2:$H$361,7,false),1)="A","W",if(LEFT(VLOOKUP($B151,'Round 6'!$B$2:$H$361,7,false),1)="B","L","")),if(LEFT(VLOOKUP($B151,'Round 6'!$F$2:$H$361,3,false),1)="b","W",if(LEFT(VLOOKUP($B151,'Round 6'!$F$2:$H$361,3,false),1)="a","L","")))</f>
        <v>W</v>
      </c>
      <c r="J151" s="67" t="str">
        <f>iferror(iferror(if(LEFT(VLOOKUP($B151,'Round 7'!$B$2:$H$361,7,false),1)="A","W",if(LEFT(VLOOKUP($B151,'Round 7'!$B$2:$H$361,7,false),1)="B","L","")),if(LEFT(VLOOKUP($B151,'Round 7'!$F$2:$H$361,3,false),1)="b","W",if(LEFT(VLOOKUP($B151,'Round 7'!$F$2:$H$361,3,false),1)="a","L",""))),"")</f>
        <v>L</v>
      </c>
      <c r="K151" s="68" t="str">
        <f>iferror(iferror(if(LEFT(VLOOKUP($B151,'Round 8'!$B$2:$H$361,7,false),1)="A","W",if(LEFT(VLOOKUP($B151,'Round 8'!$B$2:$H$361,7,false),1)="B","L","")),if(LEFT(VLOOKUP($B151,'Round 8'!$F$2:$H$361,3,false),1)="b","W",if(LEFT(VLOOKUP($B151,'Round 8'!$F$2:$H$361,3,false),1)="a","L",""))),"")</f>
        <v/>
      </c>
      <c r="L151" s="68" t="str">
        <f>iferror(iferror(if(LEFT(VLOOKUP($B151,'Round 9'!$B$2:$H$361,7,false),1)="A","W",if(LEFT(VLOOKUP($B151,'Round 9'!$B$2:$H$361,7,false),1)="B","L","")),if(LEFT(VLOOKUP($B151,'Round 9'!$F$2:$H$361,3,false),1)="b","W",if(LEFT(VLOOKUP($B151,'Round 9'!$F$2:$H$361,3,false),1)="a","L",""))),"")</f>
        <v/>
      </c>
      <c r="M151" s="68" t="str">
        <f>iferror(iferror(if(LEFT(VLOOKUP($B151,'Round 10'!$B$2:$H$362,7,false),1)="A","W",if(LEFT(VLOOKUP($B151,'Round 10'!$B$2:$H$362,7,false),1)="B","L","")),if(LEFT(VLOOKUP($B151,'Round 10'!$F$2:$H$362,3,false),1)="b","W",if(LEFT(VLOOKUP($B151,'Round 10'!$F$2:$H$362,3,false),1)="a","L",""))),"")</f>
        <v/>
      </c>
      <c r="N151" s="62" t="s">
        <v>375</v>
      </c>
    </row>
    <row r="152">
      <c r="A152" s="63">
        <v>151.0</v>
      </c>
      <c r="B152" s="64" t="s">
        <v>376</v>
      </c>
      <c r="C152" s="65" t="str">
        <f t="shared" si="1"/>
        <v>2 - 3</v>
      </c>
      <c r="D152" s="67" t="str">
        <f>iferror(if(LEFT(VLOOKUP($B152,'Round 1'!$B$2:$H$361,7,false),1)="A","W",if(LEFT(VLOOKUP($B152,'Round 1'!$B$2:$H$361,7,false),1)="B","L","")),if(LEFT(VLOOKUP($B152,'Round 1'!$F$2:$H$361,3,false),1)="b","W",if(LEFT(VLOOKUP($B152,'Round 1'!$F$2:$H$361,3,false),1)="a","L","")))</f>
        <v>L</v>
      </c>
      <c r="E152" s="67" t="str">
        <f>iferror(if(LEFT(VLOOKUP($B152,'Round 2'!$C$2:$J$361,8,false),1)="A","W",if(LEFT(VLOOKUP($B152,'Round 2'!$C$2:$J$361,8,false),1)="B","L","")),if(LEFT(VLOOKUP($B152,'Round 2'!$G$2:$J$361,4,false),1)="b","W",if(LEFT(VLOOKUP($B152,'Round 2'!$G$2:$J$361,4,false),1)="a","L","")))</f>
        <v>W</v>
      </c>
      <c r="F152" s="67" t="str">
        <f>iferror(if(LEFT(VLOOKUP($B152,'Round 3'!$B$2:$H$361,7,false),1)="A","W",if(LEFT(VLOOKUP($B152,'Round 3'!$B$2:$H$361,7,false),1)="B","L","")),if(LEFT(VLOOKUP($B152,'Round 3'!$F$2:$H$361,3,false),1)="b","W",if(LEFT(VLOOKUP($B152,'Round 3'!$F$2:$H$361,3,false),1)="a","L","")))</f>
        <v>W</v>
      </c>
      <c r="G152" s="67" t="str">
        <f>iferror(if(LEFT(VLOOKUP($B152,'Round 4'!$B$2:$H$361,7,false),1)="A","W",if(LEFT(VLOOKUP($B152,'Round 4'!$B$2:$H$361,7,false),1)="B","L","")),if(LEFT(VLOOKUP($B152,'Round 4'!$F$2:$H$361,3,false),1)="b","W",if(LEFT(VLOOKUP($B152,'Round 4'!$F$2:$H$361,3,false),1)="a","L","")))</f>
        <v>L</v>
      </c>
      <c r="H152" s="67" t="str">
        <f>iferror(if(LEFT(VLOOKUP($B152,'Round 5'!$B$2:$H$361,7,false),1)="A","W",if(LEFT(VLOOKUP($B152,'Round 5'!$B$2:$H$361,7,false),1)="B","L","")),if(LEFT(VLOOKUP($B152,'Round 5'!$F$2:$H$361,3,false),1)="b","W",if(LEFT(VLOOKUP($B152,'Round 5'!$F$2:$H$361,3,false),1)="a","L","")))</f>
        <v>L</v>
      </c>
      <c r="I152" s="67"/>
      <c r="J152" s="67" t="str">
        <f>iferror(iferror(if(LEFT(VLOOKUP($B152,'Round 7'!$B$2:$H$361,7,false),1)="A","W",if(LEFT(VLOOKUP($B152,'Round 7'!$B$2:$H$361,7,false),1)="B","L","")),if(LEFT(VLOOKUP($B152,'Round 7'!$F$2:$H$361,3,false),1)="b","W",if(LEFT(VLOOKUP($B152,'Round 7'!$F$2:$H$361,3,false),1)="a","L",""))),"")</f>
        <v/>
      </c>
      <c r="K152" s="68" t="str">
        <f>iferror(iferror(if(LEFT(VLOOKUP($B152,'Round 8'!$B$2:$H$361,7,false),1)="A","W",if(LEFT(VLOOKUP($B152,'Round 8'!$B$2:$H$361,7,false),1)="B","L","")),if(LEFT(VLOOKUP($B152,'Round 8'!$F$2:$H$361,3,false),1)="b","W",if(LEFT(VLOOKUP($B152,'Round 8'!$F$2:$H$361,3,false),1)="a","L",""))),"")</f>
        <v/>
      </c>
      <c r="L152" s="68" t="str">
        <f>iferror(iferror(if(LEFT(VLOOKUP($B152,'Round 9'!$B$2:$H$361,7,false),1)="A","W",if(LEFT(VLOOKUP($B152,'Round 9'!$B$2:$H$361,7,false),1)="B","L","")),if(LEFT(VLOOKUP($B152,'Round 9'!$F$2:$H$361,3,false),1)="b","W",if(LEFT(VLOOKUP($B152,'Round 9'!$F$2:$H$361,3,false),1)="a","L",""))),"")</f>
        <v/>
      </c>
      <c r="M152" s="68" t="str">
        <f>iferror(iferror(if(LEFT(VLOOKUP($B152,'Round 10'!$B$2:$H$362,7,false),1)="A","W",if(LEFT(VLOOKUP($B152,'Round 10'!$B$2:$H$362,7,false),1)="B","L","")),if(LEFT(VLOOKUP($B152,'Round 10'!$F$2:$H$362,3,false),1)="b","W",if(LEFT(VLOOKUP($B152,'Round 10'!$F$2:$H$362,3,false),1)="a","L",""))),"")</f>
        <v/>
      </c>
      <c r="N152" s="62" t="s">
        <v>377</v>
      </c>
    </row>
    <row r="153">
      <c r="A153" s="63">
        <v>152.0</v>
      </c>
      <c r="B153" s="64" t="s">
        <v>378</v>
      </c>
      <c r="C153" s="65" t="str">
        <f t="shared" si="1"/>
        <v>1 - 3</v>
      </c>
      <c r="D153" s="67" t="str">
        <f>iferror(if(LEFT(VLOOKUP($B153,'Round 1'!$B$2:$H$361,7,false),1)="A","W",if(LEFT(VLOOKUP($B153,'Round 1'!$B$2:$H$361,7,false),1)="B","L","")),if(LEFT(VLOOKUP($B153,'Round 1'!$F$2:$H$361,3,false),1)="b","W",if(LEFT(VLOOKUP($B153,'Round 1'!$F$2:$H$361,3,false),1)="a","L","")))</f>
        <v>W</v>
      </c>
      <c r="E153" s="67" t="str">
        <f>iferror(if(LEFT(VLOOKUP($B153,'Round 2'!$C$2:$J$361,8,false),1)="A","W",if(LEFT(VLOOKUP($B153,'Round 2'!$C$2:$J$361,8,false),1)="B","L","")),if(LEFT(VLOOKUP($B153,'Round 2'!$G$2:$J$361,4,false),1)="b","W",if(LEFT(VLOOKUP($B153,'Round 2'!$G$2:$J$361,4,false),1)="a","L","")))</f>
        <v>L</v>
      </c>
      <c r="F153" s="67" t="str">
        <f>iferror(if(LEFT(VLOOKUP($B153,'Round 3'!$B$2:$H$361,7,false),1)="A","W",if(LEFT(VLOOKUP($B153,'Round 3'!$B$2:$H$361,7,false),1)="B","L","")),if(LEFT(VLOOKUP($B153,'Round 3'!$F$2:$H$361,3,false),1)="b","W",if(LEFT(VLOOKUP($B153,'Round 3'!$F$2:$H$361,3,false),1)="a","L","")))</f>
        <v>L</v>
      </c>
      <c r="G153" s="67" t="str">
        <f>iferror(if(LEFT(VLOOKUP($B153,'Round 4'!$B$2:$H$361,7,false),1)="A","W",if(LEFT(VLOOKUP($B153,'Round 4'!$B$2:$H$361,7,false),1)="B","L","")),if(LEFT(VLOOKUP($B153,'Round 4'!$F$2:$H$361,3,false),1)="b","W",if(LEFT(VLOOKUP($B153,'Round 4'!$F$2:$H$361,3,false),1)="a","L","")))</f>
        <v>L</v>
      </c>
      <c r="H153" s="67"/>
      <c r="I153" s="67"/>
      <c r="J153" s="67" t="str">
        <f>iferror(iferror(if(LEFT(VLOOKUP($B153,'Round 7'!$B$2:$H$361,7,false),1)="A","W",if(LEFT(VLOOKUP($B153,'Round 7'!$B$2:$H$361,7,false),1)="B","L","")),if(LEFT(VLOOKUP($B153,'Round 7'!$F$2:$H$361,3,false),1)="b","W",if(LEFT(VLOOKUP($B153,'Round 7'!$F$2:$H$361,3,false),1)="a","L",""))),"")</f>
        <v/>
      </c>
      <c r="K153" s="68" t="str">
        <f>iferror(iferror(if(LEFT(VLOOKUP($B153,'Round 8'!$B$2:$H$361,7,false),1)="A","W",if(LEFT(VLOOKUP($B153,'Round 8'!$B$2:$H$361,7,false),1)="B","L","")),if(LEFT(VLOOKUP($B153,'Round 8'!$F$2:$H$361,3,false),1)="b","W",if(LEFT(VLOOKUP($B153,'Round 8'!$F$2:$H$361,3,false),1)="a","L",""))),"")</f>
        <v/>
      </c>
      <c r="L153" s="68" t="str">
        <f>iferror(iferror(if(LEFT(VLOOKUP($B153,'Round 9'!$B$2:$H$361,7,false),1)="A","W",if(LEFT(VLOOKUP($B153,'Round 9'!$B$2:$H$361,7,false),1)="B","L","")),if(LEFT(VLOOKUP($B153,'Round 9'!$F$2:$H$361,3,false),1)="b","W",if(LEFT(VLOOKUP($B153,'Round 9'!$F$2:$H$361,3,false),1)="a","L",""))),"")</f>
        <v/>
      </c>
      <c r="M153" s="68" t="str">
        <f>iferror(iferror(if(LEFT(VLOOKUP($B153,'Round 10'!$B$2:$H$362,7,false),1)="A","W",if(LEFT(VLOOKUP($B153,'Round 10'!$B$2:$H$362,7,false),1)="B","L","")),if(LEFT(VLOOKUP($B153,'Round 10'!$F$2:$H$362,3,false),1)="b","W",if(LEFT(VLOOKUP($B153,'Round 10'!$F$2:$H$362,3,false),1)="a","L",""))),"")</f>
        <v/>
      </c>
      <c r="N153" s="62" t="s">
        <v>379</v>
      </c>
    </row>
    <row r="154">
      <c r="A154" s="63">
        <v>153.0</v>
      </c>
      <c r="B154" s="64" t="s">
        <v>380</v>
      </c>
      <c r="C154" s="65" t="str">
        <f t="shared" si="1"/>
        <v>3 - 3</v>
      </c>
      <c r="D154" s="67" t="str">
        <f>iferror(if(LEFT(VLOOKUP($B154,'Round 1'!$B$2:$H$361,7,false),1)="A","W",if(LEFT(VLOOKUP($B154,'Round 1'!$B$2:$H$361,7,false),1)="B","L","")),if(LEFT(VLOOKUP($B154,'Round 1'!$F$2:$H$361,3,false),1)="b","W",if(LEFT(VLOOKUP($B154,'Round 1'!$F$2:$H$361,3,false),1)="a","L","")))</f>
        <v>L</v>
      </c>
      <c r="E154" s="67" t="str">
        <f>iferror(if(LEFT(VLOOKUP($B154,'Round 2'!$C$2:$J$361,8,false),1)="A","W",if(LEFT(VLOOKUP($B154,'Round 2'!$C$2:$J$361,8,false),1)="B","L","")),if(LEFT(VLOOKUP($B154,'Round 2'!$G$2:$J$361,4,false),1)="b","W",if(LEFT(VLOOKUP($B154,'Round 2'!$G$2:$J$361,4,false),1)="a","L","")))</f>
        <v>L</v>
      </c>
      <c r="F154" s="67" t="str">
        <f>iferror(if(LEFT(VLOOKUP($B154,'Round 3'!$B$2:$H$361,7,false),1)="A","W",if(LEFT(VLOOKUP($B154,'Round 3'!$B$2:$H$361,7,false),1)="B","L","")),if(LEFT(VLOOKUP($B154,'Round 3'!$F$2:$H$361,3,false),1)="b","W",if(LEFT(VLOOKUP($B154,'Round 3'!$F$2:$H$361,3,false),1)="a","L","")))</f>
        <v>W</v>
      </c>
      <c r="G154" s="67" t="str">
        <f>iferror(if(LEFT(VLOOKUP($B154,'Round 4'!$B$2:$H$361,7,false),1)="A","W",if(LEFT(VLOOKUP($B154,'Round 4'!$B$2:$H$361,7,false),1)="B","L","")),if(LEFT(VLOOKUP($B154,'Round 4'!$F$2:$H$361,3,false),1)="b","W",if(LEFT(VLOOKUP($B154,'Round 4'!$F$2:$H$361,3,false),1)="a","L","")))</f>
        <v>W</v>
      </c>
      <c r="H154" s="67" t="str">
        <f>iferror(if(LEFT(VLOOKUP($B154,'Round 5'!$B$2:$H$361,7,false),1)="A","W",if(LEFT(VLOOKUP($B154,'Round 5'!$B$2:$H$361,7,false),1)="B","L","")),if(LEFT(VLOOKUP($B154,'Round 5'!$F$2:$H$361,3,false),1)="b","W",if(LEFT(VLOOKUP($B154,'Round 5'!$F$2:$H$361,3,false),1)="a","L","")))</f>
        <v>W</v>
      </c>
      <c r="I154" s="67" t="str">
        <f>iferror(if(LEFT(VLOOKUP($B154,'Round 6'!$B$2:$H$361,7,false),1)="A","W",if(LEFT(VLOOKUP($B154,'Round 6'!$B$2:$H$361,7,false),1)="B","L","")),if(LEFT(VLOOKUP($B154,'Round 6'!$F$2:$H$361,3,false),1)="b","W",if(LEFT(VLOOKUP($B154,'Round 6'!$F$2:$H$361,3,false),1)="a","L","")))</f>
        <v>L</v>
      </c>
      <c r="J154" s="67" t="str">
        <f>iferror(iferror(if(LEFT(VLOOKUP($B154,'Round 7'!$B$2:$H$361,7,false),1)="A","W",if(LEFT(VLOOKUP($B154,'Round 7'!$B$2:$H$361,7,false),1)="B","L","")),if(LEFT(VLOOKUP($B154,'Round 7'!$F$2:$H$361,3,false),1)="b","W",if(LEFT(VLOOKUP($B154,'Round 7'!$F$2:$H$361,3,false),1)="a","L",""))),"")</f>
        <v/>
      </c>
      <c r="K154" s="68" t="str">
        <f>iferror(iferror(if(LEFT(VLOOKUP($B154,'Round 8'!$B$2:$H$361,7,false),1)="A","W",if(LEFT(VLOOKUP($B154,'Round 8'!$B$2:$H$361,7,false),1)="B","L","")),if(LEFT(VLOOKUP($B154,'Round 8'!$F$2:$H$361,3,false),1)="b","W",if(LEFT(VLOOKUP($B154,'Round 8'!$F$2:$H$361,3,false),1)="a","L",""))),"")</f>
        <v/>
      </c>
      <c r="L154" s="68" t="str">
        <f>iferror(iferror(if(LEFT(VLOOKUP($B154,'Round 9'!$B$2:$H$361,7,false),1)="A","W",if(LEFT(VLOOKUP($B154,'Round 9'!$B$2:$H$361,7,false),1)="B","L","")),if(LEFT(VLOOKUP($B154,'Round 9'!$F$2:$H$361,3,false),1)="b","W",if(LEFT(VLOOKUP($B154,'Round 9'!$F$2:$H$361,3,false),1)="a","L",""))),"")</f>
        <v/>
      </c>
      <c r="M154" s="68" t="str">
        <f>iferror(iferror(if(LEFT(VLOOKUP($B154,'Round 10'!$B$2:$H$362,7,false),1)="A","W",if(LEFT(VLOOKUP($B154,'Round 10'!$B$2:$H$362,7,false),1)="B","L","")),if(LEFT(VLOOKUP($B154,'Round 10'!$F$2:$H$362,3,false),1)="b","W",if(LEFT(VLOOKUP($B154,'Round 10'!$F$2:$H$362,3,false),1)="a","L",""))),"")</f>
        <v/>
      </c>
      <c r="N154" s="62" t="s">
        <v>381</v>
      </c>
    </row>
    <row r="155">
      <c r="A155" s="63">
        <v>154.0</v>
      </c>
      <c r="B155" s="64" t="s">
        <v>382</v>
      </c>
      <c r="C155" s="65" t="str">
        <f t="shared" si="1"/>
        <v>3 - 3</v>
      </c>
      <c r="D155" s="67" t="str">
        <f>iferror(if(LEFT(VLOOKUP($B155,'Round 1'!$B$2:$H$361,7,false),1)="A","W",if(LEFT(VLOOKUP($B155,'Round 1'!$B$2:$H$361,7,false),1)="B","L","")),if(LEFT(VLOOKUP($B155,'Round 1'!$F$2:$H$361,3,false),1)="b","W",if(LEFT(VLOOKUP($B155,'Round 1'!$F$2:$H$361,3,false),1)="a","L","")))</f>
        <v>W</v>
      </c>
      <c r="E155" s="67" t="str">
        <f>iferror(if(LEFT(VLOOKUP($B155,'Round 2'!$C$2:$J$361,8,false),1)="A","W",if(LEFT(VLOOKUP($B155,'Round 2'!$C$2:$J$361,8,false),1)="B","L","")),if(LEFT(VLOOKUP($B155,'Round 2'!$G$2:$J$361,4,false),1)="b","W",if(LEFT(VLOOKUP($B155,'Round 2'!$G$2:$J$361,4,false),1)="a","L","")))</f>
        <v>L</v>
      </c>
      <c r="F155" s="67" t="str">
        <f>iferror(if(LEFT(VLOOKUP($B155,'Round 3'!$B$2:$H$361,7,false),1)="A","W",if(LEFT(VLOOKUP($B155,'Round 3'!$B$2:$H$361,7,false),1)="B","L","")),if(LEFT(VLOOKUP($B155,'Round 3'!$F$2:$H$361,3,false),1)="b","W",if(LEFT(VLOOKUP($B155,'Round 3'!$F$2:$H$361,3,false),1)="a","L","")))</f>
        <v>W</v>
      </c>
      <c r="G155" s="67" t="str">
        <f>iferror(if(LEFT(VLOOKUP($B155,'Round 4'!$B$2:$H$361,7,false),1)="A","W",if(LEFT(VLOOKUP($B155,'Round 4'!$B$2:$H$361,7,false),1)="B","L","")),if(LEFT(VLOOKUP($B155,'Round 4'!$F$2:$H$361,3,false),1)="b","W",if(LEFT(VLOOKUP($B155,'Round 4'!$F$2:$H$361,3,false),1)="a","L","")))</f>
        <v>L</v>
      </c>
      <c r="H155" s="67" t="str">
        <f>iferror(if(LEFT(VLOOKUP($B155,'Round 5'!$B$2:$H$361,7,false),1)="A","W",if(LEFT(VLOOKUP($B155,'Round 5'!$B$2:$H$361,7,false),1)="B","L","")),if(LEFT(VLOOKUP($B155,'Round 5'!$F$2:$H$361,3,false),1)="b","W",if(LEFT(VLOOKUP($B155,'Round 5'!$F$2:$H$361,3,false),1)="a","L","")))</f>
        <v>W</v>
      </c>
      <c r="I155" s="67" t="str">
        <f>iferror(if(LEFT(VLOOKUP($B155,'Round 6'!$B$2:$H$361,7,false),1)="A","W",if(LEFT(VLOOKUP($B155,'Round 6'!$B$2:$H$361,7,false),1)="B","L","")),if(LEFT(VLOOKUP($B155,'Round 6'!$F$2:$H$361,3,false),1)="b","W",if(LEFT(VLOOKUP($B155,'Round 6'!$F$2:$H$361,3,false),1)="a","L","")))</f>
        <v>L</v>
      </c>
      <c r="J155" s="67" t="str">
        <f>iferror(iferror(if(LEFT(VLOOKUP($B155,'Round 7'!$B$2:$H$361,7,false),1)="A","W",if(LEFT(VLOOKUP($B155,'Round 7'!$B$2:$H$361,7,false),1)="B","L","")),if(LEFT(VLOOKUP($B155,'Round 7'!$F$2:$H$361,3,false),1)="b","W",if(LEFT(VLOOKUP($B155,'Round 7'!$F$2:$H$361,3,false),1)="a","L",""))),"")</f>
        <v/>
      </c>
      <c r="K155" s="68" t="str">
        <f>iferror(iferror(if(LEFT(VLOOKUP($B155,'Round 8'!$B$2:$H$361,7,false),1)="A","W",if(LEFT(VLOOKUP($B155,'Round 8'!$B$2:$H$361,7,false),1)="B","L","")),if(LEFT(VLOOKUP($B155,'Round 8'!$F$2:$H$361,3,false),1)="b","W",if(LEFT(VLOOKUP($B155,'Round 8'!$F$2:$H$361,3,false),1)="a","L",""))),"")</f>
        <v/>
      </c>
      <c r="L155" s="68" t="str">
        <f>iferror(iferror(if(LEFT(VLOOKUP($B155,'Round 9'!$B$2:$H$361,7,false),1)="A","W",if(LEFT(VLOOKUP($B155,'Round 9'!$B$2:$H$361,7,false),1)="B","L","")),if(LEFT(VLOOKUP($B155,'Round 9'!$F$2:$H$361,3,false),1)="b","W",if(LEFT(VLOOKUP($B155,'Round 9'!$F$2:$H$361,3,false),1)="a","L",""))),"")</f>
        <v/>
      </c>
      <c r="M155" s="68" t="str">
        <f>iferror(iferror(if(LEFT(VLOOKUP($B155,'Round 10'!$B$2:$H$362,7,false),1)="A","W",if(LEFT(VLOOKUP($B155,'Round 10'!$B$2:$H$362,7,false),1)="B","L","")),if(LEFT(VLOOKUP($B155,'Round 10'!$F$2:$H$362,3,false),1)="b","W",if(LEFT(VLOOKUP($B155,'Round 10'!$F$2:$H$362,3,false),1)="a","L",""))),"")</f>
        <v/>
      </c>
      <c r="N155" s="62" t="s">
        <v>383</v>
      </c>
    </row>
    <row r="156">
      <c r="A156" s="63">
        <v>155.0</v>
      </c>
      <c r="B156" s="64" t="s">
        <v>384</v>
      </c>
      <c r="C156" s="65" t="str">
        <f t="shared" si="1"/>
        <v>3 - 3</v>
      </c>
      <c r="D156" s="67" t="str">
        <f>iferror(if(LEFT(VLOOKUP($B156,'Round 1'!$B$2:$H$361,7,false),1)="A","W",if(LEFT(VLOOKUP($B156,'Round 1'!$B$2:$H$361,7,false),1)="B","L","")),if(LEFT(VLOOKUP($B156,'Round 1'!$F$2:$H$361,3,false),1)="b","W",if(LEFT(VLOOKUP($B156,'Round 1'!$F$2:$H$361,3,false),1)="a","L","")))</f>
        <v>L</v>
      </c>
      <c r="E156" s="67" t="str">
        <f>iferror(if(LEFT(VLOOKUP($B156,'Round 2'!$C$2:$J$361,8,false),1)="A","W",if(LEFT(VLOOKUP($B156,'Round 2'!$C$2:$J$361,8,false),1)="B","L","")),if(LEFT(VLOOKUP($B156,'Round 2'!$G$2:$J$361,4,false),1)="b","W",if(LEFT(VLOOKUP($B156,'Round 2'!$G$2:$J$361,4,false),1)="a","L","")))</f>
        <v>W</v>
      </c>
      <c r="F156" s="67" t="str">
        <f>iferror(if(LEFT(VLOOKUP($B156,'Round 3'!$B$2:$H$361,7,false),1)="A","W",if(LEFT(VLOOKUP($B156,'Round 3'!$B$2:$H$361,7,false),1)="B","L","")),if(LEFT(VLOOKUP($B156,'Round 3'!$F$2:$H$361,3,false),1)="b","W",if(LEFT(VLOOKUP($B156,'Round 3'!$F$2:$H$361,3,false),1)="a","L","")))</f>
        <v>W</v>
      </c>
      <c r="G156" s="67" t="str">
        <f>iferror(if(LEFT(VLOOKUP($B156,'Round 4'!$B$2:$H$361,7,false),1)="A","W",if(LEFT(VLOOKUP($B156,'Round 4'!$B$2:$H$361,7,false),1)="B","L","")),if(LEFT(VLOOKUP($B156,'Round 4'!$F$2:$H$361,3,false),1)="b","W",if(LEFT(VLOOKUP($B156,'Round 4'!$F$2:$H$361,3,false),1)="a","L","")))</f>
        <v>W</v>
      </c>
      <c r="H156" s="67" t="str">
        <f>iferror(if(LEFT(VLOOKUP($B156,'Round 5'!$B$2:$H$361,7,false),1)="A","W",if(LEFT(VLOOKUP($B156,'Round 5'!$B$2:$H$361,7,false),1)="B","L","")),if(LEFT(VLOOKUP($B156,'Round 5'!$F$2:$H$361,3,false),1)="b","W",if(LEFT(VLOOKUP($B156,'Round 5'!$F$2:$H$361,3,false),1)="a","L","")))</f>
        <v>L</v>
      </c>
      <c r="I156" s="67" t="str">
        <f>iferror(if(LEFT(VLOOKUP($B156,'Round 6'!$B$2:$H$361,7,false),1)="A","W",if(LEFT(VLOOKUP($B156,'Round 6'!$B$2:$H$361,7,false),1)="B","L","")),if(LEFT(VLOOKUP($B156,'Round 6'!$F$2:$H$361,3,false),1)="b","W",if(LEFT(VLOOKUP($B156,'Round 6'!$F$2:$H$361,3,false),1)="a","L","")))</f>
        <v>L</v>
      </c>
      <c r="J156" s="67" t="str">
        <f>iferror(iferror(if(LEFT(VLOOKUP($B156,'Round 7'!$B$2:$H$361,7,false),1)="A","W",if(LEFT(VLOOKUP($B156,'Round 7'!$B$2:$H$361,7,false),1)="B","L","")),if(LEFT(VLOOKUP($B156,'Round 7'!$F$2:$H$361,3,false),1)="b","W",if(LEFT(VLOOKUP($B156,'Round 7'!$F$2:$H$361,3,false),1)="a","L",""))),"")</f>
        <v/>
      </c>
      <c r="K156" s="68" t="str">
        <f>iferror(iferror(if(LEFT(VLOOKUP($B156,'Round 8'!$B$2:$H$361,7,false),1)="A","W",if(LEFT(VLOOKUP($B156,'Round 8'!$B$2:$H$361,7,false),1)="B","L","")),if(LEFT(VLOOKUP($B156,'Round 8'!$F$2:$H$361,3,false),1)="b","W",if(LEFT(VLOOKUP($B156,'Round 8'!$F$2:$H$361,3,false),1)="a","L",""))),"")</f>
        <v/>
      </c>
      <c r="L156" s="68" t="str">
        <f>iferror(iferror(if(LEFT(VLOOKUP($B156,'Round 9'!$B$2:$H$361,7,false),1)="A","W",if(LEFT(VLOOKUP($B156,'Round 9'!$B$2:$H$361,7,false),1)="B","L","")),if(LEFT(VLOOKUP($B156,'Round 9'!$F$2:$H$361,3,false),1)="b","W",if(LEFT(VLOOKUP($B156,'Round 9'!$F$2:$H$361,3,false),1)="a","L",""))),"")</f>
        <v/>
      </c>
      <c r="M156" s="68" t="str">
        <f>iferror(iferror(if(LEFT(VLOOKUP($B156,'Round 10'!$B$2:$H$362,7,false),1)="A","W",if(LEFT(VLOOKUP($B156,'Round 10'!$B$2:$H$362,7,false),1)="B","L","")),if(LEFT(VLOOKUP($B156,'Round 10'!$F$2:$H$362,3,false),1)="b","W",if(LEFT(VLOOKUP($B156,'Round 10'!$F$2:$H$362,3,false),1)="a","L",""))),"")</f>
        <v/>
      </c>
      <c r="N156" s="62" t="s">
        <v>385</v>
      </c>
    </row>
    <row r="157">
      <c r="A157" s="63">
        <v>156.0</v>
      </c>
      <c r="B157" s="64" t="s">
        <v>386</v>
      </c>
      <c r="C157" s="65" t="str">
        <f t="shared" si="1"/>
        <v>1 - 3</v>
      </c>
      <c r="D157" s="67" t="str">
        <f>iferror(if(LEFT(VLOOKUP($B157,'Round 1'!$B$2:$H$361,7,false),1)="A","W",if(LEFT(VLOOKUP($B157,'Round 1'!$B$2:$H$361,7,false),1)="B","L","")),if(LEFT(VLOOKUP($B157,'Round 1'!$F$2:$H$361,3,false),1)="b","W",if(LEFT(VLOOKUP($B157,'Round 1'!$F$2:$H$361,3,false),1)="a","L","")))</f>
        <v>L</v>
      </c>
      <c r="E157" s="67" t="str">
        <f>iferror(if(LEFT(VLOOKUP($B157,'Round 2'!$C$2:$J$361,8,false),1)="A","W",if(LEFT(VLOOKUP($B157,'Round 2'!$C$2:$J$361,8,false),1)="B","L","")),if(LEFT(VLOOKUP($B157,'Round 2'!$G$2:$J$361,4,false),1)="b","W",if(LEFT(VLOOKUP($B157,'Round 2'!$G$2:$J$361,4,false),1)="a","L","")))</f>
        <v>W</v>
      </c>
      <c r="F157" s="67" t="str">
        <f>iferror(if(LEFT(VLOOKUP($B157,'Round 3'!$B$2:$H$361,7,false),1)="A","W",if(LEFT(VLOOKUP($B157,'Round 3'!$B$2:$H$361,7,false),1)="B","L","")),if(LEFT(VLOOKUP($B157,'Round 3'!$F$2:$H$361,3,false),1)="b","W",if(LEFT(VLOOKUP($B157,'Round 3'!$F$2:$H$361,3,false),1)="a","L","")))</f>
        <v>L</v>
      </c>
      <c r="G157" s="67" t="str">
        <f>iferror(if(LEFT(VLOOKUP($B157,'Round 4'!$B$2:$H$361,7,false),1)="A","W",if(LEFT(VLOOKUP($B157,'Round 4'!$B$2:$H$361,7,false),1)="B","L","")),if(LEFT(VLOOKUP($B157,'Round 4'!$F$2:$H$361,3,false),1)="b","W",if(LEFT(VLOOKUP($B157,'Round 4'!$F$2:$H$361,3,false),1)="a","L","")))</f>
        <v>L</v>
      </c>
      <c r="H157" s="67"/>
      <c r="I157" s="67"/>
      <c r="J157" s="67" t="str">
        <f>iferror(iferror(if(LEFT(VLOOKUP($B157,'Round 7'!$B$2:$H$361,7,false),1)="A","W",if(LEFT(VLOOKUP($B157,'Round 7'!$B$2:$H$361,7,false),1)="B","L","")),if(LEFT(VLOOKUP($B157,'Round 7'!$F$2:$H$361,3,false),1)="b","W",if(LEFT(VLOOKUP($B157,'Round 7'!$F$2:$H$361,3,false),1)="a","L",""))),"")</f>
        <v/>
      </c>
      <c r="K157" s="68" t="str">
        <f>iferror(iferror(if(LEFT(VLOOKUP($B157,'Round 8'!$B$2:$H$361,7,false),1)="A","W",if(LEFT(VLOOKUP($B157,'Round 8'!$B$2:$H$361,7,false),1)="B","L","")),if(LEFT(VLOOKUP($B157,'Round 8'!$F$2:$H$361,3,false),1)="b","W",if(LEFT(VLOOKUP($B157,'Round 8'!$F$2:$H$361,3,false),1)="a","L",""))),"")</f>
        <v/>
      </c>
      <c r="L157" s="68" t="str">
        <f>iferror(iferror(if(LEFT(VLOOKUP($B157,'Round 9'!$B$2:$H$361,7,false),1)="A","W",if(LEFT(VLOOKUP($B157,'Round 9'!$B$2:$H$361,7,false),1)="B","L","")),if(LEFT(VLOOKUP($B157,'Round 9'!$F$2:$H$361,3,false),1)="b","W",if(LEFT(VLOOKUP($B157,'Round 9'!$F$2:$H$361,3,false),1)="a","L",""))),"")</f>
        <v/>
      </c>
      <c r="M157" s="68" t="str">
        <f>iferror(iferror(if(LEFT(VLOOKUP($B157,'Round 10'!$B$2:$H$362,7,false),1)="A","W",if(LEFT(VLOOKUP($B157,'Round 10'!$B$2:$H$362,7,false),1)="B","L","")),if(LEFT(VLOOKUP($B157,'Round 10'!$F$2:$H$362,3,false),1)="b","W",if(LEFT(VLOOKUP($B157,'Round 10'!$F$2:$H$362,3,false),1)="a","L",""))),"")</f>
        <v/>
      </c>
      <c r="N157" s="62" t="s">
        <v>387</v>
      </c>
    </row>
    <row r="158">
      <c r="A158" s="63">
        <v>157.0</v>
      </c>
      <c r="B158" s="64" t="s">
        <v>388</v>
      </c>
      <c r="C158" s="65" t="str">
        <f t="shared" si="1"/>
        <v>8 - 1</v>
      </c>
      <c r="D158" s="67" t="str">
        <f>iferror(if(LEFT(VLOOKUP($B158,'Round 1'!$B$2:$H$361,7,false),1)="A","W",if(LEFT(VLOOKUP($B158,'Round 1'!$B$2:$H$361,7,false),1)="B","L","")),if(LEFT(VLOOKUP($B158,'Round 1'!$F$2:$H$361,3,false),1)="b","W",if(LEFT(VLOOKUP($B158,'Round 1'!$F$2:$H$361,3,false),1)="a","L","")))</f>
        <v>W</v>
      </c>
      <c r="E158" s="67" t="str">
        <f>iferror(if(LEFT(VLOOKUP($B158,'Round 2'!$C$2:$J$361,8,false),1)="A","W",if(LEFT(VLOOKUP($B158,'Round 2'!$C$2:$J$361,8,false),1)="B","L","")),if(LEFT(VLOOKUP($B158,'Round 2'!$G$2:$J$361,4,false),1)="b","W",if(LEFT(VLOOKUP($B158,'Round 2'!$G$2:$J$361,4,false),1)="a","L","")))</f>
        <v>W</v>
      </c>
      <c r="F158" s="67" t="str">
        <f>iferror(if(LEFT(VLOOKUP($B158,'Round 3'!$B$2:$H$361,7,false),1)="A","W",if(LEFT(VLOOKUP($B158,'Round 3'!$B$2:$H$361,7,false),1)="B","L","")),if(LEFT(VLOOKUP($B158,'Round 3'!$F$2:$H$361,3,false),1)="b","W",if(LEFT(VLOOKUP($B158,'Round 3'!$F$2:$H$361,3,false),1)="a","L","")))</f>
        <v>W</v>
      </c>
      <c r="G158" s="67" t="str">
        <f>iferror(if(LEFT(VLOOKUP($B158,'Round 4'!$B$2:$H$361,7,false),1)="A","W",if(LEFT(VLOOKUP($B158,'Round 4'!$B$2:$H$361,7,false),1)="B","L","")),if(LEFT(VLOOKUP($B158,'Round 4'!$F$2:$H$361,3,false),1)="b","W",if(LEFT(VLOOKUP($B158,'Round 4'!$F$2:$H$361,3,false),1)="a","L","")))</f>
        <v>W</v>
      </c>
      <c r="H158" s="67" t="str">
        <f>iferror(if(LEFT(VLOOKUP($B158,'Round 5'!$B$2:$H$361,7,false),1)="A","W",if(LEFT(VLOOKUP($B158,'Round 5'!$B$2:$H$361,7,false),1)="B","L","")),if(LEFT(VLOOKUP($B158,'Round 5'!$F$2:$H$361,3,false),1)="b","W",if(LEFT(VLOOKUP($B158,'Round 5'!$F$2:$H$361,3,false),1)="a","L","")))</f>
        <v>W</v>
      </c>
      <c r="I158" s="67" t="str">
        <f>iferror(if(LEFT(VLOOKUP($B158,'Round 6'!$B$2:$H$361,7,false),1)="A","W",if(LEFT(VLOOKUP($B158,'Round 6'!$B$2:$H$361,7,false),1)="B","L","")),if(LEFT(VLOOKUP($B158,'Round 6'!$F$2:$H$361,3,false),1)="b","W",if(LEFT(VLOOKUP($B158,'Round 6'!$F$2:$H$361,3,false),1)="a","L","")))</f>
        <v>W</v>
      </c>
      <c r="J158" s="67" t="str">
        <f>iferror(iferror(if(LEFT(VLOOKUP($B158,'Round 7'!$B$2:$H$361,7,false),1)="A","W",if(LEFT(VLOOKUP($B158,'Round 7'!$B$2:$H$361,7,false),1)="B","L","")),if(LEFT(VLOOKUP($B158,'Round 7'!$F$2:$H$361,3,false),1)="b","W",if(LEFT(VLOOKUP($B158,'Round 7'!$F$2:$H$361,3,false),1)="a","L",""))),"")</f>
        <v>W</v>
      </c>
      <c r="K158" s="68" t="str">
        <f>iferror(iferror(if(LEFT(VLOOKUP($B158,'Round 8'!$B$2:$H$361,7,false),1)="A","W",if(LEFT(VLOOKUP($B158,'Round 8'!$B$2:$H$361,7,false),1)="B","L","")),if(LEFT(VLOOKUP($B158,'Round 8'!$F$2:$H$361,3,false),1)="b","W",if(LEFT(VLOOKUP($B158,'Round 8'!$F$2:$H$361,3,false),1)="a","L",""))),"")</f>
        <v>W</v>
      </c>
      <c r="L158" s="68" t="str">
        <f>iferror(iferror(if(LEFT(VLOOKUP($B158,'Round 9'!$B$2:$H$361,7,false),1)="A","W",if(LEFT(VLOOKUP($B158,'Round 9'!$B$2:$H$361,7,false),1)="B","L","")),if(LEFT(VLOOKUP($B158,'Round 9'!$F$2:$H$361,3,false),1)="b","W",if(LEFT(VLOOKUP($B158,'Round 9'!$F$2:$H$361,3,false),1)="a","L",""))),"")</f>
        <v>L</v>
      </c>
      <c r="M158" s="68" t="str">
        <f>iferror(iferror(if(LEFT(VLOOKUP($B158,'Round 10'!$B$2:$H$362,7,false),1)="A","W",if(LEFT(VLOOKUP($B158,'Round 10'!$B$2:$H$362,7,false),1)="B","L","")),if(LEFT(VLOOKUP($B158,'Round 10'!$F$2:$H$362,3,false),1)="b","W",if(LEFT(VLOOKUP($B158,'Round 10'!$F$2:$H$362,3,false),1)="a","L",""))),"")</f>
        <v/>
      </c>
      <c r="N158" s="62" t="s">
        <v>389</v>
      </c>
    </row>
    <row r="159">
      <c r="A159" s="63">
        <v>158.0</v>
      </c>
      <c r="B159" s="64" t="s">
        <v>390</v>
      </c>
      <c r="C159" s="65" t="str">
        <f t="shared" si="1"/>
        <v>1 - 3</v>
      </c>
      <c r="D159" s="67" t="str">
        <f>iferror(if(LEFT(VLOOKUP($B159,'Round 1'!$B$2:$H$361,7,false),1)="A","W",if(LEFT(VLOOKUP($B159,'Round 1'!$B$2:$H$361,7,false),1)="B","L","")),if(LEFT(VLOOKUP($B159,'Round 1'!$F$2:$H$361,3,false),1)="b","W",if(LEFT(VLOOKUP($B159,'Round 1'!$F$2:$H$361,3,false),1)="a","L","")))</f>
        <v>W</v>
      </c>
      <c r="E159" s="67" t="str">
        <f>iferror(if(LEFT(VLOOKUP($B159,'Round 2'!$C$2:$J$361,8,false),1)="A","W",if(LEFT(VLOOKUP($B159,'Round 2'!$C$2:$J$361,8,false),1)="B","L","")),if(LEFT(VLOOKUP($B159,'Round 2'!$G$2:$J$361,4,false),1)="b","W",if(LEFT(VLOOKUP($B159,'Round 2'!$G$2:$J$361,4,false),1)="a","L","")))</f>
        <v>L</v>
      </c>
      <c r="F159" s="67" t="str">
        <f>iferror(if(LEFT(VLOOKUP($B159,'Round 3'!$B$2:$H$361,7,false),1)="A","W",if(LEFT(VLOOKUP($B159,'Round 3'!$B$2:$H$361,7,false),1)="B","L","")),if(LEFT(VLOOKUP($B159,'Round 3'!$F$2:$H$361,3,false),1)="b","W",if(LEFT(VLOOKUP($B159,'Round 3'!$F$2:$H$361,3,false),1)="a","L","")))</f>
        <v>L</v>
      </c>
      <c r="G159" s="67" t="str">
        <f>iferror(if(LEFT(VLOOKUP($B159,'Round 4'!$B$2:$H$361,7,false),1)="A","W",if(LEFT(VLOOKUP($B159,'Round 4'!$B$2:$H$361,7,false),1)="B","L","")),if(LEFT(VLOOKUP($B159,'Round 4'!$F$2:$H$361,3,false),1)="b","W",if(LEFT(VLOOKUP($B159,'Round 4'!$F$2:$H$361,3,false),1)="a","L","")))</f>
        <v>L</v>
      </c>
      <c r="H159" s="67"/>
      <c r="I159" s="67"/>
      <c r="J159" s="67" t="str">
        <f>iferror(iferror(if(LEFT(VLOOKUP($B159,'Round 7'!$B$2:$H$361,7,false),1)="A","W",if(LEFT(VLOOKUP($B159,'Round 7'!$B$2:$H$361,7,false),1)="B","L","")),if(LEFT(VLOOKUP($B159,'Round 7'!$F$2:$H$361,3,false),1)="b","W",if(LEFT(VLOOKUP($B159,'Round 7'!$F$2:$H$361,3,false),1)="a","L",""))),"")</f>
        <v/>
      </c>
      <c r="K159" s="68" t="str">
        <f>iferror(iferror(if(LEFT(VLOOKUP($B159,'Round 8'!$B$2:$H$361,7,false),1)="A","W",if(LEFT(VLOOKUP($B159,'Round 8'!$B$2:$H$361,7,false),1)="B","L","")),if(LEFT(VLOOKUP($B159,'Round 8'!$F$2:$H$361,3,false),1)="b","W",if(LEFT(VLOOKUP($B159,'Round 8'!$F$2:$H$361,3,false),1)="a","L",""))),"")</f>
        <v/>
      </c>
      <c r="L159" s="68" t="str">
        <f>iferror(iferror(if(LEFT(VLOOKUP($B159,'Round 9'!$B$2:$H$361,7,false),1)="A","W",if(LEFT(VLOOKUP($B159,'Round 9'!$B$2:$H$361,7,false),1)="B","L","")),if(LEFT(VLOOKUP($B159,'Round 9'!$F$2:$H$361,3,false),1)="b","W",if(LEFT(VLOOKUP($B159,'Round 9'!$F$2:$H$361,3,false),1)="a","L",""))),"")</f>
        <v/>
      </c>
      <c r="M159" s="68" t="str">
        <f>iferror(iferror(if(LEFT(VLOOKUP($B159,'Round 10'!$B$2:$H$362,7,false),1)="A","W",if(LEFT(VLOOKUP($B159,'Round 10'!$B$2:$H$362,7,false),1)="B","L","")),if(LEFT(VLOOKUP($B159,'Round 10'!$F$2:$H$362,3,false),1)="b","W",if(LEFT(VLOOKUP($B159,'Round 10'!$F$2:$H$362,3,false),1)="a","L",""))),"")</f>
        <v/>
      </c>
      <c r="N159" s="62" t="s">
        <v>391</v>
      </c>
    </row>
    <row r="160">
      <c r="A160" s="63">
        <v>159.0</v>
      </c>
      <c r="B160" s="64" t="s">
        <v>392</v>
      </c>
      <c r="C160" s="65" t="str">
        <f t="shared" si="1"/>
        <v>1 - 3</v>
      </c>
      <c r="D160" s="67" t="str">
        <f>iferror(if(LEFT(VLOOKUP($B160,'Round 1'!$B$2:$H$361,7,false),1)="A","W",if(LEFT(VLOOKUP($B160,'Round 1'!$B$2:$H$361,7,false),1)="B","L","")),if(LEFT(VLOOKUP($B160,'Round 1'!$F$2:$H$361,3,false),1)="b","W",if(LEFT(VLOOKUP($B160,'Round 1'!$F$2:$H$361,3,false),1)="a","L","")))</f>
        <v>W</v>
      </c>
      <c r="E160" s="67" t="str">
        <f>iferror(if(LEFT(VLOOKUP($B160,'Round 2'!$C$2:$J$361,8,false),1)="A","W",if(LEFT(VLOOKUP($B160,'Round 2'!$C$2:$J$361,8,false),1)="B","L","")),if(LEFT(VLOOKUP($B160,'Round 2'!$G$2:$J$361,4,false),1)="b","W",if(LEFT(VLOOKUP($B160,'Round 2'!$G$2:$J$361,4,false),1)="a","L","")))</f>
        <v>L</v>
      </c>
      <c r="F160" s="67" t="str">
        <f>iferror(if(LEFT(VLOOKUP($B160,'Round 3'!$B$2:$H$361,7,false),1)="A","W",if(LEFT(VLOOKUP($B160,'Round 3'!$B$2:$H$361,7,false),1)="B","L","")),if(LEFT(VLOOKUP($B160,'Round 3'!$F$2:$H$361,3,false),1)="b","W",if(LEFT(VLOOKUP($B160,'Round 3'!$F$2:$H$361,3,false),1)="a","L","")))</f>
        <v>L</v>
      </c>
      <c r="G160" s="67" t="str">
        <f>iferror(if(LEFT(VLOOKUP($B160,'Round 4'!$B$2:$H$361,7,false),1)="A","W",if(LEFT(VLOOKUP($B160,'Round 4'!$B$2:$H$361,7,false),1)="B","L","")),if(LEFT(VLOOKUP($B160,'Round 4'!$F$2:$H$361,3,false),1)="b","W",if(LEFT(VLOOKUP($B160,'Round 4'!$F$2:$H$361,3,false),1)="a","L","")))</f>
        <v>L</v>
      </c>
      <c r="H160" s="67"/>
      <c r="I160" s="67"/>
      <c r="J160" s="67" t="str">
        <f>iferror(iferror(if(LEFT(VLOOKUP($B160,'Round 7'!$B$2:$H$361,7,false),1)="A","W",if(LEFT(VLOOKUP($B160,'Round 7'!$B$2:$H$361,7,false),1)="B","L","")),if(LEFT(VLOOKUP($B160,'Round 7'!$F$2:$H$361,3,false),1)="b","W",if(LEFT(VLOOKUP($B160,'Round 7'!$F$2:$H$361,3,false),1)="a","L",""))),"")</f>
        <v/>
      </c>
      <c r="K160" s="68" t="str">
        <f>iferror(iferror(if(LEFT(VLOOKUP($B160,'Round 8'!$B$2:$H$361,7,false),1)="A","W",if(LEFT(VLOOKUP($B160,'Round 8'!$B$2:$H$361,7,false),1)="B","L","")),if(LEFT(VLOOKUP($B160,'Round 8'!$F$2:$H$361,3,false),1)="b","W",if(LEFT(VLOOKUP($B160,'Round 8'!$F$2:$H$361,3,false),1)="a","L",""))),"")</f>
        <v/>
      </c>
      <c r="L160" s="68" t="str">
        <f>iferror(iferror(if(LEFT(VLOOKUP($B160,'Round 9'!$B$2:$H$361,7,false),1)="A","W",if(LEFT(VLOOKUP($B160,'Round 9'!$B$2:$H$361,7,false),1)="B","L","")),if(LEFT(VLOOKUP($B160,'Round 9'!$F$2:$H$361,3,false),1)="b","W",if(LEFT(VLOOKUP($B160,'Round 9'!$F$2:$H$361,3,false),1)="a","L",""))),"")</f>
        <v/>
      </c>
      <c r="M160" s="68" t="str">
        <f>iferror(iferror(if(LEFT(VLOOKUP($B160,'Round 10'!$B$2:$H$362,7,false),1)="A","W",if(LEFT(VLOOKUP($B160,'Round 10'!$B$2:$H$362,7,false),1)="B","L","")),if(LEFT(VLOOKUP($B160,'Round 10'!$F$2:$H$362,3,false),1)="b","W",if(LEFT(VLOOKUP($B160,'Round 10'!$F$2:$H$362,3,false),1)="a","L",""))),"")</f>
        <v/>
      </c>
      <c r="N160" s="62" t="s">
        <v>393</v>
      </c>
    </row>
    <row r="161">
      <c r="A161" s="63">
        <v>160.0</v>
      </c>
      <c r="B161" s="64" t="s">
        <v>394</v>
      </c>
      <c r="C161" s="65" t="str">
        <f t="shared" si="1"/>
        <v>2 - 3</v>
      </c>
      <c r="D161" s="67" t="str">
        <f>iferror(if(LEFT(VLOOKUP($B161,'Round 1'!$B$2:$H$361,7,false),1)="A","W",if(LEFT(VLOOKUP($B161,'Round 1'!$B$2:$H$361,7,false),1)="B","L","")),if(LEFT(VLOOKUP($B161,'Round 1'!$F$2:$H$361,3,false),1)="b","W",if(LEFT(VLOOKUP($B161,'Round 1'!$F$2:$H$361,3,false),1)="a","L","")))</f>
        <v>L</v>
      </c>
      <c r="E161" s="67" t="str">
        <f>iferror(if(LEFT(VLOOKUP($B161,'Round 2'!$C$2:$J$361,8,false),1)="A","W",if(LEFT(VLOOKUP($B161,'Round 2'!$C$2:$J$361,8,false),1)="B","L","")),if(LEFT(VLOOKUP($B161,'Round 2'!$G$2:$J$361,4,false),1)="b","W",if(LEFT(VLOOKUP($B161,'Round 2'!$G$2:$J$361,4,false),1)="a","L","")))</f>
        <v>W</v>
      </c>
      <c r="F161" s="67" t="str">
        <f>iferror(if(LEFT(VLOOKUP($B161,'Round 3'!$B$2:$H$361,7,false),1)="A","W",if(LEFT(VLOOKUP($B161,'Round 3'!$B$2:$H$361,7,false),1)="B","L","")),if(LEFT(VLOOKUP($B161,'Round 3'!$F$2:$H$361,3,false),1)="b","W",if(LEFT(VLOOKUP($B161,'Round 3'!$F$2:$H$361,3,false),1)="a","L","")))</f>
        <v>W</v>
      </c>
      <c r="G161" s="67" t="str">
        <f>iferror(if(LEFT(VLOOKUP($B161,'Round 4'!$B$2:$H$361,7,false),1)="A","W",if(LEFT(VLOOKUP($B161,'Round 4'!$B$2:$H$361,7,false),1)="B","L","")),if(LEFT(VLOOKUP($B161,'Round 4'!$F$2:$H$361,3,false),1)="b","W",if(LEFT(VLOOKUP($B161,'Round 4'!$F$2:$H$361,3,false),1)="a","L","")))</f>
        <v>L</v>
      </c>
      <c r="H161" s="67" t="str">
        <f>iferror(if(LEFT(VLOOKUP($B161,'Round 5'!$B$2:$H$361,7,false),1)="A","W",if(LEFT(VLOOKUP($B161,'Round 5'!$B$2:$H$361,7,false),1)="B","L","")),if(LEFT(VLOOKUP($B161,'Round 5'!$F$2:$H$361,3,false),1)="b","W",if(LEFT(VLOOKUP($B161,'Round 5'!$F$2:$H$361,3,false),1)="a","L","")))</f>
        <v>L</v>
      </c>
      <c r="I161" s="67"/>
      <c r="J161" s="67" t="str">
        <f>iferror(iferror(if(LEFT(VLOOKUP($B161,'Round 7'!$B$2:$H$361,7,false),1)="A","W",if(LEFT(VLOOKUP($B161,'Round 7'!$B$2:$H$361,7,false),1)="B","L","")),if(LEFT(VLOOKUP($B161,'Round 7'!$F$2:$H$361,3,false),1)="b","W",if(LEFT(VLOOKUP($B161,'Round 7'!$F$2:$H$361,3,false),1)="a","L",""))),"")</f>
        <v/>
      </c>
      <c r="K161" s="68" t="str">
        <f>iferror(iferror(if(LEFT(VLOOKUP($B161,'Round 8'!$B$2:$H$361,7,false),1)="A","W",if(LEFT(VLOOKUP($B161,'Round 8'!$B$2:$H$361,7,false),1)="B","L","")),if(LEFT(VLOOKUP($B161,'Round 8'!$F$2:$H$361,3,false),1)="b","W",if(LEFT(VLOOKUP($B161,'Round 8'!$F$2:$H$361,3,false),1)="a","L",""))),"")</f>
        <v/>
      </c>
      <c r="L161" s="68" t="str">
        <f>iferror(iferror(if(LEFT(VLOOKUP($B161,'Round 9'!$B$2:$H$361,7,false),1)="A","W",if(LEFT(VLOOKUP($B161,'Round 9'!$B$2:$H$361,7,false),1)="B","L","")),if(LEFT(VLOOKUP($B161,'Round 9'!$F$2:$H$361,3,false),1)="b","W",if(LEFT(VLOOKUP($B161,'Round 9'!$F$2:$H$361,3,false),1)="a","L",""))),"")</f>
        <v/>
      </c>
      <c r="M161" s="68" t="str">
        <f>iferror(iferror(if(LEFT(VLOOKUP($B161,'Round 10'!$B$2:$H$362,7,false),1)="A","W",if(LEFT(VLOOKUP($B161,'Round 10'!$B$2:$H$362,7,false),1)="B","L","")),if(LEFT(VLOOKUP($B161,'Round 10'!$F$2:$H$362,3,false),1)="b","W",if(LEFT(VLOOKUP($B161,'Round 10'!$F$2:$H$362,3,false),1)="a","L",""))),"")</f>
        <v/>
      </c>
      <c r="N161" s="62" t="s">
        <v>395</v>
      </c>
    </row>
    <row r="162">
      <c r="A162" s="63">
        <v>161.0</v>
      </c>
      <c r="B162" s="64" t="s">
        <v>396</v>
      </c>
      <c r="C162" s="65" t="str">
        <f t="shared" si="1"/>
        <v>5 - 3</v>
      </c>
      <c r="D162" s="67" t="str">
        <f>iferror(if(LEFT(VLOOKUP($B162,'Round 1'!$B$2:$H$361,7,false),1)="A","W",if(LEFT(VLOOKUP($B162,'Round 1'!$B$2:$H$361,7,false),1)="B","L","")),if(LEFT(VLOOKUP($B162,'Round 1'!$F$2:$H$361,3,false),1)="b","W",if(LEFT(VLOOKUP($B162,'Round 1'!$F$2:$H$361,3,false),1)="a","L","")))</f>
        <v>W</v>
      </c>
      <c r="E162" s="67" t="str">
        <f>iferror(if(LEFT(VLOOKUP($B162,'Round 2'!$C$2:$J$361,8,false),1)="A","W",if(LEFT(VLOOKUP($B162,'Round 2'!$C$2:$J$361,8,false),1)="B","L","")),if(LEFT(VLOOKUP($B162,'Round 2'!$G$2:$J$361,4,false),1)="b","W",if(LEFT(VLOOKUP($B162,'Round 2'!$G$2:$J$361,4,false),1)="a","L","")))</f>
        <v>W</v>
      </c>
      <c r="F162" s="67" t="str">
        <f>iferror(if(LEFT(VLOOKUP($B162,'Round 3'!$B$2:$H$361,7,false),1)="A","W",if(LEFT(VLOOKUP($B162,'Round 3'!$B$2:$H$361,7,false),1)="B","L","")),if(LEFT(VLOOKUP($B162,'Round 3'!$F$2:$H$361,3,false),1)="b","W",if(LEFT(VLOOKUP($B162,'Round 3'!$F$2:$H$361,3,false),1)="a","L","")))</f>
        <v>L</v>
      </c>
      <c r="G162" s="67" t="str">
        <f>iferror(if(LEFT(VLOOKUP($B162,'Round 4'!$B$2:$H$361,7,false),1)="A","W",if(LEFT(VLOOKUP($B162,'Round 4'!$B$2:$H$361,7,false),1)="B","L","")),if(LEFT(VLOOKUP($B162,'Round 4'!$F$2:$H$361,3,false),1)="b","W",if(LEFT(VLOOKUP($B162,'Round 4'!$F$2:$H$361,3,false),1)="a","L","")))</f>
        <v>L</v>
      </c>
      <c r="H162" s="67" t="str">
        <f>iferror(if(LEFT(VLOOKUP($B162,'Round 5'!$B$2:$H$361,7,false),1)="A","W",if(LEFT(VLOOKUP($B162,'Round 5'!$B$2:$H$361,7,false),1)="B","L","")),if(LEFT(VLOOKUP($B162,'Round 5'!$F$2:$H$361,3,false),1)="b","W",if(LEFT(VLOOKUP($B162,'Round 5'!$F$2:$H$361,3,false),1)="a","L","")))</f>
        <v>W</v>
      </c>
      <c r="I162" s="67" t="str">
        <f>iferror(if(LEFT(VLOOKUP($B162,'Round 6'!$B$2:$H$361,7,false),1)="A","W",if(LEFT(VLOOKUP($B162,'Round 6'!$B$2:$H$361,7,false),1)="B","L","")),if(LEFT(VLOOKUP($B162,'Round 6'!$F$2:$H$361,3,false),1)="b","W",if(LEFT(VLOOKUP($B162,'Round 6'!$F$2:$H$361,3,false),1)="a","L","")))</f>
        <v>W</v>
      </c>
      <c r="J162" s="67" t="str">
        <f>iferror(iferror(if(LEFT(VLOOKUP($B162,'Round 7'!$B$2:$H$361,7,false),1)="A","W",if(LEFT(VLOOKUP($B162,'Round 7'!$B$2:$H$361,7,false),1)="B","L","")),if(LEFT(VLOOKUP($B162,'Round 7'!$F$2:$H$361,3,false),1)="b","W",if(LEFT(VLOOKUP($B162,'Round 7'!$F$2:$H$361,3,false),1)="a","L",""))),"")</f>
        <v>W</v>
      </c>
      <c r="K162" s="68" t="str">
        <f>iferror(iferror(if(LEFT(VLOOKUP($B162,'Round 8'!$B$2:$H$361,7,false),1)="A","W",if(LEFT(VLOOKUP($B162,'Round 8'!$B$2:$H$361,7,false),1)="B","L","")),if(LEFT(VLOOKUP($B162,'Round 8'!$F$2:$H$361,3,false),1)="b","W",if(LEFT(VLOOKUP($B162,'Round 8'!$F$2:$H$361,3,false),1)="a","L",""))),"")</f>
        <v>L</v>
      </c>
      <c r="L162" s="68" t="str">
        <f>iferror(iferror(if(LEFT(VLOOKUP($B162,'Round 9'!$B$2:$H$361,7,false),1)="A","W",if(LEFT(VLOOKUP($B162,'Round 9'!$B$2:$H$361,7,false),1)="B","L","")),if(LEFT(VLOOKUP($B162,'Round 9'!$F$2:$H$361,3,false),1)="b","W",if(LEFT(VLOOKUP($B162,'Round 9'!$F$2:$H$361,3,false),1)="a","L",""))),"")</f>
        <v/>
      </c>
      <c r="M162" s="68" t="str">
        <f>iferror(iferror(if(LEFT(VLOOKUP($B162,'Round 10'!$B$2:$H$362,7,false),1)="A","W",if(LEFT(VLOOKUP($B162,'Round 10'!$B$2:$H$362,7,false),1)="B","L","")),if(LEFT(VLOOKUP($B162,'Round 10'!$F$2:$H$362,3,false),1)="b","W",if(LEFT(VLOOKUP($B162,'Round 10'!$F$2:$H$362,3,false),1)="a","L",""))),"")</f>
        <v/>
      </c>
      <c r="N162" s="62" t="s">
        <v>397</v>
      </c>
    </row>
    <row r="163">
      <c r="A163" s="63">
        <v>162.0</v>
      </c>
      <c r="B163" s="64" t="s">
        <v>398</v>
      </c>
      <c r="C163" s="65" t="str">
        <f t="shared" si="1"/>
        <v>1 - 3</v>
      </c>
      <c r="D163" s="67" t="str">
        <f>iferror(if(LEFT(VLOOKUP($B163,'Round 1'!$B$2:$H$361,7,false),1)="A","W",if(LEFT(VLOOKUP($B163,'Round 1'!$B$2:$H$361,7,false),1)="B","L","")),if(LEFT(VLOOKUP($B163,'Round 1'!$F$2:$H$361,3,false),1)="b","W",if(LEFT(VLOOKUP($B163,'Round 1'!$F$2:$H$361,3,false),1)="a","L","")))</f>
        <v>L</v>
      </c>
      <c r="E163" s="67" t="str">
        <f>iferror(if(LEFT(VLOOKUP($B163,'Round 2'!$C$2:$J$361,8,false),1)="A","W",if(LEFT(VLOOKUP($B163,'Round 2'!$C$2:$J$361,8,false),1)="B","L","")),if(LEFT(VLOOKUP($B163,'Round 2'!$G$2:$J$361,4,false),1)="b","W",if(LEFT(VLOOKUP($B163,'Round 2'!$G$2:$J$361,4,false),1)="a","L","")))</f>
        <v>L</v>
      </c>
      <c r="F163" s="67" t="str">
        <f>iferror(if(LEFT(VLOOKUP($B163,'Round 3'!$B$2:$H$361,7,false),1)="A","W",if(LEFT(VLOOKUP($B163,'Round 3'!$B$2:$H$361,7,false),1)="B","L","")),if(LEFT(VLOOKUP($B163,'Round 3'!$F$2:$H$361,3,false),1)="b","W",if(LEFT(VLOOKUP($B163,'Round 3'!$F$2:$H$361,3,false),1)="a","L","")))</f>
        <v>W</v>
      </c>
      <c r="G163" s="67" t="str">
        <f>iferror(if(LEFT(VLOOKUP($B163,'Round 4'!$B$2:$H$361,7,false),1)="A","W",if(LEFT(VLOOKUP($B163,'Round 4'!$B$2:$H$361,7,false),1)="B","L","")),if(LEFT(VLOOKUP($B163,'Round 4'!$F$2:$H$361,3,false),1)="b","W",if(LEFT(VLOOKUP($B163,'Round 4'!$F$2:$H$361,3,false),1)="a","L","")))</f>
        <v>L</v>
      </c>
      <c r="H163" s="67"/>
      <c r="I163" s="67"/>
      <c r="J163" s="67" t="str">
        <f>iferror(iferror(if(LEFT(VLOOKUP($B163,'Round 7'!$B$2:$H$361,7,false),1)="A","W",if(LEFT(VLOOKUP($B163,'Round 7'!$B$2:$H$361,7,false),1)="B","L","")),if(LEFT(VLOOKUP($B163,'Round 7'!$F$2:$H$361,3,false),1)="b","W",if(LEFT(VLOOKUP($B163,'Round 7'!$F$2:$H$361,3,false),1)="a","L",""))),"")</f>
        <v/>
      </c>
      <c r="K163" s="68" t="str">
        <f>iferror(iferror(if(LEFT(VLOOKUP($B163,'Round 8'!$B$2:$H$361,7,false),1)="A","W",if(LEFT(VLOOKUP($B163,'Round 8'!$B$2:$H$361,7,false),1)="B","L","")),if(LEFT(VLOOKUP($B163,'Round 8'!$F$2:$H$361,3,false),1)="b","W",if(LEFT(VLOOKUP($B163,'Round 8'!$F$2:$H$361,3,false),1)="a","L",""))),"")</f>
        <v/>
      </c>
      <c r="L163" s="68" t="str">
        <f>iferror(iferror(if(LEFT(VLOOKUP($B163,'Round 9'!$B$2:$H$361,7,false),1)="A","W",if(LEFT(VLOOKUP($B163,'Round 9'!$B$2:$H$361,7,false),1)="B","L","")),if(LEFT(VLOOKUP($B163,'Round 9'!$F$2:$H$361,3,false),1)="b","W",if(LEFT(VLOOKUP($B163,'Round 9'!$F$2:$H$361,3,false),1)="a","L",""))),"")</f>
        <v/>
      </c>
      <c r="M163" s="68" t="str">
        <f>iferror(iferror(if(LEFT(VLOOKUP($B163,'Round 10'!$B$2:$H$362,7,false),1)="A","W",if(LEFT(VLOOKUP($B163,'Round 10'!$B$2:$H$362,7,false),1)="B","L","")),if(LEFT(VLOOKUP($B163,'Round 10'!$F$2:$H$362,3,false),1)="b","W",if(LEFT(VLOOKUP($B163,'Round 10'!$F$2:$H$362,3,false),1)="a","L",""))),"")</f>
        <v/>
      </c>
      <c r="N163" s="62" t="s">
        <v>399</v>
      </c>
    </row>
    <row r="164">
      <c r="A164" s="63">
        <v>163.0</v>
      </c>
      <c r="B164" s="64" t="s">
        <v>400</v>
      </c>
      <c r="C164" s="65" t="str">
        <f t="shared" si="1"/>
        <v>5 - 3</v>
      </c>
      <c r="D164" s="67" t="str">
        <f>iferror(if(LEFT(VLOOKUP($B164,'Round 1'!$B$2:$H$361,7,false),1)="A","W",if(LEFT(VLOOKUP($B164,'Round 1'!$B$2:$H$361,7,false),1)="B","L","")),if(LEFT(VLOOKUP($B164,'Round 1'!$F$2:$H$361,3,false),1)="b","W",if(LEFT(VLOOKUP($B164,'Round 1'!$F$2:$H$361,3,false),1)="a","L","")))</f>
        <v>L</v>
      </c>
      <c r="E164" s="67" t="str">
        <f>iferror(if(LEFT(VLOOKUP($B164,'Round 2'!$C$2:$J$361,8,false),1)="A","W",if(LEFT(VLOOKUP($B164,'Round 2'!$C$2:$J$361,8,false),1)="B","L","")),if(LEFT(VLOOKUP($B164,'Round 2'!$G$2:$J$361,4,false),1)="b","W",if(LEFT(VLOOKUP($B164,'Round 2'!$G$2:$J$361,4,false),1)="a","L","")))</f>
        <v>W</v>
      </c>
      <c r="F164" s="67" t="str">
        <f>iferror(if(LEFT(VLOOKUP($B164,'Round 3'!$B$2:$H$361,7,false),1)="A","W",if(LEFT(VLOOKUP($B164,'Round 3'!$B$2:$H$361,7,false),1)="B","L","")),if(LEFT(VLOOKUP($B164,'Round 3'!$F$2:$H$361,3,false),1)="b","W",if(LEFT(VLOOKUP($B164,'Round 3'!$F$2:$H$361,3,false),1)="a","L","")))</f>
        <v>W</v>
      </c>
      <c r="G164" s="67" t="str">
        <f>iferror(if(LEFT(VLOOKUP($B164,'Round 4'!$B$2:$H$361,7,false),1)="A","W",if(LEFT(VLOOKUP($B164,'Round 4'!$B$2:$H$361,7,false),1)="B","L","")),if(LEFT(VLOOKUP($B164,'Round 4'!$F$2:$H$361,3,false),1)="b","W",if(LEFT(VLOOKUP($B164,'Round 4'!$F$2:$H$361,3,false),1)="a","L","")))</f>
        <v>W</v>
      </c>
      <c r="H164" s="67" t="str">
        <f>iferror(if(LEFT(VLOOKUP($B164,'Round 5'!$B$2:$H$361,7,false),1)="A","W",if(LEFT(VLOOKUP($B164,'Round 5'!$B$2:$H$361,7,false),1)="B","L","")),if(LEFT(VLOOKUP($B164,'Round 5'!$F$2:$H$361,3,false),1)="b","W",if(LEFT(VLOOKUP($B164,'Round 5'!$F$2:$H$361,3,false),1)="a","L","")))</f>
        <v>W</v>
      </c>
      <c r="I164" s="67" t="str">
        <f>iferror(if(LEFT(VLOOKUP($B164,'Round 6'!$B$2:$H$361,7,false),1)="A","W",if(LEFT(VLOOKUP($B164,'Round 6'!$B$2:$H$361,7,false),1)="B","L","")),if(LEFT(VLOOKUP($B164,'Round 6'!$F$2:$H$361,3,false),1)="b","W",if(LEFT(VLOOKUP($B164,'Round 6'!$F$2:$H$361,3,false),1)="a","L","")))</f>
        <v>L</v>
      </c>
      <c r="J164" s="67" t="str">
        <f>iferror(iferror(if(LEFT(VLOOKUP($B164,'Round 7'!$B$2:$H$361,7,false),1)="A","W",if(LEFT(VLOOKUP($B164,'Round 7'!$B$2:$H$361,7,false),1)="B","L","")),if(LEFT(VLOOKUP($B164,'Round 7'!$F$2:$H$361,3,false),1)="b","W",if(LEFT(VLOOKUP($B164,'Round 7'!$F$2:$H$361,3,false),1)="a","L",""))),"")</f>
        <v>W</v>
      </c>
      <c r="K164" s="68" t="str">
        <f>iferror(iferror(if(LEFT(VLOOKUP($B164,'Round 8'!$B$2:$H$361,7,false),1)="A","W",if(LEFT(VLOOKUP($B164,'Round 8'!$B$2:$H$361,7,false),1)="B","L","")),if(LEFT(VLOOKUP($B164,'Round 8'!$F$2:$H$361,3,false),1)="b","W",if(LEFT(VLOOKUP($B164,'Round 8'!$F$2:$H$361,3,false),1)="a","L",""))),"")</f>
        <v>L</v>
      </c>
      <c r="L164" s="68" t="str">
        <f>iferror(iferror(if(LEFT(VLOOKUP($B164,'Round 9'!$B$2:$H$361,7,false),1)="A","W",if(LEFT(VLOOKUP($B164,'Round 9'!$B$2:$H$361,7,false),1)="B","L","")),if(LEFT(VLOOKUP($B164,'Round 9'!$F$2:$H$361,3,false),1)="b","W",if(LEFT(VLOOKUP($B164,'Round 9'!$F$2:$H$361,3,false),1)="a","L",""))),"")</f>
        <v/>
      </c>
      <c r="M164" s="68" t="str">
        <f>iferror(iferror(if(LEFT(VLOOKUP($B164,'Round 10'!$B$2:$H$362,7,false),1)="A","W",if(LEFT(VLOOKUP($B164,'Round 10'!$B$2:$H$362,7,false),1)="B","L","")),if(LEFT(VLOOKUP($B164,'Round 10'!$F$2:$H$362,3,false),1)="b","W",if(LEFT(VLOOKUP($B164,'Round 10'!$F$2:$H$362,3,false),1)="a","L",""))),"")</f>
        <v/>
      </c>
      <c r="N164" s="62" t="s">
        <v>401</v>
      </c>
    </row>
    <row r="165">
      <c r="A165" s="63">
        <v>164.0</v>
      </c>
      <c r="B165" s="64" t="s">
        <v>402</v>
      </c>
      <c r="C165" s="65" t="str">
        <f t="shared" si="1"/>
        <v>1 - 3</v>
      </c>
      <c r="D165" s="67" t="str">
        <f>iferror(if(LEFT(VLOOKUP($B165,'Round 1'!$B$2:$H$361,7,false),1)="A","W",if(LEFT(VLOOKUP($B165,'Round 1'!$B$2:$H$361,7,false),1)="B","L","")),if(LEFT(VLOOKUP($B165,'Round 1'!$F$2:$H$361,3,false),1)="b","W",if(LEFT(VLOOKUP($B165,'Round 1'!$F$2:$H$361,3,false),1)="a","L","")))</f>
        <v>L</v>
      </c>
      <c r="E165" s="67" t="str">
        <f>iferror(if(LEFT(VLOOKUP($B165,'Round 2'!$C$2:$J$361,8,false),1)="A","W",if(LEFT(VLOOKUP($B165,'Round 2'!$C$2:$J$361,8,false),1)="B","L","")),if(LEFT(VLOOKUP($B165,'Round 2'!$G$2:$J$361,4,false),1)="b","W",if(LEFT(VLOOKUP($B165,'Round 2'!$G$2:$J$361,4,false),1)="a","L","")))</f>
        <v>W</v>
      </c>
      <c r="F165" s="67" t="str">
        <f>iferror(if(LEFT(VLOOKUP($B165,'Round 3'!$B$2:$H$361,7,false),1)="A","W",if(LEFT(VLOOKUP($B165,'Round 3'!$B$2:$H$361,7,false),1)="B","L","")),if(LEFT(VLOOKUP($B165,'Round 3'!$F$2:$H$361,3,false),1)="b","W",if(LEFT(VLOOKUP($B165,'Round 3'!$F$2:$H$361,3,false),1)="a","L","")))</f>
        <v>L</v>
      </c>
      <c r="G165" s="67" t="str">
        <f>iferror(if(LEFT(VLOOKUP($B165,'Round 4'!$B$2:$H$361,7,false),1)="A","W",if(LEFT(VLOOKUP($B165,'Round 4'!$B$2:$H$361,7,false),1)="B","L","")),if(LEFT(VLOOKUP($B165,'Round 4'!$F$2:$H$361,3,false),1)="b","W",if(LEFT(VLOOKUP($B165,'Round 4'!$F$2:$H$361,3,false),1)="a","L","")))</f>
        <v>L</v>
      </c>
      <c r="H165" s="67"/>
      <c r="I165" s="67"/>
      <c r="J165" s="67" t="str">
        <f>iferror(iferror(if(LEFT(VLOOKUP($B165,'Round 7'!$B$2:$H$361,7,false),1)="A","W",if(LEFT(VLOOKUP($B165,'Round 7'!$B$2:$H$361,7,false),1)="B","L","")),if(LEFT(VLOOKUP($B165,'Round 7'!$F$2:$H$361,3,false),1)="b","W",if(LEFT(VLOOKUP($B165,'Round 7'!$F$2:$H$361,3,false),1)="a","L",""))),"")</f>
        <v/>
      </c>
      <c r="K165" s="68" t="str">
        <f>iferror(iferror(if(LEFT(VLOOKUP($B165,'Round 8'!$B$2:$H$361,7,false),1)="A","W",if(LEFT(VLOOKUP($B165,'Round 8'!$B$2:$H$361,7,false),1)="B","L","")),if(LEFT(VLOOKUP($B165,'Round 8'!$F$2:$H$361,3,false),1)="b","W",if(LEFT(VLOOKUP($B165,'Round 8'!$F$2:$H$361,3,false),1)="a","L",""))),"")</f>
        <v/>
      </c>
      <c r="L165" s="68" t="str">
        <f>iferror(iferror(if(LEFT(VLOOKUP($B165,'Round 9'!$B$2:$H$361,7,false),1)="A","W",if(LEFT(VLOOKUP($B165,'Round 9'!$B$2:$H$361,7,false),1)="B","L","")),if(LEFT(VLOOKUP($B165,'Round 9'!$F$2:$H$361,3,false),1)="b","W",if(LEFT(VLOOKUP($B165,'Round 9'!$F$2:$H$361,3,false),1)="a","L",""))),"")</f>
        <v/>
      </c>
      <c r="M165" s="68" t="str">
        <f>iferror(iferror(if(LEFT(VLOOKUP($B165,'Round 10'!$B$2:$H$362,7,false),1)="A","W",if(LEFT(VLOOKUP($B165,'Round 10'!$B$2:$H$362,7,false),1)="B","L","")),if(LEFT(VLOOKUP($B165,'Round 10'!$F$2:$H$362,3,false),1)="b","W",if(LEFT(VLOOKUP($B165,'Round 10'!$F$2:$H$362,3,false),1)="a","L",""))),"")</f>
        <v/>
      </c>
      <c r="N165" s="62" t="s">
        <v>144</v>
      </c>
    </row>
    <row r="166">
      <c r="A166" s="63">
        <v>165.0</v>
      </c>
      <c r="B166" s="64" t="s">
        <v>403</v>
      </c>
      <c r="C166" s="65" t="str">
        <f t="shared" si="1"/>
        <v>0 - 3</v>
      </c>
      <c r="D166" s="67" t="str">
        <f>iferror(if(LEFT(VLOOKUP($B166,'Round 1'!$B$2:$H$361,7,false),1)="A","W",if(LEFT(VLOOKUP($B166,'Round 1'!$B$2:$H$361,7,false),1)="B","L","")),if(LEFT(VLOOKUP($B166,'Round 1'!$F$2:$H$361,3,false),1)="b","W",if(LEFT(VLOOKUP($B166,'Round 1'!$F$2:$H$361,3,false),1)="a","L","")))</f>
        <v>L</v>
      </c>
      <c r="E166" s="67" t="str">
        <f>iferror(if(LEFT(VLOOKUP($B166,'Round 2'!$C$2:$J$361,8,false),1)="A","W",if(LEFT(VLOOKUP($B166,'Round 2'!$C$2:$J$361,8,false),1)="B","L","")),if(LEFT(VLOOKUP($B166,'Round 2'!$G$2:$J$361,4,false),1)="b","W",if(LEFT(VLOOKUP($B166,'Round 2'!$G$2:$J$361,4,false),1)="a","L","")))</f>
        <v>L</v>
      </c>
      <c r="F166" s="67" t="str">
        <f>iferror(if(LEFT(VLOOKUP($B166,'Round 3'!$B$2:$H$361,7,false),1)="A","W",if(LEFT(VLOOKUP($B166,'Round 3'!$B$2:$H$361,7,false),1)="B","L","")),if(LEFT(VLOOKUP($B166,'Round 3'!$F$2:$H$361,3,false),1)="b","W",if(LEFT(VLOOKUP($B166,'Round 3'!$F$2:$H$361,3,false),1)="a","L","")))</f>
        <v>L</v>
      </c>
      <c r="G166" s="67"/>
      <c r="H166" s="67"/>
      <c r="I166" s="67"/>
      <c r="J166" s="67" t="str">
        <f>iferror(iferror(if(LEFT(VLOOKUP($B166,'Round 7'!$B$2:$H$361,7,false),1)="A","W",if(LEFT(VLOOKUP($B166,'Round 7'!$B$2:$H$361,7,false),1)="B","L","")),if(LEFT(VLOOKUP($B166,'Round 7'!$F$2:$H$361,3,false),1)="b","W",if(LEFT(VLOOKUP($B166,'Round 7'!$F$2:$H$361,3,false),1)="a","L",""))),"")</f>
        <v/>
      </c>
      <c r="K166" s="68" t="str">
        <f>iferror(iferror(if(LEFT(VLOOKUP($B166,'Round 8'!$B$2:$H$361,7,false),1)="A","W",if(LEFT(VLOOKUP($B166,'Round 8'!$B$2:$H$361,7,false),1)="B","L","")),if(LEFT(VLOOKUP($B166,'Round 8'!$F$2:$H$361,3,false),1)="b","W",if(LEFT(VLOOKUP($B166,'Round 8'!$F$2:$H$361,3,false),1)="a","L",""))),"")</f>
        <v/>
      </c>
      <c r="L166" s="68" t="str">
        <f>iferror(iferror(if(LEFT(VLOOKUP($B166,'Round 9'!$B$2:$H$361,7,false),1)="A","W",if(LEFT(VLOOKUP($B166,'Round 9'!$B$2:$H$361,7,false),1)="B","L","")),if(LEFT(VLOOKUP($B166,'Round 9'!$F$2:$H$361,3,false),1)="b","W",if(LEFT(VLOOKUP($B166,'Round 9'!$F$2:$H$361,3,false),1)="a","L",""))),"")</f>
        <v/>
      </c>
      <c r="M166" s="68" t="str">
        <f>iferror(iferror(if(LEFT(VLOOKUP($B166,'Round 10'!$B$2:$H$362,7,false),1)="A","W",if(LEFT(VLOOKUP($B166,'Round 10'!$B$2:$H$362,7,false),1)="B","L","")),if(LEFT(VLOOKUP($B166,'Round 10'!$F$2:$H$362,3,false),1)="b","W",if(LEFT(VLOOKUP($B166,'Round 10'!$F$2:$H$362,3,false),1)="a","L",""))),"")</f>
        <v/>
      </c>
      <c r="N166" s="62" t="s">
        <v>404</v>
      </c>
    </row>
    <row r="167">
      <c r="A167" s="63">
        <v>166.0</v>
      </c>
      <c r="B167" s="64" t="s">
        <v>405</v>
      </c>
      <c r="C167" s="65" t="str">
        <f t="shared" si="1"/>
        <v>3 - 3</v>
      </c>
      <c r="D167" s="67" t="str">
        <f>iferror(if(LEFT(VLOOKUP($B167,'Round 1'!$B$2:$H$361,7,false),1)="A","W",if(LEFT(VLOOKUP($B167,'Round 1'!$B$2:$H$361,7,false),1)="B","L","")),if(LEFT(VLOOKUP($B167,'Round 1'!$F$2:$H$361,3,false),1)="b","W",if(LEFT(VLOOKUP($B167,'Round 1'!$F$2:$H$361,3,false),1)="a","L","")))</f>
        <v>W</v>
      </c>
      <c r="E167" s="67" t="str">
        <f>iferror(if(LEFT(VLOOKUP($B167,'Round 2'!$C$2:$J$361,8,false),1)="A","W",if(LEFT(VLOOKUP($B167,'Round 2'!$C$2:$J$361,8,false),1)="B","L","")),if(LEFT(VLOOKUP($B167,'Round 2'!$G$2:$J$361,4,false),1)="b","W",if(LEFT(VLOOKUP($B167,'Round 2'!$G$2:$J$361,4,false),1)="a","L","")))</f>
        <v>L</v>
      </c>
      <c r="F167" s="67" t="str">
        <f>iferror(if(LEFT(VLOOKUP($B167,'Round 3'!$B$2:$H$361,7,false),1)="A","W",if(LEFT(VLOOKUP($B167,'Round 3'!$B$2:$H$361,7,false),1)="B","L","")),if(LEFT(VLOOKUP($B167,'Round 3'!$F$2:$H$361,3,false),1)="b","W",if(LEFT(VLOOKUP($B167,'Round 3'!$F$2:$H$361,3,false),1)="a","L","")))</f>
        <v>W</v>
      </c>
      <c r="G167" s="67" t="str">
        <f>iferror(if(LEFT(VLOOKUP($B167,'Round 4'!$B$2:$H$361,7,false),1)="A","W",if(LEFT(VLOOKUP($B167,'Round 4'!$B$2:$H$361,7,false),1)="B","L","")),if(LEFT(VLOOKUP($B167,'Round 4'!$F$2:$H$361,3,false),1)="b","W",if(LEFT(VLOOKUP($B167,'Round 4'!$F$2:$H$361,3,false),1)="a","L","")))</f>
        <v>W</v>
      </c>
      <c r="H167" s="67" t="str">
        <f>iferror(if(LEFT(VLOOKUP($B167,'Round 5'!$B$2:$H$361,7,false),1)="A","W",if(LEFT(VLOOKUP($B167,'Round 5'!$B$2:$H$361,7,false),1)="B","L","")),if(LEFT(VLOOKUP($B167,'Round 5'!$F$2:$H$361,3,false),1)="b","W",if(LEFT(VLOOKUP($B167,'Round 5'!$F$2:$H$361,3,false),1)="a","L","")))</f>
        <v>L</v>
      </c>
      <c r="I167" s="67" t="str">
        <f>iferror(if(LEFT(VLOOKUP($B167,'Round 6'!$B$2:$H$361,7,false),1)="A","W",if(LEFT(VLOOKUP($B167,'Round 6'!$B$2:$H$361,7,false),1)="B","L","")),if(LEFT(VLOOKUP($B167,'Round 6'!$F$2:$H$361,3,false),1)="b","W",if(LEFT(VLOOKUP($B167,'Round 6'!$F$2:$H$361,3,false),1)="a","L","")))</f>
        <v>L</v>
      </c>
      <c r="J167" s="67" t="str">
        <f>iferror(iferror(if(LEFT(VLOOKUP($B167,'Round 7'!$B$2:$H$361,7,false),1)="A","W",if(LEFT(VLOOKUP($B167,'Round 7'!$B$2:$H$361,7,false),1)="B","L","")),if(LEFT(VLOOKUP($B167,'Round 7'!$F$2:$H$361,3,false),1)="b","W",if(LEFT(VLOOKUP($B167,'Round 7'!$F$2:$H$361,3,false),1)="a","L",""))),"")</f>
        <v/>
      </c>
      <c r="K167" s="68" t="str">
        <f>iferror(iferror(if(LEFT(VLOOKUP($B167,'Round 8'!$B$2:$H$361,7,false),1)="A","W",if(LEFT(VLOOKUP($B167,'Round 8'!$B$2:$H$361,7,false),1)="B","L","")),if(LEFT(VLOOKUP($B167,'Round 8'!$F$2:$H$361,3,false),1)="b","W",if(LEFT(VLOOKUP($B167,'Round 8'!$F$2:$H$361,3,false),1)="a","L",""))),"")</f>
        <v/>
      </c>
      <c r="L167" s="68" t="str">
        <f>iferror(iferror(if(LEFT(VLOOKUP($B167,'Round 9'!$B$2:$H$361,7,false),1)="A","W",if(LEFT(VLOOKUP($B167,'Round 9'!$B$2:$H$361,7,false),1)="B","L","")),if(LEFT(VLOOKUP($B167,'Round 9'!$F$2:$H$361,3,false),1)="b","W",if(LEFT(VLOOKUP($B167,'Round 9'!$F$2:$H$361,3,false),1)="a","L",""))),"")</f>
        <v/>
      </c>
      <c r="M167" s="68" t="str">
        <f>iferror(iferror(if(LEFT(VLOOKUP($B167,'Round 10'!$B$2:$H$362,7,false),1)="A","W",if(LEFT(VLOOKUP($B167,'Round 10'!$B$2:$H$362,7,false),1)="B","L","")),if(LEFT(VLOOKUP($B167,'Round 10'!$F$2:$H$362,3,false),1)="b","W",if(LEFT(VLOOKUP($B167,'Round 10'!$F$2:$H$362,3,false),1)="a","L",""))),"")</f>
        <v/>
      </c>
      <c r="N167" s="62" t="s">
        <v>406</v>
      </c>
    </row>
    <row r="168">
      <c r="A168" s="63">
        <v>167.0</v>
      </c>
      <c r="B168" s="64" t="s">
        <v>407</v>
      </c>
      <c r="C168" s="65" t="str">
        <f t="shared" si="1"/>
        <v>2 - 3</v>
      </c>
      <c r="D168" s="67" t="str">
        <f>iferror(if(LEFT(VLOOKUP($B168,'Round 1'!$B$2:$H$361,7,false),1)="A","W",if(LEFT(VLOOKUP($B168,'Round 1'!$B$2:$H$361,7,false),1)="B","L","")),if(LEFT(VLOOKUP($B168,'Round 1'!$F$2:$H$361,3,false),1)="b","W",if(LEFT(VLOOKUP($B168,'Round 1'!$F$2:$H$361,3,false),1)="a","L","")))</f>
        <v>L</v>
      </c>
      <c r="E168" s="67" t="str">
        <f>iferror(if(LEFT(VLOOKUP($B168,'Round 2'!$C$2:$J$361,8,false),1)="A","W",if(LEFT(VLOOKUP($B168,'Round 2'!$C$2:$J$361,8,false),1)="B","L","")),if(LEFT(VLOOKUP($B168,'Round 2'!$G$2:$J$361,4,false),1)="b","W",if(LEFT(VLOOKUP($B168,'Round 2'!$G$2:$J$361,4,false),1)="a","L","")))</f>
        <v>W</v>
      </c>
      <c r="F168" s="67" t="str">
        <f>iferror(if(LEFT(VLOOKUP($B168,'Round 3'!$B$2:$H$361,7,false),1)="A","W",if(LEFT(VLOOKUP($B168,'Round 3'!$B$2:$H$361,7,false),1)="B","L","")),if(LEFT(VLOOKUP($B168,'Round 3'!$F$2:$H$361,3,false),1)="b","W",if(LEFT(VLOOKUP($B168,'Round 3'!$F$2:$H$361,3,false),1)="a","L","")))</f>
        <v>W</v>
      </c>
      <c r="G168" s="67" t="str">
        <f>iferror(if(LEFT(VLOOKUP($B168,'Round 4'!$B$2:$H$361,7,false),1)="A","W",if(LEFT(VLOOKUP($B168,'Round 4'!$B$2:$H$361,7,false),1)="B","L","")),if(LEFT(VLOOKUP($B168,'Round 4'!$F$2:$H$361,3,false),1)="b","W",if(LEFT(VLOOKUP($B168,'Round 4'!$F$2:$H$361,3,false),1)="a","L","")))</f>
        <v>L</v>
      </c>
      <c r="H168" s="67" t="str">
        <f>iferror(if(LEFT(VLOOKUP($B168,'Round 5'!$B$2:$H$361,7,false),1)="A","W",if(LEFT(VLOOKUP($B168,'Round 5'!$B$2:$H$361,7,false),1)="B","L","")),if(LEFT(VLOOKUP($B168,'Round 5'!$F$2:$H$361,3,false),1)="b","W",if(LEFT(VLOOKUP($B168,'Round 5'!$F$2:$H$361,3,false),1)="a","L","")))</f>
        <v>L</v>
      </c>
      <c r="I168" s="67"/>
      <c r="J168" s="67" t="str">
        <f>iferror(iferror(if(LEFT(VLOOKUP($B168,'Round 7'!$B$2:$H$361,7,false),1)="A","W",if(LEFT(VLOOKUP($B168,'Round 7'!$B$2:$H$361,7,false),1)="B","L","")),if(LEFT(VLOOKUP($B168,'Round 7'!$F$2:$H$361,3,false),1)="b","W",if(LEFT(VLOOKUP($B168,'Round 7'!$F$2:$H$361,3,false),1)="a","L",""))),"")</f>
        <v/>
      </c>
      <c r="K168" s="68" t="str">
        <f>iferror(iferror(if(LEFT(VLOOKUP($B168,'Round 8'!$B$2:$H$361,7,false),1)="A","W",if(LEFT(VLOOKUP($B168,'Round 8'!$B$2:$H$361,7,false),1)="B","L","")),if(LEFT(VLOOKUP($B168,'Round 8'!$F$2:$H$361,3,false),1)="b","W",if(LEFT(VLOOKUP($B168,'Round 8'!$F$2:$H$361,3,false),1)="a","L",""))),"")</f>
        <v/>
      </c>
      <c r="L168" s="68" t="str">
        <f>iferror(iferror(if(LEFT(VLOOKUP($B168,'Round 9'!$B$2:$H$361,7,false),1)="A","W",if(LEFT(VLOOKUP($B168,'Round 9'!$B$2:$H$361,7,false),1)="B","L","")),if(LEFT(VLOOKUP($B168,'Round 9'!$F$2:$H$361,3,false),1)="b","W",if(LEFT(VLOOKUP($B168,'Round 9'!$F$2:$H$361,3,false),1)="a","L",""))),"")</f>
        <v/>
      </c>
      <c r="M168" s="68" t="str">
        <f>iferror(iferror(if(LEFT(VLOOKUP($B168,'Round 10'!$B$2:$H$362,7,false),1)="A","W",if(LEFT(VLOOKUP($B168,'Round 10'!$B$2:$H$362,7,false),1)="B","L","")),if(LEFT(VLOOKUP($B168,'Round 10'!$F$2:$H$362,3,false),1)="b","W",if(LEFT(VLOOKUP($B168,'Round 10'!$F$2:$H$362,3,false),1)="a","L",""))),"")</f>
        <v/>
      </c>
      <c r="N168" s="62" t="s">
        <v>408</v>
      </c>
    </row>
    <row r="169">
      <c r="A169" s="63">
        <v>168.0</v>
      </c>
      <c r="B169" s="64" t="s">
        <v>409</v>
      </c>
      <c r="C169" s="65" t="str">
        <f t="shared" si="1"/>
        <v>2 - 3</v>
      </c>
      <c r="D169" s="67" t="str">
        <f>iferror(if(LEFT(VLOOKUP($B169,'Round 1'!$B$2:$H$361,7,false),1)="A","W",if(LEFT(VLOOKUP($B169,'Round 1'!$B$2:$H$361,7,false),1)="B","L","")),if(LEFT(VLOOKUP($B169,'Round 1'!$F$2:$H$361,3,false),1)="b","W",if(LEFT(VLOOKUP($B169,'Round 1'!$F$2:$H$361,3,false),1)="a","L","")))</f>
        <v>W</v>
      </c>
      <c r="E169" s="67" t="str">
        <f>iferror(if(LEFT(VLOOKUP($B169,'Round 2'!$C$2:$J$361,8,false),1)="A","W",if(LEFT(VLOOKUP($B169,'Round 2'!$C$2:$J$361,8,false),1)="B","L","")),if(LEFT(VLOOKUP($B169,'Round 2'!$G$2:$J$361,4,false),1)="b","W",if(LEFT(VLOOKUP($B169,'Round 2'!$G$2:$J$361,4,false),1)="a","L","")))</f>
        <v>W</v>
      </c>
      <c r="F169" s="67" t="str">
        <f>iferror(if(LEFT(VLOOKUP($B169,'Round 3'!$B$2:$H$361,7,false),1)="A","W",if(LEFT(VLOOKUP($B169,'Round 3'!$B$2:$H$361,7,false),1)="B","L","")),if(LEFT(VLOOKUP($B169,'Round 3'!$F$2:$H$361,3,false),1)="b","W",if(LEFT(VLOOKUP($B169,'Round 3'!$F$2:$H$361,3,false),1)="a","L","")))</f>
        <v>L</v>
      </c>
      <c r="G169" s="67" t="str">
        <f>iferror(if(LEFT(VLOOKUP($B169,'Round 4'!$B$2:$H$361,7,false),1)="A","W",if(LEFT(VLOOKUP($B169,'Round 4'!$B$2:$H$361,7,false),1)="B","L","")),if(LEFT(VLOOKUP($B169,'Round 4'!$F$2:$H$361,3,false),1)="b","W",if(LEFT(VLOOKUP($B169,'Round 4'!$F$2:$H$361,3,false),1)="a","L","")))</f>
        <v>L</v>
      </c>
      <c r="H169" s="67" t="str">
        <f>iferror(if(LEFT(VLOOKUP($B169,'Round 5'!$B$2:$H$361,7,false),1)="A","W",if(LEFT(VLOOKUP($B169,'Round 5'!$B$2:$H$361,7,false),1)="B","L","")),if(LEFT(VLOOKUP($B169,'Round 5'!$F$2:$H$361,3,false),1)="b","W",if(LEFT(VLOOKUP($B169,'Round 5'!$F$2:$H$361,3,false),1)="a","L","")))</f>
        <v>L</v>
      </c>
      <c r="I169" s="67"/>
      <c r="J169" s="67" t="str">
        <f>iferror(iferror(if(LEFT(VLOOKUP($B169,'Round 7'!$B$2:$H$361,7,false),1)="A","W",if(LEFT(VLOOKUP($B169,'Round 7'!$B$2:$H$361,7,false),1)="B","L","")),if(LEFT(VLOOKUP($B169,'Round 7'!$F$2:$H$361,3,false),1)="b","W",if(LEFT(VLOOKUP($B169,'Round 7'!$F$2:$H$361,3,false),1)="a","L",""))),"")</f>
        <v/>
      </c>
      <c r="K169" s="68" t="str">
        <f>iferror(iferror(if(LEFT(VLOOKUP($B169,'Round 8'!$B$2:$H$361,7,false),1)="A","W",if(LEFT(VLOOKUP($B169,'Round 8'!$B$2:$H$361,7,false),1)="B","L","")),if(LEFT(VLOOKUP($B169,'Round 8'!$F$2:$H$361,3,false),1)="b","W",if(LEFT(VLOOKUP($B169,'Round 8'!$F$2:$H$361,3,false),1)="a","L",""))),"")</f>
        <v/>
      </c>
      <c r="L169" s="68" t="str">
        <f>iferror(iferror(if(LEFT(VLOOKUP($B169,'Round 9'!$B$2:$H$361,7,false),1)="A","W",if(LEFT(VLOOKUP($B169,'Round 9'!$B$2:$H$361,7,false),1)="B","L","")),if(LEFT(VLOOKUP($B169,'Round 9'!$F$2:$H$361,3,false),1)="b","W",if(LEFT(VLOOKUP($B169,'Round 9'!$F$2:$H$361,3,false),1)="a","L",""))),"")</f>
        <v/>
      </c>
      <c r="M169" s="68" t="str">
        <f>iferror(iferror(if(LEFT(VLOOKUP($B169,'Round 10'!$B$2:$H$362,7,false),1)="A","W",if(LEFT(VLOOKUP($B169,'Round 10'!$B$2:$H$362,7,false),1)="B","L","")),if(LEFT(VLOOKUP($B169,'Round 10'!$F$2:$H$362,3,false),1)="b","W",if(LEFT(VLOOKUP($B169,'Round 10'!$F$2:$H$362,3,false),1)="a","L",""))),"")</f>
        <v/>
      </c>
      <c r="N169" s="62" t="s">
        <v>410</v>
      </c>
    </row>
    <row r="170">
      <c r="A170" s="63">
        <v>169.0</v>
      </c>
      <c r="B170" s="64" t="s">
        <v>411</v>
      </c>
      <c r="C170" s="65" t="str">
        <f t="shared" si="1"/>
        <v>4 - 3</v>
      </c>
      <c r="D170" s="67" t="str">
        <f>iferror(if(LEFT(VLOOKUP($B170,'Round 1'!$B$2:$H$361,7,false),1)="A","W",if(LEFT(VLOOKUP($B170,'Round 1'!$B$2:$H$361,7,false),1)="B","L","")),if(LEFT(VLOOKUP($B170,'Round 1'!$F$2:$H$361,3,false),1)="b","W",if(LEFT(VLOOKUP($B170,'Round 1'!$F$2:$H$361,3,false),1)="a","L","")))</f>
        <v>L</v>
      </c>
      <c r="E170" s="67" t="str">
        <f>iferror(if(LEFT(VLOOKUP($B170,'Round 2'!$C$2:$J$361,8,false),1)="A","W",if(LEFT(VLOOKUP($B170,'Round 2'!$C$2:$J$361,8,false),1)="B","L","")),if(LEFT(VLOOKUP($B170,'Round 2'!$G$2:$J$361,4,false),1)="b","W",if(LEFT(VLOOKUP($B170,'Round 2'!$G$2:$J$361,4,false),1)="a","L","")))</f>
        <v>W</v>
      </c>
      <c r="F170" s="67" t="str">
        <f>iferror(if(LEFT(VLOOKUP($B170,'Round 3'!$B$2:$H$361,7,false),1)="A","W",if(LEFT(VLOOKUP($B170,'Round 3'!$B$2:$H$361,7,false),1)="B","L","")),if(LEFT(VLOOKUP($B170,'Round 3'!$F$2:$H$361,3,false),1)="b","W",if(LEFT(VLOOKUP($B170,'Round 3'!$F$2:$H$361,3,false),1)="a","L","")))</f>
        <v>W</v>
      </c>
      <c r="G170" s="67" t="str">
        <f>iferror(if(LEFT(VLOOKUP($B170,'Round 4'!$B$2:$H$361,7,false),1)="A","W",if(LEFT(VLOOKUP($B170,'Round 4'!$B$2:$H$361,7,false),1)="B","L","")),if(LEFT(VLOOKUP($B170,'Round 4'!$F$2:$H$361,3,false),1)="b","W",if(LEFT(VLOOKUP($B170,'Round 4'!$F$2:$H$361,3,false),1)="a","L","")))</f>
        <v>W</v>
      </c>
      <c r="H170" s="67" t="str">
        <f>iferror(if(LEFT(VLOOKUP($B170,'Round 5'!$B$2:$H$361,7,false),1)="A","W",if(LEFT(VLOOKUP($B170,'Round 5'!$B$2:$H$361,7,false),1)="B","L","")),if(LEFT(VLOOKUP($B170,'Round 5'!$F$2:$H$361,3,false),1)="b","W",if(LEFT(VLOOKUP($B170,'Round 5'!$F$2:$H$361,3,false),1)="a","L","")))</f>
        <v>L</v>
      </c>
      <c r="I170" s="67" t="str">
        <f>iferror(if(LEFT(VLOOKUP($B170,'Round 6'!$B$2:$H$361,7,false),1)="A","W",if(LEFT(VLOOKUP($B170,'Round 6'!$B$2:$H$361,7,false),1)="B","L","")),if(LEFT(VLOOKUP($B170,'Round 6'!$F$2:$H$361,3,false),1)="b","W",if(LEFT(VLOOKUP($B170,'Round 6'!$F$2:$H$361,3,false),1)="a","L","")))</f>
        <v>W</v>
      </c>
      <c r="J170" s="67" t="str">
        <f>iferror(iferror(if(LEFT(VLOOKUP($B170,'Round 7'!$B$2:$H$361,7,false),1)="A","W",if(LEFT(VLOOKUP($B170,'Round 7'!$B$2:$H$361,7,false),1)="B","L","")),if(LEFT(VLOOKUP($B170,'Round 7'!$F$2:$H$361,3,false),1)="b","W",if(LEFT(VLOOKUP($B170,'Round 7'!$F$2:$H$361,3,false),1)="a","L",""))),"")</f>
        <v>L</v>
      </c>
      <c r="K170" s="68" t="str">
        <f>iferror(iferror(if(LEFT(VLOOKUP($B170,'Round 8'!$B$2:$H$361,7,false),1)="A","W",if(LEFT(VLOOKUP($B170,'Round 8'!$B$2:$H$361,7,false),1)="B","L","")),if(LEFT(VLOOKUP($B170,'Round 8'!$F$2:$H$361,3,false),1)="b","W",if(LEFT(VLOOKUP($B170,'Round 8'!$F$2:$H$361,3,false),1)="a","L",""))),"")</f>
        <v/>
      </c>
      <c r="L170" s="68" t="str">
        <f>iferror(iferror(if(LEFT(VLOOKUP($B170,'Round 9'!$B$2:$H$361,7,false),1)="A","W",if(LEFT(VLOOKUP($B170,'Round 9'!$B$2:$H$361,7,false),1)="B","L","")),if(LEFT(VLOOKUP($B170,'Round 9'!$F$2:$H$361,3,false),1)="b","W",if(LEFT(VLOOKUP($B170,'Round 9'!$F$2:$H$361,3,false),1)="a","L",""))),"")</f>
        <v/>
      </c>
      <c r="M170" s="68" t="str">
        <f>iferror(iferror(if(LEFT(VLOOKUP($B170,'Round 10'!$B$2:$H$362,7,false),1)="A","W",if(LEFT(VLOOKUP($B170,'Round 10'!$B$2:$H$362,7,false),1)="B","L","")),if(LEFT(VLOOKUP($B170,'Round 10'!$F$2:$H$362,3,false),1)="b","W",if(LEFT(VLOOKUP($B170,'Round 10'!$F$2:$H$362,3,false),1)="a","L",""))),"")</f>
        <v/>
      </c>
      <c r="N170" s="62" t="s">
        <v>412</v>
      </c>
    </row>
    <row r="171">
      <c r="A171" s="63">
        <v>170.0</v>
      </c>
      <c r="B171" s="64" t="s">
        <v>413</v>
      </c>
      <c r="C171" s="65" t="str">
        <f t="shared" si="1"/>
        <v>0 - 3</v>
      </c>
      <c r="D171" s="67" t="str">
        <f>iferror(if(LEFT(VLOOKUP($B171,'Round 1'!$B$2:$H$361,7,false),1)="A","W",if(LEFT(VLOOKUP($B171,'Round 1'!$B$2:$H$361,7,false),1)="B","L","")),if(LEFT(VLOOKUP($B171,'Round 1'!$F$2:$H$361,3,false),1)="b","W",if(LEFT(VLOOKUP($B171,'Round 1'!$F$2:$H$361,3,false),1)="a","L","")))</f>
        <v>L</v>
      </c>
      <c r="E171" s="67" t="str">
        <f>iferror(if(LEFT(VLOOKUP($B171,'Round 2'!$C$2:$J$361,8,false),1)="A","W",if(LEFT(VLOOKUP($B171,'Round 2'!$C$2:$J$361,8,false),1)="B","L","")),if(LEFT(VLOOKUP($B171,'Round 2'!$G$2:$J$361,4,false),1)="b","W",if(LEFT(VLOOKUP($B171,'Round 2'!$G$2:$J$361,4,false),1)="a","L","")))</f>
        <v>L</v>
      </c>
      <c r="F171" s="67" t="str">
        <f>iferror(if(LEFT(VLOOKUP($B171,'Round 3'!$B$2:$H$361,7,false),1)="A","W",if(LEFT(VLOOKUP($B171,'Round 3'!$B$2:$H$361,7,false),1)="B","L","")),if(LEFT(VLOOKUP($B171,'Round 3'!$F$2:$H$361,3,false),1)="b","W",if(LEFT(VLOOKUP($B171,'Round 3'!$F$2:$H$361,3,false),1)="a","L","")))</f>
        <v>L</v>
      </c>
      <c r="G171" s="67"/>
      <c r="H171" s="67"/>
      <c r="I171" s="67"/>
      <c r="J171" s="67" t="str">
        <f>iferror(iferror(if(LEFT(VLOOKUP($B171,'Round 7'!$B$2:$H$361,7,false),1)="A","W",if(LEFT(VLOOKUP($B171,'Round 7'!$B$2:$H$361,7,false),1)="B","L","")),if(LEFT(VLOOKUP($B171,'Round 7'!$F$2:$H$361,3,false),1)="b","W",if(LEFT(VLOOKUP($B171,'Round 7'!$F$2:$H$361,3,false),1)="a","L",""))),"")</f>
        <v/>
      </c>
      <c r="K171" s="68" t="str">
        <f>iferror(iferror(if(LEFT(VLOOKUP($B171,'Round 8'!$B$2:$H$361,7,false),1)="A","W",if(LEFT(VLOOKUP($B171,'Round 8'!$B$2:$H$361,7,false),1)="B","L","")),if(LEFT(VLOOKUP($B171,'Round 8'!$F$2:$H$361,3,false),1)="b","W",if(LEFT(VLOOKUP($B171,'Round 8'!$F$2:$H$361,3,false),1)="a","L",""))),"")</f>
        <v/>
      </c>
      <c r="L171" s="68" t="str">
        <f>iferror(iferror(if(LEFT(VLOOKUP($B171,'Round 9'!$B$2:$H$361,7,false),1)="A","W",if(LEFT(VLOOKUP($B171,'Round 9'!$B$2:$H$361,7,false),1)="B","L","")),if(LEFT(VLOOKUP($B171,'Round 9'!$F$2:$H$361,3,false),1)="b","W",if(LEFT(VLOOKUP($B171,'Round 9'!$F$2:$H$361,3,false),1)="a","L",""))),"")</f>
        <v/>
      </c>
      <c r="M171" s="68" t="str">
        <f>iferror(iferror(if(LEFT(VLOOKUP($B171,'Round 10'!$B$2:$H$362,7,false),1)="A","W",if(LEFT(VLOOKUP($B171,'Round 10'!$B$2:$H$362,7,false),1)="B","L","")),if(LEFT(VLOOKUP($B171,'Round 10'!$F$2:$H$362,3,false),1)="b","W",if(LEFT(VLOOKUP($B171,'Round 10'!$F$2:$H$362,3,false),1)="a","L",""))),"")</f>
        <v/>
      </c>
      <c r="N171" s="62" t="s">
        <v>414</v>
      </c>
    </row>
    <row r="172">
      <c r="A172" s="63">
        <v>171.0</v>
      </c>
      <c r="B172" s="64" t="s">
        <v>415</v>
      </c>
      <c r="C172" s="65" t="str">
        <f t="shared" si="1"/>
        <v>5 - 3</v>
      </c>
      <c r="D172" s="67" t="str">
        <f>iferror(if(LEFT(VLOOKUP($B172,'Round 1'!$B$2:$H$361,7,false),1)="A","W",if(LEFT(VLOOKUP($B172,'Round 1'!$B$2:$H$361,7,false),1)="B","L","")),if(LEFT(VLOOKUP($B172,'Round 1'!$F$2:$H$361,3,false),1)="b","W",if(LEFT(VLOOKUP($B172,'Round 1'!$F$2:$H$361,3,false),1)="a","L","")))</f>
        <v>W</v>
      </c>
      <c r="E172" s="67" t="str">
        <f>iferror(if(LEFT(VLOOKUP($B172,'Round 2'!$C$2:$J$361,8,false),1)="A","W",if(LEFT(VLOOKUP($B172,'Round 2'!$C$2:$J$361,8,false),1)="B","L","")),if(LEFT(VLOOKUP($B172,'Round 2'!$G$2:$J$361,4,false),1)="b","W",if(LEFT(VLOOKUP($B172,'Round 2'!$G$2:$J$361,4,false),1)="a","L","")))</f>
        <v>W</v>
      </c>
      <c r="F172" s="67" t="str">
        <f>iferror(if(LEFT(VLOOKUP($B172,'Round 3'!$B$2:$H$361,7,false),1)="A","W",if(LEFT(VLOOKUP($B172,'Round 3'!$B$2:$H$361,7,false),1)="B","L","")),if(LEFT(VLOOKUP($B172,'Round 3'!$F$2:$H$361,3,false),1)="b","W",if(LEFT(VLOOKUP($B172,'Round 3'!$F$2:$H$361,3,false),1)="a","L","")))</f>
        <v>L</v>
      </c>
      <c r="G172" s="67" t="str">
        <f>iferror(if(LEFT(VLOOKUP($B172,'Round 4'!$B$2:$H$361,7,false),1)="A","W",if(LEFT(VLOOKUP($B172,'Round 4'!$B$2:$H$361,7,false),1)="B","L","")),if(LEFT(VLOOKUP($B172,'Round 4'!$F$2:$H$361,3,false),1)="b","W",if(LEFT(VLOOKUP($B172,'Round 4'!$F$2:$H$361,3,false),1)="a","L","")))</f>
        <v>W</v>
      </c>
      <c r="H172" s="67" t="str">
        <f>iferror(if(LEFT(VLOOKUP($B172,'Round 5'!$B$2:$H$361,7,false),1)="A","W",if(LEFT(VLOOKUP($B172,'Round 5'!$B$2:$H$361,7,false),1)="B","L","")),if(LEFT(VLOOKUP($B172,'Round 5'!$F$2:$H$361,3,false),1)="b","W",if(LEFT(VLOOKUP($B172,'Round 5'!$F$2:$H$361,3,false),1)="a","L","")))</f>
        <v>W</v>
      </c>
      <c r="I172" s="67" t="str">
        <f>iferror(if(LEFT(VLOOKUP($B172,'Round 6'!$B$2:$H$361,7,false),1)="A","W",if(LEFT(VLOOKUP($B172,'Round 6'!$B$2:$H$361,7,false),1)="B","L","")),if(LEFT(VLOOKUP($B172,'Round 6'!$F$2:$H$361,3,false),1)="b","W",if(LEFT(VLOOKUP($B172,'Round 6'!$F$2:$H$361,3,false),1)="a","L","")))</f>
        <v>L</v>
      </c>
      <c r="J172" s="67" t="str">
        <f>iferror(iferror(if(LEFT(VLOOKUP($B172,'Round 7'!$B$2:$H$361,7,false),1)="A","W",if(LEFT(VLOOKUP($B172,'Round 7'!$B$2:$H$361,7,false),1)="B","L","")),if(LEFT(VLOOKUP($B172,'Round 7'!$F$2:$H$361,3,false),1)="b","W",if(LEFT(VLOOKUP($B172,'Round 7'!$F$2:$H$361,3,false),1)="a","L",""))),"")</f>
        <v>W</v>
      </c>
      <c r="K172" s="68" t="str">
        <f>iferror(iferror(if(LEFT(VLOOKUP($B172,'Round 8'!$B$2:$H$361,7,false),1)="A","W",if(LEFT(VLOOKUP($B172,'Round 8'!$B$2:$H$361,7,false),1)="B","L","")),if(LEFT(VLOOKUP($B172,'Round 8'!$F$2:$H$361,3,false),1)="b","W",if(LEFT(VLOOKUP($B172,'Round 8'!$F$2:$H$361,3,false),1)="a","L",""))),"")</f>
        <v>L</v>
      </c>
      <c r="L172" s="68" t="str">
        <f>iferror(iferror(if(LEFT(VLOOKUP($B172,'Round 9'!$B$2:$H$361,7,false),1)="A","W",if(LEFT(VLOOKUP($B172,'Round 9'!$B$2:$H$361,7,false),1)="B","L","")),if(LEFT(VLOOKUP($B172,'Round 9'!$F$2:$H$361,3,false),1)="b","W",if(LEFT(VLOOKUP($B172,'Round 9'!$F$2:$H$361,3,false),1)="a","L",""))),"")</f>
        <v/>
      </c>
      <c r="M172" s="68" t="str">
        <f>iferror(iferror(if(LEFT(VLOOKUP($B172,'Round 10'!$B$2:$H$362,7,false),1)="A","W",if(LEFT(VLOOKUP($B172,'Round 10'!$B$2:$H$362,7,false),1)="B","L","")),if(LEFT(VLOOKUP($B172,'Round 10'!$F$2:$H$362,3,false),1)="b","W",if(LEFT(VLOOKUP($B172,'Round 10'!$F$2:$H$362,3,false),1)="a","L",""))),"")</f>
        <v/>
      </c>
      <c r="N172" s="62" t="s">
        <v>416</v>
      </c>
    </row>
    <row r="173">
      <c r="A173" s="63">
        <v>172.0</v>
      </c>
      <c r="B173" s="64" t="s">
        <v>417</v>
      </c>
      <c r="C173" s="65" t="str">
        <f t="shared" si="1"/>
        <v>4 - 3</v>
      </c>
      <c r="D173" s="67" t="str">
        <f>iferror(if(LEFT(VLOOKUP($B173,'Round 1'!$B$2:$H$361,7,false),1)="A","W",if(LEFT(VLOOKUP($B173,'Round 1'!$B$2:$H$361,7,false),1)="B","L","")),if(LEFT(VLOOKUP($B173,'Round 1'!$F$2:$H$361,3,false),1)="b","W",if(LEFT(VLOOKUP($B173,'Round 1'!$F$2:$H$361,3,false),1)="a","L","")))</f>
        <v>W</v>
      </c>
      <c r="E173" s="67" t="str">
        <f>iferror(if(LEFT(VLOOKUP($B173,'Round 2'!$C$2:$J$361,8,false),1)="A","W",if(LEFT(VLOOKUP($B173,'Round 2'!$C$2:$J$361,8,false),1)="B","L","")),if(LEFT(VLOOKUP($B173,'Round 2'!$G$2:$J$361,4,false),1)="b","W",if(LEFT(VLOOKUP($B173,'Round 2'!$G$2:$J$361,4,false),1)="a","L","")))</f>
        <v>W</v>
      </c>
      <c r="F173" s="67" t="str">
        <f>iferror(if(LEFT(VLOOKUP($B173,'Round 3'!$B$2:$H$361,7,false),1)="A","W",if(LEFT(VLOOKUP($B173,'Round 3'!$B$2:$H$361,7,false),1)="B","L","")),if(LEFT(VLOOKUP($B173,'Round 3'!$F$2:$H$361,3,false),1)="b","W",if(LEFT(VLOOKUP($B173,'Round 3'!$F$2:$H$361,3,false),1)="a","L","")))</f>
        <v>L</v>
      </c>
      <c r="G173" s="67" t="str">
        <f>iferror(if(LEFT(VLOOKUP($B173,'Round 4'!$B$2:$H$361,7,false),1)="A","W",if(LEFT(VLOOKUP($B173,'Round 4'!$B$2:$H$361,7,false),1)="B","L","")),if(LEFT(VLOOKUP($B173,'Round 4'!$F$2:$H$361,3,false),1)="b","W",if(LEFT(VLOOKUP($B173,'Round 4'!$F$2:$H$361,3,false),1)="a","L","")))</f>
        <v>L</v>
      </c>
      <c r="H173" s="67" t="str">
        <f>iferror(if(LEFT(VLOOKUP($B173,'Round 5'!$B$2:$H$361,7,false),1)="A","W",if(LEFT(VLOOKUP($B173,'Round 5'!$B$2:$H$361,7,false),1)="B","L","")),if(LEFT(VLOOKUP($B173,'Round 5'!$F$2:$H$361,3,false),1)="b","W",if(LEFT(VLOOKUP($B173,'Round 5'!$F$2:$H$361,3,false),1)="a","L","")))</f>
        <v>W</v>
      </c>
      <c r="I173" s="67" t="str">
        <f>iferror(if(LEFT(VLOOKUP($B173,'Round 6'!$B$2:$H$361,7,false),1)="A","W",if(LEFT(VLOOKUP($B173,'Round 6'!$B$2:$H$361,7,false),1)="B","L","")),if(LEFT(VLOOKUP($B173,'Round 6'!$F$2:$H$361,3,false),1)="b","W",if(LEFT(VLOOKUP($B173,'Round 6'!$F$2:$H$361,3,false),1)="a","L","")))</f>
        <v>W</v>
      </c>
      <c r="J173" s="67" t="str">
        <f>iferror(iferror(if(LEFT(VLOOKUP($B173,'Round 7'!$B$2:$H$361,7,false),1)="A","W",if(LEFT(VLOOKUP($B173,'Round 7'!$B$2:$H$361,7,false),1)="B","L","")),if(LEFT(VLOOKUP($B173,'Round 7'!$F$2:$H$361,3,false),1)="b","W",if(LEFT(VLOOKUP($B173,'Round 7'!$F$2:$H$361,3,false),1)="a","L",""))),"")</f>
        <v>L</v>
      </c>
      <c r="K173" s="68" t="str">
        <f>iferror(iferror(if(LEFT(VLOOKUP($B173,'Round 8'!$B$2:$H$361,7,false),1)="A","W",if(LEFT(VLOOKUP($B173,'Round 8'!$B$2:$H$361,7,false),1)="B","L","")),if(LEFT(VLOOKUP($B173,'Round 8'!$F$2:$H$361,3,false),1)="b","W",if(LEFT(VLOOKUP($B173,'Round 8'!$F$2:$H$361,3,false),1)="a","L",""))),"")</f>
        <v/>
      </c>
      <c r="L173" s="68" t="str">
        <f>iferror(iferror(if(LEFT(VLOOKUP($B173,'Round 9'!$B$2:$H$361,7,false),1)="A","W",if(LEFT(VLOOKUP($B173,'Round 9'!$B$2:$H$361,7,false),1)="B","L","")),if(LEFT(VLOOKUP($B173,'Round 9'!$F$2:$H$361,3,false),1)="b","W",if(LEFT(VLOOKUP($B173,'Round 9'!$F$2:$H$361,3,false),1)="a","L",""))),"")</f>
        <v/>
      </c>
      <c r="M173" s="68" t="str">
        <f>iferror(iferror(if(LEFT(VLOOKUP($B173,'Round 10'!$B$2:$H$362,7,false),1)="A","W",if(LEFT(VLOOKUP($B173,'Round 10'!$B$2:$H$362,7,false),1)="B","L","")),if(LEFT(VLOOKUP($B173,'Round 10'!$F$2:$H$362,3,false),1)="b","W",if(LEFT(VLOOKUP($B173,'Round 10'!$F$2:$H$362,3,false),1)="a","L",""))),"")</f>
        <v/>
      </c>
      <c r="N173" s="62" t="s">
        <v>418</v>
      </c>
    </row>
    <row r="174">
      <c r="A174" s="63">
        <v>173.0</v>
      </c>
      <c r="B174" s="64" t="s">
        <v>419</v>
      </c>
      <c r="C174" s="65" t="str">
        <f t="shared" si="1"/>
        <v>1 - 3</v>
      </c>
      <c r="D174" s="67" t="str">
        <f>iferror(if(LEFT(VLOOKUP($B174,'Round 1'!$B$2:$H$361,7,false),1)="A","W",if(LEFT(VLOOKUP($B174,'Round 1'!$B$2:$H$361,7,false),1)="B","L","")),if(LEFT(VLOOKUP($B174,'Round 1'!$F$2:$H$361,3,false),1)="b","W",if(LEFT(VLOOKUP($B174,'Round 1'!$F$2:$H$361,3,false),1)="a","L","")))</f>
        <v>W</v>
      </c>
      <c r="E174" s="67" t="str">
        <f>iferror(if(LEFT(VLOOKUP($B174,'Round 2'!$C$2:$J$361,8,false),1)="A","W",if(LEFT(VLOOKUP($B174,'Round 2'!$C$2:$J$361,8,false),1)="B","L","")),if(LEFT(VLOOKUP($B174,'Round 2'!$G$2:$J$361,4,false),1)="b","W",if(LEFT(VLOOKUP($B174,'Round 2'!$G$2:$J$361,4,false),1)="a","L","")))</f>
        <v>L</v>
      </c>
      <c r="F174" s="67" t="str">
        <f>iferror(if(LEFT(VLOOKUP($B174,'Round 3'!$B$2:$H$361,7,false),1)="A","W",if(LEFT(VLOOKUP($B174,'Round 3'!$B$2:$H$361,7,false),1)="B","L","")),if(LEFT(VLOOKUP($B174,'Round 3'!$F$2:$H$361,3,false),1)="b","W",if(LEFT(VLOOKUP($B174,'Round 3'!$F$2:$H$361,3,false),1)="a","L","")))</f>
        <v>L</v>
      </c>
      <c r="G174" s="67" t="str">
        <f>iferror(if(LEFT(VLOOKUP($B174,'Round 4'!$B$2:$H$361,7,false),1)="A","W",if(LEFT(VLOOKUP($B174,'Round 4'!$B$2:$H$361,7,false),1)="B","L","")),if(LEFT(VLOOKUP($B174,'Round 4'!$F$2:$H$361,3,false),1)="b","W",if(LEFT(VLOOKUP($B174,'Round 4'!$F$2:$H$361,3,false),1)="a","L","")))</f>
        <v>L</v>
      </c>
      <c r="H174" s="67"/>
      <c r="I174" s="67"/>
      <c r="J174" s="67" t="str">
        <f>iferror(iferror(if(LEFT(VLOOKUP($B174,'Round 7'!$B$2:$H$361,7,false),1)="A","W",if(LEFT(VLOOKUP($B174,'Round 7'!$B$2:$H$361,7,false),1)="B","L","")),if(LEFT(VLOOKUP($B174,'Round 7'!$F$2:$H$361,3,false),1)="b","W",if(LEFT(VLOOKUP($B174,'Round 7'!$F$2:$H$361,3,false),1)="a","L",""))),"")</f>
        <v/>
      </c>
      <c r="K174" s="68" t="str">
        <f>iferror(iferror(if(LEFT(VLOOKUP($B174,'Round 8'!$B$2:$H$361,7,false),1)="A","W",if(LEFT(VLOOKUP($B174,'Round 8'!$B$2:$H$361,7,false),1)="B","L","")),if(LEFT(VLOOKUP($B174,'Round 8'!$F$2:$H$361,3,false),1)="b","W",if(LEFT(VLOOKUP($B174,'Round 8'!$F$2:$H$361,3,false),1)="a","L",""))),"")</f>
        <v/>
      </c>
      <c r="L174" s="68" t="str">
        <f>iferror(iferror(if(LEFT(VLOOKUP($B174,'Round 9'!$B$2:$H$361,7,false),1)="A","W",if(LEFT(VLOOKUP($B174,'Round 9'!$B$2:$H$361,7,false),1)="B","L","")),if(LEFT(VLOOKUP($B174,'Round 9'!$F$2:$H$361,3,false),1)="b","W",if(LEFT(VLOOKUP($B174,'Round 9'!$F$2:$H$361,3,false),1)="a","L",""))),"")</f>
        <v/>
      </c>
      <c r="M174" s="68" t="str">
        <f>iferror(iferror(if(LEFT(VLOOKUP($B174,'Round 10'!$B$2:$H$362,7,false),1)="A","W",if(LEFT(VLOOKUP($B174,'Round 10'!$B$2:$H$362,7,false),1)="B","L","")),if(LEFT(VLOOKUP($B174,'Round 10'!$F$2:$H$362,3,false),1)="b","W",if(LEFT(VLOOKUP($B174,'Round 10'!$F$2:$H$362,3,false),1)="a","L",""))),"")</f>
        <v/>
      </c>
      <c r="N174" s="62" t="s">
        <v>420</v>
      </c>
    </row>
    <row r="175">
      <c r="A175" s="63">
        <v>174.0</v>
      </c>
      <c r="B175" s="71" t="s">
        <v>421</v>
      </c>
      <c r="C175" s="65" t="str">
        <f t="shared" si="1"/>
        <v>2 - 3</v>
      </c>
      <c r="D175" s="67" t="str">
        <f>iferror(if(LEFT(VLOOKUP($B175,'Round 1'!$B$2:$H$361,7,false),1)="A","W",if(LEFT(VLOOKUP($B175,'Round 1'!$B$2:$H$361,7,false),1)="B","L","")),if(LEFT(VLOOKUP($B175,'Round 1'!$F$2:$H$361,3,false),1)="b","W",if(LEFT(VLOOKUP($B175,'Round 1'!$F$2:$H$361,3,false),1)="a","L","")))</f>
        <v>W</v>
      </c>
      <c r="E175" s="67" t="str">
        <f>iferror(if(LEFT(VLOOKUP($B175,'Round 2'!$C$2:$J$361,8,false),1)="A","W",if(LEFT(VLOOKUP($B175,'Round 2'!$C$2:$J$361,8,false),1)="B","L","")),if(LEFT(VLOOKUP($B175,'Round 2'!$G$2:$J$361,4,false),1)="b","W",if(LEFT(VLOOKUP($B175,'Round 2'!$G$2:$J$361,4,false),1)="a","L","")))</f>
        <v>L</v>
      </c>
      <c r="F175" s="67" t="str">
        <f>iferror(if(LEFT(VLOOKUP($B175,'Round 3'!$B$2:$H$361,7,false),1)="A","W",if(LEFT(VLOOKUP($B175,'Round 3'!$B$2:$H$361,7,false),1)="B","L","")),if(LEFT(VLOOKUP($B175,'Round 3'!$F$2:$H$361,3,false),1)="b","W",if(LEFT(VLOOKUP($B175,'Round 3'!$F$2:$H$361,3,false),1)="a","L","")))</f>
        <v>W</v>
      </c>
      <c r="G175" s="67" t="str">
        <f>iferror(if(LEFT(VLOOKUP($B175,'Round 4'!$B$2:$H$361,7,false),1)="A","W",if(LEFT(VLOOKUP($B175,'Round 4'!$B$2:$H$361,7,false),1)="B","L","")),if(LEFT(VLOOKUP($B175,'Round 4'!$F$2:$H$361,3,false),1)="b","W",if(LEFT(VLOOKUP($B175,'Round 4'!$F$2:$H$361,3,false),1)="a","L","")))</f>
        <v>L</v>
      </c>
      <c r="H175" s="67" t="str">
        <f>iferror(if(LEFT(VLOOKUP($B175,'Round 5'!$B$2:$H$361,7,false),1)="A","W",if(LEFT(VLOOKUP($B175,'Round 5'!$B$2:$H$361,7,false),1)="B","L","")),if(LEFT(VLOOKUP($B175,'Round 5'!$F$2:$H$361,3,false),1)="b","W",if(LEFT(VLOOKUP($B175,'Round 5'!$F$2:$H$361,3,false),1)="a","L","")))</f>
        <v>L</v>
      </c>
      <c r="I175" s="67"/>
      <c r="J175" s="67" t="str">
        <f>iferror(iferror(if(LEFT(VLOOKUP($B175,'Round 7'!$B$2:$H$361,7,false),1)="A","W",if(LEFT(VLOOKUP($B175,'Round 7'!$B$2:$H$361,7,false),1)="B","L","")),if(LEFT(VLOOKUP($B175,'Round 7'!$F$2:$H$361,3,false),1)="b","W",if(LEFT(VLOOKUP($B175,'Round 7'!$F$2:$H$361,3,false),1)="a","L",""))),"")</f>
        <v/>
      </c>
      <c r="K175" s="68" t="str">
        <f>iferror(iferror(if(LEFT(VLOOKUP($B175,'Round 8'!$B$2:$H$361,7,false),1)="A","W",if(LEFT(VLOOKUP($B175,'Round 8'!$B$2:$H$361,7,false),1)="B","L","")),if(LEFT(VLOOKUP($B175,'Round 8'!$F$2:$H$361,3,false),1)="b","W",if(LEFT(VLOOKUP($B175,'Round 8'!$F$2:$H$361,3,false),1)="a","L",""))),"")</f>
        <v/>
      </c>
      <c r="L175" s="68" t="str">
        <f>iferror(iferror(if(LEFT(VLOOKUP($B175,'Round 9'!$B$2:$H$361,7,false),1)="A","W",if(LEFT(VLOOKUP($B175,'Round 9'!$B$2:$H$361,7,false),1)="B","L","")),if(LEFT(VLOOKUP($B175,'Round 9'!$F$2:$H$361,3,false),1)="b","W",if(LEFT(VLOOKUP($B175,'Round 9'!$F$2:$H$361,3,false),1)="a","L",""))),"")</f>
        <v/>
      </c>
      <c r="M175" s="68" t="str">
        <f>iferror(iferror(if(LEFT(VLOOKUP($B175,'Round 10'!$B$2:$H$362,7,false),1)="A","W",if(LEFT(VLOOKUP($B175,'Round 10'!$B$2:$H$362,7,false),1)="B","L","")),if(LEFT(VLOOKUP($B175,'Round 10'!$F$2:$H$362,3,false),1)="b","W",if(LEFT(VLOOKUP($B175,'Round 10'!$F$2:$H$362,3,false),1)="a","L",""))),"")</f>
        <v/>
      </c>
      <c r="N175" s="62" t="s">
        <v>422</v>
      </c>
    </row>
    <row r="176">
      <c r="A176" s="63">
        <v>175.0</v>
      </c>
      <c r="B176" s="64" t="s">
        <v>423</v>
      </c>
      <c r="C176" s="65" t="str">
        <f t="shared" si="1"/>
        <v>0 - 3</v>
      </c>
      <c r="D176" s="67" t="str">
        <f>iferror(if(LEFT(VLOOKUP($B176,'Round 1'!$B$2:$H$361,7,false),1)="A","W",if(LEFT(VLOOKUP($B176,'Round 1'!$B$2:$H$361,7,false),1)="B","L","")),if(LEFT(VLOOKUP($B176,'Round 1'!$F$2:$H$361,3,false),1)="b","W",if(LEFT(VLOOKUP($B176,'Round 1'!$F$2:$H$361,3,false),1)="a","L","")))</f>
        <v>L</v>
      </c>
      <c r="E176" s="67" t="str">
        <f>iferror(if(LEFT(VLOOKUP($B176,'Round 2'!$C$2:$J$361,8,false),1)="A","W",if(LEFT(VLOOKUP($B176,'Round 2'!$C$2:$J$361,8,false),1)="B","L","")),if(LEFT(VLOOKUP($B176,'Round 2'!$G$2:$J$361,4,false),1)="b","W",if(LEFT(VLOOKUP($B176,'Round 2'!$G$2:$J$361,4,false),1)="a","L","")))</f>
        <v>L</v>
      </c>
      <c r="F176" s="67" t="str">
        <f>iferror(if(LEFT(VLOOKUP($B176,'Round 3'!$B$2:$H$361,7,false),1)="A","W",if(LEFT(VLOOKUP($B176,'Round 3'!$B$2:$H$361,7,false),1)="B","L","")),if(LEFT(VLOOKUP($B176,'Round 3'!$F$2:$H$361,3,false),1)="b","W",if(LEFT(VLOOKUP($B176,'Round 3'!$F$2:$H$361,3,false),1)="a","L","")))</f>
        <v>L</v>
      </c>
      <c r="G176" s="67"/>
      <c r="H176" s="67"/>
      <c r="I176" s="67"/>
      <c r="J176" s="67" t="str">
        <f>iferror(iferror(if(LEFT(VLOOKUP($B176,'Round 7'!$B$2:$H$361,7,false),1)="A","W",if(LEFT(VLOOKUP($B176,'Round 7'!$B$2:$H$361,7,false),1)="B","L","")),if(LEFT(VLOOKUP($B176,'Round 7'!$F$2:$H$361,3,false),1)="b","W",if(LEFT(VLOOKUP($B176,'Round 7'!$F$2:$H$361,3,false),1)="a","L",""))),"")</f>
        <v/>
      </c>
      <c r="K176" s="68" t="str">
        <f>iferror(iferror(if(LEFT(VLOOKUP($B176,'Round 8'!$B$2:$H$361,7,false),1)="A","W",if(LEFT(VLOOKUP($B176,'Round 8'!$B$2:$H$361,7,false),1)="B","L","")),if(LEFT(VLOOKUP($B176,'Round 8'!$F$2:$H$361,3,false),1)="b","W",if(LEFT(VLOOKUP($B176,'Round 8'!$F$2:$H$361,3,false),1)="a","L",""))),"")</f>
        <v/>
      </c>
      <c r="L176" s="68" t="str">
        <f>iferror(iferror(if(LEFT(VLOOKUP($B176,'Round 9'!$B$2:$H$361,7,false),1)="A","W",if(LEFT(VLOOKUP($B176,'Round 9'!$B$2:$H$361,7,false),1)="B","L","")),if(LEFT(VLOOKUP($B176,'Round 9'!$F$2:$H$361,3,false),1)="b","W",if(LEFT(VLOOKUP($B176,'Round 9'!$F$2:$H$361,3,false),1)="a","L",""))),"")</f>
        <v/>
      </c>
      <c r="M176" s="68" t="str">
        <f>iferror(iferror(if(LEFT(VLOOKUP($B176,'Round 10'!$B$2:$H$362,7,false),1)="A","W",if(LEFT(VLOOKUP($B176,'Round 10'!$B$2:$H$362,7,false),1)="B","L","")),if(LEFT(VLOOKUP($B176,'Round 10'!$F$2:$H$362,3,false),1)="b","W",if(LEFT(VLOOKUP($B176,'Round 10'!$F$2:$H$362,3,false),1)="a","L",""))),"")</f>
        <v/>
      </c>
      <c r="N176" s="62" t="s">
        <v>144</v>
      </c>
    </row>
    <row r="177">
      <c r="A177" s="63">
        <v>176.0</v>
      </c>
      <c r="B177" s="64" t="s">
        <v>424</v>
      </c>
      <c r="C177" s="65" t="str">
        <f t="shared" si="1"/>
        <v>0 - 3</v>
      </c>
      <c r="D177" s="67" t="str">
        <f>iferror(if(LEFT(VLOOKUP($B177,'Round 1'!$B$2:$H$361,7,false),1)="A","W",if(LEFT(VLOOKUP($B177,'Round 1'!$B$2:$H$361,7,false),1)="B","L","")),if(LEFT(VLOOKUP($B177,'Round 1'!$F$2:$H$361,3,false),1)="b","W",if(LEFT(VLOOKUP($B177,'Round 1'!$F$2:$H$361,3,false),1)="a","L","")))</f>
        <v>L</v>
      </c>
      <c r="E177" s="67" t="str">
        <f>iferror(if(LEFT(VLOOKUP($B177,'Round 2'!$C$2:$J$361,8,false),1)="A","W",if(LEFT(VLOOKUP($B177,'Round 2'!$C$2:$J$361,8,false),1)="B","L","")),if(LEFT(VLOOKUP($B177,'Round 2'!$G$2:$J$361,4,false),1)="b","W",if(LEFT(VLOOKUP($B177,'Round 2'!$G$2:$J$361,4,false),1)="a","L","")))</f>
        <v>L</v>
      </c>
      <c r="F177" s="67" t="str">
        <f>iferror(if(LEFT(VLOOKUP($B177,'Round 3'!$B$2:$H$361,7,false),1)="A","W",if(LEFT(VLOOKUP($B177,'Round 3'!$B$2:$H$361,7,false),1)="B","L","")),if(LEFT(VLOOKUP($B177,'Round 3'!$F$2:$H$361,3,false),1)="b","W",if(LEFT(VLOOKUP($B177,'Round 3'!$F$2:$H$361,3,false),1)="a","L","")))</f>
        <v>L</v>
      </c>
      <c r="G177" s="67"/>
      <c r="H177" s="67"/>
      <c r="I177" s="67"/>
      <c r="J177" s="67" t="str">
        <f>iferror(iferror(if(LEFT(VLOOKUP($B177,'Round 7'!$B$2:$H$361,7,false),1)="A","W",if(LEFT(VLOOKUP($B177,'Round 7'!$B$2:$H$361,7,false),1)="B","L","")),if(LEFT(VLOOKUP($B177,'Round 7'!$F$2:$H$361,3,false),1)="b","W",if(LEFT(VLOOKUP($B177,'Round 7'!$F$2:$H$361,3,false),1)="a","L",""))),"")</f>
        <v/>
      </c>
      <c r="K177" s="68" t="str">
        <f>iferror(iferror(if(LEFT(VLOOKUP($B177,'Round 8'!$B$2:$H$361,7,false),1)="A","W",if(LEFT(VLOOKUP($B177,'Round 8'!$B$2:$H$361,7,false),1)="B","L","")),if(LEFT(VLOOKUP($B177,'Round 8'!$F$2:$H$361,3,false),1)="b","W",if(LEFT(VLOOKUP($B177,'Round 8'!$F$2:$H$361,3,false),1)="a","L",""))),"")</f>
        <v/>
      </c>
      <c r="L177" s="68" t="str">
        <f>iferror(iferror(if(LEFT(VLOOKUP($B177,'Round 9'!$B$2:$H$361,7,false),1)="A","W",if(LEFT(VLOOKUP($B177,'Round 9'!$B$2:$H$361,7,false),1)="B","L","")),if(LEFT(VLOOKUP($B177,'Round 9'!$F$2:$H$361,3,false),1)="b","W",if(LEFT(VLOOKUP($B177,'Round 9'!$F$2:$H$361,3,false),1)="a","L",""))),"")</f>
        <v/>
      </c>
      <c r="M177" s="68" t="str">
        <f>iferror(iferror(if(LEFT(VLOOKUP($B177,'Round 10'!$B$2:$H$362,7,false),1)="A","W",if(LEFT(VLOOKUP($B177,'Round 10'!$B$2:$H$362,7,false),1)="B","L","")),if(LEFT(VLOOKUP($B177,'Round 10'!$F$2:$H$362,3,false),1)="b","W",if(LEFT(VLOOKUP($B177,'Round 10'!$F$2:$H$362,3,false),1)="a","L",""))),"")</f>
        <v/>
      </c>
      <c r="N177" s="62" t="s">
        <v>425</v>
      </c>
    </row>
    <row r="178">
      <c r="A178" s="63">
        <v>177.0</v>
      </c>
      <c r="B178" s="64" t="s">
        <v>426</v>
      </c>
      <c r="C178" s="65" t="str">
        <f t="shared" si="1"/>
        <v>7 - 2</v>
      </c>
      <c r="D178" s="67" t="str">
        <f>iferror(if(LEFT(VLOOKUP($B178,'Round 1'!$B$2:$H$361,7,false),1)="A","W",if(LEFT(VLOOKUP($B178,'Round 1'!$B$2:$H$361,7,false),1)="B","L","")),if(LEFT(VLOOKUP($B178,'Round 1'!$F$2:$H$361,3,false),1)="b","W",if(LEFT(VLOOKUP($B178,'Round 1'!$F$2:$H$361,3,false),1)="a","L","")))</f>
        <v>W</v>
      </c>
      <c r="E178" s="67" t="str">
        <f>iferror(if(LEFT(VLOOKUP($B178,'Round 2'!$C$2:$J$361,8,false),1)="A","W",if(LEFT(VLOOKUP($B178,'Round 2'!$C$2:$J$361,8,false),1)="B","L","")),if(LEFT(VLOOKUP($B178,'Round 2'!$G$2:$J$361,4,false),1)="b","W",if(LEFT(VLOOKUP($B178,'Round 2'!$G$2:$J$361,4,false),1)="a","L","")))</f>
        <v>W</v>
      </c>
      <c r="F178" s="67" t="str">
        <f>iferror(if(LEFT(VLOOKUP($B178,'Round 3'!$B$2:$H$361,7,false),1)="A","W",if(LEFT(VLOOKUP($B178,'Round 3'!$B$2:$H$361,7,false),1)="B","L","")),if(LEFT(VLOOKUP($B178,'Round 3'!$F$2:$H$361,3,false),1)="b","W",if(LEFT(VLOOKUP($B178,'Round 3'!$F$2:$H$361,3,false),1)="a","L","")))</f>
        <v>L</v>
      </c>
      <c r="G178" s="67" t="str">
        <f>iferror(if(LEFT(VLOOKUP($B178,'Round 4'!$B$2:$H$361,7,false),1)="A","W",if(LEFT(VLOOKUP($B178,'Round 4'!$B$2:$H$361,7,false),1)="B","L","")),if(LEFT(VLOOKUP($B178,'Round 4'!$F$2:$H$361,3,false),1)="b","W",if(LEFT(VLOOKUP($B178,'Round 4'!$F$2:$H$361,3,false),1)="a","L","")))</f>
        <v>W</v>
      </c>
      <c r="H178" s="67" t="str">
        <f>iferror(if(LEFT(VLOOKUP($B178,'Round 5'!$B$2:$H$361,7,false),1)="A","W",if(LEFT(VLOOKUP($B178,'Round 5'!$B$2:$H$361,7,false),1)="B","L","")),if(LEFT(VLOOKUP($B178,'Round 5'!$F$2:$H$361,3,false),1)="b","W",if(LEFT(VLOOKUP($B178,'Round 5'!$F$2:$H$361,3,false),1)="a","L","")))</f>
        <v>L</v>
      </c>
      <c r="I178" s="67" t="str">
        <f>iferror(if(LEFT(VLOOKUP($B178,'Round 6'!$B$2:$H$361,7,false),1)="A","W",if(LEFT(VLOOKUP($B178,'Round 6'!$B$2:$H$361,7,false),1)="B","L","")),if(LEFT(VLOOKUP($B178,'Round 6'!$F$2:$H$361,3,false),1)="b","W",if(LEFT(VLOOKUP($B178,'Round 6'!$F$2:$H$361,3,false),1)="a","L","")))</f>
        <v>W</v>
      </c>
      <c r="J178" s="67" t="str">
        <f>iferror(iferror(if(LEFT(VLOOKUP($B178,'Round 7'!$B$2:$H$361,7,false),1)="A","W",if(LEFT(VLOOKUP($B178,'Round 7'!$B$2:$H$361,7,false),1)="B","L","")),if(LEFT(VLOOKUP($B178,'Round 7'!$F$2:$H$361,3,false),1)="b","W",if(LEFT(VLOOKUP($B178,'Round 7'!$F$2:$H$361,3,false),1)="a","L",""))),"")</f>
        <v>W</v>
      </c>
      <c r="K178" s="68" t="str">
        <f>iferror(iferror(if(LEFT(VLOOKUP($B178,'Round 8'!$B$2:$H$361,7,false),1)="A","W",if(LEFT(VLOOKUP($B178,'Round 8'!$B$2:$H$361,7,false),1)="B","L","")),if(LEFT(VLOOKUP($B178,'Round 8'!$F$2:$H$361,3,false),1)="b","W",if(LEFT(VLOOKUP($B178,'Round 8'!$F$2:$H$361,3,false),1)="a","L",""))),"")</f>
        <v>W</v>
      </c>
      <c r="L178" s="68" t="str">
        <f>iferror(iferror(if(LEFT(VLOOKUP($B178,'Round 9'!$B$2:$H$361,7,false),1)="A","W",if(LEFT(VLOOKUP($B178,'Round 9'!$B$2:$H$361,7,false),1)="B","L","")),if(LEFT(VLOOKUP($B178,'Round 9'!$F$2:$H$361,3,false),1)="b","W",if(LEFT(VLOOKUP($B178,'Round 9'!$F$2:$H$361,3,false),1)="a","L",""))),"")</f>
        <v>W</v>
      </c>
      <c r="M178" s="68" t="str">
        <f>iferror(iferror(if(LEFT(VLOOKUP($B178,'Round 10'!$B$2:$H$362,7,false),1)="A","W",if(LEFT(VLOOKUP($B178,'Round 10'!$B$2:$H$362,7,false),1)="B","L","")),if(LEFT(VLOOKUP($B178,'Round 10'!$F$2:$H$362,3,false),1)="b","W",if(LEFT(VLOOKUP($B178,'Round 10'!$F$2:$H$362,3,false),1)="a","L",""))),"")</f>
        <v/>
      </c>
      <c r="N178" s="62" t="s">
        <v>427</v>
      </c>
    </row>
    <row r="179">
      <c r="A179" s="63">
        <v>178.0</v>
      </c>
      <c r="B179" s="64" t="s">
        <v>428</v>
      </c>
      <c r="C179" s="65" t="str">
        <f t="shared" si="1"/>
        <v>2 - 3</v>
      </c>
      <c r="D179" s="67" t="str">
        <f>iferror(if(LEFT(VLOOKUP($B179,'Round 1'!$B$2:$H$361,7,false),1)="A","W",if(LEFT(VLOOKUP($B179,'Round 1'!$B$2:$H$361,7,false),1)="B","L","")),if(LEFT(VLOOKUP($B179,'Round 1'!$F$2:$H$361,3,false),1)="b","W",if(LEFT(VLOOKUP($B179,'Round 1'!$F$2:$H$361,3,false),1)="a","L","")))</f>
        <v>L</v>
      </c>
      <c r="E179" s="67" t="str">
        <f>iferror(if(LEFT(VLOOKUP($B179,'Round 2'!$C$2:$J$361,8,false),1)="A","W",if(LEFT(VLOOKUP($B179,'Round 2'!$C$2:$J$361,8,false),1)="B","L","")),if(LEFT(VLOOKUP($B179,'Round 2'!$G$2:$J$361,4,false),1)="b","W",if(LEFT(VLOOKUP($B179,'Round 2'!$G$2:$J$361,4,false),1)="a","L","")))</f>
        <v>W</v>
      </c>
      <c r="F179" s="67" t="str">
        <f>iferror(if(LEFT(VLOOKUP($B179,'Round 3'!$B$2:$H$361,7,false),1)="A","W",if(LEFT(VLOOKUP($B179,'Round 3'!$B$2:$H$361,7,false),1)="B","L","")),if(LEFT(VLOOKUP($B179,'Round 3'!$F$2:$H$361,3,false),1)="b","W",if(LEFT(VLOOKUP($B179,'Round 3'!$F$2:$H$361,3,false),1)="a","L","")))</f>
        <v>L</v>
      </c>
      <c r="G179" s="67" t="str">
        <f>iferror(if(LEFT(VLOOKUP($B179,'Round 4'!$B$2:$H$361,7,false),1)="A","W",if(LEFT(VLOOKUP($B179,'Round 4'!$B$2:$H$361,7,false),1)="B","L","")),if(LEFT(VLOOKUP($B179,'Round 4'!$F$2:$H$361,3,false),1)="b","W",if(LEFT(VLOOKUP($B179,'Round 4'!$F$2:$H$361,3,false),1)="a","L","")))</f>
        <v>W</v>
      </c>
      <c r="H179" s="67" t="str">
        <f>iferror(if(LEFT(VLOOKUP($B179,'Round 5'!$B$2:$H$361,7,false),1)="A","W",if(LEFT(VLOOKUP($B179,'Round 5'!$B$2:$H$361,7,false),1)="B","L","")),if(LEFT(VLOOKUP($B179,'Round 5'!$F$2:$H$361,3,false),1)="b","W",if(LEFT(VLOOKUP($B179,'Round 5'!$F$2:$H$361,3,false),1)="a","L","")))</f>
        <v>L</v>
      </c>
      <c r="I179" s="67"/>
      <c r="J179" s="67" t="str">
        <f>iferror(iferror(if(LEFT(VLOOKUP($B179,'Round 7'!$B$2:$H$361,7,false),1)="A","W",if(LEFT(VLOOKUP($B179,'Round 7'!$B$2:$H$361,7,false),1)="B","L","")),if(LEFT(VLOOKUP($B179,'Round 7'!$F$2:$H$361,3,false),1)="b","W",if(LEFT(VLOOKUP($B179,'Round 7'!$F$2:$H$361,3,false),1)="a","L",""))),"")</f>
        <v/>
      </c>
      <c r="K179" s="68" t="str">
        <f>iferror(iferror(if(LEFT(VLOOKUP($B179,'Round 8'!$B$2:$H$361,7,false),1)="A","W",if(LEFT(VLOOKUP($B179,'Round 8'!$B$2:$H$361,7,false),1)="B","L","")),if(LEFT(VLOOKUP($B179,'Round 8'!$F$2:$H$361,3,false),1)="b","W",if(LEFT(VLOOKUP($B179,'Round 8'!$F$2:$H$361,3,false),1)="a","L",""))),"")</f>
        <v/>
      </c>
      <c r="L179" s="68" t="str">
        <f>iferror(iferror(if(LEFT(VLOOKUP($B179,'Round 9'!$B$2:$H$361,7,false),1)="A","W",if(LEFT(VLOOKUP($B179,'Round 9'!$B$2:$H$361,7,false),1)="B","L","")),if(LEFT(VLOOKUP($B179,'Round 9'!$F$2:$H$361,3,false),1)="b","W",if(LEFT(VLOOKUP($B179,'Round 9'!$F$2:$H$361,3,false),1)="a","L",""))),"")</f>
        <v/>
      </c>
      <c r="M179" s="68" t="str">
        <f>iferror(iferror(if(LEFT(VLOOKUP($B179,'Round 10'!$B$2:$H$362,7,false),1)="A","W",if(LEFT(VLOOKUP($B179,'Round 10'!$B$2:$H$362,7,false),1)="B","L","")),if(LEFT(VLOOKUP($B179,'Round 10'!$F$2:$H$362,3,false),1)="b","W",if(LEFT(VLOOKUP($B179,'Round 10'!$F$2:$H$362,3,false),1)="a","L",""))),"")</f>
        <v/>
      </c>
      <c r="N179" s="62" t="s">
        <v>429</v>
      </c>
    </row>
    <row r="180">
      <c r="A180" s="63">
        <v>179.0</v>
      </c>
      <c r="B180" s="64" t="s">
        <v>430</v>
      </c>
      <c r="C180" s="65" t="str">
        <f t="shared" si="1"/>
        <v>3 - 3</v>
      </c>
      <c r="D180" s="67" t="str">
        <f>iferror(if(LEFT(VLOOKUP($B180,'Round 1'!$B$2:$H$361,7,false),1)="A","W",if(LEFT(VLOOKUP($B180,'Round 1'!$B$2:$H$361,7,false),1)="B","L","")),if(LEFT(VLOOKUP($B180,'Round 1'!$F$2:$H$361,3,false),1)="b","W",if(LEFT(VLOOKUP($B180,'Round 1'!$F$2:$H$361,3,false),1)="a","L","")))</f>
        <v>W</v>
      </c>
      <c r="E180" s="67" t="str">
        <f>iferror(if(LEFT(VLOOKUP($B180,'Round 2'!$C$2:$J$361,8,false),1)="A","W",if(LEFT(VLOOKUP($B180,'Round 2'!$C$2:$J$361,8,false),1)="B","L","")),if(LEFT(VLOOKUP($B180,'Round 2'!$G$2:$J$361,4,false),1)="b","W",if(LEFT(VLOOKUP($B180,'Round 2'!$G$2:$J$361,4,false),1)="a","L","")))</f>
        <v>L</v>
      </c>
      <c r="F180" s="67" t="str">
        <f>iferror(if(LEFT(VLOOKUP($B180,'Round 3'!$B$2:$H$361,7,false),1)="A","W",if(LEFT(VLOOKUP($B180,'Round 3'!$B$2:$H$361,7,false),1)="B","L","")),if(LEFT(VLOOKUP($B180,'Round 3'!$F$2:$H$361,3,false),1)="b","W",if(LEFT(VLOOKUP($B180,'Round 3'!$F$2:$H$361,3,false),1)="a","L","")))</f>
        <v>W</v>
      </c>
      <c r="G180" s="67" t="str">
        <f>iferror(if(LEFT(VLOOKUP($B180,'Round 4'!$B$2:$H$361,7,false),1)="A","W",if(LEFT(VLOOKUP($B180,'Round 4'!$B$2:$H$361,7,false),1)="B","L","")),if(LEFT(VLOOKUP($B180,'Round 4'!$F$2:$H$361,3,false),1)="b","W",if(LEFT(VLOOKUP($B180,'Round 4'!$F$2:$H$361,3,false),1)="a","L","")))</f>
        <v>L</v>
      </c>
      <c r="H180" s="67" t="str">
        <f>iferror(if(LEFT(VLOOKUP($B180,'Round 5'!$B$2:$H$361,7,false),1)="A","W",if(LEFT(VLOOKUP($B180,'Round 5'!$B$2:$H$361,7,false),1)="B","L","")),if(LEFT(VLOOKUP($B180,'Round 5'!$F$2:$H$361,3,false),1)="b","W",if(LEFT(VLOOKUP($B180,'Round 5'!$F$2:$H$361,3,false),1)="a","L","")))</f>
        <v>W</v>
      </c>
      <c r="I180" s="67" t="str">
        <f>iferror(if(LEFT(VLOOKUP($B180,'Round 6'!$B$2:$H$361,7,false),1)="A","W",if(LEFT(VLOOKUP($B180,'Round 6'!$B$2:$H$361,7,false),1)="B","L","")),if(LEFT(VLOOKUP($B180,'Round 6'!$F$2:$H$361,3,false),1)="b","W",if(LEFT(VLOOKUP($B180,'Round 6'!$F$2:$H$361,3,false),1)="a","L","")))</f>
        <v>L</v>
      </c>
      <c r="J180" s="67" t="str">
        <f>iferror(iferror(if(LEFT(VLOOKUP($B180,'Round 7'!$B$2:$H$361,7,false),1)="A","W",if(LEFT(VLOOKUP($B180,'Round 7'!$B$2:$H$361,7,false),1)="B","L","")),if(LEFT(VLOOKUP($B180,'Round 7'!$F$2:$H$361,3,false),1)="b","W",if(LEFT(VLOOKUP($B180,'Round 7'!$F$2:$H$361,3,false),1)="a","L",""))),"")</f>
        <v/>
      </c>
      <c r="K180" s="68" t="str">
        <f>iferror(iferror(if(LEFT(VLOOKUP($B180,'Round 8'!$B$2:$H$361,7,false),1)="A","W",if(LEFT(VLOOKUP($B180,'Round 8'!$B$2:$H$361,7,false),1)="B","L","")),if(LEFT(VLOOKUP($B180,'Round 8'!$F$2:$H$361,3,false),1)="b","W",if(LEFT(VLOOKUP($B180,'Round 8'!$F$2:$H$361,3,false),1)="a","L",""))),"")</f>
        <v/>
      </c>
      <c r="L180" s="68" t="str">
        <f>iferror(iferror(if(LEFT(VLOOKUP($B180,'Round 9'!$B$2:$H$361,7,false),1)="A","W",if(LEFT(VLOOKUP($B180,'Round 9'!$B$2:$H$361,7,false),1)="B","L","")),if(LEFT(VLOOKUP($B180,'Round 9'!$F$2:$H$361,3,false),1)="b","W",if(LEFT(VLOOKUP($B180,'Round 9'!$F$2:$H$361,3,false),1)="a","L",""))),"")</f>
        <v/>
      </c>
      <c r="M180" s="68" t="str">
        <f>iferror(iferror(if(LEFT(VLOOKUP($B180,'Round 10'!$B$2:$H$362,7,false),1)="A","W",if(LEFT(VLOOKUP($B180,'Round 10'!$B$2:$H$362,7,false),1)="B","L","")),if(LEFT(VLOOKUP($B180,'Round 10'!$F$2:$H$362,3,false),1)="b","W",if(LEFT(VLOOKUP($B180,'Round 10'!$F$2:$H$362,3,false),1)="a","L",""))),"")</f>
        <v/>
      </c>
      <c r="N180" s="62" t="s">
        <v>431</v>
      </c>
    </row>
    <row r="181">
      <c r="A181" s="63">
        <v>180.0</v>
      </c>
      <c r="B181" s="64" t="s">
        <v>432</v>
      </c>
      <c r="C181" s="65" t="str">
        <f t="shared" si="1"/>
        <v>0 - 3</v>
      </c>
      <c r="D181" s="67" t="str">
        <f>iferror(if(LEFT(VLOOKUP($B181,'Round 1'!$B$2:$H$361,7,false),1)="A","W",if(LEFT(VLOOKUP($B181,'Round 1'!$B$2:$H$361,7,false),1)="B","L","")),if(LEFT(VLOOKUP($B181,'Round 1'!$F$2:$H$361,3,false),1)="b","W",if(LEFT(VLOOKUP($B181,'Round 1'!$F$2:$H$361,3,false),1)="a","L","")))</f>
        <v>L</v>
      </c>
      <c r="E181" s="67" t="str">
        <f>iferror(if(LEFT(VLOOKUP($B181,'Round 2'!$C$2:$J$361,8,false),1)="A","W",if(LEFT(VLOOKUP($B181,'Round 2'!$C$2:$J$361,8,false),1)="B","L","")),if(LEFT(VLOOKUP($B181,'Round 2'!$G$2:$J$361,4,false),1)="b","W",if(LEFT(VLOOKUP($B181,'Round 2'!$G$2:$J$361,4,false),1)="a","L","")))</f>
        <v>L</v>
      </c>
      <c r="F181" s="67" t="str">
        <f>iferror(if(LEFT(VLOOKUP($B181,'Round 3'!$B$2:$H$361,7,false),1)="A","W",if(LEFT(VLOOKUP($B181,'Round 3'!$B$2:$H$361,7,false),1)="B","L","")),if(LEFT(VLOOKUP($B181,'Round 3'!$F$2:$H$361,3,false),1)="b","W",if(LEFT(VLOOKUP($B181,'Round 3'!$F$2:$H$361,3,false),1)="a","L","")))</f>
        <v>L</v>
      </c>
      <c r="G181" s="67"/>
      <c r="H181" s="67"/>
      <c r="I181" s="67"/>
      <c r="J181" s="67" t="str">
        <f>iferror(iferror(if(LEFT(VLOOKUP($B181,'Round 7'!$B$2:$H$361,7,false),1)="A","W",if(LEFT(VLOOKUP($B181,'Round 7'!$B$2:$H$361,7,false),1)="B","L","")),if(LEFT(VLOOKUP($B181,'Round 7'!$F$2:$H$361,3,false),1)="b","W",if(LEFT(VLOOKUP($B181,'Round 7'!$F$2:$H$361,3,false),1)="a","L",""))),"")</f>
        <v/>
      </c>
      <c r="K181" s="68" t="str">
        <f>iferror(iferror(if(LEFT(VLOOKUP($B181,'Round 8'!$B$2:$H$361,7,false),1)="A","W",if(LEFT(VLOOKUP($B181,'Round 8'!$B$2:$H$361,7,false),1)="B","L","")),if(LEFT(VLOOKUP($B181,'Round 8'!$F$2:$H$361,3,false),1)="b","W",if(LEFT(VLOOKUP($B181,'Round 8'!$F$2:$H$361,3,false),1)="a","L",""))),"")</f>
        <v/>
      </c>
      <c r="L181" s="68" t="str">
        <f>iferror(iferror(if(LEFT(VLOOKUP($B181,'Round 9'!$B$2:$H$361,7,false),1)="A","W",if(LEFT(VLOOKUP($B181,'Round 9'!$B$2:$H$361,7,false),1)="B","L","")),if(LEFT(VLOOKUP($B181,'Round 9'!$F$2:$H$361,3,false),1)="b","W",if(LEFT(VLOOKUP($B181,'Round 9'!$F$2:$H$361,3,false),1)="a","L",""))),"")</f>
        <v/>
      </c>
      <c r="M181" s="68" t="str">
        <f>iferror(iferror(if(LEFT(VLOOKUP($B181,'Round 10'!$B$2:$H$362,7,false),1)="A","W",if(LEFT(VLOOKUP($B181,'Round 10'!$B$2:$H$362,7,false),1)="B","L","")),if(LEFT(VLOOKUP($B181,'Round 10'!$F$2:$H$362,3,false),1)="b","W",if(LEFT(VLOOKUP($B181,'Round 10'!$F$2:$H$362,3,false),1)="a","L",""))),"")</f>
        <v/>
      </c>
      <c r="N181" s="72" t="s">
        <v>144</v>
      </c>
    </row>
    <row r="182">
      <c r="A182" s="63">
        <v>181.0</v>
      </c>
      <c r="B182" s="64" t="s">
        <v>433</v>
      </c>
      <c r="C182" s="65" t="str">
        <f t="shared" si="1"/>
        <v>0 - 3</v>
      </c>
      <c r="D182" s="67" t="str">
        <f>iferror(if(LEFT(VLOOKUP($B182,'Round 1'!$B$2:$H$361,7,false),1)="A","W",if(LEFT(VLOOKUP($B182,'Round 1'!$B$2:$H$361,7,false),1)="B","L","")),if(LEFT(VLOOKUP($B182,'Round 1'!$F$2:$H$361,3,false),1)="b","W",if(LEFT(VLOOKUP($B182,'Round 1'!$F$2:$H$361,3,false),1)="a","L","")))</f>
        <v>L</v>
      </c>
      <c r="E182" s="67" t="str">
        <f>iferror(if(LEFT(VLOOKUP($B182,'Round 2'!$C$2:$J$361,8,false),1)="A","W",if(LEFT(VLOOKUP($B182,'Round 2'!$C$2:$J$361,8,false),1)="B","L","")),if(LEFT(VLOOKUP($B182,'Round 2'!$G$2:$J$361,4,false),1)="b","W",if(LEFT(VLOOKUP($B182,'Round 2'!$G$2:$J$361,4,false),1)="a","L","")))</f>
        <v>L</v>
      </c>
      <c r="F182" s="67" t="str">
        <f>iferror(if(LEFT(VLOOKUP($B182,'Round 3'!$B$2:$H$361,7,false),1)="A","W",if(LEFT(VLOOKUP($B182,'Round 3'!$B$2:$H$361,7,false),1)="B","L","")),if(LEFT(VLOOKUP($B182,'Round 3'!$F$2:$H$361,3,false),1)="b","W",if(LEFT(VLOOKUP($B182,'Round 3'!$F$2:$H$361,3,false),1)="a","L","")))</f>
        <v>L</v>
      </c>
      <c r="G182" s="67"/>
      <c r="H182" s="67"/>
      <c r="I182" s="67"/>
      <c r="J182" s="67" t="str">
        <f>iferror(iferror(if(LEFT(VLOOKUP($B182,'Round 7'!$B$2:$H$361,7,false),1)="A","W",if(LEFT(VLOOKUP($B182,'Round 7'!$B$2:$H$361,7,false),1)="B","L","")),if(LEFT(VLOOKUP($B182,'Round 7'!$F$2:$H$361,3,false),1)="b","W",if(LEFT(VLOOKUP($B182,'Round 7'!$F$2:$H$361,3,false),1)="a","L",""))),"")</f>
        <v/>
      </c>
      <c r="K182" s="68" t="str">
        <f>iferror(iferror(if(LEFT(VLOOKUP($B182,'Round 8'!$B$2:$H$361,7,false),1)="A","W",if(LEFT(VLOOKUP($B182,'Round 8'!$B$2:$H$361,7,false),1)="B","L","")),if(LEFT(VLOOKUP($B182,'Round 8'!$F$2:$H$361,3,false),1)="b","W",if(LEFT(VLOOKUP($B182,'Round 8'!$F$2:$H$361,3,false),1)="a","L",""))),"")</f>
        <v/>
      </c>
      <c r="L182" s="68" t="str">
        <f>iferror(iferror(if(LEFT(VLOOKUP($B182,'Round 9'!$B$2:$H$361,7,false),1)="A","W",if(LEFT(VLOOKUP($B182,'Round 9'!$B$2:$H$361,7,false),1)="B","L","")),if(LEFT(VLOOKUP($B182,'Round 9'!$F$2:$H$361,3,false),1)="b","W",if(LEFT(VLOOKUP($B182,'Round 9'!$F$2:$H$361,3,false),1)="a","L",""))),"")</f>
        <v/>
      </c>
      <c r="M182" s="68" t="str">
        <f>iferror(iferror(if(LEFT(VLOOKUP($B182,'Round 10'!$B$2:$H$362,7,false),1)="A","W",if(LEFT(VLOOKUP($B182,'Round 10'!$B$2:$H$362,7,false),1)="B","L","")),if(LEFT(VLOOKUP($B182,'Round 10'!$F$2:$H$362,3,false),1)="b","W",if(LEFT(VLOOKUP($B182,'Round 10'!$F$2:$H$362,3,false),1)="a","L",""))),"")</f>
        <v/>
      </c>
      <c r="N182" s="62" t="s">
        <v>434</v>
      </c>
    </row>
    <row r="183">
      <c r="A183" s="63">
        <v>182.0</v>
      </c>
      <c r="B183" s="64" t="s">
        <v>435</v>
      </c>
      <c r="C183" s="65" t="str">
        <f t="shared" si="1"/>
        <v>2 - 3</v>
      </c>
      <c r="D183" s="67" t="str">
        <f>iferror(if(LEFT(VLOOKUP($B183,'Round 1'!$B$2:$H$361,7,false),1)="A","W",if(LEFT(VLOOKUP($B183,'Round 1'!$B$2:$H$361,7,false),1)="B","L","")),if(LEFT(VLOOKUP($B183,'Round 1'!$F$2:$H$361,3,false),1)="b","W",if(LEFT(VLOOKUP($B183,'Round 1'!$F$2:$H$361,3,false),1)="a","L","")))</f>
        <v>W</v>
      </c>
      <c r="E183" s="67" t="str">
        <f>iferror(if(LEFT(VLOOKUP($B183,'Round 2'!$C$2:$J$361,8,false),1)="A","W",if(LEFT(VLOOKUP($B183,'Round 2'!$C$2:$J$361,8,false),1)="B","L","")),if(LEFT(VLOOKUP($B183,'Round 2'!$G$2:$J$361,4,false),1)="b","W",if(LEFT(VLOOKUP($B183,'Round 2'!$G$2:$J$361,4,false),1)="a","L","")))</f>
        <v>W</v>
      </c>
      <c r="F183" s="67" t="str">
        <f>iferror(if(LEFT(VLOOKUP($B183,'Round 3'!$B$2:$H$361,7,false),1)="A","W",if(LEFT(VLOOKUP($B183,'Round 3'!$B$2:$H$361,7,false),1)="B","L","")),if(LEFT(VLOOKUP($B183,'Round 3'!$F$2:$H$361,3,false),1)="b","W",if(LEFT(VLOOKUP($B183,'Round 3'!$F$2:$H$361,3,false),1)="a","L","")))</f>
        <v>L</v>
      </c>
      <c r="G183" s="67" t="str">
        <f>iferror(if(LEFT(VLOOKUP($B183,'Round 4'!$B$2:$H$361,7,false),1)="A","W",if(LEFT(VLOOKUP($B183,'Round 4'!$B$2:$H$361,7,false),1)="B","L","")),if(LEFT(VLOOKUP($B183,'Round 4'!$F$2:$H$361,3,false),1)="b","W",if(LEFT(VLOOKUP($B183,'Round 4'!$F$2:$H$361,3,false),1)="a","L","")))</f>
        <v>L</v>
      </c>
      <c r="H183" s="67" t="str">
        <f>iferror(if(LEFT(VLOOKUP($B183,'Round 5'!$B$2:$H$361,7,false),1)="A","W",if(LEFT(VLOOKUP($B183,'Round 5'!$B$2:$H$361,7,false),1)="B","L","")),if(LEFT(VLOOKUP($B183,'Round 5'!$F$2:$H$361,3,false),1)="b","W",if(LEFT(VLOOKUP($B183,'Round 5'!$F$2:$H$361,3,false),1)="a","L","")))</f>
        <v>L</v>
      </c>
      <c r="I183" s="67"/>
      <c r="J183" s="67" t="str">
        <f>iferror(iferror(if(LEFT(VLOOKUP($B183,'Round 7'!$B$2:$H$361,7,false),1)="A","W",if(LEFT(VLOOKUP($B183,'Round 7'!$B$2:$H$361,7,false),1)="B","L","")),if(LEFT(VLOOKUP($B183,'Round 7'!$F$2:$H$361,3,false),1)="b","W",if(LEFT(VLOOKUP($B183,'Round 7'!$F$2:$H$361,3,false),1)="a","L",""))),"")</f>
        <v/>
      </c>
      <c r="K183" s="68" t="str">
        <f>iferror(iferror(if(LEFT(VLOOKUP($B183,'Round 8'!$B$2:$H$361,7,false),1)="A","W",if(LEFT(VLOOKUP($B183,'Round 8'!$B$2:$H$361,7,false),1)="B","L","")),if(LEFT(VLOOKUP($B183,'Round 8'!$F$2:$H$361,3,false),1)="b","W",if(LEFT(VLOOKUP($B183,'Round 8'!$F$2:$H$361,3,false),1)="a","L",""))),"")</f>
        <v/>
      </c>
      <c r="L183" s="68" t="str">
        <f>iferror(iferror(if(LEFT(VLOOKUP($B183,'Round 9'!$B$2:$H$361,7,false),1)="A","W",if(LEFT(VLOOKUP($B183,'Round 9'!$B$2:$H$361,7,false),1)="B","L","")),if(LEFT(VLOOKUP($B183,'Round 9'!$F$2:$H$361,3,false),1)="b","W",if(LEFT(VLOOKUP($B183,'Round 9'!$F$2:$H$361,3,false),1)="a","L",""))),"")</f>
        <v/>
      </c>
      <c r="M183" s="68" t="str">
        <f>iferror(iferror(if(LEFT(VLOOKUP($B183,'Round 10'!$B$2:$H$362,7,false),1)="A","W",if(LEFT(VLOOKUP($B183,'Round 10'!$B$2:$H$362,7,false),1)="B","L","")),if(LEFT(VLOOKUP($B183,'Round 10'!$F$2:$H$362,3,false),1)="b","W",if(LEFT(VLOOKUP($B183,'Round 10'!$F$2:$H$362,3,false),1)="a","L",""))),"")</f>
        <v/>
      </c>
      <c r="N183" s="62" t="s">
        <v>436</v>
      </c>
    </row>
    <row r="184">
      <c r="A184" s="63">
        <v>183.0</v>
      </c>
      <c r="B184" s="71" t="s">
        <v>437</v>
      </c>
      <c r="C184" s="65" t="str">
        <f t="shared" si="1"/>
        <v>2 - 3</v>
      </c>
      <c r="D184" s="67" t="str">
        <f>iferror(if(LEFT(VLOOKUP($B184,'Round 1'!$B$2:$H$361,7,false),1)="A","W",if(LEFT(VLOOKUP($B184,'Round 1'!$B$2:$H$361,7,false),1)="B","L","")),if(LEFT(VLOOKUP($B184,'Round 1'!$F$2:$H$361,3,false),1)="b","W",if(LEFT(VLOOKUP($B184,'Round 1'!$F$2:$H$361,3,false),1)="a","L","")))</f>
        <v>W</v>
      </c>
      <c r="E184" s="67" t="str">
        <f>iferror(if(LEFT(VLOOKUP($B184,'Round 2'!$C$2:$J$361,8,false),1)="A","W",if(LEFT(VLOOKUP($B184,'Round 2'!$C$2:$J$361,8,false),1)="B","L","")),if(LEFT(VLOOKUP($B184,'Round 2'!$G$2:$J$361,4,false),1)="b","W",if(LEFT(VLOOKUP($B184,'Round 2'!$G$2:$J$361,4,false),1)="a","L","")))</f>
        <v>L</v>
      </c>
      <c r="F184" s="67" t="str">
        <f>iferror(if(LEFT(VLOOKUP($B184,'Round 3'!$B$2:$H$361,7,false),1)="A","W",if(LEFT(VLOOKUP($B184,'Round 3'!$B$2:$H$361,7,false),1)="B","L","")),if(LEFT(VLOOKUP($B184,'Round 3'!$F$2:$H$361,3,false),1)="b","W",if(LEFT(VLOOKUP($B184,'Round 3'!$F$2:$H$361,3,false),1)="a","L","")))</f>
        <v>W</v>
      </c>
      <c r="G184" s="67" t="str">
        <f>iferror(if(LEFT(VLOOKUP($B184,'Round 4'!$B$2:$H$361,7,false),1)="A","W",if(LEFT(VLOOKUP($B184,'Round 4'!$B$2:$H$361,7,false),1)="B","L","")),if(LEFT(VLOOKUP($B184,'Round 4'!$F$2:$H$361,3,false),1)="b","W",if(LEFT(VLOOKUP($B184,'Round 4'!$F$2:$H$361,3,false),1)="a","L","")))</f>
        <v>L</v>
      </c>
      <c r="H184" s="67" t="str">
        <f>iferror(if(LEFT(VLOOKUP($B184,'Round 5'!$B$2:$H$361,7,false),1)="A","W",if(LEFT(VLOOKUP($B184,'Round 5'!$B$2:$H$361,7,false),1)="B","L","")),if(LEFT(VLOOKUP($B184,'Round 5'!$F$2:$H$361,3,false),1)="b","W",if(LEFT(VLOOKUP($B184,'Round 5'!$F$2:$H$361,3,false),1)="a","L","")))</f>
        <v>L</v>
      </c>
      <c r="I184" s="67"/>
      <c r="J184" s="67" t="str">
        <f>iferror(iferror(if(LEFT(VLOOKUP($B184,'Round 7'!$B$2:$H$361,7,false),1)="A","W",if(LEFT(VLOOKUP($B184,'Round 7'!$B$2:$H$361,7,false),1)="B","L","")),if(LEFT(VLOOKUP($B184,'Round 7'!$F$2:$H$361,3,false),1)="b","W",if(LEFT(VLOOKUP($B184,'Round 7'!$F$2:$H$361,3,false),1)="a","L",""))),"")</f>
        <v/>
      </c>
      <c r="K184" s="68" t="str">
        <f>iferror(iferror(if(LEFT(VLOOKUP($B184,'Round 8'!$B$2:$H$361,7,false),1)="A","W",if(LEFT(VLOOKUP($B184,'Round 8'!$B$2:$H$361,7,false),1)="B","L","")),if(LEFT(VLOOKUP($B184,'Round 8'!$F$2:$H$361,3,false),1)="b","W",if(LEFT(VLOOKUP($B184,'Round 8'!$F$2:$H$361,3,false),1)="a","L",""))),"")</f>
        <v/>
      </c>
      <c r="L184" s="68" t="str">
        <f>iferror(iferror(if(LEFT(VLOOKUP($B184,'Round 9'!$B$2:$H$361,7,false),1)="A","W",if(LEFT(VLOOKUP($B184,'Round 9'!$B$2:$H$361,7,false),1)="B","L","")),if(LEFT(VLOOKUP($B184,'Round 9'!$F$2:$H$361,3,false),1)="b","W",if(LEFT(VLOOKUP($B184,'Round 9'!$F$2:$H$361,3,false),1)="a","L",""))),"")</f>
        <v/>
      </c>
      <c r="M184" s="68" t="str">
        <f>iferror(iferror(if(LEFT(VLOOKUP($B184,'Round 10'!$B$2:$H$362,7,false),1)="A","W",if(LEFT(VLOOKUP($B184,'Round 10'!$B$2:$H$362,7,false),1)="B","L","")),if(LEFT(VLOOKUP($B184,'Round 10'!$F$2:$H$362,3,false),1)="b","W",if(LEFT(VLOOKUP($B184,'Round 10'!$F$2:$H$362,3,false),1)="a","L",""))),"")</f>
        <v/>
      </c>
      <c r="N184" s="62" t="s">
        <v>438</v>
      </c>
    </row>
    <row r="185">
      <c r="A185" s="63">
        <v>184.0</v>
      </c>
      <c r="B185" s="64" t="s">
        <v>439</v>
      </c>
      <c r="C185" s="65" t="str">
        <f t="shared" si="1"/>
        <v>7 - 2</v>
      </c>
      <c r="D185" s="67" t="str">
        <f>iferror(if(LEFT(VLOOKUP($B185,'Round 1'!$B$2:$H$361,7,false),1)="A","W",if(LEFT(VLOOKUP($B185,'Round 1'!$B$2:$H$361,7,false),1)="B","L","")),if(LEFT(VLOOKUP($B185,'Round 1'!$F$2:$H$361,3,false),1)="b","W",if(LEFT(VLOOKUP($B185,'Round 1'!$F$2:$H$361,3,false),1)="a","L","")))</f>
        <v>W</v>
      </c>
      <c r="E185" s="67" t="str">
        <f>iferror(if(LEFT(VLOOKUP($B185,'Round 2'!$C$2:$J$361,8,false),1)="A","W",if(LEFT(VLOOKUP($B185,'Round 2'!$C$2:$J$361,8,false),1)="B","L","")),if(LEFT(VLOOKUP($B185,'Round 2'!$G$2:$J$361,4,false),1)="b","W",if(LEFT(VLOOKUP($B185,'Round 2'!$G$2:$J$361,4,false),1)="a","L","")))</f>
        <v>L</v>
      </c>
      <c r="F185" s="67" t="str">
        <f>iferror(if(LEFT(VLOOKUP($B185,'Round 3'!$B$2:$H$361,7,false),1)="A","W",if(LEFT(VLOOKUP($B185,'Round 3'!$B$2:$H$361,7,false),1)="B","L","")),if(LEFT(VLOOKUP($B185,'Round 3'!$F$2:$H$361,3,false),1)="b","W",if(LEFT(VLOOKUP($B185,'Round 3'!$F$2:$H$361,3,false),1)="a","L","")))</f>
        <v>W</v>
      </c>
      <c r="G185" s="67" t="str">
        <f>iferror(if(LEFT(VLOOKUP($B185,'Round 4'!$B$2:$H$361,7,false),1)="A","W",if(LEFT(VLOOKUP($B185,'Round 4'!$B$2:$H$361,7,false),1)="B","L","")),if(LEFT(VLOOKUP($B185,'Round 4'!$F$2:$H$361,3,false),1)="b","W",if(LEFT(VLOOKUP($B185,'Round 4'!$F$2:$H$361,3,false),1)="a","L","")))</f>
        <v>W</v>
      </c>
      <c r="H185" s="67" t="str">
        <f>iferror(if(LEFT(VLOOKUP($B185,'Round 5'!$B$2:$H$361,7,false),1)="A","W",if(LEFT(VLOOKUP($B185,'Round 5'!$B$2:$H$361,7,false),1)="B","L","")),if(LEFT(VLOOKUP($B185,'Round 5'!$F$2:$H$361,3,false),1)="b","W",if(LEFT(VLOOKUP($B185,'Round 5'!$F$2:$H$361,3,false),1)="a","L","")))</f>
        <v>W</v>
      </c>
      <c r="I185" s="67" t="str">
        <f>iferror(if(LEFT(VLOOKUP($B185,'Round 6'!$B$2:$H$361,7,false),1)="A","W",if(LEFT(VLOOKUP($B185,'Round 6'!$B$2:$H$361,7,false),1)="B","L","")),if(LEFT(VLOOKUP($B185,'Round 6'!$F$2:$H$361,3,false),1)="b","W",if(LEFT(VLOOKUP($B185,'Round 6'!$F$2:$H$361,3,false),1)="a","L","")))</f>
        <v>W</v>
      </c>
      <c r="J185" s="67" t="str">
        <f>iferror(iferror(if(LEFT(VLOOKUP($B185,'Round 7'!$B$2:$H$361,7,false),1)="A","W",if(LEFT(VLOOKUP($B185,'Round 7'!$B$2:$H$361,7,false),1)="B","L","")),if(LEFT(VLOOKUP($B185,'Round 7'!$F$2:$H$361,3,false),1)="b","W",if(LEFT(VLOOKUP($B185,'Round 7'!$F$2:$H$361,3,false),1)="a","L",""))),"")</f>
        <v>W</v>
      </c>
      <c r="K185" s="68" t="str">
        <f>iferror(iferror(if(LEFT(VLOOKUP($B185,'Round 8'!$B$2:$H$361,7,false),1)="A","W",if(LEFT(VLOOKUP($B185,'Round 8'!$B$2:$H$361,7,false),1)="B","L","")),if(LEFT(VLOOKUP($B185,'Round 8'!$F$2:$H$361,3,false),1)="b","W",if(LEFT(VLOOKUP($B185,'Round 8'!$F$2:$H$361,3,false),1)="a","L",""))),"")</f>
        <v>L</v>
      </c>
      <c r="L185" s="68" t="str">
        <f>iferror(iferror(if(LEFT(VLOOKUP($B185,'Round 9'!$B$2:$H$361,7,false),1)="A","W",if(LEFT(VLOOKUP($B185,'Round 9'!$B$2:$H$361,7,false),1)="B","L","")),if(LEFT(VLOOKUP($B185,'Round 9'!$F$2:$H$361,3,false),1)="b","W",if(LEFT(VLOOKUP($B185,'Round 9'!$F$2:$H$361,3,false),1)="a","L",""))),"")</f>
        <v>W</v>
      </c>
      <c r="M185" s="68" t="str">
        <f>iferror(iferror(if(LEFT(VLOOKUP($B185,'Round 10'!$B$2:$H$362,7,false),1)="A","W",if(LEFT(VLOOKUP($B185,'Round 10'!$B$2:$H$362,7,false),1)="B","L","")),if(LEFT(VLOOKUP($B185,'Round 10'!$F$2:$H$362,3,false),1)="b","W",if(LEFT(VLOOKUP($B185,'Round 10'!$F$2:$H$362,3,false),1)="a","L",""))),"")</f>
        <v/>
      </c>
      <c r="N185" s="62" t="s">
        <v>440</v>
      </c>
    </row>
    <row r="186">
      <c r="A186" s="63">
        <v>185.0</v>
      </c>
      <c r="B186" s="64" t="s">
        <v>441</v>
      </c>
      <c r="C186" s="65" t="str">
        <f t="shared" si="1"/>
        <v>6 - 3</v>
      </c>
      <c r="D186" s="67" t="str">
        <f>iferror(if(LEFT(VLOOKUP($B186,'Round 1'!$B$2:$H$361,7,false),1)="A","W",if(LEFT(VLOOKUP($B186,'Round 1'!$B$2:$H$361,7,false),1)="B","L","")),if(LEFT(VLOOKUP($B186,'Round 1'!$F$2:$H$361,3,false),1)="b","W",if(LEFT(VLOOKUP($B186,'Round 1'!$F$2:$H$361,3,false),1)="a","L","")))</f>
        <v>W</v>
      </c>
      <c r="E186" s="67" t="str">
        <f>iferror(if(LEFT(VLOOKUP($B186,'Round 2'!$C$2:$J$361,8,false),1)="A","W",if(LEFT(VLOOKUP($B186,'Round 2'!$C$2:$J$361,8,false),1)="B","L","")),if(LEFT(VLOOKUP($B186,'Round 2'!$G$2:$J$361,4,false),1)="b","W",if(LEFT(VLOOKUP($B186,'Round 2'!$G$2:$J$361,4,false),1)="a","L","")))</f>
        <v>W</v>
      </c>
      <c r="F186" s="67" t="str">
        <f>iferror(if(LEFT(VLOOKUP($B186,'Round 3'!$B$2:$H$361,7,false),1)="A","W",if(LEFT(VLOOKUP($B186,'Round 3'!$B$2:$H$361,7,false),1)="B","L","")),if(LEFT(VLOOKUP($B186,'Round 3'!$F$2:$H$361,3,false),1)="b","W",if(LEFT(VLOOKUP($B186,'Round 3'!$F$2:$H$361,3,false),1)="a","L","")))</f>
        <v>W</v>
      </c>
      <c r="G186" s="67" t="str">
        <f>iferror(if(LEFT(VLOOKUP($B186,'Round 4'!$B$2:$H$361,7,false),1)="A","W",if(LEFT(VLOOKUP($B186,'Round 4'!$B$2:$H$361,7,false),1)="B","L","")),if(LEFT(VLOOKUP($B186,'Round 4'!$F$2:$H$361,3,false),1)="b","W",if(LEFT(VLOOKUP($B186,'Round 4'!$F$2:$H$361,3,false),1)="a","L","")))</f>
        <v>W</v>
      </c>
      <c r="H186" s="67" t="str">
        <f>iferror(if(LEFT(VLOOKUP($B186,'Round 5'!$B$2:$H$361,7,false),1)="A","W",if(LEFT(VLOOKUP($B186,'Round 5'!$B$2:$H$361,7,false),1)="B","L","")),if(LEFT(VLOOKUP($B186,'Round 5'!$F$2:$H$361,3,false),1)="b","W",if(LEFT(VLOOKUP($B186,'Round 5'!$F$2:$H$361,3,false),1)="a","L","")))</f>
        <v>W</v>
      </c>
      <c r="I186" s="67" t="str">
        <f>iferror(if(LEFT(VLOOKUP($B186,'Round 6'!$B$2:$H$361,7,false),1)="A","W",if(LEFT(VLOOKUP($B186,'Round 6'!$B$2:$H$361,7,false),1)="B","L","")),if(LEFT(VLOOKUP($B186,'Round 6'!$F$2:$H$361,3,false),1)="b","W",if(LEFT(VLOOKUP($B186,'Round 6'!$F$2:$H$361,3,false),1)="a","L","")))</f>
        <v>L</v>
      </c>
      <c r="J186" s="67" t="str">
        <f>iferror(iferror(if(LEFT(VLOOKUP($B186,'Round 7'!$B$2:$H$361,7,false),1)="A","W",if(LEFT(VLOOKUP($B186,'Round 7'!$B$2:$H$361,7,false),1)="B","L","")),if(LEFT(VLOOKUP($B186,'Round 7'!$F$2:$H$361,3,false),1)="b","W",if(LEFT(VLOOKUP($B186,'Round 7'!$F$2:$H$361,3,false),1)="a","L",""))),"")</f>
        <v>W</v>
      </c>
      <c r="K186" s="68" t="str">
        <f>iferror(iferror(if(LEFT(VLOOKUP($B186,'Round 8'!$B$2:$H$361,7,false),1)="A","W",if(LEFT(VLOOKUP($B186,'Round 8'!$B$2:$H$361,7,false),1)="B","L","")),if(LEFT(VLOOKUP($B186,'Round 8'!$F$2:$H$361,3,false),1)="b","W",if(LEFT(VLOOKUP($B186,'Round 8'!$F$2:$H$361,3,false),1)="a","L",""))),"")</f>
        <v>L</v>
      </c>
      <c r="L186" s="68" t="str">
        <f>iferror(iferror(if(LEFT(VLOOKUP($B186,'Round 9'!$B$2:$H$361,7,false),1)="A","W",if(LEFT(VLOOKUP($B186,'Round 9'!$B$2:$H$361,7,false),1)="B","L","")),if(LEFT(VLOOKUP($B186,'Round 9'!$F$2:$H$361,3,false),1)="b","W",if(LEFT(VLOOKUP($B186,'Round 9'!$F$2:$H$361,3,false),1)="a","L",""))),"")</f>
        <v>L</v>
      </c>
      <c r="M186" s="68" t="str">
        <f>iferror(iferror(if(LEFT(VLOOKUP($B186,'Round 10'!$B$2:$H$362,7,false),1)="A","W",if(LEFT(VLOOKUP($B186,'Round 10'!$B$2:$H$362,7,false),1)="B","L","")),if(LEFT(VLOOKUP($B186,'Round 10'!$F$2:$H$362,3,false),1)="b","W",if(LEFT(VLOOKUP($B186,'Round 10'!$F$2:$H$362,3,false),1)="a","L",""))),"")</f>
        <v/>
      </c>
      <c r="N186" s="62" t="s">
        <v>442</v>
      </c>
    </row>
    <row r="187">
      <c r="A187" s="63">
        <v>186.0</v>
      </c>
      <c r="B187" s="64" t="s">
        <v>443</v>
      </c>
      <c r="C187" s="65" t="str">
        <f t="shared" si="1"/>
        <v>0 - 3</v>
      </c>
      <c r="D187" s="67" t="str">
        <f>iferror(if(LEFT(VLOOKUP($B187,'Round 1'!$B$2:$H$361,7,false),1)="A","W",if(LEFT(VLOOKUP($B187,'Round 1'!$B$2:$H$361,7,false),1)="B","L","")),if(LEFT(VLOOKUP($B187,'Round 1'!$F$2:$H$361,3,false),1)="b","W",if(LEFT(VLOOKUP($B187,'Round 1'!$F$2:$H$361,3,false),1)="a","L","")))</f>
        <v>L</v>
      </c>
      <c r="E187" s="67" t="str">
        <f>iferror(if(LEFT(VLOOKUP($B187,'Round 2'!$C$2:$J$361,8,false),1)="A","W",if(LEFT(VLOOKUP($B187,'Round 2'!$C$2:$J$361,8,false),1)="B","L","")),if(LEFT(VLOOKUP($B187,'Round 2'!$G$2:$J$361,4,false),1)="b","W",if(LEFT(VLOOKUP($B187,'Round 2'!$G$2:$J$361,4,false),1)="a","L","")))</f>
        <v>L</v>
      </c>
      <c r="F187" s="67" t="str">
        <f>iferror(if(LEFT(VLOOKUP($B187,'Round 3'!$B$2:$H$361,7,false),1)="A","W",if(LEFT(VLOOKUP($B187,'Round 3'!$B$2:$H$361,7,false),1)="B","L","")),if(LEFT(VLOOKUP($B187,'Round 3'!$F$2:$H$361,3,false),1)="b","W",if(LEFT(VLOOKUP($B187,'Round 3'!$F$2:$H$361,3,false),1)="a","L","")))</f>
        <v>L</v>
      </c>
      <c r="G187" s="67"/>
      <c r="H187" s="67"/>
      <c r="I187" s="67"/>
      <c r="J187" s="67" t="str">
        <f>iferror(iferror(if(LEFT(VLOOKUP($B187,'Round 7'!$B$2:$H$361,7,false),1)="A","W",if(LEFT(VLOOKUP($B187,'Round 7'!$B$2:$H$361,7,false),1)="B","L","")),if(LEFT(VLOOKUP($B187,'Round 7'!$F$2:$H$361,3,false),1)="b","W",if(LEFT(VLOOKUP($B187,'Round 7'!$F$2:$H$361,3,false),1)="a","L",""))),"")</f>
        <v/>
      </c>
      <c r="K187" s="68" t="str">
        <f>iferror(iferror(if(LEFT(VLOOKUP($B187,'Round 8'!$B$2:$H$361,7,false),1)="A","W",if(LEFT(VLOOKUP($B187,'Round 8'!$B$2:$H$361,7,false),1)="B","L","")),if(LEFT(VLOOKUP($B187,'Round 8'!$F$2:$H$361,3,false),1)="b","W",if(LEFT(VLOOKUP($B187,'Round 8'!$F$2:$H$361,3,false),1)="a","L",""))),"")</f>
        <v/>
      </c>
      <c r="L187" s="68" t="str">
        <f>iferror(iferror(if(LEFT(VLOOKUP($B187,'Round 9'!$B$2:$H$361,7,false),1)="A","W",if(LEFT(VLOOKUP($B187,'Round 9'!$B$2:$H$361,7,false),1)="B","L","")),if(LEFT(VLOOKUP($B187,'Round 9'!$F$2:$H$361,3,false),1)="b","W",if(LEFT(VLOOKUP($B187,'Round 9'!$F$2:$H$361,3,false),1)="a","L",""))),"")</f>
        <v/>
      </c>
      <c r="M187" s="68" t="str">
        <f>iferror(iferror(if(LEFT(VLOOKUP($B187,'Round 10'!$B$2:$H$362,7,false),1)="A","W",if(LEFT(VLOOKUP($B187,'Round 10'!$B$2:$H$362,7,false),1)="B","L","")),if(LEFT(VLOOKUP($B187,'Round 10'!$F$2:$H$362,3,false),1)="b","W",if(LEFT(VLOOKUP($B187,'Round 10'!$F$2:$H$362,3,false),1)="a","L",""))),"")</f>
        <v/>
      </c>
      <c r="N187" s="62" t="s">
        <v>444</v>
      </c>
    </row>
    <row r="188">
      <c r="A188" s="63">
        <v>187.0</v>
      </c>
      <c r="B188" s="64" t="s">
        <v>445</v>
      </c>
      <c r="C188" s="65" t="str">
        <f t="shared" si="1"/>
        <v>4 - 3</v>
      </c>
      <c r="D188" s="67" t="str">
        <f>iferror(if(LEFT(VLOOKUP($B188,'Round 1'!$B$2:$H$361,7,false),1)="A","W",if(LEFT(VLOOKUP($B188,'Round 1'!$B$2:$H$361,7,false),1)="B","L","")),if(LEFT(VLOOKUP($B188,'Round 1'!$F$2:$H$361,3,false),1)="b","W",if(LEFT(VLOOKUP($B188,'Round 1'!$F$2:$H$361,3,false),1)="a","L","")))</f>
        <v>W</v>
      </c>
      <c r="E188" s="67" t="str">
        <f>iferror(if(LEFT(VLOOKUP($B188,'Round 2'!$C$2:$J$361,8,false),1)="A","W",if(LEFT(VLOOKUP($B188,'Round 2'!$C$2:$J$361,8,false),1)="B","L","")),if(LEFT(VLOOKUP($B188,'Round 2'!$G$2:$J$361,4,false),1)="b","W",if(LEFT(VLOOKUP($B188,'Round 2'!$G$2:$J$361,4,false),1)="a","L","")))</f>
        <v>W</v>
      </c>
      <c r="F188" s="67" t="str">
        <f>iferror(if(LEFT(VLOOKUP($B188,'Round 3'!$B$2:$H$361,7,false),1)="A","W",if(LEFT(VLOOKUP($B188,'Round 3'!$B$2:$H$361,7,false),1)="B","L","")),if(LEFT(VLOOKUP($B188,'Round 3'!$F$2:$H$361,3,false),1)="b","W",if(LEFT(VLOOKUP($B188,'Round 3'!$F$2:$H$361,3,false),1)="a","L","")))</f>
        <v>L</v>
      </c>
      <c r="G188" s="67" t="str">
        <f>iferror(if(LEFT(VLOOKUP($B188,'Round 4'!$B$2:$H$361,7,false),1)="A","W",if(LEFT(VLOOKUP($B188,'Round 4'!$B$2:$H$361,7,false),1)="B","L","")),if(LEFT(VLOOKUP($B188,'Round 4'!$F$2:$H$361,3,false),1)="b","W",if(LEFT(VLOOKUP($B188,'Round 4'!$F$2:$H$361,3,false),1)="a","L","")))</f>
        <v>L</v>
      </c>
      <c r="H188" s="67" t="str">
        <f>iferror(if(LEFT(VLOOKUP($B188,'Round 5'!$B$2:$H$361,7,false),1)="A","W",if(LEFT(VLOOKUP($B188,'Round 5'!$B$2:$H$361,7,false),1)="B","L","")),if(LEFT(VLOOKUP($B188,'Round 5'!$F$2:$H$361,3,false),1)="b","W",if(LEFT(VLOOKUP($B188,'Round 5'!$F$2:$H$361,3,false),1)="a","L","")))</f>
        <v>W</v>
      </c>
      <c r="I188" s="67" t="str">
        <f>iferror(if(LEFT(VLOOKUP($B188,'Round 6'!$B$2:$H$361,7,false),1)="A","W",if(LEFT(VLOOKUP($B188,'Round 6'!$B$2:$H$361,7,false),1)="B","L","")),if(LEFT(VLOOKUP($B188,'Round 6'!$F$2:$H$361,3,false),1)="b","W",if(LEFT(VLOOKUP($B188,'Round 6'!$F$2:$H$361,3,false),1)="a","L","")))</f>
        <v>W</v>
      </c>
      <c r="J188" s="67" t="str">
        <f>iferror(iferror(if(LEFT(VLOOKUP($B188,'Round 7'!$B$2:$H$361,7,false),1)="A","W",if(LEFT(VLOOKUP($B188,'Round 7'!$B$2:$H$361,7,false),1)="B","L","")),if(LEFT(VLOOKUP($B188,'Round 7'!$F$2:$H$361,3,false),1)="b","W",if(LEFT(VLOOKUP($B188,'Round 7'!$F$2:$H$361,3,false),1)="a","L",""))),"")</f>
        <v>L</v>
      </c>
      <c r="K188" s="68" t="str">
        <f>iferror(iferror(if(LEFT(VLOOKUP($B188,'Round 8'!$B$2:$H$361,7,false),1)="A","W",if(LEFT(VLOOKUP($B188,'Round 8'!$B$2:$H$361,7,false),1)="B","L","")),if(LEFT(VLOOKUP($B188,'Round 8'!$F$2:$H$361,3,false),1)="b","W",if(LEFT(VLOOKUP($B188,'Round 8'!$F$2:$H$361,3,false),1)="a","L",""))),"")</f>
        <v/>
      </c>
      <c r="L188" s="68" t="str">
        <f>iferror(iferror(if(LEFT(VLOOKUP($B188,'Round 9'!$B$2:$H$361,7,false),1)="A","W",if(LEFT(VLOOKUP($B188,'Round 9'!$B$2:$H$361,7,false),1)="B","L","")),if(LEFT(VLOOKUP($B188,'Round 9'!$F$2:$H$361,3,false),1)="b","W",if(LEFT(VLOOKUP($B188,'Round 9'!$F$2:$H$361,3,false),1)="a","L",""))),"")</f>
        <v/>
      </c>
      <c r="M188" s="68" t="str">
        <f>iferror(iferror(if(LEFT(VLOOKUP($B188,'Round 10'!$B$2:$H$362,7,false),1)="A","W",if(LEFT(VLOOKUP($B188,'Round 10'!$B$2:$H$362,7,false),1)="B","L","")),if(LEFT(VLOOKUP($B188,'Round 10'!$F$2:$H$362,3,false),1)="b","W",if(LEFT(VLOOKUP($B188,'Round 10'!$F$2:$H$362,3,false),1)="a","L",""))),"")</f>
        <v/>
      </c>
      <c r="N188" s="62" t="s">
        <v>446</v>
      </c>
    </row>
    <row r="189">
      <c r="A189" s="63">
        <v>188.0</v>
      </c>
      <c r="B189" s="64" t="s">
        <v>447</v>
      </c>
      <c r="C189" s="65" t="str">
        <f t="shared" si="1"/>
        <v>3 - 3</v>
      </c>
      <c r="D189" s="67" t="str">
        <f>iferror(if(LEFT(VLOOKUP($B189,'Round 1'!$B$2:$H$361,7,false),1)="A","W",if(LEFT(VLOOKUP($B189,'Round 1'!$B$2:$H$361,7,false),1)="B","L","")),if(LEFT(VLOOKUP($B189,'Round 1'!$F$2:$H$361,3,false),1)="b","W",if(LEFT(VLOOKUP($B189,'Round 1'!$F$2:$H$361,3,false),1)="a","L","")))</f>
        <v>L</v>
      </c>
      <c r="E189" s="67" t="str">
        <f>iferror(if(LEFT(VLOOKUP($B189,'Round 2'!$C$2:$J$361,8,false),1)="A","W",if(LEFT(VLOOKUP($B189,'Round 2'!$C$2:$J$361,8,false),1)="B","L","")),if(LEFT(VLOOKUP($B189,'Round 2'!$G$2:$J$361,4,false),1)="b","W",if(LEFT(VLOOKUP($B189,'Round 2'!$G$2:$J$361,4,false),1)="a","L","")))</f>
        <v>L</v>
      </c>
      <c r="F189" s="67" t="str">
        <f>iferror(if(LEFT(VLOOKUP($B189,'Round 3'!$B$2:$H$361,7,false),1)="A","W",if(LEFT(VLOOKUP($B189,'Round 3'!$B$2:$H$361,7,false),1)="B","L","")),if(LEFT(VLOOKUP($B189,'Round 3'!$F$2:$H$361,3,false),1)="b","W",if(LEFT(VLOOKUP($B189,'Round 3'!$F$2:$H$361,3,false),1)="a","L","")))</f>
        <v>W</v>
      </c>
      <c r="G189" s="67" t="str">
        <f>iferror(if(LEFT(VLOOKUP($B189,'Round 4'!$B$2:$H$361,7,false),1)="A","W",if(LEFT(VLOOKUP($B189,'Round 4'!$B$2:$H$361,7,false),1)="B","L","")),if(LEFT(VLOOKUP($B189,'Round 4'!$F$2:$H$361,3,false),1)="b","W",if(LEFT(VLOOKUP($B189,'Round 4'!$F$2:$H$361,3,false),1)="a","L","")))</f>
        <v>W</v>
      </c>
      <c r="H189" s="67" t="str">
        <f>iferror(if(LEFT(VLOOKUP($B189,'Round 5'!$B$2:$H$361,7,false),1)="A","W",if(LEFT(VLOOKUP($B189,'Round 5'!$B$2:$H$361,7,false),1)="B","L","")),if(LEFT(VLOOKUP($B189,'Round 5'!$F$2:$H$361,3,false),1)="b","W",if(LEFT(VLOOKUP($B189,'Round 5'!$F$2:$H$361,3,false),1)="a","L","")))</f>
        <v>W</v>
      </c>
      <c r="I189" s="67" t="str">
        <f>iferror(if(LEFT(VLOOKUP($B189,'Round 6'!$B$2:$H$361,7,false),1)="A","W",if(LEFT(VLOOKUP($B189,'Round 6'!$B$2:$H$361,7,false),1)="B","L","")),if(LEFT(VLOOKUP($B189,'Round 6'!$F$2:$H$361,3,false),1)="b","W",if(LEFT(VLOOKUP($B189,'Round 6'!$F$2:$H$361,3,false),1)="a","L","")))</f>
        <v>L</v>
      </c>
      <c r="J189" s="67" t="str">
        <f>iferror(iferror(if(LEFT(VLOOKUP($B189,'Round 7'!$B$2:$H$361,7,false),1)="A","W",if(LEFT(VLOOKUP($B189,'Round 7'!$B$2:$H$361,7,false),1)="B","L","")),if(LEFT(VLOOKUP($B189,'Round 7'!$F$2:$H$361,3,false),1)="b","W",if(LEFT(VLOOKUP($B189,'Round 7'!$F$2:$H$361,3,false),1)="a","L",""))),"")</f>
        <v/>
      </c>
      <c r="K189" s="68" t="str">
        <f>iferror(iferror(if(LEFT(VLOOKUP($B189,'Round 8'!$B$2:$H$361,7,false),1)="A","W",if(LEFT(VLOOKUP($B189,'Round 8'!$B$2:$H$361,7,false),1)="B","L","")),if(LEFT(VLOOKUP($B189,'Round 8'!$F$2:$H$361,3,false),1)="b","W",if(LEFT(VLOOKUP($B189,'Round 8'!$F$2:$H$361,3,false),1)="a","L",""))),"")</f>
        <v/>
      </c>
      <c r="L189" s="68" t="str">
        <f>iferror(iferror(if(LEFT(VLOOKUP($B189,'Round 9'!$B$2:$H$361,7,false),1)="A","W",if(LEFT(VLOOKUP($B189,'Round 9'!$B$2:$H$361,7,false),1)="B","L","")),if(LEFT(VLOOKUP($B189,'Round 9'!$F$2:$H$361,3,false),1)="b","W",if(LEFT(VLOOKUP($B189,'Round 9'!$F$2:$H$361,3,false),1)="a","L",""))),"")</f>
        <v/>
      </c>
      <c r="M189" s="68" t="str">
        <f>iferror(iferror(if(LEFT(VLOOKUP($B189,'Round 10'!$B$2:$H$362,7,false),1)="A","W",if(LEFT(VLOOKUP($B189,'Round 10'!$B$2:$H$362,7,false),1)="B","L","")),if(LEFT(VLOOKUP($B189,'Round 10'!$F$2:$H$362,3,false),1)="b","W",if(LEFT(VLOOKUP($B189,'Round 10'!$F$2:$H$362,3,false),1)="a","L",""))),"")</f>
        <v/>
      </c>
      <c r="N189" s="62" t="s">
        <v>448</v>
      </c>
    </row>
    <row r="190">
      <c r="A190" s="63">
        <v>189.0</v>
      </c>
      <c r="B190" s="64" t="s">
        <v>449</v>
      </c>
      <c r="C190" s="65" t="str">
        <f t="shared" si="1"/>
        <v>0 - 3</v>
      </c>
      <c r="D190" s="67" t="str">
        <f>iferror(if(LEFT(VLOOKUP($B190,'Round 1'!$B$2:$H$361,7,false),1)="A","W",if(LEFT(VLOOKUP($B190,'Round 1'!$B$2:$H$361,7,false),1)="B","L","")),if(LEFT(VLOOKUP($B190,'Round 1'!$F$2:$H$361,3,false),1)="b","W",if(LEFT(VLOOKUP($B190,'Round 1'!$F$2:$H$361,3,false),1)="a","L","")))</f>
        <v>L</v>
      </c>
      <c r="E190" s="67" t="str">
        <f>iferror(if(LEFT(VLOOKUP($B190,'Round 2'!$C$2:$J$361,8,false),1)="A","W",if(LEFT(VLOOKUP($B190,'Round 2'!$C$2:$J$361,8,false),1)="B","L","")),if(LEFT(VLOOKUP($B190,'Round 2'!$G$2:$J$361,4,false),1)="b","W",if(LEFT(VLOOKUP($B190,'Round 2'!$G$2:$J$361,4,false),1)="a","L","")))</f>
        <v>L</v>
      </c>
      <c r="F190" s="67" t="str">
        <f>iferror(if(LEFT(VLOOKUP($B190,'Round 3'!$B$2:$H$361,7,false),1)="A","W",if(LEFT(VLOOKUP($B190,'Round 3'!$B$2:$H$361,7,false),1)="B","L","")),if(LEFT(VLOOKUP($B190,'Round 3'!$F$2:$H$361,3,false),1)="b","W",if(LEFT(VLOOKUP($B190,'Round 3'!$F$2:$H$361,3,false),1)="a","L","")))</f>
        <v>L</v>
      </c>
      <c r="G190" s="67"/>
      <c r="H190" s="67"/>
      <c r="I190" s="67"/>
      <c r="J190" s="67" t="str">
        <f>iferror(iferror(if(LEFT(VLOOKUP($B190,'Round 7'!$B$2:$H$361,7,false),1)="A","W",if(LEFT(VLOOKUP($B190,'Round 7'!$B$2:$H$361,7,false),1)="B","L","")),if(LEFT(VLOOKUP($B190,'Round 7'!$F$2:$H$361,3,false),1)="b","W",if(LEFT(VLOOKUP($B190,'Round 7'!$F$2:$H$361,3,false),1)="a","L",""))),"")</f>
        <v/>
      </c>
      <c r="K190" s="68" t="str">
        <f>iferror(iferror(if(LEFT(VLOOKUP($B190,'Round 8'!$B$2:$H$361,7,false),1)="A","W",if(LEFT(VLOOKUP($B190,'Round 8'!$B$2:$H$361,7,false),1)="B","L","")),if(LEFT(VLOOKUP($B190,'Round 8'!$F$2:$H$361,3,false),1)="b","W",if(LEFT(VLOOKUP($B190,'Round 8'!$F$2:$H$361,3,false),1)="a","L",""))),"")</f>
        <v/>
      </c>
      <c r="L190" s="68" t="str">
        <f>iferror(iferror(if(LEFT(VLOOKUP($B190,'Round 9'!$B$2:$H$361,7,false),1)="A","W",if(LEFT(VLOOKUP($B190,'Round 9'!$B$2:$H$361,7,false),1)="B","L","")),if(LEFT(VLOOKUP($B190,'Round 9'!$F$2:$H$361,3,false),1)="b","W",if(LEFT(VLOOKUP($B190,'Round 9'!$F$2:$H$361,3,false),1)="a","L",""))),"")</f>
        <v/>
      </c>
      <c r="M190" s="68" t="str">
        <f>iferror(iferror(if(LEFT(VLOOKUP($B190,'Round 10'!$B$2:$H$362,7,false),1)="A","W",if(LEFT(VLOOKUP($B190,'Round 10'!$B$2:$H$362,7,false),1)="B","L","")),if(LEFT(VLOOKUP($B190,'Round 10'!$F$2:$H$362,3,false),1)="b","W",if(LEFT(VLOOKUP($B190,'Round 10'!$F$2:$H$362,3,false),1)="a","L",""))),"")</f>
        <v/>
      </c>
      <c r="N190" s="62" t="s">
        <v>450</v>
      </c>
    </row>
    <row r="191">
      <c r="A191" s="63">
        <v>190.0</v>
      </c>
      <c r="B191" s="64" t="s">
        <v>451</v>
      </c>
      <c r="C191" s="65" t="str">
        <f t="shared" si="1"/>
        <v>1 - 3</v>
      </c>
      <c r="D191" s="67" t="str">
        <f>iferror(if(LEFT(VLOOKUP($B191,'Round 1'!$B$2:$H$361,7,false),1)="A","W",if(LEFT(VLOOKUP($B191,'Round 1'!$B$2:$H$361,7,false),1)="B","L","")),if(LEFT(VLOOKUP($B191,'Round 1'!$F$2:$H$361,3,false),1)="b","W",if(LEFT(VLOOKUP($B191,'Round 1'!$F$2:$H$361,3,false),1)="a","L","")))</f>
        <v>L</v>
      </c>
      <c r="E191" s="67" t="str">
        <f>iferror(if(LEFT(VLOOKUP($B191,'Round 2'!$C$2:$J$361,8,false),1)="A","W",if(LEFT(VLOOKUP($B191,'Round 2'!$C$2:$J$361,8,false),1)="B","L","")),if(LEFT(VLOOKUP($B191,'Round 2'!$G$2:$J$361,4,false),1)="b","W",if(LEFT(VLOOKUP($B191,'Round 2'!$G$2:$J$361,4,false),1)="a","L","")))</f>
        <v>L</v>
      </c>
      <c r="F191" s="67" t="str">
        <f>iferror(if(LEFT(VLOOKUP($B191,'Round 3'!$B$2:$H$361,7,false),1)="A","W",if(LEFT(VLOOKUP($B191,'Round 3'!$B$2:$H$361,7,false),1)="B","L","")),if(LEFT(VLOOKUP($B191,'Round 3'!$F$2:$H$361,3,false),1)="b","W",if(LEFT(VLOOKUP($B191,'Round 3'!$F$2:$H$361,3,false),1)="a","L","")))</f>
        <v>W</v>
      </c>
      <c r="G191" s="67" t="str">
        <f>iferror(if(LEFT(VLOOKUP($B191,'Round 4'!$B$2:$H$361,7,false),1)="A","W",if(LEFT(VLOOKUP($B191,'Round 4'!$B$2:$H$361,7,false),1)="B","L","")),if(LEFT(VLOOKUP($B191,'Round 4'!$F$2:$H$361,3,false),1)="b","W",if(LEFT(VLOOKUP($B191,'Round 4'!$F$2:$H$361,3,false),1)="a","L","")))</f>
        <v>L</v>
      </c>
      <c r="H191" s="67"/>
      <c r="I191" s="67"/>
      <c r="J191" s="67" t="str">
        <f>iferror(iferror(if(LEFT(VLOOKUP($B191,'Round 7'!$B$2:$H$361,7,false),1)="A","W",if(LEFT(VLOOKUP($B191,'Round 7'!$B$2:$H$361,7,false),1)="B","L","")),if(LEFT(VLOOKUP($B191,'Round 7'!$F$2:$H$361,3,false),1)="b","W",if(LEFT(VLOOKUP($B191,'Round 7'!$F$2:$H$361,3,false),1)="a","L",""))),"")</f>
        <v/>
      </c>
      <c r="K191" s="68" t="str">
        <f>iferror(iferror(if(LEFT(VLOOKUP($B191,'Round 8'!$B$2:$H$361,7,false),1)="A","W",if(LEFT(VLOOKUP($B191,'Round 8'!$B$2:$H$361,7,false),1)="B","L","")),if(LEFT(VLOOKUP($B191,'Round 8'!$F$2:$H$361,3,false),1)="b","W",if(LEFT(VLOOKUP($B191,'Round 8'!$F$2:$H$361,3,false),1)="a","L",""))),"")</f>
        <v/>
      </c>
      <c r="L191" s="68" t="str">
        <f>iferror(iferror(if(LEFT(VLOOKUP($B191,'Round 9'!$B$2:$H$361,7,false),1)="A","W",if(LEFT(VLOOKUP($B191,'Round 9'!$B$2:$H$361,7,false),1)="B","L","")),if(LEFT(VLOOKUP($B191,'Round 9'!$F$2:$H$361,3,false),1)="b","W",if(LEFT(VLOOKUP($B191,'Round 9'!$F$2:$H$361,3,false),1)="a","L",""))),"")</f>
        <v/>
      </c>
      <c r="M191" s="68" t="str">
        <f>iferror(iferror(if(LEFT(VLOOKUP($B191,'Round 10'!$B$2:$H$362,7,false),1)="A","W",if(LEFT(VLOOKUP($B191,'Round 10'!$B$2:$H$362,7,false),1)="B","L","")),if(LEFT(VLOOKUP($B191,'Round 10'!$F$2:$H$362,3,false),1)="b","W",if(LEFT(VLOOKUP($B191,'Round 10'!$F$2:$H$362,3,false),1)="a","L",""))),"")</f>
        <v/>
      </c>
      <c r="N191" s="62" t="s">
        <v>452</v>
      </c>
    </row>
    <row r="192">
      <c r="A192" s="63">
        <v>191.0</v>
      </c>
      <c r="B192" s="64" t="s">
        <v>453</v>
      </c>
      <c r="C192" s="65" t="str">
        <f t="shared" si="1"/>
        <v>3 - 3</v>
      </c>
      <c r="D192" s="67" t="str">
        <f>iferror(if(LEFT(VLOOKUP($B192,'Round 1'!$B$2:$H$361,7,false),1)="A","W",if(LEFT(VLOOKUP($B192,'Round 1'!$B$2:$H$361,7,false),1)="B","L","")),if(LEFT(VLOOKUP($B192,'Round 1'!$F$2:$H$361,3,false),1)="b","W",if(LEFT(VLOOKUP($B192,'Round 1'!$F$2:$H$361,3,false),1)="a","L","")))</f>
        <v>W</v>
      </c>
      <c r="E192" s="67" t="str">
        <f>iferror(if(LEFT(VLOOKUP($B192,'Round 2'!$C$2:$J$361,8,false),1)="A","W",if(LEFT(VLOOKUP($B192,'Round 2'!$C$2:$J$361,8,false),1)="B","L","")),if(LEFT(VLOOKUP($B192,'Round 2'!$G$2:$J$361,4,false),1)="b","W",if(LEFT(VLOOKUP($B192,'Round 2'!$G$2:$J$361,4,false),1)="a","L","")))</f>
        <v>W</v>
      </c>
      <c r="F192" s="67" t="str">
        <f>iferror(if(LEFT(VLOOKUP($B192,'Round 3'!$B$2:$H$361,7,false),1)="A","W",if(LEFT(VLOOKUP($B192,'Round 3'!$B$2:$H$361,7,false),1)="B","L","")),if(LEFT(VLOOKUP($B192,'Round 3'!$F$2:$H$361,3,false),1)="b","W",if(LEFT(VLOOKUP($B192,'Round 3'!$F$2:$H$361,3,false),1)="a","L","")))</f>
        <v>W</v>
      </c>
      <c r="G192" s="67" t="str">
        <f>iferror(if(LEFT(VLOOKUP($B192,'Round 4'!$B$2:$H$361,7,false),1)="A","W",if(LEFT(VLOOKUP($B192,'Round 4'!$B$2:$H$361,7,false),1)="B","L","")),if(LEFT(VLOOKUP($B192,'Round 4'!$F$2:$H$361,3,false),1)="b","W",if(LEFT(VLOOKUP($B192,'Round 4'!$F$2:$H$361,3,false),1)="a","L","")))</f>
        <v>L</v>
      </c>
      <c r="H192" s="67" t="str">
        <f>iferror(if(LEFT(VLOOKUP($B192,'Round 5'!$B$2:$H$361,7,false),1)="A","W",if(LEFT(VLOOKUP($B192,'Round 5'!$B$2:$H$361,7,false),1)="B","L","")),if(LEFT(VLOOKUP($B192,'Round 5'!$F$2:$H$361,3,false),1)="b","W",if(LEFT(VLOOKUP($B192,'Round 5'!$F$2:$H$361,3,false),1)="a","L","")))</f>
        <v>L</v>
      </c>
      <c r="I192" s="67" t="str">
        <f>iferror(if(LEFT(VLOOKUP($B192,'Round 6'!$B$2:$H$361,7,false),1)="A","W",if(LEFT(VLOOKUP($B192,'Round 6'!$B$2:$H$361,7,false),1)="B","L","")),if(LEFT(VLOOKUP($B192,'Round 6'!$F$2:$H$361,3,false),1)="b","W",if(LEFT(VLOOKUP($B192,'Round 6'!$F$2:$H$361,3,false),1)="a","L","")))</f>
        <v>L</v>
      </c>
      <c r="J192" s="67" t="str">
        <f>iferror(iferror(if(LEFT(VLOOKUP($B192,'Round 7'!$B$2:$H$361,7,false),1)="A","W",if(LEFT(VLOOKUP($B192,'Round 7'!$B$2:$H$361,7,false),1)="B","L","")),if(LEFT(VLOOKUP($B192,'Round 7'!$F$2:$H$361,3,false),1)="b","W",if(LEFT(VLOOKUP($B192,'Round 7'!$F$2:$H$361,3,false),1)="a","L",""))),"")</f>
        <v/>
      </c>
      <c r="K192" s="68" t="str">
        <f>iferror(iferror(if(LEFT(VLOOKUP($B192,'Round 8'!$B$2:$H$361,7,false),1)="A","W",if(LEFT(VLOOKUP($B192,'Round 8'!$B$2:$H$361,7,false),1)="B","L","")),if(LEFT(VLOOKUP($B192,'Round 8'!$F$2:$H$361,3,false),1)="b","W",if(LEFT(VLOOKUP($B192,'Round 8'!$F$2:$H$361,3,false),1)="a","L",""))),"")</f>
        <v/>
      </c>
      <c r="L192" s="68" t="str">
        <f>iferror(iferror(if(LEFT(VLOOKUP($B192,'Round 9'!$B$2:$H$361,7,false),1)="A","W",if(LEFT(VLOOKUP($B192,'Round 9'!$B$2:$H$361,7,false),1)="B","L","")),if(LEFT(VLOOKUP($B192,'Round 9'!$F$2:$H$361,3,false),1)="b","W",if(LEFT(VLOOKUP($B192,'Round 9'!$F$2:$H$361,3,false),1)="a","L",""))),"")</f>
        <v/>
      </c>
      <c r="M192" s="68" t="str">
        <f>iferror(iferror(if(LEFT(VLOOKUP($B192,'Round 10'!$B$2:$H$362,7,false),1)="A","W",if(LEFT(VLOOKUP($B192,'Round 10'!$B$2:$H$362,7,false),1)="B","L","")),if(LEFT(VLOOKUP($B192,'Round 10'!$F$2:$H$362,3,false),1)="b","W",if(LEFT(VLOOKUP($B192,'Round 10'!$F$2:$H$362,3,false),1)="a","L",""))),"")</f>
        <v/>
      </c>
      <c r="N192" s="62" t="s">
        <v>454</v>
      </c>
    </row>
    <row r="193">
      <c r="A193" s="63">
        <v>192.0</v>
      </c>
      <c r="B193" s="64" t="s">
        <v>455</v>
      </c>
      <c r="C193" s="65" t="str">
        <f t="shared" si="1"/>
        <v>4 - 3</v>
      </c>
      <c r="D193" s="67" t="str">
        <f>iferror(if(LEFT(VLOOKUP($B193,'Round 1'!$B$2:$H$361,7,false),1)="A","W",if(LEFT(VLOOKUP($B193,'Round 1'!$B$2:$H$361,7,false),1)="B","L","")),if(LEFT(VLOOKUP($B193,'Round 1'!$F$2:$H$361,3,false),1)="b","W",if(LEFT(VLOOKUP($B193,'Round 1'!$F$2:$H$361,3,false),1)="a","L","")))</f>
        <v>W</v>
      </c>
      <c r="E193" s="67" t="str">
        <f>iferror(if(LEFT(VLOOKUP($B193,'Round 2'!$C$2:$J$361,8,false),1)="A","W",if(LEFT(VLOOKUP($B193,'Round 2'!$C$2:$J$361,8,false),1)="B","L","")),if(LEFT(VLOOKUP($B193,'Round 2'!$G$2:$J$361,4,false),1)="b","W",if(LEFT(VLOOKUP($B193,'Round 2'!$G$2:$J$361,4,false),1)="a","L","")))</f>
        <v>L</v>
      </c>
      <c r="F193" s="67" t="str">
        <f>iferror(if(LEFT(VLOOKUP($B193,'Round 3'!$B$2:$H$361,7,false),1)="A","W",if(LEFT(VLOOKUP($B193,'Round 3'!$B$2:$H$361,7,false),1)="B","L","")),if(LEFT(VLOOKUP($B193,'Round 3'!$F$2:$H$361,3,false),1)="b","W",if(LEFT(VLOOKUP($B193,'Round 3'!$F$2:$H$361,3,false),1)="a","L","")))</f>
        <v>W</v>
      </c>
      <c r="G193" s="67" t="str">
        <f>iferror(if(LEFT(VLOOKUP($B193,'Round 4'!$B$2:$H$361,7,false),1)="A","W",if(LEFT(VLOOKUP($B193,'Round 4'!$B$2:$H$361,7,false),1)="B","L","")),if(LEFT(VLOOKUP($B193,'Round 4'!$F$2:$H$361,3,false),1)="b","W",if(LEFT(VLOOKUP($B193,'Round 4'!$F$2:$H$361,3,false),1)="a","L","")))</f>
        <v>W</v>
      </c>
      <c r="H193" s="67" t="str">
        <f>iferror(if(LEFT(VLOOKUP($B193,'Round 5'!$B$2:$H$361,7,false),1)="A","W",if(LEFT(VLOOKUP($B193,'Round 5'!$B$2:$H$361,7,false),1)="B","L","")),if(LEFT(VLOOKUP($B193,'Round 5'!$F$2:$H$361,3,false),1)="b","W",if(LEFT(VLOOKUP($B193,'Round 5'!$F$2:$H$361,3,false),1)="a","L","")))</f>
        <v>W</v>
      </c>
      <c r="I193" s="67" t="str">
        <f>iferror(if(LEFT(VLOOKUP($B193,'Round 6'!$B$2:$H$361,7,false),1)="A","W",if(LEFT(VLOOKUP($B193,'Round 6'!$B$2:$H$361,7,false),1)="B","L","")),if(LEFT(VLOOKUP($B193,'Round 6'!$F$2:$H$361,3,false),1)="b","W",if(LEFT(VLOOKUP($B193,'Round 6'!$F$2:$H$361,3,false),1)="a","L","")))</f>
        <v>L</v>
      </c>
      <c r="J193" s="67" t="str">
        <f>iferror(iferror(if(LEFT(VLOOKUP($B193,'Round 7'!$B$2:$H$361,7,false),1)="A","W",if(LEFT(VLOOKUP($B193,'Round 7'!$B$2:$H$361,7,false),1)="B","L","")),if(LEFT(VLOOKUP($B193,'Round 7'!$F$2:$H$361,3,false),1)="b","W",if(LEFT(VLOOKUP($B193,'Round 7'!$F$2:$H$361,3,false),1)="a","L",""))),"")</f>
        <v>L</v>
      </c>
      <c r="K193" s="68" t="str">
        <f>iferror(iferror(if(LEFT(VLOOKUP($B193,'Round 8'!$B$2:$H$361,7,false),1)="A","W",if(LEFT(VLOOKUP($B193,'Round 8'!$B$2:$H$361,7,false),1)="B","L","")),if(LEFT(VLOOKUP($B193,'Round 8'!$F$2:$H$361,3,false),1)="b","W",if(LEFT(VLOOKUP($B193,'Round 8'!$F$2:$H$361,3,false),1)="a","L",""))),"")</f>
        <v/>
      </c>
      <c r="L193" s="68" t="str">
        <f>iferror(iferror(if(LEFT(VLOOKUP($B193,'Round 9'!$B$2:$H$361,7,false),1)="A","W",if(LEFT(VLOOKUP($B193,'Round 9'!$B$2:$H$361,7,false),1)="B","L","")),if(LEFT(VLOOKUP($B193,'Round 9'!$F$2:$H$361,3,false),1)="b","W",if(LEFT(VLOOKUP($B193,'Round 9'!$F$2:$H$361,3,false),1)="a","L",""))),"")</f>
        <v/>
      </c>
      <c r="M193" s="68" t="str">
        <f>iferror(iferror(if(LEFT(VLOOKUP($B193,'Round 10'!$B$2:$H$362,7,false),1)="A","W",if(LEFT(VLOOKUP($B193,'Round 10'!$B$2:$H$362,7,false),1)="B","L","")),if(LEFT(VLOOKUP($B193,'Round 10'!$F$2:$H$362,3,false),1)="b","W",if(LEFT(VLOOKUP($B193,'Round 10'!$F$2:$H$362,3,false),1)="a","L",""))),"")</f>
        <v/>
      </c>
      <c r="N193" s="62" t="s">
        <v>456</v>
      </c>
    </row>
    <row r="194">
      <c r="A194" s="63">
        <v>193.0</v>
      </c>
      <c r="B194" s="64" t="s">
        <v>457</v>
      </c>
      <c r="C194" s="65" t="str">
        <f t="shared" si="1"/>
        <v>3 - 3</v>
      </c>
      <c r="D194" s="67" t="str">
        <f>iferror(if(LEFT(VLOOKUP($B194,'Round 1'!$B$2:$H$361,7,false),1)="A","W",if(LEFT(VLOOKUP($B194,'Round 1'!$B$2:$H$361,7,false),1)="B","L","")),if(LEFT(VLOOKUP($B194,'Round 1'!$F$2:$H$361,3,false),1)="b","W",if(LEFT(VLOOKUP($B194,'Round 1'!$F$2:$H$361,3,false),1)="a","L","")))</f>
        <v>W</v>
      </c>
      <c r="E194" s="67" t="str">
        <f>iferror(if(LEFT(VLOOKUP($B194,'Round 2'!$C$2:$J$361,8,false),1)="A","W",if(LEFT(VLOOKUP($B194,'Round 2'!$C$2:$J$361,8,false),1)="B","L","")),if(LEFT(VLOOKUP($B194,'Round 2'!$G$2:$J$361,4,false),1)="b","W",if(LEFT(VLOOKUP($B194,'Round 2'!$G$2:$J$361,4,false),1)="a","L","")))</f>
        <v>W</v>
      </c>
      <c r="F194" s="67" t="str">
        <f>iferror(if(LEFT(VLOOKUP($B194,'Round 3'!$B$2:$H$361,7,false),1)="A","W",if(LEFT(VLOOKUP($B194,'Round 3'!$B$2:$H$361,7,false),1)="B","L","")),if(LEFT(VLOOKUP($B194,'Round 3'!$F$2:$H$361,3,false),1)="b","W",if(LEFT(VLOOKUP($B194,'Round 3'!$F$2:$H$361,3,false),1)="a","L","")))</f>
        <v>W</v>
      </c>
      <c r="G194" s="67" t="str">
        <f>iferror(if(LEFT(VLOOKUP($B194,'Round 4'!$B$2:$H$361,7,false),1)="A","W",if(LEFT(VLOOKUP($B194,'Round 4'!$B$2:$H$361,7,false),1)="B","L","")),if(LEFT(VLOOKUP($B194,'Round 4'!$F$2:$H$361,3,false),1)="b","W",if(LEFT(VLOOKUP($B194,'Round 4'!$F$2:$H$361,3,false),1)="a","L","")))</f>
        <v>L</v>
      </c>
      <c r="H194" s="67" t="str">
        <f>iferror(if(LEFT(VLOOKUP($B194,'Round 5'!$B$2:$H$361,7,false),1)="A","W",if(LEFT(VLOOKUP($B194,'Round 5'!$B$2:$H$361,7,false),1)="B","L","")),if(LEFT(VLOOKUP($B194,'Round 5'!$F$2:$H$361,3,false),1)="b","W",if(LEFT(VLOOKUP($B194,'Round 5'!$F$2:$H$361,3,false),1)="a","L","")))</f>
        <v>L</v>
      </c>
      <c r="I194" s="67" t="str">
        <f>iferror(if(LEFT(VLOOKUP($B194,'Round 6'!$B$2:$H$361,7,false),1)="A","W",if(LEFT(VLOOKUP($B194,'Round 6'!$B$2:$H$361,7,false),1)="B","L","")),if(LEFT(VLOOKUP($B194,'Round 6'!$F$2:$H$361,3,false),1)="b","W",if(LEFT(VLOOKUP($B194,'Round 6'!$F$2:$H$361,3,false),1)="a","L","")))</f>
        <v>L</v>
      </c>
      <c r="J194" s="67" t="str">
        <f>iferror(iferror(if(LEFT(VLOOKUP($B194,'Round 7'!$B$2:$H$361,7,false),1)="A","W",if(LEFT(VLOOKUP($B194,'Round 7'!$B$2:$H$361,7,false),1)="B","L","")),if(LEFT(VLOOKUP($B194,'Round 7'!$F$2:$H$361,3,false),1)="b","W",if(LEFT(VLOOKUP($B194,'Round 7'!$F$2:$H$361,3,false),1)="a","L",""))),"")</f>
        <v/>
      </c>
      <c r="K194" s="68" t="str">
        <f>iferror(iferror(if(LEFT(VLOOKUP($B194,'Round 8'!$B$2:$H$361,7,false),1)="A","W",if(LEFT(VLOOKUP($B194,'Round 8'!$B$2:$H$361,7,false),1)="B","L","")),if(LEFT(VLOOKUP($B194,'Round 8'!$F$2:$H$361,3,false),1)="b","W",if(LEFT(VLOOKUP($B194,'Round 8'!$F$2:$H$361,3,false),1)="a","L",""))),"")</f>
        <v/>
      </c>
      <c r="L194" s="68" t="str">
        <f>iferror(iferror(if(LEFT(VLOOKUP($B194,'Round 9'!$B$2:$H$361,7,false),1)="A","W",if(LEFT(VLOOKUP($B194,'Round 9'!$B$2:$H$361,7,false),1)="B","L","")),if(LEFT(VLOOKUP($B194,'Round 9'!$F$2:$H$361,3,false),1)="b","W",if(LEFT(VLOOKUP($B194,'Round 9'!$F$2:$H$361,3,false),1)="a","L",""))),"")</f>
        <v/>
      </c>
      <c r="M194" s="68" t="str">
        <f>iferror(iferror(if(LEFT(VLOOKUP($B194,'Round 10'!$B$2:$H$362,7,false),1)="A","W",if(LEFT(VLOOKUP($B194,'Round 10'!$B$2:$H$362,7,false),1)="B","L","")),if(LEFT(VLOOKUP($B194,'Round 10'!$F$2:$H$362,3,false),1)="b","W",if(LEFT(VLOOKUP($B194,'Round 10'!$F$2:$H$362,3,false),1)="a","L",""))),"")</f>
        <v/>
      </c>
      <c r="N194" s="62" t="s">
        <v>458</v>
      </c>
    </row>
    <row r="195">
      <c r="A195" s="63">
        <v>194.0</v>
      </c>
      <c r="B195" s="64" t="s">
        <v>459</v>
      </c>
      <c r="C195" s="65" t="str">
        <f t="shared" si="1"/>
        <v>4 - 3</v>
      </c>
      <c r="D195" s="67" t="str">
        <f>iferror(if(LEFT(VLOOKUP($B195,'Round 1'!$B$2:$H$361,7,false),1)="A","W",if(LEFT(VLOOKUP($B195,'Round 1'!$B$2:$H$361,7,false),1)="B","L","")),if(LEFT(VLOOKUP($B195,'Round 1'!$F$2:$H$361,3,false),1)="b","W",if(LEFT(VLOOKUP($B195,'Round 1'!$F$2:$H$361,3,false),1)="a","L","")))</f>
        <v>W</v>
      </c>
      <c r="E195" s="67" t="str">
        <f>iferror(if(LEFT(VLOOKUP($B195,'Round 2'!$C$2:$J$361,8,false),1)="A","W",if(LEFT(VLOOKUP($B195,'Round 2'!$C$2:$J$361,8,false),1)="B","L","")),if(LEFT(VLOOKUP($B195,'Round 2'!$G$2:$J$361,4,false),1)="b","W",if(LEFT(VLOOKUP($B195,'Round 2'!$G$2:$J$361,4,false),1)="a","L","")))</f>
        <v>L</v>
      </c>
      <c r="F195" s="67" t="str">
        <f>iferror(if(LEFT(VLOOKUP($B195,'Round 3'!$B$2:$H$361,7,false),1)="A","W",if(LEFT(VLOOKUP($B195,'Round 3'!$B$2:$H$361,7,false),1)="B","L","")),if(LEFT(VLOOKUP($B195,'Round 3'!$F$2:$H$361,3,false),1)="b","W",if(LEFT(VLOOKUP($B195,'Round 3'!$F$2:$H$361,3,false),1)="a","L","")))</f>
        <v>W</v>
      </c>
      <c r="G195" s="67" t="str">
        <f>iferror(if(LEFT(VLOOKUP($B195,'Round 4'!$B$2:$H$361,7,false),1)="A","W",if(LEFT(VLOOKUP($B195,'Round 4'!$B$2:$H$361,7,false),1)="B","L","")),if(LEFT(VLOOKUP($B195,'Round 4'!$F$2:$H$361,3,false),1)="b","W",if(LEFT(VLOOKUP($B195,'Round 4'!$F$2:$H$361,3,false),1)="a","L","")))</f>
        <v>W</v>
      </c>
      <c r="H195" s="67" t="str">
        <f>iferror(if(LEFT(VLOOKUP($B195,'Round 5'!$B$2:$H$361,7,false),1)="A","W",if(LEFT(VLOOKUP($B195,'Round 5'!$B$2:$H$361,7,false),1)="B","L","")),if(LEFT(VLOOKUP($B195,'Round 5'!$F$2:$H$361,3,false),1)="b","W",if(LEFT(VLOOKUP($B195,'Round 5'!$F$2:$H$361,3,false),1)="a","L","")))</f>
        <v>W</v>
      </c>
      <c r="I195" s="67" t="str">
        <f>iferror(if(LEFT(VLOOKUP($B195,'Round 6'!$B$2:$H$361,7,false),1)="A","W",if(LEFT(VLOOKUP($B195,'Round 6'!$B$2:$H$361,7,false),1)="B","L","")),if(LEFT(VLOOKUP($B195,'Round 6'!$F$2:$H$361,3,false),1)="b","W",if(LEFT(VLOOKUP($B195,'Round 6'!$F$2:$H$361,3,false),1)="a","L","")))</f>
        <v>L</v>
      </c>
      <c r="J195" s="67" t="str">
        <f>iferror(iferror(if(LEFT(VLOOKUP($B195,'Round 7'!$B$2:$H$361,7,false),1)="A","W",if(LEFT(VLOOKUP($B195,'Round 7'!$B$2:$H$361,7,false),1)="B","L","")),if(LEFT(VLOOKUP($B195,'Round 7'!$F$2:$H$361,3,false),1)="b","W",if(LEFT(VLOOKUP($B195,'Round 7'!$F$2:$H$361,3,false),1)="a","L",""))),"")</f>
        <v>L</v>
      </c>
      <c r="K195" s="68" t="str">
        <f>iferror(iferror(if(LEFT(VLOOKUP($B195,'Round 8'!$B$2:$H$361,7,false),1)="A","W",if(LEFT(VLOOKUP($B195,'Round 8'!$B$2:$H$361,7,false),1)="B","L","")),if(LEFT(VLOOKUP($B195,'Round 8'!$F$2:$H$361,3,false),1)="b","W",if(LEFT(VLOOKUP($B195,'Round 8'!$F$2:$H$361,3,false),1)="a","L",""))),"")</f>
        <v/>
      </c>
      <c r="L195" s="68" t="str">
        <f>iferror(iferror(if(LEFT(VLOOKUP($B195,'Round 9'!$B$2:$H$361,7,false),1)="A","W",if(LEFT(VLOOKUP($B195,'Round 9'!$B$2:$H$361,7,false),1)="B","L","")),if(LEFT(VLOOKUP($B195,'Round 9'!$F$2:$H$361,3,false),1)="b","W",if(LEFT(VLOOKUP($B195,'Round 9'!$F$2:$H$361,3,false),1)="a","L",""))),"")</f>
        <v/>
      </c>
      <c r="M195" s="68" t="str">
        <f>iferror(iferror(if(LEFT(VLOOKUP($B195,'Round 10'!$B$2:$H$362,7,false),1)="A","W",if(LEFT(VLOOKUP($B195,'Round 10'!$B$2:$H$362,7,false),1)="B","L","")),if(LEFT(VLOOKUP($B195,'Round 10'!$F$2:$H$362,3,false),1)="b","W",if(LEFT(VLOOKUP($B195,'Round 10'!$F$2:$H$362,3,false),1)="a","L",""))),"")</f>
        <v/>
      </c>
      <c r="N195" s="62" t="s">
        <v>460</v>
      </c>
    </row>
    <row r="196">
      <c r="A196" s="63">
        <v>195.0</v>
      </c>
      <c r="B196" s="64" t="s">
        <v>461</v>
      </c>
      <c r="C196" s="65" t="str">
        <f t="shared" si="1"/>
        <v>1 - 3</v>
      </c>
      <c r="D196" s="67" t="str">
        <f>iferror(if(LEFT(VLOOKUP($B196,'Round 1'!$B$2:$H$361,7,false),1)="A","W",if(LEFT(VLOOKUP($B196,'Round 1'!$B$2:$H$361,7,false),1)="B","L","")),if(LEFT(VLOOKUP($B196,'Round 1'!$F$2:$H$361,3,false),1)="b","W",if(LEFT(VLOOKUP($B196,'Round 1'!$F$2:$H$361,3,false),1)="a","L","")))</f>
        <v>L</v>
      </c>
      <c r="E196" s="67" t="str">
        <f>iferror(if(LEFT(VLOOKUP($B196,'Round 2'!$C$2:$J$361,8,false),1)="A","W",if(LEFT(VLOOKUP($B196,'Round 2'!$C$2:$J$361,8,false),1)="B","L","")),if(LEFT(VLOOKUP($B196,'Round 2'!$G$2:$J$361,4,false),1)="b","W",if(LEFT(VLOOKUP($B196,'Round 2'!$G$2:$J$361,4,false),1)="a","L","")))</f>
        <v>W</v>
      </c>
      <c r="F196" s="67" t="str">
        <f>iferror(if(LEFT(VLOOKUP($B196,'Round 3'!$B$2:$H$361,7,false),1)="A","W",if(LEFT(VLOOKUP($B196,'Round 3'!$B$2:$H$361,7,false),1)="B","L","")),if(LEFT(VLOOKUP($B196,'Round 3'!$F$2:$H$361,3,false),1)="b","W",if(LEFT(VLOOKUP($B196,'Round 3'!$F$2:$H$361,3,false),1)="a","L","")))</f>
        <v>L</v>
      </c>
      <c r="G196" s="67" t="str">
        <f>iferror(if(LEFT(VLOOKUP($B196,'Round 4'!$B$2:$H$361,7,false),1)="A","W",if(LEFT(VLOOKUP($B196,'Round 4'!$B$2:$H$361,7,false),1)="B","L","")),if(LEFT(VLOOKUP($B196,'Round 4'!$F$2:$H$361,3,false),1)="b","W",if(LEFT(VLOOKUP($B196,'Round 4'!$F$2:$H$361,3,false),1)="a","L","")))</f>
        <v>L</v>
      </c>
      <c r="H196" s="67"/>
      <c r="I196" s="67"/>
      <c r="J196" s="67" t="str">
        <f>iferror(iferror(if(LEFT(VLOOKUP($B196,'Round 7'!$B$2:$H$361,7,false),1)="A","W",if(LEFT(VLOOKUP($B196,'Round 7'!$B$2:$H$361,7,false),1)="B","L","")),if(LEFT(VLOOKUP($B196,'Round 7'!$F$2:$H$361,3,false),1)="b","W",if(LEFT(VLOOKUP($B196,'Round 7'!$F$2:$H$361,3,false),1)="a","L",""))),"")</f>
        <v/>
      </c>
      <c r="K196" s="68" t="str">
        <f>iferror(iferror(if(LEFT(VLOOKUP($B196,'Round 8'!$B$2:$H$361,7,false),1)="A","W",if(LEFT(VLOOKUP($B196,'Round 8'!$B$2:$H$361,7,false),1)="B","L","")),if(LEFT(VLOOKUP($B196,'Round 8'!$F$2:$H$361,3,false),1)="b","W",if(LEFT(VLOOKUP($B196,'Round 8'!$F$2:$H$361,3,false),1)="a","L",""))),"")</f>
        <v/>
      </c>
      <c r="L196" s="68" t="str">
        <f>iferror(iferror(if(LEFT(VLOOKUP($B196,'Round 9'!$B$2:$H$361,7,false),1)="A","W",if(LEFT(VLOOKUP($B196,'Round 9'!$B$2:$H$361,7,false),1)="B","L","")),if(LEFT(VLOOKUP($B196,'Round 9'!$F$2:$H$361,3,false),1)="b","W",if(LEFT(VLOOKUP($B196,'Round 9'!$F$2:$H$361,3,false),1)="a","L",""))),"")</f>
        <v/>
      </c>
      <c r="M196" s="68" t="str">
        <f>iferror(iferror(if(LEFT(VLOOKUP($B196,'Round 10'!$B$2:$H$362,7,false),1)="A","W",if(LEFT(VLOOKUP($B196,'Round 10'!$B$2:$H$362,7,false),1)="B","L","")),if(LEFT(VLOOKUP($B196,'Round 10'!$F$2:$H$362,3,false),1)="b","W",if(LEFT(VLOOKUP($B196,'Round 10'!$F$2:$H$362,3,false),1)="a","L",""))),"")</f>
        <v/>
      </c>
      <c r="N196" s="62" t="s">
        <v>462</v>
      </c>
    </row>
    <row r="197">
      <c r="A197" s="63">
        <v>196.0</v>
      </c>
      <c r="B197" s="64" t="s">
        <v>463</v>
      </c>
      <c r="C197" s="65" t="str">
        <f t="shared" si="1"/>
        <v>2 - 3</v>
      </c>
      <c r="D197" s="67" t="str">
        <f>iferror(if(LEFT(VLOOKUP($B197,'Round 1'!$B$2:$H$361,7,false),1)="A","W",if(LEFT(VLOOKUP($B197,'Round 1'!$B$2:$H$361,7,false),1)="B","L","")),if(LEFT(VLOOKUP($B197,'Round 1'!$F$2:$H$361,3,false),1)="b","W",if(LEFT(VLOOKUP($B197,'Round 1'!$F$2:$H$361,3,false),1)="a","L","")))</f>
        <v>W</v>
      </c>
      <c r="E197" s="67" t="str">
        <f>iferror(if(LEFT(VLOOKUP($B197,'Round 2'!$C$2:$J$361,8,false),1)="A","W",if(LEFT(VLOOKUP($B197,'Round 2'!$C$2:$J$361,8,false),1)="B","L","")),if(LEFT(VLOOKUP($B197,'Round 2'!$G$2:$J$361,4,false),1)="b","W",if(LEFT(VLOOKUP($B197,'Round 2'!$G$2:$J$361,4,false),1)="a","L","")))</f>
        <v>L</v>
      </c>
      <c r="F197" s="67" t="str">
        <f>iferror(if(LEFT(VLOOKUP($B197,'Round 3'!$B$2:$H$361,7,false),1)="A","W",if(LEFT(VLOOKUP($B197,'Round 3'!$B$2:$H$361,7,false),1)="B","L","")),if(LEFT(VLOOKUP($B197,'Round 3'!$F$2:$H$361,3,false),1)="b","W",if(LEFT(VLOOKUP($B197,'Round 3'!$F$2:$H$361,3,false),1)="a","L","")))</f>
        <v>L</v>
      </c>
      <c r="G197" s="67" t="str">
        <f>iferror(if(LEFT(VLOOKUP($B197,'Round 4'!$B$2:$H$361,7,false),1)="A","W",if(LEFT(VLOOKUP($B197,'Round 4'!$B$2:$H$361,7,false),1)="B","L","")),if(LEFT(VLOOKUP($B197,'Round 4'!$F$2:$H$361,3,false),1)="b","W",if(LEFT(VLOOKUP($B197,'Round 4'!$F$2:$H$361,3,false),1)="a","L","")))</f>
        <v>W</v>
      </c>
      <c r="H197" s="67" t="str">
        <f>iferror(if(LEFT(VLOOKUP($B197,'Round 5'!$B$2:$H$361,7,false),1)="A","W",if(LEFT(VLOOKUP($B197,'Round 5'!$B$2:$H$361,7,false),1)="B","L","")),if(LEFT(VLOOKUP($B197,'Round 5'!$F$2:$H$361,3,false),1)="b","W",if(LEFT(VLOOKUP($B197,'Round 5'!$F$2:$H$361,3,false),1)="a","L","")))</f>
        <v>L</v>
      </c>
      <c r="I197" s="67"/>
      <c r="J197" s="67" t="str">
        <f>iferror(iferror(if(LEFT(VLOOKUP($B197,'Round 7'!$B$2:$H$361,7,false),1)="A","W",if(LEFT(VLOOKUP($B197,'Round 7'!$B$2:$H$361,7,false),1)="B","L","")),if(LEFT(VLOOKUP($B197,'Round 7'!$F$2:$H$361,3,false),1)="b","W",if(LEFT(VLOOKUP($B197,'Round 7'!$F$2:$H$361,3,false),1)="a","L",""))),"")</f>
        <v/>
      </c>
      <c r="K197" s="68" t="str">
        <f>iferror(iferror(if(LEFT(VLOOKUP($B197,'Round 8'!$B$2:$H$361,7,false),1)="A","W",if(LEFT(VLOOKUP($B197,'Round 8'!$B$2:$H$361,7,false),1)="B","L","")),if(LEFT(VLOOKUP($B197,'Round 8'!$F$2:$H$361,3,false),1)="b","W",if(LEFT(VLOOKUP($B197,'Round 8'!$F$2:$H$361,3,false),1)="a","L",""))),"")</f>
        <v/>
      </c>
      <c r="L197" s="68" t="str">
        <f>iferror(iferror(if(LEFT(VLOOKUP($B197,'Round 9'!$B$2:$H$361,7,false),1)="A","W",if(LEFT(VLOOKUP($B197,'Round 9'!$B$2:$H$361,7,false),1)="B","L","")),if(LEFT(VLOOKUP($B197,'Round 9'!$F$2:$H$361,3,false),1)="b","W",if(LEFT(VLOOKUP($B197,'Round 9'!$F$2:$H$361,3,false),1)="a","L",""))),"")</f>
        <v/>
      </c>
      <c r="M197" s="68" t="str">
        <f>iferror(iferror(if(LEFT(VLOOKUP($B197,'Round 10'!$B$2:$H$362,7,false),1)="A","W",if(LEFT(VLOOKUP($B197,'Round 10'!$B$2:$H$362,7,false),1)="B","L","")),if(LEFT(VLOOKUP($B197,'Round 10'!$F$2:$H$362,3,false),1)="b","W",if(LEFT(VLOOKUP($B197,'Round 10'!$F$2:$H$362,3,false),1)="a","L",""))),"")</f>
        <v/>
      </c>
      <c r="N197" s="62" t="s">
        <v>464</v>
      </c>
    </row>
    <row r="198">
      <c r="A198" s="63">
        <v>197.0</v>
      </c>
      <c r="B198" s="64" t="s">
        <v>465</v>
      </c>
      <c r="C198" s="65" t="str">
        <f t="shared" si="1"/>
        <v>1 - 3</v>
      </c>
      <c r="D198" s="67" t="str">
        <f>iferror(if(LEFT(VLOOKUP($B198,'Round 1'!$B$2:$H$361,7,false),1)="A","W",if(LEFT(VLOOKUP($B198,'Round 1'!$B$2:$H$361,7,false),1)="B","L","")),if(LEFT(VLOOKUP($B198,'Round 1'!$F$2:$H$361,3,false),1)="b","W",if(LEFT(VLOOKUP($B198,'Round 1'!$F$2:$H$361,3,false),1)="a","L","")))</f>
        <v>W</v>
      </c>
      <c r="E198" s="67" t="str">
        <f>iferror(if(LEFT(VLOOKUP($B198,'Round 2'!$C$2:$J$361,8,false),1)="A","W",if(LEFT(VLOOKUP($B198,'Round 2'!$C$2:$J$361,8,false),1)="B","L","")),if(LEFT(VLOOKUP($B198,'Round 2'!$G$2:$J$361,4,false),1)="b","W",if(LEFT(VLOOKUP($B198,'Round 2'!$G$2:$J$361,4,false),1)="a","L","")))</f>
        <v>L</v>
      </c>
      <c r="F198" s="67" t="str">
        <f>iferror(if(LEFT(VLOOKUP($B198,'Round 3'!$B$2:$H$361,7,false),1)="A","W",if(LEFT(VLOOKUP($B198,'Round 3'!$B$2:$H$361,7,false),1)="B","L","")),if(LEFT(VLOOKUP($B198,'Round 3'!$F$2:$H$361,3,false),1)="b","W",if(LEFT(VLOOKUP($B198,'Round 3'!$F$2:$H$361,3,false),1)="a","L","")))</f>
        <v>L</v>
      </c>
      <c r="G198" s="67" t="str">
        <f>iferror(if(LEFT(VLOOKUP($B198,'Round 4'!$B$2:$H$361,7,false),1)="A","W",if(LEFT(VLOOKUP($B198,'Round 4'!$B$2:$H$361,7,false),1)="B","L","")),if(LEFT(VLOOKUP($B198,'Round 4'!$F$2:$H$361,3,false),1)="b","W",if(LEFT(VLOOKUP($B198,'Round 4'!$F$2:$H$361,3,false),1)="a","L","")))</f>
        <v>L</v>
      </c>
      <c r="H198" s="67"/>
      <c r="I198" s="67"/>
      <c r="J198" s="67" t="str">
        <f>iferror(iferror(if(LEFT(VLOOKUP($B198,'Round 7'!$B$2:$H$361,7,false),1)="A","W",if(LEFT(VLOOKUP($B198,'Round 7'!$B$2:$H$361,7,false),1)="B","L","")),if(LEFT(VLOOKUP($B198,'Round 7'!$F$2:$H$361,3,false),1)="b","W",if(LEFT(VLOOKUP($B198,'Round 7'!$F$2:$H$361,3,false),1)="a","L",""))),"")</f>
        <v/>
      </c>
      <c r="K198" s="68" t="str">
        <f>iferror(iferror(if(LEFT(VLOOKUP($B198,'Round 8'!$B$2:$H$361,7,false),1)="A","W",if(LEFT(VLOOKUP($B198,'Round 8'!$B$2:$H$361,7,false),1)="B","L","")),if(LEFT(VLOOKUP($B198,'Round 8'!$F$2:$H$361,3,false),1)="b","W",if(LEFT(VLOOKUP($B198,'Round 8'!$F$2:$H$361,3,false),1)="a","L",""))),"")</f>
        <v/>
      </c>
      <c r="L198" s="68" t="str">
        <f>iferror(iferror(if(LEFT(VLOOKUP($B198,'Round 9'!$B$2:$H$361,7,false),1)="A","W",if(LEFT(VLOOKUP($B198,'Round 9'!$B$2:$H$361,7,false),1)="B","L","")),if(LEFT(VLOOKUP($B198,'Round 9'!$F$2:$H$361,3,false),1)="b","W",if(LEFT(VLOOKUP($B198,'Round 9'!$F$2:$H$361,3,false),1)="a","L",""))),"")</f>
        <v/>
      </c>
      <c r="M198" s="68" t="str">
        <f>iferror(iferror(if(LEFT(VLOOKUP($B198,'Round 10'!$B$2:$H$362,7,false),1)="A","W",if(LEFT(VLOOKUP($B198,'Round 10'!$B$2:$H$362,7,false),1)="B","L","")),if(LEFT(VLOOKUP($B198,'Round 10'!$F$2:$H$362,3,false),1)="b","W",if(LEFT(VLOOKUP($B198,'Round 10'!$F$2:$H$362,3,false),1)="a","L",""))),"")</f>
        <v/>
      </c>
      <c r="N198" s="62" t="s">
        <v>466</v>
      </c>
    </row>
    <row r="199">
      <c r="A199" s="63">
        <v>198.0</v>
      </c>
      <c r="B199" s="64" t="s">
        <v>467</v>
      </c>
      <c r="C199" s="65" t="str">
        <f t="shared" si="1"/>
        <v>4 - 3</v>
      </c>
      <c r="D199" s="67" t="str">
        <f>iferror(if(LEFT(VLOOKUP($B199,'Round 1'!$B$2:$H$361,7,false),1)="A","W",if(LEFT(VLOOKUP($B199,'Round 1'!$B$2:$H$361,7,false),1)="B","L","")),if(LEFT(VLOOKUP($B199,'Round 1'!$F$2:$H$361,3,false),1)="b","W",if(LEFT(VLOOKUP($B199,'Round 1'!$F$2:$H$361,3,false),1)="a","L","")))</f>
        <v>L</v>
      </c>
      <c r="E199" s="67" t="str">
        <f>iferror(if(LEFT(VLOOKUP($B199,'Round 2'!$C$2:$J$361,8,false),1)="A","W",if(LEFT(VLOOKUP($B199,'Round 2'!$C$2:$J$361,8,false),1)="B","L","")),if(LEFT(VLOOKUP($B199,'Round 2'!$G$2:$J$361,4,false),1)="b","W",if(LEFT(VLOOKUP($B199,'Round 2'!$G$2:$J$361,4,false),1)="a","L","")))</f>
        <v>L</v>
      </c>
      <c r="F199" s="67" t="str">
        <f>iferror(if(LEFT(VLOOKUP($B199,'Round 3'!$B$2:$H$361,7,false),1)="A","W",if(LEFT(VLOOKUP($B199,'Round 3'!$B$2:$H$361,7,false),1)="B","L","")),if(LEFT(VLOOKUP($B199,'Round 3'!$F$2:$H$361,3,false),1)="b","W",if(LEFT(VLOOKUP($B199,'Round 3'!$F$2:$H$361,3,false),1)="a","L","")))</f>
        <v>W</v>
      </c>
      <c r="G199" s="67" t="str">
        <f>iferror(if(LEFT(VLOOKUP($B199,'Round 4'!$B$2:$H$361,7,false),1)="A","W",if(LEFT(VLOOKUP($B199,'Round 4'!$B$2:$H$361,7,false),1)="B","L","")),if(LEFT(VLOOKUP($B199,'Round 4'!$F$2:$H$361,3,false),1)="b","W",if(LEFT(VLOOKUP($B199,'Round 4'!$F$2:$H$361,3,false),1)="a","L","")))</f>
        <v>W</v>
      </c>
      <c r="H199" s="67" t="str">
        <f>iferror(if(LEFT(VLOOKUP($B199,'Round 5'!$B$2:$H$361,7,false),1)="A","W",if(LEFT(VLOOKUP($B199,'Round 5'!$B$2:$H$361,7,false),1)="B","L","")),if(LEFT(VLOOKUP($B199,'Round 5'!$F$2:$H$361,3,false),1)="b","W",if(LEFT(VLOOKUP($B199,'Round 5'!$F$2:$H$361,3,false),1)="a","L","")))</f>
        <v>W</v>
      </c>
      <c r="I199" s="67" t="str">
        <f>iferror(if(LEFT(VLOOKUP($B199,'Round 6'!$B$2:$H$361,7,false),1)="A","W",if(LEFT(VLOOKUP($B199,'Round 6'!$B$2:$H$361,7,false),1)="B","L","")),if(LEFT(VLOOKUP($B199,'Round 6'!$F$2:$H$361,3,false),1)="b","W",if(LEFT(VLOOKUP($B199,'Round 6'!$F$2:$H$361,3,false),1)="a","L","")))</f>
        <v>W</v>
      </c>
      <c r="J199" s="67" t="str">
        <f>iferror(iferror(if(LEFT(VLOOKUP($B199,'Round 7'!$B$2:$H$361,7,false),1)="A","W",if(LEFT(VLOOKUP($B199,'Round 7'!$B$2:$H$361,7,false),1)="B","L","")),if(LEFT(VLOOKUP($B199,'Round 7'!$F$2:$H$361,3,false),1)="b","W",if(LEFT(VLOOKUP($B199,'Round 7'!$F$2:$H$361,3,false),1)="a","L",""))),"")</f>
        <v>L</v>
      </c>
      <c r="K199" s="68" t="str">
        <f>iferror(iferror(if(LEFT(VLOOKUP($B199,'Round 8'!$B$2:$H$361,7,false),1)="A","W",if(LEFT(VLOOKUP($B199,'Round 8'!$B$2:$H$361,7,false),1)="B","L","")),if(LEFT(VLOOKUP($B199,'Round 8'!$F$2:$H$361,3,false),1)="b","W",if(LEFT(VLOOKUP($B199,'Round 8'!$F$2:$H$361,3,false),1)="a","L",""))),"")</f>
        <v/>
      </c>
      <c r="L199" s="68" t="str">
        <f>iferror(iferror(if(LEFT(VLOOKUP($B199,'Round 9'!$B$2:$H$361,7,false),1)="A","W",if(LEFT(VLOOKUP($B199,'Round 9'!$B$2:$H$361,7,false),1)="B","L","")),if(LEFT(VLOOKUP($B199,'Round 9'!$F$2:$H$361,3,false),1)="b","W",if(LEFT(VLOOKUP($B199,'Round 9'!$F$2:$H$361,3,false),1)="a","L",""))),"")</f>
        <v/>
      </c>
      <c r="M199" s="68" t="str">
        <f>iferror(iferror(if(LEFT(VLOOKUP($B199,'Round 10'!$B$2:$H$362,7,false),1)="A","W",if(LEFT(VLOOKUP($B199,'Round 10'!$B$2:$H$362,7,false),1)="B","L","")),if(LEFT(VLOOKUP($B199,'Round 10'!$F$2:$H$362,3,false),1)="b","W",if(LEFT(VLOOKUP($B199,'Round 10'!$F$2:$H$362,3,false),1)="a","L",""))),"")</f>
        <v/>
      </c>
      <c r="N199" s="62" t="s">
        <v>468</v>
      </c>
    </row>
    <row r="200">
      <c r="A200" s="63">
        <v>199.0</v>
      </c>
      <c r="B200" s="64" t="s">
        <v>469</v>
      </c>
      <c r="C200" s="65" t="str">
        <f t="shared" si="1"/>
        <v>1 - 3</v>
      </c>
      <c r="D200" s="67" t="str">
        <f>iferror(if(LEFT(VLOOKUP($B200,'Round 1'!$B$2:$H$361,7,false),1)="A","W",if(LEFT(VLOOKUP($B200,'Round 1'!$B$2:$H$361,7,false),1)="B","L","")),if(LEFT(VLOOKUP($B200,'Round 1'!$F$2:$H$361,3,false),1)="b","W",if(LEFT(VLOOKUP($B200,'Round 1'!$F$2:$H$361,3,false),1)="a","L","")))</f>
        <v>L</v>
      </c>
      <c r="E200" s="67" t="str">
        <f>iferror(if(LEFT(VLOOKUP($B200,'Round 2'!$C$2:$J$361,8,false),1)="A","W",if(LEFT(VLOOKUP($B200,'Round 2'!$C$2:$J$361,8,false),1)="B","L","")),if(LEFT(VLOOKUP($B200,'Round 2'!$G$2:$J$361,4,false),1)="b","W",if(LEFT(VLOOKUP($B200,'Round 2'!$G$2:$J$361,4,false),1)="a","L","")))</f>
        <v>L</v>
      </c>
      <c r="F200" s="67" t="str">
        <f>iferror(if(LEFT(VLOOKUP($B200,'Round 3'!$B$2:$H$361,7,false),1)="A","W",if(LEFT(VLOOKUP($B200,'Round 3'!$B$2:$H$361,7,false),1)="B","L","")),if(LEFT(VLOOKUP($B200,'Round 3'!$F$2:$H$361,3,false),1)="b","W",if(LEFT(VLOOKUP($B200,'Round 3'!$F$2:$H$361,3,false),1)="a","L","")))</f>
        <v>W</v>
      </c>
      <c r="G200" s="67" t="str">
        <f>iferror(if(LEFT(VLOOKUP($B200,'Round 4'!$B$2:$H$361,7,false),1)="A","W",if(LEFT(VLOOKUP($B200,'Round 4'!$B$2:$H$361,7,false),1)="B","L","")),if(LEFT(VLOOKUP($B200,'Round 4'!$F$2:$H$361,3,false),1)="b","W",if(LEFT(VLOOKUP($B200,'Round 4'!$F$2:$H$361,3,false),1)="a","L","")))</f>
        <v>L</v>
      </c>
      <c r="H200" s="67"/>
      <c r="I200" s="67"/>
      <c r="J200" s="67" t="str">
        <f>iferror(iferror(if(LEFT(VLOOKUP($B200,'Round 7'!$B$2:$H$361,7,false),1)="A","W",if(LEFT(VLOOKUP($B200,'Round 7'!$B$2:$H$361,7,false),1)="B","L","")),if(LEFT(VLOOKUP($B200,'Round 7'!$F$2:$H$361,3,false),1)="b","W",if(LEFT(VLOOKUP($B200,'Round 7'!$F$2:$H$361,3,false),1)="a","L",""))),"")</f>
        <v/>
      </c>
      <c r="K200" s="68" t="str">
        <f>iferror(iferror(if(LEFT(VLOOKUP($B200,'Round 8'!$B$2:$H$361,7,false),1)="A","W",if(LEFT(VLOOKUP($B200,'Round 8'!$B$2:$H$361,7,false),1)="B","L","")),if(LEFT(VLOOKUP($B200,'Round 8'!$F$2:$H$361,3,false),1)="b","W",if(LEFT(VLOOKUP($B200,'Round 8'!$F$2:$H$361,3,false),1)="a","L",""))),"")</f>
        <v/>
      </c>
      <c r="L200" s="68" t="str">
        <f>iferror(iferror(if(LEFT(VLOOKUP($B200,'Round 9'!$B$2:$H$361,7,false),1)="A","W",if(LEFT(VLOOKUP($B200,'Round 9'!$B$2:$H$361,7,false),1)="B","L","")),if(LEFT(VLOOKUP($B200,'Round 9'!$F$2:$H$361,3,false),1)="b","W",if(LEFT(VLOOKUP($B200,'Round 9'!$F$2:$H$361,3,false),1)="a","L",""))),"")</f>
        <v/>
      </c>
      <c r="M200" s="68" t="str">
        <f>iferror(iferror(if(LEFT(VLOOKUP($B200,'Round 10'!$B$2:$H$362,7,false),1)="A","W",if(LEFT(VLOOKUP($B200,'Round 10'!$B$2:$H$362,7,false),1)="B","L","")),if(LEFT(VLOOKUP($B200,'Round 10'!$F$2:$H$362,3,false),1)="b","W",if(LEFT(VLOOKUP($B200,'Round 10'!$F$2:$H$362,3,false),1)="a","L",""))),"")</f>
        <v/>
      </c>
      <c r="N200" s="62" t="s">
        <v>470</v>
      </c>
    </row>
    <row r="201">
      <c r="A201" s="63">
        <v>200.0</v>
      </c>
      <c r="B201" s="64" t="s">
        <v>471</v>
      </c>
      <c r="C201" s="65" t="str">
        <f t="shared" si="1"/>
        <v>4 - 3</v>
      </c>
      <c r="D201" s="67" t="str">
        <f>iferror(if(LEFT(VLOOKUP($B201,'Round 1'!$B$2:$H$361,7,false),1)="A","W",if(LEFT(VLOOKUP($B201,'Round 1'!$B$2:$H$361,7,false),1)="B","L","")),if(LEFT(VLOOKUP($B201,'Round 1'!$F$2:$H$361,3,false),1)="b","W",if(LEFT(VLOOKUP($B201,'Round 1'!$F$2:$H$361,3,false),1)="a","L","")))</f>
        <v>W</v>
      </c>
      <c r="E201" s="67" t="str">
        <f>iferror(if(LEFT(VLOOKUP($B201,'Round 2'!$C$2:$J$361,8,false),1)="A","W",if(LEFT(VLOOKUP($B201,'Round 2'!$C$2:$J$361,8,false),1)="B","L","")),if(LEFT(VLOOKUP($B201,'Round 2'!$G$2:$J$361,4,false),1)="b","W",if(LEFT(VLOOKUP($B201,'Round 2'!$G$2:$J$361,4,false),1)="a","L","")))</f>
        <v>W</v>
      </c>
      <c r="F201" s="67" t="str">
        <f>iferror(if(LEFT(VLOOKUP($B201,'Round 3'!$B$2:$H$361,7,false),1)="A","W",if(LEFT(VLOOKUP($B201,'Round 3'!$B$2:$H$361,7,false),1)="B","L","")),if(LEFT(VLOOKUP($B201,'Round 3'!$F$2:$H$361,3,false),1)="b","W",if(LEFT(VLOOKUP($B201,'Round 3'!$F$2:$H$361,3,false),1)="a","L","")))</f>
        <v>L</v>
      </c>
      <c r="G201" s="67" t="str">
        <f>iferror(if(LEFT(VLOOKUP($B201,'Round 4'!$B$2:$H$361,7,false),1)="A","W",if(LEFT(VLOOKUP($B201,'Round 4'!$B$2:$H$361,7,false),1)="B","L","")),if(LEFT(VLOOKUP($B201,'Round 4'!$F$2:$H$361,3,false),1)="b","W",if(LEFT(VLOOKUP($B201,'Round 4'!$F$2:$H$361,3,false),1)="a","L","")))</f>
        <v>W</v>
      </c>
      <c r="H201" s="67" t="str">
        <f>iferror(if(LEFT(VLOOKUP($B201,'Round 5'!$B$2:$H$361,7,false),1)="A","W",if(LEFT(VLOOKUP($B201,'Round 5'!$B$2:$H$361,7,false),1)="B","L","")),if(LEFT(VLOOKUP($B201,'Round 5'!$F$2:$H$361,3,false),1)="b","W",if(LEFT(VLOOKUP($B201,'Round 5'!$F$2:$H$361,3,false),1)="a","L","")))</f>
        <v>L</v>
      </c>
      <c r="I201" s="67" t="str">
        <f>iferror(if(LEFT(VLOOKUP($B201,'Round 6'!$B$2:$H$361,7,false),1)="A","W",if(LEFT(VLOOKUP($B201,'Round 6'!$B$2:$H$361,7,false),1)="B","L","")),if(LEFT(VLOOKUP($B201,'Round 6'!$F$2:$H$361,3,false),1)="b","W",if(LEFT(VLOOKUP($B201,'Round 6'!$F$2:$H$361,3,false),1)="a","L","")))</f>
        <v>W</v>
      </c>
      <c r="J201" s="67" t="str">
        <f>iferror(iferror(if(LEFT(VLOOKUP($B201,'Round 7'!$B$2:$H$361,7,false),1)="A","W",if(LEFT(VLOOKUP($B201,'Round 7'!$B$2:$H$361,7,false),1)="B","L","")),if(LEFT(VLOOKUP($B201,'Round 7'!$F$2:$H$361,3,false),1)="b","W",if(LEFT(VLOOKUP($B201,'Round 7'!$F$2:$H$361,3,false),1)="a","L",""))),"")</f>
        <v>L</v>
      </c>
      <c r="K201" s="68" t="str">
        <f>iferror(iferror(if(LEFT(VLOOKUP($B201,'Round 8'!$B$2:$H$361,7,false),1)="A","W",if(LEFT(VLOOKUP($B201,'Round 8'!$B$2:$H$361,7,false),1)="B","L","")),if(LEFT(VLOOKUP($B201,'Round 8'!$F$2:$H$361,3,false),1)="b","W",if(LEFT(VLOOKUP($B201,'Round 8'!$F$2:$H$361,3,false),1)="a","L",""))),"")</f>
        <v/>
      </c>
      <c r="L201" s="68" t="str">
        <f>iferror(iferror(if(LEFT(VLOOKUP($B201,'Round 9'!$B$2:$H$361,7,false),1)="A","W",if(LEFT(VLOOKUP($B201,'Round 9'!$B$2:$H$361,7,false),1)="B","L","")),if(LEFT(VLOOKUP($B201,'Round 9'!$F$2:$H$361,3,false),1)="b","W",if(LEFT(VLOOKUP($B201,'Round 9'!$F$2:$H$361,3,false),1)="a","L",""))),"")</f>
        <v/>
      </c>
      <c r="M201" s="68" t="str">
        <f>iferror(iferror(if(LEFT(VLOOKUP($B201,'Round 10'!$B$2:$H$362,7,false),1)="A","W",if(LEFT(VLOOKUP($B201,'Round 10'!$B$2:$H$362,7,false),1)="B","L","")),if(LEFT(VLOOKUP($B201,'Round 10'!$F$2:$H$362,3,false),1)="b","W",if(LEFT(VLOOKUP($B201,'Round 10'!$F$2:$H$362,3,false),1)="a","L",""))),"")</f>
        <v/>
      </c>
      <c r="N201" s="62" t="s">
        <v>472</v>
      </c>
    </row>
    <row r="202">
      <c r="A202" s="63">
        <v>201.0</v>
      </c>
      <c r="B202" s="64" t="s">
        <v>473</v>
      </c>
      <c r="C202" s="65" t="str">
        <f t="shared" si="1"/>
        <v>1 - 3</v>
      </c>
      <c r="D202" s="67" t="str">
        <f>iferror(if(LEFT(VLOOKUP($B202,'Round 1'!$B$2:$H$361,7,false),1)="A","W",if(LEFT(VLOOKUP($B202,'Round 1'!$B$2:$H$361,7,false),1)="B","L","")),if(LEFT(VLOOKUP($B202,'Round 1'!$F$2:$H$361,3,false),1)="b","W",if(LEFT(VLOOKUP($B202,'Round 1'!$F$2:$H$361,3,false),1)="a","L","")))</f>
        <v>L</v>
      </c>
      <c r="E202" s="67" t="str">
        <f>iferror(if(LEFT(VLOOKUP($B202,'Round 2'!$C$2:$J$361,8,false),1)="A","W",if(LEFT(VLOOKUP($B202,'Round 2'!$C$2:$J$361,8,false),1)="B","L","")),if(LEFT(VLOOKUP($B202,'Round 2'!$G$2:$J$361,4,false),1)="b","W",if(LEFT(VLOOKUP($B202,'Round 2'!$G$2:$J$361,4,false),1)="a","L","")))</f>
        <v>W</v>
      </c>
      <c r="F202" s="67" t="str">
        <f>iferror(if(LEFT(VLOOKUP($B202,'Round 3'!$B$2:$H$361,7,false),1)="A","W",if(LEFT(VLOOKUP($B202,'Round 3'!$B$2:$H$361,7,false),1)="B","L","")),if(LEFT(VLOOKUP($B202,'Round 3'!$F$2:$H$361,3,false),1)="b","W",if(LEFT(VLOOKUP($B202,'Round 3'!$F$2:$H$361,3,false),1)="a","L","")))</f>
        <v>L</v>
      </c>
      <c r="G202" s="67" t="str">
        <f>iferror(if(LEFT(VLOOKUP($B202,'Round 4'!$B$2:$H$361,7,false),1)="A","W",if(LEFT(VLOOKUP($B202,'Round 4'!$B$2:$H$361,7,false),1)="B","L","")),if(LEFT(VLOOKUP($B202,'Round 4'!$F$2:$H$361,3,false),1)="b","W",if(LEFT(VLOOKUP($B202,'Round 4'!$F$2:$H$361,3,false),1)="a","L","")))</f>
        <v>L</v>
      </c>
      <c r="H202" s="67"/>
      <c r="I202" s="67"/>
      <c r="J202" s="67" t="str">
        <f>iferror(iferror(if(LEFT(VLOOKUP($B202,'Round 7'!$B$2:$H$361,7,false),1)="A","W",if(LEFT(VLOOKUP($B202,'Round 7'!$B$2:$H$361,7,false),1)="B","L","")),if(LEFT(VLOOKUP($B202,'Round 7'!$F$2:$H$361,3,false),1)="b","W",if(LEFT(VLOOKUP($B202,'Round 7'!$F$2:$H$361,3,false),1)="a","L",""))),"")</f>
        <v/>
      </c>
      <c r="K202" s="68" t="str">
        <f>iferror(iferror(if(LEFT(VLOOKUP($B202,'Round 8'!$B$2:$H$361,7,false),1)="A","W",if(LEFT(VLOOKUP($B202,'Round 8'!$B$2:$H$361,7,false),1)="B","L","")),if(LEFT(VLOOKUP($B202,'Round 8'!$F$2:$H$361,3,false),1)="b","W",if(LEFT(VLOOKUP($B202,'Round 8'!$F$2:$H$361,3,false),1)="a","L",""))),"")</f>
        <v/>
      </c>
      <c r="L202" s="68" t="str">
        <f>iferror(iferror(if(LEFT(VLOOKUP($B202,'Round 9'!$B$2:$H$361,7,false),1)="A","W",if(LEFT(VLOOKUP($B202,'Round 9'!$B$2:$H$361,7,false),1)="B","L","")),if(LEFT(VLOOKUP($B202,'Round 9'!$F$2:$H$361,3,false),1)="b","W",if(LEFT(VLOOKUP($B202,'Round 9'!$F$2:$H$361,3,false),1)="a","L",""))),"")</f>
        <v/>
      </c>
      <c r="M202" s="68" t="str">
        <f>iferror(iferror(if(LEFT(VLOOKUP($B202,'Round 10'!$B$2:$H$362,7,false),1)="A","W",if(LEFT(VLOOKUP($B202,'Round 10'!$B$2:$H$362,7,false),1)="B","L","")),if(LEFT(VLOOKUP($B202,'Round 10'!$F$2:$H$362,3,false),1)="b","W",if(LEFT(VLOOKUP($B202,'Round 10'!$F$2:$H$362,3,false),1)="a","L",""))),"")</f>
        <v/>
      </c>
      <c r="N202" s="62" t="s">
        <v>474</v>
      </c>
    </row>
    <row r="203">
      <c r="A203" s="63">
        <v>202.0</v>
      </c>
      <c r="B203" s="64" t="s">
        <v>475</v>
      </c>
      <c r="C203" s="65" t="str">
        <f t="shared" si="1"/>
        <v>0 - 3</v>
      </c>
      <c r="D203" s="67" t="str">
        <f>iferror(if(LEFT(VLOOKUP($B203,'Round 1'!$B$2:$H$361,7,false),1)="A","W",if(LEFT(VLOOKUP($B203,'Round 1'!$B$2:$H$361,7,false),1)="B","L","")),if(LEFT(VLOOKUP($B203,'Round 1'!$F$2:$H$361,3,false),1)="b","W",if(LEFT(VLOOKUP($B203,'Round 1'!$F$2:$H$361,3,false),1)="a","L","")))</f>
        <v>L</v>
      </c>
      <c r="E203" s="67" t="str">
        <f>iferror(if(LEFT(VLOOKUP($B203,'Round 2'!$C$2:$J$361,8,false),1)="A","W",if(LEFT(VLOOKUP($B203,'Round 2'!$C$2:$J$361,8,false),1)="B","L","")),if(LEFT(VLOOKUP($B203,'Round 2'!$G$2:$J$361,4,false),1)="b","W",if(LEFT(VLOOKUP($B203,'Round 2'!$G$2:$J$361,4,false),1)="a","L","")))</f>
        <v>L</v>
      </c>
      <c r="F203" s="67" t="str">
        <f>iferror(if(LEFT(VLOOKUP($B203,'Round 3'!$B$2:$H$361,7,false),1)="A","W",if(LEFT(VLOOKUP($B203,'Round 3'!$B$2:$H$361,7,false),1)="B","L","")),if(LEFT(VLOOKUP($B203,'Round 3'!$F$2:$H$361,3,false),1)="b","W",if(LEFT(VLOOKUP($B203,'Round 3'!$F$2:$H$361,3,false),1)="a","L","")))</f>
        <v>L</v>
      </c>
      <c r="G203" s="67"/>
      <c r="H203" s="67"/>
      <c r="I203" s="67"/>
      <c r="J203" s="67" t="str">
        <f>iferror(iferror(if(LEFT(VLOOKUP($B203,'Round 7'!$B$2:$H$361,7,false),1)="A","W",if(LEFT(VLOOKUP($B203,'Round 7'!$B$2:$H$361,7,false),1)="B","L","")),if(LEFT(VLOOKUP($B203,'Round 7'!$F$2:$H$361,3,false),1)="b","W",if(LEFT(VLOOKUP($B203,'Round 7'!$F$2:$H$361,3,false),1)="a","L",""))),"")</f>
        <v/>
      </c>
      <c r="K203" s="68" t="str">
        <f>iferror(iferror(if(LEFT(VLOOKUP($B203,'Round 8'!$B$2:$H$361,7,false),1)="A","W",if(LEFT(VLOOKUP($B203,'Round 8'!$B$2:$H$361,7,false),1)="B","L","")),if(LEFT(VLOOKUP($B203,'Round 8'!$F$2:$H$361,3,false),1)="b","W",if(LEFT(VLOOKUP($B203,'Round 8'!$F$2:$H$361,3,false),1)="a","L",""))),"")</f>
        <v/>
      </c>
      <c r="L203" s="68" t="str">
        <f>iferror(iferror(if(LEFT(VLOOKUP($B203,'Round 9'!$B$2:$H$361,7,false),1)="A","W",if(LEFT(VLOOKUP($B203,'Round 9'!$B$2:$H$361,7,false),1)="B","L","")),if(LEFT(VLOOKUP($B203,'Round 9'!$F$2:$H$361,3,false),1)="b","W",if(LEFT(VLOOKUP($B203,'Round 9'!$F$2:$H$361,3,false),1)="a","L",""))),"")</f>
        <v/>
      </c>
      <c r="M203" s="68" t="str">
        <f>iferror(iferror(if(LEFT(VLOOKUP($B203,'Round 10'!$B$2:$H$362,7,false),1)="A","W",if(LEFT(VLOOKUP($B203,'Round 10'!$B$2:$H$362,7,false),1)="B","L","")),if(LEFT(VLOOKUP($B203,'Round 10'!$F$2:$H$362,3,false),1)="b","W",if(LEFT(VLOOKUP($B203,'Round 10'!$F$2:$H$362,3,false),1)="a","L",""))),"")</f>
        <v/>
      </c>
      <c r="N203" s="62" t="s">
        <v>476</v>
      </c>
    </row>
    <row r="204">
      <c r="A204" s="63">
        <v>203.0</v>
      </c>
      <c r="B204" s="64" t="s">
        <v>477</v>
      </c>
      <c r="C204" s="65" t="str">
        <f t="shared" si="1"/>
        <v>2 - 3</v>
      </c>
      <c r="D204" s="67" t="str">
        <f>iferror(if(LEFT(VLOOKUP($B204,'Round 1'!$B$2:$H$361,7,false),1)="A","W",if(LEFT(VLOOKUP($B204,'Round 1'!$B$2:$H$361,7,false),1)="B","L","")),if(LEFT(VLOOKUP($B204,'Round 1'!$F$2:$H$361,3,false),1)="b","W",if(LEFT(VLOOKUP($B204,'Round 1'!$F$2:$H$361,3,false),1)="a","L","")))</f>
        <v>L</v>
      </c>
      <c r="E204" s="67" t="str">
        <f>iferror(if(LEFT(VLOOKUP($B204,'Round 2'!$C$2:$J$361,8,false),1)="A","W",if(LEFT(VLOOKUP($B204,'Round 2'!$C$2:$J$361,8,false),1)="B","L","")),if(LEFT(VLOOKUP($B204,'Round 2'!$G$2:$J$361,4,false),1)="b","W",if(LEFT(VLOOKUP($B204,'Round 2'!$G$2:$J$361,4,false),1)="a","L","")))</f>
        <v>L</v>
      </c>
      <c r="F204" s="67" t="str">
        <f>iferror(if(LEFT(VLOOKUP($B204,'Round 3'!$B$2:$H$361,7,false),1)="A","W",if(LEFT(VLOOKUP($B204,'Round 3'!$B$2:$H$361,7,false),1)="B","L","")),if(LEFT(VLOOKUP($B204,'Round 3'!$F$2:$H$361,3,false),1)="b","W",if(LEFT(VLOOKUP($B204,'Round 3'!$F$2:$H$361,3,false),1)="a","L","")))</f>
        <v>W</v>
      </c>
      <c r="G204" s="67" t="str">
        <f>iferror(if(LEFT(VLOOKUP($B204,'Round 4'!$B$2:$H$361,7,false),1)="A","W",if(LEFT(VLOOKUP($B204,'Round 4'!$B$2:$H$361,7,false),1)="B","L","")),if(LEFT(VLOOKUP($B204,'Round 4'!$F$2:$H$361,3,false),1)="b","W",if(LEFT(VLOOKUP($B204,'Round 4'!$F$2:$H$361,3,false),1)="a","L","")))</f>
        <v>W</v>
      </c>
      <c r="H204" s="67" t="str">
        <f>iferror(if(LEFT(VLOOKUP($B204,'Round 5'!$B$2:$H$361,7,false),1)="A","W",if(LEFT(VLOOKUP($B204,'Round 5'!$B$2:$H$361,7,false),1)="B","L","")),if(LEFT(VLOOKUP($B204,'Round 5'!$F$2:$H$361,3,false),1)="b","W",if(LEFT(VLOOKUP($B204,'Round 5'!$F$2:$H$361,3,false),1)="a","L","")))</f>
        <v>L</v>
      </c>
      <c r="I204" s="67"/>
      <c r="J204" s="67" t="str">
        <f>iferror(iferror(if(LEFT(VLOOKUP($B204,'Round 7'!$B$2:$H$361,7,false),1)="A","W",if(LEFT(VLOOKUP($B204,'Round 7'!$B$2:$H$361,7,false),1)="B","L","")),if(LEFT(VLOOKUP($B204,'Round 7'!$F$2:$H$361,3,false),1)="b","W",if(LEFT(VLOOKUP($B204,'Round 7'!$F$2:$H$361,3,false),1)="a","L",""))),"")</f>
        <v/>
      </c>
      <c r="K204" s="68" t="str">
        <f>iferror(iferror(if(LEFT(VLOOKUP($B204,'Round 8'!$B$2:$H$361,7,false),1)="A","W",if(LEFT(VLOOKUP($B204,'Round 8'!$B$2:$H$361,7,false),1)="B","L","")),if(LEFT(VLOOKUP($B204,'Round 8'!$F$2:$H$361,3,false),1)="b","W",if(LEFT(VLOOKUP($B204,'Round 8'!$F$2:$H$361,3,false),1)="a","L",""))),"")</f>
        <v/>
      </c>
      <c r="L204" s="68" t="str">
        <f>iferror(iferror(if(LEFT(VLOOKUP($B204,'Round 9'!$B$2:$H$361,7,false),1)="A","W",if(LEFT(VLOOKUP($B204,'Round 9'!$B$2:$H$361,7,false),1)="B","L","")),if(LEFT(VLOOKUP($B204,'Round 9'!$F$2:$H$361,3,false),1)="b","W",if(LEFT(VLOOKUP($B204,'Round 9'!$F$2:$H$361,3,false),1)="a","L",""))),"")</f>
        <v/>
      </c>
      <c r="M204" s="68" t="str">
        <f>iferror(iferror(if(LEFT(VLOOKUP($B204,'Round 10'!$B$2:$H$362,7,false),1)="A","W",if(LEFT(VLOOKUP($B204,'Round 10'!$B$2:$H$362,7,false),1)="B","L","")),if(LEFT(VLOOKUP($B204,'Round 10'!$F$2:$H$362,3,false),1)="b","W",if(LEFT(VLOOKUP($B204,'Round 10'!$F$2:$H$362,3,false),1)="a","L",""))),"")</f>
        <v/>
      </c>
      <c r="N204" s="62" t="s">
        <v>478</v>
      </c>
    </row>
    <row r="205">
      <c r="A205" s="63">
        <v>204.0</v>
      </c>
      <c r="B205" s="64" t="s">
        <v>479</v>
      </c>
      <c r="C205" s="65" t="str">
        <f t="shared" si="1"/>
        <v>1 - 3</v>
      </c>
      <c r="D205" s="67" t="str">
        <f>iferror(if(LEFT(VLOOKUP($B205,'Round 1'!$B$2:$H$361,7,false),1)="A","W",if(LEFT(VLOOKUP($B205,'Round 1'!$B$2:$H$361,7,false),1)="B","L","")),if(LEFT(VLOOKUP($B205,'Round 1'!$F$2:$H$361,3,false),1)="b","W",if(LEFT(VLOOKUP($B205,'Round 1'!$F$2:$H$361,3,false),1)="a","L","")))</f>
        <v>L</v>
      </c>
      <c r="E205" s="67" t="str">
        <f>iferror(if(LEFT(VLOOKUP($B205,'Round 2'!$C$2:$J$361,8,false),1)="A","W",if(LEFT(VLOOKUP($B205,'Round 2'!$C$2:$J$361,8,false),1)="B","L","")),if(LEFT(VLOOKUP($B205,'Round 2'!$G$2:$J$361,4,false),1)="b","W",if(LEFT(VLOOKUP($B205,'Round 2'!$G$2:$J$361,4,false),1)="a","L","")))</f>
        <v>W</v>
      </c>
      <c r="F205" s="67" t="str">
        <f>iferror(if(LEFT(VLOOKUP($B205,'Round 3'!$B$2:$H$361,7,false),1)="A","W",if(LEFT(VLOOKUP($B205,'Round 3'!$B$2:$H$361,7,false),1)="B","L","")),if(LEFT(VLOOKUP($B205,'Round 3'!$F$2:$H$361,3,false),1)="b","W",if(LEFT(VLOOKUP($B205,'Round 3'!$F$2:$H$361,3,false),1)="a","L","")))</f>
        <v>L</v>
      </c>
      <c r="G205" s="67" t="str">
        <f>iferror(if(LEFT(VLOOKUP($B205,'Round 4'!$B$2:$H$361,7,false),1)="A","W",if(LEFT(VLOOKUP($B205,'Round 4'!$B$2:$H$361,7,false),1)="B","L","")),if(LEFT(VLOOKUP($B205,'Round 4'!$F$2:$H$361,3,false),1)="b","W",if(LEFT(VLOOKUP($B205,'Round 4'!$F$2:$H$361,3,false),1)="a","L","")))</f>
        <v>L</v>
      </c>
      <c r="H205" s="67"/>
      <c r="I205" s="67"/>
      <c r="J205" s="67" t="str">
        <f>iferror(iferror(if(LEFT(VLOOKUP($B205,'Round 7'!$B$2:$H$361,7,false),1)="A","W",if(LEFT(VLOOKUP($B205,'Round 7'!$B$2:$H$361,7,false),1)="B","L","")),if(LEFT(VLOOKUP($B205,'Round 7'!$F$2:$H$361,3,false),1)="b","W",if(LEFT(VLOOKUP($B205,'Round 7'!$F$2:$H$361,3,false),1)="a","L",""))),"")</f>
        <v/>
      </c>
      <c r="K205" s="68" t="str">
        <f>iferror(iferror(if(LEFT(VLOOKUP($B205,'Round 8'!$B$2:$H$361,7,false),1)="A","W",if(LEFT(VLOOKUP($B205,'Round 8'!$B$2:$H$361,7,false),1)="B","L","")),if(LEFT(VLOOKUP($B205,'Round 8'!$F$2:$H$361,3,false),1)="b","W",if(LEFT(VLOOKUP($B205,'Round 8'!$F$2:$H$361,3,false),1)="a","L",""))),"")</f>
        <v/>
      </c>
      <c r="L205" s="68" t="str">
        <f>iferror(iferror(if(LEFT(VLOOKUP($B205,'Round 9'!$B$2:$H$361,7,false),1)="A","W",if(LEFT(VLOOKUP($B205,'Round 9'!$B$2:$H$361,7,false),1)="B","L","")),if(LEFT(VLOOKUP($B205,'Round 9'!$F$2:$H$361,3,false),1)="b","W",if(LEFT(VLOOKUP($B205,'Round 9'!$F$2:$H$361,3,false),1)="a","L",""))),"")</f>
        <v/>
      </c>
      <c r="M205" s="68" t="str">
        <f>iferror(iferror(if(LEFT(VLOOKUP($B205,'Round 10'!$B$2:$H$362,7,false),1)="A","W",if(LEFT(VLOOKUP($B205,'Round 10'!$B$2:$H$362,7,false),1)="B","L","")),if(LEFT(VLOOKUP($B205,'Round 10'!$F$2:$H$362,3,false),1)="b","W",if(LEFT(VLOOKUP($B205,'Round 10'!$F$2:$H$362,3,false),1)="a","L",""))),"")</f>
        <v/>
      </c>
      <c r="N205" s="62" t="s">
        <v>480</v>
      </c>
    </row>
    <row r="206">
      <c r="A206" s="63">
        <v>205.0</v>
      </c>
      <c r="B206" s="64" t="s">
        <v>481</v>
      </c>
      <c r="C206" s="65" t="str">
        <f t="shared" si="1"/>
        <v>0 - 3</v>
      </c>
      <c r="D206" s="67" t="str">
        <f>iferror(if(LEFT(VLOOKUP($B206,'Round 1'!$B$2:$H$361,7,false),1)="A","W",if(LEFT(VLOOKUP($B206,'Round 1'!$B$2:$H$361,7,false),1)="B","L","")),if(LEFT(VLOOKUP($B206,'Round 1'!$F$2:$H$361,3,false),1)="b","W",if(LEFT(VLOOKUP($B206,'Round 1'!$F$2:$H$361,3,false),1)="a","L","")))</f>
        <v>L</v>
      </c>
      <c r="E206" s="67" t="str">
        <f>iferror(if(LEFT(VLOOKUP($B206,'Round 2'!$C$2:$J$361,8,false),1)="A","W",if(LEFT(VLOOKUP($B206,'Round 2'!$C$2:$J$361,8,false),1)="B","L","")),if(LEFT(VLOOKUP($B206,'Round 2'!$G$2:$J$361,4,false),1)="b","W",if(LEFT(VLOOKUP($B206,'Round 2'!$G$2:$J$361,4,false),1)="a","L","")))</f>
        <v>L</v>
      </c>
      <c r="F206" s="67" t="str">
        <f>iferror(if(LEFT(VLOOKUP($B206,'Round 3'!$B$2:$H$361,7,false),1)="A","W",if(LEFT(VLOOKUP($B206,'Round 3'!$B$2:$H$361,7,false),1)="B","L","")),if(LEFT(VLOOKUP($B206,'Round 3'!$F$2:$H$361,3,false),1)="b","W",if(LEFT(VLOOKUP($B206,'Round 3'!$F$2:$H$361,3,false),1)="a","L","")))</f>
        <v>L</v>
      </c>
      <c r="G206" s="67"/>
      <c r="H206" s="67"/>
      <c r="I206" s="67"/>
      <c r="J206" s="67" t="str">
        <f>iferror(iferror(if(LEFT(VLOOKUP($B206,'Round 7'!$B$2:$H$361,7,false),1)="A","W",if(LEFT(VLOOKUP($B206,'Round 7'!$B$2:$H$361,7,false),1)="B","L","")),if(LEFT(VLOOKUP($B206,'Round 7'!$F$2:$H$361,3,false),1)="b","W",if(LEFT(VLOOKUP($B206,'Round 7'!$F$2:$H$361,3,false),1)="a","L",""))),"")</f>
        <v/>
      </c>
      <c r="K206" s="68" t="str">
        <f>iferror(iferror(if(LEFT(VLOOKUP($B206,'Round 8'!$B$2:$H$361,7,false),1)="A","W",if(LEFT(VLOOKUP($B206,'Round 8'!$B$2:$H$361,7,false),1)="B","L","")),if(LEFT(VLOOKUP($B206,'Round 8'!$F$2:$H$361,3,false),1)="b","W",if(LEFT(VLOOKUP($B206,'Round 8'!$F$2:$H$361,3,false),1)="a","L",""))),"")</f>
        <v/>
      </c>
      <c r="L206" s="68" t="str">
        <f>iferror(iferror(if(LEFT(VLOOKUP($B206,'Round 9'!$B$2:$H$361,7,false),1)="A","W",if(LEFT(VLOOKUP($B206,'Round 9'!$B$2:$H$361,7,false),1)="B","L","")),if(LEFT(VLOOKUP($B206,'Round 9'!$F$2:$H$361,3,false),1)="b","W",if(LEFT(VLOOKUP($B206,'Round 9'!$F$2:$H$361,3,false),1)="a","L",""))),"")</f>
        <v/>
      </c>
      <c r="M206" s="68" t="str">
        <f>iferror(iferror(if(LEFT(VLOOKUP($B206,'Round 10'!$B$2:$H$362,7,false),1)="A","W",if(LEFT(VLOOKUP($B206,'Round 10'!$B$2:$H$362,7,false),1)="B","L","")),if(LEFT(VLOOKUP($B206,'Round 10'!$F$2:$H$362,3,false),1)="b","W",if(LEFT(VLOOKUP($B206,'Round 10'!$F$2:$H$362,3,false),1)="a","L",""))),"")</f>
        <v/>
      </c>
      <c r="N206" s="62" t="s">
        <v>144</v>
      </c>
    </row>
    <row r="207">
      <c r="A207" s="63">
        <v>206.0</v>
      </c>
      <c r="B207" s="64" t="s">
        <v>482</v>
      </c>
      <c r="C207" s="65" t="str">
        <f t="shared" si="1"/>
        <v>6 - 3</v>
      </c>
      <c r="D207" s="67" t="str">
        <f>iferror(if(LEFT(VLOOKUP($B207,'Round 1'!$B$2:$H$361,7,false),1)="A","W",if(LEFT(VLOOKUP($B207,'Round 1'!$B$2:$H$361,7,false),1)="B","L","")),if(LEFT(VLOOKUP($B207,'Round 1'!$F$2:$H$361,3,false),1)="b","W",if(LEFT(VLOOKUP($B207,'Round 1'!$F$2:$H$361,3,false),1)="a","L","")))</f>
        <v>W</v>
      </c>
      <c r="E207" s="67" t="str">
        <f>iferror(if(LEFT(VLOOKUP($B207,'Round 2'!$C$2:$J$361,8,false),1)="A","W",if(LEFT(VLOOKUP($B207,'Round 2'!$C$2:$J$361,8,false),1)="B","L","")),if(LEFT(VLOOKUP($B207,'Round 2'!$G$2:$J$361,4,false),1)="b","W",if(LEFT(VLOOKUP($B207,'Round 2'!$G$2:$J$361,4,false),1)="a","L","")))</f>
        <v>W</v>
      </c>
      <c r="F207" s="67" t="str">
        <f>iferror(if(LEFT(VLOOKUP($B207,'Round 3'!$B$2:$H$361,7,false),1)="A","W",if(LEFT(VLOOKUP($B207,'Round 3'!$B$2:$H$361,7,false),1)="B","L","")),if(LEFT(VLOOKUP($B207,'Round 3'!$F$2:$H$361,3,false),1)="b","W",if(LEFT(VLOOKUP($B207,'Round 3'!$F$2:$H$361,3,false),1)="a","L","")))</f>
        <v>W</v>
      </c>
      <c r="G207" s="67" t="str">
        <f>iferror(if(LEFT(VLOOKUP($B207,'Round 4'!$B$2:$H$361,7,false),1)="A","W",if(LEFT(VLOOKUP($B207,'Round 4'!$B$2:$H$361,7,false),1)="B","L","")),if(LEFT(VLOOKUP($B207,'Round 4'!$F$2:$H$361,3,false),1)="b","W",if(LEFT(VLOOKUP($B207,'Round 4'!$F$2:$H$361,3,false),1)="a","L","")))</f>
        <v>L</v>
      </c>
      <c r="H207" s="67" t="str">
        <f>iferror(if(LEFT(VLOOKUP($B207,'Round 5'!$B$2:$H$361,7,false),1)="A","W",if(LEFT(VLOOKUP($B207,'Round 5'!$B$2:$H$361,7,false),1)="B","L","")),if(LEFT(VLOOKUP($B207,'Round 5'!$F$2:$H$361,3,false),1)="b","W",if(LEFT(VLOOKUP($B207,'Round 5'!$F$2:$H$361,3,false),1)="a","L","")))</f>
        <v>L</v>
      </c>
      <c r="I207" s="67" t="str">
        <f>iferror(if(LEFT(VLOOKUP($B207,'Round 6'!$B$2:$H$361,7,false),1)="A","W",if(LEFT(VLOOKUP($B207,'Round 6'!$B$2:$H$361,7,false),1)="B","L","")),if(LEFT(VLOOKUP($B207,'Round 6'!$F$2:$H$361,3,false),1)="b","W",if(LEFT(VLOOKUP($B207,'Round 6'!$F$2:$H$361,3,false),1)="a","L","")))</f>
        <v>W</v>
      </c>
      <c r="J207" s="67" t="str">
        <f>iferror(iferror(if(LEFT(VLOOKUP($B207,'Round 7'!$B$2:$H$361,7,false),1)="A","W",if(LEFT(VLOOKUP($B207,'Round 7'!$B$2:$H$361,7,false),1)="B","L","")),if(LEFT(VLOOKUP($B207,'Round 7'!$F$2:$H$361,3,false),1)="b","W",if(LEFT(VLOOKUP($B207,'Round 7'!$F$2:$H$361,3,false),1)="a","L",""))),"")</f>
        <v>W</v>
      </c>
      <c r="K207" s="68" t="str">
        <f>iferror(iferror(if(LEFT(VLOOKUP($B207,'Round 8'!$B$2:$H$361,7,false),1)="A","W",if(LEFT(VLOOKUP($B207,'Round 8'!$B$2:$H$361,7,false),1)="B","L","")),if(LEFT(VLOOKUP($B207,'Round 8'!$F$2:$H$361,3,false),1)="b","W",if(LEFT(VLOOKUP($B207,'Round 8'!$F$2:$H$361,3,false),1)="a","L",""))),"")</f>
        <v>W</v>
      </c>
      <c r="L207" s="68" t="str">
        <f>iferror(iferror(if(LEFT(VLOOKUP($B207,'Round 9'!$B$2:$H$361,7,false),1)="A","W",if(LEFT(VLOOKUP($B207,'Round 9'!$B$2:$H$361,7,false),1)="B","L","")),if(LEFT(VLOOKUP($B207,'Round 9'!$F$2:$H$361,3,false),1)="b","W",if(LEFT(VLOOKUP($B207,'Round 9'!$F$2:$H$361,3,false),1)="a","L",""))),"")</f>
        <v>L</v>
      </c>
      <c r="M207" s="68" t="str">
        <f>iferror(iferror(if(LEFT(VLOOKUP($B207,'Round 10'!$B$2:$H$362,7,false),1)="A","W",if(LEFT(VLOOKUP($B207,'Round 10'!$B$2:$H$362,7,false),1)="B","L","")),if(LEFT(VLOOKUP($B207,'Round 10'!$F$2:$H$362,3,false),1)="b","W",if(LEFT(VLOOKUP($B207,'Round 10'!$F$2:$H$362,3,false),1)="a","L",""))),"")</f>
        <v/>
      </c>
      <c r="N207" s="62" t="s">
        <v>483</v>
      </c>
    </row>
    <row r="208">
      <c r="A208" s="63">
        <v>207.0</v>
      </c>
      <c r="B208" s="64" t="s">
        <v>484</v>
      </c>
      <c r="C208" s="65" t="str">
        <f t="shared" si="1"/>
        <v>6 - 3</v>
      </c>
      <c r="D208" s="67" t="str">
        <f>iferror(if(LEFT(VLOOKUP($B208,'Round 1'!$B$2:$H$361,7,false),1)="A","W",if(LEFT(VLOOKUP($B208,'Round 1'!$B$2:$H$361,7,false),1)="B","L","")),if(LEFT(VLOOKUP($B208,'Round 1'!$F$2:$H$361,3,false),1)="b","W",if(LEFT(VLOOKUP($B208,'Round 1'!$F$2:$H$361,3,false),1)="a","L","")))</f>
        <v>W</v>
      </c>
      <c r="E208" s="67" t="str">
        <f>iferror(if(LEFT(VLOOKUP($B208,'Round 2'!$C$2:$J$361,8,false),1)="A","W",if(LEFT(VLOOKUP($B208,'Round 2'!$C$2:$J$361,8,false),1)="B","L","")),if(LEFT(VLOOKUP($B208,'Round 2'!$G$2:$J$361,4,false),1)="b","W",if(LEFT(VLOOKUP($B208,'Round 2'!$G$2:$J$361,4,false),1)="a","L","")))</f>
        <v>L</v>
      </c>
      <c r="F208" s="67" t="str">
        <f>iferror(if(LEFT(VLOOKUP($B208,'Round 3'!$B$2:$H$361,7,false),1)="A","W",if(LEFT(VLOOKUP($B208,'Round 3'!$B$2:$H$361,7,false),1)="B","L","")),if(LEFT(VLOOKUP($B208,'Round 3'!$F$2:$H$361,3,false),1)="b","W",if(LEFT(VLOOKUP($B208,'Round 3'!$F$2:$H$361,3,false),1)="a","L","")))</f>
        <v>W</v>
      </c>
      <c r="G208" s="67" t="str">
        <f>iferror(if(LEFT(VLOOKUP($B208,'Round 4'!$B$2:$H$361,7,false),1)="A","W",if(LEFT(VLOOKUP($B208,'Round 4'!$B$2:$H$361,7,false),1)="B","L","")),if(LEFT(VLOOKUP($B208,'Round 4'!$F$2:$H$361,3,false),1)="b","W",if(LEFT(VLOOKUP($B208,'Round 4'!$F$2:$H$361,3,false),1)="a","L","")))</f>
        <v>W</v>
      </c>
      <c r="H208" s="67" t="str">
        <f>iferror(if(LEFT(VLOOKUP($B208,'Round 5'!$B$2:$H$361,7,false),1)="A","W",if(LEFT(VLOOKUP($B208,'Round 5'!$B$2:$H$361,7,false),1)="B","L","")),if(LEFT(VLOOKUP($B208,'Round 5'!$F$2:$H$361,3,false),1)="b","W",if(LEFT(VLOOKUP($B208,'Round 5'!$F$2:$H$361,3,false),1)="a","L","")))</f>
        <v>W</v>
      </c>
      <c r="I208" s="67" t="str">
        <f>iferror(if(LEFT(VLOOKUP($B208,'Round 6'!$B$2:$H$361,7,false),1)="A","W",if(LEFT(VLOOKUP($B208,'Round 6'!$B$2:$H$361,7,false),1)="B","L","")),if(LEFT(VLOOKUP($B208,'Round 6'!$F$2:$H$361,3,false),1)="b","W",if(LEFT(VLOOKUP($B208,'Round 6'!$F$2:$H$361,3,false),1)="a","L","")))</f>
        <v>L</v>
      </c>
      <c r="J208" s="67" t="str">
        <f>iferror(iferror(if(LEFT(VLOOKUP($B208,'Round 7'!$B$2:$H$361,7,false),1)="A","W",if(LEFT(VLOOKUP($B208,'Round 7'!$B$2:$H$361,7,false),1)="B","L","")),if(LEFT(VLOOKUP($B208,'Round 7'!$F$2:$H$361,3,false),1)="b","W",if(LEFT(VLOOKUP($B208,'Round 7'!$F$2:$H$361,3,false),1)="a","L",""))),"")</f>
        <v>W</v>
      </c>
      <c r="K208" s="68" t="str">
        <f>iferror(iferror(if(LEFT(VLOOKUP($B208,'Round 8'!$B$2:$H$361,7,false),1)="A","W",if(LEFT(VLOOKUP($B208,'Round 8'!$B$2:$H$361,7,false),1)="B","L","")),if(LEFT(VLOOKUP($B208,'Round 8'!$F$2:$H$361,3,false),1)="b","W",if(LEFT(VLOOKUP($B208,'Round 8'!$F$2:$H$361,3,false),1)="a","L",""))),"")</f>
        <v>W</v>
      </c>
      <c r="L208" s="68" t="str">
        <f>iferror(iferror(if(LEFT(VLOOKUP($B208,'Round 9'!$B$2:$H$361,7,false),1)="A","W",if(LEFT(VLOOKUP($B208,'Round 9'!$B$2:$H$361,7,false),1)="B","L","")),if(LEFT(VLOOKUP($B208,'Round 9'!$F$2:$H$361,3,false),1)="b","W",if(LEFT(VLOOKUP($B208,'Round 9'!$F$2:$H$361,3,false),1)="a","L",""))),"")</f>
        <v>L</v>
      </c>
      <c r="M208" s="68" t="str">
        <f>iferror(iferror(if(LEFT(VLOOKUP($B208,'Round 10'!$B$2:$H$362,7,false),1)="A","W",if(LEFT(VLOOKUP($B208,'Round 10'!$B$2:$H$362,7,false),1)="B","L","")),if(LEFT(VLOOKUP($B208,'Round 10'!$F$2:$H$362,3,false),1)="b","W",if(LEFT(VLOOKUP($B208,'Round 10'!$F$2:$H$362,3,false),1)="a","L",""))),"")</f>
        <v/>
      </c>
      <c r="N208" s="62" t="s">
        <v>485</v>
      </c>
    </row>
    <row r="209">
      <c r="A209" s="63">
        <v>208.0</v>
      </c>
      <c r="B209" s="64" t="s">
        <v>486</v>
      </c>
      <c r="C209" s="65" t="str">
        <f t="shared" si="1"/>
        <v>5 - 3</v>
      </c>
      <c r="D209" s="67" t="str">
        <f>iferror(if(LEFT(VLOOKUP($B209,'Round 1'!$B$2:$H$361,7,false),1)="A","W",if(LEFT(VLOOKUP($B209,'Round 1'!$B$2:$H$361,7,false),1)="B","L","")),if(LEFT(VLOOKUP($B209,'Round 1'!$F$2:$H$361,3,false),1)="b","W",if(LEFT(VLOOKUP($B209,'Round 1'!$F$2:$H$361,3,false),1)="a","L","")))</f>
        <v>L</v>
      </c>
      <c r="E209" s="67" t="str">
        <f>iferror(if(LEFT(VLOOKUP($B209,'Round 2'!$C$2:$J$361,8,false),1)="A","W",if(LEFT(VLOOKUP($B209,'Round 2'!$C$2:$J$361,8,false),1)="B","L","")),if(LEFT(VLOOKUP($B209,'Round 2'!$G$2:$J$361,4,false),1)="b","W",if(LEFT(VLOOKUP($B209,'Round 2'!$G$2:$J$361,4,false),1)="a","L","")))</f>
        <v>W</v>
      </c>
      <c r="F209" s="67" t="str">
        <f>iferror(if(LEFT(VLOOKUP($B209,'Round 3'!$B$2:$H$361,7,false),1)="A","W",if(LEFT(VLOOKUP($B209,'Round 3'!$B$2:$H$361,7,false),1)="B","L","")),if(LEFT(VLOOKUP($B209,'Round 3'!$F$2:$H$361,3,false),1)="b","W",if(LEFT(VLOOKUP($B209,'Round 3'!$F$2:$H$361,3,false),1)="a","L","")))</f>
        <v>L</v>
      </c>
      <c r="G209" s="67" t="str">
        <f>iferror(if(LEFT(VLOOKUP($B209,'Round 4'!$B$2:$H$361,7,false),1)="A","W",if(LEFT(VLOOKUP($B209,'Round 4'!$B$2:$H$361,7,false),1)="B","L","")),if(LEFT(VLOOKUP($B209,'Round 4'!$F$2:$H$361,3,false),1)="b","W",if(LEFT(VLOOKUP($B209,'Round 4'!$F$2:$H$361,3,false),1)="a","L","")))</f>
        <v>W</v>
      </c>
      <c r="H209" s="67" t="str">
        <f>iferror(if(LEFT(VLOOKUP($B209,'Round 5'!$B$2:$H$361,7,false),1)="A","W",if(LEFT(VLOOKUP($B209,'Round 5'!$B$2:$H$361,7,false),1)="B","L","")),if(LEFT(VLOOKUP($B209,'Round 5'!$F$2:$H$361,3,false),1)="b","W",if(LEFT(VLOOKUP($B209,'Round 5'!$F$2:$H$361,3,false),1)="a","L","")))</f>
        <v>W</v>
      </c>
      <c r="I209" s="67" t="str">
        <f>iferror(if(LEFT(VLOOKUP($B209,'Round 6'!$B$2:$H$361,7,false),1)="A","W",if(LEFT(VLOOKUP($B209,'Round 6'!$B$2:$H$361,7,false),1)="B","L","")),if(LEFT(VLOOKUP($B209,'Round 6'!$F$2:$H$361,3,false),1)="b","W",if(LEFT(VLOOKUP($B209,'Round 6'!$F$2:$H$361,3,false),1)="a","L","")))</f>
        <v>W</v>
      </c>
      <c r="J209" s="67" t="str">
        <f>iferror(iferror(if(LEFT(VLOOKUP($B209,'Round 7'!$B$2:$H$361,7,false),1)="A","W",if(LEFT(VLOOKUP($B209,'Round 7'!$B$2:$H$361,7,false),1)="B","L","")),if(LEFT(VLOOKUP($B209,'Round 7'!$F$2:$H$361,3,false),1)="b","W",if(LEFT(VLOOKUP($B209,'Round 7'!$F$2:$H$361,3,false),1)="a","L",""))),"")</f>
        <v>W</v>
      </c>
      <c r="K209" s="68" t="str">
        <f>iferror(iferror(if(LEFT(VLOOKUP($B209,'Round 8'!$B$2:$H$361,7,false),1)="A","W",if(LEFT(VLOOKUP($B209,'Round 8'!$B$2:$H$361,7,false),1)="B","L","")),if(LEFT(VLOOKUP($B209,'Round 8'!$F$2:$H$361,3,false),1)="b","W",if(LEFT(VLOOKUP($B209,'Round 8'!$F$2:$H$361,3,false),1)="a","L",""))),"")</f>
        <v>L</v>
      </c>
      <c r="L209" s="68" t="str">
        <f>iferror(iferror(if(LEFT(VLOOKUP($B209,'Round 9'!$B$2:$H$361,7,false),1)="A","W",if(LEFT(VLOOKUP($B209,'Round 9'!$B$2:$H$361,7,false),1)="B","L","")),if(LEFT(VLOOKUP($B209,'Round 9'!$F$2:$H$361,3,false),1)="b","W",if(LEFT(VLOOKUP($B209,'Round 9'!$F$2:$H$361,3,false),1)="a","L",""))),"")</f>
        <v/>
      </c>
      <c r="M209" s="68" t="str">
        <f>iferror(iferror(if(LEFT(VLOOKUP($B209,'Round 10'!$B$2:$H$362,7,false),1)="A","W",if(LEFT(VLOOKUP($B209,'Round 10'!$B$2:$H$362,7,false),1)="B","L","")),if(LEFT(VLOOKUP($B209,'Round 10'!$F$2:$H$362,3,false),1)="b","W",if(LEFT(VLOOKUP($B209,'Round 10'!$F$2:$H$362,3,false),1)="a","L",""))),"")</f>
        <v/>
      </c>
      <c r="N209" s="62" t="s">
        <v>487</v>
      </c>
    </row>
    <row r="210">
      <c r="A210" s="63">
        <v>209.0</v>
      </c>
      <c r="B210" s="64" t="s">
        <v>488</v>
      </c>
      <c r="C210" s="65" t="str">
        <f t="shared" si="1"/>
        <v>1 - 3</v>
      </c>
      <c r="D210" s="67" t="str">
        <f>iferror(if(LEFT(VLOOKUP($B210,'Round 1'!$B$2:$H$361,7,false),1)="A","W",if(LEFT(VLOOKUP($B210,'Round 1'!$B$2:$H$361,7,false),1)="B","L","")),if(LEFT(VLOOKUP($B210,'Round 1'!$F$2:$H$361,3,false),1)="b","W",if(LEFT(VLOOKUP($B210,'Round 1'!$F$2:$H$361,3,false),1)="a","L","")))</f>
        <v>L</v>
      </c>
      <c r="E210" s="67" t="str">
        <f>iferror(if(LEFT(VLOOKUP($B210,'Round 2'!$C$2:$J$361,8,false),1)="A","W",if(LEFT(VLOOKUP($B210,'Round 2'!$C$2:$J$361,8,false),1)="B","L","")),if(LEFT(VLOOKUP($B210,'Round 2'!$G$2:$J$361,4,false),1)="b","W",if(LEFT(VLOOKUP($B210,'Round 2'!$G$2:$J$361,4,false),1)="a","L","")))</f>
        <v>L</v>
      </c>
      <c r="F210" s="67" t="str">
        <f>iferror(if(LEFT(VLOOKUP($B210,'Round 3'!$B$2:$H$361,7,false),1)="A","W",if(LEFT(VLOOKUP($B210,'Round 3'!$B$2:$H$361,7,false),1)="B","L","")),if(LEFT(VLOOKUP($B210,'Round 3'!$F$2:$H$361,3,false),1)="b","W",if(LEFT(VLOOKUP($B210,'Round 3'!$F$2:$H$361,3,false),1)="a","L","")))</f>
        <v>W</v>
      </c>
      <c r="G210" s="67" t="str">
        <f>iferror(if(LEFT(VLOOKUP($B210,'Round 4'!$B$2:$H$361,7,false),1)="A","W",if(LEFT(VLOOKUP($B210,'Round 4'!$B$2:$H$361,7,false),1)="B","L","")),if(LEFT(VLOOKUP($B210,'Round 4'!$F$2:$H$361,3,false),1)="b","W",if(LEFT(VLOOKUP($B210,'Round 4'!$F$2:$H$361,3,false),1)="a","L","")))</f>
        <v>L</v>
      </c>
      <c r="H210" s="67"/>
      <c r="I210" s="67"/>
      <c r="J210" s="67" t="str">
        <f>iferror(iferror(if(LEFT(VLOOKUP($B210,'Round 7'!$B$2:$H$361,7,false),1)="A","W",if(LEFT(VLOOKUP($B210,'Round 7'!$B$2:$H$361,7,false),1)="B","L","")),if(LEFT(VLOOKUP($B210,'Round 7'!$F$2:$H$361,3,false),1)="b","W",if(LEFT(VLOOKUP($B210,'Round 7'!$F$2:$H$361,3,false),1)="a","L",""))),"")</f>
        <v/>
      </c>
      <c r="K210" s="68" t="str">
        <f>iferror(iferror(if(LEFT(VLOOKUP($B210,'Round 8'!$B$2:$H$361,7,false),1)="A","W",if(LEFT(VLOOKUP($B210,'Round 8'!$B$2:$H$361,7,false),1)="B","L","")),if(LEFT(VLOOKUP($B210,'Round 8'!$F$2:$H$361,3,false),1)="b","W",if(LEFT(VLOOKUP($B210,'Round 8'!$F$2:$H$361,3,false),1)="a","L",""))),"")</f>
        <v/>
      </c>
      <c r="L210" s="68" t="str">
        <f>iferror(iferror(if(LEFT(VLOOKUP($B210,'Round 9'!$B$2:$H$361,7,false),1)="A","W",if(LEFT(VLOOKUP($B210,'Round 9'!$B$2:$H$361,7,false),1)="B","L","")),if(LEFT(VLOOKUP($B210,'Round 9'!$F$2:$H$361,3,false),1)="b","W",if(LEFT(VLOOKUP($B210,'Round 9'!$F$2:$H$361,3,false),1)="a","L",""))),"")</f>
        <v/>
      </c>
      <c r="M210" s="68" t="str">
        <f>iferror(iferror(if(LEFT(VLOOKUP($B210,'Round 10'!$B$2:$H$362,7,false),1)="A","W",if(LEFT(VLOOKUP($B210,'Round 10'!$B$2:$H$362,7,false),1)="B","L","")),if(LEFT(VLOOKUP($B210,'Round 10'!$F$2:$H$362,3,false),1)="b","W",if(LEFT(VLOOKUP($B210,'Round 10'!$F$2:$H$362,3,false),1)="a","L",""))),"")</f>
        <v/>
      </c>
      <c r="N210" s="62" t="s">
        <v>144</v>
      </c>
    </row>
    <row r="211">
      <c r="A211" s="63">
        <v>210.0</v>
      </c>
      <c r="B211" s="64" t="s">
        <v>489</v>
      </c>
      <c r="C211" s="65" t="str">
        <f t="shared" si="1"/>
        <v>3 - 3</v>
      </c>
      <c r="D211" s="67" t="str">
        <f>iferror(if(LEFT(VLOOKUP($B211,'Round 1'!$B$2:$H$361,7,false),1)="A","W",if(LEFT(VLOOKUP($B211,'Round 1'!$B$2:$H$361,7,false),1)="B","L","")),if(LEFT(VLOOKUP($B211,'Round 1'!$F$2:$H$361,3,false),1)="b","W",if(LEFT(VLOOKUP($B211,'Round 1'!$F$2:$H$361,3,false),1)="a","L","")))</f>
        <v>W</v>
      </c>
      <c r="E211" s="67" t="str">
        <f>iferror(if(LEFT(VLOOKUP($B211,'Round 2'!$C$2:$J$361,8,false),1)="A","W",if(LEFT(VLOOKUP($B211,'Round 2'!$C$2:$J$361,8,false),1)="B","L","")),if(LEFT(VLOOKUP($B211,'Round 2'!$G$2:$J$361,4,false),1)="b","W",if(LEFT(VLOOKUP($B211,'Round 2'!$G$2:$J$361,4,false),1)="a","L","")))</f>
        <v>L</v>
      </c>
      <c r="F211" s="67" t="str">
        <f>iferror(if(LEFT(VLOOKUP($B211,'Round 3'!$B$2:$H$361,7,false),1)="A","W",if(LEFT(VLOOKUP($B211,'Round 3'!$B$2:$H$361,7,false),1)="B","L","")),if(LEFT(VLOOKUP($B211,'Round 3'!$F$2:$H$361,3,false),1)="b","W",if(LEFT(VLOOKUP($B211,'Round 3'!$F$2:$H$361,3,false),1)="a","L","")))</f>
        <v>W</v>
      </c>
      <c r="G211" s="67" t="str">
        <f>iferror(if(LEFT(VLOOKUP($B211,'Round 4'!$B$2:$H$361,7,false),1)="A","W",if(LEFT(VLOOKUP($B211,'Round 4'!$B$2:$H$361,7,false),1)="B","L","")),if(LEFT(VLOOKUP($B211,'Round 4'!$F$2:$H$361,3,false),1)="b","W",if(LEFT(VLOOKUP($B211,'Round 4'!$F$2:$H$361,3,false),1)="a","L","")))</f>
        <v>L</v>
      </c>
      <c r="H211" s="67" t="str">
        <f>iferror(if(LEFT(VLOOKUP($B211,'Round 5'!$B$2:$H$361,7,false),1)="A","W",if(LEFT(VLOOKUP($B211,'Round 5'!$B$2:$H$361,7,false),1)="B","L","")),if(LEFT(VLOOKUP($B211,'Round 5'!$F$2:$H$361,3,false),1)="b","W",if(LEFT(VLOOKUP($B211,'Round 5'!$F$2:$H$361,3,false),1)="a","L","")))</f>
        <v>W</v>
      </c>
      <c r="I211" s="67" t="str">
        <f>iferror(if(LEFT(VLOOKUP($B211,'Round 6'!$B$2:$H$361,7,false),1)="A","W",if(LEFT(VLOOKUP($B211,'Round 6'!$B$2:$H$361,7,false),1)="B","L","")),if(LEFT(VLOOKUP($B211,'Round 6'!$F$2:$H$361,3,false),1)="b","W",if(LEFT(VLOOKUP($B211,'Round 6'!$F$2:$H$361,3,false),1)="a","L","")))</f>
        <v>L</v>
      </c>
      <c r="J211" s="67" t="str">
        <f>iferror(iferror(if(LEFT(VLOOKUP($B211,'Round 7'!$B$2:$H$361,7,false),1)="A","W",if(LEFT(VLOOKUP($B211,'Round 7'!$B$2:$H$361,7,false),1)="B","L","")),if(LEFT(VLOOKUP($B211,'Round 7'!$F$2:$H$361,3,false),1)="b","W",if(LEFT(VLOOKUP($B211,'Round 7'!$F$2:$H$361,3,false),1)="a","L",""))),"")</f>
        <v/>
      </c>
      <c r="K211" s="68" t="str">
        <f>iferror(iferror(if(LEFT(VLOOKUP($B211,'Round 8'!$B$2:$H$361,7,false),1)="A","W",if(LEFT(VLOOKUP($B211,'Round 8'!$B$2:$H$361,7,false),1)="B","L","")),if(LEFT(VLOOKUP($B211,'Round 8'!$F$2:$H$361,3,false),1)="b","W",if(LEFT(VLOOKUP($B211,'Round 8'!$F$2:$H$361,3,false),1)="a","L",""))),"")</f>
        <v/>
      </c>
      <c r="L211" s="68" t="str">
        <f>iferror(iferror(if(LEFT(VLOOKUP($B211,'Round 9'!$B$2:$H$361,7,false),1)="A","W",if(LEFT(VLOOKUP($B211,'Round 9'!$B$2:$H$361,7,false),1)="B","L","")),if(LEFT(VLOOKUP($B211,'Round 9'!$F$2:$H$361,3,false),1)="b","W",if(LEFT(VLOOKUP($B211,'Round 9'!$F$2:$H$361,3,false),1)="a","L",""))),"")</f>
        <v/>
      </c>
      <c r="M211" s="68" t="str">
        <f>iferror(iferror(if(LEFT(VLOOKUP($B211,'Round 10'!$B$2:$H$362,7,false),1)="A","W",if(LEFT(VLOOKUP($B211,'Round 10'!$B$2:$H$362,7,false),1)="B","L","")),if(LEFT(VLOOKUP($B211,'Round 10'!$F$2:$H$362,3,false),1)="b","W",if(LEFT(VLOOKUP($B211,'Round 10'!$F$2:$H$362,3,false),1)="a","L",""))),"")</f>
        <v/>
      </c>
      <c r="N211" s="62" t="s">
        <v>490</v>
      </c>
    </row>
    <row r="212">
      <c r="A212" s="63">
        <v>211.0</v>
      </c>
      <c r="B212" s="64" t="s">
        <v>491</v>
      </c>
      <c r="C212" s="65" t="str">
        <f t="shared" si="1"/>
        <v>4 - 3</v>
      </c>
      <c r="D212" s="67" t="str">
        <f>iferror(if(LEFT(VLOOKUP($B212,'Round 1'!$B$2:$H$361,7,false),1)="A","W",if(LEFT(VLOOKUP($B212,'Round 1'!$B$2:$H$361,7,false),1)="B","L","")),if(LEFT(VLOOKUP($B212,'Round 1'!$F$2:$H$361,3,false),1)="b","W",if(LEFT(VLOOKUP($B212,'Round 1'!$F$2:$H$361,3,false),1)="a","L","")))</f>
        <v>L</v>
      </c>
      <c r="E212" s="67" t="str">
        <f>iferror(if(LEFT(VLOOKUP($B212,'Round 2'!$C$2:$J$361,8,false),1)="A","W",if(LEFT(VLOOKUP($B212,'Round 2'!$C$2:$J$361,8,false),1)="B","L","")),if(LEFT(VLOOKUP($B212,'Round 2'!$G$2:$J$361,4,false),1)="b","W",if(LEFT(VLOOKUP($B212,'Round 2'!$G$2:$J$361,4,false),1)="a","L","")))</f>
        <v>L</v>
      </c>
      <c r="F212" s="67" t="str">
        <f>iferror(if(LEFT(VLOOKUP($B212,'Round 3'!$B$2:$H$361,7,false),1)="A","W",if(LEFT(VLOOKUP($B212,'Round 3'!$B$2:$H$361,7,false),1)="B","L","")),if(LEFT(VLOOKUP($B212,'Round 3'!$F$2:$H$361,3,false),1)="b","W",if(LEFT(VLOOKUP($B212,'Round 3'!$F$2:$H$361,3,false),1)="a","L","")))</f>
        <v>W</v>
      </c>
      <c r="G212" s="67" t="str">
        <f>iferror(if(LEFT(VLOOKUP($B212,'Round 4'!$B$2:$H$361,7,false),1)="A","W",if(LEFT(VLOOKUP($B212,'Round 4'!$B$2:$H$361,7,false),1)="B","L","")),if(LEFT(VLOOKUP($B212,'Round 4'!$F$2:$H$361,3,false),1)="b","W",if(LEFT(VLOOKUP($B212,'Round 4'!$F$2:$H$361,3,false),1)="a","L","")))</f>
        <v>W</v>
      </c>
      <c r="H212" s="67" t="str">
        <f>iferror(if(LEFT(VLOOKUP($B212,'Round 5'!$B$2:$H$361,7,false),1)="A","W",if(LEFT(VLOOKUP($B212,'Round 5'!$B$2:$H$361,7,false),1)="B","L","")),if(LEFT(VLOOKUP($B212,'Round 5'!$F$2:$H$361,3,false),1)="b","W",if(LEFT(VLOOKUP($B212,'Round 5'!$F$2:$H$361,3,false),1)="a","L","")))</f>
        <v>W</v>
      </c>
      <c r="I212" s="67" t="str">
        <f>iferror(if(LEFT(VLOOKUP($B212,'Round 6'!$B$2:$H$361,7,false),1)="A","W",if(LEFT(VLOOKUP($B212,'Round 6'!$B$2:$H$361,7,false),1)="B","L","")),if(LEFT(VLOOKUP($B212,'Round 6'!$F$2:$H$361,3,false),1)="b","W",if(LEFT(VLOOKUP($B212,'Round 6'!$F$2:$H$361,3,false),1)="a","L","")))</f>
        <v>W</v>
      </c>
      <c r="J212" s="67" t="str">
        <f>iferror(iferror(if(LEFT(VLOOKUP($B212,'Round 7'!$B$2:$H$361,7,false),1)="A","W",if(LEFT(VLOOKUP($B212,'Round 7'!$B$2:$H$361,7,false),1)="B","L","")),if(LEFT(VLOOKUP($B212,'Round 7'!$F$2:$H$361,3,false),1)="b","W",if(LEFT(VLOOKUP($B212,'Round 7'!$F$2:$H$361,3,false),1)="a","L",""))),"")</f>
        <v>L</v>
      </c>
      <c r="K212" s="68" t="str">
        <f>iferror(iferror(if(LEFT(VLOOKUP($B212,'Round 8'!$B$2:$H$361,7,false),1)="A","W",if(LEFT(VLOOKUP($B212,'Round 8'!$B$2:$H$361,7,false),1)="B","L","")),if(LEFT(VLOOKUP($B212,'Round 8'!$F$2:$H$361,3,false),1)="b","W",if(LEFT(VLOOKUP($B212,'Round 8'!$F$2:$H$361,3,false),1)="a","L",""))),"")</f>
        <v/>
      </c>
      <c r="L212" s="68" t="str">
        <f>iferror(iferror(if(LEFT(VLOOKUP($B212,'Round 9'!$B$2:$H$361,7,false),1)="A","W",if(LEFT(VLOOKUP($B212,'Round 9'!$B$2:$H$361,7,false),1)="B","L","")),if(LEFT(VLOOKUP($B212,'Round 9'!$F$2:$H$361,3,false),1)="b","W",if(LEFT(VLOOKUP($B212,'Round 9'!$F$2:$H$361,3,false),1)="a","L",""))),"")</f>
        <v/>
      </c>
      <c r="M212" s="68" t="str">
        <f>iferror(iferror(if(LEFT(VLOOKUP($B212,'Round 10'!$B$2:$H$362,7,false),1)="A","W",if(LEFT(VLOOKUP($B212,'Round 10'!$B$2:$H$362,7,false),1)="B","L","")),if(LEFT(VLOOKUP($B212,'Round 10'!$F$2:$H$362,3,false),1)="b","W",if(LEFT(VLOOKUP($B212,'Round 10'!$F$2:$H$362,3,false),1)="a","L",""))),"")</f>
        <v/>
      </c>
      <c r="N212" s="62" t="s">
        <v>492</v>
      </c>
    </row>
    <row r="213">
      <c r="A213" s="63">
        <v>212.0</v>
      </c>
      <c r="B213" s="64" t="s">
        <v>493</v>
      </c>
      <c r="C213" s="65" t="str">
        <f t="shared" si="1"/>
        <v>4 - 3</v>
      </c>
      <c r="D213" s="67" t="str">
        <f>iferror(if(LEFT(VLOOKUP($B213,'Round 1'!$B$2:$H$361,7,false),1)="A","W",if(LEFT(VLOOKUP($B213,'Round 1'!$B$2:$H$361,7,false),1)="B","L","")),if(LEFT(VLOOKUP($B213,'Round 1'!$F$2:$H$361,3,false),1)="b","W",if(LEFT(VLOOKUP($B213,'Round 1'!$F$2:$H$361,3,false),1)="a","L","")))</f>
        <v>W</v>
      </c>
      <c r="E213" s="67" t="str">
        <f>iferror(if(LEFT(VLOOKUP($B213,'Round 2'!$C$2:$J$361,8,false),1)="A","W",if(LEFT(VLOOKUP($B213,'Round 2'!$C$2:$J$361,8,false),1)="B","L","")),if(LEFT(VLOOKUP($B213,'Round 2'!$G$2:$J$361,4,false),1)="b","W",if(LEFT(VLOOKUP($B213,'Round 2'!$G$2:$J$361,4,false),1)="a","L","")))</f>
        <v>L</v>
      </c>
      <c r="F213" s="67" t="str">
        <f>iferror(if(LEFT(VLOOKUP($B213,'Round 3'!$B$2:$H$361,7,false),1)="A","W",if(LEFT(VLOOKUP($B213,'Round 3'!$B$2:$H$361,7,false),1)="B","L","")),if(LEFT(VLOOKUP($B213,'Round 3'!$F$2:$H$361,3,false),1)="b","W",if(LEFT(VLOOKUP($B213,'Round 3'!$F$2:$H$361,3,false),1)="a","L","")))</f>
        <v>W</v>
      </c>
      <c r="G213" s="67" t="str">
        <f>iferror(if(LEFT(VLOOKUP($B213,'Round 4'!$B$2:$H$361,7,false),1)="A","W",if(LEFT(VLOOKUP($B213,'Round 4'!$B$2:$H$361,7,false),1)="B","L","")),if(LEFT(VLOOKUP($B213,'Round 4'!$F$2:$H$361,3,false),1)="b","W",if(LEFT(VLOOKUP($B213,'Round 4'!$F$2:$H$361,3,false),1)="a","L","")))</f>
        <v>W</v>
      </c>
      <c r="H213" s="67" t="str">
        <f>iferror(if(LEFT(VLOOKUP($B213,'Round 5'!$B$2:$H$361,7,false),1)="A","W",if(LEFT(VLOOKUP($B213,'Round 5'!$B$2:$H$361,7,false),1)="B","L","")),if(LEFT(VLOOKUP($B213,'Round 5'!$F$2:$H$361,3,false),1)="b","W",if(LEFT(VLOOKUP($B213,'Round 5'!$F$2:$H$361,3,false),1)="a","L","")))</f>
        <v>W</v>
      </c>
      <c r="I213" s="67" t="str">
        <f>iferror(if(LEFT(VLOOKUP($B213,'Round 6'!$B$2:$H$361,7,false),1)="A","W",if(LEFT(VLOOKUP($B213,'Round 6'!$B$2:$H$361,7,false),1)="B","L","")),if(LEFT(VLOOKUP($B213,'Round 6'!$F$2:$H$361,3,false),1)="b","W",if(LEFT(VLOOKUP($B213,'Round 6'!$F$2:$H$361,3,false),1)="a","L","")))</f>
        <v>L</v>
      </c>
      <c r="J213" s="67" t="str">
        <f>iferror(iferror(if(LEFT(VLOOKUP($B213,'Round 7'!$B$2:$H$361,7,false),1)="A","W",if(LEFT(VLOOKUP($B213,'Round 7'!$B$2:$H$361,7,false),1)="B","L","")),if(LEFT(VLOOKUP($B213,'Round 7'!$F$2:$H$361,3,false),1)="b","W",if(LEFT(VLOOKUP($B213,'Round 7'!$F$2:$H$361,3,false),1)="a","L",""))),"")</f>
        <v>L</v>
      </c>
      <c r="K213" s="68" t="str">
        <f>iferror(iferror(if(LEFT(VLOOKUP($B213,'Round 8'!$B$2:$H$361,7,false),1)="A","W",if(LEFT(VLOOKUP($B213,'Round 8'!$B$2:$H$361,7,false),1)="B","L","")),if(LEFT(VLOOKUP($B213,'Round 8'!$F$2:$H$361,3,false),1)="b","W",if(LEFT(VLOOKUP($B213,'Round 8'!$F$2:$H$361,3,false),1)="a","L",""))),"")</f>
        <v/>
      </c>
      <c r="L213" s="68" t="str">
        <f>iferror(iferror(if(LEFT(VLOOKUP($B213,'Round 9'!$B$2:$H$361,7,false),1)="A","W",if(LEFT(VLOOKUP($B213,'Round 9'!$B$2:$H$361,7,false),1)="B","L","")),if(LEFT(VLOOKUP($B213,'Round 9'!$F$2:$H$361,3,false),1)="b","W",if(LEFT(VLOOKUP($B213,'Round 9'!$F$2:$H$361,3,false),1)="a","L",""))),"")</f>
        <v/>
      </c>
      <c r="M213" s="68" t="str">
        <f>iferror(iferror(if(LEFT(VLOOKUP($B213,'Round 10'!$B$2:$H$362,7,false),1)="A","W",if(LEFT(VLOOKUP($B213,'Round 10'!$B$2:$H$362,7,false),1)="B","L","")),if(LEFT(VLOOKUP($B213,'Round 10'!$F$2:$H$362,3,false),1)="b","W",if(LEFT(VLOOKUP($B213,'Round 10'!$F$2:$H$362,3,false),1)="a","L",""))),"")</f>
        <v/>
      </c>
      <c r="N213" s="62" t="s">
        <v>494</v>
      </c>
    </row>
    <row r="214">
      <c r="A214" s="63">
        <v>213.0</v>
      </c>
      <c r="B214" s="64" t="s">
        <v>495</v>
      </c>
      <c r="C214" s="65" t="str">
        <f t="shared" si="1"/>
        <v>1 - 3</v>
      </c>
      <c r="D214" s="67" t="str">
        <f>iferror(if(LEFT(VLOOKUP($B214,'Round 1'!$B$2:$H$361,7,false),1)="A","W",if(LEFT(VLOOKUP($B214,'Round 1'!$B$2:$H$361,7,false),1)="B","L","")),if(LEFT(VLOOKUP($B214,'Round 1'!$F$2:$H$361,3,false),1)="b","W",if(LEFT(VLOOKUP($B214,'Round 1'!$F$2:$H$361,3,false),1)="a","L","")))</f>
        <v>L</v>
      </c>
      <c r="E214" s="67" t="str">
        <f>iferror(if(LEFT(VLOOKUP($B214,'Round 2'!$C$2:$J$361,8,false),1)="A","W",if(LEFT(VLOOKUP($B214,'Round 2'!$C$2:$J$361,8,false),1)="B","L","")),if(LEFT(VLOOKUP($B214,'Round 2'!$G$2:$J$361,4,false),1)="b","W",if(LEFT(VLOOKUP($B214,'Round 2'!$G$2:$J$361,4,false),1)="a","L","")))</f>
        <v>L</v>
      </c>
      <c r="F214" s="67" t="str">
        <f>iferror(if(LEFT(VLOOKUP($B214,'Round 3'!$B$2:$H$361,7,false),1)="A","W",if(LEFT(VLOOKUP($B214,'Round 3'!$B$2:$H$361,7,false),1)="B","L","")),if(LEFT(VLOOKUP($B214,'Round 3'!$F$2:$H$361,3,false),1)="b","W",if(LEFT(VLOOKUP($B214,'Round 3'!$F$2:$H$361,3,false),1)="a","L","")))</f>
        <v>W</v>
      </c>
      <c r="G214" s="67" t="str">
        <f>iferror(if(LEFT(VLOOKUP($B214,'Round 4'!$B$2:$H$361,7,false),1)="A","W",if(LEFT(VLOOKUP($B214,'Round 4'!$B$2:$H$361,7,false),1)="B","L","")),if(LEFT(VLOOKUP($B214,'Round 4'!$F$2:$H$361,3,false),1)="b","W",if(LEFT(VLOOKUP($B214,'Round 4'!$F$2:$H$361,3,false),1)="a","L","")))</f>
        <v>L</v>
      </c>
      <c r="H214" s="67"/>
      <c r="I214" s="67"/>
      <c r="J214" s="67" t="str">
        <f>iferror(iferror(if(LEFT(VLOOKUP($B214,'Round 7'!$B$2:$H$361,7,false),1)="A","W",if(LEFT(VLOOKUP($B214,'Round 7'!$B$2:$H$361,7,false),1)="B","L","")),if(LEFT(VLOOKUP($B214,'Round 7'!$F$2:$H$361,3,false),1)="b","W",if(LEFT(VLOOKUP($B214,'Round 7'!$F$2:$H$361,3,false),1)="a","L",""))),"")</f>
        <v/>
      </c>
      <c r="K214" s="68" t="str">
        <f>iferror(iferror(if(LEFT(VLOOKUP($B214,'Round 8'!$B$2:$H$361,7,false),1)="A","W",if(LEFT(VLOOKUP($B214,'Round 8'!$B$2:$H$361,7,false),1)="B","L","")),if(LEFT(VLOOKUP($B214,'Round 8'!$F$2:$H$361,3,false),1)="b","W",if(LEFT(VLOOKUP($B214,'Round 8'!$F$2:$H$361,3,false),1)="a","L",""))),"")</f>
        <v/>
      </c>
      <c r="L214" s="68" t="str">
        <f>iferror(iferror(if(LEFT(VLOOKUP($B214,'Round 9'!$B$2:$H$361,7,false),1)="A","W",if(LEFT(VLOOKUP($B214,'Round 9'!$B$2:$H$361,7,false),1)="B","L","")),if(LEFT(VLOOKUP($B214,'Round 9'!$F$2:$H$361,3,false),1)="b","W",if(LEFT(VLOOKUP($B214,'Round 9'!$F$2:$H$361,3,false),1)="a","L",""))),"")</f>
        <v/>
      </c>
      <c r="M214" s="68" t="str">
        <f>iferror(iferror(if(LEFT(VLOOKUP($B214,'Round 10'!$B$2:$H$362,7,false),1)="A","W",if(LEFT(VLOOKUP($B214,'Round 10'!$B$2:$H$362,7,false),1)="B","L","")),if(LEFT(VLOOKUP($B214,'Round 10'!$F$2:$H$362,3,false),1)="b","W",if(LEFT(VLOOKUP($B214,'Round 10'!$F$2:$H$362,3,false),1)="a","L",""))),"")</f>
        <v/>
      </c>
      <c r="N214" s="62" t="s">
        <v>496</v>
      </c>
    </row>
    <row r="215">
      <c r="A215" s="63">
        <v>214.0</v>
      </c>
      <c r="B215" s="64" t="s">
        <v>497</v>
      </c>
      <c r="C215" s="65" t="str">
        <f t="shared" si="1"/>
        <v>1 - 3</v>
      </c>
      <c r="D215" s="67" t="str">
        <f>iferror(if(LEFT(VLOOKUP($B215,'Round 1'!$B$2:$H$361,7,false),1)="A","W",if(LEFT(VLOOKUP($B215,'Round 1'!$B$2:$H$361,7,false),1)="B","L","")),if(LEFT(VLOOKUP($B215,'Round 1'!$F$2:$H$361,3,false),1)="b","W",if(LEFT(VLOOKUP($B215,'Round 1'!$F$2:$H$361,3,false),1)="a","L","")))</f>
        <v>L</v>
      </c>
      <c r="E215" s="67" t="str">
        <f>iferror(if(LEFT(VLOOKUP($B215,'Round 2'!$C$2:$J$361,8,false),1)="A","W",if(LEFT(VLOOKUP($B215,'Round 2'!$C$2:$J$361,8,false),1)="B","L","")),if(LEFT(VLOOKUP($B215,'Round 2'!$G$2:$J$361,4,false),1)="b","W",if(LEFT(VLOOKUP($B215,'Round 2'!$G$2:$J$361,4,false),1)="a","L","")))</f>
        <v>W</v>
      </c>
      <c r="F215" s="67" t="str">
        <f>iferror(if(LEFT(VLOOKUP($B215,'Round 3'!$B$2:$H$361,7,false),1)="A","W",if(LEFT(VLOOKUP($B215,'Round 3'!$B$2:$H$361,7,false),1)="B","L","")),if(LEFT(VLOOKUP($B215,'Round 3'!$F$2:$H$361,3,false),1)="b","W",if(LEFT(VLOOKUP($B215,'Round 3'!$F$2:$H$361,3,false),1)="a","L","")))</f>
        <v>L</v>
      </c>
      <c r="G215" s="67" t="str">
        <f>iferror(if(LEFT(VLOOKUP($B215,'Round 4'!$B$2:$H$361,7,false),1)="A","W",if(LEFT(VLOOKUP($B215,'Round 4'!$B$2:$H$361,7,false),1)="B","L","")),if(LEFT(VLOOKUP($B215,'Round 4'!$F$2:$H$361,3,false),1)="b","W",if(LEFT(VLOOKUP($B215,'Round 4'!$F$2:$H$361,3,false),1)="a","L","")))</f>
        <v>L</v>
      </c>
      <c r="H215" s="67"/>
      <c r="I215" s="67"/>
      <c r="J215" s="67" t="str">
        <f>iferror(iferror(if(LEFT(VLOOKUP($B215,'Round 7'!$B$2:$H$361,7,false),1)="A","W",if(LEFT(VLOOKUP($B215,'Round 7'!$B$2:$H$361,7,false),1)="B","L","")),if(LEFT(VLOOKUP($B215,'Round 7'!$F$2:$H$361,3,false),1)="b","W",if(LEFT(VLOOKUP($B215,'Round 7'!$F$2:$H$361,3,false),1)="a","L",""))),"")</f>
        <v/>
      </c>
      <c r="K215" s="68" t="str">
        <f>iferror(iferror(if(LEFT(VLOOKUP($B215,'Round 8'!$B$2:$H$361,7,false),1)="A","W",if(LEFT(VLOOKUP($B215,'Round 8'!$B$2:$H$361,7,false),1)="B","L","")),if(LEFT(VLOOKUP($B215,'Round 8'!$F$2:$H$361,3,false),1)="b","W",if(LEFT(VLOOKUP($B215,'Round 8'!$F$2:$H$361,3,false),1)="a","L",""))),"")</f>
        <v/>
      </c>
      <c r="L215" s="68" t="str">
        <f>iferror(iferror(if(LEFT(VLOOKUP($B215,'Round 9'!$B$2:$H$361,7,false),1)="A","W",if(LEFT(VLOOKUP($B215,'Round 9'!$B$2:$H$361,7,false),1)="B","L","")),if(LEFT(VLOOKUP($B215,'Round 9'!$F$2:$H$361,3,false),1)="b","W",if(LEFT(VLOOKUP($B215,'Round 9'!$F$2:$H$361,3,false),1)="a","L",""))),"")</f>
        <v/>
      </c>
      <c r="M215" s="68" t="str">
        <f>iferror(iferror(if(LEFT(VLOOKUP($B215,'Round 10'!$B$2:$H$362,7,false),1)="A","W",if(LEFT(VLOOKUP($B215,'Round 10'!$B$2:$H$362,7,false),1)="B","L","")),if(LEFT(VLOOKUP($B215,'Round 10'!$F$2:$H$362,3,false),1)="b","W",if(LEFT(VLOOKUP($B215,'Round 10'!$F$2:$H$362,3,false),1)="a","L",""))),"")</f>
        <v/>
      </c>
      <c r="N215" s="62" t="s">
        <v>498</v>
      </c>
    </row>
    <row r="216">
      <c r="A216" s="63">
        <v>215.0</v>
      </c>
      <c r="B216" s="64" t="s">
        <v>499</v>
      </c>
      <c r="C216" s="65" t="str">
        <f t="shared" si="1"/>
        <v>4 - 3</v>
      </c>
      <c r="D216" s="67" t="str">
        <f>iferror(if(LEFT(VLOOKUP($B216,'Round 1'!$B$2:$H$361,7,false),1)="A","W",if(LEFT(VLOOKUP($B216,'Round 1'!$B$2:$H$361,7,false),1)="B","L","")),if(LEFT(VLOOKUP($B216,'Round 1'!$F$2:$H$361,3,false),1)="b","W",if(LEFT(VLOOKUP($B216,'Round 1'!$F$2:$H$361,3,false),1)="a","L","")))</f>
        <v>W</v>
      </c>
      <c r="E216" s="67" t="str">
        <f>iferror(if(LEFT(VLOOKUP($B216,'Round 2'!$C$2:$J$361,8,false),1)="A","W",if(LEFT(VLOOKUP($B216,'Round 2'!$C$2:$J$361,8,false),1)="B","L","")),if(LEFT(VLOOKUP($B216,'Round 2'!$G$2:$J$361,4,false),1)="b","W",if(LEFT(VLOOKUP($B216,'Round 2'!$G$2:$J$361,4,false),1)="a","L","")))</f>
        <v>L</v>
      </c>
      <c r="F216" s="67" t="str">
        <f>iferror(if(LEFT(VLOOKUP($B216,'Round 3'!$B$2:$H$361,7,false),1)="A","W",if(LEFT(VLOOKUP($B216,'Round 3'!$B$2:$H$361,7,false),1)="B","L","")),if(LEFT(VLOOKUP($B216,'Round 3'!$F$2:$H$361,3,false),1)="b","W",if(LEFT(VLOOKUP($B216,'Round 3'!$F$2:$H$361,3,false),1)="a","L","")))</f>
        <v>L</v>
      </c>
      <c r="G216" s="67" t="str">
        <f>iferror(if(LEFT(VLOOKUP($B216,'Round 4'!$B$2:$H$361,7,false),1)="A","W",if(LEFT(VLOOKUP($B216,'Round 4'!$B$2:$H$361,7,false),1)="B","L","")),if(LEFT(VLOOKUP($B216,'Round 4'!$F$2:$H$361,3,false),1)="b","W",if(LEFT(VLOOKUP($B216,'Round 4'!$F$2:$H$361,3,false),1)="a","L","")))</f>
        <v>W</v>
      </c>
      <c r="H216" s="67" t="str">
        <f>iferror(if(LEFT(VLOOKUP($B216,'Round 5'!$B$2:$H$361,7,false),1)="A","W",if(LEFT(VLOOKUP($B216,'Round 5'!$B$2:$H$361,7,false),1)="B","L","")),if(LEFT(VLOOKUP($B216,'Round 5'!$F$2:$H$361,3,false),1)="b","W",if(LEFT(VLOOKUP($B216,'Round 5'!$F$2:$H$361,3,false),1)="a","L","")))</f>
        <v>W</v>
      </c>
      <c r="I216" s="67" t="str">
        <f>iferror(if(LEFT(VLOOKUP($B216,'Round 6'!$B$2:$H$361,7,false),1)="A","W",if(LEFT(VLOOKUP($B216,'Round 6'!$B$2:$H$361,7,false),1)="B","L","")),if(LEFT(VLOOKUP($B216,'Round 6'!$F$2:$H$361,3,false),1)="b","W",if(LEFT(VLOOKUP($B216,'Round 6'!$F$2:$H$361,3,false),1)="a","L","")))</f>
        <v>W</v>
      </c>
      <c r="J216" s="67" t="str">
        <f>iferror(iferror(if(LEFT(VLOOKUP($B216,'Round 7'!$B$2:$H$361,7,false),1)="A","W",if(LEFT(VLOOKUP($B216,'Round 7'!$B$2:$H$361,7,false),1)="B","L","")),if(LEFT(VLOOKUP($B216,'Round 7'!$F$2:$H$361,3,false),1)="b","W",if(LEFT(VLOOKUP($B216,'Round 7'!$F$2:$H$361,3,false),1)="a","L",""))),"")</f>
        <v>L</v>
      </c>
      <c r="K216" s="68" t="str">
        <f>iferror(iferror(if(LEFT(VLOOKUP($B216,'Round 8'!$B$2:$H$361,7,false),1)="A","W",if(LEFT(VLOOKUP($B216,'Round 8'!$B$2:$H$361,7,false),1)="B","L","")),if(LEFT(VLOOKUP($B216,'Round 8'!$F$2:$H$361,3,false),1)="b","W",if(LEFT(VLOOKUP($B216,'Round 8'!$F$2:$H$361,3,false),1)="a","L",""))),"")</f>
        <v/>
      </c>
      <c r="L216" s="68" t="str">
        <f>iferror(iferror(if(LEFT(VLOOKUP($B216,'Round 9'!$B$2:$H$361,7,false),1)="A","W",if(LEFT(VLOOKUP($B216,'Round 9'!$B$2:$H$361,7,false),1)="B","L","")),if(LEFT(VLOOKUP($B216,'Round 9'!$F$2:$H$361,3,false),1)="b","W",if(LEFT(VLOOKUP($B216,'Round 9'!$F$2:$H$361,3,false),1)="a","L",""))),"")</f>
        <v/>
      </c>
      <c r="M216" s="68" t="str">
        <f>iferror(iferror(if(LEFT(VLOOKUP($B216,'Round 10'!$B$2:$H$362,7,false),1)="A","W",if(LEFT(VLOOKUP($B216,'Round 10'!$B$2:$H$362,7,false),1)="B","L","")),if(LEFT(VLOOKUP($B216,'Round 10'!$F$2:$H$362,3,false),1)="b","W",if(LEFT(VLOOKUP($B216,'Round 10'!$F$2:$H$362,3,false),1)="a","L",""))),"")</f>
        <v/>
      </c>
      <c r="N216" s="62" t="s">
        <v>500</v>
      </c>
    </row>
    <row r="217">
      <c r="A217" s="63">
        <v>216.0</v>
      </c>
      <c r="B217" s="64" t="s">
        <v>501</v>
      </c>
      <c r="C217" s="65" t="str">
        <f t="shared" si="1"/>
        <v>3 - 3</v>
      </c>
      <c r="D217" s="67" t="str">
        <f>iferror(if(LEFT(VLOOKUP($B217,'Round 1'!$B$2:$H$361,7,false),1)="A","W",if(LEFT(VLOOKUP($B217,'Round 1'!$B$2:$H$361,7,false),1)="B","L","")),if(LEFT(VLOOKUP($B217,'Round 1'!$F$2:$H$361,3,false),1)="b","W",if(LEFT(VLOOKUP($B217,'Round 1'!$F$2:$H$361,3,false),1)="a","L","")))</f>
        <v>L</v>
      </c>
      <c r="E217" s="67" t="str">
        <f>iferror(if(LEFT(VLOOKUP($B217,'Round 2'!$C$2:$J$361,8,false),1)="A","W",if(LEFT(VLOOKUP($B217,'Round 2'!$C$2:$J$361,8,false),1)="B","L","")),if(LEFT(VLOOKUP($B217,'Round 2'!$G$2:$J$361,4,false),1)="b","W",if(LEFT(VLOOKUP($B217,'Round 2'!$G$2:$J$361,4,false),1)="a","L","")))</f>
        <v>L</v>
      </c>
      <c r="F217" s="67" t="s">
        <v>502</v>
      </c>
      <c r="G217" s="67" t="s">
        <v>502</v>
      </c>
      <c r="H217" s="67" t="s">
        <v>502</v>
      </c>
      <c r="I217" s="67" t="str">
        <f>iferror(if(LEFT(VLOOKUP($B217,'Round 6'!$B$2:$H$361,7,false),1)="A","W",if(LEFT(VLOOKUP($B217,'Round 6'!$B$2:$H$361,7,false),1)="B","L","")),if(LEFT(VLOOKUP($B217,'Round 6'!$F$2:$H$361,3,false),1)="b","W",if(LEFT(VLOOKUP($B217,'Round 6'!$F$2:$H$361,3,false),1)="a","L","")))</f>
        <v>L</v>
      </c>
      <c r="J217" s="67" t="str">
        <f>iferror(iferror(if(LEFT(VLOOKUP($B217,'Round 7'!$B$2:$H$361,7,false),1)="A","W",if(LEFT(VLOOKUP($B217,'Round 7'!$B$2:$H$361,7,false),1)="B","L","")),if(LEFT(VLOOKUP($B217,'Round 7'!$F$2:$H$361,3,false),1)="b","W",if(LEFT(VLOOKUP($B217,'Round 7'!$F$2:$H$361,3,false),1)="a","L",""))),"")</f>
        <v/>
      </c>
      <c r="K217" s="68" t="str">
        <f>iferror(iferror(if(LEFT(VLOOKUP($B217,'Round 8'!$B$2:$H$361,7,false),1)="A","W",if(LEFT(VLOOKUP($B217,'Round 8'!$B$2:$H$361,7,false),1)="B","L","")),if(LEFT(VLOOKUP($B217,'Round 8'!$F$2:$H$361,3,false),1)="b","W",if(LEFT(VLOOKUP($B217,'Round 8'!$F$2:$H$361,3,false),1)="a","L",""))),"")</f>
        <v/>
      </c>
      <c r="L217" s="68" t="str">
        <f>iferror(iferror(if(LEFT(VLOOKUP($B217,'Round 9'!$B$2:$H$361,7,false),1)="A","W",if(LEFT(VLOOKUP($B217,'Round 9'!$B$2:$H$361,7,false),1)="B","L","")),if(LEFT(VLOOKUP($B217,'Round 9'!$F$2:$H$361,3,false),1)="b","W",if(LEFT(VLOOKUP($B217,'Round 9'!$F$2:$H$361,3,false),1)="a","L",""))),"")</f>
        <v/>
      </c>
      <c r="M217" s="68" t="str">
        <f>iferror(iferror(if(LEFT(VLOOKUP($B217,'Round 10'!$B$2:$H$362,7,false),1)="A","W",if(LEFT(VLOOKUP($B217,'Round 10'!$B$2:$H$362,7,false),1)="B","L","")),if(LEFT(VLOOKUP($B217,'Round 10'!$F$2:$H$362,3,false),1)="b","W",if(LEFT(VLOOKUP($B217,'Round 10'!$F$2:$H$362,3,false),1)="a","L",""))),"")</f>
        <v/>
      </c>
      <c r="N217" s="62" t="s">
        <v>503</v>
      </c>
    </row>
    <row r="218">
      <c r="A218" s="63">
        <v>217.0</v>
      </c>
      <c r="B218" s="64" t="s">
        <v>504</v>
      </c>
      <c r="C218" s="65" t="str">
        <f t="shared" si="1"/>
        <v>1 - 3</v>
      </c>
      <c r="D218" s="67" t="str">
        <f>iferror(if(LEFT(VLOOKUP($B218,'Round 1'!$B$2:$H$361,7,false),1)="A","W",if(LEFT(VLOOKUP($B218,'Round 1'!$B$2:$H$361,7,false),1)="B","L","")),if(LEFT(VLOOKUP($B218,'Round 1'!$F$2:$H$361,3,false),1)="b","W",if(LEFT(VLOOKUP($B218,'Round 1'!$F$2:$H$361,3,false),1)="a","L","")))</f>
        <v>L</v>
      </c>
      <c r="E218" s="67" t="str">
        <f>iferror(if(LEFT(VLOOKUP($B218,'Round 2'!$C$2:$J$361,8,false),1)="A","W",if(LEFT(VLOOKUP($B218,'Round 2'!$C$2:$J$361,8,false),1)="B","L","")),if(LEFT(VLOOKUP($B218,'Round 2'!$G$2:$J$361,4,false),1)="b","W",if(LEFT(VLOOKUP($B218,'Round 2'!$G$2:$J$361,4,false),1)="a","L","")))</f>
        <v>W</v>
      </c>
      <c r="F218" s="67" t="str">
        <f>iferror(if(LEFT(VLOOKUP($B218,'Round 3'!$B$2:$H$361,7,false),1)="A","W",if(LEFT(VLOOKUP($B218,'Round 3'!$B$2:$H$361,7,false),1)="B","L","")),if(LEFT(VLOOKUP($B218,'Round 3'!$F$2:$H$361,3,false),1)="b","W",if(LEFT(VLOOKUP($B218,'Round 3'!$F$2:$H$361,3,false),1)="a","L","")))</f>
        <v>L</v>
      </c>
      <c r="G218" s="67" t="str">
        <f>iferror(if(LEFT(VLOOKUP($B218,'Round 4'!$B$2:$H$361,7,false),1)="A","W",if(LEFT(VLOOKUP($B218,'Round 4'!$B$2:$H$361,7,false),1)="B","L","")),if(LEFT(VLOOKUP($B218,'Round 4'!$F$2:$H$361,3,false),1)="b","W",if(LEFT(VLOOKUP($B218,'Round 4'!$F$2:$H$361,3,false),1)="a","L","")))</f>
        <v>L</v>
      </c>
      <c r="H218" s="67"/>
      <c r="I218" s="67"/>
      <c r="J218" s="67" t="str">
        <f>iferror(iferror(if(LEFT(VLOOKUP($B218,'Round 7'!$B$2:$H$361,7,false),1)="A","W",if(LEFT(VLOOKUP($B218,'Round 7'!$B$2:$H$361,7,false),1)="B","L","")),if(LEFT(VLOOKUP($B218,'Round 7'!$F$2:$H$361,3,false),1)="b","W",if(LEFT(VLOOKUP($B218,'Round 7'!$F$2:$H$361,3,false),1)="a","L",""))),"")</f>
        <v/>
      </c>
      <c r="K218" s="68" t="str">
        <f>iferror(iferror(if(LEFT(VLOOKUP($B218,'Round 8'!$B$2:$H$361,7,false),1)="A","W",if(LEFT(VLOOKUP($B218,'Round 8'!$B$2:$H$361,7,false),1)="B","L","")),if(LEFT(VLOOKUP($B218,'Round 8'!$F$2:$H$361,3,false),1)="b","W",if(LEFT(VLOOKUP($B218,'Round 8'!$F$2:$H$361,3,false),1)="a","L",""))),"")</f>
        <v/>
      </c>
      <c r="L218" s="68" t="str">
        <f>iferror(iferror(if(LEFT(VLOOKUP($B218,'Round 9'!$B$2:$H$361,7,false),1)="A","W",if(LEFT(VLOOKUP($B218,'Round 9'!$B$2:$H$361,7,false),1)="B","L","")),if(LEFT(VLOOKUP($B218,'Round 9'!$F$2:$H$361,3,false),1)="b","W",if(LEFT(VLOOKUP($B218,'Round 9'!$F$2:$H$361,3,false),1)="a","L",""))),"")</f>
        <v/>
      </c>
      <c r="M218" s="68" t="str">
        <f>iferror(iferror(if(LEFT(VLOOKUP($B218,'Round 10'!$B$2:$H$362,7,false),1)="A","W",if(LEFT(VLOOKUP($B218,'Round 10'!$B$2:$H$362,7,false),1)="B","L","")),if(LEFT(VLOOKUP($B218,'Round 10'!$F$2:$H$362,3,false),1)="b","W",if(LEFT(VLOOKUP($B218,'Round 10'!$F$2:$H$362,3,false),1)="a","L",""))),"")</f>
        <v/>
      </c>
      <c r="N218" s="62" t="s">
        <v>505</v>
      </c>
    </row>
    <row r="219">
      <c r="A219" s="63">
        <v>218.0</v>
      </c>
      <c r="B219" s="64" t="s">
        <v>506</v>
      </c>
      <c r="C219" s="65" t="str">
        <f t="shared" si="1"/>
        <v>2 - 3</v>
      </c>
      <c r="D219" s="67" t="str">
        <f>iferror(if(LEFT(VLOOKUP($B219,'Round 1'!$B$2:$H$361,7,false),1)="A","W",if(LEFT(VLOOKUP($B219,'Round 1'!$B$2:$H$361,7,false),1)="B","L","")),if(LEFT(VLOOKUP($B219,'Round 1'!$F$2:$H$361,3,false),1)="b","W",if(LEFT(VLOOKUP($B219,'Round 1'!$F$2:$H$361,3,false),1)="a","L","")))</f>
        <v>W</v>
      </c>
      <c r="E219" s="67" t="str">
        <f>iferror(if(LEFT(VLOOKUP($B219,'Round 2'!$C$2:$J$361,8,false),1)="A","W",if(LEFT(VLOOKUP($B219,'Round 2'!$C$2:$J$361,8,false),1)="B","L","")),if(LEFT(VLOOKUP($B219,'Round 2'!$G$2:$J$361,4,false),1)="b","W",if(LEFT(VLOOKUP($B219,'Round 2'!$G$2:$J$361,4,false),1)="a","L","")))</f>
        <v>W</v>
      </c>
      <c r="F219" s="67" t="str">
        <f>iferror(if(LEFT(VLOOKUP($B219,'Round 3'!$B$2:$H$361,7,false),1)="A","W",if(LEFT(VLOOKUP($B219,'Round 3'!$B$2:$H$361,7,false),1)="B","L","")),if(LEFT(VLOOKUP($B219,'Round 3'!$F$2:$H$361,3,false),1)="b","W",if(LEFT(VLOOKUP($B219,'Round 3'!$F$2:$H$361,3,false),1)="a","L","")))</f>
        <v>L</v>
      </c>
      <c r="G219" s="67" t="str">
        <f>iferror(if(LEFT(VLOOKUP($B219,'Round 4'!$B$2:$H$361,7,false),1)="A","W",if(LEFT(VLOOKUP($B219,'Round 4'!$B$2:$H$361,7,false),1)="B","L","")),if(LEFT(VLOOKUP($B219,'Round 4'!$F$2:$H$361,3,false),1)="b","W",if(LEFT(VLOOKUP($B219,'Round 4'!$F$2:$H$361,3,false),1)="a","L","")))</f>
        <v>L</v>
      </c>
      <c r="H219" s="67" t="str">
        <f>iferror(if(LEFT(VLOOKUP($B219,'Round 5'!$B$2:$H$361,7,false),1)="A","W",if(LEFT(VLOOKUP($B219,'Round 5'!$B$2:$H$361,7,false),1)="B","L","")),if(LEFT(VLOOKUP($B219,'Round 5'!$F$2:$H$361,3,false),1)="b","W",if(LEFT(VLOOKUP($B219,'Round 5'!$F$2:$H$361,3,false),1)="a","L","")))</f>
        <v>L</v>
      </c>
      <c r="I219" s="67"/>
      <c r="J219" s="67" t="str">
        <f>iferror(iferror(if(LEFT(VLOOKUP($B219,'Round 7'!$B$2:$H$361,7,false),1)="A","W",if(LEFT(VLOOKUP($B219,'Round 7'!$B$2:$H$361,7,false),1)="B","L","")),if(LEFT(VLOOKUP($B219,'Round 7'!$F$2:$H$361,3,false),1)="b","W",if(LEFT(VLOOKUP($B219,'Round 7'!$F$2:$H$361,3,false),1)="a","L",""))),"")</f>
        <v/>
      </c>
      <c r="K219" s="68" t="str">
        <f>iferror(iferror(if(LEFT(VLOOKUP($B219,'Round 8'!$B$2:$H$361,7,false),1)="A","W",if(LEFT(VLOOKUP($B219,'Round 8'!$B$2:$H$361,7,false),1)="B","L","")),if(LEFT(VLOOKUP($B219,'Round 8'!$F$2:$H$361,3,false),1)="b","W",if(LEFT(VLOOKUP($B219,'Round 8'!$F$2:$H$361,3,false),1)="a","L",""))),"")</f>
        <v/>
      </c>
      <c r="L219" s="68" t="str">
        <f>iferror(iferror(if(LEFT(VLOOKUP($B219,'Round 9'!$B$2:$H$361,7,false),1)="A","W",if(LEFT(VLOOKUP($B219,'Round 9'!$B$2:$H$361,7,false),1)="B","L","")),if(LEFT(VLOOKUP($B219,'Round 9'!$F$2:$H$361,3,false),1)="b","W",if(LEFT(VLOOKUP($B219,'Round 9'!$F$2:$H$361,3,false),1)="a","L",""))),"")</f>
        <v/>
      </c>
      <c r="M219" s="68" t="str">
        <f>iferror(iferror(if(LEFT(VLOOKUP($B219,'Round 10'!$B$2:$H$362,7,false),1)="A","W",if(LEFT(VLOOKUP($B219,'Round 10'!$B$2:$H$362,7,false),1)="B","L","")),if(LEFT(VLOOKUP($B219,'Round 10'!$F$2:$H$362,3,false),1)="b","W",if(LEFT(VLOOKUP($B219,'Round 10'!$F$2:$H$362,3,false),1)="a","L",""))),"")</f>
        <v/>
      </c>
      <c r="N219" s="62" t="s">
        <v>507</v>
      </c>
    </row>
    <row r="220">
      <c r="A220" s="63">
        <v>219.0</v>
      </c>
      <c r="B220" s="64" t="s">
        <v>508</v>
      </c>
      <c r="C220" s="65" t="str">
        <f t="shared" si="1"/>
        <v>1 - 3</v>
      </c>
      <c r="D220" s="67" t="str">
        <f>iferror(if(LEFT(VLOOKUP($B220,'Round 1'!$B$2:$H$361,7,false),1)="A","W",if(LEFT(VLOOKUP($B220,'Round 1'!$B$2:$H$361,7,false),1)="B","L","")),if(LEFT(VLOOKUP($B220,'Round 1'!$F$2:$H$361,3,false),1)="b","W",if(LEFT(VLOOKUP($B220,'Round 1'!$F$2:$H$361,3,false),1)="a","L","")))</f>
        <v>L</v>
      </c>
      <c r="E220" s="67" t="str">
        <f>iferror(if(LEFT(VLOOKUP($B220,'Round 2'!$C$2:$J$361,8,false),1)="A","W",if(LEFT(VLOOKUP($B220,'Round 2'!$C$2:$J$361,8,false),1)="B","L","")),if(LEFT(VLOOKUP($B220,'Round 2'!$G$2:$J$361,4,false),1)="b","W",if(LEFT(VLOOKUP($B220,'Round 2'!$G$2:$J$361,4,false),1)="a","L","")))</f>
        <v>W</v>
      </c>
      <c r="F220" s="67" t="str">
        <f>iferror(if(LEFT(VLOOKUP($B220,'Round 3'!$B$2:$H$361,7,false),1)="A","W",if(LEFT(VLOOKUP($B220,'Round 3'!$B$2:$H$361,7,false),1)="B","L","")),if(LEFT(VLOOKUP($B220,'Round 3'!$F$2:$H$361,3,false),1)="b","W",if(LEFT(VLOOKUP($B220,'Round 3'!$F$2:$H$361,3,false),1)="a","L","")))</f>
        <v>L</v>
      </c>
      <c r="G220" s="67" t="str">
        <f>iferror(if(LEFT(VLOOKUP($B220,'Round 4'!$B$2:$H$361,7,false),1)="A","W",if(LEFT(VLOOKUP($B220,'Round 4'!$B$2:$H$361,7,false),1)="B","L","")),if(LEFT(VLOOKUP($B220,'Round 4'!$F$2:$H$361,3,false),1)="b","W",if(LEFT(VLOOKUP($B220,'Round 4'!$F$2:$H$361,3,false),1)="a","L","")))</f>
        <v>L</v>
      </c>
      <c r="H220" s="67"/>
      <c r="I220" s="67"/>
      <c r="J220" s="67" t="str">
        <f>iferror(iferror(if(LEFT(VLOOKUP($B220,'Round 7'!$B$2:$H$361,7,false),1)="A","W",if(LEFT(VLOOKUP($B220,'Round 7'!$B$2:$H$361,7,false),1)="B","L","")),if(LEFT(VLOOKUP($B220,'Round 7'!$F$2:$H$361,3,false),1)="b","W",if(LEFT(VLOOKUP($B220,'Round 7'!$F$2:$H$361,3,false),1)="a","L",""))),"")</f>
        <v/>
      </c>
      <c r="K220" s="68" t="str">
        <f>iferror(iferror(if(LEFT(VLOOKUP($B220,'Round 8'!$B$2:$H$361,7,false),1)="A","W",if(LEFT(VLOOKUP($B220,'Round 8'!$B$2:$H$361,7,false),1)="B","L","")),if(LEFT(VLOOKUP($B220,'Round 8'!$F$2:$H$361,3,false),1)="b","W",if(LEFT(VLOOKUP($B220,'Round 8'!$F$2:$H$361,3,false),1)="a","L",""))),"")</f>
        <v/>
      </c>
      <c r="L220" s="68" t="str">
        <f>iferror(iferror(if(LEFT(VLOOKUP($B220,'Round 9'!$B$2:$H$361,7,false),1)="A","W",if(LEFT(VLOOKUP($B220,'Round 9'!$B$2:$H$361,7,false),1)="B","L","")),if(LEFT(VLOOKUP($B220,'Round 9'!$F$2:$H$361,3,false),1)="b","W",if(LEFT(VLOOKUP($B220,'Round 9'!$F$2:$H$361,3,false),1)="a","L",""))),"")</f>
        <v/>
      </c>
      <c r="M220" s="68" t="str">
        <f>iferror(iferror(if(LEFT(VLOOKUP($B220,'Round 10'!$B$2:$H$362,7,false),1)="A","W",if(LEFT(VLOOKUP($B220,'Round 10'!$B$2:$H$362,7,false),1)="B","L","")),if(LEFT(VLOOKUP($B220,'Round 10'!$F$2:$H$362,3,false),1)="b","W",if(LEFT(VLOOKUP($B220,'Round 10'!$F$2:$H$362,3,false),1)="a","L",""))),"")</f>
        <v/>
      </c>
      <c r="N220" s="62" t="s">
        <v>509</v>
      </c>
    </row>
    <row r="221">
      <c r="A221" s="63">
        <v>220.0</v>
      </c>
      <c r="B221" s="64" t="s">
        <v>510</v>
      </c>
      <c r="C221" s="65" t="str">
        <f t="shared" si="1"/>
        <v>3 - 3</v>
      </c>
      <c r="D221" s="67" t="str">
        <f>iferror(if(LEFT(VLOOKUP($B221,'Round 1'!$B$2:$H$361,7,false),1)="A","W",if(LEFT(VLOOKUP($B221,'Round 1'!$B$2:$H$361,7,false),1)="B","L","")),if(LEFT(VLOOKUP($B221,'Round 1'!$F$2:$H$361,3,false),1)="b","W",if(LEFT(VLOOKUP($B221,'Round 1'!$F$2:$H$361,3,false),1)="a","L","")))</f>
        <v>W</v>
      </c>
      <c r="E221" s="67" t="str">
        <f>iferror(if(LEFT(VLOOKUP($B221,'Round 2'!$C$2:$J$361,8,false),1)="A","W",if(LEFT(VLOOKUP($B221,'Round 2'!$C$2:$J$361,8,false),1)="B","L","")),if(LEFT(VLOOKUP($B221,'Round 2'!$G$2:$J$361,4,false),1)="b","W",if(LEFT(VLOOKUP($B221,'Round 2'!$G$2:$J$361,4,false),1)="a","L","")))</f>
        <v>L</v>
      </c>
      <c r="F221" s="67" t="str">
        <f>iferror(if(LEFT(VLOOKUP($B221,'Round 3'!$B$2:$H$361,7,false),1)="A","W",if(LEFT(VLOOKUP($B221,'Round 3'!$B$2:$H$361,7,false),1)="B","L","")),if(LEFT(VLOOKUP($B221,'Round 3'!$F$2:$H$361,3,false),1)="b","W",if(LEFT(VLOOKUP($B221,'Round 3'!$F$2:$H$361,3,false),1)="a","L","")))</f>
        <v>W</v>
      </c>
      <c r="G221" s="67" t="str">
        <f>iferror(if(LEFT(VLOOKUP($B221,'Round 4'!$B$2:$H$361,7,false),1)="A","W",if(LEFT(VLOOKUP($B221,'Round 4'!$B$2:$H$361,7,false),1)="B","L","")),if(LEFT(VLOOKUP($B221,'Round 4'!$F$2:$H$361,3,false),1)="b","W",if(LEFT(VLOOKUP($B221,'Round 4'!$F$2:$H$361,3,false),1)="a","L","")))</f>
        <v>L</v>
      </c>
      <c r="H221" s="67" t="str">
        <f>iferror(if(LEFT(VLOOKUP($B221,'Round 5'!$B$2:$H$361,7,false),1)="A","W",if(LEFT(VLOOKUP($B221,'Round 5'!$B$2:$H$361,7,false),1)="B","L","")),if(LEFT(VLOOKUP($B221,'Round 5'!$F$2:$H$361,3,false),1)="b","W",if(LEFT(VLOOKUP($B221,'Round 5'!$F$2:$H$361,3,false),1)="a","L","")))</f>
        <v>W</v>
      </c>
      <c r="I221" s="67" t="str">
        <f>iferror(if(LEFT(VLOOKUP($B221,'Round 6'!$B$2:$H$361,7,false),1)="A","W",if(LEFT(VLOOKUP($B221,'Round 6'!$B$2:$H$361,7,false),1)="B","L","")),if(LEFT(VLOOKUP($B221,'Round 6'!$F$2:$H$361,3,false),1)="b","W",if(LEFT(VLOOKUP($B221,'Round 6'!$F$2:$H$361,3,false),1)="a","L","")))</f>
        <v>L</v>
      </c>
      <c r="J221" s="67" t="str">
        <f>iferror(iferror(if(LEFT(VLOOKUP($B221,'Round 7'!$B$2:$H$361,7,false),1)="A","W",if(LEFT(VLOOKUP($B221,'Round 7'!$B$2:$H$361,7,false),1)="B","L","")),if(LEFT(VLOOKUP($B221,'Round 7'!$F$2:$H$361,3,false),1)="b","W",if(LEFT(VLOOKUP($B221,'Round 7'!$F$2:$H$361,3,false),1)="a","L",""))),"")</f>
        <v/>
      </c>
      <c r="K221" s="68" t="str">
        <f>iferror(iferror(if(LEFT(VLOOKUP($B221,'Round 8'!$B$2:$H$361,7,false),1)="A","W",if(LEFT(VLOOKUP($B221,'Round 8'!$B$2:$H$361,7,false),1)="B","L","")),if(LEFT(VLOOKUP($B221,'Round 8'!$F$2:$H$361,3,false),1)="b","W",if(LEFT(VLOOKUP($B221,'Round 8'!$F$2:$H$361,3,false),1)="a","L",""))),"")</f>
        <v/>
      </c>
      <c r="L221" s="68" t="str">
        <f>iferror(iferror(if(LEFT(VLOOKUP($B221,'Round 9'!$B$2:$H$361,7,false),1)="A","W",if(LEFT(VLOOKUP($B221,'Round 9'!$B$2:$H$361,7,false),1)="B","L","")),if(LEFT(VLOOKUP($B221,'Round 9'!$F$2:$H$361,3,false),1)="b","W",if(LEFT(VLOOKUP($B221,'Round 9'!$F$2:$H$361,3,false),1)="a","L",""))),"")</f>
        <v/>
      </c>
      <c r="M221" s="68" t="str">
        <f>iferror(iferror(if(LEFT(VLOOKUP($B221,'Round 10'!$B$2:$H$362,7,false),1)="A","W",if(LEFT(VLOOKUP($B221,'Round 10'!$B$2:$H$362,7,false),1)="B","L","")),if(LEFT(VLOOKUP($B221,'Round 10'!$F$2:$H$362,3,false),1)="b","W",if(LEFT(VLOOKUP($B221,'Round 10'!$F$2:$H$362,3,false),1)="a","L",""))),"")</f>
        <v/>
      </c>
      <c r="N221" s="62" t="s">
        <v>511</v>
      </c>
    </row>
    <row r="222">
      <c r="A222" s="63">
        <v>221.0</v>
      </c>
      <c r="B222" s="64" t="s">
        <v>512</v>
      </c>
      <c r="C222" s="65" t="str">
        <f t="shared" si="1"/>
        <v>4 - 3</v>
      </c>
      <c r="D222" s="67" t="str">
        <f>iferror(if(LEFT(VLOOKUP($B222,'Round 1'!$B$2:$H$361,7,false),1)="A","W",if(LEFT(VLOOKUP($B222,'Round 1'!$B$2:$H$361,7,false),1)="B","L","")),if(LEFT(VLOOKUP($B222,'Round 1'!$F$2:$H$361,3,false),1)="b","W",if(LEFT(VLOOKUP($B222,'Round 1'!$F$2:$H$361,3,false),1)="a","L","")))</f>
        <v>W</v>
      </c>
      <c r="E222" s="67" t="str">
        <f>iferror(if(LEFT(VLOOKUP($B222,'Round 2'!$C$2:$J$361,8,false),1)="A","W",if(LEFT(VLOOKUP($B222,'Round 2'!$C$2:$J$361,8,false),1)="B","L","")),if(LEFT(VLOOKUP($B222,'Round 2'!$G$2:$J$361,4,false),1)="b","W",if(LEFT(VLOOKUP($B222,'Round 2'!$G$2:$J$361,4,false),1)="a","L","")))</f>
        <v>L</v>
      </c>
      <c r="F222" s="67" t="str">
        <f>iferror(if(LEFT(VLOOKUP($B222,'Round 3'!$B$2:$H$361,7,false),1)="A","W",if(LEFT(VLOOKUP($B222,'Round 3'!$B$2:$H$361,7,false),1)="B","L","")),if(LEFT(VLOOKUP($B222,'Round 3'!$F$2:$H$361,3,false),1)="b","W",if(LEFT(VLOOKUP($B222,'Round 3'!$F$2:$H$361,3,false),1)="a","L","")))</f>
        <v>W</v>
      </c>
      <c r="G222" s="67" t="str">
        <f>iferror(if(LEFT(VLOOKUP($B222,'Round 4'!$B$2:$H$361,7,false),1)="A","W",if(LEFT(VLOOKUP($B222,'Round 4'!$B$2:$H$361,7,false),1)="B","L","")),if(LEFT(VLOOKUP($B222,'Round 4'!$F$2:$H$361,3,false),1)="b","W",if(LEFT(VLOOKUP($B222,'Round 4'!$F$2:$H$361,3,false),1)="a","L","")))</f>
        <v>W</v>
      </c>
      <c r="H222" s="67" t="str">
        <f>iferror(if(LEFT(VLOOKUP($B222,'Round 5'!$B$2:$H$361,7,false),1)="A","W",if(LEFT(VLOOKUP($B222,'Round 5'!$B$2:$H$361,7,false),1)="B","L","")),if(LEFT(VLOOKUP($B222,'Round 5'!$F$2:$H$361,3,false),1)="b","W",if(LEFT(VLOOKUP($B222,'Round 5'!$F$2:$H$361,3,false),1)="a","L","")))</f>
        <v>L</v>
      </c>
      <c r="I222" s="67" t="str">
        <f>iferror(if(LEFT(VLOOKUP($B222,'Round 6'!$B$2:$H$361,7,false),1)="A","W",if(LEFT(VLOOKUP($B222,'Round 6'!$B$2:$H$361,7,false),1)="B","L","")),if(LEFT(VLOOKUP($B222,'Round 6'!$F$2:$H$361,3,false),1)="b","W",if(LEFT(VLOOKUP($B222,'Round 6'!$F$2:$H$361,3,false),1)="a","L","")))</f>
        <v>W</v>
      </c>
      <c r="J222" s="67" t="str">
        <f>iferror(iferror(if(LEFT(VLOOKUP($B222,'Round 7'!$B$2:$H$361,7,false),1)="A","W",if(LEFT(VLOOKUP($B222,'Round 7'!$B$2:$H$361,7,false),1)="B","L","")),if(LEFT(VLOOKUP($B222,'Round 7'!$F$2:$H$361,3,false),1)="b","W",if(LEFT(VLOOKUP($B222,'Round 7'!$F$2:$H$361,3,false),1)="a","L",""))),"")</f>
        <v>L</v>
      </c>
      <c r="K222" s="68" t="str">
        <f>iferror(iferror(if(LEFT(VLOOKUP($B222,'Round 8'!$B$2:$H$361,7,false),1)="A","W",if(LEFT(VLOOKUP($B222,'Round 8'!$B$2:$H$361,7,false),1)="B","L","")),if(LEFT(VLOOKUP($B222,'Round 8'!$F$2:$H$361,3,false),1)="b","W",if(LEFT(VLOOKUP($B222,'Round 8'!$F$2:$H$361,3,false),1)="a","L",""))),"")</f>
        <v/>
      </c>
      <c r="L222" s="68" t="str">
        <f>iferror(iferror(if(LEFT(VLOOKUP($B222,'Round 9'!$B$2:$H$361,7,false),1)="A","W",if(LEFT(VLOOKUP($B222,'Round 9'!$B$2:$H$361,7,false),1)="B","L","")),if(LEFT(VLOOKUP($B222,'Round 9'!$F$2:$H$361,3,false),1)="b","W",if(LEFT(VLOOKUP($B222,'Round 9'!$F$2:$H$361,3,false),1)="a","L",""))),"")</f>
        <v/>
      </c>
      <c r="M222" s="68" t="str">
        <f>iferror(iferror(if(LEFT(VLOOKUP($B222,'Round 10'!$B$2:$H$362,7,false),1)="A","W",if(LEFT(VLOOKUP($B222,'Round 10'!$B$2:$H$362,7,false),1)="B","L","")),if(LEFT(VLOOKUP($B222,'Round 10'!$F$2:$H$362,3,false),1)="b","W",if(LEFT(VLOOKUP($B222,'Round 10'!$F$2:$H$362,3,false),1)="a","L",""))),"")</f>
        <v/>
      </c>
      <c r="N222" s="62" t="s">
        <v>513</v>
      </c>
    </row>
    <row r="223">
      <c r="A223" s="63">
        <v>222.0</v>
      </c>
      <c r="B223" s="64" t="s">
        <v>514</v>
      </c>
      <c r="C223" s="65" t="str">
        <f t="shared" si="1"/>
        <v>6 - 3</v>
      </c>
      <c r="D223" s="67" t="str">
        <f>iferror(if(LEFT(VLOOKUP($B223,'Round 1'!$B$2:$H$361,7,false),1)="A","W",if(LEFT(VLOOKUP($B223,'Round 1'!$B$2:$H$361,7,false),1)="B","L","")),if(LEFT(VLOOKUP($B223,'Round 1'!$F$2:$H$361,3,false),1)="b","W",if(LEFT(VLOOKUP($B223,'Round 1'!$F$2:$H$361,3,false),1)="a","L","")))</f>
        <v>W</v>
      </c>
      <c r="E223" s="67" t="str">
        <f>iferror(if(LEFT(VLOOKUP($B223,'Round 2'!$C$2:$J$361,8,false),1)="A","W",if(LEFT(VLOOKUP($B223,'Round 2'!$C$2:$J$361,8,false),1)="B","L","")),if(LEFT(VLOOKUP($B223,'Round 2'!$G$2:$J$361,4,false),1)="b","W",if(LEFT(VLOOKUP($B223,'Round 2'!$G$2:$J$361,4,false),1)="a","L","")))</f>
        <v>W</v>
      </c>
      <c r="F223" s="67" t="str">
        <f>iferror(if(LEFT(VLOOKUP($B223,'Round 3'!$B$2:$H$361,7,false),1)="A","W",if(LEFT(VLOOKUP($B223,'Round 3'!$B$2:$H$361,7,false),1)="B","L","")),if(LEFT(VLOOKUP($B223,'Round 3'!$F$2:$H$361,3,false),1)="b","W",if(LEFT(VLOOKUP($B223,'Round 3'!$F$2:$H$361,3,false),1)="a","L","")))</f>
        <v>W</v>
      </c>
      <c r="G223" s="67" t="str">
        <f>iferror(if(LEFT(VLOOKUP($B223,'Round 4'!$B$2:$H$361,7,false),1)="A","W",if(LEFT(VLOOKUP($B223,'Round 4'!$B$2:$H$361,7,false),1)="B","L","")),if(LEFT(VLOOKUP($B223,'Round 4'!$F$2:$H$361,3,false),1)="b","W",if(LEFT(VLOOKUP($B223,'Round 4'!$F$2:$H$361,3,false),1)="a","L","")))</f>
        <v>L</v>
      </c>
      <c r="H223" s="67" t="str">
        <f>iferror(if(LEFT(VLOOKUP($B223,'Round 5'!$B$2:$H$361,7,false),1)="A","W",if(LEFT(VLOOKUP($B223,'Round 5'!$B$2:$H$361,7,false),1)="B","L","")),if(LEFT(VLOOKUP($B223,'Round 5'!$F$2:$H$361,3,false),1)="b","W",if(LEFT(VLOOKUP($B223,'Round 5'!$F$2:$H$361,3,false),1)="a","L","")))</f>
        <v>W</v>
      </c>
      <c r="I223" s="67" t="str">
        <f>iferror(if(LEFT(VLOOKUP($B223,'Round 6'!$B$2:$H$361,7,false),1)="A","W",if(LEFT(VLOOKUP($B223,'Round 6'!$B$2:$H$361,7,false),1)="B","L","")),if(LEFT(VLOOKUP($B223,'Round 6'!$F$2:$H$361,3,false),1)="b","W",if(LEFT(VLOOKUP($B223,'Round 6'!$F$2:$H$361,3,false),1)="a","L","")))</f>
        <v>W</v>
      </c>
      <c r="J223" s="67" t="str">
        <f>iferror(iferror(if(LEFT(VLOOKUP($B223,'Round 7'!$B$2:$H$361,7,false),1)="A","W",if(LEFT(VLOOKUP($B223,'Round 7'!$B$2:$H$361,7,false),1)="B","L","")),if(LEFT(VLOOKUP($B223,'Round 7'!$F$2:$H$361,3,false),1)="b","W",if(LEFT(VLOOKUP($B223,'Round 7'!$F$2:$H$361,3,false),1)="a","L",""))),"")</f>
        <v>W</v>
      </c>
      <c r="K223" s="68" t="str">
        <f>iferror(iferror(if(LEFT(VLOOKUP($B223,'Round 8'!$B$2:$H$361,7,false),1)="A","W",if(LEFT(VLOOKUP($B223,'Round 8'!$B$2:$H$361,7,false),1)="B","L","")),if(LEFT(VLOOKUP($B223,'Round 8'!$F$2:$H$361,3,false),1)="b","W",if(LEFT(VLOOKUP($B223,'Round 8'!$F$2:$H$361,3,false),1)="a","L",""))),"")</f>
        <v>L</v>
      </c>
      <c r="L223" s="68" t="str">
        <f>iferror(iferror(if(LEFT(VLOOKUP($B223,'Round 9'!$B$2:$H$361,7,false),1)="A","W",if(LEFT(VLOOKUP($B223,'Round 9'!$B$2:$H$361,7,false),1)="B","L","")),if(LEFT(VLOOKUP($B223,'Round 9'!$F$2:$H$361,3,false),1)="b","W",if(LEFT(VLOOKUP($B223,'Round 9'!$F$2:$H$361,3,false),1)="a","L",""))),"")</f>
        <v>L</v>
      </c>
      <c r="M223" s="68" t="str">
        <f>iferror(iferror(if(LEFT(VLOOKUP($B223,'Round 10'!$B$2:$H$362,7,false),1)="A","W",if(LEFT(VLOOKUP($B223,'Round 10'!$B$2:$H$362,7,false),1)="B","L","")),if(LEFT(VLOOKUP($B223,'Round 10'!$F$2:$H$362,3,false),1)="b","W",if(LEFT(VLOOKUP($B223,'Round 10'!$F$2:$H$362,3,false),1)="a","L",""))),"")</f>
        <v/>
      </c>
      <c r="N223" s="62" t="s">
        <v>515</v>
      </c>
    </row>
    <row r="224">
      <c r="A224" s="63">
        <v>223.0</v>
      </c>
      <c r="B224" s="64" t="s">
        <v>516</v>
      </c>
      <c r="C224" s="65" t="str">
        <f t="shared" si="1"/>
        <v>2 - 3</v>
      </c>
      <c r="D224" s="67" t="str">
        <f>iferror(if(LEFT(VLOOKUP($B224,'Round 1'!$B$2:$H$361,7,false),1)="A","W",if(LEFT(VLOOKUP($B224,'Round 1'!$B$2:$H$361,7,false),1)="B","L","")),if(LEFT(VLOOKUP($B224,'Round 1'!$F$2:$H$361,3,false),1)="b","W",if(LEFT(VLOOKUP($B224,'Round 1'!$F$2:$H$361,3,false),1)="a","L","")))</f>
        <v>L</v>
      </c>
      <c r="E224" s="67" t="str">
        <f>iferror(if(LEFT(VLOOKUP($B224,'Round 2'!$C$2:$J$361,8,false),1)="A","W",if(LEFT(VLOOKUP($B224,'Round 2'!$C$2:$J$361,8,false),1)="B","L","")),if(LEFT(VLOOKUP($B224,'Round 2'!$G$2:$J$361,4,false),1)="b","W",if(LEFT(VLOOKUP($B224,'Round 2'!$G$2:$J$361,4,false),1)="a","L","")))</f>
        <v>W</v>
      </c>
      <c r="F224" s="67" t="str">
        <f>iferror(if(LEFT(VLOOKUP($B224,'Round 3'!$B$2:$H$361,7,false),1)="A","W",if(LEFT(VLOOKUP($B224,'Round 3'!$B$2:$H$361,7,false),1)="B","L","")),if(LEFT(VLOOKUP($B224,'Round 3'!$F$2:$H$361,3,false),1)="b","W",if(LEFT(VLOOKUP($B224,'Round 3'!$F$2:$H$361,3,false),1)="a","L","")))</f>
        <v>L</v>
      </c>
      <c r="G224" s="67" t="str">
        <f>iferror(if(LEFT(VLOOKUP($B224,'Round 4'!$B$2:$H$361,7,false),1)="A","W",if(LEFT(VLOOKUP($B224,'Round 4'!$B$2:$H$361,7,false),1)="B","L","")),if(LEFT(VLOOKUP($B224,'Round 4'!$F$2:$H$361,3,false),1)="b","W",if(LEFT(VLOOKUP($B224,'Round 4'!$F$2:$H$361,3,false),1)="a","L","")))</f>
        <v>W</v>
      </c>
      <c r="H224" s="67" t="str">
        <f>iferror(if(LEFT(VLOOKUP($B224,'Round 5'!$B$2:$H$361,7,false),1)="A","W",if(LEFT(VLOOKUP($B224,'Round 5'!$B$2:$H$361,7,false),1)="B","L","")),if(LEFT(VLOOKUP($B224,'Round 5'!$F$2:$H$361,3,false),1)="b","W",if(LEFT(VLOOKUP($B224,'Round 5'!$F$2:$H$361,3,false),1)="a","L","")))</f>
        <v>L</v>
      </c>
      <c r="I224" s="67"/>
      <c r="J224" s="67" t="str">
        <f>iferror(iferror(if(LEFT(VLOOKUP($B224,'Round 7'!$B$2:$H$361,7,false),1)="A","W",if(LEFT(VLOOKUP($B224,'Round 7'!$B$2:$H$361,7,false),1)="B","L","")),if(LEFT(VLOOKUP($B224,'Round 7'!$F$2:$H$361,3,false),1)="b","W",if(LEFT(VLOOKUP($B224,'Round 7'!$F$2:$H$361,3,false),1)="a","L",""))),"")</f>
        <v/>
      </c>
      <c r="K224" s="68" t="str">
        <f>iferror(iferror(if(LEFT(VLOOKUP($B224,'Round 8'!$B$2:$H$361,7,false),1)="A","W",if(LEFT(VLOOKUP($B224,'Round 8'!$B$2:$H$361,7,false),1)="B","L","")),if(LEFT(VLOOKUP($B224,'Round 8'!$F$2:$H$361,3,false),1)="b","W",if(LEFT(VLOOKUP($B224,'Round 8'!$F$2:$H$361,3,false),1)="a","L",""))),"")</f>
        <v/>
      </c>
      <c r="L224" s="68" t="str">
        <f>iferror(iferror(if(LEFT(VLOOKUP($B224,'Round 9'!$B$2:$H$361,7,false),1)="A","W",if(LEFT(VLOOKUP($B224,'Round 9'!$B$2:$H$361,7,false),1)="B","L","")),if(LEFT(VLOOKUP($B224,'Round 9'!$F$2:$H$361,3,false),1)="b","W",if(LEFT(VLOOKUP($B224,'Round 9'!$F$2:$H$361,3,false),1)="a","L",""))),"")</f>
        <v/>
      </c>
      <c r="M224" s="68" t="str">
        <f>iferror(iferror(if(LEFT(VLOOKUP($B224,'Round 10'!$B$2:$H$362,7,false),1)="A","W",if(LEFT(VLOOKUP($B224,'Round 10'!$B$2:$H$362,7,false),1)="B","L","")),if(LEFT(VLOOKUP($B224,'Round 10'!$F$2:$H$362,3,false),1)="b","W",if(LEFT(VLOOKUP($B224,'Round 10'!$F$2:$H$362,3,false),1)="a","L",""))),"")</f>
        <v/>
      </c>
      <c r="N224" s="62" t="s">
        <v>517</v>
      </c>
    </row>
    <row r="225">
      <c r="A225" s="63">
        <v>224.0</v>
      </c>
      <c r="B225" s="64" t="s">
        <v>518</v>
      </c>
      <c r="C225" s="65" t="str">
        <f t="shared" si="1"/>
        <v>4 - 3</v>
      </c>
      <c r="D225" s="67" t="str">
        <f>iferror(if(LEFT(VLOOKUP($B225,'Round 1'!$B$2:$H$361,7,false),1)="A","W",if(LEFT(VLOOKUP($B225,'Round 1'!$B$2:$H$361,7,false),1)="B","L","")),if(LEFT(VLOOKUP($B225,'Round 1'!$F$2:$H$361,3,false),1)="b","W",if(LEFT(VLOOKUP($B225,'Round 1'!$F$2:$H$361,3,false),1)="a","L","")))</f>
        <v>L</v>
      </c>
      <c r="E225" s="67" t="str">
        <f>iferror(if(LEFT(VLOOKUP($B225,'Round 2'!$C$2:$J$361,8,false),1)="A","W",if(LEFT(VLOOKUP($B225,'Round 2'!$C$2:$J$361,8,false),1)="B","L","")),if(LEFT(VLOOKUP($B225,'Round 2'!$G$2:$J$361,4,false),1)="b","W",if(LEFT(VLOOKUP($B225,'Round 2'!$G$2:$J$361,4,false),1)="a","L","")))</f>
        <v>W</v>
      </c>
      <c r="F225" s="67" t="str">
        <f>iferror(if(LEFT(VLOOKUP($B225,'Round 3'!$B$2:$H$361,7,false),1)="A","W",if(LEFT(VLOOKUP($B225,'Round 3'!$B$2:$H$361,7,false),1)="B","L","")),if(LEFT(VLOOKUP($B225,'Round 3'!$F$2:$H$361,3,false),1)="b","W",if(LEFT(VLOOKUP($B225,'Round 3'!$F$2:$H$361,3,false),1)="a","L","")))</f>
        <v>L</v>
      </c>
      <c r="G225" s="67" t="str">
        <f>iferror(if(LEFT(VLOOKUP($B225,'Round 4'!$B$2:$H$361,7,false),1)="A","W",if(LEFT(VLOOKUP($B225,'Round 4'!$B$2:$H$361,7,false),1)="B","L","")),if(LEFT(VLOOKUP($B225,'Round 4'!$F$2:$H$361,3,false),1)="b","W",if(LEFT(VLOOKUP($B225,'Round 4'!$F$2:$H$361,3,false),1)="a","L","")))</f>
        <v>W</v>
      </c>
      <c r="H225" s="67" t="str">
        <f>iferror(if(LEFT(VLOOKUP($B225,'Round 5'!$B$2:$H$361,7,false),1)="A","W",if(LEFT(VLOOKUP($B225,'Round 5'!$B$2:$H$361,7,false),1)="B","L","")),if(LEFT(VLOOKUP($B225,'Round 5'!$F$2:$H$361,3,false),1)="b","W",if(LEFT(VLOOKUP($B225,'Round 5'!$F$2:$H$361,3,false),1)="a","L","")))</f>
        <v>W</v>
      </c>
      <c r="I225" s="67" t="str">
        <f>iferror(if(LEFT(VLOOKUP($B225,'Round 6'!$B$2:$H$361,7,false),1)="A","W",if(LEFT(VLOOKUP($B225,'Round 6'!$B$2:$H$361,7,false),1)="B","L","")),if(LEFT(VLOOKUP($B225,'Round 6'!$F$2:$H$361,3,false),1)="b","W",if(LEFT(VLOOKUP($B225,'Round 6'!$F$2:$H$361,3,false),1)="a","L","")))</f>
        <v>W</v>
      </c>
      <c r="J225" s="67" t="str">
        <f>iferror(iferror(if(LEFT(VLOOKUP($B225,'Round 7'!$B$2:$H$361,7,false),1)="A","W",if(LEFT(VLOOKUP($B225,'Round 7'!$B$2:$H$361,7,false),1)="B","L","")),if(LEFT(VLOOKUP($B225,'Round 7'!$F$2:$H$361,3,false),1)="b","W",if(LEFT(VLOOKUP($B225,'Round 7'!$F$2:$H$361,3,false),1)="a","L",""))),"")</f>
        <v>L</v>
      </c>
      <c r="K225" s="68" t="str">
        <f>iferror(iferror(if(LEFT(VLOOKUP($B225,'Round 8'!$B$2:$H$361,7,false),1)="A","W",if(LEFT(VLOOKUP($B225,'Round 8'!$B$2:$H$361,7,false),1)="B","L","")),if(LEFT(VLOOKUP($B225,'Round 8'!$F$2:$H$361,3,false),1)="b","W",if(LEFT(VLOOKUP($B225,'Round 8'!$F$2:$H$361,3,false),1)="a","L",""))),"")</f>
        <v/>
      </c>
      <c r="L225" s="68" t="str">
        <f>iferror(iferror(if(LEFT(VLOOKUP($B225,'Round 9'!$B$2:$H$361,7,false),1)="A","W",if(LEFT(VLOOKUP($B225,'Round 9'!$B$2:$H$361,7,false),1)="B","L","")),if(LEFT(VLOOKUP($B225,'Round 9'!$F$2:$H$361,3,false),1)="b","W",if(LEFT(VLOOKUP($B225,'Round 9'!$F$2:$H$361,3,false),1)="a","L",""))),"")</f>
        <v/>
      </c>
      <c r="M225" s="68" t="str">
        <f>iferror(iferror(if(LEFT(VLOOKUP($B225,'Round 10'!$B$2:$H$362,7,false),1)="A","W",if(LEFT(VLOOKUP($B225,'Round 10'!$B$2:$H$362,7,false),1)="B","L","")),if(LEFT(VLOOKUP($B225,'Round 10'!$F$2:$H$362,3,false),1)="b","W",if(LEFT(VLOOKUP($B225,'Round 10'!$F$2:$H$362,3,false),1)="a","L",""))),"")</f>
        <v/>
      </c>
      <c r="N225" s="62" t="s">
        <v>519</v>
      </c>
    </row>
    <row r="226">
      <c r="A226" s="63">
        <v>225.0</v>
      </c>
      <c r="B226" s="64" t="s">
        <v>520</v>
      </c>
      <c r="C226" s="65" t="str">
        <f t="shared" si="1"/>
        <v>1 - 3</v>
      </c>
      <c r="D226" s="67" t="str">
        <f>iferror(if(LEFT(VLOOKUP($B226,'Round 1'!$B$2:$H$361,7,false),1)="A","W",if(LEFT(VLOOKUP($B226,'Round 1'!$B$2:$H$361,7,false),1)="B","L","")),if(LEFT(VLOOKUP($B226,'Round 1'!$F$2:$H$361,3,false),1)="b","W",if(LEFT(VLOOKUP($B226,'Round 1'!$F$2:$H$361,3,false),1)="a","L","")))</f>
        <v>W</v>
      </c>
      <c r="E226" s="67" t="str">
        <f>iferror(if(LEFT(VLOOKUP($B226,'Round 2'!$C$2:$J$361,8,false),1)="A","W",if(LEFT(VLOOKUP($B226,'Round 2'!$C$2:$J$361,8,false),1)="B","L","")),if(LEFT(VLOOKUP($B226,'Round 2'!$G$2:$J$361,4,false),1)="b","W",if(LEFT(VLOOKUP($B226,'Round 2'!$G$2:$J$361,4,false),1)="a","L","")))</f>
        <v>L</v>
      </c>
      <c r="F226" s="67" t="str">
        <f>iferror(if(LEFT(VLOOKUP($B226,'Round 3'!$B$2:$H$361,7,false),1)="A","W",if(LEFT(VLOOKUP($B226,'Round 3'!$B$2:$H$361,7,false),1)="B","L","")),if(LEFT(VLOOKUP($B226,'Round 3'!$F$2:$H$361,3,false),1)="b","W",if(LEFT(VLOOKUP($B226,'Round 3'!$F$2:$H$361,3,false),1)="a","L","")))</f>
        <v>L</v>
      </c>
      <c r="G226" s="67" t="str">
        <f>iferror(if(LEFT(VLOOKUP($B226,'Round 4'!$B$2:$H$361,7,false),1)="A","W",if(LEFT(VLOOKUP($B226,'Round 4'!$B$2:$H$361,7,false),1)="B","L","")),if(LEFT(VLOOKUP($B226,'Round 4'!$F$2:$H$361,3,false),1)="b","W",if(LEFT(VLOOKUP($B226,'Round 4'!$F$2:$H$361,3,false),1)="a","L","")))</f>
        <v>L</v>
      </c>
      <c r="H226" s="67"/>
      <c r="I226" s="67"/>
      <c r="J226" s="67" t="str">
        <f>iferror(iferror(if(LEFT(VLOOKUP($B226,'Round 7'!$B$2:$H$361,7,false),1)="A","W",if(LEFT(VLOOKUP($B226,'Round 7'!$B$2:$H$361,7,false),1)="B","L","")),if(LEFT(VLOOKUP($B226,'Round 7'!$F$2:$H$361,3,false),1)="b","W",if(LEFT(VLOOKUP($B226,'Round 7'!$F$2:$H$361,3,false),1)="a","L",""))),"")</f>
        <v/>
      </c>
      <c r="K226" s="68" t="str">
        <f>iferror(iferror(if(LEFT(VLOOKUP($B226,'Round 8'!$B$2:$H$361,7,false),1)="A","W",if(LEFT(VLOOKUP($B226,'Round 8'!$B$2:$H$361,7,false),1)="B","L","")),if(LEFT(VLOOKUP($B226,'Round 8'!$F$2:$H$361,3,false),1)="b","W",if(LEFT(VLOOKUP($B226,'Round 8'!$F$2:$H$361,3,false),1)="a","L",""))),"")</f>
        <v/>
      </c>
      <c r="L226" s="68" t="str">
        <f>iferror(iferror(if(LEFT(VLOOKUP($B226,'Round 9'!$B$2:$H$361,7,false),1)="A","W",if(LEFT(VLOOKUP($B226,'Round 9'!$B$2:$H$361,7,false),1)="B","L","")),if(LEFT(VLOOKUP($B226,'Round 9'!$F$2:$H$361,3,false),1)="b","W",if(LEFT(VLOOKUP($B226,'Round 9'!$F$2:$H$361,3,false),1)="a","L",""))),"")</f>
        <v/>
      </c>
      <c r="M226" s="68" t="str">
        <f>iferror(iferror(if(LEFT(VLOOKUP($B226,'Round 10'!$B$2:$H$362,7,false),1)="A","W",if(LEFT(VLOOKUP($B226,'Round 10'!$B$2:$H$362,7,false),1)="B","L","")),if(LEFT(VLOOKUP($B226,'Round 10'!$F$2:$H$362,3,false),1)="b","W",if(LEFT(VLOOKUP($B226,'Round 10'!$F$2:$H$362,3,false),1)="a","L",""))),"")</f>
        <v/>
      </c>
      <c r="N226" s="62" t="s">
        <v>521</v>
      </c>
    </row>
    <row r="227">
      <c r="A227" s="63">
        <v>226.0</v>
      </c>
      <c r="B227" s="64" t="s">
        <v>522</v>
      </c>
      <c r="C227" s="65" t="str">
        <f t="shared" si="1"/>
        <v>8 - 1</v>
      </c>
      <c r="D227" s="67" t="str">
        <f>iferror(if(LEFT(VLOOKUP($B227,'Round 1'!$B$2:$H$361,7,false),1)="A","W",if(LEFT(VLOOKUP($B227,'Round 1'!$B$2:$H$361,7,false),1)="B","L","")),if(LEFT(VLOOKUP($B227,'Round 1'!$F$2:$H$361,3,false),1)="b","W",if(LEFT(VLOOKUP($B227,'Round 1'!$F$2:$H$361,3,false),1)="a","L","")))</f>
        <v>W</v>
      </c>
      <c r="E227" s="67" t="str">
        <f>iferror(if(LEFT(VLOOKUP($B227,'Round 2'!$C$2:$J$361,8,false),1)="A","W",if(LEFT(VLOOKUP($B227,'Round 2'!$C$2:$J$361,8,false),1)="B","L","")),if(LEFT(VLOOKUP($B227,'Round 2'!$G$2:$J$361,4,false),1)="b","W",if(LEFT(VLOOKUP($B227,'Round 2'!$G$2:$J$361,4,false),1)="a","L","")))</f>
        <v>L</v>
      </c>
      <c r="F227" s="67" t="str">
        <f>iferror(if(LEFT(VLOOKUP($B227,'Round 3'!$B$2:$H$361,7,false),1)="A","W",if(LEFT(VLOOKUP($B227,'Round 3'!$B$2:$H$361,7,false),1)="B","L","")),if(LEFT(VLOOKUP($B227,'Round 3'!$F$2:$H$361,3,false),1)="b","W",if(LEFT(VLOOKUP($B227,'Round 3'!$F$2:$H$361,3,false),1)="a","L","")))</f>
        <v>W</v>
      </c>
      <c r="G227" s="67" t="str">
        <f>iferror(if(LEFT(VLOOKUP($B227,'Round 4'!$B$2:$H$361,7,false),1)="A","W",if(LEFT(VLOOKUP($B227,'Round 4'!$B$2:$H$361,7,false),1)="B","L","")),if(LEFT(VLOOKUP($B227,'Round 4'!$F$2:$H$361,3,false),1)="b","W",if(LEFT(VLOOKUP($B227,'Round 4'!$F$2:$H$361,3,false),1)="a","L","")))</f>
        <v>W</v>
      </c>
      <c r="H227" s="67" t="str">
        <f>iferror(if(LEFT(VLOOKUP($B227,'Round 5'!$B$2:$H$361,7,false),1)="A","W",if(LEFT(VLOOKUP($B227,'Round 5'!$B$2:$H$361,7,false),1)="B","L","")),if(LEFT(VLOOKUP($B227,'Round 5'!$F$2:$H$361,3,false),1)="b","W",if(LEFT(VLOOKUP($B227,'Round 5'!$F$2:$H$361,3,false),1)="a","L","")))</f>
        <v>W</v>
      </c>
      <c r="I227" s="67" t="str">
        <f>iferror(if(LEFT(VLOOKUP($B227,'Round 6'!$B$2:$H$361,7,false),1)="A","W",if(LEFT(VLOOKUP($B227,'Round 6'!$B$2:$H$361,7,false),1)="B","L","")),if(LEFT(VLOOKUP($B227,'Round 6'!$F$2:$H$361,3,false),1)="b","W",if(LEFT(VLOOKUP($B227,'Round 6'!$F$2:$H$361,3,false),1)="a","L","")))</f>
        <v>W</v>
      </c>
      <c r="J227" s="67" t="str">
        <f>iferror(iferror(if(LEFT(VLOOKUP($B227,'Round 7'!$B$2:$H$361,7,false),1)="A","W",if(LEFT(VLOOKUP($B227,'Round 7'!$B$2:$H$361,7,false),1)="B","L","")),if(LEFT(VLOOKUP($B227,'Round 7'!$F$2:$H$361,3,false),1)="b","W",if(LEFT(VLOOKUP($B227,'Round 7'!$F$2:$H$361,3,false),1)="a","L",""))),"")</f>
        <v>W</v>
      </c>
      <c r="K227" s="68" t="str">
        <f>iferror(iferror(if(LEFT(VLOOKUP($B227,'Round 8'!$B$2:$H$361,7,false),1)="A","W",if(LEFT(VLOOKUP($B227,'Round 8'!$B$2:$H$361,7,false),1)="B","L","")),if(LEFT(VLOOKUP($B227,'Round 8'!$F$2:$H$361,3,false),1)="b","W",if(LEFT(VLOOKUP($B227,'Round 8'!$F$2:$H$361,3,false),1)="a","L",""))),"")</f>
        <v>W</v>
      </c>
      <c r="L227" s="68" t="str">
        <f>iferror(iferror(if(LEFT(VLOOKUP($B227,'Round 9'!$B$2:$H$361,7,false),1)="A","W",if(LEFT(VLOOKUP($B227,'Round 9'!$B$2:$H$361,7,false),1)="B","L","")),if(LEFT(VLOOKUP($B227,'Round 9'!$F$2:$H$361,3,false),1)="b","W",if(LEFT(VLOOKUP($B227,'Round 9'!$F$2:$H$361,3,false),1)="a","L",""))),"")</f>
        <v>W</v>
      </c>
      <c r="M227" s="68" t="str">
        <f>iferror(iferror(if(LEFT(VLOOKUP($B227,'Round 10'!$B$2:$H$362,7,false),1)="A","W",if(LEFT(VLOOKUP($B227,'Round 10'!$B$2:$H$362,7,false),1)="B","L","")),if(LEFT(VLOOKUP($B227,'Round 10'!$F$2:$H$362,3,false),1)="b","W",if(LEFT(VLOOKUP($B227,'Round 10'!$F$2:$H$362,3,false),1)="a","L",""))),"")</f>
        <v/>
      </c>
      <c r="N227" s="62" t="s">
        <v>523</v>
      </c>
    </row>
    <row r="228">
      <c r="A228" s="63">
        <v>227.0</v>
      </c>
      <c r="B228" s="64" t="s">
        <v>524</v>
      </c>
      <c r="C228" s="65" t="str">
        <f t="shared" si="1"/>
        <v>5 - 3</v>
      </c>
      <c r="D228" s="67" t="str">
        <f>iferror(if(LEFT(VLOOKUP($B228,'Round 1'!$B$2:$H$361,7,false),1)="A","W",if(LEFT(VLOOKUP($B228,'Round 1'!$B$2:$H$361,7,false),1)="B","L","")),if(LEFT(VLOOKUP($B228,'Round 1'!$F$2:$H$361,3,false),1)="b","W",if(LEFT(VLOOKUP($B228,'Round 1'!$F$2:$H$361,3,false),1)="a","L","")))</f>
        <v>W</v>
      </c>
      <c r="E228" s="67" t="str">
        <f>iferror(if(LEFT(VLOOKUP($B228,'Round 2'!$C$2:$J$361,8,false),1)="A","W",if(LEFT(VLOOKUP($B228,'Round 2'!$C$2:$J$361,8,false),1)="B","L","")),if(LEFT(VLOOKUP($B228,'Round 2'!$G$2:$J$361,4,false),1)="b","W",if(LEFT(VLOOKUP($B228,'Round 2'!$G$2:$J$361,4,false),1)="a","L","")))</f>
        <v>W</v>
      </c>
      <c r="F228" s="67" t="str">
        <f>iferror(if(LEFT(VLOOKUP($B228,'Round 3'!$B$2:$H$361,7,false),1)="A","W",if(LEFT(VLOOKUP($B228,'Round 3'!$B$2:$H$361,7,false),1)="B","L","")),if(LEFT(VLOOKUP($B228,'Round 3'!$F$2:$H$361,3,false),1)="b","W",if(LEFT(VLOOKUP($B228,'Round 3'!$F$2:$H$361,3,false),1)="a","L","")))</f>
        <v>W</v>
      </c>
      <c r="G228" s="67" t="str">
        <f>iferror(if(LEFT(VLOOKUP($B228,'Round 4'!$B$2:$H$361,7,false),1)="A","W",if(LEFT(VLOOKUP($B228,'Round 4'!$B$2:$H$361,7,false),1)="B","L","")),if(LEFT(VLOOKUP($B228,'Round 4'!$F$2:$H$361,3,false),1)="b","W",if(LEFT(VLOOKUP($B228,'Round 4'!$F$2:$H$361,3,false),1)="a","L","")))</f>
        <v>W</v>
      </c>
      <c r="H228" s="67" t="str">
        <f>iferror(if(LEFT(VLOOKUP($B228,'Round 5'!$B$2:$H$361,7,false),1)="A","W",if(LEFT(VLOOKUP($B228,'Round 5'!$B$2:$H$361,7,false),1)="B","L","")),if(LEFT(VLOOKUP($B228,'Round 5'!$F$2:$H$361,3,false),1)="b","W",if(LEFT(VLOOKUP($B228,'Round 5'!$F$2:$H$361,3,false),1)="a","L","")))</f>
        <v>L</v>
      </c>
      <c r="I228" s="67" t="str">
        <f>iferror(if(LEFT(VLOOKUP($B228,'Round 6'!$B$2:$H$361,7,false),1)="A","W",if(LEFT(VLOOKUP($B228,'Round 6'!$B$2:$H$361,7,false),1)="B","L","")),if(LEFT(VLOOKUP($B228,'Round 6'!$F$2:$H$361,3,false),1)="b","W",if(LEFT(VLOOKUP($B228,'Round 6'!$F$2:$H$361,3,false),1)="a","L","")))</f>
        <v>W</v>
      </c>
      <c r="J228" s="67" t="str">
        <f>iferror(iferror(if(LEFT(VLOOKUP($B228,'Round 7'!$B$2:$H$361,7,false),1)="A","W",if(LEFT(VLOOKUP($B228,'Round 7'!$B$2:$H$361,7,false),1)="B","L","")),if(LEFT(VLOOKUP($B228,'Round 7'!$F$2:$H$361,3,false),1)="b","W",if(LEFT(VLOOKUP($B228,'Round 7'!$F$2:$H$361,3,false),1)="a","L",""))),"")</f>
        <v>L</v>
      </c>
      <c r="K228" s="68" t="str">
        <f>iferror(iferror(if(LEFT(VLOOKUP($B228,'Round 8'!$B$2:$H$361,7,false),1)="A","W",if(LEFT(VLOOKUP($B228,'Round 8'!$B$2:$H$361,7,false),1)="B","L","")),if(LEFT(VLOOKUP($B228,'Round 8'!$F$2:$H$361,3,false),1)="b","W",if(LEFT(VLOOKUP($B228,'Round 8'!$F$2:$H$361,3,false),1)="a","L",""))),"")</f>
        <v>L</v>
      </c>
      <c r="L228" s="68" t="str">
        <f>iferror(iferror(if(LEFT(VLOOKUP($B228,'Round 9'!$B$2:$H$361,7,false),1)="A","W",if(LEFT(VLOOKUP($B228,'Round 9'!$B$2:$H$361,7,false),1)="B","L","")),if(LEFT(VLOOKUP($B228,'Round 9'!$F$2:$H$361,3,false),1)="b","W",if(LEFT(VLOOKUP($B228,'Round 9'!$F$2:$H$361,3,false),1)="a","L",""))),"")</f>
        <v/>
      </c>
      <c r="M228" s="68" t="str">
        <f>iferror(iferror(if(LEFT(VLOOKUP($B228,'Round 10'!$B$2:$H$362,7,false),1)="A","W",if(LEFT(VLOOKUP($B228,'Round 10'!$B$2:$H$362,7,false),1)="B","L","")),if(LEFT(VLOOKUP($B228,'Round 10'!$F$2:$H$362,3,false),1)="b","W",if(LEFT(VLOOKUP($B228,'Round 10'!$F$2:$H$362,3,false),1)="a","L",""))),"")</f>
        <v/>
      </c>
      <c r="N228" s="62" t="s">
        <v>525</v>
      </c>
    </row>
    <row r="229">
      <c r="A229" s="63">
        <v>228.0</v>
      </c>
      <c r="B229" s="71" t="s">
        <v>526</v>
      </c>
      <c r="C229" s="65" t="str">
        <f t="shared" si="1"/>
        <v>2 - 3</v>
      </c>
      <c r="D229" s="67" t="str">
        <f>iferror(if(LEFT(VLOOKUP($B229,'Round 1'!$B$2:$H$361,7,false),1)="A","W",if(LEFT(VLOOKUP($B229,'Round 1'!$B$2:$H$361,7,false),1)="B","L","")),if(LEFT(VLOOKUP($B229,'Round 1'!$F$2:$H$361,3,false),1)="b","W",if(LEFT(VLOOKUP($B229,'Round 1'!$F$2:$H$361,3,false),1)="a","L","")))</f>
        <v>L</v>
      </c>
      <c r="E229" s="67" t="str">
        <f>iferror(if(LEFT(VLOOKUP($B229,'Round 2'!$C$2:$J$361,8,false),1)="A","W",if(LEFT(VLOOKUP($B229,'Round 2'!$C$2:$J$361,8,false),1)="B","L","")),if(LEFT(VLOOKUP($B229,'Round 2'!$G$2:$J$361,4,false),1)="b","W",if(LEFT(VLOOKUP($B229,'Round 2'!$G$2:$J$361,4,false),1)="a","L","")))</f>
        <v>L</v>
      </c>
      <c r="F229" s="67" t="str">
        <f>iferror(if(LEFT(VLOOKUP($B229,'Round 3'!$B$2:$H$361,7,false),1)="A","W",if(LEFT(VLOOKUP($B229,'Round 3'!$B$2:$H$361,7,false),1)="B","L","")),if(LEFT(VLOOKUP($B229,'Round 3'!$F$2:$H$361,3,false),1)="b","W",if(LEFT(VLOOKUP($B229,'Round 3'!$F$2:$H$361,3,false),1)="a","L","")))</f>
        <v>W</v>
      </c>
      <c r="G229" s="67" t="str">
        <f>iferror(if(LEFT(VLOOKUP($B229,'Round 4'!$B$2:$H$361,7,false),1)="A","W",if(LEFT(VLOOKUP($B229,'Round 4'!$B$2:$H$361,7,false),1)="B","L","")),if(LEFT(VLOOKUP($B229,'Round 4'!$F$2:$H$361,3,false),1)="b","W",if(LEFT(VLOOKUP($B229,'Round 4'!$F$2:$H$361,3,false),1)="a","L","")))</f>
        <v>W</v>
      </c>
      <c r="H229" s="67" t="str">
        <f>iferror(if(LEFT(VLOOKUP($B229,'Round 5'!$B$2:$H$361,7,false),1)="A","W",if(LEFT(VLOOKUP($B229,'Round 5'!$B$2:$H$361,7,false),1)="B","L","")),if(LEFT(VLOOKUP($B229,'Round 5'!$F$2:$H$361,3,false),1)="b","W",if(LEFT(VLOOKUP($B229,'Round 5'!$F$2:$H$361,3,false),1)="a","L","")))</f>
        <v>L</v>
      </c>
      <c r="I229" s="67"/>
      <c r="J229" s="67" t="str">
        <f>iferror(iferror(if(LEFT(VLOOKUP($B229,'Round 7'!$B$2:$H$361,7,false),1)="A","W",if(LEFT(VLOOKUP($B229,'Round 7'!$B$2:$H$361,7,false),1)="B","L","")),if(LEFT(VLOOKUP($B229,'Round 7'!$F$2:$H$361,3,false),1)="b","W",if(LEFT(VLOOKUP($B229,'Round 7'!$F$2:$H$361,3,false),1)="a","L",""))),"")</f>
        <v/>
      </c>
      <c r="K229" s="68" t="str">
        <f>iferror(iferror(if(LEFT(VLOOKUP($B229,'Round 8'!$B$2:$H$361,7,false),1)="A","W",if(LEFT(VLOOKUP($B229,'Round 8'!$B$2:$H$361,7,false),1)="B","L","")),if(LEFT(VLOOKUP($B229,'Round 8'!$F$2:$H$361,3,false),1)="b","W",if(LEFT(VLOOKUP($B229,'Round 8'!$F$2:$H$361,3,false),1)="a","L",""))),"")</f>
        <v/>
      </c>
      <c r="L229" s="68" t="str">
        <f>iferror(iferror(if(LEFT(VLOOKUP($B229,'Round 9'!$B$2:$H$361,7,false),1)="A","W",if(LEFT(VLOOKUP($B229,'Round 9'!$B$2:$H$361,7,false),1)="B","L","")),if(LEFT(VLOOKUP($B229,'Round 9'!$F$2:$H$361,3,false),1)="b","W",if(LEFT(VLOOKUP($B229,'Round 9'!$F$2:$H$361,3,false),1)="a","L",""))),"")</f>
        <v/>
      </c>
      <c r="M229" s="68" t="str">
        <f>iferror(iferror(if(LEFT(VLOOKUP($B229,'Round 10'!$B$2:$H$362,7,false),1)="A","W",if(LEFT(VLOOKUP($B229,'Round 10'!$B$2:$H$362,7,false),1)="B","L","")),if(LEFT(VLOOKUP($B229,'Round 10'!$F$2:$H$362,3,false),1)="b","W",if(LEFT(VLOOKUP($B229,'Round 10'!$F$2:$H$362,3,false),1)="a","L",""))),"")</f>
        <v/>
      </c>
      <c r="N229" s="62" t="s">
        <v>527</v>
      </c>
    </row>
    <row r="230">
      <c r="A230" s="63">
        <v>229.0</v>
      </c>
      <c r="B230" s="64" t="s">
        <v>528</v>
      </c>
      <c r="C230" s="65" t="str">
        <f t="shared" si="1"/>
        <v>2 - 3</v>
      </c>
      <c r="D230" s="67" t="str">
        <f>iferror(if(LEFT(VLOOKUP($B230,'Round 1'!$B$2:$H$361,7,false),1)="A","W",if(LEFT(VLOOKUP($B230,'Round 1'!$B$2:$H$361,7,false),1)="B","L","")),if(LEFT(VLOOKUP($B230,'Round 1'!$F$2:$H$361,3,false),1)="b","W",if(LEFT(VLOOKUP($B230,'Round 1'!$F$2:$H$361,3,false),1)="a","L","")))</f>
        <v>L</v>
      </c>
      <c r="E230" s="67" t="str">
        <f>iferror(if(LEFT(VLOOKUP($B230,'Round 2'!$C$2:$J$361,8,false),1)="A","W",if(LEFT(VLOOKUP($B230,'Round 2'!$C$2:$J$361,8,false),1)="B","L","")),if(LEFT(VLOOKUP($B230,'Round 2'!$G$2:$J$361,4,false),1)="b","W",if(LEFT(VLOOKUP($B230,'Round 2'!$G$2:$J$361,4,false),1)="a","L","")))</f>
        <v>W</v>
      </c>
      <c r="F230" s="67" t="str">
        <f>iferror(if(LEFT(VLOOKUP($B230,'Round 3'!$B$2:$H$361,7,false),1)="A","W",if(LEFT(VLOOKUP($B230,'Round 3'!$B$2:$H$361,7,false),1)="B","L","")),if(LEFT(VLOOKUP($B230,'Round 3'!$F$2:$H$361,3,false),1)="b","W",if(LEFT(VLOOKUP($B230,'Round 3'!$F$2:$H$361,3,false),1)="a","L","")))</f>
        <v>W</v>
      </c>
      <c r="G230" s="67" t="str">
        <f>iferror(if(LEFT(VLOOKUP($B230,'Round 4'!$B$2:$H$361,7,false),1)="A","W",if(LEFT(VLOOKUP($B230,'Round 4'!$B$2:$H$361,7,false),1)="B","L","")),if(LEFT(VLOOKUP($B230,'Round 4'!$F$2:$H$361,3,false),1)="b","W",if(LEFT(VLOOKUP($B230,'Round 4'!$F$2:$H$361,3,false),1)="a","L","")))</f>
        <v>L</v>
      </c>
      <c r="H230" s="67" t="str">
        <f>iferror(if(LEFT(VLOOKUP($B230,'Round 5'!$B$2:$H$361,7,false),1)="A","W",if(LEFT(VLOOKUP($B230,'Round 5'!$B$2:$H$361,7,false),1)="B","L","")),if(LEFT(VLOOKUP($B230,'Round 5'!$F$2:$H$361,3,false),1)="b","W",if(LEFT(VLOOKUP($B230,'Round 5'!$F$2:$H$361,3,false),1)="a","L","")))</f>
        <v>L</v>
      </c>
      <c r="I230" s="67"/>
      <c r="J230" s="67" t="str">
        <f>iferror(iferror(if(LEFT(VLOOKUP($B230,'Round 7'!$B$2:$H$361,7,false),1)="A","W",if(LEFT(VLOOKUP($B230,'Round 7'!$B$2:$H$361,7,false),1)="B","L","")),if(LEFT(VLOOKUP($B230,'Round 7'!$F$2:$H$361,3,false),1)="b","W",if(LEFT(VLOOKUP($B230,'Round 7'!$F$2:$H$361,3,false),1)="a","L",""))),"")</f>
        <v/>
      </c>
      <c r="K230" s="68" t="str">
        <f>iferror(iferror(if(LEFT(VLOOKUP($B230,'Round 8'!$B$2:$H$361,7,false),1)="A","W",if(LEFT(VLOOKUP($B230,'Round 8'!$B$2:$H$361,7,false),1)="B","L","")),if(LEFT(VLOOKUP($B230,'Round 8'!$F$2:$H$361,3,false),1)="b","W",if(LEFT(VLOOKUP($B230,'Round 8'!$F$2:$H$361,3,false),1)="a","L",""))),"")</f>
        <v/>
      </c>
      <c r="L230" s="68" t="str">
        <f>iferror(iferror(if(LEFT(VLOOKUP($B230,'Round 9'!$B$2:$H$361,7,false),1)="A","W",if(LEFT(VLOOKUP($B230,'Round 9'!$B$2:$H$361,7,false),1)="B","L","")),if(LEFT(VLOOKUP($B230,'Round 9'!$F$2:$H$361,3,false),1)="b","W",if(LEFT(VLOOKUP($B230,'Round 9'!$F$2:$H$361,3,false),1)="a","L",""))),"")</f>
        <v/>
      </c>
      <c r="M230" s="68" t="str">
        <f>iferror(iferror(if(LEFT(VLOOKUP($B230,'Round 10'!$B$2:$H$362,7,false),1)="A","W",if(LEFT(VLOOKUP($B230,'Round 10'!$B$2:$H$362,7,false),1)="B","L","")),if(LEFT(VLOOKUP($B230,'Round 10'!$F$2:$H$362,3,false),1)="b","W",if(LEFT(VLOOKUP($B230,'Round 10'!$F$2:$H$362,3,false),1)="a","L",""))),"")</f>
        <v/>
      </c>
      <c r="N230" s="62" t="s">
        <v>529</v>
      </c>
    </row>
    <row r="231">
      <c r="A231" s="63">
        <v>230.0</v>
      </c>
      <c r="B231" s="71" t="s">
        <v>530</v>
      </c>
      <c r="C231" s="65" t="str">
        <f t="shared" si="1"/>
        <v>4 - 3</v>
      </c>
      <c r="D231" s="67" t="str">
        <f>iferror(if(LEFT(VLOOKUP($B231,'Round 1'!$B$2:$H$361,7,false),1)="A","W",if(LEFT(VLOOKUP($B231,'Round 1'!$B$2:$H$361,7,false),1)="B","L","")),if(LEFT(VLOOKUP($B231,'Round 1'!$F$2:$H$361,3,false),1)="b","W",if(LEFT(VLOOKUP($B231,'Round 1'!$F$2:$H$361,3,false),1)="a","L","")))</f>
        <v>W</v>
      </c>
      <c r="E231" s="67" t="str">
        <f>iferror(if(LEFT(VLOOKUP($B231,'Round 2'!$C$2:$J$361,8,false),1)="A","W",if(LEFT(VLOOKUP($B231,'Round 2'!$C$2:$J$361,8,false),1)="B","L","")),if(LEFT(VLOOKUP($B231,'Round 2'!$G$2:$J$361,4,false),1)="b","W",if(LEFT(VLOOKUP($B231,'Round 2'!$G$2:$J$361,4,false),1)="a","L","")))</f>
        <v>W</v>
      </c>
      <c r="F231" s="67" t="str">
        <f>iferror(if(LEFT(VLOOKUP($B231,'Round 3'!$B$2:$H$361,7,false),1)="A","W",if(LEFT(VLOOKUP($B231,'Round 3'!$B$2:$H$361,7,false),1)="B","L","")),if(LEFT(VLOOKUP($B231,'Round 3'!$F$2:$H$361,3,false),1)="b","W",if(LEFT(VLOOKUP($B231,'Round 3'!$F$2:$H$361,3,false),1)="a","L","")))</f>
        <v>L</v>
      </c>
      <c r="G231" s="67" t="str">
        <f>iferror(if(LEFT(VLOOKUP($B231,'Round 4'!$B$2:$H$361,7,false),1)="A","W",if(LEFT(VLOOKUP($B231,'Round 4'!$B$2:$H$361,7,false),1)="B","L","")),if(LEFT(VLOOKUP($B231,'Round 4'!$F$2:$H$361,3,false),1)="b","W",if(LEFT(VLOOKUP($B231,'Round 4'!$F$2:$H$361,3,false),1)="a","L","")))</f>
        <v>L</v>
      </c>
      <c r="H231" s="67" t="str">
        <f>iferror(if(LEFT(VLOOKUP($B231,'Round 5'!$B$2:$H$361,7,false),1)="A","W",if(LEFT(VLOOKUP($B231,'Round 5'!$B$2:$H$361,7,false),1)="B","L","")),if(LEFT(VLOOKUP($B231,'Round 5'!$F$2:$H$361,3,false),1)="b","W",if(LEFT(VLOOKUP($B231,'Round 5'!$F$2:$H$361,3,false),1)="a","L","")))</f>
        <v>W</v>
      </c>
      <c r="I231" s="67" t="str">
        <f>iferror(if(LEFT(VLOOKUP($B231,'Round 6'!$B$2:$H$361,7,false),1)="A","W",if(LEFT(VLOOKUP($B231,'Round 6'!$B$2:$H$361,7,false),1)="B","L","")),if(LEFT(VLOOKUP($B231,'Round 6'!$F$2:$H$361,3,false),1)="b","W",if(LEFT(VLOOKUP($B231,'Round 6'!$F$2:$H$361,3,false),1)="a","L","")))</f>
        <v>W</v>
      </c>
      <c r="J231" s="67" t="str">
        <f>iferror(iferror(if(LEFT(VLOOKUP($B231,'Round 7'!$B$2:$H$361,7,false),1)="A","W",if(LEFT(VLOOKUP($B231,'Round 7'!$B$2:$H$361,7,false),1)="B","L","")),if(LEFT(VLOOKUP($B231,'Round 7'!$F$2:$H$361,3,false),1)="b","W",if(LEFT(VLOOKUP($B231,'Round 7'!$F$2:$H$361,3,false),1)="a","L",""))),"")</f>
        <v>L</v>
      </c>
      <c r="K231" s="68" t="str">
        <f>iferror(iferror(if(LEFT(VLOOKUP($B231,'Round 8'!$B$2:$H$361,7,false),1)="A","W",if(LEFT(VLOOKUP($B231,'Round 8'!$B$2:$H$361,7,false),1)="B","L","")),if(LEFT(VLOOKUP($B231,'Round 8'!$F$2:$H$361,3,false),1)="b","W",if(LEFT(VLOOKUP($B231,'Round 8'!$F$2:$H$361,3,false),1)="a","L",""))),"")</f>
        <v/>
      </c>
      <c r="L231" s="68" t="str">
        <f>iferror(iferror(if(LEFT(VLOOKUP($B231,'Round 9'!$B$2:$H$361,7,false),1)="A","W",if(LEFT(VLOOKUP($B231,'Round 9'!$B$2:$H$361,7,false),1)="B","L","")),if(LEFT(VLOOKUP($B231,'Round 9'!$F$2:$H$361,3,false),1)="b","W",if(LEFT(VLOOKUP($B231,'Round 9'!$F$2:$H$361,3,false),1)="a","L",""))),"")</f>
        <v/>
      </c>
      <c r="M231" s="68" t="str">
        <f>iferror(iferror(if(LEFT(VLOOKUP($B231,'Round 10'!$B$2:$H$362,7,false),1)="A","W",if(LEFT(VLOOKUP($B231,'Round 10'!$B$2:$H$362,7,false),1)="B","L","")),if(LEFT(VLOOKUP($B231,'Round 10'!$F$2:$H$362,3,false),1)="b","W",if(LEFT(VLOOKUP($B231,'Round 10'!$F$2:$H$362,3,false),1)="a","L",""))),"")</f>
        <v/>
      </c>
      <c r="N231" s="62" t="s">
        <v>531</v>
      </c>
    </row>
    <row r="232">
      <c r="A232" s="63">
        <v>231.0</v>
      </c>
      <c r="B232" s="71" t="s">
        <v>532</v>
      </c>
      <c r="C232" s="65" t="str">
        <f t="shared" si="1"/>
        <v>2 - 3</v>
      </c>
      <c r="D232" s="67" t="str">
        <f>iferror(if(LEFT(VLOOKUP($B232,'Round 1'!$B$2:$H$361,7,false),1)="A","W",if(LEFT(VLOOKUP($B232,'Round 1'!$B$2:$H$361,7,false),1)="B","L","")),if(LEFT(VLOOKUP($B232,'Round 1'!$F$2:$H$361,3,false),1)="b","W",if(LEFT(VLOOKUP($B232,'Round 1'!$F$2:$H$361,3,false),1)="a","L","")))</f>
        <v>L</v>
      </c>
      <c r="E232" s="67" t="str">
        <f>iferror(if(LEFT(VLOOKUP($B232,'Round 2'!$C$2:$J$361,8,false),1)="A","W",if(LEFT(VLOOKUP($B232,'Round 2'!$C$2:$J$361,8,false),1)="B","L","")),if(LEFT(VLOOKUP($B232,'Round 2'!$G$2:$J$361,4,false),1)="b","W",if(LEFT(VLOOKUP($B232,'Round 2'!$G$2:$J$361,4,false),1)="a","L","")))</f>
        <v>W</v>
      </c>
      <c r="F232" s="67" t="str">
        <f>iferror(if(LEFT(VLOOKUP($B232,'Round 3'!$B$2:$H$361,7,false),1)="A","W",if(LEFT(VLOOKUP($B232,'Round 3'!$B$2:$H$361,7,false),1)="B","L","")),if(LEFT(VLOOKUP($B232,'Round 3'!$F$2:$H$361,3,false),1)="b","W",if(LEFT(VLOOKUP($B232,'Round 3'!$F$2:$H$361,3,false),1)="a","L","")))</f>
        <v>L</v>
      </c>
      <c r="G232" s="67" t="str">
        <f>iferror(if(LEFT(VLOOKUP($B232,'Round 4'!$B$2:$H$361,7,false),1)="A","W",if(LEFT(VLOOKUP($B232,'Round 4'!$B$2:$H$361,7,false),1)="B","L","")),if(LEFT(VLOOKUP($B232,'Round 4'!$F$2:$H$361,3,false),1)="b","W",if(LEFT(VLOOKUP($B232,'Round 4'!$F$2:$H$361,3,false),1)="a","L","")))</f>
        <v>W</v>
      </c>
      <c r="H232" s="67" t="str">
        <f>iferror(if(LEFT(VLOOKUP($B232,'Round 5'!$B$2:$H$361,7,false),1)="A","W",if(LEFT(VLOOKUP($B232,'Round 5'!$B$2:$H$361,7,false),1)="B","L","")),if(LEFT(VLOOKUP($B232,'Round 5'!$F$2:$H$361,3,false),1)="b","W",if(LEFT(VLOOKUP($B232,'Round 5'!$F$2:$H$361,3,false),1)="a","L","")))</f>
        <v>L</v>
      </c>
      <c r="I232" s="67"/>
      <c r="J232" s="67" t="str">
        <f>iferror(iferror(if(LEFT(VLOOKUP($B232,'Round 7'!$B$2:$H$361,7,false),1)="A","W",if(LEFT(VLOOKUP($B232,'Round 7'!$B$2:$H$361,7,false),1)="B","L","")),if(LEFT(VLOOKUP($B232,'Round 7'!$F$2:$H$361,3,false),1)="b","W",if(LEFT(VLOOKUP($B232,'Round 7'!$F$2:$H$361,3,false),1)="a","L",""))),"")</f>
        <v/>
      </c>
      <c r="K232" s="68" t="str">
        <f>iferror(iferror(if(LEFT(VLOOKUP($B232,'Round 8'!$B$2:$H$361,7,false),1)="A","W",if(LEFT(VLOOKUP($B232,'Round 8'!$B$2:$H$361,7,false),1)="B","L","")),if(LEFT(VLOOKUP($B232,'Round 8'!$F$2:$H$361,3,false),1)="b","W",if(LEFT(VLOOKUP($B232,'Round 8'!$F$2:$H$361,3,false),1)="a","L",""))),"")</f>
        <v/>
      </c>
      <c r="L232" s="68" t="str">
        <f>iferror(iferror(if(LEFT(VLOOKUP($B232,'Round 9'!$B$2:$H$361,7,false),1)="A","W",if(LEFT(VLOOKUP($B232,'Round 9'!$B$2:$H$361,7,false),1)="B","L","")),if(LEFT(VLOOKUP($B232,'Round 9'!$F$2:$H$361,3,false),1)="b","W",if(LEFT(VLOOKUP($B232,'Round 9'!$F$2:$H$361,3,false),1)="a","L",""))),"")</f>
        <v/>
      </c>
      <c r="M232" s="68" t="str">
        <f>iferror(iferror(if(LEFT(VLOOKUP($B232,'Round 10'!$B$2:$H$362,7,false),1)="A","W",if(LEFT(VLOOKUP($B232,'Round 10'!$B$2:$H$362,7,false),1)="B","L","")),if(LEFT(VLOOKUP($B232,'Round 10'!$F$2:$H$362,3,false),1)="b","W",if(LEFT(VLOOKUP($B232,'Round 10'!$F$2:$H$362,3,false),1)="a","L",""))),"")</f>
        <v/>
      </c>
      <c r="N232" s="62" t="s">
        <v>533</v>
      </c>
    </row>
    <row r="233">
      <c r="A233" s="63">
        <v>232.0</v>
      </c>
      <c r="B233" s="64" t="s">
        <v>534</v>
      </c>
      <c r="C233" s="65" t="str">
        <f t="shared" si="1"/>
        <v>1 - 3</v>
      </c>
      <c r="D233" s="67" t="str">
        <f>iferror(if(LEFT(VLOOKUP($B233,'Round 1'!$B$2:$H$361,7,false),1)="A","W",if(LEFT(VLOOKUP($B233,'Round 1'!$B$2:$H$361,7,false),1)="B","L","")),if(LEFT(VLOOKUP($B233,'Round 1'!$F$2:$H$361,3,false),1)="b","W",if(LEFT(VLOOKUP($B233,'Round 1'!$F$2:$H$361,3,false),1)="a","L","")))</f>
        <v>L</v>
      </c>
      <c r="E233" s="67" t="str">
        <f>iferror(if(LEFT(VLOOKUP($B233,'Round 2'!$C$2:$J$361,8,false),1)="A","W",if(LEFT(VLOOKUP($B233,'Round 2'!$C$2:$J$361,8,false),1)="B","L","")),if(LEFT(VLOOKUP($B233,'Round 2'!$G$2:$J$361,4,false),1)="b","W",if(LEFT(VLOOKUP($B233,'Round 2'!$G$2:$J$361,4,false),1)="a","L","")))</f>
        <v>L</v>
      </c>
      <c r="F233" s="67" t="str">
        <f>iferror(if(LEFT(VLOOKUP($B233,'Round 3'!$B$2:$H$361,7,false),1)="A","W",if(LEFT(VLOOKUP($B233,'Round 3'!$B$2:$H$361,7,false),1)="B","L","")),if(LEFT(VLOOKUP($B233,'Round 3'!$F$2:$H$361,3,false),1)="b","W",if(LEFT(VLOOKUP($B233,'Round 3'!$F$2:$H$361,3,false),1)="a","L","")))</f>
        <v>W</v>
      </c>
      <c r="G233" s="67" t="str">
        <f>iferror(if(LEFT(VLOOKUP($B233,'Round 4'!$B$2:$H$361,7,false),1)="A","W",if(LEFT(VLOOKUP($B233,'Round 4'!$B$2:$H$361,7,false),1)="B","L","")),if(LEFT(VLOOKUP($B233,'Round 4'!$F$2:$H$361,3,false),1)="b","W",if(LEFT(VLOOKUP($B233,'Round 4'!$F$2:$H$361,3,false),1)="a","L","")))</f>
        <v>L</v>
      </c>
      <c r="H233" s="67"/>
      <c r="I233" s="67"/>
      <c r="J233" s="67" t="str">
        <f>iferror(iferror(if(LEFT(VLOOKUP($B233,'Round 7'!$B$2:$H$361,7,false),1)="A","W",if(LEFT(VLOOKUP($B233,'Round 7'!$B$2:$H$361,7,false),1)="B","L","")),if(LEFT(VLOOKUP($B233,'Round 7'!$F$2:$H$361,3,false),1)="b","W",if(LEFT(VLOOKUP($B233,'Round 7'!$F$2:$H$361,3,false),1)="a","L",""))),"")</f>
        <v/>
      </c>
      <c r="K233" s="68" t="str">
        <f>iferror(iferror(if(LEFT(VLOOKUP($B233,'Round 8'!$B$2:$H$361,7,false),1)="A","W",if(LEFT(VLOOKUP($B233,'Round 8'!$B$2:$H$361,7,false),1)="B","L","")),if(LEFT(VLOOKUP($B233,'Round 8'!$F$2:$H$361,3,false),1)="b","W",if(LEFT(VLOOKUP($B233,'Round 8'!$F$2:$H$361,3,false),1)="a","L",""))),"")</f>
        <v/>
      </c>
      <c r="L233" s="68" t="str">
        <f>iferror(iferror(if(LEFT(VLOOKUP($B233,'Round 9'!$B$2:$H$361,7,false),1)="A","W",if(LEFT(VLOOKUP($B233,'Round 9'!$B$2:$H$361,7,false),1)="B","L","")),if(LEFT(VLOOKUP($B233,'Round 9'!$F$2:$H$361,3,false),1)="b","W",if(LEFT(VLOOKUP($B233,'Round 9'!$F$2:$H$361,3,false),1)="a","L",""))),"")</f>
        <v/>
      </c>
      <c r="M233" s="68" t="str">
        <f>iferror(iferror(if(LEFT(VLOOKUP($B233,'Round 10'!$B$2:$H$362,7,false),1)="A","W",if(LEFT(VLOOKUP($B233,'Round 10'!$B$2:$H$362,7,false),1)="B","L","")),if(LEFT(VLOOKUP($B233,'Round 10'!$F$2:$H$362,3,false),1)="b","W",if(LEFT(VLOOKUP($B233,'Round 10'!$F$2:$H$362,3,false),1)="a","L",""))),"")</f>
        <v/>
      </c>
      <c r="N233" s="62" t="s">
        <v>535</v>
      </c>
    </row>
    <row r="234">
      <c r="A234" s="63">
        <v>233.0</v>
      </c>
      <c r="B234" s="64" t="s">
        <v>536</v>
      </c>
      <c r="C234" s="65" t="str">
        <f t="shared" si="1"/>
        <v>4 - 3</v>
      </c>
      <c r="D234" s="67" t="str">
        <f>iferror(if(LEFT(VLOOKUP($B234,'Round 1'!$B$2:$H$361,7,false),1)="A","W",if(LEFT(VLOOKUP($B234,'Round 1'!$B$2:$H$361,7,false),1)="B","L","")),if(LEFT(VLOOKUP($B234,'Round 1'!$F$2:$H$361,3,false),1)="b","W",if(LEFT(VLOOKUP($B234,'Round 1'!$F$2:$H$361,3,false),1)="a","L","")))</f>
        <v>W</v>
      </c>
      <c r="E234" s="67" t="str">
        <f>iferror(if(LEFT(VLOOKUP($B234,'Round 2'!$C$2:$J$361,8,false),1)="A","W",if(LEFT(VLOOKUP($B234,'Round 2'!$C$2:$J$361,8,false),1)="B","L","")),if(LEFT(VLOOKUP($B234,'Round 2'!$G$2:$J$361,4,false),1)="b","W",if(LEFT(VLOOKUP($B234,'Round 2'!$G$2:$J$361,4,false),1)="a","L","")))</f>
        <v>W</v>
      </c>
      <c r="F234" s="67" t="str">
        <f>iferror(if(LEFT(VLOOKUP($B234,'Round 3'!$B$2:$H$361,7,false),1)="A","W",if(LEFT(VLOOKUP($B234,'Round 3'!$B$2:$H$361,7,false),1)="B","L","")),if(LEFT(VLOOKUP($B234,'Round 3'!$F$2:$H$361,3,false),1)="b","W",if(LEFT(VLOOKUP($B234,'Round 3'!$F$2:$H$361,3,false),1)="a","L","")))</f>
        <v>L</v>
      </c>
      <c r="G234" s="67" t="str">
        <f>iferror(if(LEFT(VLOOKUP($B234,'Round 4'!$B$2:$H$361,7,false),1)="A","W",if(LEFT(VLOOKUP($B234,'Round 4'!$B$2:$H$361,7,false),1)="B","L","")),if(LEFT(VLOOKUP($B234,'Round 4'!$F$2:$H$361,3,false),1)="b","W",if(LEFT(VLOOKUP($B234,'Round 4'!$F$2:$H$361,3,false),1)="a","L","")))</f>
        <v>W</v>
      </c>
      <c r="H234" s="67" t="str">
        <f>iferror(if(LEFT(VLOOKUP($B234,'Round 5'!$B$2:$H$361,7,false),1)="A","W",if(LEFT(VLOOKUP($B234,'Round 5'!$B$2:$H$361,7,false),1)="B","L","")),if(LEFT(VLOOKUP($B234,'Round 5'!$F$2:$H$361,3,false),1)="b","W",if(LEFT(VLOOKUP($B234,'Round 5'!$F$2:$H$361,3,false),1)="a","L","")))</f>
        <v>L</v>
      </c>
      <c r="I234" s="67" t="str">
        <f>iferror(if(LEFT(VLOOKUP($B234,'Round 6'!$B$2:$H$361,7,false),1)="A","W",if(LEFT(VLOOKUP($B234,'Round 6'!$B$2:$H$361,7,false),1)="B","L","")),if(LEFT(VLOOKUP($B234,'Round 6'!$F$2:$H$361,3,false),1)="b","W",if(LEFT(VLOOKUP($B234,'Round 6'!$F$2:$H$361,3,false),1)="a","L","")))</f>
        <v>W</v>
      </c>
      <c r="J234" s="67" t="str">
        <f>iferror(iferror(if(LEFT(VLOOKUP($B234,'Round 7'!$B$2:$H$361,7,false),1)="A","W",if(LEFT(VLOOKUP($B234,'Round 7'!$B$2:$H$361,7,false),1)="B","L","")),if(LEFT(VLOOKUP($B234,'Round 7'!$F$2:$H$361,3,false),1)="b","W",if(LEFT(VLOOKUP($B234,'Round 7'!$F$2:$H$361,3,false),1)="a","L",""))),"")</f>
        <v>L</v>
      </c>
      <c r="K234" s="68" t="str">
        <f>iferror(iferror(if(LEFT(VLOOKUP($B234,'Round 8'!$B$2:$H$361,7,false),1)="A","W",if(LEFT(VLOOKUP($B234,'Round 8'!$B$2:$H$361,7,false),1)="B","L","")),if(LEFT(VLOOKUP($B234,'Round 8'!$F$2:$H$361,3,false),1)="b","W",if(LEFT(VLOOKUP($B234,'Round 8'!$F$2:$H$361,3,false),1)="a","L",""))),"")</f>
        <v/>
      </c>
      <c r="L234" s="68" t="str">
        <f>iferror(iferror(if(LEFT(VLOOKUP($B234,'Round 9'!$B$2:$H$361,7,false),1)="A","W",if(LEFT(VLOOKUP($B234,'Round 9'!$B$2:$H$361,7,false),1)="B","L","")),if(LEFT(VLOOKUP($B234,'Round 9'!$F$2:$H$361,3,false),1)="b","W",if(LEFT(VLOOKUP($B234,'Round 9'!$F$2:$H$361,3,false),1)="a","L",""))),"")</f>
        <v/>
      </c>
      <c r="M234" s="68" t="str">
        <f>iferror(iferror(if(LEFT(VLOOKUP($B234,'Round 10'!$B$2:$H$362,7,false),1)="A","W",if(LEFT(VLOOKUP($B234,'Round 10'!$B$2:$H$362,7,false),1)="B","L","")),if(LEFT(VLOOKUP($B234,'Round 10'!$F$2:$H$362,3,false),1)="b","W",if(LEFT(VLOOKUP($B234,'Round 10'!$F$2:$H$362,3,false),1)="a","L",""))),"")</f>
        <v/>
      </c>
      <c r="N234" s="62" t="s">
        <v>537</v>
      </c>
    </row>
    <row r="235">
      <c r="A235" s="63">
        <v>234.0</v>
      </c>
      <c r="B235" s="64" t="s">
        <v>538</v>
      </c>
      <c r="C235" s="65" t="str">
        <f t="shared" si="1"/>
        <v>0 - 3</v>
      </c>
      <c r="D235" s="67" t="str">
        <f>iferror(if(LEFT(VLOOKUP($B235,'Round 1'!$B$2:$H$361,7,false),1)="A","W",if(LEFT(VLOOKUP($B235,'Round 1'!$B$2:$H$361,7,false),1)="B","L","")),if(LEFT(VLOOKUP($B235,'Round 1'!$F$2:$H$361,3,false),1)="b","W",if(LEFT(VLOOKUP($B235,'Round 1'!$F$2:$H$361,3,false),1)="a","L","")))</f>
        <v>L</v>
      </c>
      <c r="E235" s="67" t="str">
        <f>iferror(if(LEFT(VLOOKUP($B235,'Round 2'!$C$2:$J$361,8,false),1)="A","W",if(LEFT(VLOOKUP($B235,'Round 2'!$C$2:$J$361,8,false),1)="B","L","")),if(LEFT(VLOOKUP($B235,'Round 2'!$G$2:$J$361,4,false),1)="b","W",if(LEFT(VLOOKUP($B235,'Round 2'!$G$2:$J$361,4,false),1)="a","L","")))</f>
        <v>L</v>
      </c>
      <c r="F235" s="67" t="str">
        <f>iferror(if(LEFT(VLOOKUP($B235,'Round 3'!$B$2:$H$361,7,false),1)="A","W",if(LEFT(VLOOKUP($B235,'Round 3'!$B$2:$H$361,7,false),1)="B","L","")),if(LEFT(VLOOKUP($B235,'Round 3'!$F$2:$H$361,3,false),1)="b","W",if(LEFT(VLOOKUP($B235,'Round 3'!$F$2:$H$361,3,false),1)="a","L","")))</f>
        <v>L</v>
      </c>
      <c r="G235" s="67"/>
      <c r="H235" s="67"/>
      <c r="I235" s="67"/>
      <c r="J235" s="67" t="str">
        <f>iferror(iferror(if(LEFT(VLOOKUP($B235,'Round 7'!$B$2:$H$361,7,false),1)="A","W",if(LEFT(VLOOKUP($B235,'Round 7'!$B$2:$H$361,7,false),1)="B","L","")),if(LEFT(VLOOKUP($B235,'Round 7'!$F$2:$H$361,3,false),1)="b","W",if(LEFT(VLOOKUP($B235,'Round 7'!$F$2:$H$361,3,false),1)="a","L",""))),"")</f>
        <v/>
      </c>
      <c r="K235" s="68" t="str">
        <f>iferror(iferror(if(LEFT(VLOOKUP($B235,'Round 8'!$B$2:$H$361,7,false),1)="A","W",if(LEFT(VLOOKUP($B235,'Round 8'!$B$2:$H$361,7,false),1)="B","L","")),if(LEFT(VLOOKUP($B235,'Round 8'!$F$2:$H$361,3,false),1)="b","W",if(LEFT(VLOOKUP($B235,'Round 8'!$F$2:$H$361,3,false),1)="a","L",""))),"")</f>
        <v/>
      </c>
      <c r="L235" s="68" t="str">
        <f>iferror(iferror(if(LEFT(VLOOKUP($B235,'Round 9'!$B$2:$H$361,7,false),1)="A","W",if(LEFT(VLOOKUP($B235,'Round 9'!$B$2:$H$361,7,false),1)="B","L","")),if(LEFT(VLOOKUP($B235,'Round 9'!$F$2:$H$361,3,false),1)="b","W",if(LEFT(VLOOKUP($B235,'Round 9'!$F$2:$H$361,3,false),1)="a","L",""))),"")</f>
        <v/>
      </c>
      <c r="M235" s="68" t="str">
        <f>iferror(iferror(if(LEFT(VLOOKUP($B235,'Round 10'!$B$2:$H$362,7,false),1)="A","W",if(LEFT(VLOOKUP($B235,'Round 10'!$B$2:$H$362,7,false),1)="B","L","")),if(LEFT(VLOOKUP($B235,'Round 10'!$F$2:$H$362,3,false),1)="b","W",if(LEFT(VLOOKUP($B235,'Round 10'!$F$2:$H$362,3,false),1)="a","L",""))),"")</f>
        <v/>
      </c>
      <c r="N235" s="62" t="s">
        <v>539</v>
      </c>
    </row>
    <row r="236">
      <c r="A236" s="63">
        <v>235.0</v>
      </c>
      <c r="B236" s="64" t="s">
        <v>540</v>
      </c>
      <c r="C236" s="65" t="str">
        <f t="shared" si="1"/>
        <v>4 - 3</v>
      </c>
      <c r="D236" s="67" t="str">
        <f>iferror(if(LEFT(VLOOKUP($B236,'Round 1'!$B$2:$H$361,7,false),1)="A","W",if(LEFT(VLOOKUP($B236,'Round 1'!$B$2:$H$361,7,false),1)="B","L","")),if(LEFT(VLOOKUP($B236,'Round 1'!$F$2:$H$361,3,false),1)="b","W",if(LEFT(VLOOKUP($B236,'Round 1'!$F$2:$H$361,3,false),1)="a","L","")))</f>
        <v>W</v>
      </c>
      <c r="E236" s="67" t="str">
        <f>iferror(if(LEFT(VLOOKUP($B236,'Round 2'!$C$2:$J$361,8,false),1)="A","W",if(LEFT(VLOOKUP($B236,'Round 2'!$C$2:$J$361,8,false),1)="B","L","")),if(LEFT(VLOOKUP($B236,'Round 2'!$G$2:$J$361,4,false),1)="b","W",if(LEFT(VLOOKUP($B236,'Round 2'!$G$2:$J$361,4,false),1)="a","L","")))</f>
        <v>W</v>
      </c>
      <c r="F236" s="67" t="str">
        <f>iferror(if(LEFT(VLOOKUP($B236,'Round 3'!$B$2:$H$361,7,false),1)="A","W",if(LEFT(VLOOKUP($B236,'Round 3'!$B$2:$H$361,7,false),1)="B","L","")),if(LEFT(VLOOKUP($B236,'Round 3'!$F$2:$H$361,3,false),1)="b","W",if(LEFT(VLOOKUP($B236,'Round 3'!$F$2:$H$361,3,false),1)="a","L","")))</f>
        <v>L</v>
      </c>
      <c r="G236" s="67" t="str">
        <f>iferror(if(LEFT(VLOOKUP($B236,'Round 4'!$B$2:$H$361,7,false),1)="A","W",if(LEFT(VLOOKUP($B236,'Round 4'!$B$2:$H$361,7,false),1)="B","L","")),if(LEFT(VLOOKUP($B236,'Round 4'!$F$2:$H$361,3,false),1)="b","W",if(LEFT(VLOOKUP($B236,'Round 4'!$F$2:$H$361,3,false),1)="a","L","")))</f>
        <v>W</v>
      </c>
      <c r="H236" s="67" t="str">
        <f>iferror(if(LEFT(VLOOKUP($B236,'Round 5'!$B$2:$H$361,7,false),1)="A","W",if(LEFT(VLOOKUP($B236,'Round 5'!$B$2:$H$361,7,false),1)="B","L","")),if(LEFT(VLOOKUP($B236,'Round 5'!$F$2:$H$361,3,false),1)="b","W",if(LEFT(VLOOKUP($B236,'Round 5'!$F$2:$H$361,3,false),1)="a","L","")))</f>
        <v>W</v>
      </c>
      <c r="I236" s="67" t="str">
        <f>iferror(if(LEFT(VLOOKUP($B236,'Round 6'!$B$2:$H$361,7,false),1)="A","W",if(LEFT(VLOOKUP($B236,'Round 6'!$B$2:$H$361,7,false),1)="B","L","")),if(LEFT(VLOOKUP($B236,'Round 6'!$F$2:$H$361,3,false),1)="b","W",if(LEFT(VLOOKUP($B236,'Round 6'!$F$2:$H$361,3,false),1)="a","L","")))</f>
        <v>L</v>
      </c>
      <c r="J236" s="67" t="str">
        <f>iferror(iferror(if(LEFT(VLOOKUP($B236,'Round 7'!$B$2:$H$361,7,false),1)="A","W",if(LEFT(VLOOKUP($B236,'Round 7'!$B$2:$H$361,7,false),1)="B","L","")),if(LEFT(VLOOKUP($B236,'Round 7'!$F$2:$H$361,3,false),1)="b","W",if(LEFT(VLOOKUP($B236,'Round 7'!$F$2:$H$361,3,false),1)="a","L",""))),"")</f>
        <v>L</v>
      </c>
      <c r="K236" s="68" t="str">
        <f>iferror(iferror(if(LEFT(VLOOKUP($B236,'Round 8'!$B$2:$H$361,7,false),1)="A","W",if(LEFT(VLOOKUP($B236,'Round 8'!$B$2:$H$361,7,false),1)="B","L","")),if(LEFT(VLOOKUP($B236,'Round 8'!$F$2:$H$361,3,false),1)="b","W",if(LEFT(VLOOKUP($B236,'Round 8'!$F$2:$H$361,3,false),1)="a","L",""))),"")</f>
        <v/>
      </c>
      <c r="L236" s="68" t="str">
        <f>iferror(iferror(if(LEFT(VLOOKUP($B236,'Round 9'!$B$2:$H$361,7,false),1)="A","W",if(LEFT(VLOOKUP($B236,'Round 9'!$B$2:$H$361,7,false),1)="B","L","")),if(LEFT(VLOOKUP($B236,'Round 9'!$F$2:$H$361,3,false),1)="b","W",if(LEFT(VLOOKUP($B236,'Round 9'!$F$2:$H$361,3,false),1)="a","L",""))),"")</f>
        <v/>
      </c>
      <c r="M236" s="68" t="str">
        <f>iferror(iferror(if(LEFT(VLOOKUP($B236,'Round 10'!$B$2:$H$362,7,false),1)="A","W",if(LEFT(VLOOKUP($B236,'Round 10'!$B$2:$H$362,7,false),1)="B","L","")),if(LEFT(VLOOKUP($B236,'Round 10'!$F$2:$H$362,3,false),1)="b","W",if(LEFT(VLOOKUP($B236,'Round 10'!$F$2:$H$362,3,false),1)="a","L",""))),"")</f>
        <v/>
      </c>
      <c r="N236" s="62" t="s">
        <v>541</v>
      </c>
    </row>
    <row r="237">
      <c r="A237" s="63">
        <v>236.0</v>
      </c>
      <c r="B237" s="64" t="s">
        <v>542</v>
      </c>
      <c r="C237" s="65" t="str">
        <f t="shared" si="1"/>
        <v>1 - 3</v>
      </c>
      <c r="D237" s="67" t="str">
        <f>iferror(if(LEFT(VLOOKUP($B237,'Round 1'!$B$2:$H$361,7,false),1)="A","W",if(LEFT(VLOOKUP($B237,'Round 1'!$B$2:$H$361,7,false),1)="B","L","")),if(LEFT(VLOOKUP($B237,'Round 1'!$F$2:$H$361,3,false),1)="b","W",if(LEFT(VLOOKUP($B237,'Round 1'!$F$2:$H$361,3,false),1)="a","L","")))</f>
        <v>W</v>
      </c>
      <c r="E237" s="67" t="str">
        <f>iferror(if(LEFT(VLOOKUP($B237,'Round 2'!$C$2:$J$361,8,false),1)="A","W",if(LEFT(VLOOKUP($B237,'Round 2'!$C$2:$J$361,8,false),1)="B","L","")),if(LEFT(VLOOKUP($B237,'Round 2'!$G$2:$J$361,4,false),1)="b","W",if(LEFT(VLOOKUP($B237,'Round 2'!$G$2:$J$361,4,false),1)="a","L","")))</f>
        <v>L</v>
      </c>
      <c r="F237" s="67" t="str">
        <f>iferror(if(LEFT(VLOOKUP($B237,'Round 3'!$B$2:$H$361,7,false),1)="A","W",if(LEFT(VLOOKUP($B237,'Round 3'!$B$2:$H$361,7,false),1)="B","L","")),if(LEFT(VLOOKUP($B237,'Round 3'!$F$2:$H$361,3,false),1)="b","W",if(LEFT(VLOOKUP($B237,'Round 3'!$F$2:$H$361,3,false),1)="a","L","")))</f>
        <v>L</v>
      </c>
      <c r="G237" s="67" t="str">
        <f>iferror(if(LEFT(VLOOKUP($B237,'Round 4'!$B$2:$H$361,7,false),1)="A","W",if(LEFT(VLOOKUP($B237,'Round 4'!$B$2:$H$361,7,false),1)="B","L","")),if(LEFT(VLOOKUP($B237,'Round 4'!$F$2:$H$361,3,false),1)="b","W",if(LEFT(VLOOKUP($B237,'Round 4'!$F$2:$H$361,3,false),1)="a","L","")))</f>
        <v>L</v>
      </c>
      <c r="H237" s="67"/>
      <c r="I237" s="67"/>
      <c r="J237" s="67" t="str">
        <f>iferror(iferror(if(LEFT(VLOOKUP($B237,'Round 7'!$B$2:$H$361,7,false),1)="A","W",if(LEFT(VLOOKUP($B237,'Round 7'!$B$2:$H$361,7,false),1)="B","L","")),if(LEFT(VLOOKUP($B237,'Round 7'!$F$2:$H$361,3,false),1)="b","W",if(LEFT(VLOOKUP($B237,'Round 7'!$F$2:$H$361,3,false),1)="a","L",""))),"")</f>
        <v/>
      </c>
      <c r="K237" s="68" t="str">
        <f>iferror(iferror(if(LEFT(VLOOKUP($B237,'Round 8'!$B$2:$H$361,7,false),1)="A","W",if(LEFT(VLOOKUP($B237,'Round 8'!$B$2:$H$361,7,false),1)="B","L","")),if(LEFT(VLOOKUP($B237,'Round 8'!$F$2:$H$361,3,false),1)="b","W",if(LEFT(VLOOKUP($B237,'Round 8'!$F$2:$H$361,3,false),1)="a","L",""))),"")</f>
        <v/>
      </c>
      <c r="L237" s="68" t="str">
        <f>iferror(iferror(if(LEFT(VLOOKUP($B237,'Round 9'!$B$2:$H$361,7,false),1)="A","W",if(LEFT(VLOOKUP($B237,'Round 9'!$B$2:$H$361,7,false),1)="B","L","")),if(LEFT(VLOOKUP($B237,'Round 9'!$F$2:$H$361,3,false),1)="b","W",if(LEFT(VLOOKUP($B237,'Round 9'!$F$2:$H$361,3,false),1)="a","L",""))),"")</f>
        <v/>
      </c>
      <c r="M237" s="68" t="str">
        <f>iferror(iferror(if(LEFT(VLOOKUP($B237,'Round 10'!$B$2:$H$362,7,false),1)="A","W",if(LEFT(VLOOKUP($B237,'Round 10'!$B$2:$H$362,7,false),1)="B","L","")),if(LEFT(VLOOKUP($B237,'Round 10'!$F$2:$H$362,3,false),1)="b","W",if(LEFT(VLOOKUP($B237,'Round 10'!$F$2:$H$362,3,false),1)="a","L",""))),"")</f>
        <v/>
      </c>
      <c r="N237" s="62" t="s">
        <v>543</v>
      </c>
    </row>
    <row r="238">
      <c r="A238" s="63">
        <v>237.0</v>
      </c>
      <c r="B238" s="64" t="s">
        <v>544</v>
      </c>
      <c r="C238" s="65" t="str">
        <f t="shared" si="1"/>
        <v>4 - 3</v>
      </c>
      <c r="D238" s="67" t="str">
        <f>iferror(if(LEFT(VLOOKUP($B238,'Round 1'!$B$2:$H$361,7,false),1)="A","W",if(LEFT(VLOOKUP($B238,'Round 1'!$B$2:$H$361,7,false),1)="B","L","")),if(LEFT(VLOOKUP($B238,'Round 1'!$F$2:$H$361,3,false),1)="b","W",if(LEFT(VLOOKUP($B238,'Round 1'!$F$2:$H$361,3,false),1)="a","L","")))</f>
        <v>W</v>
      </c>
      <c r="E238" s="67" t="str">
        <f>iferror(if(LEFT(VLOOKUP($B238,'Round 2'!$C$2:$J$361,8,false),1)="A","W",if(LEFT(VLOOKUP($B238,'Round 2'!$C$2:$J$361,8,false),1)="B","L","")),if(LEFT(VLOOKUP($B238,'Round 2'!$G$2:$J$361,4,false),1)="b","W",if(LEFT(VLOOKUP($B238,'Round 2'!$G$2:$J$361,4,false),1)="a","L","")))</f>
        <v>W</v>
      </c>
      <c r="F238" s="67" t="str">
        <f>iferror(if(LEFT(VLOOKUP($B238,'Round 3'!$B$2:$H$361,7,false),1)="A","W",if(LEFT(VLOOKUP($B238,'Round 3'!$B$2:$H$361,7,false),1)="B","L","")),if(LEFT(VLOOKUP($B238,'Round 3'!$F$2:$H$361,3,false),1)="b","W",if(LEFT(VLOOKUP($B238,'Round 3'!$F$2:$H$361,3,false),1)="a","L","")))</f>
        <v>W</v>
      </c>
      <c r="G238" s="67" t="str">
        <f>iferror(if(LEFT(VLOOKUP($B238,'Round 4'!$B$2:$H$361,7,false),1)="A","W",if(LEFT(VLOOKUP($B238,'Round 4'!$B$2:$H$361,7,false),1)="B","L","")),if(LEFT(VLOOKUP($B238,'Round 4'!$F$2:$H$361,3,false),1)="b","W",if(LEFT(VLOOKUP($B238,'Round 4'!$F$2:$H$361,3,false),1)="a","L","")))</f>
        <v>L</v>
      </c>
      <c r="H238" s="67" t="str">
        <f>iferror(if(LEFT(VLOOKUP($B238,'Round 5'!$B$2:$H$361,7,false),1)="A","W",if(LEFT(VLOOKUP($B238,'Round 5'!$B$2:$H$361,7,false),1)="B","L","")),if(LEFT(VLOOKUP($B238,'Round 5'!$F$2:$H$361,3,false),1)="b","W",if(LEFT(VLOOKUP($B238,'Round 5'!$F$2:$H$361,3,false),1)="a","L","")))</f>
        <v>W</v>
      </c>
      <c r="I238" s="67" t="str">
        <f>iferror(if(LEFT(VLOOKUP($B238,'Round 6'!$B$2:$H$361,7,false),1)="A","W",if(LEFT(VLOOKUP($B238,'Round 6'!$B$2:$H$361,7,false),1)="B","L","")),if(LEFT(VLOOKUP($B238,'Round 6'!$F$2:$H$361,3,false),1)="b","W",if(LEFT(VLOOKUP($B238,'Round 6'!$F$2:$H$361,3,false),1)="a","L","")))</f>
        <v>L</v>
      </c>
      <c r="J238" s="67" t="str">
        <f>iferror(iferror(if(LEFT(VLOOKUP($B238,'Round 7'!$B$2:$H$361,7,false),1)="A","W",if(LEFT(VLOOKUP($B238,'Round 7'!$B$2:$H$361,7,false),1)="B","L","")),if(LEFT(VLOOKUP($B238,'Round 7'!$F$2:$H$361,3,false),1)="b","W",if(LEFT(VLOOKUP($B238,'Round 7'!$F$2:$H$361,3,false),1)="a","L",""))),"")</f>
        <v>L</v>
      </c>
      <c r="K238" s="68" t="str">
        <f>iferror(iferror(if(LEFT(VLOOKUP($B238,'Round 8'!$B$2:$H$361,7,false),1)="A","W",if(LEFT(VLOOKUP($B238,'Round 8'!$B$2:$H$361,7,false),1)="B","L","")),if(LEFT(VLOOKUP($B238,'Round 8'!$F$2:$H$361,3,false),1)="b","W",if(LEFT(VLOOKUP($B238,'Round 8'!$F$2:$H$361,3,false),1)="a","L",""))),"")</f>
        <v/>
      </c>
      <c r="L238" s="68" t="str">
        <f>iferror(iferror(if(LEFT(VLOOKUP($B238,'Round 9'!$B$2:$H$361,7,false),1)="A","W",if(LEFT(VLOOKUP($B238,'Round 9'!$B$2:$H$361,7,false),1)="B","L","")),if(LEFT(VLOOKUP($B238,'Round 9'!$F$2:$H$361,3,false),1)="b","W",if(LEFT(VLOOKUP($B238,'Round 9'!$F$2:$H$361,3,false),1)="a","L",""))),"")</f>
        <v/>
      </c>
      <c r="M238" s="68" t="str">
        <f>iferror(iferror(if(LEFT(VLOOKUP($B238,'Round 10'!$B$2:$H$362,7,false),1)="A","W",if(LEFT(VLOOKUP($B238,'Round 10'!$B$2:$H$362,7,false),1)="B","L","")),if(LEFT(VLOOKUP($B238,'Round 10'!$F$2:$H$362,3,false),1)="b","W",if(LEFT(VLOOKUP($B238,'Round 10'!$F$2:$H$362,3,false),1)="a","L",""))),"")</f>
        <v/>
      </c>
      <c r="N238" s="62" t="s">
        <v>545</v>
      </c>
    </row>
    <row r="239">
      <c r="A239" s="63">
        <v>238.0</v>
      </c>
      <c r="B239" s="64" t="s">
        <v>546</v>
      </c>
      <c r="C239" s="65" t="str">
        <f t="shared" si="1"/>
        <v>6 - 3</v>
      </c>
      <c r="D239" s="67" t="str">
        <f>iferror(if(LEFT(VLOOKUP($B239,'Round 1'!$B$2:$H$361,7,false),1)="A","W",if(LEFT(VLOOKUP($B239,'Round 1'!$B$2:$H$361,7,false),1)="B","L","")),if(LEFT(VLOOKUP($B239,'Round 1'!$F$2:$H$361,3,false),1)="b","W",if(LEFT(VLOOKUP($B239,'Round 1'!$F$2:$H$361,3,false),1)="a","L","")))</f>
        <v>W</v>
      </c>
      <c r="E239" s="67" t="str">
        <f>iferror(if(LEFT(VLOOKUP($B239,'Round 2'!$C$2:$J$361,8,false),1)="A","W",if(LEFT(VLOOKUP($B239,'Round 2'!$C$2:$J$361,8,false),1)="B","L","")),if(LEFT(VLOOKUP($B239,'Round 2'!$G$2:$J$361,4,false),1)="b","W",if(LEFT(VLOOKUP($B239,'Round 2'!$G$2:$J$361,4,false),1)="a","L","")))</f>
        <v>W</v>
      </c>
      <c r="F239" s="67" t="str">
        <f>iferror(if(LEFT(VLOOKUP($B239,'Round 3'!$B$2:$H$361,7,false),1)="A","W",if(LEFT(VLOOKUP($B239,'Round 3'!$B$2:$H$361,7,false),1)="B","L","")),if(LEFT(VLOOKUP($B239,'Round 3'!$F$2:$H$361,3,false),1)="b","W",if(LEFT(VLOOKUP($B239,'Round 3'!$F$2:$H$361,3,false),1)="a","L","")))</f>
        <v>L</v>
      </c>
      <c r="G239" s="67" t="str">
        <f>iferror(if(LEFT(VLOOKUP($B239,'Round 4'!$B$2:$H$361,7,false),1)="A","W",if(LEFT(VLOOKUP($B239,'Round 4'!$B$2:$H$361,7,false),1)="B","L","")),if(LEFT(VLOOKUP($B239,'Round 4'!$F$2:$H$361,3,false),1)="b","W",if(LEFT(VLOOKUP($B239,'Round 4'!$F$2:$H$361,3,false),1)="a","L","")))</f>
        <v>W</v>
      </c>
      <c r="H239" s="67" t="str">
        <f>iferror(if(LEFT(VLOOKUP($B239,'Round 5'!$B$2:$H$361,7,false),1)="A","W",if(LEFT(VLOOKUP($B239,'Round 5'!$B$2:$H$361,7,false),1)="B","L","")),if(LEFT(VLOOKUP($B239,'Round 5'!$F$2:$H$361,3,false),1)="b","W",if(LEFT(VLOOKUP($B239,'Round 5'!$F$2:$H$361,3,false),1)="a","L","")))</f>
        <v>W</v>
      </c>
      <c r="I239" s="67" t="str">
        <f>iferror(if(LEFT(VLOOKUP($B239,'Round 6'!$B$2:$H$361,7,false),1)="A","W",if(LEFT(VLOOKUP($B239,'Round 6'!$B$2:$H$361,7,false),1)="B","L","")),if(LEFT(VLOOKUP($B239,'Round 6'!$F$2:$H$361,3,false),1)="b","W",if(LEFT(VLOOKUP($B239,'Round 6'!$F$2:$H$361,3,false),1)="a","L","")))</f>
        <v>L</v>
      </c>
      <c r="J239" s="67" t="str">
        <f>iferror(iferror(if(LEFT(VLOOKUP($B239,'Round 7'!$B$2:$H$361,7,false),1)="A","W",if(LEFT(VLOOKUP($B239,'Round 7'!$B$2:$H$361,7,false),1)="B","L","")),if(LEFT(VLOOKUP($B239,'Round 7'!$F$2:$H$361,3,false),1)="b","W",if(LEFT(VLOOKUP($B239,'Round 7'!$F$2:$H$361,3,false),1)="a","L",""))),"")</f>
        <v>W</v>
      </c>
      <c r="K239" s="68" t="str">
        <f>iferror(iferror(if(LEFT(VLOOKUP($B239,'Round 8'!$B$2:$H$361,7,false),1)="A","W",if(LEFT(VLOOKUP($B239,'Round 8'!$B$2:$H$361,7,false),1)="B","L","")),if(LEFT(VLOOKUP($B239,'Round 8'!$F$2:$H$361,3,false),1)="b","W",if(LEFT(VLOOKUP($B239,'Round 8'!$F$2:$H$361,3,false),1)="a","L",""))),"")</f>
        <v>W</v>
      </c>
      <c r="L239" s="68" t="str">
        <f>iferror(iferror(if(LEFT(VLOOKUP($B239,'Round 9'!$B$2:$H$361,7,false),1)="A","W",if(LEFT(VLOOKUP($B239,'Round 9'!$B$2:$H$361,7,false),1)="B","L","")),if(LEFT(VLOOKUP($B239,'Round 9'!$F$2:$H$361,3,false),1)="b","W",if(LEFT(VLOOKUP($B239,'Round 9'!$F$2:$H$361,3,false),1)="a","L",""))),"")</f>
        <v>L</v>
      </c>
      <c r="M239" s="68" t="str">
        <f>iferror(iferror(if(LEFT(VLOOKUP($B239,'Round 10'!$B$2:$H$362,7,false),1)="A","W",if(LEFT(VLOOKUP($B239,'Round 10'!$B$2:$H$362,7,false),1)="B","L","")),if(LEFT(VLOOKUP($B239,'Round 10'!$F$2:$H$362,3,false),1)="b","W",if(LEFT(VLOOKUP($B239,'Round 10'!$F$2:$H$362,3,false),1)="a","L",""))),"")</f>
        <v/>
      </c>
      <c r="N239" s="62" t="s">
        <v>547</v>
      </c>
    </row>
    <row r="240">
      <c r="A240" s="63">
        <v>239.0</v>
      </c>
      <c r="B240" s="64" t="s">
        <v>548</v>
      </c>
      <c r="C240" s="65" t="str">
        <f t="shared" si="1"/>
        <v>1 - 3</v>
      </c>
      <c r="D240" s="67" t="str">
        <f>iferror(if(LEFT(VLOOKUP($B240,'Round 1'!$B$2:$H$361,7,false),1)="A","W",if(LEFT(VLOOKUP($B240,'Round 1'!$B$2:$H$361,7,false),1)="B","L","")),if(LEFT(VLOOKUP($B240,'Round 1'!$F$2:$H$361,3,false),1)="b","W",if(LEFT(VLOOKUP($B240,'Round 1'!$F$2:$H$361,3,false),1)="a","L","")))</f>
        <v>W</v>
      </c>
      <c r="E240" s="67" t="str">
        <f>iferror(if(LEFT(VLOOKUP($B240,'Round 2'!$C$2:$J$361,8,false),1)="A","W",if(LEFT(VLOOKUP($B240,'Round 2'!$C$2:$J$361,8,false),1)="B","L","")),if(LEFT(VLOOKUP($B240,'Round 2'!$G$2:$J$361,4,false),1)="b","W",if(LEFT(VLOOKUP($B240,'Round 2'!$G$2:$J$361,4,false),1)="a","L","")))</f>
        <v>L</v>
      </c>
      <c r="F240" s="67" t="str">
        <f>iferror(if(LEFT(VLOOKUP($B240,'Round 3'!$B$2:$H$361,7,false),1)="A","W",if(LEFT(VLOOKUP($B240,'Round 3'!$B$2:$H$361,7,false),1)="B","L","")),if(LEFT(VLOOKUP($B240,'Round 3'!$F$2:$H$361,3,false),1)="b","W",if(LEFT(VLOOKUP($B240,'Round 3'!$F$2:$H$361,3,false),1)="a","L","")))</f>
        <v>L</v>
      </c>
      <c r="G240" s="67" t="str">
        <f>iferror(if(LEFT(VLOOKUP($B240,'Round 4'!$B$2:$H$361,7,false),1)="A","W",if(LEFT(VLOOKUP($B240,'Round 4'!$B$2:$H$361,7,false),1)="B","L","")),if(LEFT(VLOOKUP($B240,'Round 4'!$F$2:$H$361,3,false),1)="b","W",if(LEFT(VLOOKUP($B240,'Round 4'!$F$2:$H$361,3,false),1)="a","L","")))</f>
        <v>L</v>
      </c>
      <c r="H240" s="67"/>
      <c r="I240" s="67"/>
      <c r="J240" s="67" t="str">
        <f>iferror(iferror(if(LEFT(VLOOKUP($B240,'Round 7'!$B$2:$H$361,7,false),1)="A","W",if(LEFT(VLOOKUP($B240,'Round 7'!$B$2:$H$361,7,false),1)="B","L","")),if(LEFT(VLOOKUP($B240,'Round 7'!$F$2:$H$361,3,false),1)="b","W",if(LEFT(VLOOKUP($B240,'Round 7'!$F$2:$H$361,3,false),1)="a","L",""))),"")</f>
        <v/>
      </c>
      <c r="K240" s="68" t="str">
        <f>iferror(iferror(if(LEFT(VLOOKUP($B240,'Round 8'!$B$2:$H$361,7,false),1)="A","W",if(LEFT(VLOOKUP($B240,'Round 8'!$B$2:$H$361,7,false),1)="B","L","")),if(LEFT(VLOOKUP($B240,'Round 8'!$F$2:$H$361,3,false),1)="b","W",if(LEFT(VLOOKUP($B240,'Round 8'!$F$2:$H$361,3,false),1)="a","L",""))),"")</f>
        <v/>
      </c>
      <c r="L240" s="68" t="str">
        <f>iferror(iferror(if(LEFT(VLOOKUP($B240,'Round 9'!$B$2:$H$361,7,false),1)="A","W",if(LEFT(VLOOKUP($B240,'Round 9'!$B$2:$H$361,7,false),1)="B","L","")),if(LEFT(VLOOKUP($B240,'Round 9'!$F$2:$H$361,3,false),1)="b","W",if(LEFT(VLOOKUP($B240,'Round 9'!$F$2:$H$361,3,false),1)="a","L",""))),"")</f>
        <v/>
      </c>
      <c r="M240" s="68" t="str">
        <f>iferror(iferror(if(LEFT(VLOOKUP($B240,'Round 10'!$B$2:$H$362,7,false),1)="A","W",if(LEFT(VLOOKUP($B240,'Round 10'!$B$2:$H$362,7,false),1)="B","L","")),if(LEFT(VLOOKUP($B240,'Round 10'!$F$2:$H$362,3,false),1)="b","W",if(LEFT(VLOOKUP($B240,'Round 10'!$F$2:$H$362,3,false),1)="a","L",""))),"")</f>
        <v/>
      </c>
      <c r="N240" s="62" t="s">
        <v>549</v>
      </c>
    </row>
    <row r="241">
      <c r="A241" s="63">
        <v>240.0</v>
      </c>
      <c r="B241" s="64" t="s">
        <v>550</v>
      </c>
      <c r="C241" s="65" t="str">
        <f t="shared" si="1"/>
        <v>3 - 3</v>
      </c>
      <c r="D241" s="67" t="str">
        <f>iferror(if(LEFT(VLOOKUP($B241,'Round 1'!$B$2:$H$361,7,false),1)="A","W",if(LEFT(VLOOKUP($B241,'Round 1'!$B$2:$H$361,7,false),1)="B","L","")),if(LEFT(VLOOKUP($B241,'Round 1'!$F$2:$H$361,3,false),1)="b","W",if(LEFT(VLOOKUP($B241,'Round 1'!$F$2:$H$361,3,false),1)="a","L","")))</f>
        <v>W</v>
      </c>
      <c r="E241" s="67" t="str">
        <f>iferror(if(LEFT(VLOOKUP($B241,'Round 2'!$C$2:$J$361,8,false),1)="A","W",if(LEFT(VLOOKUP($B241,'Round 2'!$C$2:$J$361,8,false),1)="B","L","")),if(LEFT(VLOOKUP($B241,'Round 2'!$G$2:$J$361,4,false),1)="b","W",if(LEFT(VLOOKUP($B241,'Round 2'!$G$2:$J$361,4,false),1)="a","L","")))</f>
        <v>W</v>
      </c>
      <c r="F241" s="67" t="str">
        <f>iferror(if(LEFT(VLOOKUP($B241,'Round 3'!$B$2:$H$361,7,false),1)="A","W",if(LEFT(VLOOKUP($B241,'Round 3'!$B$2:$H$361,7,false),1)="B","L","")),if(LEFT(VLOOKUP($B241,'Round 3'!$F$2:$H$361,3,false),1)="b","W",if(LEFT(VLOOKUP($B241,'Round 3'!$F$2:$H$361,3,false),1)="a","L","")))</f>
        <v>L</v>
      </c>
      <c r="G241" s="67" t="str">
        <f>iferror(if(LEFT(VLOOKUP($B241,'Round 4'!$B$2:$H$361,7,false),1)="A","W",if(LEFT(VLOOKUP($B241,'Round 4'!$B$2:$H$361,7,false),1)="B","L","")),if(LEFT(VLOOKUP($B241,'Round 4'!$F$2:$H$361,3,false),1)="b","W",if(LEFT(VLOOKUP($B241,'Round 4'!$F$2:$H$361,3,false),1)="a","L","")))</f>
        <v>W</v>
      </c>
      <c r="H241" s="67" t="str">
        <f>iferror(if(LEFT(VLOOKUP($B241,'Round 5'!$B$2:$H$361,7,false),1)="A","W",if(LEFT(VLOOKUP($B241,'Round 5'!$B$2:$H$361,7,false),1)="B","L","")),if(LEFT(VLOOKUP($B241,'Round 5'!$F$2:$H$361,3,false),1)="b","W",if(LEFT(VLOOKUP($B241,'Round 5'!$F$2:$H$361,3,false),1)="a","L","")))</f>
        <v>L</v>
      </c>
      <c r="I241" s="67" t="str">
        <f>iferror(if(LEFT(VLOOKUP($B241,'Round 6'!$B$2:$H$361,7,false),1)="A","W",if(LEFT(VLOOKUP($B241,'Round 6'!$B$2:$H$361,7,false),1)="B","L","")),if(LEFT(VLOOKUP($B241,'Round 6'!$F$2:$H$361,3,false),1)="b","W",if(LEFT(VLOOKUP($B241,'Round 6'!$F$2:$H$361,3,false),1)="a","L","")))</f>
        <v>L</v>
      </c>
      <c r="J241" s="67" t="str">
        <f>iferror(iferror(if(LEFT(VLOOKUP($B241,'Round 7'!$B$2:$H$361,7,false),1)="A","W",if(LEFT(VLOOKUP($B241,'Round 7'!$B$2:$H$361,7,false),1)="B","L","")),if(LEFT(VLOOKUP($B241,'Round 7'!$F$2:$H$361,3,false),1)="b","W",if(LEFT(VLOOKUP($B241,'Round 7'!$F$2:$H$361,3,false),1)="a","L",""))),"")</f>
        <v/>
      </c>
      <c r="K241" s="68" t="str">
        <f>iferror(iferror(if(LEFT(VLOOKUP($B241,'Round 8'!$B$2:$H$361,7,false),1)="A","W",if(LEFT(VLOOKUP($B241,'Round 8'!$B$2:$H$361,7,false),1)="B","L","")),if(LEFT(VLOOKUP($B241,'Round 8'!$F$2:$H$361,3,false),1)="b","W",if(LEFT(VLOOKUP($B241,'Round 8'!$F$2:$H$361,3,false),1)="a","L",""))),"")</f>
        <v/>
      </c>
      <c r="L241" s="68" t="str">
        <f>iferror(iferror(if(LEFT(VLOOKUP($B241,'Round 9'!$B$2:$H$361,7,false),1)="A","W",if(LEFT(VLOOKUP($B241,'Round 9'!$B$2:$H$361,7,false),1)="B","L","")),if(LEFT(VLOOKUP($B241,'Round 9'!$F$2:$H$361,3,false),1)="b","W",if(LEFT(VLOOKUP($B241,'Round 9'!$F$2:$H$361,3,false),1)="a","L",""))),"")</f>
        <v/>
      </c>
      <c r="M241" s="68" t="str">
        <f>iferror(iferror(if(LEFT(VLOOKUP($B241,'Round 10'!$B$2:$H$362,7,false),1)="A","W",if(LEFT(VLOOKUP($B241,'Round 10'!$B$2:$H$362,7,false),1)="B","L","")),if(LEFT(VLOOKUP($B241,'Round 10'!$F$2:$H$362,3,false),1)="b","W",if(LEFT(VLOOKUP($B241,'Round 10'!$F$2:$H$362,3,false),1)="a","L",""))),"")</f>
        <v/>
      </c>
      <c r="N241" s="62" t="s">
        <v>551</v>
      </c>
    </row>
    <row r="242">
      <c r="A242" s="63">
        <v>241.0</v>
      </c>
      <c r="B242" s="64" t="s">
        <v>552</v>
      </c>
      <c r="C242" s="65" t="str">
        <f t="shared" si="1"/>
        <v>1 - 3</v>
      </c>
      <c r="D242" s="67" t="str">
        <f>iferror(if(LEFT(VLOOKUP($B242,'Round 1'!$B$2:$H$361,7,false),1)="A","W",if(LEFT(VLOOKUP($B242,'Round 1'!$B$2:$H$361,7,false),1)="B","L","")),if(LEFT(VLOOKUP($B242,'Round 1'!$F$2:$H$361,3,false),1)="b","W",if(LEFT(VLOOKUP($B242,'Round 1'!$F$2:$H$361,3,false),1)="a","L","")))</f>
        <v>W</v>
      </c>
      <c r="E242" s="67" t="str">
        <f>iferror(if(LEFT(VLOOKUP($B242,'Round 2'!$C$2:$J$361,8,false),1)="A","W",if(LEFT(VLOOKUP($B242,'Round 2'!$C$2:$J$361,8,false),1)="B","L","")),if(LEFT(VLOOKUP($B242,'Round 2'!$G$2:$J$361,4,false),1)="b","W",if(LEFT(VLOOKUP($B242,'Round 2'!$G$2:$J$361,4,false),1)="a","L","")))</f>
        <v>L</v>
      </c>
      <c r="F242" s="67" t="str">
        <f>iferror(if(LEFT(VLOOKUP($B242,'Round 3'!$B$2:$H$361,7,false),1)="A","W",if(LEFT(VLOOKUP($B242,'Round 3'!$B$2:$H$361,7,false),1)="B","L","")),if(LEFT(VLOOKUP($B242,'Round 3'!$F$2:$H$361,3,false),1)="b","W",if(LEFT(VLOOKUP($B242,'Round 3'!$F$2:$H$361,3,false),1)="a","L","")))</f>
        <v>L</v>
      </c>
      <c r="G242" s="67" t="str">
        <f>iferror(if(LEFT(VLOOKUP($B242,'Round 4'!$B$2:$H$361,7,false),1)="A","W",if(LEFT(VLOOKUP($B242,'Round 4'!$B$2:$H$361,7,false),1)="B","L","")),if(LEFT(VLOOKUP($B242,'Round 4'!$F$2:$H$361,3,false),1)="b","W",if(LEFT(VLOOKUP($B242,'Round 4'!$F$2:$H$361,3,false),1)="a","L","")))</f>
        <v>L</v>
      </c>
      <c r="H242" s="67"/>
      <c r="I242" s="67"/>
      <c r="J242" s="67" t="str">
        <f>iferror(iferror(if(LEFT(VLOOKUP($B242,'Round 7'!$B$2:$H$361,7,false),1)="A","W",if(LEFT(VLOOKUP($B242,'Round 7'!$B$2:$H$361,7,false),1)="B","L","")),if(LEFT(VLOOKUP($B242,'Round 7'!$F$2:$H$361,3,false),1)="b","W",if(LEFT(VLOOKUP($B242,'Round 7'!$F$2:$H$361,3,false),1)="a","L",""))),"")</f>
        <v/>
      </c>
      <c r="K242" s="68" t="str">
        <f>iferror(iferror(if(LEFT(VLOOKUP($B242,'Round 8'!$B$2:$H$361,7,false),1)="A","W",if(LEFT(VLOOKUP($B242,'Round 8'!$B$2:$H$361,7,false),1)="B","L","")),if(LEFT(VLOOKUP($B242,'Round 8'!$F$2:$H$361,3,false),1)="b","W",if(LEFT(VLOOKUP($B242,'Round 8'!$F$2:$H$361,3,false),1)="a","L",""))),"")</f>
        <v/>
      </c>
      <c r="L242" s="68" t="str">
        <f>iferror(iferror(if(LEFT(VLOOKUP($B242,'Round 9'!$B$2:$H$361,7,false),1)="A","W",if(LEFT(VLOOKUP($B242,'Round 9'!$B$2:$H$361,7,false),1)="B","L","")),if(LEFT(VLOOKUP($B242,'Round 9'!$F$2:$H$361,3,false),1)="b","W",if(LEFT(VLOOKUP($B242,'Round 9'!$F$2:$H$361,3,false),1)="a","L",""))),"")</f>
        <v/>
      </c>
      <c r="M242" s="68" t="str">
        <f>iferror(iferror(if(LEFT(VLOOKUP($B242,'Round 10'!$B$2:$H$362,7,false),1)="A","W",if(LEFT(VLOOKUP($B242,'Round 10'!$B$2:$H$362,7,false),1)="B","L","")),if(LEFT(VLOOKUP($B242,'Round 10'!$F$2:$H$362,3,false),1)="b","W",if(LEFT(VLOOKUP($B242,'Round 10'!$F$2:$H$362,3,false),1)="a","L",""))),"")</f>
        <v/>
      </c>
      <c r="N242" s="62" t="s">
        <v>553</v>
      </c>
    </row>
    <row r="243">
      <c r="A243" s="63">
        <v>242.0</v>
      </c>
      <c r="B243" s="64" t="s">
        <v>554</v>
      </c>
      <c r="C243" s="65" t="str">
        <f t="shared" si="1"/>
        <v>0 - 3</v>
      </c>
      <c r="D243" s="67" t="str">
        <f>iferror(if(LEFT(VLOOKUP($B243,'Round 1'!$B$2:$H$361,7,false),1)="A","W",if(LEFT(VLOOKUP($B243,'Round 1'!$B$2:$H$361,7,false),1)="B","L","")),if(LEFT(VLOOKUP($B243,'Round 1'!$F$2:$H$361,3,false),1)="b","W",if(LEFT(VLOOKUP($B243,'Round 1'!$F$2:$H$361,3,false),1)="a","L","")))</f>
        <v>L</v>
      </c>
      <c r="E243" s="67" t="str">
        <f>iferror(if(LEFT(VLOOKUP($B243,'Round 2'!$C$2:$J$361,8,false),1)="A","W",if(LEFT(VLOOKUP($B243,'Round 2'!$C$2:$J$361,8,false),1)="B","L","")),if(LEFT(VLOOKUP($B243,'Round 2'!$G$2:$J$361,4,false),1)="b","W",if(LEFT(VLOOKUP($B243,'Round 2'!$G$2:$J$361,4,false),1)="a","L","")))</f>
        <v>L</v>
      </c>
      <c r="F243" s="67" t="str">
        <f>iferror(if(LEFT(VLOOKUP($B243,'Round 3'!$B$2:$H$361,7,false),1)="A","W",if(LEFT(VLOOKUP($B243,'Round 3'!$B$2:$H$361,7,false),1)="B","L","")),if(LEFT(VLOOKUP($B243,'Round 3'!$F$2:$H$361,3,false),1)="b","W",if(LEFT(VLOOKUP($B243,'Round 3'!$F$2:$H$361,3,false),1)="a","L","")))</f>
        <v>L</v>
      </c>
      <c r="G243" s="67"/>
      <c r="H243" s="67"/>
      <c r="I243" s="67"/>
      <c r="J243" s="67" t="str">
        <f>iferror(iferror(if(LEFT(VLOOKUP($B243,'Round 7'!$B$2:$H$361,7,false),1)="A","W",if(LEFT(VLOOKUP($B243,'Round 7'!$B$2:$H$361,7,false),1)="B","L","")),if(LEFT(VLOOKUP($B243,'Round 7'!$F$2:$H$361,3,false),1)="b","W",if(LEFT(VLOOKUP($B243,'Round 7'!$F$2:$H$361,3,false),1)="a","L",""))),"")</f>
        <v/>
      </c>
      <c r="K243" s="68" t="str">
        <f>iferror(iferror(if(LEFT(VLOOKUP($B243,'Round 8'!$B$2:$H$361,7,false),1)="A","W",if(LEFT(VLOOKUP($B243,'Round 8'!$B$2:$H$361,7,false),1)="B","L","")),if(LEFT(VLOOKUP($B243,'Round 8'!$F$2:$H$361,3,false),1)="b","W",if(LEFT(VLOOKUP($B243,'Round 8'!$F$2:$H$361,3,false),1)="a","L",""))),"")</f>
        <v/>
      </c>
      <c r="L243" s="68" t="str">
        <f>iferror(iferror(if(LEFT(VLOOKUP($B243,'Round 9'!$B$2:$H$361,7,false),1)="A","W",if(LEFT(VLOOKUP($B243,'Round 9'!$B$2:$H$361,7,false),1)="B","L","")),if(LEFT(VLOOKUP($B243,'Round 9'!$F$2:$H$361,3,false),1)="b","W",if(LEFT(VLOOKUP($B243,'Round 9'!$F$2:$H$361,3,false),1)="a","L",""))),"")</f>
        <v/>
      </c>
      <c r="M243" s="68" t="str">
        <f>iferror(iferror(if(LEFT(VLOOKUP($B243,'Round 10'!$B$2:$H$362,7,false),1)="A","W",if(LEFT(VLOOKUP($B243,'Round 10'!$B$2:$H$362,7,false),1)="B","L","")),if(LEFT(VLOOKUP($B243,'Round 10'!$F$2:$H$362,3,false),1)="b","W",if(LEFT(VLOOKUP($B243,'Round 10'!$F$2:$H$362,3,false),1)="a","L",""))),"")</f>
        <v/>
      </c>
      <c r="N243" s="62" t="s">
        <v>555</v>
      </c>
    </row>
    <row r="244">
      <c r="A244" s="63">
        <v>243.0</v>
      </c>
      <c r="B244" s="64" t="s">
        <v>556</v>
      </c>
      <c r="C244" s="65" t="str">
        <f t="shared" si="1"/>
        <v>2 - 3</v>
      </c>
      <c r="D244" s="67" t="str">
        <f>iferror(if(LEFT(VLOOKUP($B244,'Round 1'!$B$2:$H$361,7,false),1)="A","W",if(LEFT(VLOOKUP($B244,'Round 1'!$B$2:$H$361,7,false),1)="B","L","")),if(LEFT(VLOOKUP($B244,'Round 1'!$F$2:$H$361,3,false),1)="b","W",if(LEFT(VLOOKUP($B244,'Round 1'!$F$2:$H$361,3,false),1)="a","L","")))</f>
        <v>W</v>
      </c>
      <c r="E244" s="67" t="str">
        <f>iferror(if(LEFT(VLOOKUP($B244,'Round 2'!$C$2:$J$361,8,false),1)="A","W",if(LEFT(VLOOKUP($B244,'Round 2'!$C$2:$J$361,8,false),1)="B","L","")),if(LEFT(VLOOKUP($B244,'Round 2'!$G$2:$J$361,4,false),1)="b","W",if(LEFT(VLOOKUP($B244,'Round 2'!$G$2:$J$361,4,false),1)="a","L","")))</f>
        <v>W</v>
      </c>
      <c r="F244" s="67" t="str">
        <f>iferror(if(LEFT(VLOOKUP($B244,'Round 3'!$B$2:$H$361,7,false),1)="A","W",if(LEFT(VLOOKUP($B244,'Round 3'!$B$2:$H$361,7,false),1)="B","L","")),if(LEFT(VLOOKUP($B244,'Round 3'!$F$2:$H$361,3,false),1)="b","W",if(LEFT(VLOOKUP($B244,'Round 3'!$F$2:$H$361,3,false),1)="a","L","")))</f>
        <v>L</v>
      </c>
      <c r="G244" s="67" t="str">
        <f>iferror(if(LEFT(VLOOKUP($B244,'Round 4'!$B$2:$H$361,7,false),1)="A","W",if(LEFT(VLOOKUP($B244,'Round 4'!$B$2:$H$361,7,false),1)="B","L","")),if(LEFT(VLOOKUP($B244,'Round 4'!$F$2:$H$361,3,false),1)="b","W",if(LEFT(VLOOKUP($B244,'Round 4'!$F$2:$H$361,3,false),1)="a","L","")))</f>
        <v>L</v>
      </c>
      <c r="H244" s="67" t="str">
        <f>iferror(if(LEFT(VLOOKUP($B244,'Round 5'!$B$2:$H$361,7,false),1)="A","W",if(LEFT(VLOOKUP($B244,'Round 5'!$B$2:$H$361,7,false),1)="B","L","")),if(LEFT(VLOOKUP($B244,'Round 5'!$F$2:$H$361,3,false),1)="b","W",if(LEFT(VLOOKUP($B244,'Round 5'!$F$2:$H$361,3,false),1)="a","L","")))</f>
        <v>L</v>
      </c>
      <c r="I244" s="67"/>
      <c r="J244" s="67" t="str">
        <f>iferror(iferror(if(LEFT(VLOOKUP($B244,'Round 7'!$B$2:$H$361,7,false),1)="A","W",if(LEFT(VLOOKUP($B244,'Round 7'!$B$2:$H$361,7,false),1)="B","L","")),if(LEFT(VLOOKUP($B244,'Round 7'!$F$2:$H$361,3,false),1)="b","W",if(LEFT(VLOOKUP($B244,'Round 7'!$F$2:$H$361,3,false),1)="a","L",""))),"")</f>
        <v/>
      </c>
      <c r="K244" s="68" t="str">
        <f>iferror(iferror(if(LEFT(VLOOKUP($B244,'Round 8'!$B$2:$H$361,7,false),1)="A","W",if(LEFT(VLOOKUP($B244,'Round 8'!$B$2:$H$361,7,false),1)="B","L","")),if(LEFT(VLOOKUP($B244,'Round 8'!$F$2:$H$361,3,false),1)="b","W",if(LEFT(VLOOKUP($B244,'Round 8'!$F$2:$H$361,3,false),1)="a","L",""))),"")</f>
        <v/>
      </c>
      <c r="L244" s="68" t="str">
        <f>iferror(iferror(if(LEFT(VLOOKUP($B244,'Round 9'!$B$2:$H$361,7,false),1)="A","W",if(LEFT(VLOOKUP($B244,'Round 9'!$B$2:$H$361,7,false),1)="B","L","")),if(LEFT(VLOOKUP($B244,'Round 9'!$F$2:$H$361,3,false),1)="b","W",if(LEFT(VLOOKUP($B244,'Round 9'!$F$2:$H$361,3,false),1)="a","L",""))),"")</f>
        <v/>
      </c>
      <c r="M244" s="68" t="str">
        <f>iferror(iferror(if(LEFT(VLOOKUP($B244,'Round 10'!$B$2:$H$362,7,false),1)="A","W",if(LEFT(VLOOKUP($B244,'Round 10'!$B$2:$H$362,7,false),1)="B","L","")),if(LEFT(VLOOKUP($B244,'Round 10'!$F$2:$H$362,3,false),1)="b","W",if(LEFT(VLOOKUP($B244,'Round 10'!$F$2:$H$362,3,false),1)="a","L",""))),"")</f>
        <v/>
      </c>
      <c r="N244" s="62" t="s">
        <v>557</v>
      </c>
    </row>
    <row r="245">
      <c r="A245" s="63">
        <v>244.0</v>
      </c>
      <c r="B245" s="64" t="s">
        <v>558</v>
      </c>
      <c r="C245" s="65" t="str">
        <f t="shared" si="1"/>
        <v>2 - 3</v>
      </c>
      <c r="D245" s="67" t="str">
        <f>iferror(if(LEFT(VLOOKUP($B245,'Round 1'!$B$2:$H$361,7,false),1)="A","W",if(LEFT(VLOOKUP($B245,'Round 1'!$B$2:$H$361,7,false),1)="B","L","")),if(LEFT(VLOOKUP($B245,'Round 1'!$F$2:$H$361,3,false),1)="b","W",if(LEFT(VLOOKUP($B245,'Round 1'!$F$2:$H$361,3,false),1)="a","L","")))</f>
        <v>W</v>
      </c>
      <c r="E245" s="67" t="str">
        <f>iferror(if(LEFT(VLOOKUP($B245,'Round 2'!$C$2:$J$361,8,false),1)="A","W",if(LEFT(VLOOKUP($B245,'Round 2'!$C$2:$J$361,8,false),1)="B","L","")),if(LEFT(VLOOKUP($B245,'Round 2'!$G$2:$J$361,4,false),1)="b","W",if(LEFT(VLOOKUP($B245,'Round 2'!$G$2:$J$361,4,false),1)="a","L","")))</f>
        <v>L</v>
      </c>
      <c r="F245" s="67" t="str">
        <f>iferror(if(LEFT(VLOOKUP($B245,'Round 3'!$B$2:$H$361,7,false),1)="A","W",if(LEFT(VLOOKUP($B245,'Round 3'!$B$2:$H$361,7,false),1)="B","L","")),if(LEFT(VLOOKUP($B245,'Round 3'!$F$2:$H$361,3,false),1)="b","W",if(LEFT(VLOOKUP($B245,'Round 3'!$F$2:$H$361,3,false),1)="a","L","")))</f>
        <v>L</v>
      </c>
      <c r="G245" s="67" t="str">
        <f>iferror(if(LEFT(VLOOKUP($B245,'Round 4'!$B$2:$H$361,7,false),1)="A","W",if(LEFT(VLOOKUP($B245,'Round 4'!$B$2:$H$361,7,false),1)="B","L","")),if(LEFT(VLOOKUP($B245,'Round 4'!$F$2:$H$361,3,false),1)="b","W",if(LEFT(VLOOKUP($B245,'Round 4'!$F$2:$H$361,3,false),1)="a","L","")))</f>
        <v>W</v>
      </c>
      <c r="H245" s="67" t="str">
        <f>iferror(if(LEFT(VLOOKUP($B245,'Round 5'!$B$2:$H$361,7,false),1)="A","W",if(LEFT(VLOOKUP($B245,'Round 5'!$B$2:$H$361,7,false),1)="B","L","")),if(LEFT(VLOOKUP($B245,'Round 5'!$F$2:$H$361,3,false),1)="b","W",if(LEFT(VLOOKUP($B245,'Round 5'!$F$2:$H$361,3,false),1)="a","L","")))</f>
        <v>L</v>
      </c>
      <c r="I245" s="67"/>
      <c r="J245" s="67" t="str">
        <f>iferror(iferror(if(LEFT(VLOOKUP($B245,'Round 7'!$B$2:$H$361,7,false),1)="A","W",if(LEFT(VLOOKUP($B245,'Round 7'!$B$2:$H$361,7,false),1)="B","L","")),if(LEFT(VLOOKUP($B245,'Round 7'!$F$2:$H$361,3,false),1)="b","W",if(LEFT(VLOOKUP($B245,'Round 7'!$F$2:$H$361,3,false),1)="a","L",""))),"")</f>
        <v/>
      </c>
      <c r="K245" s="68" t="str">
        <f>iferror(iferror(if(LEFT(VLOOKUP($B245,'Round 8'!$B$2:$H$361,7,false),1)="A","W",if(LEFT(VLOOKUP($B245,'Round 8'!$B$2:$H$361,7,false),1)="B","L","")),if(LEFT(VLOOKUP($B245,'Round 8'!$F$2:$H$361,3,false),1)="b","W",if(LEFT(VLOOKUP($B245,'Round 8'!$F$2:$H$361,3,false),1)="a","L",""))),"")</f>
        <v/>
      </c>
      <c r="L245" s="68" t="str">
        <f>iferror(iferror(if(LEFT(VLOOKUP($B245,'Round 9'!$B$2:$H$361,7,false),1)="A","W",if(LEFT(VLOOKUP($B245,'Round 9'!$B$2:$H$361,7,false),1)="B","L","")),if(LEFT(VLOOKUP($B245,'Round 9'!$F$2:$H$361,3,false),1)="b","W",if(LEFT(VLOOKUP($B245,'Round 9'!$F$2:$H$361,3,false),1)="a","L",""))),"")</f>
        <v/>
      </c>
      <c r="M245" s="68" t="str">
        <f>iferror(iferror(if(LEFT(VLOOKUP($B245,'Round 10'!$B$2:$H$362,7,false),1)="A","W",if(LEFT(VLOOKUP($B245,'Round 10'!$B$2:$H$362,7,false),1)="B","L","")),if(LEFT(VLOOKUP($B245,'Round 10'!$F$2:$H$362,3,false),1)="b","W",if(LEFT(VLOOKUP($B245,'Round 10'!$F$2:$H$362,3,false),1)="a","L",""))),"")</f>
        <v/>
      </c>
      <c r="N245" s="62" t="s">
        <v>559</v>
      </c>
    </row>
    <row r="246">
      <c r="A246" s="63">
        <v>245.0</v>
      </c>
      <c r="B246" s="64" t="s">
        <v>560</v>
      </c>
      <c r="C246" s="65" t="str">
        <f t="shared" si="1"/>
        <v>6 - 3</v>
      </c>
      <c r="D246" s="67" t="str">
        <f>iferror(if(LEFT(VLOOKUP($B246,'Round 1'!$B$2:$H$361,7,false),1)="A","W",if(LEFT(VLOOKUP($B246,'Round 1'!$B$2:$H$361,7,false),1)="B","L","")),if(LEFT(VLOOKUP($B246,'Round 1'!$F$2:$H$361,3,false),1)="b","W",if(LEFT(VLOOKUP($B246,'Round 1'!$F$2:$H$361,3,false),1)="a","L","")))</f>
        <v>W</v>
      </c>
      <c r="E246" s="67" t="str">
        <f>iferror(if(LEFT(VLOOKUP($B246,'Round 2'!$C$2:$J$361,8,false),1)="A","W",if(LEFT(VLOOKUP($B246,'Round 2'!$C$2:$J$361,8,false),1)="B","L","")),if(LEFT(VLOOKUP($B246,'Round 2'!$G$2:$J$361,4,false),1)="b","W",if(LEFT(VLOOKUP($B246,'Round 2'!$G$2:$J$361,4,false),1)="a","L","")))</f>
        <v>L</v>
      </c>
      <c r="F246" s="67" t="str">
        <f>iferror(if(LEFT(VLOOKUP($B246,'Round 3'!$B$2:$H$361,7,false),1)="A","W",if(LEFT(VLOOKUP($B246,'Round 3'!$B$2:$H$361,7,false),1)="B","L","")),if(LEFT(VLOOKUP($B246,'Round 3'!$F$2:$H$361,3,false),1)="b","W",if(LEFT(VLOOKUP($B246,'Round 3'!$F$2:$H$361,3,false),1)="a","L","")))</f>
        <v>W</v>
      </c>
      <c r="G246" s="67" t="str">
        <f>iferror(if(LEFT(VLOOKUP($B246,'Round 4'!$B$2:$H$361,7,false),1)="A","W",if(LEFT(VLOOKUP($B246,'Round 4'!$B$2:$H$361,7,false),1)="B","L","")),if(LEFT(VLOOKUP($B246,'Round 4'!$F$2:$H$361,3,false),1)="b","W",if(LEFT(VLOOKUP($B246,'Round 4'!$F$2:$H$361,3,false),1)="a","L","")))</f>
        <v>W</v>
      </c>
      <c r="H246" s="67" t="str">
        <f>iferror(if(LEFT(VLOOKUP($B246,'Round 5'!$B$2:$H$361,7,false),1)="A","W",if(LEFT(VLOOKUP($B246,'Round 5'!$B$2:$H$361,7,false),1)="B","L","")),if(LEFT(VLOOKUP($B246,'Round 5'!$F$2:$H$361,3,false),1)="b","W",if(LEFT(VLOOKUP($B246,'Round 5'!$F$2:$H$361,3,false),1)="a","L","")))</f>
        <v>W</v>
      </c>
      <c r="I246" s="67" t="str">
        <f>iferror(if(LEFT(VLOOKUP($B246,'Round 6'!$B$2:$H$361,7,false),1)="A","W",if(LEFT(VLOOKUP($B246,'Round 6'!$B$2:$H$361,7,false),1)="B","L","")),if(LEFT(VLOOKUP($B246,'Round 6'!$F$2:$H$361,3,false),1)="b","W",if(LEFT(VLOOKUP($B246,'Round 6'!$F$2:$H$361,3,false),1)="a","L","")))</f>
        <v>W</v>
      </c>
      <c r="J246" s="67" t="str">
        <f>iferror(iferror(if(LEFT(VLOOKUP($B246,'Round 7'!$B$2:$H$361,7,false),1)="A","W",if(LEFT(VLOOKUP($B246,'Round 7'!$B$2:$H$361,7,false),1)="B","L","")),if(LEFT(VLOOKUP($B246,'Round 7'!$F$2:$H$361,3,false),1)="b","W",if(LEFT(VLOOKUP($B246,'Round 7'!$F$2:$H$361,3,false),1)="a","L",""))),"")</f>
        <v>L</v>
      </c>
      <c r="K246" s="68" t="str">
        <f>iferror(iferror(if(LEFT(VLOOKUP($B246,'Round 8'!$B$2:$H$361,7,false),1)="A","W",if(LEFT(VLOOKUP($B246,'Round 8'!$B$2:$H$361,7,false),1)="B","L","")),if(LEFT(VLOOKUP($B246,'Round 8'!$F$2:$H$361,3,false),1)="b","W",if(LEFT(VLOOKUP($B246,'Round 8'!$F$2:$H$361,3,false),1)="a","L",""))),"")</f>
        <v>W</v>
      </c>
      <c r="L246" s="68" t="str">
        <f>iferror(iferror(if(LEFT(VLOOKUP($B246,'Round 9'!$B$2:$H$361,7,false),1)="A","W",if(LEFT(VLOOKUP($B246,'Round 9'!$B$2:$H$361,7,false),1)="B","L","")),if(LEFT(VLOOKUP($B246,'Round 9'!$F$2:$H$361,3,false),1)="b","W",if(LEFT(VLOOKUP($B246,'Round 9'!$F$2:$H$361,3,false),1)="a","L",""))),"")</f>
        <v>L</v>
      </c>
      <c r="M246" s="68" t="str">
        <f>iferror(iferror(if(LEFT(VLOOKUP($B246,'Round 10'!$B$2:$H$362,7,false),1)="A","W",if(LEFT(VLOOKUP($B246,'Round 10'!$B$2:$H$362,7,false),1)="B","L","")),if(LEFT(VLOOKUP($B246,'Round 10'!$F$2:$H$362,3,false),1)="b","W",if(LEFT(VLOOKUP($B246,'Round 10'!$F$2:$H$362,3,false),1)="a","L",""))),"")</f>
        <v/>
      </c>
      <c r="N246" s="62" t="s">
        <v>561</v>
      </c>
    </row>
    <row r="247">
      <c r="A247" s="63">
        <v>246.0</v>
      </c>
      <c r="B247" s="64" t="s">
        <v>562</v>
      </c>
      <c r="C247" s="65" t="str">
        <f t="shared" si="1"/>
        <v>0 - 3</v>
      </c>
      <c r="D247" s="67" t="str">
        <f>iferror(if(LEFT(VLOOKUP($B247,'Round 1'!$B$2:$H$361,7,false),1)="A","W",if(LEFT(VLOOKUP($B247,'Round 1'!$B$2:$H$361,7,false),1)="B","L","")),if(LEFT(VLOOKUP($B247,'Round 1'!$F$2:$H$361,3,false),1)="b","W",if(LEFT(VLOOKUP($B247,'Round 1'!$F$2:$H$361,3,false),1)="a","L","")))</f>
        <v>L</v>
      </c>
      <c r="E247" s="67" t="str">
        <f>iferror(if(LEFT(VLOOKUP($B247,'Round 2'!$C$2:$J$361,8,false),1)="A","W",if(LEFT(VLOOKUP($B247,'Round 2'!$C$2:$J$361,8,false),1)="B","L","")),if(LEFT(VLOOKUP($B247,'Round 2'!$G$2:$J$361,4,false),1)="b","W",if(LEFT(VLOOKUP($B247,'Round 2'!$G$2:$J$361,4,false),1)="a","L","")))</f>
        <v>L</v>
      </c>
      <c r="F247" s="67" t="str">
        <f>iferror(if(LEFT(VLOOKUP($B247,'Round 3'!$B$2:$H$361,7,false),1)="A","W",if(LEFT(VLOOKUP($B247,'Round 3'!$B$2:$H$361,7,false),1)="B","L","")),if(LEFT(VLOOKUP($B247,'Round 3'!$F$2:$H$361,3,false),1)="b","W",if(LEFT(VLOOKUP($B247,'Round 3'!$F$2:$H$361,3,false),1)="a","L","")))</f>
        <v>L</v>
      </c>
      <c r="G247" s="67"/>
      <c r="H247" s="67"/>
      <c r="I247" s="67"/>
      <c r="J247" s="67" t="str">
        <f>iferror(iferror(if(LEFT(VLOOKUP($B247,'Round 7'!$B$2:$H$361,7,false),1)="A","W",if(LEFT(VLOOKUP($B247,'Round 7'!$B$2:$H$361,7,false),1)="B","L","")),if(LEFT(VLOOKUP($B247,'Round 7'!$F$2:$H$361,3,false),1)="b","W",if(LEFT(VLOOKUP($B247,'Round 7'!$F$2:$H$361,3,false),1)="a","L",""))),"")</f>
        <v/>
      </c>
      <c r="K247" s="68" t="str">
        <f>iferror(iferror(if(LEFT(VLOOKUP($B247,'Round 8'!$B$2:$H$361,7,false),1)="A","W",if(LEFT(VLOOKUP($B247,'Round 8'!$B$2:$H$361,7,false),1)="B","L","")),if(LEFT(VLOOKUP($B247,'Round 8'!$F$2:$H$361,3,false),1)="b","W",if(LEFT(VLOOKUP($B247,'Round 8'!$F$2:$H$361,3,false),1)="a","L",""))),"")</f>
        <v/>
      </c>
      <c r="L247" s="68" t="str">
        <f>iferror(iferror(if(LEFT(VLOOKUP($B247,'Round 9'!$B$2:$H$361,7,false),1)="A","W",if(LEFT(VLOOKUP($B247,'Round 9'!$B$2:$H$361,7,false),1)="B","L","")),if(LEFT(VLOOKUP($B247,'Round 9'!$F$2:$H$361,3,false),1)="b","W",if(LEFT(VLOOKUP($B247,'Round 9'!$F$2:$H$361,3,false),1)="a","L",""))),"")</f>
        <v/>
      </c>
      <c r="M247" s="68" t="str">
        <f>iferror(iferror(if(LEFT(VLOOKUP($B247,'Round 10'!$B$2:$H$362,7,false),1)="A","W",if(LEFT(VLOOKUP($B247,'Round 10'!$B$2:$H$362,7,false),1)="B","L","")),if(LEFT(VLOOKUP($B247,'Round 10'!$F$2:$H$362,3,false),1)="b","W",if(LEFT(VLOOKUP($B247,'Round 10'!$F$2:$H$362,3,false),1)="a","L",""))),"")</f>
        <v/>
      </c>
      <c r="N247" s="72" t="s">
        <v>144</v>
      </c>
    </row>
    <row r="248">
      <c r="A248" s="63">
        <v>247.0</v>
      </c>
      <c r="B248" s="64" t="s">
        <v>563</v>
      </c>
      <c r="C248" s="65" t="str">
        <f t="shared" si="1"/>
        <v>6 - 3</v>
      </c>
      <c r="D248" s="67" t="str">
        <f>iferror(if(LEFT(VLOOKUP($B248,'Round 1'!$B$2:$H$361,7,false),1)="A","W",if(LEFT(VLOOKUP($B248,'Round 1'!$B$2:$H$361,7,false),1)="B","L","")),if(LEFT(VLOOKUP($B248,'Round 1'!$F$2:$H$361,3,false),1)="b","W",if(LEFT(VLOOKUP($B248,'Round 1'!$F$2:$H$361,3,false),1)="a","L","")))</f>
        <v>W</v>
      </c>
      <c r="E248" s="67" t="str">
        <f>iferror(if(LEFT(VLOOKUP($B248,'Round 2'!$C$2:$J$361,8,false),1)="A","W",if(LEFT(VLOOKUP($B248,'Round 2'!$C$2:$J$361,8,false),1)="B","L","")),if(LEFT(VLOOKUP($B248,'Round 2'!$G$2:$J$361,4,false),1)="b","W",if(LEFT(VLOOKUP($B248,'Round 2'!$G$2:$J$361,4,false),1)="a","L","")))</f>
        <v>L</v>
      </c>
      <c r="F248" s="67" t="str">
        <f>iferror(if(LEFT(VLOOKUP($B248,'Round 3'!$B$2:$H$361,7,false),1)="A","W",if(LEFT(VLOOKUP($B248,'Round 3'!$B$2:$H$361,7,false),1)="B","L","")),if(LEFT(VLOOKUP($B248,'Round 3'!$F$2:$H$361,3,false),1)="b","W",if(LEFT(VLOOKUP($B248,'Round 3'!$F$2:$H$361,3,false),1)="a","L","")))</f>
        <v>W</v>
      </c>
      <c r="G248" s="67" t="str">
        <f>iferror(if(LEFT(VLOOKUP($B248,'Round 4'!$B$2:$H$361,7,false),1)="A","W",if(LEFT(VLOOKUP($B248,'Round 4'!$B$2:$H$361,7,false),1)="B","L","")),if(LEFT(VLOOKUP($B248,'Round 4'!$F$2:$H$361,3,false),1)="b","W",if(LEFT(VLOOKUP($B248,'Round 4'!$F$2:$H$361,3,false),1)="a","L","")))</f>
        <v>W</v>
      </c>
      <c r="H248" s="67" t="str">
        <f>iferror(if(LEFT(VLOOKUP($B248,'Round 5'!$B$2:$H$361,7,false),1)="A","W",if(LEFT(VLOOKUP($B248,'Round 5'!$B$2:$H$361,7,false),1)="B","L","")),if(LEFT(VLOOKUP($B248,'Round 5'!$F$2:$H$361,3,false),1)="b","W",if(LEFT(VLOOKUP($B248,'Round 5'!$F$2:$H$361,3,false),1)="a","L","")))</f>
        <v>W</v>
      </c>
      <c r="I248" s="67" t="str">
        <f>iferror(if(LEFT(VLOOKUP($B248,'Round 6'!$B$2:$H$361,7,false),1)="A","W",if(LEFT(VLOOKUP($B248,'Round 6'!$B$2:$H$361,7,false),1)="B","L","")),if(LEFT(VLOOKUP($B248,'Round 6'!$F$2:$H$361,3,false),1)="b","W",if(LEFT(VLOOKUP($B248,'Round 6'!$F$2:$H$361,3,false),1)="a","L","")))</f>
        <v>L</v>
      </c>
      <c r="J248" s="67" t="str">
        <f>iferror(iferror(if(LEFT(VLOOKUP($B248,'Round 7'!$B$2:$H$361,7,false),1)="A","W",if(LEFT(VLOOKUP($B248,'Round 7'!$B$2:$H$361,7,false),1)="B","L","")),if(LEFT(VLOOKUP($B248,'Round 7'!$F$2:$H$361,3,false),1)="b","W",if(LEFT(VLOOKUP($B248,'Round 7'!$F$2:$H$361,3,false),1)="a","L",""))),"")</f>
        <v>W</v>
      </c>
      <c r="K248" s="68" t="str">
        <f>iferror(iferror(if(LEFT(VLOOKUP($B248,'Round 8'!$B$2:$H$361,7,false),1)="A","W",if(LEFT(VLOOKUP($B248,'Round 8'!$B$2:$H$361,7,false),1)="B","L","")),if(LEFT(VLOOKUP($B248,'Round 8'!$F$2:$H$361,3,false),1)="b","W",if(LEFT(VLOOKUP($B248,'Round 8'!$F$2:$H$361,3,false),1)="a","L",""))),"")</f>
        <v>W</v>
      </c>
      <c r="L248" s="68" t="str">
        <f>iferror(iferror(if(LEFT(VLOOKUP($B248,'Round 9'!$B$2:$H$361,7,false),1)="A","W",if(LEFT(VLOOKUP($B248,'Round 9'!$B$2:$H$361,7,false),1)="B","L","")),if(LEFT(VLOOKUP($B248,'Round 9'!$F$2:$H$361,3,false),1)="b","W",if(LEFT(VLOOKUP($B248,'Round 9'!$F$2:$H$361,3,false),1)="a","L",""))),"")</f>
        <v>L</v>
      </c>
      <c r="M248" s="68" t="str">
        <f>iferror(iferror(if(LEFT(VLOOKUP($B248,'Round 10'!$B$2:$H$362,7,false),1)="A","W",if(LEFT(VLOOKUP($B248,'Round 10'!$B$2:$H$362,7,false),1)="B","L","")),if(LEFT(VLOOKUP($B248,'Round 10'!$F$2:$H$362,3,false),1)="b","W",if(LEFT(VLOOKUP($B248,'Round 10'!$F$2:$H$362,3,false),1)="a","L",""))),"")</f>
        <v/>
      </c>
      <c r="N248" s="62" t="s">
        <v>564</v>
      </c>
    </row>
    <row r="249">
      <c r="A249" s="63">
        <v>248.0</v>
      </c>
      <c r="B249" s="64" t="s">
        <v>565</v>
      </c>
      <c r="C249" s="65" t="str">
        <f t="shared" si="1"/>
        <v>4 - 3</v>
      </c>
      <c r="D249" s="67" t="str">
        <f>iferror(if(LEFT(VLOOKUP($B249,'Round 1'!$B$2:$H$361,7,false),1)="A","W",if(LEFT(VLOOKUP($B249,'Round 1'!$B$2:$H$361,7,false),1)="B","L","")),if(LEFT(VLOOKUP($B249,'Round 1'!$F$2:$H$361,3,false),1)="b","W",if(LEFT(VLOOKUP($B249,'Round 1'!$F$2:$H$361,3,false),1)="a","L","")))</f>
        <v>W</v>
      </c>
      <c r="E249" s="67" t="str">
        <f>iferror(if(LEFT(VLOOKUP($B249,'Round 2'!$C$2:$J$361,8,false),1)="A","W",if(LEFT(VLOOKUP($B249,'Round 2'!$C$2:$J$361,8,false),1)="B","L","")),if(LEFT(VLOOKUP($B249,'Round 2'!$G$2:$J$361,4,false),1)="b","W",if(LEFT(VLOOKUP($B249,'Round 2'!$G$2:$J$361,4,false),1)="a","L","")))</f>
        <v>L</v>
      </c>
      <c r="F249" s="67" t="str">
        <f>iferror(if(LEFT(VLOOKUP($B249,'Round 3'!$B$2:$H$361,7,false),1)="A","W",if(LEFT(VLOOKUP($B249,'Round 3'!$B$2:$H$361,7,false),1)="B","L","")),if(LEFT(VLOOKUP($B249,'Round 3'!$F$2:$H$361,3,false),1)="b","W",if(LEFT(VLOOKUP($B249,'Round 3'!$F$2:$H$361,3,false),1)="a","L","")))</f>
        <v>W</v>
      </c>
      <c r="G249" s="67" t="str">
        <f>iferror(if(LEFT(VLOOKUP($B249,'Round 4'!$B$2:$H$361,7,false),1)="A","W",if(LEFT(VLOOKUP($B249,'Round 4'!$B$2:$H$361,7,false),1)="B","L","")),if(LEFT(VLOOKUP($B249,'Round 4'!$F$2:$H$361,3,false),1)="b","W",if(LEFT(VLOOKUP($B249,'Round 4'!$F$2:$H$361,3,false),1)="a","L","")))</f>
        <v>L</v>
      </c>
      <c r="H249" s="67" t="str">
        <f>iferror(if(LEFT(VLOOKUP($B249,'Round 5'!$B$2:$H$361,7,false),1)="A","W",if(LEFT(VLOOKUP($B249,'Round 5'!$B$2:$H$361,7,false),1)="B","L","")),if(LEFT(VLOOKUP($B249,'Round 5'!$F$2:$H$361,3,false),1)="b","W",if(LEFT(VLOOKUP($B249,'Round 5'!$F$2:$H$361,3,false),1)="a","L","")))</f>
        <v>W</v>
      </c>
      <c r="I249" s="67" t="str">
        <f>iferror(if(LEFT(VLOOKUP($B249,'Round 6'!$B$2:$H$361,7,false),1)="A","W",if(LEFT(VLOOKUP($B249,'Round 6'!$B$2:$H$361,7,false),1)="B","L","")),if(LEFT(VLOOKUP($B249,'Round 6'!$F$2:$H$361,3,false),1)="b","W",if(LEFT(VLOOKUP($B249,'Round 6'!$F$2:$H$361,3,false),1)="a","L","")))</f>
        <v>W</v>
      </c>
      <c r="J249" s="67" t="str">
        <f>iferror(iferror(if(LEFT(VLOOKUP($B249,'Round 7'!$B$2:$H$361,7,false),1)="A","W",if(LEFT(VLOOKUP($B249,'Round 7'!$B$2:$H$361,7,false),1)="B","L","")),if(LEFT(VLOOKUP($B249,'Round 7'!$F$2:$H$361,3,false),1)="b","W",if(LEFT(VLOOKUP($B249,'Round 7'!$F$2:$H$361,3,false),1)="a","L",""))),"")</f>
        <v>L</v>
      </c>
      <c r="K249" s="68" t="str">
        <f>iferror(iferror(if(LEFT(VLOOKUP($B249,'Round 8'!$B$2:$H$361,7,false),1)="A","W",if(LEFT(VLOOKUP($B249,'Round 8'!$B$2:$H$361,7,false),1)="B","L","")),if(LEFT(VLOOKUP($B249,'Round 8'!$F$2:$H$361,3,false),1)="b","W",if(LEFT(VLOOKUP($B249,'Round 8'!$F$2:$H$361,3,false),1)="a","L",""))),"")</f>
        <v/>
      </c>
      <c r="L249" s="68" t="str">
        <f>iferror(iferror(if(LEFT(VLOOKUP($B249,'Round 9'!$B$2:$H$361,7,false),1)="A","W",if(LEFT(VLOOKUP($B249,'Round 9'!$B$2:$H$361,7,false),1)="B","L","")),if(LEFT(VLOOKUP($B249,'Round 9'!$F$2:$H$361,3,false),1)="b","W",if(LEFT(VLOOKUP($B249,'Round 9'!$F$2:$H$361,3,false),1)="a","L",""))),"")</f>
        <v/>
      </c>
      <c r="M249" s="68" t="str">
        <f>iferror(iferror(if(LEFT(VLOOKUP($B249,'Round 10'!$B$2:$H$362,7,false),1)="A","W",if(LEFT(VLOOKUP($B249,'Round 10'!$B$2:$H$362,7,false),1)="B","L","")),if(LEFT(VLOOKUP($B249,'Round 10'!$F$2:$H$362,3,false),1)="b","W",if(LEFT(VLOOKUP($B249,'Round 10'!$F$2:$H$362,3,false),1)="a","L",""))),"")</f>
        <v/>
      </c>
      <c r="N249" s="62" t="s">
        <v>566</v>
      </c>
    </row>
    <row r="250">
      <c r="A250" s="63">
        <v>249.0</v>
      </c>
      <c r="B250" s="64" t="s">
        <v>567</v>
      </c>
      <c r="C250" s="65" t="str">
        <f t="shared" si="1"/>
        <v>3 - 3</v>
      </c>
      <c r="D250" s="67" t="str">
        <f>iferror(if(LEFT(VLOOKUP($B250,'Round 1'!$B$2:$H$361,7,false),1)="A","W",if(LEFT(VLOOKUP($B250,'Round 1'!$B$2:$H$361,7,false),1)="B","L","")),if(LEFT(VLOOKUP($B250,'Round 1'!$F$2:$H$361,3,false),1)="b","W",if(LEFT(VLOOKUP($B250,'Round 1'!$F$2:$H$361,3,false),1)="a","L","")))</f>
        <v>L</v>
      </c>
      <c r="E250" s="67" t="str">
        <f>iferror(if(LEFT(VLOOKUP($B250,'Round 2'!$C$2:$J$361,8,false),1)="A","W",if(LEFT(VLOOKUP($B250,'Round 2'!$C$2:$J$361,8,false),1)="B","L","")),if(LEFT(VLOOKUP($B250,'Round 2'!$G$2:$J$361,4,false),1)="b","W",if(LEFT(VLOOKUP($B250,'Round 2'!$G$2:$J$361,4,false),1)="a","L","")))</f>
        <v>W</v>
      </c>
      <c r="F250" s="67" t="str">
        <f>iferror(if(LEFT(VLOOKUP($B250,'Round 3'!$B$2:$H$361,7,false),1)="A","W",if(LEFT(VLOOKUP($B250,'Round 3'!$B$2:$H$361,7,false),1)="B","L","")),if(LEFT(VLOOKUP($B250,'Round 3'!$F$2:$H$361,3,false),1)="b","W",if(LEFT(VLOOKUP($B250,'Round 3'!$F$2:$H$361,3,false),1)="a","L","")))</f>
        <v>L</v>
      </c>
      <c r="G250" s="67" t="str">
        <f>iferror(if(LEFT(VLOOKUP($B250,'Round 4'!$B$2:$H$361,7,false),1)="A","W",if(LEFT(VLOOKUP($B250,'Round 4'!$B$2:$H$361,7,false),1)="B","L","")),if(LEFT(VLOOKUP($B250,'Round 4'!$F$2:$H$361,3,false),1)="b","W",if(LEFT(VLOOKUP($B250,'Round 4'!$F$2:$H$361,3,false),1)="a","L","")))</f>
        <v>W</v>
      </c>
      <c r="H250" s="67" t="str">
        <f>iferror(if(LEFT(VLOOKUP($B250,'Round 5'!$B$2:$H$361,7,false),1)="A","W",if(LEFT(VLOOKUP($B250,'Round 5'!$B$2:$H$361,7,false),1)="B","L","")),if(LEFT(VLOOKUP($B250,'Round 5'!$F$2:$H$361,3,false),1)="b","W",if(LEFT(VLOOKUP($B250,'Round 5'!$F$2:$H$361,3,false),1)="a","L","")))</f>
        <v>W</v>
      </c>
      <c r="I250" s="67" t="str">
        <f>iferror(if(LEFT(VLOOKUP($B250,'Round 6'!$B$2:$H$361,7,false),1)="A","W",if(LEFT(VLOOKUP($B250,'Round 6'!$B$2:$H$361,7,false),1)="B","L","")),if(LEFT(VLOOKUP($B250,'Round 6'!$F$2:$H$361,3,false),1)="b","W",if(LEFT(VLOOKUP($B250,'Round 6'!$F$2:$H$361,3,false),1)="a","L","")))</f>
        <v>L</v>
      </c>
      <c r="J250" s="67" t="str">
        <f>iferror(iferror(if(LEFT(VLOOKUP($B250,'Round 7'!$B$2:$H$361,7,false),1)="A","W",if(LEFT(VLOOKUP($B250,'Round 7'!$B$2:$H$361,7,false),1)="B","L","")),if(LEFT(VLOOKUP($B250,'Round 7'!$F$2:$H$361,3,false),1)="b","W",if(LEFT(VLOOKUP($B250,'Round 7'!$F$2:$H$361,3,false),1)="a","L",""))),"")</f>
        <v/>
      </c>
      <c r="K250" s="68" t="str">
        <f>iferror(iferror(if(LEFT(VLOOKUP($B250,'Round 8'!$B$2:$H$361,7,false),1)="A","W",if(LEFT(VLOOKUP($B250,'Round 8'!$B$2:$H$361,7,false),1)="B","L","")),if(LEFT(VLOOKUP($B250,'Round 8'!$F$2:$H$361,3,false),1)="b","W",if(LEFT(VLOOKUP($B250,'Round 8'!$F$2:$H$361,3,false),1)="a","L",""))),"")</f>
        <v/>
      </c>
      <c r="L250" s="68" t="str">
        <f>iferror(iferror(if(LEFT(VLOOKUP($B250,'Round 9'!$B$2:$H$361,7,false),1)="A","W",if(LEFT(VLOOKUP($B250,'Round 9'!$B$2:$H$361,7,false),1)="B","L","")),if(LEFT(VLOOKUP($B250,'Round 9'!$F$2:$H$361,3,false),1)="b","W",if(LEFT(VLOOKUP($B250,'Round 9'!$F$2:$H$361,3,false),1)="a","L",""))),"")</f>
        <v/>
      </c>
      <c r="M250" s="68" t="str">
        <f>iferror(iferror(if(LEFT(VLOOKUP($B250,'Round 10'!$B$2:$H$362,7,false),1)="A","W",if(LEFT(VLOOKUP($B250,'Round 10'!$B$2:$H$362,7,false),1)="B","L","")),if(LEFT(VLOOKUP($B250,'Round 10'!$F$2:$H$362,3,false),1)="b","W",if(LEFT(VLOOKUP($B250,'Round 10'!$F$2:$H$362,3,false),1)="a","L",""))),"")</f>
        <v/>
      </c>
      <c r="N250" s="62" t="s">
        <v>568</v>
      </c>
    </row>
    <row r="251">
      <c r="A251" s="63">
        <v>250.0</v>
      </c>
      <c r="B251" s="64" t="s">
        <v>569</v>
      </c>
      <c r="C251" s="65" t="str">
        <f t="shared" si="1"/>
        <v>2 - 3</v>
      </c>
      <c r="D251" s="67" t="str">
        <f>iferror(if(LEFT(VLOOKUP($B251,'Round 1'!$B$2:$H$361,7,false),1)="A","W",if(LEFT(VLOOKUP($B251,'Round 1'!$B$2:$H$361,7,false),1)="B","L","")),if(LEFT(VLOOKUP($B251,'Round 1'!$F$2:$H$361,3,false),1)="b","W",if(LEFT(VLOOKUP($B251,'Round 1'!$F$2:$H$361,3,false),1)="a","L","")))</f>
        <v>L</v>
      </c>
      <c r="E251" s="67" t="str">
        <f>iferror(if(LEFT(VLOOKUP($B251,'Round 2'!$C$2:$J$361,8,false),1)="A","W",if(LEFT(VLOOKUP($B251,'Round 2'!$C$2:$J$361,8,false),1)="B","L","")),if(LEFT(VLOOKUP($B251,'Round 2'!$G$2:$J$361,4,false),1)="b","W",if(LEFT(VLOOKUP($B251,'Round 2'!$G$2:$J$361,4,false),1)="a","L","")))</f>
        <v>W</v>
      </c>
      <c r="F251" s="67" t="str">
        <f>iferror(if(LEFT(VLOOKUP($B251,'Round 3'!$B$2:$H$361,7,false),1)="A","W",if(LEFT(VLOOKUP($B251,'Round 3'!$B$2:$H$361,7,false),1)="B","L","")),if(LEFT(VLOOKUP($B251,'Round 3'!$F$2:$H$361,3,false),1)="b","W",if(LEFT(VLOOKUP($B251,'Round 3'!$F$2:$H$361,3,false),1)="a","L","")))</f>
        <v>L</v>
      </c>
      <c r="G251" s="67" t="str">
        <f>iferror(if(LEFT(VLOOKUP($B251,'Round 4'!$B$2:$H$361,7,false),1)="A","W",if(LEFT(VLOOKUP($B251,'Round 4'!$B$2:$H$361,7,false),1)="B","L","")),if(LEFT(VLOOKUP($B251,'Round 4'!$F$2:$H$361,3,false),1)="b","W",if(LEFT(VLOOKUP($B251,'Round 4'!$F$2:$H$361,3,false),1)="a","L","")))</f>
        <v>W</v>
      </c>
      <c r="H251" s="67" t="str">
        <f>iferror(if(LEFT(VLOOKUP($B251,'Round 5'!$B$2:$H$361,7,false),1)="A","W",if(LEFT(VLOOKUP($B251,'Round 5'!$B$2:$H$361,7,false),1)="B","L","")),if(LEFT(VLOOKUP($B251,'Round 5'!$F$2:$H$361,3,false),1)="b","W",if(LEFT(VLOOKUP($B251,'Round 5'!$F$2:$H$361,3,false),1)="a","L","")))</f>
        <v>L</v>
      </c>
      <c r="I251" s="67"/>
      <c r="J251" s="67" t="str">
        <f>iferror(iferror(if(LEFT(VLOOKUP($B251,'Round 7'!$B$2:$H$361,7,false),1)="A","W",if(LEFT(VLOOKUP($B251,'Round 7'!$B$2:$H$361,7,false),1)="B","L","")),if(LEFT(VLOOKUP($B251,'Round 7'!$F$2:$H$361,3,false),1)="b","W",if(LEFT(VLOOKUP($B251,'Round 7'!$F$2:$H$361,3,false),1)="a","L",""))),"")</f>
        <v/>
      </c>
      <c r="K251" s="68" t="str">
        <f>iferror(iferror(if(LEFT(VLOOKUP($B251,'Round 8'!$B$2:$H$361,7,false),1)="A","W",if(LEFT(VLOOKUP($B251,'Round 8'!$B$2:$H$361,7,false),1)="B","L","")),if(LEFT(VLOOKUP($B251,'Round 8'!$F$2:$H$361,3,false),1)="b","W",if(LEFT(VLOOKUP($B251,'Round 8'!$F$2:$H$361,3,false),1)="a","L",""))),"")</f>
        <v/>
      </c>
      <c r="L251" s="68" t="str">
        <f>iferror(iferror(if(LEFT(VLOOKUP($B251,'Round 9'!$B$2:$H$361,7,false),1)="A","W",if(LEFT(VLOOKUP($B251,'Round 9'!$B$2:$H$361,7,false),1)="B","L","")),if(LEFT(VLOOKUP($B251,'Round 9'!$F$2:$H$361,3,false),1)="b","W",if(LEFT(VLOOKUP($B251,'Round 9'!$F$2:$H$361,3,false),1)="a","L",""))),"")</f>
        <v/>
      </c>
      <c r="M251" s="68" t="str">
        <f>iferror(iferror(if(LEFT(VLOOKUP($B251,'Round 10'!$B$2:$H$362,7,false),1)="A","W",if(LEFT(VLOOKUP($B251,'Round 10'!$B$2:$H$362,7,false),1)="B","L","")),if(LEFT(VLOOKUP($B251,'Round 10'!$F$2:$H$362,3,false),1)="b","W",if(LEFT(VLOOKUP($B251,'Round 10'!$F$2:$H$362,3,false),1)="a","L",""))),"")</f>
        <v/>
      </c>
      <c r="N251" s="62" t="s">
        <v>570</v>
      </c>
    </row>
    <row r="252">
      <c r="A252" s="63">
        <v>251.0</v>
      </c>
      <c r="B252" s="64" t="s">
        <v>571</v>
      </c>
      <c r="C252" s="65" t="str">
        <f t="shared" si="1"/>
        <v>2 - 3</v>
      </c>
      <c r="D252" s="67" t="str">
        <f>iferror(if(LEFT(VLOOKUP($B252,'Round 1'!$B$2:$H$361,7,false),1)="A","W",if(LEFT(VLOOKUP($B252,'Round 1'!$B$2:$H$361,7,false),1)="B","L","")),if(LEFT(VLOOKUP($B252,'Round 1'!$F$2:$H$361,3,false),1)="b","W",if(LEFT(VLOOKUP($B252,'Round 1'!$F$2:$H$361,3,false),1)="a","L","")))</f>
        <v>L</v>
      </c>
      <c r="E252" s="67" t="str">
        <f>iferror(if(LEFT(VLOOKUP($B252,'Round 2'!$C$2:$J$361,8,false),1)="A","W",if(LEFT(VLOOKUP($B252,'Round 2'!$C$2:$J$361,8,false),1)="B","L","")),if(LEFT(VLOOKUP($B252,'Round 2'!$G$2:$J$361,4,false),1)="b","W",if(LEFT(VLOOKUP($B252,'Round 2'!$G$2:$J$361,4,false),1)="a","L","")))</f>
        <v>W</v>
      </c>
      <c r="F252" s="67" t="str">
        <f>iferror(if(LEFT(VLOOKUP($B252,'Round 3'!$B$2:$H$361,7,false),1)="A","W",if(LEFT(VLOOKUP($B252,'Round 3'!$B$2:$H$361,7,false),1)="B","L","")),if(LEFT(VLOOKUP($B252,'Round 3'!$F$2:$H$361,3,false),1)="b","W",if(LEFT(VLOOKUP($B252,'Round 3'!$F$2:$H$361,3,false),1)="a","L","")))</f>
        <v>W</v>
      </c>
      <c r="G252" s="67" t="str">
        <f>iferror(if(LEFT(VLOOKUP($B252,'Round 4'!$B$2:$H$361,7,false),1)="A","W",if(LEFT(VLOOKUP($B252,'Round 4'!$B$2:$H$361,7,false),1)="B","L","")),if(LEFT(VLOOKUP($B252,'Round 4'!$F$2:$H$361,3,false),1)="b","W",if(LEFT(VLOOKUP($B252,'Round 4'!$F$2:$H$361,3,false),1)="a","L","")))</f>
        <v>L</v>
      </c>
      <c r="H252" s="67" t="str">
        <f>iferror(if(LEFT(VLOOKUP($B252,'Round 5'!$B$2:$H$361,7,false),1)="A","W",if(LEFT(VLOOKUP($B252,'Round 5'!$B$2:$H$361,7,false),1)="B","L","")),if(LEFT(VLOOKUP($B252,'Round 5'!$F$2:$H$361,3,false),1)="b","W",if(LEFT(VLOOKUP($B252,'Round 5'!$F$2:$H$361,3,false),1)="a","L","")))</f>
        <v>L</v>
      </c>
      <c r="I252" s="67"/>
      <c r="J252" s="67" t="str">
        <f>iferror(iferror(if(LEFT(VLOOKUP($B252,'Round 7'!$B$2:$H$361,7,false),1)="A","W",if(LEFT(VLOOKUP($B252,'Round 7'!$B$2:$H$361,7,false),1)="B","L","")),if(LEFT(VLOOKUP($B252,'Round 7'!$F$2:$H$361,3,false),1)="b","W",if(LEFT(VLOOKUP($B252,'Round 7'!$F$2:$H$361,3,false),1)="a","L",""))),"")</f>
        <v/>
      </c>
      <c r="K252" s="68" t="str">
        <f>iferror(iferror(if(LEFT(VLOOKUP($B252,'Round 8'!$B$2:$H$361,7,false),1)="A","W",if(LEFT(VLOOKUP($B252,'Round 8'!$B$2:$H$361,7,false),1)="B","L","")),if(LEFT(VLOOKUP($B252,'Round 8'!$F$2:$H$361,3,false),1)="b","W",if(LEFT(VLOOKUP($B252,'Round 8'!$F$2:$H$361,3,false),1)="a","L",""))),"")</f>
        <v/>
      </c>
      <c r="L252" s="68" t="str">
        <f>iferror(iferror(if(LEFT(VLOOKUP($B252,'Round 9'!$B$2:$H$361,7,false),1)="A","W",if(LEFT(VLOOKUP($B252,'Round 9'!$B$2:$H$361,7,false),1)="B","L","")),if(LEFT(VLOOKUP($B252,'Round 9'!$F$2:$H$361,3,false),1)="b","W",if(LEFT(VLOOKUP($B252,'Round 9'!$F$2:$H$361,3,false),1)="a","L",""))),"")</f>
        <v/>
      </c>
      <c r="M252" s="68" t="str">
        <f>iferror(iferror(if(LEFT(VLOOKUP($B252,'Round 10'!$B$2:$H$362,7,false),1)="A","W",if(LEFT(VLOOKUP($B252,'Round 10'!$B$2:$H$362,7,false),1)="B","L","")),if(LEFT(VLOOKUP($B252,'Round 10'!$F$2:$H$362,3,false),1)="b","W",if(LEFT(VLOOKUP($B252,'Round 10'!$F$2:$H$362,3,false),1)="a","L",""))),"")</f>
        <v/>
      </c>
      <c r="N252" s="62" t="s">
        <v>572</v>
      </c>
    </row>
    <row r="253">
      <c r="A253" s="63">
        <v>252.0</v>
      </c>
      <c r="B253" s="64" t="s">
        <v>573</v>
      </c>
      <c r="C253" s="65" t="str">
        <f t="shared" si="1"/>
        <v>4 - 3</v>
      </c>
      <c r="D253" s="67" t="str">
        <f>iferror(if(LEFT(VLOOKUP($B253,'Round 1'!$B$2:$H$361,7,false),1)="A","W",if(LEFT(VLOOKUP($B253,'Round 1'!$B$2:$H$361,7,false),1)="B","L","")),if(LEFT(VLOOKUP($B253,'Round 1'!$F$2:$H$361,3,false),1)="b","W",if(LEFT(VLOOKUP($B253,'Round 1'!$F$2:$H$361,3,false),1)="a","L","")))</f>
        <v>W</v>
      </c>
      <c r="E253" s="67" t="str">
        <f>iferror(if(LEFT(VLOOKUP($B253,'Round 2'!$C$2:$J$361,8,false),1)="A","W",if(LEFT(VLOOKUP($B253,'Round 2'!$C$2:$J$361,8,false),1)="B","L","")),if(LEFT(VLOOKUP($B253,'Round 2'!$G$2:$J$361,4,false),1)="b","W",if(LEFT(VLOOKUP($B253,'Round 2'!$G$2:$J$361,4,false),1)="a","L","")))</f>
        <v>L</v>
      </c>
      <c r="F253" s="67" t="str">
        <f>iferror(if(LEFT(VLOOKUP($B253,'Round 3'!$B$2:$H$361,7,false),1)="A","W",if(LEFT(VLOOKUP($B253,'Round 3'!$B$2:$H$361,7,false),1)="B","L","")),if(LEFT(VLOOKUP($B253,'Round 3'!$F$2:$H$361,3,false),1)="b","W",if(LEFT(VLOOKUP($B253,'Round 3'!$F$2:$H$361,3,false),1)="a","L","")))</f>
        <v>L</v>
      </c>
      <c r="G253" s="67" t="str">
        <f>iferror(if(LEFT(VLOOKUP($B253,'Round 4'!$B$2:$H$361,7,false),1)="A","W",if(LEFT(VLOOKUP($B253,'Round 4'!$B$2:$H$361,7,false),1)="B","L","")),if(LEFT(VLOOKUP($B253,'Round 4'!$F$2:$H$361,3,false),1)="b","W",if(LEFT(VLOOKUP($B253,'Round 4'!$F$2:$H$361,3,false),1)="a","L","")))</f>
        <v>W</v>
      </c>
      <c r="H253" s="67" t="str">
        <f>iferror(if(LEFT(VLOOKUP($B253,'Round 5'!$B$2:$H$361,7,false),1)="A","W",if(LEFT(VLOOKUP($B253,'Round 5'!$B$2:$H$361,7,false),1)="B","L","")),if(LEFT(VLOOKUP($B253,'Round 5'!$F$2:$H$361,3,false),1)="b","W",if(LEFT(VLOOKUP($B253,'Round 5'!$F$2:$H$361,3,false),1)="a","L","")))</f>
        <v>W</v>
      </c>
      <c r="I253" s="67" t="str">
        <f>iferror(if(LEFT(VLOOKUP($B253,'Round 6'!$B$2:$H$361,7,false),1)="A","W",if(LEFT(VLOOKUP($B253,'Round 6'!$B$2:$H$361,7,false),1)="B","L","")),if(LEFT(VLOOKUP($B253,'Round 6'!$F$2:$H$361,3,false),1)="b","W",if(LEFT(VLOOKUP($B253,'Round 6'!$F$2:$H$361,3,false),1)="a","L","")))</f>
        <v>W</v>
      </c>
      <c r="J253" s="67" t="str">
        <f>iferror(iferror(if(LEFT(VLOOKUP($B253,'Round 7'!$B$2:$H$361,7,false),1)="A","W",if(LEFT(VLOOKUP($B253,'Round 7'!$B$2:$H$361,7,false),1)="B","L","")),if(LEFT(VLOOKUP($B253,'Round 7'!$F$2:$H$361,3,false),1)="b","W",if(LEFT(VLOOKUP($B253,'Round 7'!$F$2:$H$361,3,false),1)="a","L",""))),"")</f>
        <v>L</v>
      </c>
      <c r="K253" s="68" t="str">
        <f>iferror(iferror(if(LEFT(VLOOKUP($B253,'Round 8'!$B$2:$H$361,7,false),1)="A","W",if(LEFT(VLOOKUP($B253,'Round 8'!$B$2:$H$361,7,false),1)="B","L","")),if(LEFT(VLOOKUP($B253,'Round 8'!$F$2:$H$361,3,false),1)="b","W",if(LEFT(VLOOKUP($B253,'Round 8'!$F$2:$H$361,3,false),1)="a","L",""))),"")</f>
        <v/>
      </c>
      <c r="L253" s="68" t="str">
        <f>iferror(iferror(if(LEFT(VLOOKUP($B253,'Round 9'!$B$2:$H$361,7,false),1)="A","W",if(LEFT(VLOOKUP($B253,'Round 9'!$B$2:$H$361,7,false),1)="B","L","")),if(LEFT(VLOOKUP($B253,'Round 9'!$F$2:$H$361,3,false),1)="b","W",if(LEFT(VLOOKUP($B253,'Round 9'!$F$2:$H$361,3,false),1)="a","L",""))),"")</f>
        <v/>
      </c>
      <c r="M253" s="68" t="str">
        <f>iferror(iferror(if(LEFT(VLOOKUP($B253,'Round 10'!$B$2:$H$362,7,false),1)="A","W",if(LEFT(VLOOKUP($B253,'Round 10'!$B$2:$H$362,7,false),1)="B","L","")),if(LEFT(VLOOKUP($B253,'Round 10'!$F$2:$H$362,3,false),1)="b","W",if(LEFT(VLOOKUP($B253,'Round 10'!$F$2:$H$362,3,false),1)="a","L",""))),"")</f>
        <v/>
      </c>
      <c r="N253" s="62" t="s">
        <v>574</v>
      </c>
    </row>
    <row r="254">
      <c r="A254" s="63">
        <v>253.0</v>
      </c>
      <c r="B254" s="64" t="s">
        <v>575</v>
      </c>
      <c r="C254" s="65" t="str">
        <f t="shared" si="1"/>
        <v>1 - 3</v>
      </c>
      <c r="D254" s="67" t="str">
        <f>iferror(if(LEFT(VLOOKUP($B254,'Round 1'!$B$2:$H$361,7,false),1)="A","W",if(LEFT(VLOOKUP($B254,'Round 1'!$B$2:$H$361,7,false),1)="B","L","")),if(LEFT(VLOOKUP($B254,'Round 1'!$F$2:$H$361,3,false),1)="b","W",if(LEFT(VLOOKUP($B254,'Round 1'!$F$2:$H$361,3,false),1)="a","L","")))</f>
        <v>L</v>
      </c>
      <c r="E254" s="67" t="str">
        <f>iferror(if(LEFT(VLOOKUP($B254,'Round 2'!$C$2:$J$361,8,false),1)="A","W",if(LEFT(VLOOKUP($B254,'Round 2'!$C$2:$J$361,8,false),1)="B","L","")),if(LEFT(VLOOKUP($B254,'Round 2'!$G$2:$J$361,4,false),1)="b","W",if(LEFT(VLOOKUP($B254,'Round 2'!$G$2:$J$361,4,false),1)="a","L","")))</f>
        <v>W</v>
      </c>
      <c r="F254" s="67" t="str">
        <f>iferror(if(LEFT(VLOOKUP($B254,'Round 3'!$B$2:$H$361,7,false),1)="A","W",if(LEFT(VLOOKUP($B254,'Round 3'!$B$2:$H$361,7,false),1)="B","L","")),if(LEFT(VLOOKUP($B254,'Round 3'!$F$2:$H$361,3,false),1)="b","W",if(LEFT(VLOOKUP($B254,'Round 3'!$F$2:$H$361,3,false),1)="a","L","")))</f>
        <v>L</v>
      </c>
      <c r="G254" s="67" t="str">
        <f>iferror(if(LEFT(VLOOKUP($B254,'Round 4'!$B$2:$H$361,7,false),1)="A","W",if(LEFT(VLOOKUP($B254,'Round 4'!$B$2:$H$361,7,false),1)="B","L","")),if(LEFT(VLOOKUP($B254,'Round 4'!$F$2:$H$361,3,false),1)="b","W",if(LEFT(VLOOKUP($B254,'Round 4'!$F$2:$H$361,3,false),1)="a","L","")))</f>
        <v>L</v>
      </c>
      <c r="H254" s="67"/>
      <c r="I254" s="67"/>
      <c r="J254" s="67" t="str">
        <f>iferror(iferror(if(LEFT(VLOOKUP($B254,'Round 7'!$B$2:$H$361,7,false),1)="A","W",if(LEFT(VLOOKUP($B254,'Round 7'!$B$2:$H$361,7,false),1)="B","L","")),if(LEFT(VLOOKUP($B254,'Round 7'!$F$2:$H$361,3,false),1)="b","W",if(LEFT(VLOOKUP($B254,'Round 7'!$F$2:$H$361,3,false),1)="a","L",""))),"")</f>
        <v/>
      </c>
      <c r="K254" s="68" t="str">
        <f>iferror(iferror(if(LEFT(VLOOKUP($B254,'Round 8'!$B$2:$H$361,7,false),1)="A","W",if(LEFT(VLOOKUP($B254,'Round 8'!$B$2:$H$361,7,false),1)="B","L","")),if(LEFT(VLOOKUP($B254,'Round 8'!$F$2:$H$361,3,false),1)="b","W",if(LEFT(VLOOKUP($B254,'Round 8'!$F$2:$H$361,3,false),1)="a","L",""))),"")</f>
        <v/>
      </c>
      <c r="L254" s="68" t="str">
        <f>iferror(iferror(if(LEFT(VLOOKUP($B254,'Round 9'!$B$2:$H$361,7,false),1)="A","W",if(LEFT(VLOOKUP($B254,'Round 9'!$B$2:$H$361,7,false),1)="B","L","")),if(LEFT(VLOOKUP($B254,'Round 9'!$F$2:$H$361,3,false),1)="b","W",if(LEFT(VLOOKUP($B254,'Round 9'!$F$2:$H$361,3,false),1)="a","L",""))),"")</f>
        <v/>
      </c>
      <c r="M254" s="68" t="str">
        <f>iferror(iferror(if(LEFT(VLOOKUP($B254,'Round 10'!$B$2:$H$362,7,false),1)="A","W",if(LEFT(VLOOKUP($B254,'Round 10'!$B$2:$H$362,7,false),1)="B","L","")),if(LEFT(VLOOKUP($B254,'Round 10'!$F$2:$H$362,3,false),1)="b","W",if(LEFT(VLOOKUP($B254,'Round 10'!$F$2:$H$362,3,false),1)="a","L",""))),"")</f>
        <v/>
      </c>
      <c r="N254" s="62" t="s">
        <v>576</v>
      </c>
    </row>
    <row r="255">
      <c r="A255" s="63">
        <v>254.0</v>
      </c>
      <c r="B255" s="64" t="s">
        <v>577</v>
      </c>
      <c r="C255" s="65" t="str">
        <f t="shared" si="1"/>
        <v>2 - 3</v>
      </c>
      <c r="D255" s="67" t="str">
        <f>iferror(if(LEFT(VLOOKUP($B255,'Round 1'!$B$2:$H$361,7,false),1)="A","W",if(LEFT(VLOOKUP($B255,'Round 1'!$B$2:$H$361,7,false),1)="B","L","")),if(LEFT(VLOOKUP($B255,'Round 1'!$F$2:$H$361,3,false),1)="b","W",if(LEFT(VLOOKUP($B255,'Round 1'!$F$2:$H$361,3,false),1)="a","L","")))</f>
        <v>W</v>
      </c>
      <c r="E255" s="67" t="str">
        <f>iferror(if(LEFT(VLOOKUP($B255,'Round 2'!$C$2:$J$361,8,false),1)="A","W",if(LEFT(VLOOKUP($B255,'Round 2'!$C$2:$J$361,8,false),1)="B","L","")),if(LEFT(VLOOKUP($B255,'Round 2'!$G$2:$J$361,4,false),1)="b","W",if(LEFT(VLOOKUP($B255,'Round 2'!$G$2:$J$361,4,false),1)="a","L","")))</f>
        <v>L</v>
      </c>
      <c r="F255" s="67" t="str">
        <f>iferror(if(LEFT(VLOOKUP($B255,'Round 3'!$B$2:$H$361,7,false),1)="A","W",if(LEFT(VLOOKUP($B255,'Round 3'!$B$2:$H$361,7,false),1)="B","L","")),if(LEFT(VLOOKUP($B255,'Round 3'!$F$2:$H$361,3,false),1)="b","W",if(LEFT(VLOOKUP($B255,'Round 3'!$F$2:$H$361,3,false),1)="a","L","")))</f>
        <v>W</v>
      </c>
      <c r="G255" s="67" t="str">
        <f>iferror(if(LEFT(VLOOKUP($B255,'Round 4'!$B$2:$H$361,7,false),1)="A","W",if(LEFT(VLOOKUP($B255,'Round 4'!$B$2:$H$361,7,false),1)="B","L","")),if(LEFT(VLOOKUP($B255,'Round 4'!$F$2:$H$361,3,false),1)="b","W",if(LEFT(VLOOKUP($B255,'Round 4'!$F$2:$H$361,3,false),1)="a","L","")))</f>
        <v>L</v>
      </c>
      <c r="H255" s="67" t="str">
        <f>iferror(if(LEFT(VLOOKUP($B255,'Round 5'!$B$2:$H$361,7,false),1)="A","W",if(LEFT(VLOOKUP($B255,'Round 5'!$B$2:$H$361,7,false),1)="B","L","")),if(LEFT(VLOOKUP($B255,'Round 5'!$F$2:$H$361,3,false),1)="b","W",if(LEFT(VLOOKUP($B255,'Round 5'!$F$2:$H$361,3,false),1)="a","L","")))</f>
        <v>L</v>
      </c>
      <c r="I255" s="67"/>
      <c r="J255" s="67" t="str">
        <f>iferror(iferror(if(LEFT(VLOOKUP($B255,'Round 7'!$B$2:$H$361,7,false),1)="A","W",if(LEFT(VLOOKUP($B255,'Round 7'!$B$2:$H$361,7,false),1)="B","L","")),if(LEFT(VLOOKUP($B255,'Round 7'!$F$2:$H$361,3,false),1)="b","W",if(LEFT(VLOOKUP($B255,'Round 7'!$F$2:$H$361,3,false),1)="a","L",""))),"")</f>
        <v/>
      </c>
      <c r="K255" s="68" t="str">
        <f>iferror(iferror(if(LEFT(VLOOKUP($B255,'Round 8'!$B$2:$H$361,7,false),1)="A","W",if(LEFT(VLOOKUP($B255,'Round 8'!$B$2:$H$361,7,false),1)="B","L","")),if(LEFT(VLOOKUP($B255,'Round 8'!$F$2:$H$361,3,false),1)="b","W",if(LEFT(VLOOKUP($B255,'Round 8'!$F$2:$H$361,3,false),1)="a","L",""))),"")</f>
        <v/>
      </c>
      <c r="L255" s="68" t="str">
        <f>iferror(iferror(if(LEFT(VLOOKUP($B255,'Round 9'!$B$2:$H$361,7,false),1)="A","W",if(LEFT(VLOOKUP($B255,'Round 9'!$B$2:$H$361,7,false),1)="B","L","")),if(LEFT(VLOOKUP($B255,'Round 9'!$F$2:$H$361,3,false),1)="b","W",if(LEFT(VLOOKUP($B255,'Round 9'!$F$2:$H$361,3,false),1)="a","L",""))),"")</f>
        <v/>
      </c>
      <c r="M255" s="68" t="str">
        <f>iferror(iferror(if(LEFT(VLOOKUP($B255,'Round 10'!$B$2:$H$362,7,false),1)="A","W",if(LEFT(VLOOKUP($B255,'Round 10'!$B$2:$H$362,7,false),1)="B","L","")),if(LEFT(VLOOKUP($B255,'Round 10'!$F$2:$H$362,3,false),1)="b","W",if(LEFT(VLOOKUP($B255,'Round 10'!$F$2:$H$362,3,false),1)="a","L",""))),"")</f>
        <v/>
      </c>
      <c r="N255" s="62" t="s">
        <v>578</v>
      </c>
    </row>
    <row r="256">
      <c r="A256" s="63">
        <v>255.0</v>
      </c>
      <c r="B256" s="64" t="s">
        <v>579</v>
      </c>
      <c r="C256" s="65" t="str">
        <f t="shared" si="1"/>
        <v>2 - 3</v>
      </c>
      <c r="D256" s="67" t="str">
        <f>iferror(if(LEFT(VLOOKUP($B256,'Round 1'!$B$2:$H$361,7,false),1)="A","W",if(LEFT(VLOOKUP($B256,'Round 1'!$B$2:$H$361,7,false),1)="B","L","")),if(LEFT(VLOOKUP($B256,'Round 1'!$F$2:$H$361,3,false),1)="b","W",if(LEFT(VLOOKUP($B256,'Round 1'!$F$2:$H$361,3,false),1)="a","L","")))</f>
        <v>L</v>
      </c>
      <c r="E256" s="67" t="str">
        <f>iferror(if(LEFT(VLOOKUP($B256,'Round 2'!$C$2:$J$361,8,false),1)="A","W",if(LEFT(VLOOKUP($B256,'Round 2'!$C$2:$J$361,8,false),1)="B","L","")),if(LEFT(VLOOKUP($B256,'Round 2'!$G$2:$J$361,4,false),1)="b","W",if(LEFT(VLOOKUP($B256,'Round 2'!$G$2:$J$361,4,false),1)="a","L","")))</f>
        <v>W</v>
      </c>
      <c r="F256" s="67" t="str">
        <f>iferror(if(LEFT(VLOOKUP($B256,'Round 3'!$B$2:$H$361,7,false),1)="A","W",if(LEFT(VLOOKUP($B256,'Round 3'!$B$2:$H$361,7,false),1)="B","L","")),if(LEFT(VLOOKUP($B256,'Round 3'!$F$2:$H$361,3,false),1)="b","W",if(LEFT(VLOOKUP($B256,'Round 3'!$F$2:$H$361,3,false),1)="a","L","")))</f>
        <v>W</v>
      </c>
      <c r="G256" s="67" t="str">
        <f>iferror(if(LEFT(VLOOKUP($B256,'Round 4'!$B$2:$H$361,7,false),1)="A","W",if(LEFT(VLOOKUP($B256,'Round 4'!$B$2:$H$361,7,false),1)="B","L","")),if(LEFT(VLOOKUP($B256,'Round 4'!$F$2:$H$361,3,false),1)="b","W",if(LEFT(VLOOKUP($B256,'Round 4'!$F$2:$H$361,3,false),1)="a","L","")))</f>
        <v>L</v>
      </c>
      <c r="H256" s="67" t="str">
        <f>iferror(if(LEFT(VLOOKUP($B256,'Round 5'!$B$2:$H$361,7,false),1)="A","W",if(LEFT(VLOOKUP($B256,'Round 5'!$B$2:$H$361,7,false),1)="B","L","")),if(LEFT(VLOOKUP($B256,'Round 5'!$F$2:$H$361,3,false),1)="b","W",if(LEFT(VLOOKUP($B256,'Round 5'!$F$2:$H$361,3,false),1)="a","L","")))</f>
        <v>L</v>
      </c>
      <c r="I256" s="67"/>
      <c r="J256" s="67" t="str">
        <f>iferror(iferror(if(LEFT(VLOOKUP($B256,'Round 7'!$B$2:$H$361,7,false),1)="A","W",if(LEFT(VLOOKUP($B256,'Round 7'!$B$2:$H$361,7,false),1)="B","L","")),if(LEFT(VLOOKUP($B256,'Round 7'!$F$2:$H$361,3,false),1)="b","W",if(LEFT(VLOOKUP($B256,'Round 7'!$F$2:$H$361,3,false),1)="a","L",""))),"")</f>
        <v/>
      </c>
      <c r="K256" s="68" t="str">
        <f>iferror(iferror(if(LEFT(VLOOKUP($B256,'Round 8'!$B$2:$H$361,7,false),1)="A","W",if(LEFT(VLOOKUP($B256,'Round 8'!$B$2:$H$361,7,false),1)="B","L","")),if(LEFT(VLOOKUP($B256,'Round 8'!$F$2:$H$361,3,false),1)="b","W",if(LEFT(VLOOKUP($B256,'Round 8'!$F$2:$H$361,3,false),1)="a","L",""))),"")</f>
        <v/>
      </c>
      <c r="L256" s="68" t="str">
        <f>iferror(iferror(if(LEFT(VLOOKUP($B256,'Round 9'!$B$2:$H$361,7,false),1)="A","W",if(LEFT(VLOOKUP($B256,'Round 9'!$B$2:$H$361,7,false),1)="B","L","")),if(LEFT(VLOOKUP($B256,'Round 9'!$F$2:$H$361,3,false),1)="b","W",if(LEFT(VLOOKUP($B256,'Round 9'!$F$2:$H$361,3,false),1)="a","L",""))),"")</f>
        <v/>
      </c>
      <c r="M256" s="68" t="str">
        <f>iferror(iferror(if(LEFT(VLOOKUP($B256,'Round 10'!$B$2:$H$362,7,false),1)="A","W",if(LEFT(VLOOKUP($B256,'Round 10'!$B$2:$H$362,7,false),1)="B","L","")),if(LEFT(VLOOKUP($B256,'Round 10'!$F$2:$H$362,3,false),1)="b","W",if(LEFT(VLOOKUP($B256,'Round 10'!$F$2:$H$362,3,false),1)="a","L",""))),"")</f>
        <v/>
      </c>
      <c r="N256" s="62" t="s">
        <v>580</v>
      </c>
    </row>
    <row r="257">
      <c r="A257" s="63">
        <v>256.0</v>
      </c>
      <c r="B257" s="64" t="s">
        <v>581</v>
      </c>
      <c r="C257" s="65" t="str">
        <f t="shared" si="1"/>
        <v>1 - 3</v>
      </c>
      <c r="D257" s="67" t="str">
        <f>iferror(if(LEFT(VLOOKUP($B257,'Round 1'!$B$2:$H$361,7,false),1)="A","W",if(LEFT(VLOOKUP($B257,'Round 1'!$B$2:$H$361,7,false),1)="B","L","")),if(LEFT(VLOOKUP($B257,'Round 1'!$F$2:$H$361,3,false),1)="b","W",if(LEFT(VLOOKUP($B257,'Round 1'!$F$2:$H$361,3,false),1)="a","L","")))</f>
        <v>L</v>
      </c>
      <c r="E257" s="67" t="str">
        <f>iferror(if(LEFT(VLOOKUP($B257,'Round 2'!$C$2:$J$361,8,false),1)="A","W",if(LEFT(VLOOKUP($B257,'Round 2'!$C$2:$J$361,8,false),1)="B","L","")),if(LEFT(VLOOKUP($B257,'Round 2'!$G$2:$J$361,4,false),1)="b","W",if(LEFT(VLOOKUP($B257,'Round 2'!$G$2:$J$361,4,false),1)="a","L","")))</f>
        <v>L</v>
      </c>
      <c r="F257" s="67" t="str">
        <f>iferror(if(LEFT(VLOOKUP($B257,'Round 3'!$B$2:$H$361,7,false),1)="A","W",if(LEFT(VLOOKUP($B257,'Round 3'!$B$2:$H$361,7,false),1)="B","L","")),if(LEFT(VLOOKUP($B257,'Round 3'!$F$2:$H$361,3,false),1)="b","W",if(LEFT(VLOOKUP($B257,'Round 3'!$F$2:$H$361,3,false),1)="a","L","")))</f>
        <v>W</v>
      </c>
      <c r="G257" s="67" t="str">
        <f>iferror(if(LEFT(VLOOKUP($B257,'Round 4'!$B$2:$H$361,7,false),1)="A","W",if(LEFT(VLOOKUP($B257,'Round 4'!$B$2:$H$361,7,false),1)="B","L","")),if(LEFT(VLOOKUP($B257,'Round 4'!$F$2:$H$361,3,false),1)="b","W",if(LEFT(VLOOKUP($B257,'Round 4'!$F$2:$H$361,3,false),1)="a","L","")))</f>
        <v>L</v>
      </c>
      <c r="H257" s="67"/>
      <c r="I257" s="67"/>
      <c r="J257" s="67" t="str">
        <f>iferror(iferror(if(LEFT(VLOOKUP($B257,'Round 7'!$B$2:$H$361,7,false),1)="A","W",if(LEFT(VLOOKUP($B257,'Round 7'!$B$2:$H$361,7,false),1)="B","L","")),if(LEFT(VLOOKUP($B257,'Round 7'!$F$2:$H$361,3,false),1)="b","W",if(LEFT(VLOOKUP($B257,'Round 7'!$F$2:$H$361,3,false),1)="a","L",""))),"")</f>
        <v/>
      </c>
      <c r="K257" s="68" t="str">
        <f>iferror(iferror(if(LEFT(VLOOKUP($B257,'Round 8'!$B$2:$H$361,7,false),1)="A","W",if(LEFT(VLOOKUP($B257,'Round 8'!$B$2:$H$361,7,false),1)="B","L","")),if(LEFT(VLOOKUP($B257,'Round 8'!$F$2:$H$361,3,false),1)="b","W",if(LEFT(VLOOKUP($B257,'Round 8'!$F$2:$H$361,3,false),1)="a","L",""))),"")</f>
        <v/>
      </c>
      <c r="L257" s="68" t="str">
        <f>iferror(iferror(if(LEFT(VLOOKUP($B257,'Round 9'!$B$2:$H$361,7,false),1)="A","W",if(LEFT(VLOOKUP($B257,'Round 9'!$B$2:$H$361,7,false),1)="B","L","")),if(LEFT(VLOOKUP($B257,'Round 9'!$F$2:$H$361,3,false),1)="b","W",if(LEFT(VLOOKUP($B257,'Round 9'!$F$2:$H$361,3,false),1)="a","L",""))),"")</f>
        <v/>
      </c>
      <c r="M257" s="68" t="str">
        <f>iferror(iferror(if(LEFT(VLOOKUP($B257,'Round 10'!$B$2:$H$362,7,false),1)="A","W",if(LEFT(VLOOKUP($B257,'Round 10'!$B$2:$H$362,7,false),1)="B","L","")),if(LEFT(VLOOKUP($B257,'Round 10'!$F$2:$H$362,3,false),1)="b","W",if(LEFT(VLOOKUP($B257,'Round 10'!$F$2:$H$362,3,false),1)="a","L",""))),"")</f>
        <v/>
      </c>
      <c r="N257" s="62" t="s">
        <v>582</v>
      </c>
    </row>
    <row r="258">
      <c r="A258" s="64">
        <v>257.0</v>
      </c>
      <c r="B258" s="64" t="s">
        <v>583</v>
      </c>
      <c r="C258" s="65" t="str">
        <f t="shared" si="1"/>
        <v>4 - 3</v>
      </c>
      <c r="D258" s="67" t="str">
        <f>iferror(if(LEFT(VLOOKUP($B258,'Round 1'!$B$2:$H$361,7,false),1)="A","W",if(LEFT(VLOOKUP($B258,'Round 1'!$B$2:$H$361,7,false),1)="B","L","")),if(LEFT(VLOOKUP($B258,'Round 1'!$F$2:$H$361,3,false),1)="b","W",if(LEFT(VLOOKUP($B258,'Round 1'!$F$2:$H$361,3,false),1)="a","L","")))</f>
        <v>W</v>
      </c>
      <c r="E258" s="67" t="str">
        <f>iferror(if(LEFT(VLOOKUP($B258,'Round 2'!$C$2:$J$361,8,false),1)="A","W",if(LEFT(VLOOKUP($B258,'Round 2'!$C$2:$J$361,8,false),1)="B","L","")),if(LEFT(VLOOKUP($B258,'Round 2'!$G$2:$J$361,4,false),1)="b","W",if(LEFT(VLOOKUP($B258,'Round 2'!$G$2:$J$361,4,false),1)="a","L","")))</f>
        <v>W</v>
      </c>
      <c r="F258" s="67" t="str">
        <f>iferror(if(LEFT(VLOOKUP($B258,'Round 3'!$B$2:$H$361,7,false),1)="A","W",if(LEFT(VLOOKUP($B258,'Round 3'!$B$2:$H$361,7,false),1)="B","L","")),if(LEFT(VLOOKUP($B258,'Round 3'!$F$2:$H$361,3,false),1)="b","W",if(LEFT(VLOOKUP($B258,'Round 3'!$F$2:$H$361,3,false),1)="a","L","")))</f>
        <v>L</v>
      </c>
      <c r="G258" s="67" t="str">
        <f>iferror(if(LEFT(VLOOKUP($B258,'Round 4'!$B$2:$H$361,7,false),1)="A","W",if(LEFT(VLOOKUP($B258,'Round 4'!$B$2:$H$361,7,false),1)="B","L","")),if(LEFT(VLOOKUP($B258,'Round 4'!$F$2:$H$361,3,false),1)="b","W",if(LEFT(VLOOKUP($B258,'Round 4'!$F$2:$H$361,3,false),1)="a","L","")))</f>
        <v>W</v>
      </c>
      <c r="H258" s="67" t="str">
        <f>iferror(if(LEFT(VLOOKUP($B258,'Round 5'!$B$2:$H$361,7,false),1)="A","W",if(LEFT(VLOOKUP($B258,'Round 5'!$B$2:$H$361,7,false),1)="B","L","")),if(LEFT(VLOOKUP($B258,'Round 5'!$F$2:$H$361,3,false),1)="b","W",if(LEFT(VLOOKUP($B258,'Round 5'!$F$2:$H$361,3,false),1)="a","L","")))</f>
        <v>L</v>
      </c>
      <c r="I258" s="67" t="str">
        <f>iferror(if(LEFT(VLOOKUP($B258,'Round 6'!$B$2:$H$361,7,false),1)="A","W",if(LEFT(VLOOKUP($B258,'Round 6'!$B$2:$H$361,7,false),1)="B","L","")),if(LEFT(VLOOKUP($B258,'Round 6'!$F$2:$H$361,3,false),1)="b","W",if(LEFT(VLOOKUP($B258,'Round 6'!$F$2:$H$361,3,false),1)="a","L","")))</f>
        <v>W</v>
      </c>
      <c r="J258" s="67" t="str">
        <f>iferror(iferror(if(LEFT(VLOOKUP($B258,'Round 7'!$B$2:$H$361,7,false),1)="A","W",if(LEFT(VLOOKUP($B258,'Round 7'!$B$2:$H$361,7,false),1)="B","L","")),if(LEFT(VLOOKUP($B258,'Round 7'!$F$2:$H$361,3,false),1)="b","W",if(LEFT(VLOOKUP($B258,'Round 7'!$F$2:$H$361,3,false),1)="a","L",""))),"")</f>
        <v>L</v>
      </c>
      <c r="K258" s="68" t="str">
        <f>iferror(iferror(if(LEFT(VLOOKUP($B258,'Round 8'!$B$2:$H$361,7,false),1)="A","W",if(LEFT(VLOOKUP($B258,'Round 8'!$B$2:$H$361,7,false),1)="B","L","")),if(LEFT(VLOOKUP($B258,'Round 8'!$F$2:$H$361,3,false),1)="b","W",if(LEFT(VLOOKUP($B258,'Round 8'!$F$2:$H$361,3,false),1)="a","L",""))),"")</f>
        <v/>
      </c>
      <c r="L258" s="68" t="str">
        <f>iferror(iferror(if(LEFT(VLOOKUP($B258,'Round 9'!$B$2:$H$361,7,false),1)="A","W",if(LEFT(VLOOKUP($B258,'Round 9'!$B$2:$H$361,7,false),1)="B","L","")),if(LEFT(VLOOKUP($B258,'Round 9'!$F$2:$H$361,3,false),1)="b","W",if(LEFT(VLOOKUP($B258,'Round 9'!$F$2:$H$361,3,false),1)="a","L",""))),"")</f>
        <v/>
      </c>
      <c r="M258" s="68" t="str">
        <f>iferror(iferror(if(LEFT(VLOOKUP($B258,'Round 10'!$B$2:$H$362,7,false),1)="A","W",if(LEFT(VLOOKUP($B258,'Round 10'!$B$2:$H$362,7,false),1)="B","L","")),if(LEFT(VLOOKUP($B258,'Round 10'!$F$2:$H$362,3,false),1)="b","W",if(LEFT(VLOOKUP($B258,'Round 10'!$F$2:$H$362,3,false),1)="a","L",""))),"")</f>
        <v/>
      </c>
      <c r="N258" s="62" t="s">
        <v>584</v>
      </c>
    </row>
    <row r="259">
      <c r="A259" s="63">
        <v>258.0</v>
      </c>
      <c r="B259" s="64" t="s">
        <v>585</v>
      </c>
      <c r="C259" s="65" t="str">
        <f t="shared" si="1"/>
        <v>3 - 3</v>
      </c>
      <c r="D259" s="67" t="str">
        <f>iferror(if(LEFT(VLOOKUP($B259,'Round 1'!$B$2:$H$361,7,false),1)="A","W",if(LEFT(VLOOKUP($B259,'Round 1'!$B$2:$H$361,7,false),1)="B","L","")),if(LEFT(VLOOKUP($B259,'Round 1'!$F$2:$H$361,3,false),1)="b","W",if(LEFT(VLOOKUP($B259,'Round 1'!$F$2:$H$361,3,false),1)="a","L","")))</f>
        <v>L</v>
      </c>
      <c r="E259" s="67" t="str">
        <f>iferror(if(LEFT(VLOOKUP($B259,'Round 2'!$C$2:$J$361,8,false),1)="A","W",if(LEFT(VLOOKUP($B259,'Round 2'!$C$2:$J$361,8,false),1)="B","L","")),if(LEFT(VLOOKUP($B259,'Round 2'!$G$2:$J$361,4,false),1)="b","W",if(LEFT(VLOOKUP($B259,'Round 2'!$G$2:$J$361,4,false),1)="a","L","")))</f>
        <v>W</v>
      </c>
      <c r="F259" s="67" t="str">
        <f>iferror(if(LEFT(VLOOKUP($B259,'Round 3'!$B$2:$H$361,7,false),1)="A","W",if(LEFT(VLOOKUP($B259,'Round 3'!$B$2:$H$361,7,false),1)="B","L","")),if(LEFT(VLOOKUP($B259,'Round 3'!$F$2:$H$361,3,false),1)="b","W",if(LEFT(VLOOKUP($B259,'Round 3'!$F$2:$H$361,3,false),1)="a","L","")))</f>
        <v>W</v>
      </c>
      <c r="G259" s="67" t="str">
        <f>iferror(if(LEFT(VLOOKUP($B259,'Round 4'!$B$2:$H$361,7,false),1)="A","W",if(LEFT(VLOOKUP($B259,'Round 4'!$B$2:$H$361,7,false),1)="B","L","")),if(LEFT(VLOOKUP($B259,'Round 4'!$F$2:$H$361,3,false),1)="b","W",if(LEFT(VLOOKUP($B259,'Round 4'!$F$2:$H$361,3,false),1)="a","L","")))</f>
        <v>L</v>
      </c>
      <c r="H259" s="67" t="str">
        <f>iferror(if(LEFT(VLOOKUP($B259,'Round 5'!$B$2:$H$361,7,false),1)="A","W",if(LEFT(VLOOKUP($B259,'Round 5'!$B$2:$H$361,7,false),1)="B","L","")),if(LEFT(VLOOKUP($B259,'Round 5'!$F$2:$H$361,3,false),1)="b","W",if(LEFT(VLOOKUP($B259,'Round 5'!$F$2:$H$361,3,false),1)="a","L","")))</f>
        <v>W</v>
      </c>
      <c r="I259" s="67" t="str">
        <f>iferror(if(LEFT(VLOOKUP($B259,'Round 6'!$B$2:$H$361,7,false),1)="A","W",if(LEFT(VLOOKUP($B259,'Round 6'!$B$2:$H$361,7,false),1)="B","L","")),if(LEFT(VLOOKUP($B259,'Round 6'!$F$2:$H$361,3,false),1)="b","W",if(LEFT(VLOOKUP($B259,'Round 6'!$F$2:$H$361,3,false),1)="a","L","")))</f>
        <v>L</v>
      </c>
      <c r="J259" s="67" t="str">
        <f>iferror(iferror(if(LEFT(VLOOKUP($B259,'Round 7'!$B$2:$H$361,7,false),1)="A","W",if(LEFT(VLOOKUP($B259,'Round 7'!$B$2:$H$361,7,false),1)="B","L","")),if(LEFT(VLOOKUP($B259,'Round 7'!$F$2:$H$361,3,false),1)="b","W",if(LEFT(VLOOKUP($B259,'Round 7'!$F$2:$H$361,3,false),1)="a","L",""))),"")</f>
        <v/>
      </c>
      <c r="K259" s="68" t="str">
        <f>iferror(iferror(if(LEFT(VLOOKUP($B259,'Round 8'!$B$2:$H$361,7,false),1)="A","W",if(LEFT(VLOOKUP($B259,'Round 8'!$B$2:$H$361,7,false),1)="B","L","")),if(LEFT(VLOOKUP($B259,'Round 8'!$F$2:$H$361,3,false),1)="b","W",if(LEFT(VLOOKUP($B259,'Round 8'!$F$2:$H$361,3,false),1)="a","L",""))),"")</f>
        <v/>
      </c>
      <c r="L259" s="68" t="str">
        <f>iferror(iferror(if(LEFT(VLOOKUP($B259,'Round 9'!$B$2:$H$361,7,false),1)="A","W",if(LEFT(VLOOKUP($B259,'Round 9'!$B$2:$H$361,7,false),1)="B","L","")),if(LEFT(VLOOKUP($B259,'Round 9'!$F$2:$H$361,3,false),1)="b","W",if(LEFT(VLOOKUP($B259,'Round 9'!$F$2:$H$361,3,false),1)="a","L",""))),"")</f>
        <v/>
      </c>
      <c r="M259" s="68" t="str">
        <f>iferror(iferror(if(LEFT(VLOOKUP($B259,'Round 10'!$B$2:$H$362,7,false),1)="A","W",if(LEFT(VLOOKUP($B259,'Round 10'!$B$2:$H$362,7,false),1)="B","L","")),if(LEFT(VLOOKUP($B259,'Round 10'!$F$2:$H$362,3,false),1)="b","W",if(LEFT(VLOOKUP($B259,'Round 10'!$F$2:$H$362,3,false),1)="a","L",""))),"")</f>
        <v/>
      </c>
      <c r="N259" s="62" t="s">
        <v>586</v>
      </c>
    </row>
    <row r="260">
      <c r="A260" s="63">
        <v>259.0</v>
      </c>
      <c r="B260" s="64" t="s">
        <v>587</v>
      </c>
      <c r="C260" s="65" t="str">
        <f t="shared" si="1"/>
        <v>0 - 3</v>
      </c>
      <c r="D260" s="67" t="str">
        <f>iferror(if(LEFT(VLOOKUP($B260,'Round 1'!$B$2:$H$361,7,false),1)="A","W",if(LEFT(VLOOKUP($B260,'Round 1'!$B$2:$H$361,7,false),1)="B","L","")),if(LEFT(VLOOKUP($B260,'Round 1'!$F$2:$H$361,3,false),1)="b","W",if(LEFT(VLOOKUP($B260,'Round 1'!$F$2:$H$361,3,false),1)="a","L","")))</f>
        <v>L</v>
      </c>
      <c r="E260" s="67" t="str">
        <f>iferror(if(LEFT(VLOOKUP($B260,'Round 2'!$C$2:$J$361,8,false),1)="A","W",if(LEFT(VLOOKUP($B260,'Round 2'!$C$2:$J$361,8,false),1)="B","L","")),if(LEFT(VLOOKUP($B260,'Round 2'!$G$2:$J$361,4,false),1)="b","W",if(LEFT(VLOOKUP($B260,'Round 2'!$G$2:$J$361,4,false),1)="a","L","")))</f>
        <v>L</v>
      </c>
      <c r="F260" s="67" t="str">
        <f>iferror(if(LEFT(VLOOKUP($B260,'Round 3'!$B$2:$H$361,7,false),1)="A","W",if(LEFT(VLOOKUP($B260,'Round 3'!$B$2:$H$361,7,false),1)="B","L","")),if(LEFT(VLOOKUP($B260,'Round 3'!$F$2:$H$361,3,false),1)="b","W",if(LEFT(VLOOKUP($B260,'Round 3'!$F$2:$H$361,3,false),1)="a","L","")))</f>
        <v>L</v>
      </c>
      <c r="G260" s="67"/>
      <c r="H260" s="67"/>
      <c r="I260" s="67"/>
      <c r="J260" s="67" t="str">
        <f>iferror(iferror(if(LEFT(VLOOKUP($B260,'Round 7'!$B$2:$H$361,7,false),1)="A","W",if(LEFT(VLOOKUP($B260,'Round 7'!$B$2:$H$361,7,false),1)="B","L","")),if(LEFT(VLOOKUP($B260,'Round 7'!$F$2:$H$361,3,false),1)="b","W",if(LEFT(VLOOKUP($B260,'Round 7'!$F$2:$H$361,3,false),1)="a","L",""))),"")</f>
        <v/>
      </c>
      <c r="K260" s="68" t="str">
        <f>iferror(iferror(if(LEFT(VLOOKUP($B260,'Round 8'!$B$2:$H$361,7,false),1)="A","W",if(LEFT(VLOOKUP($B260,'Round 8'!$B$2:$H$361,7,false),1)="B","L","")),if(LEFT(VLOOKUP($B260,'Round 8'!$F$2:$H$361,3,false),1)="b","W",if(LEFT(VLOOKUP($B260,'Round 8'!$F$2:$H$361,3,false),1)="a","L",""))),"")</f>
        <v/>
      </c>
      <c r="L260" s="68" t="str">
        <f>iferror(iferror(if(LEFT(VLOOKUP($B260,'Round 9'!$B$2:$H$361,7,false),1)="A","W",if(LEFT(VLOOKUP($B260,'Round 9'!$B$2:$H$361,7,false),1)="B","L","")),if(LEFT(VLOOKUP($B260,'Round 9'!$F$2:$H$361,3,false),1)="b","W",if(LEFT(VLOOKUP($B260,'Round 9'!$F$2:$H$361,3,false),1)="a","L",""))),"")</f>
        <v/>
      </c>
      <c r="M260" s="68" t="str">
        <f>iferror(iferror(if(LEFT(VLOOKUP($B260,'Round 10'!$B$2:$H$362,7,false),1)="A","W",if(LEFT(VLOOKUP($B260,'Round 10'!$B$2:$H$362,7,false),1)="B","L","")),if(LEFT(VLOOKUP($B260,'Round 10'!$F$2:$H$362,3,false),1)="b","W",if(LEFT(VLOOKUP($B260,'Round 10'!$F$2:$H$362,3,false),1)="a","L",""))),"")</f>
        <v/>
      </c>
      <c r="N260" s="62" t="s">
        <v>588</v>
      </c>
    </row>
    <row r="261">
      <c r="A261" s="63">
        <v>260.0</v>
      </c>
      <c r="B261" s="64" t="s">
        <v>589</v>
      </c>
      <c r="C261" s="65" t="str">
        <f t="shared" si="1"/>
        <v>3 - 3</v>
      </c>
      <c r="D261" s="67" t="str">
        <f>iferror(if(LEFT(VLOOKUP($B261,'Round 1'!$B$2:$H$361,7,false),1)="A","W",if(LEFT(VLOOKUP($B261,'Round 1'!$B$2:$H$361,7,false),1)="B","L","")),if(LEFT(VLOOKUP($B261,'Round 1'!$F$2:$H$361,3,false),1)="b","W",if(LEFT(VLOOKUP($B261,'Round 1'!$F$2:$H$361,3,false),1)="a","L","")))</f>
        <v>W</v>
      </c>
      <c r="E261" s="67" t="str">
        <f>iferror(if(LEFT(VLOOKUP($B261,'Round 2'!$C$2:$J$361,8,false),1)="A","W",if(LEFT(VLOOKUP($B261,'Round 2'!$C$2:$J$361,8,false),1)="B","L","")),if(LEFT(VLOOKUP($B261,'Round 2'!$G$2:$J$361,4,false),1)="b","W",if(LEFT(VLOOKUP($B261,'Round 2'!$G$2:$J$361,4,false),1)="a","L","")))</f>
        <v>W</v>
      </c>
      <c r="F261" s="67" t="str">
        <f>iferror(if(LEFT(VLOOKUP($B261,'Round 3'!$B$2:$H$361,7,false),1)="A","W",if(LEFT(VLOOKUP($B261,'Round 3'!$B$2:$H$361,7,false),1)="B","L","")),if(LEFT(VLOOKUP($B261,'Round 3'!$F$2:$H$361,3,false),1)="b","W",if(LEFT(VLOOKUP($B261,'Round 3'!$F$2:$H$361,3,false),1)="a","L","")))</f>
        <v>L</v>
      </c>
      <c r="G261" s="67" t="str">
        <f>iferror(if(LEFT(VLOOKUP($B261,'Round 4'!$B$2:$H$361,7,false),1)="A","W",if(LEFT(VLOOKUP($B261,'Round 4'!$B$2:$H$361,7,false),1)="B","L","")),if(LEFT(VLOOKUP($B261,'Round 4'!$F$2:$H$361,3,false),1)="b","W",if(LEFT(VLOOKUP($B261,'Round 4'!$F$2:$H$361,3,false),1)="a","L","")))</f>
        <v>L</v>
      </c>
      <c r="H261" s="67" t="str">
        <f>iferror(if(LEFT(VLOOKUP($B261,'Round 5'!$B$2:$H$361,7,false),1)="A","W",if(LEFT(VLOOKUP($B261,'Round 5'!$B$2:$H$361,7,false),1)="B","L","")),if(LEFT(VLOOKUP($B261,'Round 5'!$F$2:$H$361,3,false),1)="b","W",if(LEFT(VLOOKUP($B261,'Round 5'!$F$2:$H$361,3,false),1)="a","L","")))</f>
        <v>W</v>
      </c>
      <c r="I261" s="67" t="str">
        <f>iferror(if(LEFT(VLOOKUP($B261,'Round 6'!$B$2:$H$361,7,false),1)="A","W",if(LEFT(VLOOKUP($B261,'Round 6'!$B$2:$H$361,7,false),1)="B","L","")),if(LEFT(VLOOKUP($B261,'Round 6'!$F$2:$H$361,3,false),1)="b","W",if(LEFT(VLOOKUP($B261,'Round 6'!$F$2:$H$361,3,false),1)="a","L","")))</f>
        <v>L</v>
      </c>
      <c r="J261" s="67" t="str">
        <f>iferror(iferror(if(LEFT(VLOOKUP($B261,'Round 7'!$B$2:$H$361,7,false),1)="A","W",if(LEFT(VLOOKUP($B261,'Round 7'!$B$2:$H$361,7,false),1)="B","L","")),if(LEFT(VLOOKUP($B261,'Round 7'!$F$2:$H$361,3,false),1)="b","W",if(LEFT(VLOOKUP($B261,'Round 7'!$F$2:$H$361,3,false),1)="a","L",""))),"")</f>
        <v/>
      </c>
      <c r="K261" s="68" t="str">
        <f>iferror(iferror(if(LEFT(VLOOKUP($B261,'Round 8'!$B$2:$H$361,7,false),1)="A","W",if(LEFT(VLOOKUP($B261,'Round 8'!$B$2:$H$361,7,false),1)="B","L","")),if(LEFT(VLOOKUP($B261,'Round 8'!$F$2:$H$361,3,false),1)="b","W",if(LEFT(VLOOKUP($B261,'Round 8'!$F$2:$H$361,3,false),1)="a","L",""))),"")</f>
        <v/>
      </c>
      <c r="L261" s="68" t="str">
        <f>iferror(iferror(if(LEFT(VLOOKUP($B261,'Round 9'!$B$2:$H$361,7,false),1)="A","W",if(LEFT(VLOOKUP($B261,'Round 9'!$B$2:$H$361,7,false),1)="B","L","")),if(LEFT(VLOOKUP($B261,'Round 9'!$F$2:$H$361,3,false),1)="b","W",if(LEFT(VLOOKUP($B261,'Round 9'!$F$2:$H$361,3,false),1)="a","L",""))),"")</f>
        <v/>
      </c>
      <c r="M261" s="68" t="str">
        <f>iferror(iferror(if(LEFT(VLOOKUP($B261,'Round 10'!$B$2:$H$362,7,false),1)="A","W",if(LEFT(VLOOKUP($B261,'Round 10'!$B$2:$H$362,7,false),1)="B","L","")),if(LEFT(VLOOKUP($B261,'Round 10'!$F$2:$H$362,3,false),1)="b","W",if(LEFT(VLOOKUP($B261,'Round 10'!$F$2:$H$362,3,false),1)="a","L",""))),"")</f>
        <v/>
      </c>
      <c r="N261" s="62" t="s">
        <v>590</v>
      </c>
    </row>
    <row r="262">
      <c r="A262" s="63">
        <v>261.0</v>
      </c>
      <c r="B262" s="64" t="s">
        <v>591</v>
      </c>
      <c r="C262" s="65" t="str">
        <f t="shared" si="1"/>
        <v>3 - 3</v>
      </c>
      <c r="D262" s="67" t="str">
        <f>iferror(if(LEFT(VLOOKUP($B262,'Round 1'!$B$2:$H$361,7,false),1)="A","W",if(LEFT(VLOOKUP($B262,'Round 1'!$B$2:$H$361,7,false),1)="B","L","")),if(LEFT(VLOOKUP($B262,'Round 1'!$F$2:$H$361,3,false),1)="b","W",if(LEFT(VLOOKUP($B262,'Round 1'!$F$2:$H$361,3,false),1)="a","L","")))</f>
        <v>L</v>
      </c>
      <c r="E262" s="67" t="str">
        <f>iferror(if(LEFT(VLOOKUP($B262,'Round 2'!$C$2:$J$361,8,false),1)="A","W",if(LEFT(VLOOKUP($B262,'Round 2'!$C$2:$J$361,8,false),1)="B","L","")),if(LEFT(VLOOKUP($B262,'Round 2'!$G$2:$J$361,4,false),1)="b","W",if(LEFT(VLOOKUP($B262,'Round 2'!$G$2:$J$361,4,false),1)="a","L","")))</f>
        <v>L</v>
      </c>
      <c r="F262" s="67" t="str">
        <f>iferror(if(LEFT(VLOOKUP($B262,'Round 3'!$B$2:$H$361,7,false),1)="A","W",if(LEFT(VLOOKUP($B262,'Round 3'!$B$2:$H$361,7,false),1)="B","L","")),if(LEFT(VLOOKUP($B262,'Round 3'!$F$2:$H$361,3,false),1)="b","W",if(LEFT(VLOOKUP($B262,'Round 3'!$F$2:$H$361,3,false),1)="a","L","")))</f>
        <v>W</v>
      </c>
      <c r="G262" s="67" t="str">
        <f>iferror(if(LEFT(VLOOKUP($B262,'Round 4'!$B$2:$H$361,7,false),1)="A","W",if(LEFT(VLOOKUP($B262,'Round 4'!$B$2:$H$361,7,false),1)="B","L","")),if(LEFT(VLOOKUP($B262,'Round 4'!$F$2:$H$361,3,false),1)="b","W",if(LEFT(VLOOKUP($B262,'Round 4'!$F$2:$H$361,3,false),1)="a","L","")))</f>
        <v>W</v>
      </c>
      <c r="H262" s="67" t="str">
        <f>iferror(if(LEFT(VLOOKUP($B262,'Round 5'!$B$2:$H$361,7,false),1)="A","W",if(LEFT(VLOOKUP($B262,'Round 5'!$B$2:$H$361,7,false),1)="B","L","")),if(LEFT(VLOOKUP($B262,'Round 5'!$F$2:$H$361,3,false),1)="b","W",if(LEFT(VLOOKUP($B262,'Round 5'!$F$2:$H$361,3,false),1)="a","L","")))</f>
        <v>W</v>
      </c>
      <c r="I262" s="67" t="str">
        <f>iferror(if(LEFT(VLOOKUP($B262,'Round 6'!$B$2:$H$361,7,false),1)="A","W",if(LEFT(VLOOKUP($B262,'Round 6'!$B$2:$H$361,7,false),1)="B","L","")),if(LEFT(VLOOKUP($B262,'Round 6'!$F$2:$H$361,3,false),1)="b","W",if(LEFT(VLOOKUP($B262,'Round 6'!$F$2:$H$361,3,false),1)="a","L","")))</f>
        <v>L</v>
      </c>
      <c r="J262" s="67" t="str">
        <f>iferror(iferror(if(LEFT(VLOOKUP($B262,'Round 7'!$B$2:$H$361,7,false),1)="A","W",if(LEFT(VLOOKUP($B262,'Round 7'!$B$2:$H$361,7,false),1)="B","L","")),if(LEFT(VLOOKUP($B262,'Round 7'!$F$2:$H$361,3,false),1)="b","W",if(LEFT(VLOOKUP($B262,'Round 7'!$F$2:$H$361,3,false),1)="a","L",""))),"")</f>
        <v/>
      </c>
      <c r="K262" s="68" t="str">
        <f>iferror(iferror(if(LEFT(VLOOKUP($B262,'Round 8'!$B$2:$H$361,7,false),1)="A","W",if(LEFT(VLOOKUP($B262,'Round 8'!$B$2:$H$361,7,false),1)="B","L","")),if(LEFT(VLOOKUP($B262,'Round 8'!$F$2:$H$361,3,false),1)="b","W",if(LEFT(VLOOKUP($B262,'Round 8'!$F$2:$H$361,3,false),1)="a","L",""))),"")</f>
        <v/>
      </c>
      <c r="L262" s="68" t="str">
        <f>iferror(iferror(if(LEFT(VLOOKUP($B262,'Round 9'!$B$2:$H$361,7,false),1)="A","W",if(LEFT(VLOOKUP($B262,'Round 9'!$B$2:$H$361,7,false),1)="B","L","")),if(LEFT(VLOOKUP($B262,'Round 9'!$F$2:$H$361,3,false),1)="b","W",if(LEFT(VLOOKUP($B262,'Round 9'!$F$2:$H$361,3,false),1)="a","L",""))),"")</f>
        <v/>
      </c>
      <c r="M262" s="68" t="str">
        <f>iferror(iferror(if(LEFT(VLOOKUP($B262,'Round 10'!$B$2:$H$362,7,false),1)="A","W",if(LEFT(VLOOKUP($B262,'Round 10'!$B$2:$H$362,7,false),1)="B","L","")),if(LEFT(VLOOKUP($B262,'Round 10'!$F$2:$H$362,3,false),1)="b","W",if(LEFT(VLOOKUP($B262,'Round 10'!$F$2:$H$362,3,false),1)="a","L",""))),"")</f>
        <v/>
      </c>
      <c r="N262" s="62" t="s">
        <v>592</v>
      </c>
    </row>
    <row r="263">
      <c r="A263" s="63">
        <v>262.0</v>
      </c>
      <c r="B263" s="64" t="s">
        <v>593</v>
      </c>
      <c r="C263" s="65" t="str">
        <f t="shared" si="1"/>
        <v>0 - 3</v>
      </c>
      <c r="D263" s="67" t="str">
        <f>iferror(if(LEFT(VLOOKUP($B263,'Round 1'!$B$2:$H$361,7,false),1)="A","W",if(LEFT(VLOOKUP($B263,'Round 1'!$B$2:$H$361,7,false),1)="B","L","")),if(LEFT(VLOOKUP($B263,'Round 1'!$F$2:$H$361,3,false),1)="b","W",if(LEFT(VLOOKUP($B263,'Round 1'!$F$2:$H$361,3,false),1)="a","L","")))</f>
        <v>L</v>
      </c>
      <c r="E263" s="67" t="str">
        <f>iferror(if(LEFT(VLOOKUP($B263,'Round 2'!$C$2:$J$361,8,false),1)="A","W",if(LEFT(VLOOKUP($B263,'Round 2'!$C$2:$J$361,8,false),1)="B","L","")),if(LEFT(VLOOKUP($B263,'Round 2'!$G$2:$J$361,4,false),1)="b","W",if(LEFT(VLOOKUP($B263,'Round 2'!$G$2:$J$361,4,false),1)="a","L","")))</f>
        <v>L</v>
      </c>
      <c r="F263" s="67" t="str">
        <f>iferror(if(LEFT(VLOOKUP($B263,'Round 3'!$B$2:$H$361,7,false),1)="A","W",if(LEFT(VLOOKUP($B263,'Round 3'!$B$2:$H$361,7,false),1)="B","L","")),if(LEFT(VLOOKUP($B263,'Round 3'!$F$2:$H$361,3,false),1)="b","W",if(LEFT(VLOOKUP($B263,'Round 3'!$F$2:$H$361,3,false),1)="a","L","")))</f>
        <v>L</v>
      </c>
      <c r="G263" s="67"/>
      <c r="H263" s="67"/>
      <c r="I263" s="67"/>
      <c r="J263" s="67" t="str">
        <f>iferror(iferror(if(LEFT(VLOOKUP($B263,'Round 7'!$B$2:$H$361,7,false),1)="A","W",if(LEFT(VLOOKUP($B263,'Round 7'!$B$2:$H$361,7,false),1)="B","L","")),if(LEFT(VLOOKUP($B263,'Round 7'!$F$2:$H$361,3,false),1)="b","W",if(LEFT(VLOOKUP($B263,'Round 7'!$F$2:$H$361,3,false),1)="a","L",""))),"")</f>
        <v/>
      </c>
      <c r="K263" s="68" t="str">
        <f>iferror(iferror(if(LEFT(VLOOKUP($B263,'Round 8'!$B$2:$H$361,7,false),1)="A","W",if(LEFT(VLOOKUP($B263,'Round 8'!$B$2:$H$361,7,false),1)="B","L","")),if(LEFT(VLOOKUP($B263,'Round 8'!$F$2:$H$361,3,false),1)="b","W",if(LEFT(VLOOKUP($B263,'Round 8'!$F$2:$H$361,3,false),1)="a","L",""))),"")</f>
        <v/>
      </c>
      <c r="L263" s="68" t="str">
        <f>iferror(iferror(if(LEFT(VLOOKUP($B263,'Round 9'!$B$2:$H$361,7,false),1)="A","W",if(LEFT(VLOOKUP($B263,'Round 9'!$B$2:$H$361,7,false),1)="B","L","")),if(LEFT(VLOOKUP($B263,'Round 9'!$F$2:$H$361,3,false),1)="b","W",if(LEFT(VLOOKUP($B263,'Round 9'!$F$2:$H$361,3,false),1)="a","L",""))),"")</f>
        <v/>
      </c>
      <c r="M263" s="68" t="str">
        <f>iferror(iferror(if(LEFT(VLOOKUP($B263,'Round 10'!$B$2:$H$362,7,false),1)="A","W",if(LEFT(VLOOKUP($B263,'Round 10'!$B$2:$H$362,7,false),1)="B","L","")),if(LEFT(VLOOKUP($B263,'Round 10'!$F$2:$H$362,3,false),1)="b","W",if(LEFT(VLOOKUP($B263,'Round 10'!$F$2:$H$362,3,false),1)="a","L",""))),"")</f>
        <v/>
      </c>
      <c r="N263" s="62" t="s">
        <v>594</v>
      </c>
    </row>
    <row r="264">
      <c r="A264" s="63">
        <v>263.0</v>
      </c>
      <c r="B264" s="64" t="s">
        <v>595</v>
      </c>
      <c r="C264" s="65" t="str">
        <f t="shared" si="1"/>
        <v>5 - 3</v>
      </c>
      <c r="D264" s="67" t="str">
        <f>iferror(if(LEFT(VLOOKUP($B264,'Round 1'!$B$2:$H$361,7,false),1)="A","W",if(LEFT(VLOOKUP($B264,'Round 1'!$B$2:$H$361,7,false),1)="B","L","")),if(LEFT(VLOOKUP($B264,'Round 1'!$F$2:$H$361,3,false),1)="b","W",if(LEFT(VLOOKUP($B264,'Round 1'!$F$2:$H$361,3,false),1)="a","L","")))</f>
        <v>L</v>
      </c>
      <c r="E264" s="67" t="str">
        <f>iferror(if(LEFT(VLOOKUP($B264,'Round 2'!$C$2:$J$361,8,false),1)="A","W",if(LEFT(VLOOKUP($B264,'Round 2'!$C$2:$J$361,8,false),1)="B","L","")),if(LEFT(VLOOKUP($B264,'Round 2'!$G$2:$J$361,4,false),1)="b","W",if(LEFT(VLOOKUP($B264,'Round 2'!$G$2:$J$361,4,false),1)="a","L","")))</f>
        <v>W</v>
      </c>
      <c r="F264" s="67" t="str">
        <f>iferror(if(LEFT(VLOOKUP($B264,'Round 3'!$B$2:$H$361,7,false),1)="A","W",if(LEFT(VLOOKUP($B264,'Round 3'!$B$2:$H$361,7,false),1)="B","L","")),if(LEFT(VLOOKUP($B264,'Round 3'!$F$2:$H$361,3,false),1)="b","W",if(LEFT(VLOOKUP($B264,'Round 3'!$F$2:$H$361,3,false),1)="a","L","")))</f>
        <v>L</v>
      </c>
      <c r="G264" s="67" t="str">
        <f>iferror(if(LEFT(VLOOKUP($B264,'Round 4'!$B$2:$H$361,7,false),1)="A","W",if(LEFT(VLOOKUP($B264,'Round 4'!$B$2:$H$361,7,false),1)="B","L","")),if(LEFT(VLOOKUP($B264,'Round 4'!$F$2:$H$361,3,false),1)="b","W",if(LEFT(VLOOKUP($B264,'Round 4'!$F$2:$H$361,3,false),1)="a","L","")))</f>
        <v>W</v>
      </c>
      <c r="H264" s="67" t="str">
        <f>iferror(if(LEFT(VLOOKUP($B264,'Round 5'!$B$2:$H$361,7,false),1)="A","W",if(LEFT(VLOOKUP($B264,'Round 5'!$B$2:$H$361,7,false),1)="B","L","")),if(LEFT(VLOOKUP($B264,'Round 5'!$F$2:$H$361,3,false),1)="b","W",if(LEFT(VLOOKUP($B264,'Round 5'!$F$2:$H$361,3,false),1)="a","L","")))</f>
        <v>W</v>
      </c>
      <c r="I264" s="67" t="str">
        <f>iferror(if(LEFT(VLOOKUP($B264,'Round 6'!$B$2:$H$361,7,false),1)="A","W",if(LEFT(VLOOKUP($B264,'Round 6'!$B$2:$H$361,7,false),1)="B","L","")),if(LEFT(VLOOKUP($B264,'Round 6'!$F$2:$H$361,3,false),1)="b","W",if(LEFT(VLOOKUP($B264,'Round 6'!$F$2:$H$361,3,false),1)="a","L","")))</f>
        <v>W</v>
      </c>
      <c r="J264" s="67" t="str">
        <f>iferror(iferror(if(LEFT(VLOOKUP($B264,'Round 7'!$B$2:$H$361,7,false),1)="A","W",if(LEFT(VLOOKUP($B264,'Round 7'!$B$2:$H$361,7,false),1)="B","L","")),if(LEFT(VLOOKUP($B264,'Round 7'!$F$2:$H$361,3,false),1)="b","W",if(LEFT(VLOOKUP($B264,'Round 7'!$F$2:$H$361,3,false),1)="a","L",""))),"")</f>
        <v>W</v>
      </c>
      <c r="K264" s="68" t="str">
        <f>iferror(iferror(if(LEFT(VLOOKUP($B264,'Round 8'!$B$2:$H$361,7,false),1)="A","W",if(LEFT(VLOOKUP($B264,'Round 8'!$B$2:$H$361,7,false),1)="B","L","")),if(LEFT(VLOOKUP($B264,'Round 8'!$F$2:$H$361,3,false),1)="b","W",if(LEFT(VLOOKUP($B264,'Round 8'!$F$2:$H$361,3,false),1)="a","L",""))),"")</f>
        <v>L</v>
      </c>
      <c r="L264" s="68" t="str">
        <f>iferror(iferror(if(LEFT(VLOOKUP($B264,'Round 9'!$B$2:$H$361,7,false),1)="A","W",if(LEFT(VLOOKUP($B264,'Round 9'!$B$2:$H$361,7,false),1)="B","L","")),if(LEFT(VLOOKUP($B264,'Round 9'!$F$2:$H$361,3,false),1)="b","W",if(LEFT(VLOOKUP($B264,'Round 9'!$F$2:$H$361,3,false),1)="a","L",""))),"")</f>
        <v/>
      </c>
      <c r="M264" s="68" t="str">
        <f>iferror(iferror(if(LEFT(VLOOKUP($B264,'Round 10'!$B$2:$H$362,7,false),1)="A","W",if(LEFT(VLOOKUP($B264,'Round 10'!$B$2:$H$362,7,false),1)="B","L","")),if(LEFT(VLOOKUP($B264,'Round 10'!$F$2:$H$362,3,false),1)="b","W",if(LEFT(VLOOKUP($B264,'Round 10'!$F$2:$H$362,3,false),1)="a","L",""))),"")</f>
        <v/>
      </c>
      <c r="N264" s="62" t="s">
        <v>596</v>
      </c>
    </row>
    <row r="265">
      <c r="A265" s="63">
        <v>264.0</v>
      </c>
      <c r="B265" s="64" t="s">
        <v>597</v>
      </c>
      <c r="C265" s="65" t="str">
        <f t="shared" si="1"/>
        <v>4 - 3</v>
      </c>
      <c r="D265" s="67" t="str">
        <f>iferror(if(LEFT(VLOOKUP($B265,'Round 1'!$B$2:$H$361,7,false),1)="A","W",if(LEFT(VLOOKUP($B265,'Round 1'!$B$2:$H$361,7,false),1)="B","L","")),if(LEFT(VLOOKUP($B265,'Round 1'!$F$2:$H$361,3,false),1)="b","W",if(LEFT(VLOOKUP($B265,'Round 1'!$F$2:$H$361,3,false),1)="a","L","")))</f>
        <v>W</v>
      </c>
      <c r="E265" s="67" t="str">
        <f>iferror(if(LEFT(VLOOKUP($B265,'Round 2'!$C$2:$J$361,8,false),1)="A","W",if(LEFT(VLOOKUP($B265,'Round 2'!$C$2:$J$361,8,false),1)="B","L","")),if(LEFT(VLOOKUP($B265,'Round 2'!$G$2:$J$361,4,false),1)="b","W",if(LEFT(VLOOKUP($B265,'Round 2'!$G$2:$J$361,4,false),1)="a","L","")))</f>
        <v>W</v>
      </c>
      <c r="F265" s="67" t="str">
        <f>iferror(if(LEFT(VLOOKUP($B265,'Round 3'!$B$2:$H$361,7,false),1)="A","W",if(LEFT(VLOOKUP($B265,'Round 3'!$B$2:$H$361,7,false),1)="B","L","")),if(LEFT(VLOOKUP($B265,'Round 3'!$F$2:$H$361,3,false),1)="b","W",if(LEFT(VLOOKUP($B265,'Round 3'!$F$2:$H$361,3,false),1)="a","L","")))</f>
        <v>W</v>
      </c>
      <c r="G265" s="67" t="str">
        <f>iferror(if(LEFT(VLOOKUP($B265,'Round 4'!$B$2:$H$361,7,false),1)="A","W",if(LEFT(VLOOKUP($B265,'Round 4'!$B$2:$H$361,7,false),1)="B","L","")),if(LEFT(VLOOKUP($B265,'Round 4'!$F$2:$H$361,3,false),1)="b","W",if(LEFT(VLOOKUP($B265,'Round 4'!$F$2:$H$361,3,false),1)="a","L","")))</f>
        <v>W</v>
      </c>
      <c r="H265" s="67" t="str">
        <f>iferror(if(LEFT(VLOOKUP($B265,'Round 5'!$B$2:$H$361,7,false),1)="A","W",if(LEFT(VLOOKUP($B265,'Round 5'!$B$2:$H$361,7,false),1)="B","L","")),if(LEFT(VLOOKUP($B265,'Round 5'!$F$2:$H$361,3,false),1)="b","W",if(LEFT(VLOOKUP($B265,'Round 5'!$F$2:$H$361,3,false),1)="a","L","")))</f>
        <v>L</v>
      </c>
      <c r="I265" s="67" t="str">
        <f>iferror(if(LEFT(VLOOKUP($B265,'Round 6'!$B$2:$H$361,7,false),1)="A","W",if(LEFT(VLOOKUP($B265,'Round 6'!$B$2:$H$361,7,false),1)="B","L","")),if(LEFT(VLOOKUP($B265,'Round 6'!$F$2:$H$361,3,false),1)="b","W",if(LEFT(VLOOKUP($B265,'Round 6'!$F$2:$H$361,3,false),1)="a","L","")))</f>
        <v>L</v>
      </c>
      <c r="J265" s="67" t="str">
        <f>iferror(iferror(if(LEFT(VLOOKUP($B265,'Round 7'!$B$2:$H$361,7,false),1)="A","W",if(LEFT(VLOOKUP($B265,'Round 7'!$B$2:$H$361,7,false),1)="B","L","")),if(LEFT(VLOOKUP($B265,'Round 7'!$F$2:$H$361,3,false),1)="b","W",if(LEFT(VLOOKUP($B265,'Round 7'!$F$2:$H$361,3,false),1)="a","L",""))),"")</f>
        <v>L</v>
      </c>
      <c r="K265" s="68" t="str">
        <f>iferror(iferror(if(LEFT(VLOOKUP($B265,'Round 8'!$B$2:$H$361,7,false),1)="A","W",if(LEFT(VLOOKUP($B265,'Round 8'!$B$2:$H$361,7,false),1)="B","L","")),if(LEFT(VLOOKUP($B265,'Round 8'!$F$2:$H$361,3,false),1)="b","W",if(LEFT(VLOOKUP($B265,'Round 8'!$F$2:$H$361,3,false),1)="a","L",""))),"")</f>
        <v/>
      </c>
      <c r="L265" s="68" t="str">
        <f>iferror(iferror(if(LEFT(VLOOKUP($B265,'Round 9'!$B$2:$H$361,7,false),1)="A","W",if(LEFT(VLOOKUP($B265,'Round 9'!$B$2:$H$361,7,false),1)="B","L","")),if(LEFT(VLOOKUP($B265,'Round 9'!$F$2:$H$361,3,false),1)="b","W",if(LEFT(VLOOKUP($B265,'Round 9'!$F$2:$H$361,3,false),1)="a","L",""))),"")</f>
        <v/>
      </c>
      <c r="M265" s="68" t="str">
        <f>iferror(iferror(if(LEFT(VLOOKUP($B265,'Round 10'!$B$2:$H$362,7,false),1)="A","W",if(LEFT(VLOOKUP($B265,'Round 10'!$B$2:$H$362,7,false),1)="B","L","")),if(LEFT(VLOOKUP($B265,'Round 10'!$F$2:$H$362,3,false),1)="b","W",if(LEFT(VLOOKUP($B265,'Round 10'!$F$2:$H$362,3,false),1)="a","L",""))),"")</f>
        <v/>
      </c>
      <c r="N265" s="62" t="s">
        <v>598</v>
      </c>
    </row>
    <row r="266">
      <c r="A266" s="63">
        <v>265.0</v>
      </c>
      <c r="B266" s="64" t="s">
        <v>599</v>
      </c>
      <c r="C266" s="65" t="str">
        <f t="shared" si="1"/>
        <v>5 - 3</v>
      </c>
      <c r="D266" s="67" t="str">
        <f>iferror(if(LEFT(VLOOKUP($B266,'Round 1'!$B$2:$H$361,7,false),1)="A","W",if(LEFT(VLOOKUP($B266,'Round 1'!$B$2:$H$361,7,false),1)="B","L","")),if(LEFT(VLOOKUP($B266,'Round 1'!$F$2:$H$361,3,false),1)="b","W",if(LEFT(VLOOKUP($B266,'Round 1'!$F$2:$H$361,3,false),1)="a","L","")))</f>
        <v>W</v>
      </c>
      <c r="E266" s="67" t="str">
        <f>iferror(if(LEFT(VLOOKUP($B266,'Round 2'!$C$2:$J$361,8,false),1)="A","W",if(LEFT(VLOOKUP($B266,'Round 2'!$C$2:$J$361,8,false),1)="B","L","")),if(LEFT(VLOOKUP($B266,'Round 2'!$G$2:$J$361,4,false),1)="b","W",if(LEFT(VLOOKUP($B266,'Round 2'!$G$2:$J$361,4,false),1)="a","L","")))</f>
        <v>W</v>
      </c>
      <c r="F266" s="67" t="str">
        <f>iferror(if(LEFT(VLOOKUP($B266,'Round 3'!$B$2:$H$361,7,false),1)="A","W",if(LEFT(VLOOKUP($B266,'Round 3'!$B$2:$H$361,7,false),1)="B","L","")),if(LEFT(VLOOKUP($B266,'Round 3'!$F$2:$H$361,3,false),1)="b","W",if(LEFT(VLOOKUP($B266,'Round 3'!$F$2:$H$361,3,false),1)="a","L","")))</f>
        <v>W</v>
      </c>
      <c r="G266" s="67" t="str">
        <f>iferror(if(LEFT(VLOOKUP($B266,'Round 4'!$B$2:$H$361,7,false),1)="A","W",if(LEFT(VLOOKUP($B266,'Round 4'!$B$2:$H$361,7,false),1)="B","L","")),if(LEFT(VLOOKUP($B266,'Round 4'!$F$2:$H$361,3,false),1)="b","W",if(LEFT(VLOOKUP($B266,'Round 4'!$F$2:$H$361,3,false),1)="a","L","")))</f>
        <v>L</v>
      </c>
      <c r="H266" s="67" t="str">
        <f>iferror(if(LEFT(VLOOKUP($B266,'Round 5'!$B$2:$H$361,7,false),1)="A","W",if(LEFT(VLOOKUP($B266,'Round 5'!$B$2:$H$361,7,false),1)="B","L","")),if(LEFT(VLOOKUP($B266,'Round 5'!$F$2:$H$361,3,false),1)="b","W",if(LEFT(VLOOKUP($B266,'Round 5'!$F$2:$H$361,3,false),1)="a","L","")))</f>
        <v>W</v>
      </c>
      <c r="I266" s="67" t="str">
        <f>iferror(if(LEFT(VLOOKUP($B266,'Round 6'!$B$2:$H$361,7,false),1)="A","W",if(LEFT(VLOOKUP($B266,'Round 6'!$B$2:$H$361,7,false),1)="B","L","")),if(LEFT(VLOOKUP($B266,'Round 6'!$F$2:$H$361,3,false),1)="b","W",if(LEFT(VLOOKUP($B266,'Round 6'!$F$2:$H$361,3,false),1)="a","L","")))</f>
        <v>W</v>
      </c>
      <c r="J266" s="67" t="str">
        <f>iferror(iferror(if(LEFT(VLOOKUP($B266,'Round 7'!$B$2:$H$361,7,false),1)="A","W",if(LEFT(VLOOKUP($B266,'Round 7'!$B$2:$H$361,7,false),1)="B","L","")),if(LEFT(VLOOKUP($B266,'Round 7'!$F$2:$H$361,3,false),1)="b","W",if(LEFT(VLOOKUP($B266,'Round 7'!$F$2:$H$361,3,false),1)="a","L",""))),"")</f>
        <v>L</v>
      </c>
      <c r="K266" s="68" t="str">
        <f>iferror(iferror(if(LEFT(VLOOKUP($B266,'Round 8'!$B$2:$H$361,7,false),1)="A","W",if(LEFT(VLOOKUP($B266,'Round 8'!$B$2:$H$361,7,false),1)="B","L","")),if(LEFT(VLOOKUP($B266,'Round 8'!$F$2:$H$361,3,false),1)="b","W",if(LEFT(VLOOKUP($B266,'Round 8'!$F$2:$H$361,3,false),1)="a","L",""))),"")</f>
        <v>L</v>
      </c>
      <c r="L266" s="68" t="str">
        <f>iferror(iferror(if(LEFT(VLOOKUP($B266,'Round 9'!$B$2:$H$361,7,false),1)="A","W",if(LEFT(VLOOKUP($B266,'Round 9'!$B$2:$H$361,7,false),1)="B","L","")),if(LEFT(VLOOKUP($B266,'Round 9'!$F$2:$H$361,3,false),1)="b","W",if(LEFT(VLOOKUP($B266,'Round 9'!$F$2:$H$361,3,false),1)="a","L",""))),"")</f>
        <v/>
      </c>
      <c r="M266" s="68" t="str">
        <f>iferror(iferror(if(LEFT(VLOOKUP($B266,'Round 10'!$B$2:$H$362,7,false),1)="A","W",if(LEFT(VLOOKUP($B266,'Round 10'!$B$2:$H$362,7,false),1)="B","L","")),if(LEFT(VLOOKUP($B266,'Round 10'!$F$2:$H$362,3,false),1)="b","W",if(LEFT(VLOOKUP($B266,'Round 10'!$F$2:$H$362,3,false),1)="a","L",""))),"")</f>
        <v/>
      </c>
      <c r="N266" s="62" t="s">
        <v>600</v>
      </c>
    </row>
    <row r="267">
      <c r="A267" s="63">
        <v>266.0</v>
      </c>
      <c r="B267" s="64" t="s">
        <v>601</v>
      </c>
      <c r="C267" s="65" t="str">
        <f t="shared" si="1"/>
        <v>3 - 3</v>
      </c>
      <c r="D267" s="67" t="str">
        <f>iferror(if(LEFT(VLOOKUP($B267,'Round 1'!$B$2:$H$361,7,false),1)="A","W",if(LEFT(VLOOKUP($B267,'Round 1'!$B$2:$H$361,7,false),1)="B","L","")),if(LEFT(VLOOKUP($B267,'Round 1'!$F$2:$H$361,3,false),1)="b","W",if(LEFT(VLOOKUP($B267,'Round 1'!$F$2:$H$361,3,false),1)="a","L","")))</f>
        <v>W</v>
      </c>
      <c r="E267" s="67" t="str">
        <f>iferror(if(LEFT(VLOOKUP($B267,'Round 2'!$C$2:$J$361,8,false),1)="A","W",if(LEFT(VLOOKUP($B267,'Round 2'!$C$2:$J$361,8,false),1)="B","L","")),if(LEFT(VLOOKUP($B267,'Round 2'!$G$2:$J$361,4,false),1)="b","W",if(LEFT(VLOOKUP($B267,'Round 2'!$G$2:$J$361,4,false),1)="a","L","")))</f>
        <v>W</v>
      </c>
      <c r="F267" s="67" t="str">
        <f>iferror(if(LEFT(VLOOKUP($B267,'Round 3'!$B$2:$H$361,7,false),1)="A","W",if(LEFT(VLOOKUP($B267,'Round 3'!$B$2:$H$361,7,false),1)="B","L","")),if(LEFT(VLOOKUP($B267,'Round 3'!$F$2:$H$361,3,false),1)="b","W",if(LEFT(VLOOKUP($B267,'Round 3'!$F$2:$H$361,3,false),1)="a","L","")))</f>
        <v>L</v>
      </c>
      <c r="G267" s="67" t="str">
        <f>iferror(if(LEFT(VLOOKUP($B267,'Round 4'!$B$2:$H$361,7,false),1)="A","W",if(LEFT(VLOOKUP($B267,'Round 4'!$B$2:$H$361,7,false),1)="B","L","")),if(LEFT(VLOOKUP($B267,'Round 4'!$F$2:$H$361,3,false),1)="b","W",if(LEFT(VLOOKUP($B267,'Round 4'!$F$2:$H$361,3,false),1)="a","L","")))</f>
        <v>W</v>
      </c>
      <c r="H267" s="67" t="str">
        <f>iferror(if(LEFT(VLOOKUP($B267,'Round 5'!$B$2:$H$361,7,false),1)="A","W",if(LEFT(VLOOKUP($B267,'Round 5'!$B$2:$H$361,7,false),1)="B","L","")),if(LEFT(VLOOKUP($B267,'Round 5'!$F$2:$H$361,3,false),1)="b","W",if(LEFT(VLOOKUP($B267,'Round 5'!$F$2:$H$361,3,false),1)="a","L","")))</f>
        <v>L</v>
      </c>
      <c r="I267" s="67" t="str">
        <f>iferror(if(LEFT(VLOOKUP($B267,'Round 6'!$B$2:$H$361,7,false),1)="A","W",if(LEFT(VLOOKUP($B267,'Round 6'!$B$2:$H$361,7,false),1)="B","L","")),if(LEFT(VLOOKUP($B267,'Round 6'!$F$2:$H$361,3,false),1)="b","W",if(LEFT(VLOOKUP($B267,'Round 6'!$F$2:$H$361,3,false),1)="a","L","")))</f>
        <v>L</v>
      </c>
      <c r="J267" s="67" t="str">
        <f>iferror(iferror(if(LEFT(VLOOKUP($B267,'Round 7'!$B$2:$H$361,7,false),1)="A","W",if(LEFT(VLOOKUP($B267,'Round 7'!$B$2:$H$361,7,false),1)="B","L","")),if(LEFT(VLOOKUP($B267,'Round 7'!$F$2:$H$361,3,false),1)="b","W",if(LEFT(VLOOKUP($B267,'Round 7'!$F$2:$H$361,3,false),1)="a","L",""))),"")</f>
        <v/>
      </c>
      <c r="K267" s="68" t="str">
        <f>iferror(iferror(if(LEFT(VLOOKUP($B267,'Round 8'!$B$2:$H$361,7,false),1)="A","W",if(LEFT(VLOOKUP($B267,'Round 8'!$B$2:$H$361,7,false),1)="B","L","")),if(LEFT(VLOOKUP($B267,'Round 8'!$F$2:$H$361,3,false),1)="b","W",if(LEFT(VLOOKUP($B267,'Round 8'!$F$2:$H$361,3,false),1)="a","L",""))),"")</f>
        <v/>
      </c>
      <c r="L267" s="68" t="str">
        <f>iferror(iferror(if(LEFT(VLOOKUP($B267,'Round 9'!$B$2:$H$361,7,false),1)="A","W",if(LEFT(VLOOKUP($B267,'Round 9'!$B$2:$H$361,7,false),1)="B","L","")),if(LEFT(VLOOKUP($B267,'Round 9'!$F$2:$H$361,3,false),1)="b","W",if(LEFT(VLOOKUP($B267,'Round 9'!$F$2:$H$361,3,false),1)="a","L",""))),"")</f>
        <v/>
      </c>
      <c r="M267" s="68" t="str">
        <f>iferror(iferror(if(LEFT(VLOOKUP($B267,'Round 10'!$B$2:$H$362,7,false),1)="A","W",if(LEFT(VLOOKUP($B267,'Round 10'!$B$2:$H$362,7,false),1)="B","L","")),if(LEFT(VLOOKUP($B267,'Round 10'!$F$2:$H$362,3,false),1)="b","W",if(LEFT(VLOOKUP($B267,'Round 10'!$F$2:$H$362,3,false),1)="a","L",""))),"")</f>
        <v/>
      </c>
      <c r="N267" s="62" t="s">
        <v>602</v>
      </c>
    </row>
    <row r="268">
      <c r="A268" s="63">
        <v>267.0</v>
      </c>
      <c r="B268" s="64" t="s">
        <v>603</v>
      </c>
      <c r="C268" s="65" t="str">
        <f t="shared" si="1"/>
        <v>3 - 3</v>
      </c>
      <c r="D268" s="67" t="str">
        <f>iferror(if(LEFT(VLOOKUP($B268,'Round 1'!$B$2:$H$361,7,false),1)="A","W",if(LEFT(VLOOKUP($B268,'Round 1'!$B$2:$H$361,7,false),1)="B","L","")),if(LEFT(VLOOKUP($B268,'Round 1'!$F$2:$H$361,3,false),1)="b","W",if(LEFT(VLOOKUP($B268,'Round 1'!$F$2:$H$361,3,false),1)="a","L","")))</f>
        <v>W</v>
      </c>
      <c r="E268" s="67" t="str">
        <f>iferror(if(LEFT(VLOOKUP($B268,'Round 2'!$C$2:$J$361,8,false),1)="A","W",if(LEFT(VLOOKUP($B268,'Round 2'!$C$2:$J$361,8,false),1)="B","L","")),if(LEFT(VLOOKUP($B268,'Round 2'!$G$2:$J$361,4,false),1)="b","W",if(LEFT(VLOOKUP($B268,'Round 2'!$G$2:$J$361,4,false),1)="a","L","")))</f>
        <v>W</v>
      </c>
      <c r="F268" s="67" t="str">
        <f>iferror(if(LEFT(VLOOKUP($B268,'Round 3'!$B$2:$H$361,7,false),1)="A","W",if(LEFT(VLOOKUP($B268,'Round 3'!$B$2:$H$361,7,false),1)="B","L","")),if(LEFT(VLOOKUP($B268,'Round 3'!$F$2:$H$361,3,false),1)="b","W",if(LEFT(VLOOKUP($B268,'Round 3'!$F$2:$H$361,3,false),1)="a","L","")))</f>
        <v>L</v>
      </c>
      <c r="G268" s="67" t="str">
        <f>iferror(if(LEFT(VLOOKUP($B268,'Round 4'!$B$2:$H$361,7,false),1)="A","W",if(LEFT(VLOOKUP($B268,'Round 4'!$B$2:$H$361,7,false),1)="B","L","")),if(LEFT(VLOOKUP($B268,'Round 4'!$F$2:$H$361,3,false),1)="b","W",if(LEFT(VLOOKUP($B268,'Round 4'!$F$2:$H$361,3,false),1)="a","L","")))</f>
        <v>L</v>
      </c>
      <c r="H268" s="67" t="str">
        <f>iferror(if(LEFT(VLOOKUP($B268,'Round 5'!$B$2:$H$361,7,false),1)="A","W",if(LEFT(VLOOKUP($B268,'Round 5'!$B$2:$H$361,7,false),1)="B","L","")),if(LEFT(VLOOKUP($B268,'Round 5'!$F$2:$H$361,3,false),1)="b","W",if(LEFT(VLOOKUP($B268,'Round 5'!$F$2:$H$361,3,false),1)="a","L","")))</f>
        <v>W</v>
      </c>
      <c r="I268" s="67" t="str">
        <f>iferror(if(LEFT(VLOOKUP($B268,'Round 6'!$B$2:$H$361,7,false),1)="A","W",if(LEFT(VLOOKUP($B268,'Round 6'!$B$2:$H$361,7,false),1)="B","L","")),if(LEFT(VLOOKUP($B268,'Round 6'!$F$2:$H$361,3,false),1)="b","W",if(LEFT(VLOOKUP($B268,'Round 6'!$F$2:$H$361,3,false),1)="a","L","")))</f>
        <v>L</v>
      </c>
      <c r="J268" s="67" t="str">
        <f>iferror(iferror(if(LEFT(VLOOKUP($B268,'Round 7'!$B$2:$H$361,7,false),1)="A","W",if(LEFT(VLOOKUP($B268,'Round 7'!$B$2:$H$361,7,false),1)="B","L","")),if(LEFT(VLOOKUP($B268,'Round 7'!$F$2:$H$361,3,false),1)="b","W",if(LEFT(VLOOKUP($B268,'Round 7'!$F$2:$H$361,3,false),1)="a","L",""))),"")</f>
        <v/>
      </c>
      <c r="K268" s="68" t="str">
        <f>iferror(iferror(if(LEFT(VLOOKUP($B268,'Round 8'!$B$2:$H$361,7,false),1)="A","W",if(LEFT(VLOOKUP($B268,'Round 8'!$B$2:$H$361,7,false),1)="B","L","")),if(LEFT(VLOOKUP($B268,'Round 8'!$F$2:$H$361,3,false),1)="b","W",if(LEFT(VLOOKUP($B268,'Round 8'!$F$2:$H$361,3,false),1)="a","L",""))),"")</f>
        <v/>
      </c>
      <c r="L268" s="68" t="str">
        <f>iferror(iferror(if(LEFT(VLOOKUP($B268,'Round 9'!$B$2:$H$361,7,false),1)="A","W",if(LEFT(VLOOKUP($B268,'Round 9'!$B$2:$H$361,7,false),1)="B","L","")),if(LEFT(VLOOKUP($B268,'Round 9'!$F$2:$H$361,3,false),1)="b","W",if(LEFT(VLOOKUP($B268,'Round 9'!$F$2:$H$361,3,false),1)="a","L",""))),"")</f>
        <v/>
      </c>
      <c r="M268" s="68" t="str">
        <f>iferror(iferror(if(LEFT(VLOOKUP($B268,'Round 10'!$B$2:$H$362,7,false),1)="A","W",if(LEFT(VLOOKUP($B268,'Round 10'!$B$2:$H$362,7,false),1)="B","L","")),if(LEFT(VLOOKUP($B268,'Round 10'!$F$2:$H$362,3,false),1)="b","W",if(LEFT(VLOOKUP($B268,'Round 10'!$F$2:$H$362,3,false),1)="a","L",""))),"")</f>
        <v/>
      </c>
      <c r="N268" s="62" t="s">
        <v>604</v>
      </c>
    </row>
    <row r="269">
      <c r="A269" s="63">
        <v>268.0</v>
      </c>
      <c r="B269" s="64" t="s">
        <v>605</v>
      </c>
      <c r="C269" s="65" t="str">
        <f t="shared" si="1"/>
        <v>3 - 3</v>
      </c>
      <c r="D269" s="67" t="str">
        <f>iferror(if(LEFT(VLOOKUP($B269,'Round 1'!$B$2:$H$361,7,false),1)="A","W",if(LEFT(VLOOKUP($B269,'Round 1'!$B$2:$H$361,7,false),1)="B","L","")),if(LEFT(VLOOKUP($B269,'Round 1'!$F$2:$H$361,3,false),1)="b","W",if(LEFT(VLOOKUP($B269,'Round 1'!$F$2:$H$361,3,false),1)="a","L","")))</f>
        <v>L</v>
      </c>
      <c r="E269" s="67" t="str">
        <f>iferror(if(LEFT(VLOOKUP($B269,'Round 2'!$C$2:$J$361,8,false),1)="A","W",if(LEFT(VLOOKUP($B269,'Round 2'!$C$2:$J$361,8,false),1)="B","L","")),if(LEFT(VLOOKUP($B269,'Round 2'!$G$2:$J$361,4,false),1)="b","W",if(LEFT(VLOOKUP($B269,'Round 2'!$G$2:$J$361,4,false),1)="a","L","")))</f>
        <v>W</v>
      </c>
      <c r="F269" s="67" t="str">
        <f>iferror(if(LEFT(VLOOKUP($B269,'Round 3'!$B$2:$H$361,7,false),1)="A","W",if(LEFT(VLOOKUP($B269,'Round 3'!$B$2:$H$361,7,false),1)="B","L","")),if(LEFT(VLOOKUP($B269,'Round 3'!$F$2:$H$361,3,false),1)="b","W",if(LEFT(VLOOKUP($B269,'Round 3'!$F$2:$H$361,3,false),1)="a","L","")))</f>
        <v>L</v>
      </c>
      <c r="G269" s="67" t="str">
        <f>iferror(if(LEFT(VLOOKUP($B269,'Round 4'!$B$2:$H$361,7,false),1)="A","W",if(LEFT(VLOOKUP($B269,'Round 4'!$B$2:$H$361,7,false),1)="B","L","")),if(LEFT(VLOOKUP($B269,'Round 4'!$F$2:$H$361,3,false),1)="b","W",if(LEFT(VLOOKUP($B269,'Round 4'!$F$2:$H$361,3,false),1)="a","L","")))</f>
        <v>W</v>
      </c>
      <c r="H269" s="67" t="str">
        <f>iferror(if(LEFT(VLOOKUP($B269,'Round 5'!$B$2:$H$361,7,false),1)="A","W",if(LEFT(VLOOKUP($B269,'Round 5'!$B$2:$H$361,7,false),1)="B","L","")),if(LEFT(VLOOKUP($B269,'Round 5'!$F$2:$H$361,3,false),1)="b","W",if(LEFT(VLOOKUP($B269,'Round 5'!$F$2:$H$361,3,false),1)="a","L","")))</f>
        <v>W</v>
      </c>
      <c r="I269" s="67" t="str">
        <f>iferror(if(LEFT(VLOOKUP($B269,'Round 6'!$B$2:$H$361,7,false),1)="A","W",if(LEFT(VLOOKUP($B269,'Round 6'!$B$2:$H$361,7,false),1)="B","L","")),if(LEFT(VLOOKUP($B269,'Round 6'!$F$2:$H$361,3,false),1)="b","W",if(LEFT(VLOOKUP($B269,'Round 6'!$F$2:$H$361,3,false),1)="a","L","")))</f>
        <v>L</v>
      </c>
      <c r="J269" s="67" t="str">
        <f>iferror(iferror(if(LEFT(VLOOKUP($B269,'Round 7'!$B$2:$H$361,7,false),1)="A","W",if(LEFT(VLOOKUP($B269,'Round 7'!$B$2:$H$361,7,false),1)="B","L","")),if(LEFT(VLOOKUP($B269,'Round 7'!$F$2:$H$361,3,false),1)="b","W",if(LEFT(VLOOKUP($B269,'Round 7'!$F$2:$H$361,3,false),1)="a","L",""))),"")</f>
        <v/>
      </c>
      <c r="K269" s="68" t="str">
        <f>iferror(iferror(if(LEFT(VLOOKUP($B269,'Round 8'!$B$2:$H$361,7,false),1)="A","W",if(LEFT(VLOOKUP($B269,'Round 8'!$B$2:$H$361,7,false),1)="B","L","")),if(LEFT(VLOOKUP($B269,'Round 8'!$F$2:$H$361,3,false),1)="b","W",if(LEFT(VLOOKUP($B269,'Round 8'!$F$2:$H$361,3,false),1)="a","L",""))),"")</f>
        <v/>
      </c>
      <c r="L269" s="68" t="str">
        <f>iferror(iferror(if(LEFT(VLOOKUP($B269,'Round 9'!$B$2:$H$361,7,false),1)="A","W",if(LEFT(VLOOKUP($B269,'Round 9'!$B$2:$H$361,7,false),1)="B","L","")),if(LEFT(VLOOKUP($B269,'Round 9'!$F$2:$H$361,3,false),1)="b","W",if(LEFT(VLOOKUP($B269,'Round 9'!$F$2:$H$361,3,false),1)="a","L",""))),"")</f>
        <v/>
      </c>
      <c r="M269" s="68" t="str">
        <f>iferror(iferror(if(LEFT(VLOOKUP($B269,'Round 10'!$B$2:$H$362,7,false),1)="A","W",if(LEFT(VLOOKUP($B269,'Round 10'!$B$2:$H$362,7,false),1)="B","L","")),if(LEFT(VLOOKUP($B269,'Round 10'!$F$2:$H$362,3,false),1)="b","W",if(LEFT(VLOOKUP($B269,'Round 10'!$F$2:$H$362,3,false),1)="a","L",""))),"")</f>
        <v/>
      </c>
      <c r="N269" s="62" t="s">
        <v>606</v>
      </c>
    </row>
    <row r="270">
      <c r="A270" s="63">
        <v>269.0</v>
      </c>
      <c r="B270" s="64" t="s">
        <v>607</v>
      </c>
      <c r="C270" s="65" t="str">
        <f t="shared" si="1"/>
        <v>7 - 2</v>
      </c>
      <c r="D270" s="67" t="str">
        <f>iferror(if(LEFT(VLOOKUP($B270,'Round 1'!$B$2:$H$361,7,false),1)="A","W",if(LEFT(VLOOKUP($B270,'Round 1'!$B$2:$H$361,7,false),1)="B","L","")),if(LEFT(VLOOKUP($B270,'Round 1'!$F$2:$H$361,3,false),1)="b","W",if(LEFT(VLOOKUP($B270,'Round 1'!$F$2:$H$361,3,false),1)="a","L","")))</f>
        <v>W</v>
      </c>
      <c r="E270" s="67" t="str">
        <f>iferror(if(LEFT(VLOOKUP($B270,'Round 2'!$C$2:$J$361,8,false),1)="A","W",if(LEFT(VLOOKUP($B270,'Round 2'!$C$2:$J$361,8,false),1)="B","L","")),if(LEFT(VLOOKUP($B270,'Round 2'!$G$2:$J$361,4,false),1)="b","W",if(LEFT(VLOOKUP($B270,'Round 2'!$G$2:$J$361,4,false),1)="a","L","")))</f>
        <v>W</v>
      </c>
      <c r="F270" s="67" t="str">
        <f>iferror(if(LEFT(VLOOKUP($B270,'Round 3'!$B$2:$H$361,7,false),1)="A","W",if(LEFT(VLOOKUP($B270,'Round 3'!$B$2:$H$361,7,false),1)="B","L","")),if(LEFT(VLOOKUP($B270,'Round 3'!$F$2:$H$361,3,false),1)="b","W",if(LEFT(VLOOKUP($B270,'Round 3'!$F$2:$H$361,3,false),1)="a","L","")))</f>
        <v>W</v>
      </c>
      <c r="G270" s="67" t="str">
        <f>iferror(if(LEFT(VLOOKUP($B270,'Round 4'!$B$2:$H$361,7,false),1)="A","W",if(LEFT(VLOOKUP($B270,'Round 4'!$B$2:$H$361,7,false),1)="B","L","")),if(LEFT(VLOOKUP($B270,'Round 4'!$F$2:$H$361,3,false),1)="b","W",if(LEFT(VLOOKUP($B270,'Round 4'!$F$2:$H$361,3,false),1)="a","L","")))</f>
        <v>W</v>
      </c>
      <c r="H270" s="67" t="str">
        <f>iferror(if(LEFT(VLOOKUP($B270,'Round 5'!$B$2:$H$361,7,false),1)="A","W",if(LEFT(VLOOKUP($B270,'Round 5'!$B$2:$H$361,7,false),1)="B","L","")),if(LEFT(VLOOKUP($B270,'Round 5'!$F$2:$H$361,3,false),1)="b","W",if(LEFT(VLOOKUP($B270,'Round 5'!$F$2:$H$361,3,false),1)="a","L","")))</f>
        <v>W</v>
      </c>
      <c r="I270" s="67" t="str">
        <f>iferror(if(LEFT(VLOOKUP($B270,'Round 6'!$B$2:$H$361,7,false),1)="A","W",if(LEFT(VLOOKUP($B270,'Round 6'!$B$2:$H$361,7,false),1)="B","L","")),if(LEFT(VLOOKUP($B270,'Round 6'!$F$2:$H$361,3,false),1)="b","W",if(LEFT(VLOOKUP($B270,'Round 6'!$F$2:$H$361,3,false),1)="a","L","")))</f>
        <v>L</v>
      </c>
      <c r="J270" s="67" t="str">
        <f>iferror(iferror(if(LEFT(VLOOKUP($B270,'Round 7'!$B$2:$H$361,7,false),1)="A","W",if(LEFT(VLOOKUP($B270,'Round 7'!$B$2:$H$361,7,false),1)="B","L","")),if(LEFT(VLOOKUP($B270,'Round 7'!$F$2:$H$361,3,false),1)="b","W",if(LEFT(VLOOKUP($B270,'Round 7'!$F$2:$H$361,3,false),1)="a","L",""))),"")</f>
        <v>L</v>
      </c>
      <c r="K270" s="68" t="str">
        <f>iferror(iferror(if(LEFT(VLOOKUP($B270,'Round 8'!$B$2:$H$361,7,false),1)="A","W",if(LEFT(VLOOKUP($B270,'Round 8'!$B$2:$H$361,7,false),1)="B","L","")),if(LEFT(VLOOKUP($B270,'Round 8'!$F$2:$H$361,3,false),1)="b","W",if(LEFT(VLOOKUP($B270,'Round 8'!$F$2:$H$361,3,false),1)="a","L",""))),"")</f>
        <v>W</v>
      </c>
      <c r="L270" s="68" t="str">
        <f>iferror(iferror(if(LEFT(VLOOKUP($B270,'Round 9'!$B$2:$H$361,7,false),1)="A","W",if(LEFT(VLOOKUP($B270,'Round 9'!$B$2:$H$361,7,false),1)="B","L","")),if(LEFT(VLOOKUP($B270,'Round 9'!$F$2:$H$361,3,false),1)="b","W",if(LEFT(VLOOKUP($B270,'Round 9'!$F$2:$H$361,3,false),1)="a","L",""))),"")</f>
        <v>W</v>
      </c>
      <c r="M270" s="68" t="str">
        <f>iferror(iferror(if(LEFT(VLOOKUP($B270,'Round 10'!$B$2:$H$362,7,false),1)="A","W",if(LEFT(VLOOKUP($B270,'Round 10'!$B$2:$H$362,7,false),1)="B","L","")),if(LEFT(VLOOKUP($B270,'Round 10'!$F$2:$H$362,3,false),1)="b","W",if(LEFT(VLOOKUP($B270,'Round 10'!$F$2:$H$362,3,false),1)="a","L",""))),"")</f>
        <v/>
      </c>
      <c r="N270" s="62" t="s">
        <v>608</v>
      </c>
    </row>
    <row r="271">
      <c r="A271" s="63">
        <v>270.0</v>
      </c>
      <c r="B271" s="64" t="s">
        <v>609</v>
      </c>
      <c r="C271" s="65" t="str">
        <f t="shared" si="1"/>
        <v>5 - 3</v>
      </c>
      <c r="D271" s="67" t="str">
        <f>iferror(if(LEFT(VLOOKUP($B271,'Round 1'!$B$2:$H$361,7,false),1)="A","W",if(LEFT(VLOOKUP($B271,'Round 1'!$B$2:$H$361,7,false),1)="B","L","")),if(LEFT(VLOOKUP($B271,'Round 1'!$F$2:$H$361,3,false),1)="b","W",if(LEFT(VLOOKUP($B271,'Round 1'!$F$2:$H$361,3,false),1)="a","L","")))</f>
        <v>L</v>
      </c>
      <c r="E271" s="67" t="str">
        <f>iferror(if(LEFT(VLOOKUP($B271,'Round 2'!$C$2:$J$361,8,false),1)="A","W",if(LEFT(VLOOKUP($B271,'Round 2'!$C$2:$J$361,8,false),1)="B","L","")),if(LEFT(VLOOKUP($B271,'Round 2'!$G$2:$J$361,4,false),1)="b","W",if(LEFT(VLOOKUP($B271,'Round 2'!$G$2:$J$361,4,false),1)="a","L","")))</f>
        <v>W</v>
      </c>
      <c r="F271" s="67" t="str">
        <f>iferror(if(LEFT(VLOOKUP($B271,'Round 3'!$B$2:$H$361,7,false),1)="A","W",if(LEFT(VLOOKUP($B271,'Round 3'!$B$2:$H$361,7,false),1)="B","L","")),if(LEFT(VLOOKUP($B271,'Round 3'!$F$2:$H$361,3,false),1)="b","W",if(LEFT(VLOOKUP($B271,'Round 3'!$F$2:$H$361,3,false),1)="a","L","")))</f>
        <v>L</v>
      </c>
      <c r="G271" s="67" t="str">
        <f>iferror(if(LEFT(VLOOKUP($B271,'Round 4'!$B$2:$H$361,7,false),1)="A","W",if(LEFT(VLOOKUP($B271,'Round 4'!$B$2:$H$361,7,false),1)="B","L","")),if(LEFT(VLOOKUP($B271,'Round 4'!$F$2:$H$361,3,false),1)="b","W",if(LEFT(VLOOKUP($B271,'Round 4'!$F$2:$H$361,3,false),1)="a","L","")))</f>
        <v>W</v>
      </c>
      <c r="H271" s="67" t="str">
        <f>iferror(if(LEFT(VLOOKUP($B271,'Round 5'!$B$2:$H$361,7,false),1)="A","W",if(LEFT(VLOOKUP($B271,'Round 5'!$B$2:$H$361,7,false),1)="B","L","")),if(LEFT(VLOOKUP($B271,'Round 5'!$F$2:$H$361,3,false),1)="b","W",if(LEFT(VLOOKUP($B271,'Round 5'!$F$2:$H$361,3,false),1)="a","L","")))</f>
        <v>W</v>
      </c>
      <c r="I271" s="67" t="str">
        <f>iferror(if(LEFT(VLOOKUP($B271,'Round 6'!$B$2:$H$361,7,false),1)="A","W",if(LEFT(VLOOKUP($B271,'Round 6'!$B$2:$H$361,7,false),1)="B","L","")),if(LEFT(VLOOKUP($B271,'Round 6'!$F$2:$H$361,3,false),1)="b","W",if(LEFT(VLOOKUP($B271,'Round 6'!$F$2:$H$361,3,false),1)="a","L","")))</f>
        <v>W</v>
      </c>
      <c r="J271" s="67" t="str">
        <f>iferror(iferror(if(LEFT(VLOOKUP($B271,'Round 7'!$B$2:$H$361,7,false),1)="A","W",if(LEFT(VLOOKUP($B271,'Round 7'!$B$2:$H$361,7,false),1)="B","L","")),if(LEFT(VLOOKUP($B271,'Round 7'!$F$2:$H$361,3,false),1)="b","W",if(LEFT(VLOOKUP($B271,'Round 7'!$F$2:$H$361,3,false),1)="a","L",""))),"")</f>
        <v>W</v>
      </c>
      <c r="K271" s="68" t="str">
        <f>iferror(iferror(if(LEFT(VLOOKUP($B271,'Round 8'!$B$2:$H$361,7,false),1)="A","W",if(LEFT(VLOOKUP($B271,'Round 8'!$B$2:$H$361,7,false),1)="B","L","")),if(LEFT(VLOOKUP($B271,'Round 8'!$F$2:$H$361,3,false),1)="b","W",if(LEFT(VLOOKUP($B271,'Round 8'!$F$2:$H$361,3,false),1)="a","L",""))),"")</f>
        <v>L</v>
      </c>
      <c r="L271" s="68" t="str">
        <f>iferror(iferror(if(LEFT(VLOOKUP($B271,'Round 9'!$B$2:$H$361,7,false),1)="A","W",if(LEFT(VLOOKUP($B271,'Round 9'!$B$2:$H$361,7,false),1)="B","L","")),if(LEFT(VLOOKUP($B271,'Round 9'!$F$2:$H$361,3,false),1)="b","W",if(LEFT(VLOOKUP($B271,'Round 9'!$F$2:$H$361,3,false),1)="a","L",""))),"")</f>
        <v/>
      </c>
      <c r="M271" s="68" t="str">
        <f>iferror(iferror(if(LEFT(VLOOKUP($B271,'Round 10'!$B$2:$H$362,7,false),1)="A","W",if(LEFT(VLOOKUP($B271,'Round 10'!$B$2:$H$362,7,false),1)="B","L","")),if(LEFT(VLOOKUP($B271,'Round 10'!$F$2:$H$362,3,false),1)="b","W",if(LEFT(VLOOKUP($B271,'Round 10'!$F$2:$H$362,3,false),1)="a","L",""))),"")</f>
        <v/>
      </c>
      <c r="N271" s="62" t="s">
        <v>610</v>
      </c>
    </row>
    <row r="272">
      <c r="A272" s="63">
        <v>271.0</v>
      </c>
      <c r="B272" s="64" t="s">
        <v>611</v>
      </c>
      <c r="C272" s="65" t="str">
        <f t="shared" si="1"/>
        <v>4 - 3</v>
      </c>
      <c r="D272" s="67" t="str">
        <f>iferror(if(LEFT(VLOOKUP($B272,'Round 1'!$B$2:$H$361,7,false),1)="A","W",if(LEFT(VLOOKUP($B272,'Round 1'!$B$2:$H$361,7,false),1)="B","L","")),if(LEFT(VLOOKUP($B272,'Round 1'!$F$2:$H$361,3,false),1)="b","W",if(LEFT(VLOOKUP($B272,'Round 1'!$F$2:$H$361,3,false),1)="a","L","")))</f>
        <v>W</v>
      </c>
      <c r="E272" s="67" t="str">
        <f>iferror(if(LEFT(VLOOKUP($B272,'Round 2'!$C$2:$J$361,8,false),1)="A","W",if(LEFT(VLOOKUP($B272,'Round 2'!$C$2:$J$361,8,false),1)="B","L","")),if(LEFT(VLOOKUP($B272,'Round 2'!$G$2:$J$361,4,false),1)="b","W",if(LEFT(VLOOKUP($B272,'Round 2'!$G$2:$J$361,4,false),1)="a","L","")))</f>
        <v>W</v>
      </c>
      <c r="F272" s="67" t="str">
        <f>iferror(if(LEFT(VLOOKUP($B272,'Round 3'!$B$2:$H$361,7,false),1)="A","W",if(LEFT(VLOOKUP($B272,'Round 3'!$B$2:$H$361,7,false),1)="B","L","")),if(LEFT(VLOOKUP($B272,'Round 3'!$F$2:$H$361,3,false),1)="b","W",if(LEFT(VLOOKUP($B272,'Round 3'!$F$2:$H$361,3,false),1)="a","L","")))</f>
        <v>L</v>
      </c>
      <c r="G272" s="67" t="str">
        <f>iferror(if(LEFT(VLOOKUP($B272,'Round 4'!$B$2:$H$361,7,false),1)="A","W",if(LEFT(VLOOKUP($B272,'Round 4'!$B$2:$H$361,7,false),1)="B","L","")),if(LEFT(VLOOKUP($B272,'Round 4'!$F$2:$H$361,3,false),1)="b","W",if(LEFT(VLOOKUP($B272,'Round 4'!$F$2:$H$361,3,false),1)="a","L","")))</f>
        <v>L</v>
      </c>
      <c r="H272" s="67" t="str">
        <f>iferror(if(LEFT(VLOOKUP($B272,'Round 5'!$B$2:$H$361,7,false),1)="A","W",if(LEFT(VLOOKUP($B272,'Round 5'!$B$2:$H$361,7,false),1)="B","L","")),if(LEFT(VLOOKUP($B272,'Round 5'!$F$2:$H$361,3,false),1)="b","W",if(LEFT(VLOOKUP($B272,'Round 5'!$F$2:$H$361,3,false),1)="a","L","")))</f>
        <v>W</v>
      </c>
      <c r="I272" s="67" t="str">
        <f>iferror(if(LEFT(VLOOKUP($B272,'Round 6'!$B$2:$H$361,7,false),1)="A","W",if(LEFT(VLOOKUP($B272,'Round 6'!$B$2:$H$361,7,false),1)="B","L","")),if(LEFT(VLOOKUP($B272,'Round 6'!$F$2:$H$361,3,false),1)="b","W",if(LEFT(VLOOKUP($B272,'Round 6'!$F$2:$H$361,3,false),1)="a","L","")))</f>
        <v>W</v>
      </c>
      <c r="J272" s="67" t="str">
        <f>iferror(iferror(if(LEFT(VLOOKUP($B272,'Round 7'!$B$2:$H$361,7,false),1)="A","W",if(LEFT(VLOOKUP($B272,'Round 7'!$B$2:$H$361,7,false),1)="B","L","")),if(LEFT(VLOOKUP($B272,'Round 7'!$F$2:$H$361,3,false),1)="b","W",if(LEFT(VLOOKUP($B272,'Round 7'!$F$2:$H$361,3,false),1)="a","L",""))),"")</f>
        <v>L</v>
      </c>
      <c r="K272" s="68" t="str">
        <f>iferror(iferror(if(LEFT(VLOOKUP($B272,'Round 8'!$B$2:$H$361,7,false),1)="A","W",if(LEFT(VLOOKUP($B272,'Round 8'!$B$2:$H$361,7,false),1)="B","L","")),if(LEFT(VLOOKUP($B272,'Round 8'!$F$2:$H$361,3,false),1)="b","W",if(LEFT(VLOOKUP($B272,'Round 8'!$F$2:$H$361,3,false),1)="a","L",""))),"")</f>
        <v/>
      </c>
      <c r="L272" s="68" t="str">
        <f>iferror(iferror(if(LEFT(VLOOKUP($B272,'Round 9'!$B$2:$H$361,7,false),1)="A","W",if(LEFT(VLOOKUP($B272,'Round 9'!$B$2:$H$361,7,false),1)="B","L","")),if(LEFT(VLOOKUP($B272,'Round 9'!$F$2:$H$361,3,false),1)="b","W",if(LEFT(VLOOKUP($B272,'Round 9'!$F$2:$H$361,3,false),1)="a","L",""))),"")</f>
        <v/>
      </c>
      <c r="M272" s="68" t="str">
        <f>iferror(iferror(if(LEFT(VLOOKUP($B272,'Round 10'!$B$2:$H$362,7,false),1)="A","W",if(LEFT(VLOOKUP($B272,'Round 10'!$B$2:$H$362,7,false),1)="B","L","")),if(LEFT(VLOOKUP($B272,'Round 10'!$F$2:$H$362,3,false),1)="b","W",if(LEFT(VLOOKUP($B272,'Round 10'!$F$2:$H$362,3,false),1)="a","L",""))),"")</f>
        <v/>
      </c>
      <c r="N272" s="62" t="s">
        <v>612</v>
      </c>
    </row>
    <row r="273">
      <c r="A273" s="63">
        <v>272.0</v>
      </c>
      <c r="B273" s="64" t="s">
        <v>613</v>
      </c>
      <c r="C273" s="65" t="str">
        <f t="shared" si="1"/>
        <v>0 - 3</v>
      </c>
      <c r="D273" s="67" t="str">
        <f>iferror(if(LEFT(VLOOKUP($B273,'Round 1'!$B$2:$H$361,7,false),1)="A","W",if(LEFT(VLOOKUP($B273,'Round 1'!$B$2:$H$361,7,false),1)="B","L","")),if(LEFT(VLOOKUP($B273,'Round 1'!$F$2:$H$361,3,false),1)="b","W",if(LEFT(VLOOKUP($B273,'Round 1'!$F$2:$H$361,3,false),1)="a","L","")))</f>
        <v>L</v>
      </c>
      <c r="E273" s="67" t="str">
        <f>iferror(if(LEFT(VLOOKUP($B273,'Round 2'!$C$2:$J$361,8,false),1)="A","W",if(LEFT(VLOOKUP($B273,'Round 2'!$C$2:$J$361,8,false),1)="B","L","")),if(LEFT(VLOOKUP($B273,'Round 2'!$G$2:$J$361,4,false),1)="b","W",if(LEFT(VLOOKUP($B273,'Round 2'!$G$2:$J$361,4,false),1)="a","L","")))</f>
        <v>L</v>
      </c>
      <c r="F273" s="67" t="str">
        <f>iferror(if(LEFT(VLOOKUP($B273,'Round 3'!$B$2:$H$361,7,false),1)="A","W",if(LEFT(VLOOKUP($B273,'Round 3'!$B$2:$H$361,7,false),1)="B","L","")),if(LEFT(VLOOKUP($B273,'Round 3'!$F$2:$H$361,3,false),1)="b","W",if(LEFT(VLOOKUP($B273,'Round 3'!$F$2:$H$361,3,false),1)="a","L","")))</f>
        <v>L</v>
      </c>
      <c r="G273" s="67"/>
      <c r="H273" s="67"/>
      <c r="I273" s="67"/>
      <c r="J273" s="67" t="str">
        <f>iferror(iferror(if(LEFT(VLOOKUP($B273,'Round 7'!$B$2:$H$361,7,false),1)="A","W",if(LEFT(VLOOKUP($B273,'Round 7'!$B$2:$H$361,7,false),1)="B","L","")),if(LEFT(VLOOKUP($B273,'Round 7'!$F$2:$H$361,3,false),1)="b","W",if(LEFT(VLOOKUP($B273,'Round 7'!$F$2:$H$361,3,false),1)="a","L",""))),"")</f>
        <v/>
      </c>
      <c r="K273" s="68" t="str">
        <f>iferror(iferror(if(LEFT(VLOOKUP($B273,'Round 8'!$B$2:$H$361,7,false),1)="A","W",if(LEFT(VLOOKUP($B273,'Round 8'!$B$2:$H$361,7,false),1)="B","L","")),if(LEFT(VLOOKUP($B273,'Round 8'!$F$2:$H$361,3,false),1)="b","W",if(LEFT(VLOOKUP($B273,'Round 8'!$F$2:$H$361,3,false),1)="a","L",""))),"")</f>
        <v/>
      </c>
      <c r="L273" s="68" t="str">
        <f>iferror(iferror(if(LEFT(VLOOKUP($B273,'Round 9'!$B$2:$H$361,7,false),1)="A","W",if(LEFT(VLOOKUP($B273,'Round 9'!$B$2:$H$361,7,false),1)="B","L","")),if(LEFT(VLOOKUP($B273,'Round 9'!$F$2:$H$361,3,false),1)="b","W",if(LEFT(VLOOKUP($B273,'Round 9'!$F$2:$H$361,3,false),1)="a","L",""))),"")</f>
        <v/>
      </c>
      <c r="M273" s="68" t="str">
        <f>iferror(iferror(if(LEFT(VLOOKUP($B273,'Round 10'!$B$2:$H$362,7,false),1)="A","W",if(LEFT(VLOOKUP($B273,'Round 10'!$B$2:$H$362,7,false),1)="B","L","")),if(LEFT(VLOOKUP($B273,'Round 10'!$F$2:$H$362,3,false),1)="b","W",if(LEFT(VLOOKUP($B273,'Round 10'!$F$2:$H$362,3,false),1)="a","L",""))),"")</f>
        <v/>
      </c>
      <c r="N273" s="62" t="s">
        <v>614</v>
      </c>
    </row>
    <row r="274">
      <c r="A274" s="63">
        <v>273.0</v>
      </c>
      <c r="B274" s="64" t="s">
        <v>615</v>
      </c>
      <c r="C274" s="65" t="str">
        <f t="shared" si="1"/>
        <v>1 - 3</v>
      </c>
      <c r="D274" s="67" t="str">
        <f>iferror(if(LEFT(VLOOKUP($B274,'Round 1'!$B$2:$H$361,7,false),1)="A","W",if(LEFT(VLOOKUP($B274,'Round 1'!$B$2:$H$361,7,false),1)="B","L","")),if(LEFT(VLOOKUP($B274,'Round 1'!$F$2:$H$361,3,false),1)="b","W",if(LEFT(VLOOKUP($B274,'Round 1'!$F$2:$H$361,3,false),1)="a","L","")))</f>
        <v>L</v>
      </c>
      <c r="E274" s="67" t="str">
        <f>iferror(if(LEFT(VLOOKUP($B274,'Round 2'!$C$2:$J$361,8,false),1)="A","W",if(LEFT(VLOOKUP($B274,'Round 2'!$C$2:$J$361,8,false),1)="B","L","")),if(LEFT(VLOOKUP($B274,'Round 2'!$G$2:$J$361,4,false),1)="b","W",if(LEFT(VLOOKUP($B274,'Round 2'!$G$2:$J$361,4,false),1)="a","L","")))</f>
        <v>L</v>
      </c>
      <c r="F274" s="67" t="str">
        <f>iferror(if(LEFT(VLOOKUP($B274,'Round 3'!$B$2:$H$361,7,false),1)="A","W",if(LEFT(VLOOKUP($B274,'Round 3'!$B$2:$H$361,7,false),1)="B","L","")),if(LEFT(VLOOKUP($B274,'Round 3'!$F$2:$H$361,3,false),1)="b","W",if(LEFT(VLOOKUP($B274,'Round 3'!$F$2:$H$361,3,false),1)="a","L","")))</f>
        <v>W</v>
      </c>
      <c r="G274" s="67" t="str">
        <f>iferror(if(LEFT(VLOOKUP($B274,'Round 4'!$B$2:$H$361,7,false),1)="A","W",if(LEFT(VLOOKUP($B274,'Round 4'!$B$2:$H$361,7,false),1)="B","L","")),if(LEFT(VLOOKUP($B274,'Round 4'!$F$2:$H$361,3,false),1)="b","W",if(LEFT(VLOOKUP($B274,'Round 4'!$F$2:$H$361,3,false),1)="a","L","")))</f>
        <v>L</v>
      </c>
      <c r="H274" s="67"/>
      <c r="I274" s="67"/>
      <c r="J274" s="67" t="str">
        <f>iferror(iferror(if(LEFT(VLOOKUP($B274,'Round 7'!$B$2:$H$361,7,false),1)="A","W",if(LEFT(VLOOKUP($B274,'Round 7'!$B$2:$H$361,7,false),1)="B","L","")),if(LEFT(VLOOKUP($B274,'Round 7'!$F$2:$H$361,3,false),1)="b","W",if(LEFT(VLOOKUP($B274,'Round 7'!$F$2:$H$361,3,false),1)="a","L",""))),"")</f>
        <v/>
      </c>
      <c r="K274" s="68" t="str">
        <f>iferror(iferror(if(LEFT(VLOOKUP($B274,'Round 8'!$B$2:$H$361,7,false),1)="A","W",if(LEFT(VLOOKUP($B274,'Round 8'!$B$2:$H$361,7,false),1)="B","L","")),if(LEFT(VLOOKUP($B274,'Round 8'!$F$2:$H$361,3,false),1)="b","W",if(LEFT(VLOOKUP($B274,'Round 8'!$F$2:$H$361,3,false),1)="a","L",""))),"")</f>
        <v/>
      </c>
      <c r="L274" s="68" t="str">
        <f>iferror(iferror(if(LEFT(VLOOKUP($B274,'Round 9'!$B$2:$H$361,7,false),1)="A","W",if(LEFT(VLOOKUP($B274,'Round 9'!$B$2:$H$361,7,false),1)="B","L","")),if(LEFT(VLOOKUP($B274,'Round 9'!$F$2:$H$361,3,false),1)="b","W",if(LEFT(VLOOKUP($B274,'Round 9'!$F$2:$H$361,3,false),1)="a","L",""))),"")</f>
        <v/>
      </c>
      <c r="M274" s="68" t="str">
        <f>iferror(iferror(if(LEFT(VLOOKUP($B274,'Round 10'!$B$2:$H$362,7,false),1)="A","W",if(LEFT(VLOOKUP($B274,'Round 10'!$B$2:$H$362,7,false),1)="B","L","")),if(LEFT(VLOOKUP($B274,'Round 10'!$F$2:$H$362,3,false),1)="b","W",if(LEFT(VLOOKUP($B274,'Round 10'!$F$2:$H$362,3,false),1)="a","L",""))),"")</f>
        <v/>
      </c>
      <c r="N274" s="62" t="s">
        <v>616</v>
      </c>
    </row>
    <row r="275">
      <c r="A275" s="63">
        <v>274.0</v>
      </c>
      <c r="B275" s="64" t="s">
        <v>617</v>
      </c>
      <c r="C275" s="65" t="str">
        <f t="shared" si="1"/>
        <v>0 - 3</v>
      </c>
      <c r="D275" s="67" t="str">
        <f>iferror(if(LEFT(VLOOKUP($B275,'Round 1'!$B$2:$H$361,7,false),1)="A","W",if(LEFT(VLOOKUP($B275,'Round 1'!$B$2:$H$361,7,false),1)="B","L","")),if(LEFT(VLOOKUP($B275,'Round 1'!$F$2:$H$361,3,false),1)="b","W",if(LEFT(VLOOKUP($B275,'Round 1'!$F$2:$H$361,3,false),1)="a","L","")))</f>
        <v>L</v>
      </c>
      <c r="E275" s="67" t="str">
        <f>iferror(if(LEFT(VLOOKUP($B275,'Round 2'!$C$2:$J$361,8,false),1)="A","W",if(LEFT(VLOOKUP($B275,'Round 2'!$C$2:$J$361,8,false),1)="B","L","")),if(LEFT(VLOOKUP($B275,'Round 2'!$G$2:$J$361,4,false),1)="b","W",if(LEFT(VLOOKUP($B275,'Round 2'!$G$2:$J$361,4,false),1)="a","L","")))</f>
        <v>L</v>
      </c>
      <c r="F275" s="67" t="str">
        <f>iferror(if(LEFT(VLOOKUP($B275,'Round 3'!$B$2:$H$361,7,false),1)="A","W",if(LEFT(VLOOKUP($B275,'Round 3'!$B$2:$H$361,7,false),1)="B","L","")),if(LEFT(VLOOKUP($B275,'Round 3'!$F$2:$H$361,3,false),1)="b","W",if(LEFT(VLOOKUP($B275,'Round 3'!$F$2:$H$361,3,false),1)="a","L","")))</f>
        <v>L</v>
      </c>
      <c r="G275" s="67"/>
      <c r="H275" s="67"/>
      <c r="I275" s="67"/>
      <c r="J275" s="67" t="str">
        <f>iferror(iferror(if(LEFT(VLOOKUP($B275,'Round 7'!$B$2:$H$361,7,false),1)="A","W",if(LEFT(VLOOKUP($B275,'Round 7'!$B$2:$H$361,7,false),1)="B","L","")),if(LEFT(VLOOKUP($B275,'Round 7'!$F$2:$H$361,3,false),1)="b","W",if(LEFT(VLOOKUP($B275,'Round 7'!$F$2:$H$361,3,false),1)="a","L",""))),"")</f>
        <v/>
      </c>
      <c r="K275" s="68" t="str">
        <f>iferror(iferror(if(LEFT(VLOOKUP($B275,'Round 8'!$B$2:$H$361,7,false),1)="A","W",if(LEFT(VLOOKUP($B275,'Round 8'!$B$2:$H$361,7,false),1)="B","L","")),if(LEFT(VLOOKUP($B275,'Round 8'!$F$2:$H$361,3,false),1)="b","W",if(LEFT(VLOOKUP($B275,'Round 8'!$F$2:$H$361,3,false),1)="a","L",""))),"")</f>
        <v/>
      </c>
      <c r="L275" s="68" t="str">
        <f>iferror(iferror(if(LEFT(VLOOKUP($B275,'Round 9'!$B$2:$H$361,7,false),1)="A","W",if(LEFT(VLOOKUP($B275,'Round 9'!$B$2:$H$361,7,false),1)="B","L","")),if(LEFT(VLOOKUP($B275,'Round 9'!$F$2:$H$361,3,false),1)="b","W",if(LEFT(VLOOKUP($B275,'Round 9'!$F$2:$H$361,3,false),1)="a","L",""))),"")</f>
        <v/>
      </c>
      <c r="M275" s="68" t="str">
        <f>iferror(iferror(if(LEFT(VLOOKUP($B275,'Round 10'!$B$2:$H$362,7,false),1)="A","W",if(LEFT(VLOOKUP($B275,'Round 10'!$B$2:$H$362,7,false),1)="B","L","")),if(LEFT(VLOOKUP($B275,'Round 10'!$F$2:$H$362,3,false),1)="b","W",if(LEFT(VLOOKUP($B275,'Round 10'!$F$2:$H$362,3,false),1)="a","L",""))),"")</f>
        <v/>
      </c>
      <c r="N275" s="62" t="s">
        <v>618</v>
      </c>
    </row>
    <row r="276">
      <c r="A276" s="63">
        <v>275.0</v>
      </c>
      <c r="B276" s="64" t="s">
        <v>619</v>
      </c>
      <c r="C276" s="65" t="str">
        <f t="shared" si="1"/>
        <v>2 - 3</v>
      </c>
      <c r="D276" s="67" t="str">
        <f>iferror(if(LEFT(VLOOKUP($B276,'Round 1'!$B$2:$H$361,7,false),1)="A","W",if(LEFT(VLOOKUP($B276,'Round 1'!$B$2:$H$361,7,false),1)="B","L","")),if(LEFT(VLOOKUP($B276,'Round 1'!$F$2:$H$361,3,false),1)="b","W",if(LEFT(VLOOKUP($B276,'Round 1'!$F$2:$H$361,3,false),1)="a","L","")))</f>
        <v>W</v>
      </c>
      <c r="E276" s="67" t="str">
        <f>iferror(if(LEFT(VLOOKUP($B276,'Round 2'!$C$2:$J$361,8,false),1)="A","W",if(LEFT(VLOOKUP($B276,'Round 2'!$C$2:$J$361,8,false),1)="B","L","")),if(LEFT(VLOOKUP($B276,'Round 2'!$G$2:$J$361,4,false),1)="b","W",if(LEFT(VLOOKUP($B276,'Round 2'!$G$2:$J$361,4,false),1)="a","L","")))</f>
        <v>L</v>
      </c>
      <c r="F276" s="67" t="str">
        <f>iferror(if(LEFT(VLOOKUP($B276,'Round 3'!$B$2:$H$361,7,false),1)="A","W",if(LEFT(VLOOKUP($B276,'Round 3'!$B$2:$H$361,7,false),1)="B","L","")),if(LEFT(VLOOKUP($B276,'Round 3'!$F$2:$H$361,3,false),1)="b","W",if(LEFT(VLOOKUP($B276,'Round 3'!$F$2:$H$361,3,false),1)="a","L","")))</f>
        <v>W</v>
      </c>
      <c r="G276" s="67" t="str">
        <f>iferror(if(LEFT(VLOOKUP($B276,'Round 4'!$B$2:$H$361,7,false),1)="A","W",if(LEFT(VLOOKUP($B276,'Round 4'!$B$2:$H$361,7,false),1)="B","L","")),if(LEFT(VLOOKUP($B276,'Round 4'!$F$2:$H$361,3,false),1)="b","W",if(LEFT(VLOOKUP($B276,'Round 4'!$F$2:$H$361,3,false),1)="a","L","")))</f>
        <v>L</v>
      </c>
      <c r="H276" s="67" t="str">
        <f>iferror(if(LEFT(VLOOKUP($B276,'Round 5'!$B$2:$H$361,7,false),1)="A","W",if(LEFT(VLOOKUP($B276,'Round 5'!$B$2:$H$361,7,false),1)="B","L","")),if(LEFT(VLOOKUP($B276,'Round 5'!$F$2:$H$361,3,false),1)="b","W",if(LEFT(VLOOKUP($B276,'Round 5'!$F$2:$H$361,3,false),1)="a","L","")))</f>
        <v>L</v>
      </c>
      <c r="I276" s="67"/>
      <c r="J276" s="67" t="str">
        <f>iferror(iferror(if(LEFT(VLOOKUP($B276,'Round 7'!$B$2:$H$361,7,false),1)="A","W",if(LEFT(VLOOKUP($B276,'Round 7'!$B$2:$H$361,7,false),1)="B","L","")),if(LEFT(VLOOKUP($B276,'Round 7'!$F$2:$H$361,3,false),1)="b","W",if(LEFT(VLOOKUP($B276,'Round 7'!$F$2:$H$361,3,false),1)="a","L",""))),"")</f>
        <v/>
      </c>
      <c r="K276" s="68" t="str">
        <f>iferror(iferror(if(LEFT(VLOOKUP($B276,'Round 8'!$B$2:$H$361,7,false),1)="A","W",if(LEFT(VLOOKUP($B276,'Round 8'!$B$2:$H$361,7,false),1)="B","L","")),if(LEFT(VLOOKUP($B276,'Round 8'!$F$2:$H$361,3,false),1)="b","W",if(LEFT(VLOOKUP($B276,'Round 8'!$F$2:$H$361,3,false),1)="a","L",""))),"")</f>
        <v/>
      </c>
      <c r="L276" s="68" t="str">
        <f>iferror(iferror(if(LEFT(VLOOKUP($B276,'Round 9'!$B$2:$H$361,7,false),1)="A","W",if(LEFT(VLOOKUP($B276,'Round 9'!$B$2:$H$361,7,false),1)="B","L","")),if(LEFT(VLOOKUP($B276,'Round 9'!$F$2:$H$361,3,false),1)="b","W",if(LEFT(VLOOKUP($B276,'Round 9'!$F$2:$H$361,3,false),1)="a","L",""))),"")</f>
        <v/>
      </c>
      <c r="M276" s="68" t="str">
        <f>iferror(iferror(if(LEFT(VLOOKUP($B276,'Round 10'!$B$2:$H$362,7,false),1)="A","W",if(LEFT(VLOOKUP($B276,'Round 10'!$B$2:$H$362,7,false),1)="B","L","")),if(LEFT(VLOOKUP($B276,'Round 10'!$F$2:$H$362,3,false),1)="b","W",if(LEFT(VLOOKUP($B276,'Round 10'!$F$2:$H$362,3,false),1)="a","L",""))),"")</f>
        <v/>
      </c>
      <c r="N276" s="62" t="s">
        <v>620</v>
      </c>
    </row>
    <row r="277">
      <c r="A277" s="63">
        <v>276.0</v>
      </c>
      <c r="B277" s="71" t="s">
        <v>621</v>
      </c>
      <c r="C277" s="65" t="str">
        <f t="shared" si="1"/>
        <v>5 - 3</v>
      </c>
      <c r="D277" s="67" t="str">
        <f>iferror(if(LEFT(VLOOKUP($B277,'Round 1'!$B$2:$H$361,7,false),1)="A","W",if(LEFT(VLOOKUP($B277,'Round 1'!$B$2:$H$361,7,false),1)="B","L","")),if(LEFT(VLOOKUP($B277,'Round 1'!$F$2:$H$361,3,false),1)="b","W",if(LEFT(VLOOKUP($B277,'Round 1'!$F$2:$H$361,3,false),1)="a","L","")))</f>
        <v>W</v>
      </c>
      <c r="E277" s="67" t="str">
        <f>iferror(if(LEFT(VLOOKUP($B277,'Round 2'!$C$2:$J$361,8,false),1)="A","W",if(LEFT(VLOOKUP($B277,'Round 2'!$C$2:$J$361,8,false),1)="B","L","")),if(LEFT(VLOOKUP($B277,'Round 2'!$G$2:$J$361,4,false),1)="b","W",if(LEFT(VLOOKUP($B277,'Round 2'!$G$2:$J$361,4,false),1)="a","L","")))</f>
        <v>W</v>
      </c>
      <c r="F277" s="67" t="str">
        <f>iferror(if(LEFT(VLOOKUP($B277,'Round 3'!$B$2:$H$361,7,false),1)="A","W",if(LEFT(VLOOKUP($B277,'Round 3'!$B$2:$H$361,7,false),1)="B","L","")),if(LEFT(VLOOKUP($B277,'Round 3'!$F$2:$H$361,3,false),1)="b","W",if(LEFT(VLOOKUP($B277,'Round 3'!$F$2:$H$361,3,false),1)="a","L","")))</f>
        <v>W</v>
      </c>
      <c r="G277" s="67" t="str">
        <f>iferror(if(LEFT(VLOOKUP($B277,'Round 4'!$B$2:$H$361,7,false),1)="A","W",if(LEFT(VLOOKUP($B277,'Round 4'!$B$2:$H$361,7,false),1)="B","L","")),if(LEFT(VLOOKUP($B277,'Round 4'!$F$2:$H$361,3,false),1)="b","W",if(LEFT(VLOOKUP($B277,'Round 4'!$F$2:$H$361,3,false),1)="a","L","")))</f>
        <v>L</v>
      </c>
      <c r="H277" s="67" t="str">
        <f>iferror(if(LEFT(VLOOKUP($B277,'Round 5'!$B$2:$H$361,7,false),1)="A","W",if(LEFT(VLOOKUP($B277,'Round 5'!$B$2:$H$361,7,false),1)="B","L","")),if(LEFT(VLOOKUP($B277,'Round 5'!$F$2:$H$361,3,false),1)="b","W",if(LEFT(VLOOKUP($B277,'Round 5'!$F$2:$H$361,3,false),1)="a","L","")))</f>
        <v>W</v>
      </c>
      <c r="I277" s="67" t="str">
        <f>iferror(if(LEFT(VLOOKUP($B277,'Round 6'!$B$2:$H$361,7,false),1)="A","W",if(LEFT(VLOOKUP($B277,'Round 6'!$B$2:$H$361,7,false),1)="B","L","")),if(LEFT(VLOOKUP($B277,'Round 6'!$F$2:$H$361,3,false),1)="b","W",if(LEFT(VLOOKUP($B277,'Round 6'!$F$2:$H$361,3,false),1)="a","L","")))</f>
        <v>L</v>
      </c>
      <c r="J277" s="67" t="str">
        <f>iferror(iferror(if(LEFT(VLOOKUP($B277,'Round 7'!$B$2:$H$361,7,false),1)="A","W",if(LEFT(VLOOKUP($B277,'Round 7'!$B$2:$H$361,7,false),1)="B","L","")),if(LEFT(VLOOKUP($B277,'Round 7'!$F$2:$H$361,3,false),1)="b","W",if(LEFT(VLOOKUP($B277,'Round 7'!$F$2:$H$361,3,false),1)="a","L",""))),"")</f>
        <v>W</v>
      </c>
      <c r="K277" s="68" t="str">
        <f>iferror(iferror(if(LEFT(VLOOKUP($B277,'Round 8'!$B$2:$H$361,7,false),1)="A","W",if(LEFT(VLOOKUP($B277,'Round 8'!$B$2:$H$361,7,false),1)="B","L","")),if(LEFT(VLOOKUP($B277,'Round 8'!$F$2:$H$361,3,false),1)="b","W",if(LEFT(VLOOKUP($B277,'Round 8'!$F$2:$H$361,3,false),1)="a","L",""))),"")</f>
        <v>L</v>
      </c>
      <c r="L277" s="68" t="str">
        <f>iferror(iferror(if(LEFT(VLOOKUP($B277,'Round 9'!$B$2:$H$361,7,false),1)="A","W",if(LEFT(VLOOKUP($B277,'Round 9'!$B$2:$H$361,7,false),1)="B","L","")),if(LEFT(VLOOKUP($B277,'Round 9'!$F$2:$H$361,3,false),1)="b","W",if(LEFT(VLOOKUP($B277,'Round 9'!$F$2:$H$361,3,false),1)="a","L",""))),"")</f>
        <v/>
      </c>
      <c r="M277" s="68" t="str">
        <f>iferror(iferror(if(LEFT(VLOOKUP($B277,'Round 10'!$B$2:$H$362,7,false),1)="A","W",if(LEFT(VLOOKUP($B277,'Round 10'!$B$2:$H$362,7,false),1)="B","L","")),if(LEFT(VLOOKUP($B277,'Round 10'!$F$2:$H$362,3,false),1)="b","W",if(LEFT(VLOOKUP($B277,'Round 10'!$F$2:$H$362,3,false),1)="a","L",""))),"")</f>
        <v/>
      </c>
      <c r="N277" s="62" t="s">
        <v>622</v>
      </c>
    </row>
    <row r="278">
      <c r="A278" s="63">
        <v>277.0</v>
      </c>
      <c r="B278" s="64" t="s">
        <v>623</v>
      </c>
      <c r="C278" s="65" t="str">
        <f t="shared" si="1"/>
        <v>2 - 3</v>
      </c>
      <c r="D278" s="67" t="str">
        <f>iferror(if(LEFT(VLOOKUP($B278,'Round 1'!$B$2:$H$361,7,false),1)="A","W",if(LEFT(VLOOKUP($B278,'Round 1'!$B$2:$H$361,7,false),1)="B","L","")),if(LEFT(VLOOKUP($B278,'Round 1'!$F$2:$H$361,3,false),1)="b","W",if(LEFT(VLOOKUP($B278,'Round 1'!$F$2:$H$361,3,false),1)="a","L","")))</f>
        <v>L</v>
      </c>
      <c r="E278" s="67" t="str">
        <f>iferror(if(LEFT(VLOOKUP($B278,'Round 2'!$C$2:$J$361,8,false),1)="A","W",if(LEFT(VLOOKUP($B278,'Round 2'!$C$2:$J$361,8,false),1)="B","L","")),if(LEFT(VLOOKUP($B278,'Round 2'!$G$2:$J$361,4,false),1)="b","W",if(LEFT(VLOOKUP($B278,'Round 2'!$G$2:$J$361,4,false),1)="a","L","")))</f>
        <v>W</v>
      </c>
      <c r="F278" s="67" t="str">
        <f>iferror(if(LEFT(VLOOKUP($B278,'Round 3'!$B$2:$H$361,7,false),1)="A","W",if(LEFT(VLOOKUP($B278,'Round 3'!$B$2:$H$361,7,false),1)="B","L","")),if(LEFT(VLOOKUP($B278,'Round 3'!$F$2:$H$361,3,false),1)="b","W",if(LEFT(VLOOKUP($B278,'Round 3'!$F$2:$H$361,3,false),1)="a","L","")))</f>
        <v>W</v>
      </c>
      <c r="G278" s="67" t="str">
        <f>iferror(if(LEFT(VLOOKUP($B278,'Round 4'!$B$2:$H$361,7,false),1)="A","W",if(LEFT(VLOOKUP($B278,'Round 4'!$B$2:$H$361,7,false),1)="B","L","")),if(LEFT(VLOOKUP($B278,'Round 4'!$F$2:$H$361,3,false),1)="b","W",if(LEFT(VLOOKUP($B278,'Round 4'!$F$2:$H$361,3,false),1)="a","L","")))</f>
        <v>L</v>
      </c>
      <c r="H278" s="67" t="str">
        <f>iferror(if(LEFT(VLOOKUP($B278,'Round 5'!$B$2:$H$361,7,false),1)="A","W",if(LEFT(VLOOKUP($B278,'Round 5'!$B$2:$H$361,7,false),1)="B","L","")),if(LEFT(VLOOKUP($B278,'Round 5'!$F$2:$H$361,3,false),1)="b","W",if(LEFT(VLOOKUP($B278,'Round 5'!$F$2:$H$361,3,false),1)="a","L","")))</f>
        <v>L</v>
      </c>
      <c r="I278" s="67"/>
      <c r="J278" s="67" t="str">
        <f>iferror(iferror(if(LEFT(VLOOKUP($B278,'Round 7'!$B$2:$H$361,7,false),1)="A","W",if(LEFT(VLOOKUP($B278,'Round 7'!$B$2:$H$361,7,false),1)="B","L","")),if(LEFT(VLOOKUP($B278,'Round 7'!$F$2:$H$361,3,false),1)="b","W",if(LEFT(VLOOKUP($B278,'Round 7'!$F$2:$H$361,3,false),1)="a","L",""))),"")</f>
        <v/>
      </c>
      <c r="K278" s="68" t="str">
        <f>iferror(iferror(if(LEFT(VLOOKUP($B278,'Round 8'!$B$2:$H$361,7,false),1)="A","W",if(LEFT(VLOOKUP($B278,'Round 8'!$B$2:$H$361,7,false),1)="B","L","")),if(LEFT(VLOOKUP($B278,'Round 8'!$F$2:$H$361,3,false),1)="b","W",if(LEFT(VLOOKUP($B278,'Round 8'!$F$2:$H$361,3,false),1)="a","L",""))),"")</f>
        <v/>
      </c>
      <c r="L278" s="68" t="str">
        <f>iferror(iferror(if(LEFT(VLOOKUP($B278,'Round 9'!$B$2:$H$361,7,false),1)="A","W",if(LEFT(VLOOKUP($B278,'Round 9'!$B$2:$H$361,7,false),1)="B","L","")),if(LEFT(VLOOKUP($B278,'Round 9'!$F$2:$H$361,3,false),1)="b","W",if(LEFT(VLOOKUP($B278,'Round 9'!$F$2:$H$361,3,false),1)="a","L",""))),"")</f>
        <v/>
      </c>
      <c r="M278" s="68" t="str">
        <f>iferror(iferror(if(LEFT(VLOOKUP($B278,'Round 10'!$B$2:$H$362,7,false),1)="A","W",if(LEFT(VLOOKUP($B278,'Round 10'!$B$2:$H$362,7,false),1)="B","L","")),if(LEFT(VLOOKUP($B278,'Round 10'!$F$2:$H$362,3,false),1)="b","W",if(LEFT(VLOOKUP($B278,'Round 10'!$F$2:$H$362,3,false),1)="a","L",""))),"")</f>
        <v/>
      </c>
      <c r="N278" s="62" t="s">
        <v>624</v>
      </c>
    </row>
    <row r="279">
      <c r="A279" s="63">
        <v>278.0</v>
      </c>
      <c r="B279" s="71" t="s">
        <v>625</v>
      </c>
      <c r="C279" s="65" t="str">
        <f t="shared" si="1"/>
        <v>1 - 3</v>
      </c>
      <c r="D279" s="67" t="str">
        <f>iferror(if(LEFT(VLOOKUP($B279,'Round 1'!$B$2:$H$361,7,false),1)="A","W",if(LEFT(VLOOKUP($B279,'Round 1'!$B$2:$H$361,7,false),1)="B","L","")),if(LEFT(VLOOKUP($B279,'Round 1'!$F$2:$H$361,3,false),1)="b","W",if(LEFT(VLOOKUP($B279,'Round 1'!$F$2:$H$361,3,false),1)="a","L","")))</f>
        <v>W</v>
      </c>
      <c r="E279" s="67" t="str">
        <f>iferror(if(LEFT(VLOOKUP($B279,'Round 2'!$C$2:$J$361,8,false),1)="A","W",if(LEFT(VLOOKUP($B279,'Round 2'!$C$2:$J$361,8,false),1)="B","L","")),if(LEFT(VLOOKUP($B279,'Round 2'!$G$2:$J$361,4,false),1)="b","W",if(LEFT(VLOOKUP($B279,'Round 2'!$G$2:$J$361,4,false),1)="a","L","")))</f>
        <v>L</v>
      </c>
      <c r="F279" s="67" t="str">
        <f>iferror(if(LEFT(VLOOKUP($B279,'Round 3'!$B$2:$H$361,7,false),1)="A","W",if(LEFT(VLOOKUP($B279,'Round 3'!$B$2:$H$361,7,false),1)="B","L","")),if(LEFT(VLOOKUP($B279,'Round 3'!$F$2:$H$361,3,false),1)="b","W",if(LEFT(VLOOKUP($B279,'Round 3'!$F$2:$H$361,3,false),1)="a","L","")))</f>
        <v>L</v>
      </c>
      <c r="G279" s="67" t="str">
        <f>iferror(if(LEFT(VLOOKUP($B279,'Round 4'!$B$2:$H$361,7,false),1)="A","W",if(LEFT(VLOOKUP($B279,'Round 4'!$B$2:$H$361,7,false),1)="B","L","")),if(LEFT(VLOOKUP($B279,'Round 4'!$F$2:$H$361,3,false),1)="b","W",if(LEFT(VLOOKUP($B279,'Round 4'!$F$2:$H$361,3,false),1)="a","L","")))</f>
        <v>L</v>
      </c>
      <c r="H279" s="67"/>
      <c r="I279" s="67"/>
      <c r="J279" s="67" t="str">
        <f>iferror(iferror(if(LEFT(VLOOKUP($B279,'Round 7'!$B$2:$H$361,7,false),1)="A","W",if(LEFT(VLOOKUP($B279,'Round 7'!$B$2:$H$361,7,false),1)="B","L","")),if(LEFT(VLOOKUP($B279,'Round 7'!$F$2:$H$361,3,false),1)="b","W",if(LEFT(VLOOKUP($B279,'Round 7'!$F$2:$H$361,3,false),1)="a","L",""))),"")</f>
        <v/>
      </c>
      <c r="K279" s="68" t="str">
        <f>iferror(iferror(if(LEFT(VLOOKUP($B279,'Round 8'!$B$2:$H$361,7,false),1)="A","W",if(LEFT(VLOOKUP($B279,'Round 8'!$B$2:$H$361,7,false),1)="B","L","")),if(LEFT(VLOOKUP($B279,'Round 8'!$F$2:$H$361,3,false),1)="b","W",if(LEFT(VLOOKUP($B279,'Round 8'!$F$2:$H$361,3,false),1)="a","L",""))),"")</f>
        <v/>
      </c>
      <c r="L279" s="68" t="str">
        <f>iferror(iferror(if(LEFT(VLOOKUP($B279,'Round 9'!$B$2:$H$361,7,false),1)="A","W",if(LEFT(VLOOKUP($B279,'Round 9'!$B$2:$H$361,7,false),1)="B","L","")),if(LEFT(VLOOKUP($B279,'Round 9'!$F$2:$H$361,3,false),1)="b","W",if(LEFT(VLOOKUP($B279,'Round 9'!$F$2:$H$361,3,false),1)="a","L",""))),"")</f>
        <v/>
      </c>
      <c r="M279" s="68" t="str">
        <f>iferror(iferror(if(LEFT(VLOOKUP($B279,'Round 10'!$B$2:$H$362,7,false),1)="A","W",if(LEFT(VLOOKUP($B279,'Round 10'!$B$2:$H$362,7,false),1)="B","L","")),if(LEFT(VLOOKUP($B279,'Round 10'!$F$2:$H$362,3,false),1)="b","W",if(LEFT(VLOOKUP($B279,'Round 10'!$F$2:$H$362,3,false),1)="a","L",""))),"")</f>
        <v/>
      </c>
      <c r="N279" s="62" t="s">
        <v>626</v>
      </c>
    </row>
    <row r="280">
      <c r="A280" s="63">
        <v>279.0</v>
      </c>
      <c r="B280" s="64" t="s">
        <v>627</v>
      </c>
      <c r="C280" s="65" t="str">
        <f t="shared" si="1"/>
        <v>6 - 3</v>
      </c>
      <c r="D280" s="67" t="str">
        <f>iferror(if(LEFT(VLOOKUP($B280,'Round 1'!$B$2:$H$361,7,false),1)="A","W",if(LEFT(VLOOKUP($B280,'Round 1'!$B$2:$H$361,7,false),1)="B","L","")),if(LEFT(VLOOKUP($B280,'Round 1'!$F$2:$H$361,3,false),1)="b","W",if(LEFT(VLOOKUP($B280,'Round 1'!$F$2:$H$361,3,false),1)="a","L","")))</f>
        <v>W</v>
      </c>
      <c r="E280" s="67" t="str">
        <f>iferror(if(LEFT(VLOOKUP($B280,'Round 2'!$C$2:$J$361,8,false),1)="A","W",if(LEFT(VLOOKUP($B280,'Round 2'!$C$2:$J$361,8,false),1)="B","L","")),if(LEFT(VLOOKUP($B280,'Round 2'!$G$2:$J$361,4,false),1)="b","W",if(LEFT(VLOOKUP($B280,'Round 2'!$G$2:$J$361,4,false),1)="a","L","")))</f>
        <v>L</v>
      </c>
      <c r="F280" s="67" t="str">
        <f>iferror(if(LEFT(VLOOKUP($B280,'Round 3'!$B$2:$H$361,7,false),1)="A","W",if(LEFT(VLOOKUP($B280,'Round 3'!$B$2:$H$361,7,false),1)="B","L","")),if(LEFT(VLOOKUP($B280,'Round 3'!$F$2:$H$361,3,false),1)="b","W",if(LEFT(VLOOKUP($B280,'Round 3'!$F$2:$H$361,3,false),1)="a","L","")))</f>
        <v>L</v>
      </c>
      <c r="G280" s="67" t="str">
        <f>iferror(if(LEFT(VLOOKUP($B280,'Round 4'!$B$2:$H$361,7,false),1)="A","W",if(LEFT(VLOOKUP($B280,'Round 4'!$B$2:$H$361,7,false),1)="B","L","")),if(LEFT(VLOOKUP($B280,'Round 4'!$F$2:$H$361,3,false),1)="b","W",if(LEFT(VLOOKUP($B280,'Round 4'!$F$2:$H$361,3,false),1)="a","L","")))</f>
        <v>W</v>
      </c>
      <c r="H280" s="67" t="str">
        <f>iferror(if(LEFT(VLOOKUP($B280,'Round 5'!$B$2:$H$361,7,false),1)="A","W",if(LEFT(VLOOKUP($B280,'Round 5'!$B$2:$H$361,7,false),1)="B","L","")),if(LEFT(VLOOKUP($B280,'Round 5'!$F$2:$H$361,3,false),1)="b","W",if(LEFT(VLOOKUP($B280,'Round 5'!$F$2:$H$361,3,false),1)="a","L","")))</f>
        <v>W</v>
      </c>
      <c r="I280" s="67" t="str">
        <f>iferror(if(LEFT(VLOOKUP($B280,'Round 6'!$B$2:$H$361,7,false),1)="A","W",if(LEFT(VLOOKUP($B280,'Round 6'!$B$2:$H$361,7,false),1)="B","L","")),if(LEFT(VLOOKUP($B280,'Round 6'!$F$2:$H$361,3,false),1)="b","W",if(LEFT(VLOOKUP($B280,'Round 6'!$F$2:$H$361,3,false),1)="a","L","")))</f>
        <v>W</v>
      </c>
      <c r="J280" s="67" t="str">
        <f>iferror(iferror(if(LEFT(VLOOKUP($B280,'Round 7'!$B$2:$H$361,7,false),1)="A","W",if(LEFT(VLOOKUP($B280,'Round 7'!$B$2:$H$361,7,false),1)="B","L","")),if(LEFT(VLOOKUP($B280,'Round 7'!$F$2:$H$361,3,false),1)="b","W",if(LEFT(VLOOKUP($B280,'Round 7'!$F$2:$H$361,3,false),1)="a","L",""))),"")</f>
        <v>W</v>
      </c>
      <c r="K280" s="68" t="str">
        <f>iferror(iferror(if(LEFT(VLOOKUP($B280,'Round 8'!$B$2:$H$361,7,false),1)="A","W",if(LEFT(VLOOKUP($B280,'Round 8'!$B$2:$H$361,7,false),1)="B","L","")),if(LEFT(VLOOKUP($B280,'Round 8'!$F$2:$H$361,3,false),1)="b","W",if(LEFT(VLOOKUP($B280,'Round 8'!$F$2:$H$361,3,false),1)="a","L",""))),"")</f>
        <v>W</v>
      </c>
      <c r="L280" s="68" t="str">
        <f>iferror(iferror(if(LEFT(VLOOKUP($B280,'Round 9'!$B$2:$H$361,7,false),1)="A","W",if(LEFT(VLOOKUP($B280,'Round 9'!$B$2:$H$361,7,false),1)="B","L","")),if(LEFT(VLOOKUP($B280,'Round 9'!$F$2:$H$361,3,false),1)="b","W",if(LEFT(VLOOKUP($B280,'Round 9'!$F$2:$H$361,3,false),1)="a","L",""))),"")</f>
        <v>L</v>
      </c>
      <c r="M280" s="68" t="str">
        <f>iferror(iferror(if(LEFT(VLOOKUP($B280,'Round 10'!$B$2:$H$362,7,false),1)="A","W",if(LEFT(VLOOKUP($B280,'Round 10'!$B$2:$H$362,7,false),1)="B","L","")),if(LEFT(VLOOKUP($B280,'Round 10'!$F$2:$H$362,3,false),1)="b","W",if(LEFT(VLOOKUP($B280,'Round 10'!$F$2:$H$362,3,false),1)="a","L",""))),"")</f>
        <v/>
      </c>
      <c r="N280" s="62" t="s">
        <v>628</v>
      </c>
    </row>
    <row r="281">
      <c r="A281" s="63">
        <v>280.0</v>
      </c>
      <c r="B281" s="64" t="s">
        <v>629</v>
      </c>
      <c r="C281" s="65" t="str">
        <f t="shared" si="1"/>
        <v>3 - 3</v>
      </c>
      <c r="D281" s="67" t="str">
        <f>iferror(if(LEFT(VLOOKUP($B281,'Round 1'!$B$2:$H$361,7,false),1)="A","W",if(LEFT(VLOOKUP($B281,'Round 1'!$B$2:$H$361,7,false),1)="B","L","")),if(LEFT(VLOOKUP($B281,'Round 1'!$F$2:$H$361,3,false),1)="b","W",if(LEFT(VLOOKUP($B281,'Round 1'!$F$2:$H$361,3,false),1)="a","L","")))</f>
        <v>L</v>
      </c>
      <c r="E281" s="67" t="str">
        <f>iferror(if(LEFT(VLOOKUP($B281,'Round 2'!$C$2:$J$361,8,false),1)="A","W",if(LEFT(VLOOKUP($B281,'Round 2'!$C$2:$J$361,8,false),1)="B","L","")),if(LEFT(VLOOKUP($B281,'Round 2'!$G$2:$J$361,4,false),1)="b","W",if(LEFT(VLOOKUP($B281,'Round 2'!$G$2:$J$361,4,false),1)="a","L","")))</f>
        <v>L</v>
      </c>
      <c r="F281" s="67" t="str">
        <f>iferror(if(LEFT(VLOOKUP($B281,'Round 3'!$B$2:$H$361,7,false),1)="A","W",if(LEFT(VLOOKUP($B281,'Round 3'!$B$2:$H$361,7,false),1)="B","L","")),if(LEFT(VLOOKUP($B281,'Round 3'!$F$2:$H$361,3,false),1)="b","W",if(LEFT(VLOOKUP($B281,'Round 3'!$F$2:$H$361,3,false),1)="a","L","")))</f>
        <v>W</v>
      </c>
      <c r="G281" s="67" t="str">
        <f>iferror(if(LEFT(VLOOKUP($B281,'Round 4'!$B$2:$H$361,7,false),1)="A","W",if(LEFT(VLOOKUP($B281,'Round 4'!$B$2:$H$361,7,false),1)="B","L","")),if(LEFT(VLOOKUP($B281,'Round 4'!$F$2:$H$361,3,false),1)="b","W",if(LEFT(VLOOKUP($B281,'Round 4'!$F$2:$H$361,3,false),1)="a","L","")))</f>
        <v>W</v>
      </c>
      <c r="H281" s="67" t="str">
        <f>iferror(if(LEFT(VLOOKUP($B281,'Round 5'!$B$2:$H$361,7,false),1)="A","W",if(LEFT(VLOOKUP($B281,'Round 5'!$B$2:$H$361,7,false),1)="B","L","")),if(LEFT(VLOOKUP($B281,'Round 5'!$F$2:$H$361,3,false),1)="b","W",if(LEFT(VLOOKUP($B281,'Round 5'!$F$2:$H$361,3,false),1)="a","L","")))</f>
        <v>W</v>
      </c>
      <c r="I281" s="67" t="str">
        <f>iferror(if(LEFT(VLOOKUP($B281,'Round 6'!$B$2:$H$361,7,false),1)="A","W",if(LEFT(VLOOKUP($B281,'Round 6'!$B$2:$H$361,7,false),1)="B","L","")),if(LEFT(VLOOKUP($B281,'Round 6'!$F$2:$H$361,3,false),1)="b","W",if(LEFT(VLOOKUP($B281,'Round 6'!$F$2:$H$361,3,false),1)="a","L","")))</f>
        <v>L</v>
      </c>
      <c r="J281" s="67" t="str">
        <f>iferror(iferror(if(LEFT(VLOOKUP($B281,'Round 7'!$B$2:$H$361,7,false),1)="A","W",if(LEFT(VLOOKUP($B281,'Round 7'!$B$2:$H$361,7,false),1)="B","L","")),if(LEFT(VLOOKUP($B281,'Round 7'!$F$2:$H$361,3,false),1)="b","W",if(LEFT(VLOOKUP($B281,'Round 7'!$F$2:$H$361,3,false),1)="a","L",""))),"")</f>
        <v/>
      </c>
      <c r="K281" s="68" t="str">
        <f>iferror(iferror(if(LEFT(VLOOKUP($B281,'Round 8'!$B$2:$H$361,7,false),1)="A","W",if(LEFT(VLOOKUP($B281,'Round 8'!$B$2:$H$361,7,false),1)="B","L","")),if(LEFT(VLOOKUP($B281,'Round 8'!$F$2:$H$361,3,false),1)="b","W",if(LEFT(VLOOKUP($B281,'Round 8'!$F$2:$H$361,3,false),1)="a","L",""))),"")</f>
        <v/>
      </c>
      <c r="L281" s="68" t="str">
        <f>iferror(iferror(if(LEFT(VLOOKUP($B281,'Round 9'!$B$2:$H$361,7,false),1)="A","W",if(LEFT(VLOOKUP($B281,'Round 9'!$B$2:$H$361,7,false),1)="B","L","")),if(LEFT(VLOOKUP($B281,'Round 9'!$F$2:$H$361,3,false),1)="b","W",if(LEFT(VLOOKUP($B281,'Round 9'!$F$2:$H$361,3,false),1)="a","L",""))),"")</f>
        <v/>
      </c>
      <c r="M281" s="68" t="str">
        <f>iferror(iferror(if(LEFT(VLOOKUP($B281,'Round 10'!$B$2:$H$362,7,false),1)="A","W",if(LEFT(VLOOKUP($B281,'Round 10'!$B$2:$H$362,7,false),1)="B","L","")),if(LEFT(VLOOKUP($B281,'Round 10'!$F$2:$H$362,3,false),1)="b","W",if(LEFT(VLOOKUP($B281,'Round 10'!$F$2:$H$362,3,false),1)="a","L",""))),"")</f>
        <v/>
      </c>
      <c r="N281" s="62" t="s">
        <v>630</v>
      </c>
    </row>
    <row r="282">
      <c r="A282" s="63">
        <v>281.0</v>
      </c>
      <c r="B282" s="71" t="s">
        <v>631</v>
      </c>
      <c r="C282" s="65" t="str">
        <f t="shared" si="1"/>
        <v>1 - 3</v>
      </c>
      <c r="D282" s="67" t="str">
        <f>iferror(if(LEFT(VLOOKUP($B282,'Round 1'!$B$2:$H$361,7,false),1)="A","W",if(LEFT(VLOOKUP($B282,'Round 1'!$B$2:$H$361,7,false),1)="B","L","")),if(LEFT(VLOOKUP($B282,'Round 1'!$F$2:$H$361,3,false),1)="b","W",if(LEFT(VLOOKUP($B282,'Round 1'!$F$2:$H$361,3,false),1)="a","L","")))</f>
        <v>L</v>
      </c>
      <c r="E282" s="67" t="str">
        <f>iferror(if(LEFT(VLOOKUP($B282,'Round 2'!$C$2:$J$361,8,false),1)="A","W",if(LEFT(VLOOKUP($B282,'Round 2'!$C$2:$J$361,8,false),1)="B","L","")),if(LEFT(VLOOKUP($B282,'Round 2'!$G$2:$J$361,4,false),1)="b","W",if(LEFT(VLOOKUP($B282,'Round 2'!$G$2:$J$361,4,false),1)="a","L","")))</f>
        <v>L</v>
      </c>
      <c r="F282" s="67" t="str">
        <f>iferror(if(LEFT(VLOOKUP($B282,'Round 3'!$B$2:$H$361,7,false),1)="A","W",if(LEFT(VLOOKUP($B282,'Round 3'!$B$2:$H$361,7,false),1)="B","L","")),if(LEFT(VLOOKUP($B282,'Round 3'!$F$2:$H$361,3,false),1)="b","W",if(LEFT(VLOOKUP($B282,'Round 3'!$F$2:$H$361,3,false),1)="a","L","")))</f>
        <v>W</v>
      </c>
      <c r="G282" s="67" t="str">
        <f>iferror(if(LEFT(VLOOKUP($B282,'Round 4'!$B$2:$H$361,7,false),1)="A","W",if(LEFT(VLOOKUP($B282,'Round 4'!$B$2:$H$361,7,false),1)="B","L","")),if(LEFT(VLOOKUP($B282,'Round 4'!$F$2:$H$361,3,false),1)="b","W",if(LEFT(VLOOKUP($B282,'Round 4'!$F$2:$H$361,3,false),1)="a","L","")))</f>
        <v>L</v>
      </c>
      <c r="H282" s="67"/>
      <c r="I282" s="67"/>
      <c r="J282" s="67" t="str">
        <f>iferror(iferror(if(LEFT(VLOOKUP($B282,'Round 7'!$B$2:$H$361,7,false),1)="A","W",if(LEFT(VLOOKUP($B282,'Round 7'!$B$2:$H$361,7,false),1)="B","L","")),if(LEFT(VLOOKUP($B282,'Round 7'!$F$2:$H$361,3,false),1)="b","W",if(LEFT(VLOOKUP($B282,'Round 7'!$F$2:$H$361,3,false),1)="a","L",""))),"")</f>
        <v/>
      </c>
      <c r="K282" s="68" t="str">
        <f>iferror(iferror(if(LEFT(VLOOKUP($B282,'Round 8'!$B$2:$H$361,7,false),1)="A","W",if(LEFT(VLOOKUP($B282,'Round 8'!$B$2:$H$361,7,false),1)="B","L","")),if(LEFT(VLOOKUP($B282,'Round 8'!$F$2:$H$361,3,false),1)="b","W",if(LEFT(VLOOKUP($B282,'Round 8'!$F$2:$H$361,3,false),1)="a","L",""))),"")</f>
        <v/>
      </c>
      <c r="L282" s="68" t="str">
        <f>iferror(iferror(if(LEFT(VLOOKUP($B282,'Round 9'!$B$2:$H$361,7,false),1)="A","W",if(LEFT(VLOOKUP($B282,'Round 9'!$B$2:$H$361,7,false),1)="B","L","")),if(LEFT(VLOOKUP($B282,'Round 9'!$F$2:$H$361,3,false),1)="b","W",if(LEFT(VLOOKUP($B282,'Round 9'!$F$2:$H$361,3,false),1)="a","L",""))),"")</f>
        <v/>
      </c>
      <c r="M282" s="68" t="str">
        <f>iferror(iferror(if(LEFT(VLOOKUP($B282,'Round 10'!$B$2:$H$362,7,false),1)="A","W",if(LEFT(VLOOKUP($B282,'Round 10'!$B$2:$H$362,7,false),1)="B","L","")),if(LEFT(VLOOKUP($B282,'Round 10'!$F$2:$H$362,3,false),1)="b","W",if(LEFT(VLOOKUP($B282,'Round 10'!$F$2:$H$362,3,false),1)="a","L",""))),"")</f>
        <v/>
      </c>
      <c r="N282" s="62" t="s">
        <v>632</v>
      </c>
    </row>
    <row r="283">
      <c r="A283" s="63">
        <v>282.0</v>
      </c>
      <c r="B283" s="64" t="s">
        <v>633</v>
      </c>
      <c r="C283" s="65" t="str">
        <f t="shared" si="1"/>
        <v>2 - 3</v>
      </c>
      <c r="D283" s="67" t="str">
        <f>iferror(if(LEFT(VLOOKUP($B283,'Round 1'!$B$2:$H$361,7,false),1)="A","W",if(LEFT(VLOOKUP($B283,'Round 1'!$B$2:$H$361,7,false),1)="B","L","")),if(LEFT(VLOOKUP($B283,'Round 1'!$F$2:$H$361,3,false),1)="b","W",if(LEFT(VLOOKUP($B283,'Round 1'!$F$2:$H$361,3,false),1)="a","L","")))</f>
        <v>W</v>
      </c>
      <c r="E283" s="67" t="str">
        <f>iferror(if(LEFT(VLOOKUP($B283,'Round 2'!$C$2:$J$361,8,false),1)="A","W",if(LEFT(VLOOKUP($B283,'Round 2'!$C$2:$J$361,8,false),1)="B","L","")),if(LEFT(VLOOKUP($B283,'Round 2'!$G$2:$J$361,4,false),1)="b","W",if(LEFT(VLOOKUP($B283,'Round 2'!$G$2:$J$361,4,false),1)="a","L","")))</f>
        <v>L</v>
      </c>
      <c r="F283" s="67" t="str">
        <f>iferror(if(LEFT(VLOOKUP($B283,'Round 3'!$B$2:$H$361,7,false),1)="A","W",if(LEFT(VLOOKUP($B283,'Round 3'!$B$2:$H$361,7,false),1)="B","L","")),if(LEFT(VLOOKUP($B283,'Round 3'!$F$2:$H$361,3,false),1)="b","W",if(LEFT(VLOOKUP($B283,'Round 3'!$F$2:$H$361,3,false),1)="a","L","")))</f>
        <v>L</v>
      </c>
      <c r="G283" s="67" t="str">
        <f>iferror(if(LEFT(VLOOKUP($B283,'Round 4'!$B$2:$H$361,7,false),1)="A","W",if(LEFT(VLOOKUP($B283,'Round 4'!$B$2:$H$361,7,false),1)="B","L","")),if(LEFT(VLOOKUP($B283,'Round 4'!$F$2:$H$361,3,false),1)="b","W",if(LEFT(VLOOKUP($B283,'Round 4'!$F$2:$H$361,3,false),1)="a","L","")))</f>
        <v>W</v>
      </c>
      <c r="H283" s="67" t="str">
        <f>iferror(if(LEFT(VLOOKUP($B283,'Round 5'!$B$2:$H$361,7,false),1)="A","W",if(LEFT(VLOOKUP($B283,'Round 5'!$B$2:$H$361,7,false),1)="B","L","")),if(LEFT(VLOOKUP($B283,'Round 5'!$F$2:$H$361,3,false),1)="b","W",if(LEFT(VLOOKUP($B283,'Round 5'!$F$2:$H$361,3,false),1)="a","L","")))</f>
        <v>L</v>
      </c>
      <c r="I283" s="67"/>
      <c r="J283" s="67" t="str">
        <f>iferror(iferror(if(LEFT(VLOOKUP($B283,'Round 7'!$B$2:$H$361,7,false),1)="A","W",if(LEFT(VLOOKUP($B283,'Round 7'!$B$2:$H$361,7,false),1)="B","L","")),if(LEFT(VLOOKUP($B283,'Round 7'!$F$2:$H$361,3,false),1)="b","W",if(LEFT(VLOOKUP($B283,'Round 7'!$F$2:$H$361,3,false),1)="a","L",""))),"")</f>
        <v/>
      </c>
      <c r="K283" s="68" t="str">
        <f>iferror(iferror(if(LEFT(VLOOKUP($B283,'Round 8'!$B$2:$H$361,7,false),1)="A","W",if(LEFT(VLOOKUP($B283,'Round 8'!$B$2:$H$361,7,false),1)="B","L","")),if(LEFT(VLOOKUP($B283,'Round 8'!$F$2:$H$361,3,false),1)="b","W",if(LEFT(VLOOKUP($B283,'Round 8'!$F$2:$H$361,3,false),1)="a","L",""))),"")</f>
        <v/>
      </c>
      <c r="L283" s="68" t="str">
        <f>iferror(iferror(if(LEFT(VLOOKUP($B283,'Round 9'!$B$2:$H$361,7,false),1)="A","W",if(LEFT(VLOOKUP($B283,'Round 9'!$B$2:$H$361,7,false),1)="B","L","")),if(LEFT(VLOOKUP($B283,'Round 9'!$F$2:$H$361,3,false),1)="b","W",if(LEFT(VLOOKUP($B283,'Round 9'!$F$2:$H$361,3,false),1)="a","L",""))),"")</f>
        <v/>
      </c>
      <c r="M283" s="68" t="str">
        <f>iferror(iferror(if(LEFT(VLOOKUP($B283,'Round 10'!$B$2:$H$362,7,false),1)="A","W",if(LEFT(VLOOKUP($B283,'Round 10'!$B$2:$H$362,7,false),1)="B","L","")),if(LEFT(VLOOKUP($B283,'Round 10'!$F$2:$H$362,3,false),1)="b","W",if(LEFT(VLOOKUP($B283,'Round 10'!$F$2:$H$362,3,false),1)="a","L",""))),"")</f>
        <v/>
      </c>
      <c r="N283" s="62" t="s">
        <v>634</v>
      </c>
    </row>
    <row r="284">
      <c r="A284" s="63">
        <v>283.0</v>
      </c>
      <c r="B284" s="64" t="s">
        <v>635</v>
      </c>
      <c r="C284" s="65" t="str">
        <f t="shared" si="1"/>
        <v>5 - 3</v>
      </c>
      <c r="D284" s="67" t="str">
        <f>iferror(if(LEFT(VLOOKUP($B284,'Round 1'!$B$2:$H$361,7,false),1)="A","W",if(LEFT(VLOOKUP($B284,'Round 1'!$B$2:$H$361,7,false),1)="B","L","")),if(LEFT(VLOOKUP($B284,'Round 1'!$F$2:$H$361,3,false),1)="b","W",if(LEFT(VLOOKUP($B284,'Round 1'!$F$2:$H$361,3,false),1)="a","L","")))</f>
        <v>W</v>
      </c>
      <c r="E284" s="67" t="str">
        <f>iferror(if(LEFT(VLOOKUP($B284,'Round 2'!$C$2:$J$361,8,false),1)="A","W",if(LEFT(VLOOKUP($B284,'Round 2'!$C$2:$J$361,8,false),1)="B","L","")),if(LEFT(VLOOKUP($B284,'Round 2'!$G$2:$J$361,4,false),1)="b","W",if(LEFT(VLOOKUP($B284,'Round 2'!$G$2:$J$361,4,false),1)="a","L","")))</f>
        <v>L</v>
      </c>
      <c r="F284" s="67" t="str">
        <f>iferror(if(LEFT(VLOOKUP($B284,'Round 3'!$B$2:$H$361,7,false),1)="A","W",if(LEFT(VLOOKUP($B284,'Round 3'!$B$2:$H$361,7,false),1)="B","L","")),if(LEFT(VLOOKUP($B284,'Round 3'!$F$2:$H$361,3,false),1)="b","W",if(LEFT(VLOOKUP($B284,'Round 3'!$F$2:$H$361,3,false),1)="a","L","")))</f>
        <v>W</v>
      </c>
      <c r="G284" s="67" t="str">
        <f>iferror(if(LEFT(VLOOKUP($B284,'Round 4'!$B$2:$H$361,7,false),1)="A","W",if(LEFT(VLOOKUP($B284,'Round 4'!$B$2:$H$361,7,false),1)="B","L","")),if(LEFT(VLOOKUP($B284,'Round 4'!$F$2:$H$361,3,false),1)="b","W",if(LEFT(VLOOKUP($B284,'Round 4'!$F$2:$H$361,3,false),1)="a","L","")))</f>
        <v>L</v>
      </c>
      <c r="H284" s="67" t="str">
        <f>iferror(if(LEFT(VLOOKUP($B284,'Round 5'!$B$2:$H$361,7,false),1)="A","W",if(LEFT(VLOOKUP($B284,'Round 5'!$B$2:$H$361,7,false),1)="B","L","")),if(LEFT(VLOOKUP($B284,'Round 5'!$F$2:$H$361,3,false),1)="b","W",if(LEFT(VLOOKUP($B284,'Round 5'!$F$2:$H$361,3,false),1)="a","L","")))</f>
        <v>W</v>
      </c>
      <c r="I284" s="67" t="str">
        <f>iferror(if(LEFT(VLOOKUP($B284,'Round 6'!$B$2:$H$361,7,false),1)="A","W",if(LEFT(VLOOKUP($B284,'Round 6'!$B$2:$H$361,7,false),1)="B","L","")),if(LEFT(VLOOKUP($B284,'Round 6'!$F$2:$H$361,3,false),1)="b","W",if(LEFT(VLOOKUP($B284,'Round 6'!$F$2:$H$361,3,false),1)="a","L","")))</f>
        <v>W</v>
      </c>
      <c r="J284" s="67" t="str">
        <f>iferror(iferror(if(LEFT(VLOOKUP($B284,'Round 7'!$B$2:$H$361,7,false),1)="A","W",if(LEFT(VLOOKUP($B284,'Round 7'!$B$2:$H$361,7,false),1)="B","L","")),if(LEFT(VLOOKUP($B284,'Round 7'!$F$2:$H$361,3,false),1)="b","W",if(LEFT(VLOOKUP($B284,'Round 7'!$F$2:$H$361,3,false),1)="a","L",""))),"")</f>
        <v>W</v>
      </c>
      <c r="K284" s="68" t="str">
        <f>iferror(iferror(if(LEFT(VLOOKUP($B284,'Round 8'!$B$2:$H$361,7,false),1)="A","W",if(LEFT(VLOOKUP($B284,'Round 8'!$B$2:$H$361,7,false),1)="B","L","")),if(LEFT(VLOOKUP($B284,'Round 8'!$F$2:$H$361,3,false),1)="b","W",if(LEFT(VLOOKUP($B284,'Round 8'!$F$2:$H$361,3,false),1)="a","L",""))),"")</f>
        <v>L</v>
      </c>
      <c r="L284" s="68" t="str">
        <f>iferror(iferror(if(LEFT(VLOOKUP($B284,'Round 9'!$B$2:$H$361,7,false),1)="A","W",if(LEFT(VLOOKUP($B284,'Round 9'!$B$2:$H$361,7,false),1)="B","L","")),if(LEFT(VLOOKUP($B284,'Round 9'!$F$2:$H$361,3,false),1)="b","W",if(LEFT(VLOOKUP($B284,'Round 9'!$F$2:$H$361,3,false),1)="a","L",""))),"")</f>
        <v/>
      </c>
      <c r="M284" s="68" t="str">
        <f>iferror(iferror(if(LEFT(VLOOKUP($B284,'Round 10'!$B$2:$H$362,7,false),1)="A","W",if(LEFT(VLOOKUP($B284,'Round 10'!$B$2:$H$362,7,false),1)="B","L","")),if(LEFT(VLOOKUP($B284,'Round 10'!$F$2:$H$362,3,false),1)="b","W",if(LEFT(VLOOKUP($B284,'Round 10'!$F$2:$H$362,3,false),1)="a","L",""))),"")</f>
        <v/>
      </c>
      <c r="N284" s="62" t="s">
        <v>636</v>
      </c>
    </row>
    <row r="285">
      <c r="A285" s="63">
        <v>284.0</v>
      </c>
      <c r="B285" s="64" t="s">
        <v>637</v>
      </c>
      <c r="C285" s="65" t="str">
        <f t="shared" si="1"/>
        <v>6 - 3</v>
      </c>
      <c r="D285" s="67" t="str">
        <f>iferror(if(LEFT(VLOOKUP($B285,'Round 1'!$B$2:$H$361,7,false),1)="A","W",if(LEFT(VLOOKUP($B285,'Round 1'!$B$2:$H$361,7,false),1)="B","L","")),if(LEFT(VLOOKUP($B285,'Round 1'!$F$2:$H$361,3,false),1)="b","W",if(LEFT(VLOOKUP($B285,'Round 1'!$F$2:$H$361,3,false),1)="a","L","")))</f>
        <v>W</v>
      </c>
      <c r="E285" s="67" t="str">
        <f>iferror(if(LEFT(VLOOKUP($B285,'Round 2'!$C$2:$J$361,8,false),1)="A","W",if(LEFT(VLOOKUP($B285,'Round 2'!$C$2:$J$361,8,false),1)="B","L","")),if(LEFT(VLOOKUP($B285,'Round 2'!$G$2:$J$361,4,false),1)="b","W",if(LEFT(VLOOKUP($B285,'Round 2'!$G$2:$J$361,4,false),1)="a","L","")))</f>
        <v>L</v>
      </c>
      <c r="F285" s="67" t="str">
        <f>iferror(if(LEFT(VLOOKUP($B285,'Round 3'!$B$2:$H$361,7,false),1)="A","W",if(LEFT(VLOOKUP($B285,'Round 3'!$B$2:$H$361,7,false),1)="B","L","")),if(LEFT(VLOOKUP($B285,'Round 3'!$F$2:$H$361,3,false),1)="b","W",if(LEFT(VLOOKUP($B285,'Round 3'!$F$2:$H$361,3,false),1)="a","L","")))</f>
        <v>W</v>
      </c>
      <c r="G285" s="67" t="str">
        <f>iferror(if(LEFT(VLOOKUP($B285,'Round 4'!$B$2:$H$361,7,false),1)="A","W",if(LEFT(VLOOKUP($B285,'Round 4'!$B$2:$H$361,7,false),1)="B","L","")),if(LEFT(VLOOKUP($B285,'Round 4'!$F$2:$H$361,3,false),1)="b","W",if(LEFT(VLOOKUP($B285,'Round 4'!$F$2:$H$361,3,false),1)="a","L","")))</f>
        <v>W</v>
      </c>
      <c r="H285" s="67" t="str">
        <f>iferror(if(LEFT(VLOOKUP($B285,'Round 5'!$B$2:$H$361,7,false),1)="A","W",if(LEFT(VLOOKUP($B285,'Round 5'!$B$2:$H$361,7,false),1)="B","L","")),if(LEFT(VLOOKUP($B285,'Round 5'!$F$2:$H$361,3,false),1)="b","W",if(LEFT(VLOOKUP($B285,'Round 5'!$F$2:$H$361,3,false),1)="a","L","")))</f>
        <v>W</v>
      </c>
      <c r="I285" s="67" t="str">
        <f>iferror(if(LEFT(VLOOKUP($B285,'Round 6'!$B$2:$H$361,7,false),1)="A","W",if(LEFT(VLOOKUP($B285,'Round 6'!$B$2:$H$361,7,false),1)="B","L","")),if(LEFT(VLOOKUP($B285,'Round 6'!$F$2:$H$361,3,false),1)="b","W",if(LEFT(VLOOKUP($B285,'Round 6'!$F$2:$H$361,3,false),1)="a","L","")))</f>
        <v>L</v>
      </c>
      <c r="J285" s="67" t="str">
        <f>iferror(iferror(if(LEFT(VLOOKUP($B285,'Round 7'!$B$2:$H$361,7,false),1)="A","W",if(LEFT(VLOOKUP($B285,'Round 7'!$B$2:$H$361,7,false),1)="B","L","")),if(LEFT(VLOOKUP($B285,'Round 7'!$F$2:$H$361,3,false),1)="b","W",if(LEFT(VLOOKUP($B285,'Round 7'!$F$2:$H$361,3,false),1)="a","L",""))),"")</f>
        <v>W</v>
      </c>
      <c r="K285" s="68" t="str">
        <f>iferror(iferror(if(LEFT(VLOOKUP($B285,'Round 8'!$B$2:$H$361,7,false),1)="A","W",if(LEFT(VLOOKUP($B285,'Round 8'!$B$2:$H$361,7,false),1)="B","L","")),if(LEFT(VLOOKUP($B285,'Round 8'!$F$2:$H$361,3,false),1)="b","W",if(LEFT(VLOOKUP($B285,'Round 8'!$F$2:$H$361,3,false),1)="a","L",""))),"")</f>
        <v>W</v>
      </c>
      <c r="L285" s="68" t="str">
        <f>iferror(iferror(if(LEFT(VLOOKUP($B285,'Round 9'!$B$2:$H$361,7,false),1)="A","W",if(LEFT(VLOOKUP($B285,'Round 9'!$B$2:$H$361,7,false),1)="B","L","")),if(LEFT(VLOOKUP($B285,'Round 9'!$F$2:$H$361,3,false),1)="b","W",if(LEFT(VLOOKUP($B285,'Round 9'!$F$2:$H$361,3,false),1)="a","L",""))),"")</f>
        <v>L</v>
      </c>
      <c r="M285" s="68" t="str">
        <f>iferror(iferror(if(LEFT(VLOOKUP($B285,'Round 10'!$B$2:$H$362,7,false),1)="A","W",if(LEFT(VLOOKUP($B285,'Round 10'!$B$2:$H$362,7,false),1)="B","L","")),if(LEFT(VLOOKUP($B285,'Round 10'!$F$2:$H$362,3,false),1)="b","W",if(LEFT(VLOOKUP($B285,'Round 10'!$F$2:$H$362,3,false),1)="a","L",""))),"")</f>
        <v/>
      </c>
      <c r="N285" s="62" t="s">
        <v>638</v>
      </c>
    </row>
    <row r="286">
      <c r="A286" s="63">
        <v>285.0</v>
      </c>
      <c r="B286" s="64" t="s">
        <v>639</v>
      </c>
      <c r="C286" s="65" t="str">
        <f t="shared" si="1"/>
        <v>0 - 3</v>
      </c>
      <c r="D286" s="67" t="str">
        <f>iferror(if(LEFT(VLOOKUP($B286,'Round 1'!$B$2:$H$361,7,false),1)="A","W",if(LEFT(VLOOKUP($B286,'Round 1'!$B$2:$H$361,7,false),1)="B","L","")),if(LEFT(VLOOKUP($B286,'Round 1'!$F$2:$H$361,3,false),1)="b","W",if(LEFT(VLOOKUP($B286,'Round 1'!$F$2:$H$361,3,false),1)="a","L","")))</f>
        <v>L</v>
      </c>
      <c r="E286" s="67" t="str">
        <f>iferror(if(LEFT(VLOOKUP($B286,'Round 2'!$C$2:$J$361,8,false),1)="A","W",if(LEFT(VLOOKUP($B286,'Round 2'!$C$2:$J$361,8,false),1)="B","L","")),if(LEFT(VLOOKUP($B286,'Round 2'!$G$2:$J$361,4,false),1)="b","W",if(LEFT(VLOOKUP($B286,'Round 2'!$G$2:$J$361,4,false),1)="a","L","")))</f>
        <v>L</v>
      </c>
      <c r="F286" s="67" t="str">
        <f>iferror(if(LEFT(VLOOKUP($B286,'Round 3'!$B$2:$H$361,7,false),1)="A","W",if(LEFT(VLOOKUP($B286,'Round 3'!$B$2:$H$361,7,false),1)="B","L","")),if(LEFT(VLOOKUP($B286,'Round 3'!$F$2:$H$361,3,false),1)="b","W",if(LEFT(VLOOKUP($B286,'Round 3'!$F$2:$H$361,3,false),1)="a","L","")))</f>
        <v>L</v>
      </c>
      <c r="G286" s="67"/>
      <c r="H286" s="67"/>
      <c r="I286" s="67"/>
      <c r="J286" s="67" t="str">
        <f>iferror(iferror(if(LEFT(VLOOKUP($B286,'Round 7'!$B$2:$H$361,7,false),1)="A","W",if(LEFT(VLOOKUP($B286,'Round 7'!$B$2:$H$361,7,false),1)="B","L","")),if(LEFT(VLOOKUP($B286,'Round 7'!$F$2:$H$361,3,false),1)="b","W",if(LEFT(VLOOKUP($B286,'Round 7'!$F$2:$H$361,3,false),1)="a","L",""))),"")</f>
        <v/>
      </c>
      <c r="K286" s="68" t="str">
        <f>iferror(iferror(if(LEFT(VLOOKUP($B286,'Round 8'!$B$2:$H$361,7,false),1)="A","W",if(LEFT(VLOOKUP($B286,'Round 8'!$B$2:$H$361,7,false),1)="B","L","")),if(LEFT(VLOOKUP($B286,'Round 8'!$F$2:$H$361,3,false),1)="b","W",if(LEFT(VLOOKUP($B286,'Round 8'!$F$2:$H$361,3,false),1)="a","L",""))),"")</f>
        <v/>
      </c>
      <c r="L286" s="68" t="str">
        <f>iferror(iferror(if(LEFT(VLOOKUP($B286,'Round 9'!$B$2:$H$361,7,false),1)="A","W",if(LEFT(VLOOKUP($B286,'Round 9'!$B$2:$H$361,7,false),1)="B","L","")),if(LEFT(VLOOKUP($B286,'Round 9'!$F$2:$H$361,3,false),1)="b","W",if(LEFT(VLOOKUP($B286,'Round 9'!$F$2:$H$361,3,false),1)="a","L",""))),"")</f>
        <v/>
      </c>
      <c r="M286" s="68" t="str">
        <f>iferror(iferror(if(LEFT(VLOOKUP($B286,'Round 10'!$B$2:$H$362,7,false),1)="A","W",if(LEFT(VLOOKUP($B286,'Round 10'!$B$2:$H$362,7,false),1)="B","L","")),if(LEFT(VLOOKUP($B286,'Round 10'!$F$2:$H$362,3,false),1)="b","W",if(LEFT(VLOOKUP($B286,'Round 10'!$F$2:$H$362,3,false),1)="a","L",""))),"")</f>
        <v/>
      </c>
      <c r="N286" s="62" t="s">
        <v>640</v>
      </c>
    </row>
    <row r="287">
      <c r="A287" s="63">
        <v>286.0</v>
      </c>
      <c r="B287" s="64" t="s">
        <v>641</v>
      </c>
      <c r="C287" s="65" t="str">
        <f t="shared" si="1"/>
        <v>4 - 3</v>
      </c>
      <c r="D287" s="67" t="str">
        <f>iferror(if(LEFT(VLOOKUP($B287,'Round 1'!$B$2:$H$361,7,false),1)="A","W",if(LEFT(VLOOKUP($B287,'Round 1'!$B$2:$H$361,7,false),1)="B","L","")),if(LEFT(VLOOKUP($B287,'Round 1'!$F$2:$H$361,3,false),1)="b","W",if(LEFT(VLOOKUP($B287,'Round 1'!$F$2:$H$361,3,false),1)="a","L","")))</f>
        <v>W</v>
      </c>
      <c r="E287" s="67" t="str">
        <f>iferror(if(LEFT(VLOOKUP($B287,'Round 2'!$C$2:$J$361,8,false),1)="A","W",if(LEFT(VLOOKUP($B287,'Round 2'!$C$2:$J$361,8,false),1)="B","L","")),if(LEFT(VLOOKUP($B287,'Round 2'!$G$2:$J$361,4,false),1)="b","W",if(LEFT(VLOOKUP($B287,'Round 2'!$G$2:$J$361,4,false),1)="a","L","")))</f>
        <v>W</v>
      </c>
      <c r="F287" s="67" t="str">
        <f>iferror(if(LEFT(VLOOKUP($B287,'Round 3'!$B$2:$H$361,7,false),1)="A","W",if(LEFT(VLOOKUP($B287,'Round 3'!$B$2:$H$361,7,false),1)="B","L","")),if(LEFT(VLOOKUP($B287,'Round 3'!$F$2:$H$361,3,false),1)="b","W",if(LEFT(VLOOKUP($B287,'Round 3'!$F$2:$H$361,3,false),1)="a","L","")))</f>
        <v>W</v>
      </c>
      <c r="G287" s="67" t="str">
        <f>iferror(if(LEFT(VLOOKUP($B287,'Round 4'!$B$2:$H$361,7,false),1)="A","W",if(LEFT(VLOOKUP($B287,'Round 4'!$B$2:$H$361,7,false),1)="B","L","")),if(LEFT(VLOOKUP($B287,'Round 4'!$F$2:$H$361,3,false),1)="b","W",if(LEFT(VLOOKUP($B287,'Round 4'!$F$2:$H$361,3,false),1)="a","L","")))</f>
        <v>W</v>
      </c>
      <c r="H287" s="67" t="str">
        <f>iferror(if(LEFT(VLOOKUP($B287,'Round 5'!$B$2:$H$361,7,false),1)="A","W",if(LEFT(VLOOKUP($B287,'Round 5'!$B$2:$H$361,7,false),1)="B","L","")),if(LEFT(VLOOKUP($B287,'Round 5'!$F$2:$H$361,3,false),1)="b","W",if(LEFT(VLOOKUP($B287,'Round 5'!$F$2:$H$361,3,false),1)="a","L","")))</f>
        <v>L</v>
      </c>
      <c r="I287" s="67" t="str">
        <f>iferror(if(LEFT(VLOOKUP($B287,'Round 6'!$B$2:$H$361,7,false),1)="A","W",if(LEFT(VLOOKUP($B287,'Round 6'!$B$2:$H$361,7,false),1)="B","L","")),if(LEFT(VLOOKUP($B287,'Round 6'!$F$2:$H$361,3,false),1)="b","W",if(LEFT(VLOOKUP($B287,'Round 6'!$F$2:$H$361,3,false),1)="a","L","")))</f>
        <v>L</v>
      </c>
      <c r="J287" s="67" t="str">
        <f>iferror(iferror(if(LEFT(VLOOKUP($B287,'Round 7'!$B$2:$H$361,7,false),1)="A","W",if(LEFT(VLOOKUP($B287,'Round 7'!$B$2:$H$361,7,false),1)="B","L","")),if(LEFT(VLOOKUP($B287,'Round 7'!$F$2:$H$361,3,false),1)="b","W",if(LEFT(VLOOKUP($B287,'Round 7'!$F$2:$H$361,3,false),1)="a","L",""))),"")</f>
        <v>L</v>
      </c>
      <c r="K287" s="68" t="str">
        <f>iferror(iferror(if(LEFT(VLOOKUP($B287,'Round 8'!$B$2:$H$361,7,false),1)="A","W",if(LEFT(VLOOKUP($B287,'Round 8'!$B$2:$H$361,7,false),1)="B","L","")),if(LEFT(VLOOKUP($B287,'Round 8'!$F$2:$H$361,3,false),1)="b","W",if(LEFT(VLOOKUP($B287,'Round 8'!$F$2:$H$361,3,false),1)="a","L",""))),"")</f>
        <v/>
      </c>
      <c r="L287" s="68" t="str">
        <f>iferror(iferror(if(LEFT(VLOOKUP($B287,'Round 9'!$B$2:$H$361,7,false),1)="A","W",if(LEFT(VLOOKUP($B287,'Round 9'!$B$2:$H$361,7,false),1)="B","L","")),if(LEFT(VLOOKUP($B287,'Round 9'!$F$2:$H$361,3,false),1)="b","W",if(LEFT(VLOOKUP($B287,'Round 9'!$F$2:$H$361,3,false),1)="a","L",""))),"")</f>
        <v/>
      </c>
      <c r="M287" s="68" t="str">
        <f>iferror(iferror(if(LEFT(VLOOKUP($B287,'Round 10'!$B$2:$H$362,7,false),1)="A","W",if(LEFT(VLOOKUP($B287,'Round 10'!$B$2:$H$362,7,false),1)="B","L","")),if(LEFT(VLOOKUP($B287,'Round 10'!$F$2:$H$362,3,false),1)="b","W",if(LEFT(VLOOKUP($B287,'Round 10'!$F$2:$H$362,3,false),1)="a","L",""))),"")</f>
        <v/>
      </c>
      <c r="N287" s="62" t="s">
        <v>642</v>
      </c>
    </row>
    <row r="288">
      <c r="A288" s="63">
        <v>287.0</v>
      </c>
      <c r="B288" s="64" t="s">
        <v>643</v>
      </c>
      <c r="C288" s="65" t="str">
        <f t="shared" si="1"/>
        <v>4 - 3</v>
      </c>
      <c r="D288" s="67" t="str">
        <f>iferror(if(LEFT(VLOOKUP($B288,'Round 1'!$B$2:$H$361,7,false),1)="A","W",if(LEFT(VLOOKUP($B288,'Round 1'!$B$2:$H$361,7,false),1)="B","L","")),if(LEFT(VLOOKUP($B288,'Round 1'!$F$2:$H$361,3,false),1)="b","W",if(LEFT(VLOOKUP($B288,'Round 1'!$F$2:$H$361,3,false),1)="a","L","")))</f>
        <v>L</v>
      </c>
      <c r="E288" s="67" t="str">
        <f>iferror(if(LEFT(VLOOKUP($B288,'Round 2'!$C$2:$J$361,8,false),1)="A","W",if(LEFT(VLOOKUP($B288,'Round 2'!$C$2:$J$361,8,false),1)="B","L","")),if(LEFT(VLOOKUP($B288,'Round 2'!$G$2:$J$361,4,false),1)="b","W",if(LEFT(VLOOKUP($B288,'Round 2'!$G$2:$J$361,4,false),1)="a","L","")))</f>
        <v>L</v>
      </c>
      <c r="F288" s="67" t="str">
        <f>iferror(if(LEFT(VLOOKUP($B288,'Round 3'!$B$2:$H$361,7,false),1)="A","W",if(LEFT(VLOOKUP($B288,'Round 3'!$B$2:$H$361,7,false),1)="B","L","")),if(LEFT(VLOOKUP($B288,'Round 3'!$F$2:$H$361,3,false),1)="b","W",if(LEFT(VLOOKUP($B288,'Round 3'!$F$2:$H$361,3,false),1)="a","L","")))</f>
        <v>W</v>
      </c>
      <c r="G288" s="67" t="str">
        <f>iferror(if(LEFT(VLOOKUP($B288,'Round 4'!$B$2:$H$361,7,false),1)="A","W",if(LEFT(VLOOKUP($B288,'Round 4'!$B$2:$H$361,7,false),1)="B","L","")),if(LEFT(VLOOKUP($B288,'Round 4'!$F$2:$H$361,3,false),1)="b","W",if(LEFT(VLOOKUP($B288,'Round 4'!$F$2:$H$361,3,false),1)="a","L","")))</f>
        <v>W</v>
      </c>
      <c r="H288" s="67" t="str">
        <f>iferror(if(LEFT(VLOOKUP($B288,'Round 5'!$B$2:$H$361,7,false),1)="A","W",if(LEFT(VLOOKUP($B288,'Round 5'!$B$2:$H$361,7,false),1)="B","L","")),if(LEFT(VLOOKUP($B288,'Round 5'!$F$2:$H$361,3,false),1)="b","W",if(LEFT(VLOOKUP($B288,'Round 5'!$F$2:$H$361,3,false),1)="a","L","")))</f>
        <v>W</v>
      </c>
      <c r="I288" s="67" t="str">
        <f>iferror(if(LEFT(VLOOKUP($B288,'Round 6'!$B$2:$H$361,7,false),1)="A","W",if(LEFT(VLOOKUP($B288,'Round 6'!$B$2:$H$361,7,false),1)="B","L","")),if(LEFT(VLOOKUP($B288,'Round 6'!$F$2:$H$361,3,false),1)="b","W",if(LEFT(VLOOKUP($B288,'Round 6'!$F$2:$H$361,3,false),1)="a","L","")))</f>
        <v>W</v>
      </c>
      <c r="J288" s="67" t="str">
        <f>iferror(iferror(if(LEFT(VLOOKUP($B288,'Round 7'!$B$2:$H$361,7,false),1)="A","W",if(LEFT(VLOOKUP($B288,'Round 7'!$B$2:$H$361,7,false),1)="B","L","")),if(LEFT(VLOOKUP($B288,'Round 7'!$F$2:$H$361,3,false),1)="b","W",if(LEFT(VLOOKUP($B288,'Round 7'!$F$2:$H$361,3,false),1)="a","L",""))),"")</f>
        <v>L</v>
      </c>
      <c r="K288" s="68" t="str">
        <f>iferror(iferror(if(LEFT(VLOOKUP($B288,'Round 8'!$B$2:$H$361,7,false),1)="A","W",if(LEFT(VLOOKUP($B288,'Round 8'!$B$2:$H$361,7,false),1)="B","L","")),if(LEFT(VLOOKUP($B288,'Round 8'!$F$2:$H$361,3,false),1)="b","W",if(LEFT(VLOOKUP($B288,'Round 8'!$F$2:$H$361,3,false),1)="a","L",""))),"")</f>
        <v/>
      </c>
      <c r="L288" s="68" t="str">
        <f>iferror(iferror(if(LEFT(VLOOKUP($B288,'Round 9'!$B$2:$H$361,7,false),1)="A","W",if(LEFT(VLOOKUP($B288,'Round 9'!$B$2:$H$361,7,false),1)="B","L","")),if(LEFT(VLOOKUP($B288,'Round 9'!$F$2:$H$361,3,false),1)="b","W",if(LEFT(VLOOKUP($B288,'Round 9'!$F$2:$H$361,3,false),1)="a","L",""))),"")</f>
        <v/>
      </c>
      <c r="M288" s="68" t="str">
        <f>iferror(iferror(if(LEFT(VLOOKUP($B288,'Round 10'!$B$2:$H$362,7,false),1)="A","W",if(LEFT(VLOOKUP($B288,'Round 10'!$B$2:$H$362,7,false),1)="B","L","")),if(LEFT(VLOOKUP($B288,'Round 10'!$F$2:$H$362,3,false),1)="b","W",if(LEFT(VLOOKUP($B288,'Round 10'!$F$2:$H$362,3,false),1)="a","L",""))),"")</f>
        <v/>
      </c>
      <c r="N288" s="62" t="s">
        <v>644</v>
      </c>
    </row>
    <row r="289">
      <c r="A289" s="63">
        <v>288.0</v>
      </c>
      <c r="B289" s="64" t="s">
        <v>645</v>
      </c>
      <c r="C289" s="65" t="str">
        <f t="shared" si="1"/>
        <v>2 - 3</v>
      </c>
      <c r="D289" s="67" t="str">
        <f>iferror(if(LEFT(VLOOKUP($B289,'Round 1'!$B$2:$H$361,7,false),1)="A","W",if(LEFT(VLOOKUP($B289,'Round 1'!$B$2:$H$361,7,false),1)="B","L","")),if(LEFT(VLOOKUP($B289,'Round 1'!$F$2:$H$361,3,false),1)="b","W",if(LEFT(VLOOKUP($B289,'Round 1'!$F$2:$H$361,3,false),1)="a","L","")))</f>
        <v>L</v>
      </c>
      <c r="E289" s="67" t="str">
        <f>iferror(if(LEFT(VLOOKUP($B289,'Round 2'!$C$2:$J$361,8,false),1)="A","W",if(LEFT(VLOOKUP($B289,'Round 2'!$C$2:$J$361,8,false),1)="B","L","")),if(LEFT(VLOOKUP($B289,'Round 2'!$G$2:$J$361,4,false),1)="b","W",if(LEFT(VLOOKUP($B289,'Round 2'!$G$2:$J$361,4,false),1)="a","L","")))</f>
        <v>W</v>
      </c>
      <c r="F289" s="67" t="str">
        <f>iferror(if(LEFT(VLOOKUP($B289,'Round 3'!$B$2:$H$361,7,false),1)="A","W",if(LEFT(VLOOKUP($B289,'Round 3'!$B$2:$H$361,7,false),1)="B","L","")),if(LEFT(VLOOKUP($B289,'Round 3'!$F$2:$H$361,3,false),1)="b","W",if(LEFT(VLOOKUP($B289,'Round 3'!$F$2:$H$361,3,false),1)="a","L","")))</f>
        <v>W</v>
      </c>
      <c r="G289" s="67" t="str">
        <f>iferror(if(LEFT(VLOOKUP($B289,'Round 4'!$B$2:$H$361,7,false),1)="A","W",if(LEFT(VLOOKUP($B289,'Round 4'!$B$2:$H$361,7,false),1)="B","L","")),if(LEFT(VLOOKUP($B289,'Round 4'!$F$2:$H$361,3,false),1)="b","W",if(LEFT(VLOOKUP($B289,'Round 4'!$F$2:$H$361,3,false),1)="a","L","")))</f>
        <v>L</v>
      </c>
      <c r="H289" s="67" t="str">
        <f>iferror(if(LEFT(VLOOKUP($B289,'Round 5'!$B$2:$H$361,7,false),1)="A","W",if(LEFT(VLOOKUP($B289,'Round 5'!$B$2:$H$361,7,false),1)="B","L","")),if(LEFT(VLOOKUP($B289,'Round 5'!$F$2:$H$361,3,false),1)="b","W",if(LEFT(VLOOKUP($B289,'Round 5'!$F$2:$H$361,3,false),1)="a","L","")))</f>
        <v>L</v>
      </c>
      <c r="I289" s="67"/>
      <c r="J289" s="67" t="str">
        <f>iferror(iferror(if(LEFT(VLOOKUP($B289,'Round 7'!$B$2:$H$361,7,false),1)="A","W",if(LEFT(VLOOKUP($B289,'Round 7'!$B$2:$H$361,7,false),1)="B","L","")),if(LEFT(VLOOKUP($B289,'Round 7'!$F$2:$H$361,3,false),1)="b","W",if(LEFT(VLOOKUP($B289,'Round 7'!$F$2:$H$361,3,false),1)="a","L",""))),"")</f>
        <v/>
      </c>
      <c r="K289" s="68" t="str">
        <f>iferror(iferror(if(LEFT(VLOOKUP($B289,'Round 8'!$B$2:$H$361,7,false),1)="A","W",if(LEFT(VLOOKUP($B289,'Round 8'!$B$2:$H$361,7,false),1)="B","L","")),if(LEFT(VLOOKUP($B289,'Round 8'!$F$2:$H$361,3,false),1)="b","W",if(LEFT(VLOOKUP($B289,'Round 8'!$F$2:$H$361,3,false),1)="a","L",""))),"")</f>
        <v/>
      </c>
      <c r="L289" s="68" t="str">
        <f>iferror(iferror(if(LEFT(VLOOKUP($B289,'Round 9'!$B$2:$H$361,7,false),1)="A","W",if(LEFT(VLOOKUP($B289,'Round 9'!$B$2:$H$361,7,false),1)="B","L","")),if(LEFT(VLOOKUP($B289,'Round 9'!$F$2:$H$361,3,false),1)="b","W",if(LEFT(VLOOKUP($B289,'Round 9'!$F$2:$H$361,3,false),1)="a","L",""))),"")</f>
        <v/>
      </c>
      <c r="M289" s="68" t="str">
        <f>iferror(iferror(if(LEFT(VLOOKUP($B289,'Round 10'!$B$2:$H$362,7,false),1)="A","W",if(LEFT(VLOOKUP($B289,'Round 10'!$B$2:$H$362,7,false),1)="B","L","")),if(LEFT(VLOOKUP($B289,'Round 10'!$F$2:$H$362,3,false),1)="b","W",if(LEFT(VLOOKUP($B289,'Round 10'!$F$2:$H$362,3,false),1)="a","L",""))),"")</f>
        <v/>
      </c>
      <c r="N289" s="62" t="s">
        <v>646</v>
      </c>
    </row>
    <row r="290">
      <c r="A290" s="63">
        <v>289.0</v>
      </c>
      <c r="B290" s="64" t="s">
        <v>647</v>
      </c>
      <c r="C290" s="65" t="str">
        <f t="shared" si="1"/>
        <v>2 - 3</v>
      </c>
      <c r="D290" s="67" t="str">
        <f>iferror(if(LEFT(VLOOKUP($B290,'Round 1'!$B$2:$H$361,7,false),1)="A","W",if(LEFT(VLOOKUP($B290,'Round 1'!$B$2:$H$361,7,false),1)="B","L","")),if(LEFT(VLOOKUP($B290,'Round 1'!$F$2:$H$361,3,false),1)="b","W",if(LEFT(VLOOKUP($B290,'Round 1'!$F$2:$H$361,3,false),1)="a","L","")))</f>
        <v>L</v>
      </c>
      <c r="E290" s="67" t="str">
        <f>iferror(if(LEFT(VLOOKUP($B290,'Round 2'!$C$2:$J$361,8,false),1)="A","W",if(LEFT(VLOOKUP($B290,'Round 2'!$C$2:$J$361,8,false),1)="B","L","")),if(LEFT(VLOOKUP($B290,'Round 2'!$G$2:$J$361,4,false),1)="b","W",if(LEFT(VLOOKUP($B290,'Round 2'!$G$2:$J$361,4,false),1)="a","L","")))</f>
        <v>W</v>
      </c>
      <c r="F290" s="67" t="str">
        <f>iferror(if(LEFT(VLOOKUP($B290,'Round 3'!$B$2:$H$361,7,false),1)="A","W",if(LEFT(VLOOKUP($B290,'Round 3'!$B$2:$H$361,7,false),1)="B","L","")),if(LEFT(VLOOKUP($B290,'Round 3'!$F$2:$H$361,3,false),1)="b","W",if(LEFT(VLOOKUP($B290,'Round 3'!$F$2:$H$361,3,false),1)="a","L","")))</f>
        <v>W</v>
      </c>
      <c r="G290" s="67" t="str">
        <f>iferror(if(LEFT(VLOOKUP($B290,'Round 4'!$B$2:$H$361,7,false),1)="A","W",if(LEFT(VLOOKUP($B290,'Round 4'!$B$2:$H$361,7,false),1)="B","L","")),if(LEFT(VLOOKUP($B290,'Round 4'!$F$2:$H$361,3,false),1)="b","W",if(LEFT(VLOOKUP($B290,'Round 4'!$F$2:$H$361,3,false),1)="a","L","")))</f>
        <v>L</v>
      </c>
      <c r="H290" s="67" t="str">
        <f>iferror(if(LEFT(VLOOKUP($B290,'Round 5'!$B$2:$H$361,7,false),1)="A","W",if(LEFT(VLOOKUP($B290,'Round 5'!$B$2:$H$361,7,false),1)="B","L","")),if(LEFT(VLOOKUP($B290,'Round 5'!$F$2:$H$361,3,false),1)="b","W",if(LEFT(VLOOKUP($B290,'Round 5'!$F$2:$H$361,3,false),1)="a","L","")))</f>
        <v>L</v>
      </c>
      <c r="I290" s="67"/>
      <c r="J290" s="67" t="str">
        <f>iferror(iferror(if(LEFT(VLOOKUP($B290,'Round 7'!$B$2:$H$361,7,false),1)="A","W",if(LEFT(VLOOKUP($B290,'Round 7'!$B$2:$H$361,7,false),1)="B","L","")),if(LEFT(VLOOKUP($B290,'Round 7'!$F$2:$H$361,3,false),1)="b","W",if(LEFT(VLOOKUP($B290,'Round 7'!$F$2:$H$361,3,false),1)="a","L",""))),"")</f>
        <v/>
      </c>
      <c r="K290" s="68" t="str">
        <f>iferror(iferror(if(LEFT(VLOOKUP($B290,'Round 8'!$B$2:$H$361,7,false),1)="A","W",if(LEFT(VLOOKUP($B290,'Round 8'!$B$2:$H$361,7,false),1)="B","L","")),if(LEFT(VLOOKUP($B290,'Round 8'!$F$2:$H$361,3,false),1)="b","W",if(LEFT(VLOOKUP($B290,'Round 8'!$F$2:$H$361,3,false),1)="a","L",""))),"")</f>
        <v/>
      </c>
      <c r="L290" s="68" t="str">
        <f>iferror(iferror(if(LEFT(VLOOKUP($B290,'Round 9'!$B$2:$H$361,7,false),1)="A","W",if(LEFT(VLOOKUP($B290,'Round 9'!$B$2:$H$361,7,false),1)="B","L","")),if(LEFT(VLOOKUP($B290,'Round 9'!$F$2:$H$361,3,false),1)="b","W",if(LEFT(VLOOKUP($B290,'Round 9'!$F$2:$H$361,3,false),1)="a","L",""))),"")</f>
        <v/>
      </c>
      <c r="M290" s="68" t="str">
        <f>iferror(iferror(if(LEFT(VLOOKUP($B290,'Round 10'!$B$2:$H$362,7,false),1)="A","W",if(LEFT(VLOOKUP($B290,'Round 10'!$B$2:$H$362,7,false),1)="B","L","")),if(LEFT(VLOOKUP($B290,'Round 10'!$F$2:$H$362,3,false),1)="b","W",if(LEFT(VLOOKUP($B290,'Round 10'!$F$2:$H$362,3,false),1)="a","L",""))),"")</f>
        <v/>
      </c>
      <c r="N290" s="62" t="s">
        <v>648</v>
      </c>
    </row>
    <row r="291">
      <c r="A291" s="63">
        <v>290.0</v>
      </c>
      <c r="B291" s="64" t="s">
        <v>649</v>
      </c>
      <c r="C291" s="65" t="str">
        <f t="shared" si="1"/>
        <v>1 - 3</v>
      </c>
      <c r="D291" s="67" t="str">
        <f>iferror(if(LEFT(VLOOKUP($B291,'Round 1'!$B$2:$H$361,7,false),1)="A","W",if(LEFT(VLOOKUP($B291,'Round 1'!$B$2:$H$361,7,false),1)="B","L","")),if(LEFT(VLOOKUP($B291,'Round 1'!$F$2:$H$361,3,false),1)="b","W",if(LEFT(VLOOKUP($B291,'Round 1'!$F$2:$H$361,3,false),1)="a","L","")))</f>
        <v>W</v>
      </c>
      <c r="E291" s="67" t="str">
        <f>iferror(if(LEFT(VLOOKUP($B291,'Round 2'!$C$2:$J$361,8,false),1)="A","W",if(LEFT(VLOOKUP($B291,'Round 2'!$C$2:$J$361,8,false),1)="B","L","")),if(LEFT(VLOOKUP($B291,'Round 2'!$G$2:$J$361,4,false),1)="b","W",if(LEFT(VLOOKUP($B291,'Round 2'!$G$2:$J$361,4,false),1)="a","L","")))</f>
        <v>L</v>
      </c>
      <c r="F291" s="67" t="str">
        <f>iferror(if(LEFT(VLOOKUP($B291,'Round 3'!$B$2:$H$361,7,false),1)="A","W",if(LEFT(VLOOKUP($B291,'Round 3'!$B$2:$H$361,7,false),1)="B","L","")),if(LEFT(VLOOKUP($B291,'Round 3'!$F$2:$H$361,3,false),1)="b","W",if(LEFT(VLOOKUP($B291,'Round 3'!$F$2:$H$361,3,false),1)="a","L","")))</f>
        <v>L</v>
      </c>
      <c r="G291" s="67" t="str">
        <f>iferror(if(LEFT(VLOOKUP($B291,'Round 4'!$B$2:$H$361,7,false),1)="A","W",if(LEFT(VLOOKUP($B291,'Round 4'!$B$2:$H$361,7,false),1)="B","L","")),if(LEFT(VLOOKUP($B291,'Round 4'!$F$2:$H$361,3,false),1)="b","W",if(LEFT(VLOOKUP($B291,'Round 4'!$F$2:$H$361,3,false),1)="a","L","")))</f>
        <v>L</v>
      </c>
      <c r="H291" s="67"/>
      <c r="I291" s="67"/>
      <c r="J291" s="67" t="str">
        <f>iferror(iferror(if(LEFT(VLOOKUP($B291,'Round 7'!$B$2:$H$361,7,false),1)="A","W",if(LEFT(VLOOKUP($B291,'Round 7'!$B$2:$H$361,7,false),1)="B","L","")),if(LEFT(VLOOKUP($B291,'Round 7'!$F$2:$H$361,3,false),1)="b","W",if(LEFT(VLOOKUP($B291,'Round 7'!$F$2:$H$361,3,false),1)="a","L",""))),"")</f>
        <v/>
      </c>
      <c r="K291" s="68" t="str">
        <f>iferror(iferror(if(LEFT(VLOOKUP($B291,'Round 8'!$B$2:$H$361,7,false),1)="A","W",if(LEFT(VLOOKUP($B291,'Round 8'!$B$2:$H$361,7,false),1)="B","L","")),if(LEFT(VLOOKUP($B291,'Round 8'!$F$2:$H$361,3,false),1)="b","W",if(LEFT(VLOOKUP($B291,'Round 8'!$F$2:$H$361,3,false),1)="a","L",""))),"")</f>
        <v/>
      </c>
      <c r="L291" s="68" t="str">
        <f>iferror(iferror(if(LEFT(VLOOKUP($B291,'Round 9'!$B$2:$H$361,7,false),1)="A","W",if(LEFT(VLOOKUP($B291,'Round 9'!$B$2:$H$361,7,false),1)="B","L","")),if(LEFT(VLOOKUP($B291,'Round 9'!$F$2:$H$361,3,false),1)="b","W",if(LEFT(VLOOKUP($B291,'Round 9'!$F$2:$H$361,3,false),1)="a","L",""))),"")</f>
        <v/>
      </c>
      <c r="M291" s="68" t="str">
        <f>iferror(iferror(if(LEFT(VLOOKUP($B291,'Round 10'!$B$2:$H$362,7,false),1)="A","W",if(LEFT(VLOOKUP($B291,'Round 10'!$B$2:$H$362,7,false),1)="B","L","")),if(LEFT(VLOOKUP($B291,'Round 10'!$F$2:$H$362,3,false),1)="b","W",if(LEFT(VLOOKUP($B291,'Round 10'!$F$2:$H$362,3,false),1)="a","L",""))),"")</f>
        <v/>
      </c>
      <c r="N291" s="62" t="s">
        <v>650</v>
      </c>
    </row>
    <row r="292">
      <c r="A292" s="63">
        <v>291.0</v>
      </c>
      <c r="B292" s="64" t="s">
        <v>651</v>
      </c>
      <c r="C292" s="65" t="str">
        <f t="shared" si="1"/>
        <v>2 - 3</v>
      </c>
      <c r="D292" s="67" t="str">
        <f>iferror(if(LEFT(VLOOKUP($B292,'Round 1'!$B$2:$H$361,7,false),1)="A","W",if(LEFT(VLOOKUP($B292,'Round 1'!$B$2:$H$361,7,false),1)="B","L","")),if(LEFT(VLOOKUP($B292,'Round 1'!$F$2:$H$361,3,false),1)="b","W",if(LEFT(VLOOKUP($B292,'Round 1'!$F$2:$H$361,3,false),1)="a","L","")))</f>
        <v>W</v>
      </c>
      <c r="E292" s="67" t="str">
        <f>iferror(if(LEFT(VLOOKUP($B292,'Round 2'!$C$2:$J$361,8,false),1)="A","W",if(LEFT(VLOOKUP($B292,'Round 2'!$C$2:$J$361,8,false),1)="B","L","")),if(LEFT(VLOOKUP($B292,'Round 2'!$G$2:$J$361,4,false),1)="b","W",if(LEFT(VLOOKUP($B292,'Round 2'!$G$2:$J$361,4,false),1)="a","L","")))</f>
        <v>L</v>
      </c>
      <c r="F292" s="67" t="str">
        <f>iferror(if(LEFT(VLOOKUP($B292,'Round 3'!$B$2:$H$361,7,false),1)="A","W",if(LEFT(VLOOKUP($B292,'Round 3'!$B$2:$H$361,7,false),1)="B","L","")),if(LEFT(VLOOKUP($B292,'Round 3'!$F$2:$H$361,3,false),1)="b","W",if(LEFT(VLOOKUP($B292,'Round 3'!$F$2:$H$361,3,false),1)="a","L","")))</f>
        <v>L</v>
      </c>
      <c r="G292" s="67" t="str">
        <f>iferror(if(LEFT(VLOOKUP($B292,'Round 4'!$B$2:$H$361,7,false),1)="A","W",if(LEFT(VLOOKUP($B292,'Round 4'!$B$2:$H$361,7,false),1)="B","L","")),if(LEFT(VLOOKUP($B292,'Round 4'!$F$2:$H$361,3,false),1)="b","W",if(LEFT(VLOOKUP($B292,'Round 4'!$F$2:$H$361,3,false),1)="a","L","")))</f>
        <v>W</v>
      </c>
      <c r="H292" s="67" t="str">
        <f>iferror(if(LEFT(VLOOKUP($B292,'Round 5'!$B$2:$H$361,7,false),1)="A","W",if(LEFT(VLOOKUP($B292,'Round 5'!$B$2:$H$361,7,false),1)="B","L","")),if(LEFT(VLOOKUP($B292,'Round 5'!$F$2:$H$361,3,false),1)="b","W",if(LEFT(VLOOKUP($B292,'Round 5'!$F$2:$H$361,3,false),1)="a","L","")))</f>
        <v>L</v>
      </c>
      <c r="I292" s="67"/>
      <c r="J292" s="67" t="str">
        <f>iferror(iferror(if(LEFT(VLOOKUP($B292,'Round 7'!$B$2:$H$361,7,false),1)="A","W",if(LEFT(VLOOKUP($B292,'Round 7'!$B$2:$H$361,7,false),1)="B","L","")),if(LEFT(VLOOKUP($B292,'Round 7'!$F$2:$H$361,3,false),1)="b","W",if(LEFT(VLOOKUP($B292,'Round 7'!$F$2:$H$361,3,false),1)="a","L",""))),"")</f>
        <v/>
      </c>
      <c r="K292" s="68" t="str">
        <f>iferror(iferror(if(LEFT(VLOOKUP($B292,'Round 8'!$B$2:$H$361,7,false),1)="A","W",if(LEFT(VLOOKUP($B292,'Round 8'!$B$2:$H$361,7,false),1)="B","L","")),if(LEFT(VLOOKUP($B292,'Round 8'!$F$2:$H$361,3,false),1)="b","W",if(LEFT(VLOOKUP($B292,'Round 8'!$F$2:$H$361,3,false),1)="a","L",""))),"")</f>
        <v/>
      </c>
      <c r="L292" s="68" t="str">
        <f>iferror(iferror(if(LEFT(VLOOKUP($B292,'Round 9'!$B$2:$H$361,7,false),1)="A","W",if(LEFT(VLOOKUP($B292,'Round 9'!$B$2:$H$361,7,false),1)="B","L","")),if(LEFT(VLOOKUP($B292,'Round 9'!$F$2:$H$361,3,false),1)="b","W",if(LEFT(VLOOKUP($B292,'Round 9'!$F$2:$H$361,3,false),1)="a","L",""))),"")</f>
        <v/>
      </c>
      <c r="M292" s="68" t="str">
        <f>iferror(iferror(if(LEFT(VLOOKUP($B292,'Round 10'!$B$2:$H$362,7,false),1)="A","W",if(LEFT(VLOOKUP($B292,'Round 10'!$B$2:$H$362,7,false),1)="B","L","")),if(LEFT(VLOOKUP($B292,'Round 10'!$F$2:$H$362,3,false),1)="b","W",if(LEFT(VLOOKUP($B292,'Round 10'!$F$2:$H$362,3,false),1)="a","L",""))),"")</f>
        <v/>
      </c>
      <c r="N292" s="62" t="s">
        <v>652</v>
      </c>
    </row>
    <row r="293">
      <c r="A293" s="63">
        <v>292.0</v>
      </c>
      <c r="B293" s="64" t="s">
        <v>653</v>
      </c>
      <c r="C293" s="65" t="str">
        <f t="shared" si="1"/>
        <v>3 - 3</v>
      </c>
      <c r="D293" s="67" t="str">
        <f>iferror(if(LEFT(VLOOKUP($B293,'Round 1'!$B$2:$H$361,7,false),1)="A","W",if(LEFT(VLOOKUP($B293,'Round 1'!$B$2:$H$361,7,false),1)="B","L","")),if(LEFT(VLOOKUP($B293,'Round 1'!$F$2:$H$361,3,false),1)="b","W",if(LEFT(VLOOKUP($B293,'Round 1'!$F$2:$H$361,3,false),1)="a","L","")))</f>
        <v>L</v>
      </c>
      <c r="E293" s="67" t="str">
        <f>iferror(if(LEFT(VLOOKUP($B293,'Round 2'!$C$2:$J$361,8,false),1)="A","W",if(LEFT(VLOOKUP($B293,'Round 2'!$C$2:$J$361,8,false),1)="B","L","")),if(LEFT(VLOOKUP($B293,'Round 2'!$G$2:$J$361,4,false),1)="b","W",if(LEFT(VLOOKUP($B293,'Round 2'!$G$2:$J$361,4,false),1)="a","L","")))</f>
        <v>W</v>
      </c>
      <c r="F293" s="67" t="str">
        <f>iferror(if(LEFT(VLOOKUP($B293,'Round 3'!$B$2:$H$361,7,false),1)="A","W",if(LEFT(VLOOKUP($B293,'Round 3'!$B$2:$H$361,7,false),1)="B","L","")),if(LEFT(VLOOKUP($B293,'Round 3'!$F$2:$H$361,3,false),1)="b","W",if(LEFT(VLOOKUP($B293,'Round 3'!$F$2:$H$361,3,false),1)="a","L","")))</f>
        <v>W</v>
      </c>
      <c r="G293" s="67" t="str">
        <f>iferror(if(LEFT(VLOOKUP($B293,'Round 4'!$B$2:$H$361,7,false),1)="A","W",if(LEFT(VLOOKUP($B293,'Round 4'!$B$2:$H$361,7,false),1)="B","L","")),if(LEFT(VLOOKUP($B293,'Round 4'!$F$2:$H$361,3,false),1)="b","W",if(LEFT(VLOOKUP($B293,'Round 4'!$F$2:$H$361,3,false),1)="a","L","")))</f>
        <v>L</v>
      </c>
      <c r="H293" s="67" t="str">
        <f>iferror(if(LEFT(VLOOKUP($B293,'Round 5'!$B$2:$H$361,7,false),1)="A","W",if(LEFT(VLOOKUP($B293,'Round 5'!$B$2:$H$361,7,false),1)="B","L","")),if(LEFT(VLOOKUP($B293,'Round 5'!$F$2:$H$361,3,false),1)="b","W",if(LEFT(VLOOKUP($B293,'Round 5'!$F$2:$H$361,3,false),1)="a","L","")))</f>
        <v>W</v>
      </c>
      <c r="I293" s="67" t="str">
        <f>iferror(if(LEFT(VLOOKUP($B293,'Round 6'!$B$2:$H$361,7,false),1)="A","W",if(LEFT(VLOOKUP($B293,'Round 6'!$B$2:$H$361,7,false),1)="B","L","")),if(LEFT(VLOOKUP($B293,'Round 6'!$F$2:$H$361,3,false),1)="b","W",if(LEFT(VLOOKUP($B293,'Round 6'!$F$2:$H$361,3,false),1)="a","L","")))</f>
        <v>L</v>
      </c>
      <c r="J293" s="67" t="str">
        <f>iferror(iferror(if(LEFT(VLOOKUP($B293,'Round 7'!$B$2:$H$361,7,false),1)="A","W",if(LEFT(VLOOKUP($B293,'Round 7'!$B$2:$H$361,7,false),1)="B","L","")),if(LEFT(VLOOKUP($B293,'Round 7'!$F$2:$H$361,3,false),1)="b","W",if(LEFT(VLOOKUP($B293,'Round 7'!$F$2:$H$361,3,false),1)="a","L",""))),"")</f>
        <v/>
      </c>
      <c r="K293" s="68" t="str">
        <f>iferror(iferror(if(LEFT(VLOOKUP($B293,'Round 8'!$B$2:$H$361,7,false),1)="A","W",if(LEFT(VLOOKUP($B293,'Round 8'!$B$2:$H$361,7,false),1)="B","L","")),if(LEFT(VLOOKUP($B293,'Round 8'!$F$2:$H$361,3,false),1)="b","W",if(LEFT(VLOOKUP($B293,'Round 8'!$F$2:$H$361,3,false),1)="a","L",""))),"")</f>
        <v/>
      </c>
      <c r="L293" s="68" t="str">
        <f>iferror(iferror(if(LEFT(VLOOKUP($B293,'Round 9'!$B$2:$H$361,7,false),1)="A","W",if(LEFT(VLOOKUP($B293,'Round 9'!$B$2:$H$361,7,false),1)="B","L","")),if(LEFT(VLOOKUP($B293,'Round 9'!$F$2:$H$361,3,false),1)="b","W",if(LEFT(VLOOKUP($B293,'Round 9'!$F$2:$H$361,3,false),1)="a","L",""))),"")</f>
        <v/>
      </c>
      <c r="M293" s="68" t="str">
        <f>iferror(iferror(if(LEFT(VLOOKUP($B293,'Round 10'!$B$2:$H$362,7,false),1)="A","W",if(LEFT(VLOOKUP($B293,'Round 10'!$B$2:$H$362,7,false),1)="B","L","")),if(LEFT(VLOOKUP($B293,'Round 10'!$F$2:$H$362,3,false),1)="b","W",if(LEFT(VLOOKUP($B293,'Round 10'!$F$2:$H$362,3,false),1)="a","L",""))),"")</f>
        <v/>
      </c>
      <c r="N293" s="62" t="s">
        <v>654</v>
      </c>
    </row>
    <row r="294">
      <c r="A294" s="63">
        <v>293.0</v>
      </c>
      <c r="B294" s="64" t="s">
        <v>655</v>
      </c>
      <c r="C294" s="65" t="str">
        <f t="shared" si="1"/>
        <v>0 - 3</v>
      </c>
      <c r="D294" s="67" t="str">
        <f>iferror(if(LEFT(VLOOKUP($B294,'Round 1'!$B$2:$H$361,7,false),1)="A","W",if(LEFT(VLOOKUP($B294,'Round 1'!$B$2:$H$361,7,false),1)="B","L","")),if(LEFT(VLOOKUP($B294,'Round 1'!$F$2:$H$361,3,false),1)="b","W",if(LEFT(VLOOKUP($B294,'Round 1'!$F$2:$H$361,3,false),1)="a","L","")))</f>
        <v>L</v>
      </c>
      <c r="E294" s="67" t="str">
        <f>iferror(if(LEFT(VLOOKUP($B294,'Round 2'!$C$2:$J$361,8,false),1)="A","W",if(LEFT(VLOOKUP($B294,'Round 2'!$C$2:$J$361,8,false),1)="B","L","")),if(LEFT(VLOOKUP($B294,'Round 2'!$G$2:$J$361,4,false),1)="b","W",if(LEFT(VLOOKUP($B294,'Round 2'!$G$2:$J$361,4,false),1)="a","L","")))</f>
        <v>L</v>
      </c>
      <c r="F294" s="67" t="str">
        <f>iferror(if(LEFT(VLOOKUP($B294,'Round 3'!$B$2:$H$361,7,false),1)="A","W",if(LEFT(VLOOKUP($B294,'Round 3'!$B$2:$H$361,7,false),1)="B","L","")),if(LEFT(VLOOKUP($B294,'Round 3'!$F$2:$H$361,3,false),1)="b","W",if(LEFT(VLOOKUP($B294,'Round 3'!$F$2:$H$361,3,false),1)="a","L","")))</f>
        <v>L</v>
      </c>
      <c r="G294" s="67"/>
      <c r="H294" s="67"/>
      <c r="I294" s="67"/>
      <c r="J294" s="67" t="str">
        <f>iferror(iferror(if(LEFT(VLOOKUP($B294,'Round 7'!$B$2:$H$361,7,false),1)="A","W",if(LEFT(VLOOKUP($B294,'Round 7'!$B$2:$H$361,7,false),1)="B","L","")),if(LEFT(VLOOKUP($B294,'Round 7'!$F$2:$H$361,3,false),1)="b","W",if(LEFT(VLOOKUP($B294,'Round 7'!$F$2:$H$361,3,false),1)="a","L",""))),"")</f>
        <v/>
      </c>
      <c r="K294" s="68" t="str">
        <f>iferror(iferror(if(LEFT(VLOOKUP($B294,'Round 8'!$B$2:$H$361,7,false),1)="A","W",if(LEFT(VLOOKUP($B294,'Round 8'!$B$2:$H$361,7,false),1)="B","L","")),if(LEFT(VLOOKUP($B294,'Round 8'!$F$2:$H$361,3,false),1)="b","W",if(LEFT(VLOOKUP($B294,'Round 8'!$F$2:$H$361,3,false),1)="a","L",""))),"")</f>
        <v/>
      </c>
      <c r="L294" s="68" t="str">
        <f>iferror(iferror(if(LEFT(VLOOKUP($B294,'Round 9'!$B$2:$H$361,7,false),1)="A","W",if(LEFT(VLOOKUP($B294,'Round 9'!$B$2:$H$361,7,false),1)="B","L","")),if(LEFT(VLOOKUP($B294,'Round 9'!$F$2:$H$361,3,false),1)="b","W",if(LEFT(VLOOKUP($B294,'Round 9'!$F$2:$H$361,3,false),1)="a","L",""))),"")</f>
        <v/>
      </c>
      <c r="M294" s="68" t="str">
        <f>iferror(iferror(if(LEFT(VLOOKUP($B294,'Round 10'!$B$2:$H$362,7,false),1)="A","W",if(LEFT(VLOOKUP($B294,'Round 10'!$B$2:$H$362,7,false),1)="B","L","")),if(LEFT(VLOOKUP($B294,'Round 10'!$F$2:$H$362,3,false),1)="b","W",if(LEFT(VLOOKUP($B294,'Round 10'!$F$2:$H$362,3,false),1)="a","L",""))),"")</f>
        <v/>
      </c>
      <c r="N294" s="72" t="s">
        <v>144</v>
      </c>
    </row>
    <row r="295">
      <c r="A295" s="63">
        <v>294.0</v>
      </c>
      <c r="B295" s="64" t="s">
        <v>656</v>
      </c>
      <c r="C295" s="65" t="str">
        <f t="shared" si="1"/>
        <v>2 - 3</v>
      </c>
      <c r="D295" s="67" t="str">
        <f>iferror(if(LEFT(VLOOKUP($B295,'Round 1'!$B$2:$H$361,7,false),1)="A","W",if(LEFT(VLOOKUP($B295,'Round 1'!$B$2:$H$361,7,false),1)="B","L","")),if(LEFT(VLOOKUP($B295,'Round 1'!$F$2:$H$361,3,false),1)="b","W",if(LEFT(VLOOKUP($B295,'Round 1'!$F$2:$H$361,3,false),1)="a","L","")))</f>
        <v>W</v>
      </c>
      <c r="E295" s="67" t="str">
        <f>iferror(if(LEFT(VLOOKUP($B295,'Round 2'!$C$2:$J$361,8,false),1)="A","W",if(LEFT(VLOOKUP($B295,'Round 2'!$C$2:$J$361,8,false),1)="B","L","")),if(LEFT(VLOOKUP($B295,'Round 2'!$G$2:$J$361,4,false),1)="b","W",if(LEFT(VLOOKUP($B295,'Round 2'!$G$2:$J$361,4,false),1)="a","L","")))</f>
        <v>W</v>
      </c>
      <c r="F295" s="67" t="str">
        <f>iferror(if(LEFT(VLOOKUP($B295,'Round 3'!$B$2:$H$361,7,false),1)="A","W",if(LEFT(VLOOKUP($B295,'Round 3'!$B$2:$H$361,7,false),1)="B","L","")),if(LEFT(VLOOKUP($B295,'Round 3'!$F$2:$H$361,3,false),1)="b","W",if(LEFT(VLOOKUP($B295,'Round 3'!$F$2:$H$361,3,false),1)="a","L","")))</f>
        <v>L</v>
      </c>
      <c r="G295" s="67" t="str">
        <f>iferror(if(LEFT(VLOOKUP($B295,'Round 4'!$B$2:$H$361,7,false),1)="A","W",if(LEFT(VLOOKUP($B295,'Round 4'!$B$2:$H$361,7,false),1)="B","L","")),if(LEFT(VLOOKUP($B295,'Round 4'!$F$2:$H$361,3,false),1)="b","W",if(LEFT(VLOOKUP($B295,'Round 4'!$F$2:$H$361,3,false),1)="a","L","")))</f>
        <v>L</v>
      </c>
      <c r="H295" s="67" t="str">
        <f>iferror(if(LEFT(VLOOKUP($B295,'Round 5'!$B$2:$H$361,7,false),1)="A","W",if(LEFT(VLOOKUP($B295,'Round 5'!$B$2:$H$361,7,false),1)="B","L","")),if(LEFT(VLOOKUP($B295,'Round 5'!$F$2:$H$361,3,false),1)="b","W",if(LEFT(VLOOKUP($B295,'Round 5'!$F$2:$H$361,3,false),1)="a","L","")))</f>
        <v>L</v>
      </c>
      <c r="I295" s="67"/>
      <c r="J295" s="67" t="str">
        <f>iferror(iferror(if(LEFT(VLOOKUP($B295,'Round 7'!$B$2:$H$361,7,false),1)="A","W",if(LEFT(VLOOKUP($B295,'Round 7'!$B$2:$H$361,7,false),1)="B","L","")),if(LEFT(VLOOKUP($B295,'Round 7'!$F$2:$H$361,3,false),1)="b","W",if(LEFT(VLOOKUP($B295,'Round 7'!$F$2:$H$361,3,false),1)="a","L",""))),"")</f>
        <v/>
      </c>
      <c r="K295" s="68" t="str">
        <f>iferror(iferror(if(LEFT(VLOOKUP($B295,'Round 8'!$B$2:$H$361,7,false),1)="A","W",if(LEFT(VLOOKUP($B295,'Round 8'!$B$2:$H$361,7,false),1)="B","L","")),if(LEFT(VLOOKUP($B295,'Round 8'!$F$2:$H$361,3,false),1)="b","W",if(LEFT(VLOOKUP($B295,'Round 8'!$F$2:$H$361,3,false),1)="a","L",""))),"")</f>
        <v/>
      </c>
      <c r="L295" s="68" t="str">
        <f>iferror(iferror(if(LEFT(VLOOKUP($B295,'Round 9'!$B$2:$H$361,7,false),1)="A","W",if(LEFT(VLOOKUP($B295,'Round 9'!$B$2:$H$361,7,false),1)="B","L","")),if(LEFT(VLOOKUP($B295,'Round 9'!$F$2:$H$361,3,false),1)="b","W",if(LEFT(VLOOKUP($B295,'Round 9'!$F$2:$H$361,3,false),1)="a","L",""))),"")</f>
        <v/>
      </c>
      <c r="M295" s="68" t="str">
        <f>iferror(iferror(if(LEFT(VLOOKUP($B295,'Round 10'!$B$2:$H$362,7,false),1)="A","W",if(LEFT(VLOOKUP($B295,'Round 10'!$B$2:$H$362,7,false),1)="B","L","")),if(LEFT(VLOOKUP($B295,'Round 10'!$F$2:$H$362,3,false),1)="b","W",if(LEFT(VLOOKUP($B295,'Round 10'!$F$2:$H$362,3,false),1)="a","L",""))),"")</f>
        <v/>
      </c>
      <c r="N295" s="62" t="s">
        <v>657</v>
      </c>
    </row>
    <row r="296">
      <c r="A296" s="63">
        <v>295.0</v>
      </c>
      <c r="B296" s="64" t="s">
        <v>658</v>
      </c>
      <c r="C296" s="65" t="str">
        <f t="shared" si="1"/>
        <v>2 - 3</v>
      </c>
      <c r="D296" s="67" t="str">
        <f>iferror(if(LEFT(VLOOKUP($B296,'Round 1'!$B$2:$H$361,7,false),1)="A","W",if(LEFT(VLOOKUP($B296,'Round 1'!$B$2:$H$361,7,false),1)="B","L","")),if(LEFT(VLOOKUP($B296,'Round 1'!$F$2:$H$361,3,false),1)="b","W",if(LEFT(VLOOKUP($B296,'Round 1'!$F$2:$H$361,3,false),1)="a","L","")))</f>
        <v>W</v>
      </c>
      <c r="E296" s="67" t="str">
        <f>iferror(if(LEFT(VLOOKUP($B296,'Round 2'!$C$2:$J$361,8,false),1)="A","W",if(LEFT(VLOOKUP($B296,'Round 2'!$C$2:$J$361,8,false),1)="B","L","")),if(LEFT(VLOOKUP($B296,'Round 2'!$G$2:$J$361,4,false),1)="b","W",if(LEFT(VLOOKUP($B296,'Round 2'!$G$2:$J$361,4,false),1)="a","L","")))</f>
        <v>W</v>
      </c>
      <c r="F296" s="67" t="str">
        <f>iferror(if(LEFT(VLOOKUP($B296,'Round 3'!$B$2:$H$361,7,false),1)="A","W",if(LEFT(VLOOKUP($B296,'Round 3'!$B$2:$H$361,7,false),1)="B","L","")),if(LEFT(VLOOKUP($B296,'Round 3'!$F$2:$H$361,3,false),1)="b","W",if(LEFT(VLOOKUP($B296,'Round 3'!$F$2:$H$361,3,false),1)="a","L","")))</f>
        <v>L</v>
      </c>
      <c r="G296" s="67" t="str">
        <f>iferror(if(LEFT(VLOOKUP($B296,'Round 4'!$B$2:$H$361,7,false),1)="A","W",if(LEFT(VLOOKUP($B296,'Round 4'!$B$2:$H$361,7,false),1)="B","L","")),if(LEFT(VLOOKUP($B296,'Round 4'!$F$2:$H$361,3,false),1)="b","W",if(LEFT(VLOOKUP($B296,'Round 4'!$F$2:$H$361,3,false),1)="a","L","")))</f>
        <v>L</v>
      </c>
      <c r="H296" s="67" t="str">
        <f>iferror(if(LEFT(VLOOKUP($B296,'Round 5'!$B$2:$H$361,7,false),1)="A","W",if(LEFT(VLOOKUP($B296,'Round 5'!$B$2:$H$361,7,false),1)="B","L","")),if(LEFT(VLOOKUP($B296,'Round 5'!$F$2:$H$361,3,false),1)="b","W",if(LEFT(VLOOKUP($B296,'Round 5'!$F$2:$H$361,3,false),1)="a","L","")))</f>
        <v>L</v>
      </c>
      <c r="I296" s="67"/>
      <c r="J296" s="67" t="str">
        <f>iferror(iferror(if(LEFT(VLOOKUP($B296,'Round 7'!$B$2:$H$361,7,false),1)="A","W",if(LEFT(VLOOKUP($B296,'Round 7'!$B$2:$H$361,7,false),1)="B","L","")),if(LEFT(VLOOKUP($B296,'Round 7'!$F$2:$H$361,3,false),1)="b","W",if(LEFT(VLOOKUP($B296,'Round 7'!$F$2:$H$361,3,false),1)="a","L",""))),"")</f>
        <v/>
      </c>
      <c r="K296" s="68" t="str">
        <f>iferror(iferror(if(LEFT(VLOOKUP($B296,'Round 8'!$B$2:$H$361,7,false),1)="A","W",if(LEFT(VLOOKUP($B296,'Round 8'!$B$2:$H$361,7,false),1)="B","L","")),if(LEFT(VLOOKUP($B296,'Round 8'!$F$2:$H$361,3,false),1)="b","W",if(LEFT(VLOOKUP($B296,'Round 8'!$F$2:$H$361,3,false),1)="a","L",""))),"")</f>
        <v/>
      </c>
      <c r="L296" s="68" t="str">
        <f>iferror(iferror(if(LEFT(VLOOKUP($B296,'Round 9'!$B$2:$H$361,7,false),1)="A","W",if(LEFT(VLOOKUP($B296,'Round 9'!$B$2:$H$361,7,false),1)="B","L","")),if(LEFT(VLOOKUP($B296,'Round 9'!$F$2:$H$361,3,false),1)="b","W",if(LEFT(VLOOKUP($B296,'Round 9'!$F$2:$H$361,3,false),1)="a","L",""))),"")</f>
        <v/>
      </c>
      <c r="M296" s="68" t="str">
        <f>iferror(iferror(if(LEFT(VLOOKUP($B296,'Round 10'!$B$2:$H$362,7,false),1)="A","W",if(LEFT(VLOOKUP($B296,'Round 10'!$B$2:$H$362,7,false),1)="B","L","")),if(LEFT(VLOOKUP($B296,'Round 10'!$F$2:$H$362,3,false),1)="b","W",if(LEFT(VLOOKUP($B296,'Round 10'!$F$2:$H$362,3,false),1)="a","L",""))),"")</f>
        <v/>
      </c>
      <c r="N296" s="62" t="s">
        <v>659</v>
      </c>
    </row>
    <row r="297">
      <c r="A297" s="63">
        <v>296.0</v>
      </c>
      <c r="B297" s="64" t="s">
        <v>660</v>
      </c>
      <c r="C297" s="65" t="str">
        <f t="shared" si="1"/>
        <v>2 - 3</v>
      </c>
      <c r="D297" s="67" t="str">
        <f>iferror(if(LEFT(VLOOKUP($B297,'Round 1'!$B$2:$H$361,7,false),1)="A","W",if(LEFT(VLOOKUP($B297,'Round 1'!$B$2:$H$361,7,false),1)="B","L","")),if(LEFT(VLOOKUP($B297,'Round 1'!$F$2:$H$361,3,false),1)="b","W",if(LEFT(VLOOKUP($B297,'Round 1'!$F$2:$H$361,3,false),1)="a","L","")))</f>
        <v>W</v>
      </c>
      <c r="E297" s="67" t="str">
        <f>iferror(if(LEFT(VLOOKUP($B297,'Round 2'!$C$2:$J$361,8,false),1)="A","W",if(LEFT(VLOOKUP($B297,'Round 2'!$C$2:$J$361,8,false),1)="B","L","")),if(LEFT(VLOOKUP($B297,'Round 2'!$G$2:$J$361,4,false),1)="b","W",if(LEFT(VLOOKUP($B297,'Round 2'!$G$2:$J$361,4,false),1)="a","L","")))</f>
        <v>W</v>
      </c>
      <c r="F297" s="67" t="str">
        <f>iferror(if(LEFT(VLOOKUP($B297,'Round 3'!$B$2:$H$361,7,false),1)="A","W",if(LEFT(VLOOKUP($B297,'Round 3'!$B$2:$H$361,7,false),1)="B","L","")),if(LEFT(VLOOKUP($B297,'Round 3'!$F$2:$H$361,3,false),1)="b","W",if(LEFT(VLOOKUP($B297,'Round 3'!$F$2:$H$361,3,false),1)="a","L","")))</f>
        <v>L</v>
      </c>
      <c r="G297" s="67" t="str">
        <f>iferror(if(LEFT(VLOOKUP($B297,'Round 4'!$B$2:$H$361,7,false),1)="A","W",if(LEFT(VLOOKUP($B297,'Round 4'!$B$2:$H$361,7,false),1)="B","L","")),if(LEFT(VLOOKUP($B297,'Round 4'!$F$2:$H$361,3,false),1)="b","W",if(LEFT(VLOOKUP($B297,'Round 4'!$F$2:$H$361,3,false),1)="a","L","")))</f>
        <v>L</v>
      </c>
      <c r="H297" s="67" t="str">
        <f>iferror(if(LEFT(VLOOKUP($B297,'Round 5'!$B$2:$H$361,7,false),1)="A","W",if(LEFT(VLOOKUP($B297,'Round 5'!$B$2:$H$361,7,false),1)="B","L","")),if(LEFT(VLOOKUP($B297,'Round 5'!$F$2:$H$361,3,false),1)="b","W",if(LEFT(VLOOKUP($B297,'Round 5'!$F$2:$H$361,3,false),1)="a","L","")))</f>
        <v>L</v>
      </c>
      <c r="I297" s="67"/>
      <c r="J297" s="67" t="str">
        <f>iferror(iferror(if(LEFT(VLOOKUP($B297,'Round 7'!$B$2:$H$361,7,false),1)="A","W",if(LEFT(VLOOKUP($B297,'Round 7'!$B$2:$H$361,7,false),1)="B","L","")),if(LEFT(VLOOKUP($B297,'Round 7'!$F$2:$H$361,3,false),1)="b","W",if(LEFT(VLOOKUP($B297,'Round 7'!$F$2:$H$361,3,false),1)="a","L",""))),"")</f>
        <v/>
      </c>
      <c r="K297" s="68" t="str">
        <f>iferror(iferror(if(LEFT(VLOOKUP($B297,'Round 8'!$B$2:$H$361,7,false),1)="A","W",if(LEFT(VLOOKUP($B297,'Round 8'!$B$2:$H$361,7,false),1)="B","L","")),if(LEFT(VLOOKUP($B297,'Round 8'!$F$2:$H$361,3,false),1)="b","W",if(LEFT(VLOOKUP($B297,'Round 8'!$F$2:$H$361,3,false),1)="a","L",""))),"")</f>
        <v/>
      </c>
      <c r="L297" s="68" t="str">
        <f>iferror(iferror(if(LEFT(VLOOKUP($B297,'Round 9'!$B$2:$H$361,7,false),1)="A","W",if(LEFT(VLOOKUP($B297,'Round 9'!$B$2:$H$361,7,false),1)="B","L","")),if(LEFT(VLOOKUP($B297,'Round 9'!$F$2:$H$361,3,false),1)="b","W",if(LEFT(VLOOKUP($B297,'Round 9'!$F$2:$H$361,3,false),1)="a","L",""))),"")</f>
        <v/>
      </c>
      <c r="M297" s="68" t="str">
        <f>iferror(iferror(if(LEFT(VLOOKUP($B297,'Round 10'!$B$2:$H$362,7,false),1)="A","W",if(LEFT(VLOOKUP($B297,'Round 10'!$B$2:$H$362,7,false),1)="B","L","")),if(LEFT(VLOOKUP($B297,'Round 10'!$F$2:$H$362,3,false),1)="b","W",if(LEFT(VLOOKUP($B297,'Round 10'!$F$2:$H$362,3,false),1)="a","L",""))),"")</f>
        <v/>
      </c>
      <c r="N297" s="62" t="s">
        <v>661</v>
      </c>
    </row>
    <row r="298">
      <c r="A298" s="63">
        <v>297.0</v>
      </c>
      <c r="B298" s="64" t="s">
        <v>662</v>
      </c>
      <c r="C298" s="65" t="str">
        <f t="shared" si="1"/>
        <v>2 - 3</v>
      </c>
      <c r="D298" s="67" t="str">
        <f>iferror(if(LEFT(VLOOKUP($B298,'Round 1'!$B$2:$H$361,7,false),1)="A","W",if(LEFT(VLOOKUP($B298,'Round 1'!$B$2:$H$361,7,false),1)="B","L","")),if(LEFT(VLOOKUP($B298,'Round 1'!$F$2:$H$361,3,false),1)="b","W",if(LEFT(VLOOKUP($B298,'Round 1'!$F$2:$H$361,3,false),1)="a","L","")))</f>
        <v>W</v>
      </c>
      <c r="E298" s="67" t="str">
        <f>iferror(if(LEFT(VLOOKUP($B298,'Round 2'!$C$2:$J$361,8,false),1)="A","W",if(LEFT(VLOOKUP($B298,'Round 2'!$C$2:$J$361,8,false),1)="B","L","")),if(LEFT(VLOOKUP($B298,'Round 2'!$G$2:$J$361,4,false),1)="b","W",if(LEFT(VLOOKUP($B298,'Round 2'!$G$2:$J$361,4,false),1)="a","L","")))</f>
        <v>L</v>
      </c>
      <c r="F298" s="67" t="str">
        <f>iferror(if(LEFT(VLOOKUP($B298,'Round 3'!$B$2:$H$361,7,false),1)="A","W",if(LEFT(VLOOKUP($B298,'Round 3'!$B$2:$H$361,7,false),1)="B","L","")),if(LEFT(VLOOKUP($B298,'Round 3'!$F$2:$H$361,3,false),1)="b","W",if(LEFT(VLOOKUP($B298,'Round 3'!$F$2:$H$361,3,false),1)="a","L","")))</f>
        <v>L</v>
      </c>
      <c r="G298" s="67" t="str">
        <f>iferror(if(LEFT(VLOOKUP($B298,'Round 4'!$B$2:$H$361,7,false),1)="A","W",if(LEFT(VLOOKUP($B298,'Round 4'!$B$2:$H$361,7,false),1)="B","L","")),if(LEFT(VLOOKUP($B298,'Round 4'!$F$2:$H$361,3,false),1)="b","W",if(LEFT(VLOOKUP($B298,'Round 4'!$F$2:$H$361,3,false),1)="a","L","")))</f>
        <v>W</v>
      </c>
      <c r="H298" s="67" t="str">
        <f>iferror(if(LEFT(VLOOKUP($B298,'Round 5'!$B$2:$H$361,7,false),1)="A","W",if(LEFT(VLOOKUP($B298,'Round 5'!$B$2:$H$361,7,false),1)="B","L","")),if(LEFT(VLOOKUP($B298,'Round 5'!$F$2:$H$361,3,false),1)="b","W",if(LEFT(VLOOKUP($B298,'Round 5'!$F$2:$H$361,3,false),1)="a","L","")))</f>
        <v>L</v>
      </c>
      <c r="I298" s="67"/>
      <c r="J298" s="67" t="str">
        <f>iferror(iferror(if(LEFT(VLOOKUP($B298,'Round 7'!$B$2:$H$361,7,false),1)="A","W",if(LEFT(VLOOKUP($B298,'Round 7'!$B$2:$H$361,7,false),1)="B","L","")),if(LEFT(VLOOKUP($B298,'Round 7'!$F$2:$H$361,3,false),1)="b","W",if(LEFT(VLOOKUP($B298,'Round 7'!$F$2:$H$361,3,false),1)="a","L",""))),"")</f>
        <v/>
      </c>
      <c r="K298" s="68" t="str">
        <f>iferror(iferror(if(LEFT(VLOOKUP($B298,'Round 8'!$B$2:$H$361,7,false),1)="A","W",if(LEFT(VLOOKUP($B298,'Round 8'!$B$2:$H$361,7,false),1)="B","L","")),if(LEFT(VLOOKUP($B298,'Round 8'!$F$2:$H$361,3,false),1)="b","W",if(LEFT(VLOOKUP($B298,'Round 8'!$F$2:$H$361,3,false),1)="a","L",""))),"")</f>
        <v/>
      </c>
      <c r="L298" s="68" t="str">
        <f>iferror(iferror(if(LEFT(VLOOKUP($B298,'Round 9'!$B$2:$H$361,7,false),1)="A","W",if(LEFT(VLOOKUP($B298,'Round 9'!$B$2:$H$361,7,false),1)="B","L","")),if(LEFT(VLOOKUP($B298,'Round 9'!$F$2:$H$361,3,false),1)="b","W",if(LEFT(VLOOKUP($B298,'Round 9'!$F$2:$H$361,3,false),1)="a","L",""))),"")</f>
        <v/>
      </c>
      <c r="M298" s="68" t="str">
        <f>iferror(iferror(if(LEFT(VLOOKUP($B298,'Round 10'!$B$2:$H$362,7,false),1)="A","W",if(LEFT(VLOOKUP($B298,'Round 10'!$B$2:$H$362,7,false),1)="B","L","")),if(LEFT(VLOOKUP($B298,'Round 10'!$F$2:$H$362,3,false),1)="b","W",if(LEFT(VLOOKUP($B298,'Round 10'!$F$2:$H$362,3,false),1)="a","L",""))),"")</f>
        <v/>
      </c>
      <c r="N298" s="62" t="s">
        <v>663</v>
      </c>
    </row>
    <row r="299">
      <c r="A299" s="63">
        <v>298.0</v>
      </c>
      <c r="B299" s="64" t="s">
        <v>664</v>
      </c>
      <c r="C299" s="65" t="str">
        <f t="shared" si="1"/>
        <v>1 - 3</v>
      </c>
      <c r="D299" s="67" t="str">
        <f>iferror(if(LEFT(VLOOKUP($B299,'Round 1'!$B$2:$H$361,7,false),1)="A","W",if(LEFT(VLOOKUP($B299,'Round 1'!$B$2:$H$361,7,false),1)="B","L","")),if(LEFT(VLOOKUP($B299,'Round 1'!$F$2:$H$361,3,false),1)="b","W",if(LEFT(VLOOKUP($B299,'Round 1'!$F$2:$H$361,3,false),1)="a","L","")))</f>
        <v>W</v>
      </c>
      <c r="E299" s="67" t="str">
        <f>iferror(if(LEFT(VLOOKUP($B299,'Round 2'!$C$2:$J$361,8,false),1)="A","W",if(LEFT(VLOOKUP($B299,'Round 2'!$C$2:$J$361,8,false),1)="B","L","")),if(LEFT(VLOOKUP($B299,'Round 2'!$G$2:$J$361,4,false),1)="b","W",if(LEFT(VLOOKUP($B299,'Round 2'!$G$2:$J$361,4,false),1)="a","L","")))</f>
        <v>L</v>
      </c>
      <c r="F299" s="67" t="str">
        <f>iferror(if(LEFT(VLOOKUP($B299,'Round 3'!$B$2:$H$361,7,false),1)="A","W",if(LEFT(VLOOKUP($B299,'Round 3'!$B$2:$H$361,7,false),1)="B","L","")),if(LEFT(VLOOKUP($B299,'Round 3'!$F$2:$H$361,3,false),1)="b","W",if(LEFT(VLOOKUP($B299,'Round 3'!$F$2:$H$361,3,false),1)="a","L","")))</f>
        <v>L</v>
      </c>
      <c r="G299" s="67" t="str">
        <f>iferror(if(LEFT(VLOOKUP($B299,'Round 4'!$B$2:$H$361,7,false),1)="A","W",if(LEFT(VLOOKUP($B299,'Round 4'!$B$2:$H$361,7,false),1)="B","L","")),if(LEFT(VLOOKUP($B299,'Round 4'!$F$2:$H$361,3,false),1)="b","W",if(LEFT(VLOOKUP($B299,'Round 4'!$F$2:$H$361,3,false),1)="a","L","")))</f>
        <v>L</v>
      </c>
      <c r="H299" s="67"/>
      <c r="I299" s="67"/>
      <c r="J299" s="67" t="str">
        <f>iferror(iferror(if(LEFT(VLOOKUP($B299,'Round 7'!$B$2:$H$361,7,false),1)="A","W",if(LEFT(VLOOKUP($B299,'Round 7'!$B$2:$H$361,7,false),1)="B","L","")),if(LEFT(VLOOKUP($B299,'Round 7'!$F$2:$H$361,3,false),1)="b","W",if(LEFT(VLOOKUP($B299,'Round 7'!$F$2:$H$361,3,false),1)="a","L",""))),"")</f>
        <v/>
      </c>
      <c r="K299" s="68" t="str">
        <f>iferror(iferror(if(LEFT(VLOOKUP($B299,'Round 8'!$B$2:$H$361,7,false),1)="A","W",if(LEFT(VLOOKUP($B299,'Round 8'!$B$2:$H$361,7,false),1)="B","L","")),if(LEFT(VLOOKUP($B299,'Round 8'!$F$2:$H$361,3,false),1)="b","W",if(LEFT(VLOOKUP($B299,'Round 8'!$F$2:$H$361,3,false),1)="a","L",""))),"")</f>
        <v/>
      </c>
      <c r="L299" s="68" t="str">
        <f>iferror(iferror(if(LEFT(VLOOKUP($B299,'Round 9'!$B$2:$H$361,7,false),1)="A","W",if(LEFT(VLOOKUP($B299,'Round 9'!$B$2:$H$361,7,false),1)="B","L","")),if(LEFT(VLOOKUP($B299,'Round 9'!$F$2:$H$361,3,false),1)="b","W",if(LEFT(VLOOKUP($B299,'Round 9'!$F$2:$H$361,3,false),1)="a","L",""))),"")</f>
        <v/>
      </c>
      <c r="M299" s="68" t="str">
        <f>iferror(iferror(if(LEFT(VLOOKUP($B299,'Round 10'!$B$2:$H$362,7,false),1)="A","W",if(LEFT(VLOOKUP($B299,'Round 10'!$B$2:$H$362,7,false),1)="B","L","")),if(LEFT(VLOOKUP($B299,'Round 10'!$F$2:$H$362,3,false),1)="b","W",if(LEFT(VLOOKUP($B299,'Round 10'!$F$2:$H$362,3,false),1)="a","L",""))),"")</f>
        <v/>
      </c>
      <c r="N299" s="62" t="s">
        <v>665</v>
      </c>
    </row>
    <row r="300">
      <c r="A300" s="63">
        <v>299.0</v>
      </c>
      <c r="B300" s="71" t="s">
        <v>666</v>
      </c>
      <c r="C300" s="65" t="str">
        <f t="shared" si="1"/>
        <v>4 - 3</v>
      </c>
      <c r="D300" s="67" t="str">
        <f>iferror(if(LEFT(VLOOKUP($B300,'Round 1'!$B$2:$H$361,7,false),1)="A","W",if(LEFT(VLOOKUP($B300,'Round 1'!$B$2:$H$361,7,false),1)="B","L","")),if(LEFT(VLOOKUP($B300,'Round 1'!$F$2:$H$361,3,false),1)="b","W",if(LEFT(VLOOKUP($B300,'Round 1'!$F$2:$H$361,3,false),1)="a","L","")))</f>
        <v>W</v>
      </c>
      <c r="E300" s="67" t="str">
        <f>iferror(if(LEFT(VLOOKUP($B300,'Round 2'!$C$2:$J$361,8,false),1)="A","W",if(LEFT(VLOOKUP($B300,'Round 2'!$C$2:$J$361,8,false),1)="B","L","")),if(LEFT(VLOOKUP($B300,'Round 2'!$G$2:$J$361,4,false),1)="b","W",if(LEFT(VLOOKUP($B300,'Round 2'!$G$2:$J$361,4,false),1)="a","L","")))</f>
        <v>W</v>
      </c>
      <c r="F300" s="67" t="str">
        <f>iferror(if(LEFT(VLOOKUP($B300,'Round 3'!$B$2:$H$361,7,false),1)="A","W",if(LEFT(VLOOKUP($B300,'Round 3'!$B$2:$H$361,7,false),1)="B","L","")),if(LEFT(VLOOKUP($B300,'Round 3'!$F$2:$H$361,3,false),1)="b","W",if(LEFT(VLOOKUP($B300,'Round 3'!$F$2:$H$361,3,false),1)="a","L","")))</f>
        <v>L</v>
      </c>
      <c r="G300" s="67" t="str">
        <f>iferror(if(LEFT(VLOOKUP($B300,'Round 4'!$B$2:$H$361,7,false),1)="A","W",if(LEFT(VLOOKUP($B300,'Round 4'!$B$2:$H$361,7,false),1)="B","L","")),if(LEFT(VLOOKUP($B300,'Round 4'!$F$2:$H$361,3,false),1)="b","W",if(LEFT(VLOOKUP($B300,'Round 4'!$F$2:$H$361,3,false),1)="a","L","")))</f>
        <v>W</v>
      </c>
      <c r="H300" s="67" t="str">
        <f>iferror(if(LEFT(VLOOKUP($B300,'Round 5'!$B$2:$H$361,7,false),1)="A","W",if(LEFT(VLOOKUP($B300,'Round 5'!$B$2:$H$361,7,false),1)="B","L","")),if(LEFT(VLOOKUP($B300,'Round 5'!$F$2:$H$361,3,false),1)="b","W",if(LEFT(VLOOKUP($B300,'Round 5'!$F$2:$H$361,3,false),1)="a","L","")))</f>
        <v>W</v>
      </c>
      <c r="I300" s="67" t="str">
        <f>iferror(if(LEFT(VLOOKUP($B300,'Round 6'!$B$2:$H$361,7,false),1)="A","W",if(LEFT(VLOOKUP($B300,'Round 6'!$B$2:$H$361,7,false),1)="B","L","")),if(LEFT(VLOOKUP($B300,'Round 6'!$F$2:$H$361,3,false),1)="b","W",if(LEFT(VLOOKUP($B300,'Round 6'!$F$2:$H$361,3,false),1)="a","L","")))</f>
        <v>L</v>
      </c>
      <c r="J300" s="67" t="str">
        <f>iferror(iferror(if(LEFT(VLOOKUP($B300,'Round 7'!$B$2:$H$361,7,false),1)="A","W",if(LEFT(VLOOKUP($B300,'Round 7'!$B$2:$H$361,7,false),1)="B","L","")),if(LEFT(VLOOKUP($B300,'Round 7'!$F$2:$H$361,3,false),1)="b","W",if(LEFT(VLOOKUP($B300,'Round 7'!$F$2:$H$361,3,false),1)="a","L",""))),"")</f>
        <v>L</v>
      </c>
      <c r="K300" s="68" t="str">
        <f>iferror(iferror(if(LEFT(VLOOKUP($B300,'Round 8'!$B$2:$H$361,7,false),1)="A","W",if(LEFT(VLOOKUP($B300,'Round 8'!$B$2:$H$361,7,false),1)="B","L","")),if(LEFT(VLOOKUP($B300,'Round 8'!$F$2:$H$361,3,false),1)="b","W",if(LEFT(VLOOKUP($B300,'Round 8'!$F$2:$H$361,3,false),1)="a","L",""))),"")</f>
        <v/>
      </c>
      <c r="L300" s="68" t="str">
        <f>iferror(iferror(if(LEFT(VLOOKUP($B300,'Round 9'!$B$2:$H$361,7,false),1)="A","W",if(LEFT(VLOOKUP($B300,'Round 9'!$B$2:$H$361,7,false),1)="B","L","")),if(LEFT(VLOOKUP($B300,'Round 9'!$F$2:$H$361,3,false),1)="b","W",if(LEFT(VLOOKUP($B300,'Round 9'!$F$2:$H$361,3,false),1)="a","L",""))),"")</f>
        <v/>
      </c>
      <c r="M300" s="68" t="str">
        <f>iferror(iferror(if(LEFT(VLOOKUP($B300,'Round 10'!$B$2:$H$362,7,false),1)="A","W",if(LEFT(VLOOKUP($B300,'Round 10'!$B$2:$H$362,7,false),1)="B","L","")),if(LEFT(VLOOKUP($B300,'Round 10'!$F$2:$H$362,3,false),1)="b","W",if(LEFT(VLOOKUP($B300,'Round 10'!$F$2:$H$362,3,false),1)="a","L",""))),"")</f>
        <v/>
      </c>
      <c r="N300" s="62" t="s">
        <v>667</v>
      </c>
    </row>
    <row r="301">
      <c r="A301" s="63">
        <v>300.0</v>
      </c>
      <c r="B301" s="64" t="s">
        <v>668</v>
      </c>
      <c r="C301" s="65" t="str">
        <f t="shared" si="1"/>
        <v>1 - 3</v>
      </c>
      <c r="D301" s="67" t="str">
        <f>iferror(if(LEFT(VLOOKUP($B301,'Round 1'!$B$2:$H$361,7,false),1)="A","W",if(LEFT(VLOOKUP($B301,'Round 1'!$B$2:$H$361,7,false),1)="B","L","")),if(LEFT(VLOOKUP($B301,'Round 1'!$F$2:$H$361,3,false),1)="b","W",if(LEFT(VLOOKUP($B301,'Round 1'!$F$2:$H$361,3,false),1)="a","L","")))</f>
        <v>L</v>
      </c>
      <c r="E301" s="67" t="str">
        <f>iferror(if(LEFT(VLOOKUP($B301,'Round 2'!$C$2:$J$361,8,false),1)="A","W",if(LEFT(VLOOKUP($B301,'Round 2'!$C$2:$J$361,8,false),1)="B","L","")),if(LEFT(VLOOKUP($B301,'Round 2'!$G$2:$J$361,4,false),1)="b","W",if(LEFT(VLOOKUP($B301,'Round 2'!$G$2:$J$361,4,false),1)="a","L","")))</f>
        <v>L</v>
      </c>
      <c r="F301" s="67" t="str">
        <f>iferror(if(LEFT(VLOOKUP($B301,'Round 3'!$B$2:$H$361,7,false),1)="A","W",if(LEFT(VLOOKUP($B301,'Round 3'!$B$2:$H$361,7,false),1)="B","L","")),if(LEFT(VLOOKUP($B301,'Round 3'!$F$2:$H$361,3,false),1)="b","W",if(LEFT(VLOOKUP($B301,'Round 3'!$F$2:$H$361,3,false),1)="a","L","")))</f>
        <v>W</v>
      </c>
      <c r="G301" s="67" t="str">
        <f>iferror(if(LEFT(VLOOKUP($B301,'Round 4'!$B$2:$H$361,7,false),1)="A","W",if(LEFT(VLOOKUP($B301,'Round 4'!$B$2:$H$361,7,false),1)="B","L","")),if(LEFT(VLOOKUP($B301,'Round 4'!$F$2:$H$361,3,false),1)="b","W",if(LEFT(VLOOKUP($B301,'Round 4'!$F$2:$H$361,3,false),1)="a","L","")))</f>
        <v>L</v>
      </c>
      <c r="H301" s="67"/>
      <c r="I301" s="67"/>
      <c r="J301" s="67" t="str">
        <f>iferror(iferror(if(LEFT(VLOOKUP($B301,'Round 7'!$B$2:$H$361,7,false),1)="A","W",if(LEFT(VLOOKUP($B301,'Round 7'!$B$2:$H$361,7,false),1)="B","L","")),if(LEFT(VLOOKUP($B301,'Round 7'!$F$2:$H$361,3,false),1)="b","W",if(LEFT(VLOOKUP($B301,'Round 7'!$F$2:$H$361,3,false),1)="a","L",""))),"")</f>
        <v/>
      </c>
      <c r="K301" s="68" t="str">
        <f>iferror(iferror(if(LEFT(VLOOKUP($B301,'Round 8'!$B$2:$H$361,7,false),1)="A","W",if(LEFT(VLOOKUP($B301,'Round 8'!$B$2:$H$361,7,false),1)="B","L","")),if(LEFT(VLOOKUP($B301,'Round 8'!$F$2:$H$361,3,false),1)="b","W",if(LEFT(VLOOKUP($B301,'Round 8'!$F$2:$H$361,3,false),1)="a","L",""))),"")</f>
        <v/>
      </c>
      <c r="L301" s="68" t="str">
        <f>iferror(iferror(if(LEFT(VLOOKUP($B301,'Round 9'!$B$2:$H$361,7,false),1)="A","W",if(LEFT(VLOOKUP($B301,'Round 9'!$B$2:$H$361,7,false),1)="B","L","")),if(LEFT(VLOOKUP($B301,'Round 9'!$F$2:$H$361,3,false),1)="b","W",if(LEFT(VLOOKUP($B301,'Round 9'!$F$2:$H$361,3,false),1)="a","L",""))),"")</f>
        <v/>
      </c>
      <c r="M301" s="68" t="str">
        <f>iferror(iferror(if(LEFT(VLOOKUP($B301,'Round 10'!$B$2:$H$362,7,false),1)="A","W",if(LEFT(VLOOKUP($B301,'Round 10'!$B$2:$H$362,7,false),1)="B","L","")),if(LEFT(VLOOKUP($B301,'Round 10'!$F$2:$H$362,3,false),1)="b","W",if(LEFT(VLOOKUP($B301,'Round 10'!$F$2:$H$362,3,false),1)="a","L",""))),"")</f>
        <v/>
      </c>
      <c r="N301" s="62" t="s">
        <v>669</v>
      </c>
    </row>
    <row r="302">
      <c r="A302" s="63">
        <v>301.0</v>
      </c>
      <c r="B302" s="64" t="s">
        <v>670</v>
      </c>
      <c r="C302" s="65" t="str">
        <f t="shared" si="1"/>
        <v>1 - 3</v>
      </c>
      <c r="D302" s="67" t="str">
        <f>iferror(if(LEFT(VLOOKUP($B302,'Round 1'!$B$2:$H$361,7,false),1)="A","W",if(LEFT(VLOOKUP($B302,'Round 1'!$B$2:$H$361,7,false),1)="B","L","")),if(LEFT(VLOOKUP($B302,'Round 1'!$F$2:$H$361,3,false),1)="b","W",if(LEFT(VLOOKUP($B302,'Round 1'!$F$2:$H$361,3,false),1)="a","L","")))</f>
        <v>L</v>
      </c>
      <c r="E302" s="67" t="str">
        <f>iferror(if(LEFT(VLOOKUP($B302,'Round 2'!$C$2:$J$361,8,false),1)="A","W",if(LEFT(VLOOKUP($B302,'Round 2'!$C$2:$J$361,8,false),1)="B","L","")),if(LEFT(VLOOKUP($B302,'Round 2'!$G$2:$J$361,4,false),1)="b","W",if(LEFT(VLOOKUP($B302,'Round 2'!$G$2:$J$361,4,false),1)="a","L","")))</f>
        <v>L</v>
      </c>
      <c r="F302" s="67" t="str">
        <f>iferror(if(LEFT(VLOOKUP($B302,'Round 3'!$B$2:$H$361,7,false),1)="A","W",if(LEFT(VLOOKUP($B302,'Round 3'!$B$2:$H$361,7,false),1)="B","L","")),if(LEFT(VLOOKUP($B302,'Round 3'!$F$2:$H$361,3,false),1)="b","W",if(LEFT(VLOOKUP($B302,'Round 3'!$F$2:$H$361,3,false),1)="a","L","")))</f>
        <v>W</v>
      </c>
      <c r="G302" s="67" t="str">
        <f>iferror(if(LEFT(VLOOKUP($B302,'Round 4'!$B$2:$H$361,7,false),1)="A","W",if(LEFT(VLOOKUP($B302,'Round 4'!$B$2:$H$361,7,false),1)="B","L","")),if(LEFT(VLOOKUP($B302,'Round 4'!$F$2:$H$361,3,false),1)="b","W",if(LEFT(VLOOKUP($B302,'Round 4'!$F$2:$H$361,3,false),1)="a","L","")))</f>
        <v>L</v>
      </c>
      <c r="H302" s="67"/>
      <c r="I302" s="67"/>
      <c r="J302" s="67" t="str">
        <f>iferror(iferror(if(LEFT(VLOOKUP($B302,'Round 7'!$B$2:$H$361,7,false),1)="A","W",if(LEFT(VLOOKUP($B302,'Round 7'!$B$2:$H$361,7,false),1)="B","L","")),if(LEFT(VLOOKUP($B302,'Round 7'!$F$2:$H$361,3,false),1)="b","W",if(LEFT(VLOOKUP($B302,'Round 7'!$F$2:$H$361,3,false),1)="a","L",""))),"")</f>
        <v/>
      </c>
      <c r="K302" s="68" t="str">
        <f>iferror(iferror(if(LEFT(VLOOKUP($B302,'Round 8'!$B$2:$H$361,7,false),1)="A","W",if(LEFT(VLOOKUP($B302,'Round 8'!$B$2:$H$361,7,false),1)="B","L","")),if(LEFT(VLOOKUP($B302,'Round 8'!$F$2:$H$361,3,false),1)="b","W",if(LEFT(VLOOKUP($B302,'Round 8'!$F$2:$H$361,3,false),1)="a","L",""))),"")</f>
        <v/>
      </c>
      <c r="L302" s="68" t="str">
        <f>iferror(iferror(if(LEFT(VLOOKUP($B302,'Round 9'!$B$2:$H$361,7,false),1)="A","W",if(LEFT(VLOOKUP($B302,'Round 9'!$B$2:$H$361,7,false),1)="B","L","")),if(LEFT(VLOOKUP($B302,'Round 9'!$F$2:$H$361,3,false),1)="b","W",if(LEFT(VLOOKUP($B302,'Round 9'!$F$2:$H$361,3,false),1)="a","L",""))),"")</f>
        <v/>
      </c>
      <c r="M302" s="68" t="str">
        <f>iferror(iferror(if(LEFT(VLOOKUP($B302,'Round 10'!$B$2:$H$362,7,false),1)="A","W",if(LEFT(VLOOKUP($B302,'Round 10'!$B$2:$H$362,7,false),1)="B","L","")),if(LEFT(VLOOKUP($B302,'Round 10'!$F$2:$H$362,3,false),1)="b","W",if(LEFT(VLOOKUP($B302,'Round 10'!$F$2:$H$362,3,false),1)="a","L",""))),"")</f>
        <v/>
      </c>
      <c r="N302" s="62" t="s">
        <v>671</v>
      </c>
    </row>
    <row r="303">
      <c r="A303" s="63">
        <v>302.0</v>
      </c>
      <c r="B303" s="64" t="s">
        <v>672</v>
      </c>
      <c r="C303" s="65" t="str">
        <f t="shared" si="1"/>
        <v>2 - 3</v>
      </c>
      <c r="D303" s="67" t="str">
        <f>iferror(if(LEFT(VLOOKUP($B303,'Round 1'!$B$2:$H$361,7,false),1)="A","W",if(LEFT(VLOOKUP($B303,'Round 1'!$B$2:$H$361,7,false),1)="B","L","")),if(LEFT(VLOOKUP($B303,'Round 1'!$F$2:$H$361,3,false),1)="b","W",if(LEFT(VLOOKUP($B303,'Round 1'!$F$2:$H$361,3,false),1)="a","L","")))</f>
        <v>W</v>
      </c>
      <c r="E303" s="67" t="str">
        <f>iferror(if(LEFT(VLOOKUP($B303,'Round 2'!$C$2:$J$361,8,false),1)="A","W",if(LEFT(VLOOKUP($B303,'Round 2'!$C$2:$J$361,8,false),1)="B","L","")),if(LEFT(VLOOKUP($B303,'Round 2'!$G$2:$J$361,4,false),1)="b","W",if(LEFT(VLOOKUP($B303,'Round 2'!$G$2:$J$361,4,false),1)="a","L","")))</f>
        <v>L</v>
      </c>
      <c r="F303" s="67" t="str">
        <f>iferror(if(LEFT(VLOOKUP($B303,'Round 3'!$B$2:$H$361,7,false),1)="A","W",if(LEFT(VLOOKUP($B303,'Round 3'!$B$2:$H$361,7,false),1)="B","L","")),if(LEFT(VLOOKUP($B303,'Round 3'!$F$2:$H$361,3,false),1)="b","W",if(LEFT(VLOOKUP($B303,'Round 3'!$F$2:$H$361,3,false),1)="a","L","")))</f>
        <v>L</v>
      </c>
      <c r="G303" s="67" t="str">
        <f>iferror(if(LEFT(VLOOKUP($B303,'Round 4'!$B$2:$H$361,7,false),1)="A","W",if(LEFT(VLOOKUP($B303,'Round 4'!$B$2:$H$361,7,false),1)="B","L","")),if(LEFT(VLOOKUP($B303,'Round 4'!$F$2:$H$361,3,false),1)="b","W",if(LEFT(VLOOKUP($B303,'Round 4'!$F$2:$H$361,3,false),1)="a","L","")))</f>
        <v>W</v>
      </c>
      <c r="H303" s="67" t="str">
        <f>iferror(if(LEFT(VLOOKUP($B303,'Round 5'!$B$2:$H$361,7,false),1)="A","W",if(LEFT(VLOOKUP($B303,'Round 5'!$B$2:$H$361,7,false),1)="B","L","")),if(LEFT(VLOOKUP($B303,'Round 5'!$F$2:$H$361,3,false),1)="b","W",if(LEFT(VLOOKUP($B303,'Round 5'!$F$2:$H$361,3,false),1)="a","L","")))</f>
        <v>L</v>
      </c>
      <c r="I303" s="67"/>
      <c r="J303" s="67" t="str">
        <f>iferror(iferror(if(LEFT(VLOOKUP($B303,'Round 7'!$B$2:$H$361,7,false),1)="A","W",if(LEFT(VLOOKUP($B303,'Round 7'!$B$2:$H$361,7,false),1)="B","L","")),if(LEFT(VLOOKUP($B303,'Round 7'!$F$2:$H$361,3,false),1)="b","W",if(LEFT(VLOOKUP($B303,'Round 7'!$F$2:$H$361,3,false),1)="a","L",""))),"")</f>
        <v/>
      </c>
      <c r="K303" s="68" t="str">
        <f>iferror(iferror(if(LEFT(VLOOKUP($B303,'Round 8'!$B$2:$H$361,7,false),1)="A","W",if(LEFT(VLOOKUP($B303,'Round 8'!$B$2:$H$361,7,false),1)="B","L","")),if(LEFT(VLOOKUP($B303,'Round 8'!$F$2:$H$361,3,false),1)="b","W",if(LEFT(VLOOKUP($B303,'Round 8'!$F$2:$H$361,3,false),1)="a","L",""))),"")</f>
        <v/>
      </c>
      <c r="L303" s="68" t="str">
        <f>iferror(iferror(if(LEFT(VLOOKUP($B303,'Round 9'!$B$2:$H$361,7,false),1)="A","W",if(LEFT(VLOOKUP($B303,'Round 9'!$B$2:$H$361,7,false),1)="B","L","")),if(LEFT(VLOOKUP($B303,'Round 9'!$F$2:$H$361,3,false),1)="b","W",if(LEFT(VLOOKUP($B303,'Round 9'!$F$2:$H$361,3,false),1)="a","L",""))),"")</f>
        <v/>
      </c>
      <c r="M303" s="68" t="str">
        <f>iferror(iferror(if(LEFT(VLOOKUP($B303,'Round 10'!$B$2:$H$362,7,false),1)="A","W",if(LEFT(VLOOKUP($B303,'Round 10'!$B$2:$H$362,7,false),1)="B","L","")),if(LEFT(VLOOKUP($B303,'Round 10'!$F$2:$H$362,3,false),1)="b","W",if(LEFT(VLOOKUP($B303,'Round 10'!$F$2:$H$362,3,false),1)="a","L",""))),"")</f>
        <v/>
      </c>
      <c r="N303" s="62" t="s">
        <v>673</v>
      </c>
    </row>
    <row r="304">
      <c r="A304" s="63">
        <v>303.0</v>
      </c>
      <c r="B304" s="71" t="s">
        <v>674</v>
      </c>
      <c r="C304" s="65" t="str">
        <f t="shared" si="1"/>
        <v>5 - 3</v>
      </c>
      <c r="D304" s="67" t="str">
        <f>iferror(if(LEFT(VLOOKUP($B304,'Round 1'!$B$2:$H$361,7,false),1)="A","W",if(LEFT(VLOOKUP($B304,'Round 1'!$B$2:$H$361,7,false),1)="B","L","")),if(LEFT(VLOOKUP($B304,'Round 1'!$F$2:$H$361,3,false),1)="b","W",if(LEFT(VLOOKUP($B304,'Round 1'!$F$2:$H$361,3,false),1)="a","L","")))</f>
        <v>W</v>
      </c>
      <c r="E304" s="67" t="str">
        <f>iferror(if(LEFT(VLOOKUP($B304,'Round 2'!$C$2:$J$361,8,false),1)="A","W",if(LEFT(VLOOKUP($B304,'Round 2'!$C$2:$J$361,8,false),1)="B","L","")),if(LEFT(VLOOKUP($B304,'Round 2'!$G$2:$J$361,4,false),1)="b","W",if(LEFT(VLOOKUP($B304,'Round 2'!$G$2:$J$361,4,false),1)="a","L","")))</f>
        <v>W</v>
      </c>
      <c r="F304" s="67" t="str">
        <f>iferror(if(LEFT(VLOOKUP($B304,'Round 3'!$B$2:$H$361,7,false),1)="A","W",if(LEFT(VLOOKUP($B304,'Round 3'!$B$2:$H$361,7,false),1)="B","L","")),if(LEFT(VLOOKUP($B304,'Round 3'!$F$2:$H$361,3,false),1)="b","W",if(LEFT(VLOOKUP($B304,'Round 3'!$F$2:$H$361,3,false),1)="a","L","")))</f>
        <v>W</v>
      </c>
      <c r="G304" s="67" t="str">
        <f>iferror(if(LEFT(VLOOKUP($B304,'Round 4'!$B$2:$H$361,7,false),1)="A","W",if(LEFT(VLOOKUP($B304,'Round 4'!$B$2:$H$361,7,false),1)="B","L","")),if(LEFT(VLOOKUP($B304,'Round 4'!$F$2:$H$361,3,false),1)="b","W",if(LEFT(VLOOKUP($B304,'Round 4'!$F$2:$H$361,3,false),1)="a","L","")))</f>
        <v>L</v>
      </c>
      <c r="H304" s="67" t="str">
        <f>iferror(if(LEFT(VLOOKUP($B304,'Round 5'!$B$2:$H$361,7,false),1)="A","W",if(LEFT(VLOOKUP($B304,'Round 5'!$B$2:$H$361,7,false),1)="B","L","")),if(LEFT(VLOOKUP($B304,'Round 5'!$F$2:$H$361,3,false),1)="b","W",if(LEFT(VLOOKUP($B304,'Round 5'!$F$2:$H$361,3,false),1)="a","L","")))</f>
        <v>W</v>
      </c>
      <c r="I304" s="67" t="str">
        <f>iferror(if(LEFT(VLOOKUP($B304,'Round 6'!$B$2:$H$361,7,false),1)="A","W",if(LEFT(VLOOKUP($B304,'Round 6'!$B$2:$H$361,7,false),1)="B","L","")),if(LEFT(VLOOKUP($B304,'Round 6'!$F$2:$H$361,3,false),1)="b","W",if(LEFT(VLOOKUP($B304,'Round 6'!$F$2:$H$361,3,false),1)="a","L","")))</f>
        <v>L</v>
      </c>
      <c r="J304" s="67" t="str">
        <f>iferror(iferror(if(LEFT(VLOOKUP($B304,'Round 7'!$B$2:$H$361,7,false),1)="A","W",if(LEFT(VLOOKUP($B304,'Round 7'!$B$2:$H$361,7,false),1)="B","L","")),if(LEFT(VLOOKUP($B304,'Round 7'!$F$2:$H$361,3,false),1)="b","W",if(LEFT(VLOOKUP($B304,'Round 7'!$F$2:$H$361,3,false),1)="a","L",""))),"")</f>
        <v>W</v>
      </c>
      <c r="K304" s="68" t="str">
        <f>iferror(iferror(if(LEFT(VLOOKUP($B304,'Round 8'!$B$2:$H$361,7,false),1)="A","W",if(LEFT(VLOOKUP($B304,'Round 8'!$B$2:$H$361,7,false),1)="B","L","")),if(LEFT(VLOOKUP($B304,'Round 8'!$F$2:$H$361,3,false),1)="b","W",if(LEFT(VLOOKUP($B304,'Round 8'!$F$2:$H$361,3,false),1)="a","L",""))),"")</f>
        <v>L</v>
      </c>
      <c r="L304" s="68" t="str">
        <f>iferror(iferror(if(LEFT(VLOOKUP($B304,'Round 9'!$B$2:$H$361,7,false),1)="A","W",if(LEFT(VLOOKUP($B304,'Round 9'!$B$2:$H$361,7,false),1)="B","L","")),if(LEFT(VLOOKUP($B304,'Round 9'!$F$2:$H$361,3,false),1)="b","W",if(LEFT(VLOOKUP($B304,'Round 9'!$F$2:$H$361,3,false),1)="a","L",""))),"")</f>
        <v/>
      </c>
      <c r="M304" s="68" t="str">
        <f>iferror(iferror(if(LEFT(VLOOKUP($B304,'Round 10'!$B$2:$H$362,7,false),1)="A","W",if(LEFT(VLOOKUP($B304,'Round 10'!$B$2:$H$362,7,false),1)="B","L","")),if(LEFT(VLOOKUP($B304,'Round 10'!$F$2:$H$362,3,false),1)="b","W",if(LEFT(VLOOKUP($B304,'Round 10'!$F$2:$H$362,3,false),1)="a","L",""))),"")</f>
        <v/>
      </c>
      <c r="N304" s="62" t="s">
        <v>675</v>
      </c>
    </row>
    <row r="305">
      <c r="A305" s="63">
        <v>304.0</v>
      </c>
      <c r="B305" s="71" t="s">
        <v>676</v>
      </c>
      <c r="C305" s="65" t="str">
        <f t="shared" si="1"/>
        <v>4 - 3</v>
      </c>
      <c r="D305" s="67" t="str">
        <f>iferror(if(LEFT(VLOOKUP($B305,'Round 1'!$B$2:$H$361,7,false),1)="A","W",if(LEFT(VLOOKUP($B305,'Round 1'!$B$2:$H$361,7,false),1)="B","L","")),if(LEFT(VLOOKUP($B305,'Round 1'!$F$2:$H$361,3,false),1)="b","W",if(LEFT(VLOOKUP($B305,'Round 1'!$F$2:$H$361,3,false),1)="a","L","")))</f>
        <v>W</v>
      </c>
      <c r="E305" s="67" t="str">
        <f>iferror(if(LEFT(VLOOKUP($B305,'Round 2'!$C$2:$J$361,8,false),1)="A","W",if(LEFT(VLOOKUP($B305,'Round 2'!$C$2:$J$361,8,false),1)="B","L","")),if(LEFT(VLOOKUP($B305,'Round 2'!$G$2:$J$361,4,false),1)="b","W",if(LEFT(VLOOKUP($B305,'Round 2'!$G$2:$J$361,4,false),1)="a","L","")))</f>
        <v>W</v>
      </c>
      <c r="F305" s="67" t="str">
        <f>iferror(if(LEFT(VLOOKUP($B305,'Round 3'!$B$2:$H$361,7,false),1)="A","W",if(LEFT(VLOOKUP($B305,'Round 3'!$B$2:$H$361,7,false),1)="B","L","")),if(LEFT(VLOOKUP($B305,'Round 3'!$F$2:$H$361,3,false),1)="b","W",if(LEFT(VLOOKUP($B305,'Round 3'!$F$2:$H$361,3,false),1)="a","L","")))</f>
        <v>L</v>
      </c>
      <c r="G305" s="67" t="str">
        <f>iferror(if(LEFT(VLOOKUP($B305,'Round 4'!$B$2:$H$361,7,false),1)="A","W",if(LEFT(VLOOKUP($B305,'Round 4'!$B$2:$H$361,7,false),1)="B","L","")),if(LEFT(VLOOKUP($B305,'Round 4'!$F$2:$H$361,3,false),1)="b","W",if(LEFT(VLOOKUP($B305,'Round 4'!$F$2:$H$361,3,false),1)="a","L","")))</f>
        <v>L</v>
      </c>
      <c r="H305" s="67" t="str">
        <f>iferror(if(LEFT(VLOOKUP($B305,'Round 5'!$B$2:$H$361,7,false),1)="A","W",if(LEFT(VLOOKUP($B305,'Round 5'!$B$2:$H$361,7,false),1)="B","L","")),if(LEFT(VLOOKUP($B305,'Round 5'!$F$2:$H$361,3,false),1)="b","W",if(LEFT(VLOOKUP($B305,'Round 5'!$F$2:$H$361,3,false),1)="a","L","")))</f>
        <v>W</v>
      </c>
      <c r="I305" s="67" t="str">
        <f>iferror(if(LEFT(VLOOKUP($B305,'Round 6'!$B$2:$H$361,7,false),1)="A","W",if(LEFT(VLOOKUP($B305,'Round 6'!$B$2:$H$361,7,false),1)="B","L","")),if(LEFT(VLOOKUP($B305,'Round 6'!$F$2:$H$361,3,false),1)="b","W",if(LEFT(VLOOKUP($B305,'Round 6'!$F$2:$H$361,3,false),1)="a","L","")))</f>
        <v>W</v>
      </c>
      <c r="J305" s="67" t="str">
        <f>iferror(iferror(if(LEFT(VLOOKUP($B305,'Round 7'!$B$2:$H$361,7,false),1)="A","W",if(LEFT(VLOOKUP($B305,'Round 7'!$B$2:$H$361,7,false),1)="B","L","")),if(LEFT(VLOOKUP($B305,'Round 7'!$F$2:$H$361,3,false),1)="b","W",if(LEFT(VLOOKUP($B305,'Round 7'!$F$2:$H$361,3,false),1)="a","L",""))),"")</f>
        <v>L</v>
      </c>
      <c r="K305" s="68" t="str">
        <f>iferror(iferror(if(LEFT(VLOOKUP($B305,'Round 8'!$B$2:$H$361,7,false),1)="A","W",if(LEFT(VLOOKUP($B305,'Round 8'!$B$2:$H$361,7,false),1)="B","L","")),if(LEFT(VLOOKUP($B305,'Round 8'!$F$2:$H$361,3,false),1)="b","W",if(LEFT(VLOOKUP($B305,'Round 8'!$F$2:$H$361,3,false),1)="a","L",""))),"")</f>
        <v/>
      </c>
      <c r="L305" s="68" t="str">
        <f>iferror(iferror(if(LEFT(VLOOKUP($B305,'Round 9'!$B$2:$H$361,7,false),1)="A","W",if(LEFT(VLOOKUP($B305,'Round 9'!$B$2:$H$361,7,false),1)="B","L","")),if(LEFT(VLOOKUP($B305,'Round 9'!$F$2:$H$361,3,false),1)="b","W",if(LEFT(VLOOKUP($B305,'Round 9'!$F$2:$H$361,3,false),1)="a","L",""))),"")</f>
        <v/>
      </c>
      <c r="M305" s="68" t="str">
        <f>iferror(iferror(if(LEFT(VLOOKUP($B305,'Round 10'!$B$2:$H$362,7,false),1)="A","W",if(LEFT(VLOOKUP($B305,'Round 10'!$B$2:$H$362,7,false),1)="B","L","")),if(LEFT(VLOOKUP($B305,'Round 10'!$F$2:$H$362,3,false),1)="b","W",if(LEFT(VLOOKUP($B305,'Round 10'!$F$2:$H$362,3,false),1)="a","L",""))),"")</f>
        <v/>
      </c>
      <c r="N305" s="62" t="s">
        <v>677</v>
      </c>
    </row>
    <row r="306">
      <c r="A306" s="63">
        <v>305.0</v>
      </c>
      <c r="B306" s="64" t="s">
        <v>678</v>
      </c>
      <c r="C306" s="65" t="str">
        <f t="shared" si="1"/>
        <v>0 - 3</v>
      </c>
      <c r="D306" s="67" t="str">
        <f>iferror(if(LEFT(VLOOKUP($B306,'Round 1'!$B$2:$H$361,7,false),1)="A","W",if(LEFT(VLOOKUP($B306,'Round 1'!$B$2:$H$361,7,false),1)="B","L","")),if(LEFT(VLOOKUP($B306,'Round 1'!$F$2:$H$361,3,false),1)="b","W",if(LEFT(VLOOKUP($B306,'Round 1'!$F$2:$H$361,3,false),1)="a","L","")))</f>
        <v>L</v>
      </c>
      <c r="E306" s="67" t="str">
        <f>iferror(if(LEFT(VLOOKUP($B306,'Round 2'!$C$2:$J$361,8,false),1)="A","W",if(LEFT(VLOOKUP($B306,'Round 2'!$C$2:$J$361,8,false),1)="B","L","")),if(LEFT(VLOOKUP($B306,'Round 2'!$G$2:$J$361,4,false),1)="b","W",if(LEFT(VLOOKUP($B306,'Round 2'!$G$2:$J$361,4,false),1)="a","L","")))</f>
        <v>L</v>
      </c>
      <c r="F306" s="67" t="str">
        <f>iferror(if(LEFT(VLOOKUP($B306,'Round 3'!$B$2:$H$361,7,false),1)="A","W",if(LEFT(VLOOKUP($B306,'Round 3'!$B$2:$H$361,7,false),1)="B","L","")),if(LEFT(VLOOKUP($B306,'Round 3'!$F$2:$H$361,3,false),1)="b","W",if(LEFT(VLOOKUP($B306,'Round 3'!$F$2:$H$361,3,false),1)="a","L","")))</f>
        <v>L</v>
      </c>
      <c r="G306" s="67"/>
      <c r="H306" s="67"/>
      <c r="I306" s="67"/>
      <c r="J306" s="67" t="str">
        <f>iferror(iferror(if(LEFT(VLOOKUP($B306,'Round 7'!$B$2:$H$361,7,false),1)="A","W",if(LEFT(VLOOKUP($B306,'Round 7'!$B$2:$H$361,7,false),1)="B","L","")),if(LEFT(VLOOKUP($B306,'Round 7'!$F$2:$H$361,3,false),1)="b","W",if(LEFT(VLOOKUP($B306,'Round 7'!$F$2:$H$361,3,false),1)="a","L",""))),"")</f>
        <v/>
      </c>
      <c r="K306" s="68" t="str">
        <f>iferror(iferror(if(LEFT(VLOOKUP($B306,'Round 8'!$B$2:$H$361,7,false),1)="A","W",if(LEFT(VLOOKUP($B306,'Round 8'!$B$2:$H$361,7,false),1)="B","L","")),if(LEFT(VLOOKUP($B306,'Round 8'!$F$2:$H$361,3,false),1)="b","W",if(LEFT(VLOOKUP($B306,'Round 8'!$F$2:$H$361,3,false),1)="a","L",""))),"")</f>
        <v/>
      </c>
      <c r="L306" s="68" t="str">
        <f>iferror(iferror(if(LEFT(VLOOKUP($B306,'Round 9'!$B$2:$H$361,7,false),1)="A","W",if(LEFT(VLOOKUP($B306,'Round 9'!$B$2:$H$361,7,false),1)="B","L","")),if(LEFT(VLOOKUP($B306,'Round 9'!$F$2:$H$361,3,false),1)="b","W",if(LEFT(VLOOKUP($B306,'Round 9'!$F$2:$H$361,3,false),1)="a","L",""))),"")</f>
        <v/>
      </c>
      <c r="M306" s="68" t="str">
        <f>iferror(iferror(if(LEFT(VLOOKUP($B306,'Round 10'!$B$2:$H$362,7,false),1)="A","W",if(LEFT(VLOOKUP($B306,'Round 10'!$B$2:$H$362,7,false),1)="B","L","")),if(LEFT(VLOOKUP($B306,'Round 10'!$F$2:$H$362,3,false),1)="b","W",if(LEFT(VLOOKUP($B306,'Round 10'!$F$2:$H$362,3,false),1)="a","L",""))),"")</f>
        <v/>
      </c>
      <c r="N306" s="72" t="s">
        <v>144</v>
      </c>
    </row>
    <row r="307">
      <c r="A307" s="63">
        <v>306.0</v>
      </c>
      <c r="B307" s="64" t="s">
        <v>679</v>
      </c>
      <c r="C307" s="65" t="str">
        <f t="shared" si="1"/>
        <v>0 - 3</v>
      </c>
      <c r="D307" s="67" t="str">
        <f>iferror(if(LEFT(VLOOKUP($B307,'Round 1'!$B$2:$H$361,7,false),1)="A","W",if(LEFT(VLOOKUP($B307,'Round 1'!$B$2:$H$361,7,false),1)="B","L","")),if(LEFT(VLOOKUP($B307,'Round 1'!$F$2:$H$361,3,false),1)="b","W",if(LEFT(VLOOKUP($B307,'Round 1'!$F$2:$H$361,3,false),1)="a","L","")))</f>
        <v>L</v>
      </c>
      <c r="E307" s="67" t="str">
        <f>iferror(if(LEFT(VLOOKUP($B307,'Round 2'!$C$2:$J$361,8,false),1)="A","W",if(LEFT(VLOOKUP($B307,'Round 2'!$C$2:$J$361,8,false),1)="B","L","")),if(LEFT(VLOOKUP($B307,'Round 2'!$G$2:$J$361,4,false),1)="b","W",if(LEFT(VLOOKUP($B307,'Round 2'!$G$2:$J$361,4,false),1)="a","L","")))</f>
        <v>L</v>
      </c>
      <c r="F307" s="67" t="str">
        <f>iferror(if(LEFT(VLOOKUP($B307,'Round 3'!$B$2:$H$361,7,false),1)="A","W",if(LEFT(VLOOKUP($B307,'Round 3'!$B$2:$H$361,7,false),1)="B","L","")),if(LEFT(VLOOKUP($B307,'Round 3'!$F$2:$H$361,3,false),1)="b","W",if(LEFT(VLOOKUP($B307,'Round 3'!$F$2:$H$361,3,false),1)="a","L","")))</f>
        <v>L</v>
      </c>
      <c r="G307" s="67"/>
      <c r="H307" s="67"/>
      <c r="I307" s="67"/>
      <c r="J307" s="67" t="str">
        <f>iferror(iferror(if(LEFT(VLOOKUP($B307,'Round 7'!$B$2:$H$361,7,false),1)="A","W",if(LEFT(VLOOKUP($B307,'Round 7'!$B$2:$H$361,7,false),1)="B","L","")),if(LEFT(VLOOKUP($B307,'Round 7'!$F$2:$H$361,3,false),1)="b","W",if(LEFT(VLOOKUP($B307,'Round 7'!$F$2:$H$361,3,false),1)="a","L",""))),"")</f>
        <v/>
      </c>
      <c r="K307" s="68" t="str">
        <f>iferror(iferror(if(LEFT(VLOOKUP($B307,'Round 8'!$B$2:$H$361,7,false),1)="A","W",if(LEFT(VLOOKUP($B307,'Round 8'!$B$2:$H$361,7,false),1)="B","L","")),if(LEFT(VLOOKUP($B307,'Round 8'!$F$2:$H$361,3,false),1)="b","W",if(LEFT(VLOOKUP($B307,'Round 8'!$F$2:$H$361,3,false),1)="a","L",""))),"")</f>
        <v/>
      </c>
      <c r="L307" s="68" t="str">
        <f>iferror(iferror(if(LEFT(VLOOKUP($B307,'Round 9'!$B$2:$H$361,7,false),1)="A","W",if(LEFT(VLOOKUP($B307,'Round 9'!$B$2:$H$361,7,false),1)="B","L","")),if(LEFT(VLOOKUP($B307,'Round 9'!$F$2:$H$361,3,false),1)="b","W",if(LEFT(VLOOKUP($B307,'Round 9'!$F$2:$H$361,3,false),1)="a","L",""))),"")</f>
        <v/>
      </c>
      <c r="M307" s="68" t="str">
        <f>iferror(iferror(if(LEFT(VLOOKUP($B307,'Round 10'!$B$2:$H$362,7,false),1)="A","W",if(LEFT(VLOOKUP($B307,'Round 10'!$B$2:$H$362,7,false),1)="B","L","")),if(LEFT(VLOOKUP($B307,'Round 10'!$F$2:$H$362,3,false),1)="b","W",if(LEFT(VLOOKUP($B307,'Round 10'!$F$2:$H$362,3,false),1)="a","L",""))),"")</f>
        <v/>
      </c>
      <c r="N307" s="72" t="s">
        <v>144</v>
      </c>
    </row>
    <row r="308">
      <c r="A308" s="63">
        <v>307.0</v>
      </c>
      <c r="B308" s="64" t="s">
        <v>680</v>
      </c>
      <c r="C308" s="65" t="str">
        <f t="shared" si="1"/>
        <v>5 - 3</v>
      </c>
      <c r="D308" s="67" t="str">
        <f>iferror(if(LEFT(VLOOKUP($B308,'Round 1'!$B$2:$H$361,7,false),1)="A","W",if(LEFT(VLOOKUP($B308,'Round 1'!$B$2:$H$361,7,false),1)="B","L","")),if(LEFT(VLOOKUP($B308,'Round 1'!$F$2:$H$361,3,false),1)="b","W",if(LEFT(VLOOKUP($B308,'Round 1'!$F$2:$H$361,3,false),1)="a","L","")))</f>
        <v>W</v>
      </c>
      <c r="E308" s="67" t="str">
        <f>iferror(if(LEFT(VLOOKUP($B308,'Round 2'!$C$2:$J$361,8,false),1)="A","W",if(LEFT(VLOOKUP($B308,'Round 2'!$C$2:$J$361,8,false),1)="B","L","")),if(LEFT(VLOOKUP($B308,'Round 2'!$G$2:$J$361,4,false),1)="b","W",if(LEFT(VLOOKUP($B308,'Round 2'!$G$2:$J$361,4,false),1)="a","L","")))</f>
        <v>W</v>
      </c>
      <c r="F308" s="67" t="str">
        <f>iferror(if(LEFT(VLOOKUP($B308,'Round 3'!$B$2:$H$361,7,false),1)="A","W",if(LEFT(VLOOKUP($B308,'Round 3'!$B$2:$H$361,7,false),1)="B","L","")),if(LEFT(VLOOKUP($B308,'Round 3'!$F$2:$H$361,3,false),1)="b","W",if(LEFT(VLOOKUP($B308,'Round 3'!$F$2:$H$361,3,false),1)="a","L","")))</f>
        <v>W</v>
      </c>
      <c r="G308" s="67" t="str">
        <f>iferror(if(LEFT(VLOOKUP($B308,'Round 4'!$B$2:$H$361,7,false),1)="A","W",if(LEFT(VLOOKUP($B308,'Round 4'!$B$2:$H$361,7,false),1)="B","L","")),if(LEFT(VLOOKUP($B308,'Round 4'!$F$2:$H$361,3,false),1)="b","W",if(LEFT(VLOOKUP($B308,'Round 4'!$F$2:$H$361,3,false),1)="a","L","")))</f>
        <v>L</v>
      </c>
      <c r="H308" s="67" t="str">
        <f>iferror(if(LEFT(VLOOKUP($B308,'Round 5'!$B$2:$H$361,7,false),1)="A","W",if(LEFT(VLOOKUP($B308,'Round 5'!$B$2:$H$361,7,false),1)="B","L","")),if(LEFT(VLOOKUP($B308,'Round 5'!$F$2:$H$361,3,false),1)="b","W",if(LEFT(VLOOKUP($B308,'Round 5'!$F$2:$H$361,3,false),1)="a","L","")))</f>
        <v>W</v>
      </c>
      <c r="I308" s="67" t="str">
        <f>iferror(if(LEFT(VLOOKUP($B308,'Round 6'!$B$2:$H$361,7,false),1)="A","W",if(LEFT(VLOOKUP($B308,'Round 6'!$B$2:$H$361,7,false),1)="B","L","")),if(LEFT(VLOOKUP($B308,'Round 6'!$F$2:$H$361,3,false),1)="b","W",if(LEFT(VLOOKUP($B308,'Round 6'!$F$2:$H$361,3,false),1)="a","L","")))</f>
        <v>L</v>
      </c>
      <c r="J308" s="67" t="str">
        <f>iferror(iferror(if(LEFT(VLOOKUP($B308,'Round 7'!$B$2:$H$361,7,false),1)="A","W",if(LEFT(VLOOKUP($B308,'Round 7'!$B$2:$H$361,7,false),1)="B","L","")),if(LEFT(VLOOKUP($B308,'Round 7'!$F$2:$H$361,3,false),1)="b","W",if(LEFT(VLOOKUP($B308,'Round 7'!$F$2:$H$361,3,false),1)="a","L",""))),"")</f>
        <v>W</v>
      </c>
      <c r="K308" s="68" t="str">
        <f>iferror(iferror(if(LEFT(VLOOKUP($B308,'Round 8'!$B$2:$H$361,7,false),1)="A","W",if(LEFT(VLOOKUP($B308,'Round 8'!$B$2:$H$361,7,false),1)="B","L","")),if(LEFT(VLOOKUP($B308,'Round 8'!$F$2:$H$361,3,false),1)="b","W",if(LEFT(VLOOKUP($B308,'Round 8'!$F$2:$H$361,3,false),1)="a","L",""))),"")</f>
        <v>L</v>
      </c>
      <c r="L308" s="68" t="str">
        <f>iferror(iferror(if(LEFT(VLOOKUP($B308,'Round 9'!$B$2:$H$361,7,false),1)="A","W",if(LEFT(VLOOKUP($B308,'Round 9'!$B$2:$H$361,7,false),1)="B","L","")),if(LEFT(VLOOKUP($B308,'Round 9'!$F$2:$H$361,3,false),1)="b","W",if(LEFT(VLOOKUP($B308,'Round 9'!$F$2:$H$361,3,false),1)="a","L",""))),"")</f>
        <v/>
      </c>
      <c r="M308" s="68" t="str">
        <f>iferror(iferror(if(LEFT(VLOOKUP($B308,'Round 10'!$B$2:$H$362,7,false),1)="A","W",if(LEFT(VLOOKUP($B308,'Round 10'!$B$2:$H$362,7,false),1)="B","L","")),if(LEFT(VLOOKUP($B308,'Round 10'!$F$2:$H$362,3,false),1)="b","W",if(LEFT(VLOOKUP($B308,'Round 10'!$F$2:$H$362,3,false),1)="a","L",""))),"")</f>
        <v/>
      </c>
      <c r="N308" s="62" t="s">
        <v>681</v>
      </c>
    </row>
    <row r="309">
      <c r="A309" s="63">
        <v>308.0</v>
      </c>
      <c r="B309" s="64" t="s">
        <v>682</v>
      </c>
      <c r="C309" s="65" t="str">
        <f t="shared" si="1"/>
        <v>2 - 3</v>
      </c>
      <c r="D309" s="67" t="str">
        <f>iferror(if(LEFT(VLOOKUP($B309,'Round 1'!$B$2:$H$361,7,false),1)="A","W",if(LEFT(VLOOKUP($B309,'Round 1'!$B$2:$H$361,7,false),1)="B","L","")),if(LEFT(VLOOKUP($B309,'Round 1'!$F$2:$H$361,3,false),1)="b","W",if(LEFT(VLOOKUP($B309,'Round 1'!$F$2:$H$361,3,false),1)="a","L","")))</f>
        <v>W</v>
      </c>
      <c r="E309" s="67" t="str">
        <f>iferror(if(LEFT(VLOOKUP($B309,'Round 2'!$C$2:$J$361,8,false),1)="A","W",if(LEFT(VLOOKUP($B309,'Round 2'!$C$2:$J$361,8,false),1)="B","L","")),if(LEFT(VLOOKUP($B309,'Round 2'!$G$2:$J$361,4,false),1)="b","W",if(LEFT(VLOOKUP($B309,'Round 2'!$G$2:$J$361,4,false),1)="a","L","")))</f>
        <v>L</v>
      </c>
      <c r="F309" s="67" t="str">
        <f>iferror(if(LEFT(VLOOKUP($B309,'Round 3'!$B$2:$H$361,7,false),1)="A","W",if(LEFT(VLOOKUP($B309,'Round 3'!$B$2:$H$361,7,false),1)="B","L","")),if(LEFT(VLOOKUP($B309,'Round 3'!$F$2:$H$361,3,false),1)="b","W",if(LEFT(VLOOKUP($B309,'Round 3'!$F$2:$H$361,3,false),1)="a","L","")))</f>
        <v>L</v>
      </c>
      <c r="G309" s="67" t="str">
        <f>iferror(if(LEFT(VLOOKUP($B309,'Round 4'!$B$2:$H$361,7,false),1)="A","W",if(LEFT(VLOOKUP($B309,'Round 4'!$B$2:$H$361,7,false),1)="B","L","")),if(LEFT(VLOOKUP($B309,'Round 4'!$F$2:$H$361,3,false),1)="b","W",if(LEFT(VLOOKUP($B309,'Round 4'!$F$2:$H$361,3,false),1)="a","L","")))</f>
        <v>W</v>
      </c>
      <c r="H309" s="67" t="str">
        <f>iferror(if(LEFT(VLOOKUP($B309,'Round 5'!$B$2:$H$361,7,false),1)="A","W",if(LEFT(VLOOKUP($B309,'Round 5'!$B$2:$H$361,7,false),1)="B","L","")),if(LEFT(VLOOKUP($B309,'Round 5'!$F$2:$H$361,3,false),1)="b","W",if(LEFT(VLOOKUP($B309,'Round 5'!$F$2:$H$361,3,false),1)="a","L","")))</f>
        <v>L</v>
      </c>
      <c r="I309" s="67"/>
      <c r="J309" s="67" t="str">
        <f>iferror(iferror(if(LEFT(VLOOKUP($B309,'Round 7'!$B$2:$H$361,7,false),1)="A","W",if(LEFT(VLOOKUP($B309,'Round 7'!$B$2:$H$361,7,false),1)="B","L","")),if(LEFT(VLOOKUP($B309,'Round 7'!$F$2:$H$361,3,false),1)="b","W",if(LEFT(VLOOKUP($B309,'Round 7'!$F$2:$H$361,3,false),1)="a","L",""))),"")</f>
        <v/>
      </c>
      <c r="K309" s="68" t="str">
        <f>iferror(iferror(if(LEFT(VLOOKUP($B309,'Round 8'!$B$2:$H$361,7,false),1)="A","W",if(LEFT(VLOOKUP($B309,'Round 8'!$B$2:$H$361,7,false),1)="B","L","")),if(LEFT(VLOOKUP($B309,'Round 8'!$F$2:$H$361,3,false),1)="b","W",if(LEFT(VLOOKUP($B309,'Round 8'!$F$2:$H$361,3,false),1)="a","L",""))),"")</f>
        <v/>
      </c>
      <c r="L309" s="68" t="str">
        <f>iferror(iferror(if(LEFT(VLOOKUP($B309,'Round 9'!$B$2:$H$361,7,false),1)="A","W",if(LEFT(VLOOKUP($B309,'Round 9'!$B$2:$H$361,7,false),1)="B","L","")),if(LEFT(VLOOKUP($B309,'Round 9'!$F$2:$H$361,3,false),1)="b","W",if(LEFT(VLOOKUP($B309,'Round 9'!$F$2:$H$361,3,false),1)="a","L",""))),"")</f>
        <v/>
      </c>
      <c r="M309" s="68" t="str">
        <f>iferror(iferror(if(LEFT(VLOOKUP($B309,'Round 10'!$B$2:$H$362,7,false),1)="A","W",if(LEFT(VLOOKUP($B309,'Round 10'!$B$2:$H$362,7,false),1)="B","L","")),if(LEFT(VLOOKUP($B309,'Round 10'!$F$2:$H$362,3,false),1)="b","W",if(LEFT(VLOOKUP($B309,'Round 10'!$F$2:$H$362,3,false),1)="a","L",""))),"")</f>
        <v/>
      </c>
      <c r="N309" s="62" t="s">
        <v>683</v>
      </c>
    </row>
    <row r="310">
      <c r="A310" s="63">
        <v>309.0</v>
      </c>
      <c r="B310" s="64" t="s">
        <v>684</v>
      </c>
      <c r="C310" s="65" t="str">
        <f t="shared" si="1"/>
        <v>1 - 3</v>
      </c>
      <c r="D310" s="67" t="str">
        <f>iferror(if(LEFT(VLOOKUP($B310,'Round 1'!$B$2:$H$361,7,false),1)="A","W",if(LEFT(VLOOKUP($B310,'Round 1'!$B$2:$H$361,7,false),1)="B","L","")),if(LEFT(VLOOKUP($B310,'Round 1'!$F$2:$H$361,3,false),1)="b","W",if(LEFT(VLOOKUP($B310,'Round 1'!$F$2:$H$361,3,false),1)="a","L","")))</f>
        <v>L</v>
      </c>
      <c r="E310" s="67" t="str">
        <f>iferror(if(LEFT(VLOOKUP($B310,'Round 2'!$C$2:$J$361,8,false),1)="A","W",if(LEFT(VLOOKUP($B310,'Round 2'!$C$2:$J$361,8,false),1)="B","L","")),if(LEFT(VLOOKUP($B310,'Round 2'!$G$2:$J$361,4,false),1)="b","W",if(LEFT(VLOOKUP($B310,'Round 2'!$G$2:$J$361,4,false),1)="a","L","")))</f>
        <v>W</v>
      </c>
      <c r="F310" s="67" t="str">
        <f>iferror(if(LEFT(VLOOKUP($B310,'Round 3'!$B$2:$H$361,7,false),1)="A","W",if(LEFT(VLOOKUP($B310,'Round 3'!$B$2:$H$361,7,false),1)="B","L","")),if(LEFT(VLOOKUP($B310,'Round 3'!$F$2:$H$361,3,false),1)="b","W",if(LEFT(VLOOKUP($B310,'Round 3'!$F$2:$H$361,3,false),1)="a","L","")))</f>
        <v>L</v>
      </c>
      <c r="G310" s="67" t="str">
        <f>iferror(if(LEFT(VLOOKUP($B310,'Round 4'!$B$2:$H$361,7,false),1)="A","W",if(LEFT(VLOOKUP($B310,'Round 4'!$B$2:$H$361,7,false),1)="B","L","")),if(LEFT(VLOOKUP($B310,'Round 4'!$F$2:$H$361,3,false),1)="b","W",if(LEFT(VLOOKUP($B310,'Round 4'!$F$2:$H$361,3,false),1)="a","L","")))</f>
        <v>L</v>
      </c>
      <c r="H310" s="67"/>
      <c r="I310" s="67"/>
      <c r="J310" s="67" t="str">
        <f>iferror(iferror(if(LEFT(VLOOKUP($B310,'Round 7'!$B$2:$H$361,7,false),1)="A","W",if(LEFT(VLOOKUP($B310,'Round 7'!$B$2:$H$361,7,false),1)="B","L","")),if(LEFT(VLOOKUP($B310,'Round 7'!$F$2:$H$361,3,false),1)="b","W",if(LEFT(VLOOKUP($B310,'Round 7'!$F$2:$H$361,3,false),1)="a","L",""))),"")</f>
        <v/>
      </c>
      <c r="K310" s="68" t="str">
        <f>iferror(iferror(if(LEFT(VLOOKUP($B310,'Round 8'!$B$2:$H$361,7,false),1)="A","W",if(LEFT(VLOOKUP($B310,'Round 8'!$B$2:$H$361,7,false),1)="B","L","")),if(LEFT(VLOOKUP($B310,'Round 8'!$F$2:$H$361,3,false),1)="b","W",if(LEFT(VLOOKUP($B310,'Round 8'!$F$2:$H$361,3,false),1)="a","L",""))),"")</f>
        <v/>
      </c>
      <c r="L310" s="68" t="str">
        <f>iferror(iferror(if(LEFT(VLOOKUP($B310,'Round 9'!$B$2:$H$361,7,false),1)="A","W",if(LEFT(VLOOKUP($B310,'Round 9'!$B$2:$H$361,7,false),1)="B","L","")),if(LEFT(VLOOKUP($B310,'Round 9'!$F$2:$H$361,3,false),1)="b","W",if(LEFT(VLOOKUP($B310,'Round 9'!$F$2:$H$361,3,false),1)="a","L",""))),"")</f>
        <v/>
      </c>
      <c r="M310" s="68" t="str">
        <f>iferror(iferror(if(LEFT(VLOOKUP($B310,'Round 10'!$B$2:$H$362,7,false),1)="A","W",if(LEFT(VLOOKUP($B310,'Round 10'!$B$2:$H$362,7,false),1)="B","L","")),if(LEFT(VLOOKUP($B310,'Round 10'!$F$2:$H$362,3,false),1)="b","W",if(LEFT(VLOOKUP($B310,'Round 10'!$F$2:$H$362,3,false),1)="a","L",""))),"")</f>
        <v/>
      </c>
      <c r="N310" s="62" t="s">
        <v>685</v>
      </c>
    </row>
    <row r="311">
      <c r="A311" s="63">
        <v>310.0</v>
      </c>
      <c r="B311" s="64" t="s">
        <v>686</v>
      </c>
      <c r="C311" s="65" t="str">
        <f t="shared" si="1"/>
        <v>2 - 3</v>
      </c>
      <c r="D311" s="67" t="str">
        <f>iferror(if(LEFT(VLOOKUP($B311,'Round 1'!$B$2:$H$361,7,false),1)="A","W",if(LEFT(VLOOKUP($B311,'Round 1'!$B$2:$H$361,7,false),1)="B","L","")),if(LEFT(VLOOKUP($B311,'Round 1'!$F$2:$H$361,3,false),1)="b","W",if(LEFT(VLOOKUP($B311,'Round 1'!$F$2:$H$361,3,false),1)="a","L","")))</f>
        <v>L</v>
      </c>
      <c r="E311" s="67" t="str">
        <f>iferror(if(LEFT(VLOOKUP($B311,'Round 2'!$C$2:$J$361,8,false),1)="A","W",if(LEFT(VLOOKUP($B311,'Round 2'!$C$2:$J$361,8,false),1)="B","L","")),if(LEFT(VLOOKUP($B311,'Round 2'!$G$2:$J$361,4,false),1)="b","W",if(LEFT(VLOOKUP($B311,'Round 2'!$G$2:$J$361,4,false),1)="a","L","")))</f>
        <v>W</v>
      </c>
      <c r="F311" s="67" t="str">
        <f>iferror(if(LEFT(VLOOKUP($B311,'Round 3'!$B$2:$H$361,7,false),1)="A","W",if(LEFT(VLOOKUP($B311,'Round 3'!$B$2:$H$361,7,false),1)="B","L","")),if(LEFT(VLOOKUP($B311,'Round 3'!$F$2:$H$361,3,false),1)="b","W",if(LEFT(VLOOKUP($B311,'Round 3'!$F$2:$H$361,3,false),1)="a","L","")))</f>
        <v>L</v>
      </c>
      <c r="G311" s="67" t="str">
        <f>iferror(if(LEFT(VLOOKUP($B311,'Round 4'!$B$2:$H$361,7,false),1)="A","W",if(LEFT(VLOOKUP($B311,'Round 4'!$B$2:$H$361,7,false),1)="B","L","")),if(LEFT(VLOOKUP($B311,'Round 4'!$F$2:$H$361,3,false),1)="b","W",if(LEFT(VLOOKUP($B311,'Round 4'!$F$2:$H$361,3,false),1)="a","L","")))</f>
        <v>W</v>
      </c>
      <c r="H311" s="67" t="str">
        <f>iferror(if(LEFT(VLOOKUP($B311,'Round 5'!$B$2:$H$361,7,false),1)="A","W",if(LEFT(VLOOKUP($B311,'Round 5'!$B$2:$H$361,7,false),1)="B","L","")),if(LEFT(VLOOKUP($B311,'Round 5'!$F$2:$H$361,3,false),1)="b","W",if(LEFT(VLOOKUP($B311,'Round 5'!$F$2:$H$361,3,false),1)="a","L","")))</f>
        <v>L</v>
      </c>
      <c r="I311" s="67"/>
      <c r="J311" s="67" t="str">
        <f>iferror(iferror(if(LEFT(VLOOKUP($B311,'Round 7'!$B$2:$H$361,7,false),1)="A","W",if(LEFT(VLOOKUP($B311,'Round 7'!$B$2:$H$361,7,false),1)="B","L","")),if(LEFT(VLOOKUP($B311,'Round 7'!$F$2:$H$361,3,false),1)="b","W",if(LEFT(VLOOKUP($B311,'Round 7'!$F$2:$H$361,3,false),1)="a","L",""))),"")</f>
        <v/>
      </c>
      <c r="K311" s="68" t="str">
        <f>iferror(iferror(if(LEFT(VLOOKUP($B311,'Round 8'!$B$2:$H$361,7,false),1)="A","W",if(LEFT(VLOOKUP($B311,'Round 8'!$B$2:$H$361,7,false),1)="B","L","")),if(LEFT(VLOOKUP($B311,'Round 8'!$F$2:$H$361,3,false),1)="b","W",if(LEFT(VLOOKUP($B311,'Round 8'!$F$2:$H$361,3,false),1)="a","L",""))),"")</f>
        <v/>
      </c>
      <c r="L311" s="68" t="str">
        <f>iferror(iferror(if(LEFT(VLOOKUP($B311,'Round 9'!$B$2:$H$361,7,false),1)="A","W",if(LEFT(VLOOKUP($B311,'Round 9'!$B$2:$H$361,7,false),1)="B","L","")),if(LEFT(VLOOKUP($B311,'Round 9'!$F$2:$H$361,3,false),1)="b","W",if(LEFT(VLOOKUP($B311,'Round 9'!$F$2:$H$361,3,false),1)="a","L",""))),"")</f>
        <v/>
      </c>
      <c r="M311" s="68" t="str">
        <f>iferror(iferror(if(LEFT(VLOOKUP($B311,'Round 10'!$B$2:$H$362,7,false),1)="A","W",if(LEFT(VLOOKUP($B311,'Round 10'!$B$2:$H$362,7,false),1)="B","L","")),if(LEFT(VLOOKUP($B311,'Round 10'!$F$2:$H$362,3,false),1)="b","W",if(LEFT(VLOOKUP($B311,'Round 10'!$F$2:$H$362,3,false),1)="a","L",""))),"")</f>
        <v/>
      </c>
      <c r="N311" s="62" t="s">
        <v>687</v>
      </c>
    </row>
    <row r="312">
      <c r="A312" s="63">
        <v>311.0</v>
      </c>
      <c r="B312" s="64" t="s">
        <v>688</v>
      </c>
      <c r="C312" s="65" t="str">
        <f t="shared" si="1"/>
        <v>1 - 3</v>
      </c>
      <c r="D312" s="67" t="str">
        <f>iferror(if(LEFT(VLOOKUP($B312,'Round 1'!$B$2:$H$361,7,false),1)="A","W",if(LEFT(VLOOKUP($B312,'Round 1'!$B$2:$H$361,7,false),1)="B","L","")),if(LEFT(VLOOKUP($B312,'Round 1'!$F$2:$H$361,3,false),1)="b","W",if(LEFT(VLOOKUP($B312,'Round 1'!$F$2:$H$361,3,false),1)="a","L","")))</f>
        <v>L</v>
      </c>
      <c r="E312" s="67" t="str">
        <f>iferror(if(LEFT(VLOOKUP($B312,'Round 2'!$C$2:$J$361,8,false),1)="A","W",if(LEFT(VLOOKUP($B312,'Round 2'!$C$2:$J$361,8,false),1)="B","L","")),if(LEFT(VLOOKUP($B312,'Round 2'!$G$2:$J$361,4,false),1)="b","W",if(LEFT(VLOOKUP($B312,'Round 2'!$G$2:$J$361,4,false),1)="a","L","")))</f>
        <v>L</v>
      </c>
      <c r="F312" s="67" t="str">
        <f>iferror(if(LEFT(VLOOKUP($B312,'Round 3'!$B$2:$H$361,7,false),1)="A","W",if(LEFT(VLOOKUP($B312,'Round 3'!$B$2:$H$361,7,false),1)="B","L","")),if(LEFT(VLOOKUP($B312,'Round 3'!$F$2:$H$361,3,false),1)="b","W",if(LEFT(VLOOKUP($B312,'Round 3'!$F$2:$H$361,3,false),1)="a","L","")))</f>
        <v>W</v>
      </c>
      <c r="G312" s="67" t="str">
        <f>iferror(if(LEFT(VLOOKUP($B312,'Round 4'!$B$2:$H$361,7,false),1)="A","W",if(LEFT(VLOOKUP($B312,'Round 4'!$B$2:$H$361,7,false),1)="B","L","")),if(LEFT(VLOOKUP($B312,'Round 4'!$F$2:$H$361,3,false),1)="b","W",if(LEFT(VLOOKUP($B312,'Round 4'!$F$2:$H$361,3,false),1)="a","L","")))</f>
        <v>L</v>
      </c>
      <c r="H312" s="67"/>
      <c r="I312" s="67"/>
      <c r="J312" s="67" t="str">
        <f>iferror(iferror(if(LEFT(VLOOKUP($B312,'Round 7'!$B$2:$H$361,7,false),1)="A","W",if(LEFT(VLOOKUP($B312,'Round 7'!$B$2:$H$361,7,false),1)="B","L","")),if(LEFT(VLOOKUP($B312,'Round 7'!$F$2:$H$361,3,false),1)="b","W",if(LEFT(VLOOKUP($B312,'Round 7'!$F$2:$H$361,3,false),1)="a","L",""))),"")</f>
        <v/>
      </c>
      <c r="K312" s="68" t="str">
        <f>iferror(iferror(if(LEFT(VLOOKUP($B312,'Round 8'!$B$2:$H$361,7,false),1)="A","W",if(LEFT(VLOOKUP($B312,'Round 8'!$B$2:$H$361,7,false),1)="B","L","")),if(LEFT(VLOOKUP($B312,'Round 8'!$F$2:$H$361,3,false),1)="b","W",if(LEFT(VLOOKUP($B312,'Round 8'!$F$2:$H$361,3,false),1)="a","L",""))),"")</f>
        <v/>
      </c>
      <c r="L312" s="68" t="str">
        <f>iferror(iferror(if(LEFT(VLOOKUP($B312,'Round 9'!$B$2:$H$361,7,false),1)="A","W",if(LEFT(VLOOKUP($B312,'Round 9'!$B$2:$H$361,7,false),1)="B","L","")),if(LEFT(VLOOKUP($B312,'Round 9'!$F$2:$H$361,3,false),1)="b","W",if(LEFT(VLOOKUP($B312,'Round 9'!$F$2:$H$361,3,false),1)="a","L",""))),"")</f>
        <v/>
      </c>
      <c r="M312" s="68" t="str">
        <f>iferror(iferror(if(LEFT(VLOOKUP($B312,'Round 10'!$B$2:$H$362,7,false),1)="A","W",if(LEFT(VLOOKUP($B312,'Round 10'!$B$2:$H$362,7,false),1)="B","L","")),if(LEFT(VLOOKUP($B312,'Round 10'!$F$2:$H$362,3,false),1)="b","W",if(LEFT(VLOOKUP($B312,'Round 10'!$F$2:$H$362,3,false),1)="a","L",""))),"")</f>
        <v/>
      </c>
      <c r="N312" s="62" t="s">
        <v>689</v>
      </c>
    </row>
    <row r="313">
      <c r="A313" s="63">
        <v>312.0</v>
      </c>
      <c r="B313" s="64" t="s">
        <v>690</v>
      </c>
      <c r="C313" s="65" t="str">
        <f t="shared" si="1"/>
        <v>0 - 3</v>
      </c>
      <c r="D313" s="67" t="str">
        <f>iferror(if(LEFT(VLOOKUP($B313,'Round 1'!$B$2:$H$361,7,false),1)="A","W",if(LEFT(VLOOKUP($B313,'Round 1'!$B$2:$H$361,7,false),1)="B","L","")),if(LEFT(VLOOKUP($B313,'Round 1'!$F$2:$H$361,3,false),1)="b","W",if(LEFT(VLOOKUP($B313,'Round 1'!$F$2:$H$361,3,false),1)="a","L","")))</f>
        <v>L</v>
      </c>
      <c r="E313" s="67" t="str">
        <f>iferror(if(LEFT(VLOOKUP($B313,'Round 2'!$C$2:$J$361,8,false),1)="A","W",if(LEFT(VLOOKUP($B313,'Round 2'!$C$2:$J$361,8,false),1)="B","L","")),if(LEFT(VLOOKUP($B313,'Round 2'!$G$2:$J$361,4,false),1)="b","W",if(LEFT(VLOOKUP($B313,'Round 2'!$G$2:$J$361,4,false),1)="a","L","")))</f>
        <v>L</v>
      </c>
      <c r="F313" s="67" t="str">
        <f>iferror(if(LEFT(VLOOKUP($B313,'Round 3'!$B$2:$H$361,7,false),1)="A","W",if(LEFT(VLOOKUP($B313,'Round 3'!$B$2:$H$361,7,false),1)="B","L","")),if(LEFT(VLOOKUP($B313,'Round 3'!$F$2:$H$361,3,false),1)="b","W",if(LEFT(VLOOKUP($B313,'Round 3'!$F$2:$H$361,3,false),1)="a","L","")))</f>
        <v>L</v>
      </c>
      <c r="G313" s="67"/>
      <c r="H313" s="67"/>
      <c r="I313" s="67"/>
      <c r="J313" s="67" t="str">
        <f>iferror(iferror(if(LEFT(VLOOKUP($B313,'Round 7'!$B$2:$H$361,7,false),1)="A","W",if(LEFT(VLOOKUP($B313,'Round 7'!$B$2:$H$361,7,false),1)="B","L","")),if(LEFT(VLOOKUP($B313,'Round 7'!$F$2:$H$361,3,false),1)="b","W",if(LEFT(VLOOKUP($B313,'Round 7'!$F$2:$H$361,3,false),1)="a","L",""))),"")</f>
        <v/>
      </c>
      <c r="K313" s="68" t="str">
        <f>iferror(iferror(if(LEFT(VLOOKUP($B313,'Round 8'!$B$2:$H$361,7,false),1)="A","W",if(LEFT(VLOOKUP($B313,'Round 8'!$B$2:$H$361,7,false),1)="B","L","")),if(LEFT(VLOOKUP($B313,'Round 8'!$F$2:$H$361,3,false),1)="b","W",if(LEFT(VLOOKUP($B313,'Round 8'!$F$2:$H$361,3,false),1)="a","L",""))),"")</f>
        <v/>
      </c>
      <c r="L313" s="68" t="str">
        <f>iferror(iferror(if(LEFT(VLOOKUP($B313,'Round 9'!$B$2:$H$361,7,false),1)="A","W",if(LEFT(VLOOKUP($B313,'Round 9'!$B$2:$H$361,7,false),1)="B","L","")),if(LEFT(VLOOKUP($B313,'Round 9'!$F$2:$H$361,3,false),1)="b","W",if(LEFT(VLOOKUP($B313,'Round 9'!$F$2:$H$361,3,false),1)="a","L",""))),"")</f>
        <v/>
      </c>
      <c r="M313" s="68" t="str">
        <f>iferror(iferror(if(LEFT(VLOOKUP($B313,'Round 10'!$B$2:$H$362,7,false),1)="A","W",if(LEFT(VLOOKUP($B313,'Round 10'!$B$2:$H$362,7,false),1)="B","L","")),if(LEFT(VLOOKUP($B313,'Round 10'!$F$2:$H$362,3,false),1)="b","W",if(LEFT(VLOOKUP($B313,'Round 10'!$F$2:$H$362,3,false),1)="a","L",""))),"")</f>
        <v/>
      </c>
      <c r="N313" s="62" t="s">
        <v>691</v>
      </c>
    </row>
    <row r="314">
      <c r="A314" s="63">
        <v>313.0</v>
      </c>
      <c r="B314" s="64" t="s">
        <v>692</v>
      </c>
      <c r="C314" s="65" t="str">
        <f t="shared" si="1"/>
        <v>2 - 3</v>
      </c>
      <c r="D314" s="67" t="str">
        <f>iferror(if(LEFT(VLOOKUP($B314,'Round 1'!$B$2:$H$361,7,false),1)="A","W",if(LEFT(VLOOKUP($B314,'Round 1'!$B$2:$H$361,7,false),1)="B","L","")),if(LEFT(VLOOKUP($B314,'Round 1'!$F$2:$H$361,3,false),1)="b","W",if(LEFT(VLOOKUP($B314,'Round 1'!$F$2:$H$361,3,false),1)="a","L","")))</f>
        <v>W</v>
      </c>
      <c r="E314" s="67" t="str">
        <f>iferror(if(LEFT(VLOOKUP($B314,'Round 2'!$C$2:$J$361,8,false),1)="A","W",if(LEFT(VLOOKUP($B314,'Round 2'!$C$2:$J$361,8,false),1)="B","L","")),if(LEFT(VLOOKUP($B314,'Round 2'!$G$2:$J$361,4,false),1)="b","W",if(LEFT(VLOOKUP($B314,'Round 2'!$G$2:$J$361,4,false),1)="a","L","")))</f>
        <v>L</v>
      </c>
      <c r="F314" s="67" t="str">
        <f>iferror(if(LEFT(VLOOKUP($B314,'Round 3'!$B$2:$H$361,7,false),1)="A","W",if(LEFT(VLOOKUP($B314,'Round 3'!$B$2:$H$361,7,false),1)="B","L","")),if(LEFT(VLOOKUP($B314,'Round 3'!$F$2:$H$361,3,false),1)="b","W",if(LEFT(VLOOKUP($B314,'Round 3'!$F$2:$H$361,3,false),1)="a","L","")))</f>
        <v>W</v>
      </c>
      <c r="G314" s="67" t="str">
        <f>iferror(if(LEFT(VLOOKUP($B314,'Round 4'!$B$2:$H$361,7,false),1)="A","W",if(LEFT(VLOOKUP($B314,'Round 4'!$B$2:$H$361,7,false),1)="B","L","")),if(LEFT(VLOOKUP($B314,'Round 4'!$F$2:$H$361,3,false),1)="b","W",if(LEFT(VLOOKUP($B314,'Round 4'!$F$2:$H$361,3,false),1)="a","L","")))</f>
        <v>L</v>
      </c>
      <c r="H314" s="67" t="str">
        <f>iferror(if(LEFT(VLOOKUP($B314,'Round 5'!$B$2:$H$361,7,false),1)="A","W",if(LEFT(VLOOKUP($B314,'Round 5'!$B$2:$H$361,7,false),1)="B","L","")),if(LEFT(VLOOKUP($B314,'Round 5'!$F$2:$H$361,3,false),1)="b","W",if(LEFT(VLOOKUP($B314,'Round 5'!$F$2:$H$361,3,false),1)="a","L","")))</f>
        <v>L</v>
      </c>
      <c r="I314" s="67"/>
      <c r="J314" s="67" t="str">
        <f>iferror(iferror(if(LEFT(VLOOKUP($B314,'Round 7'!$B$2:$H$361,7,false),1)="A","W",if(LEFT(VLOOKUP($B314,'Round 7'!$B$2:$H$361,7,false),1)="B","L","")),if(LEFT(VLOOKUP($B314,'Round 7'!$F$2:$H$361,3,false),1)="b","W",if(LEFT(VLOOKUP($B314,'Round 7'!$F$2:$H$361,3,false),1)="a","L",""))),"")</f>
        <v/>
      </c>
      <c r="K314" s="68" t="str">
        <f>iferror(iferror(if(LEFT(VLOOKUP($B314,'Round 8'!$B$2:$H$361,7,false),1)="A","W",if(LEFT(VLOOKUP($B314,'Round 8'!$B$2:$H$361,7,false),1)="B","L","")),if(LEFT(VLOOKUP($B314,'Round 8'!$F$2:$H$361,3,false),1)="b","W",if(LEFT(VLOOKUP($B314,'Round 8'!$F$2:$H$361,3,false),1)="a","L",""))),"")</f>
        <v/>
      </c>
      <c r="L314" s="68" t="str">
        <f>iferror(iferror(if(LEFT(VLOOKUP($B314,'Round 9'!$B$2:$H$361,7,false),1)="A","W",if(LEFT(VLOOKUP($B314,'Round 9'!$B$2:$H$361,7,false),1)="B","L","")),if(LEFT(VLOOKUP($B314,'Round 9'!$F$2:$H$361,3,false),1)="b","W",if(LEFT(VLOOKUP($B314,'Round 9'!$F$2:$H$361,3,false),1)="a","L",""))),"")</f>
        <v/>
      </c>
      <c r="M314" s="68" t="str">
        <f>iferror(iferror(if(LEFT(VLOOKUP($B314,'Round 10'!$B$2:$H$362,7,false),1)="A","W",if(LEFT(VLOOKUP($B314,'Round 10'!$B$2:$H$362,7,false),1)="B","L","")),if(LEFT(VLOOKUP($B314,'Round 10'!$F$2:$H$362,3,false),1)="b","W",if(LEFT(VLOOKUP($B314,'Round 10'!$F$2:$H$362,3,false),1)="a","L",""))),"")</f>
        <v/>
      </c>
      <c r="N314" s="62" t="s">
        <v>693</v>
      </c>
    </row>
    <row r="315">
      <c r="A315" s="63">
        <v>314.0</v>
      </c>
      <c r="B315" s="64" t="s">
        <v>694</v>
      </c>
      <c r="C315" s="65" t="str">
        <f t="shared" si="1"/>
        <v>4 - 3</v>
      </c>
      <c r="D315" s="67" t="str">
        <f>iferror(if(LEFT(VLOOKUP($B315,'Round 1'!$B$2:$H$361,7,false),1)="A","W",if(LEFT(VLOOKUP($B315,'Round 1'!$B$2:$H$361,7,false),1)="B","L","")),if(LEFT(VLOOKUP($B315,'Round 1'!$F$2:$H$361,3,false),1)="b","W",if(LEFT(VLOOKUP($B315,'Round 1'!$F$2:$H$361,3,false),1)="a","L","")))</f>
        <v>L</v>
      </c>
      <c r="E315" s="67" t="str">
        <f>iferror(if(LEFT(VLOOKUP($B315,'Round 2'!$C$2:$J$361,8,false),1)="A","W",if(LEFT(VLOOKUP($B315,'Round 2'!$C$2:$J$361,8,false),1)="B","L","")),if(LEFT(VLOOKUP($B315,'Round 2'!$G$2:$J$361,4,false),1)="b","W",if(LEFT(VLOOKUP($B315,'Round 2'!$G$2:$J$361,4,false),1)="a","L","")))</f>
        <v>L</v>
      </c>
      <c r="F315" s="67" t="str">
        <f>iferror(if(LEFT(VLOOKUP($B315,'Round 3'!$B$2:$H$361,7,false),1)="A","W",if(LEFT(VLOOKUP($B315,'Round 3'!$B$2:$H$361,7,false),1)="B","L","")),if(LEFT(VLOOKUP($B315,'Round 3'!$F$2:$H$361,3,false),1)="b","W",if(LEFT(VLOOKUP($B315,'Round 3'!$F$2:$H$361,3,false),1)="a","L","")))</f>
        <v>W</v>
      </c>
      <c r="G315" s="67" t="str">
        <f>iferror(if(LEFT(VLOOKUP($B315,'Round 4'!$B$2:$H$361,7,false),1)="A","W",if(LEFT(VLOOKUP($B315,'Round 4'!$B$2:$H$361,7,false),1)="B","L","")),if(LEFT(VLOOKUP($B315,'Round 4'!$F$2:$H$361,3,false),1)="b","W",if(LEFT(VLOOKUP($B315,'Round 4'!$F$2:$H$361,3,false),1)="a","L","")))</f>
        <v>W</v>
      </c>
      <c r="H315" s="67" t="str">
        <f>iferror(if(LEFT(VLOOKUP($B315,'Round 5'!$B$2:$H$361,7,false),1)="A","W",if(LEFT(VLOOKUP($B315,'Round 5'!$B$2:$H$361,7,false),1)="B","L","")),if(LEFT(VLOOKUP($B315,'Round 5'!$F$2:$H$361,3,false),1)="b","W",if(LEFT(VLOOKUP($B315,'Round 5'!$F$2:$H$361,3,false),1)="a","L","")))</f>
        <v>W</v>
      </c>
      <c r="I315" s="67" t="str">
        <f>iferror(if(LEFT(VLOOKUP($B315,'Round 6'!$B$2:$H$361,7,false),1)="A","W",if(LEFT(VLOOKUP($B315,'Round 6'!$B$2:$H$361,7,false),1)="B","L","")),if(LEFT(VLOOKUP($B315,'Round 6'!$F$2:$H$361,3,false),1)="b","W",if(LEFT(VLOOKUP($B315,'Round 6'!$F$2:$H$361,3,false),1)="a","L","")))</f>
        <v>W</v>
      </c>
      <c r="J315" s="67" t="str">
        <f>iferror(iferror(if(LEFT(VLOOKUP($B315,'Round 7'!$B$2:$H$361,7,false),1)="A","W",if(LEFT(VLOOKUP($B315,'Round 7'!$B$2:$H$361,7,false),1)="B","L","")),if(LEFT(VLOOKUP($B315,'Round 7'!$F$2:$H$361,3,false),1)="b","W",if(LEFT(VLOOKUP($B315,'Round 7'!$F$2:$H$361,3,false),1)="a","L",""))),"")</f>
        <v>L</v>
      </c>
      <c r="K315" s="68" t="str">
        <f>iferror(iferror(if(LEFT(VLOOKUP($B315,'Round 8'!$B$2:$H$361,7,false),1)="A","W",if(LEFT(VLOOKUP($B315,'Round 8'!$B$2:$H$361,7,false),1)="B","L","")),if(LEFT(VLOOKUP($B315,'Round 8'!$F$2:$H$361,3,false),1)="b","W",if(LEFT(VLOOKUP($B315,'Round 8'!$F$2:$H$361,3,false),1)="a","L",""))),"")</f>
        <v/>
      </c>
      <c r="L315" s="68" t="str">
        <f>iferror(iferror(if(LEFT(VLOOKUP($B315,'Round 9'!$B$2:$H$361,7,false),1)="A","W",if(LEFT(VLOOKUP($B315,'Round 9'!$B$2:$H$361,7,false),1)="B","L","")),if(LEFT(VLOOKUP($B315,'Round 9'!$F$2:$H$361,3,false),1)="b","W",if(LEFT(VLOOKUP($B315,'Round 9'!$F$2:$H$361,3,false),1)="a","L",""))),"")</f>
        <v/>
      </c>
      <c r="M315" s="68" t="str">
        <f>iferror(iferror(if(LEFT(VLOOKUP($B315,'Round 10'!$B$2:$H$362,7,false),1)="A","W",if(LEFT(VLOOKUP($B315,'Round 10'!$B$2:$H$362,7,false),1)="B","L","")),if(LEFT(VLOOKUP($B315,'Round 10'!$F$2:$H$362,3,false),1)="b","W",if(LEFT(VLOOKUP($B315,'Round 10'!$F$2:$H$362,3,false),1)="a","L",""))),"")</f>
        <v/>
      </c>
      <c r="N315" s="62" t="s">
        <v>695</v>
      </c>
    </row>
    <row r="316">
      <c r="A316" s="63">
        <v>315.0</v>
      </c>
      <c r="B316" s="64" t="s">
        <v>696</v>
      </c>
      <c r="C316" s="65" t="str">
        <f t="shared" si="1"/>
        <v>1 - 3</v>
      </c>
      <c r="D316" s="67" t="str">
        <f>iferror(if(LEFT(VLOOKUP($B316,'Round 1'!$B$2:$H$361,7,false),1)="A","W",if(LEFT(VLOOKUP($B316,'Round 1'!$B$2:$H$361,7,false),1)="B","L","")),if(LEFT(VLOOKUP($B316,'Round 1'!$F$2:$H$361,3,false),1)="b","W",if(LEFT(VLOOKUP($B316,'Round 1'!$F$2:$H$361,3,false),1)="a","L","")))</f>
        <v>L</v>
      </c>
      <c r="E316" s="67" t="str">
        <f>iferror(if(LEFT(VLOOKUP($B316,'Round 2'!$C$2:$J$361,8,false),1)="A","W",if(LEFT(VLOOKUP($B316,'Round 2'!$C$2:$J$361,8,false),1)="B","L","")),if(LEFT(VLOOKUP($B316,'Round 2'!$G$2:$J$361,4,false),1)="b","W",if(LEFT(VLOOKUP($B316,'Round 2'!$G$2:$J$361,4,false),1)="a","L","")))</f>
        <v>L</v>
      </c>
      <c r="F316" s="67" t="str">
        <f>iferror(if(LEFT(VLOOKUP($B316,'Round 3'!$B$2:$H$361,7,false),1)="A","W",if(LEFT(VLOOKUP($B316,'Round 3'!$B$2:$H$361,7,false),1)="B","L","")),if(LEFT(VLOOKUP($B316,'Round 3'!$F$2:$H$361,3,false),1)="b","W",if(LEFT(VLOOKUP($B316,'Round 3'!$F$2:$H$361,3,false),1)="a","L","")))</f>
        <v>W</v>
      </c>
      <c r="G316" s="67" t="str">
        <f>iferror(if(LEFT(VLOOKUP($B316,'Round 4'!$B$2:$H$361,7,false),1)="A","W",if(LEFT(VLOOKUP($B316,'Round 4'!$B$2:$H$361,7,false),1)="B","L","")),if(LEFT(VLOOKUP($B316,'Round 4'!$F$2:$H$361,3,false),1)="b","W",if(LEFT(VLOOKUP($B316,'Round 4'!$F$2:$H$361,3,false),1)="a","L","")))</f>
        <v>L</v>
      </c>
      <c r="H316" s="67"/>
      <c r="I316" s="67"/>
      <c r="J316" s="67" t="str">
        <f>iferror(iferror(if(LEFT(VLOOKUP($B316,'Round 7'!$B$2:$H$361,7,false),1)="A","W",if(LEFT(VLOOKUP($B316,'Round 7'!$B$2:$H$361,7,false),1)="B","L","")),if(LEFT(VLOOKUP($B316,'Round 7'!$F$2:$H$361,3,false),1)="b","W",if(LEFT(VLOOKUP($B316,'Round 7'!$F$2:$H$361,3,false),1)="a","L",""))),"")</f>
        <v/>
      </c>
      <c r="K316" s="68" t="str">
        <f>iferror(iferror(if(LEFT(VLOOKUP($B316,'Round 8'!$B$2:$H$361,7,false),1)="A","W",if(LEFT(VLOOKUP($B316,'Round 8'!$B$2:$H$361,7,false),1)="B","L","")),if(LEFT(VLOOKUP($B316,'Round 8'!$F$2:$H$361,3,false),1)="b","W",if(LEFT(VLOOKUP($B316,'Round 8'!$F$2:$H$361,3,false),1)="a","L",""))),"")</f>
        <v/>
      </c>
      <c r="L316" s="68" t="str">
        <f>iferror(iferror(if(LEFT(VLOOKUP($B316,'Round 9'!$B$2:$H$361,7,false),1)="A","W",if(LEFT(VLOOKUP($B316,'Round 9'!$B$2:$H$361,7,false),1)="B","L","")),if(LEFT(VLOOKUP($B316,'Round 9'!$F$2:$H$361,3,false),1)="b","W",if(LEFT(VLOOKUP($B316,'Round 9'!$F$2:$H$361,3,false),1)="a","L",""))),"")</f>
        <v/>
      </c>
      <c r="M316" s="68" t="str">
        <f>iferror(iferror(if(LEFT(VLOOKUP($B316,'Round 10'!$B$2:$H$362,7,false),1)="A","W",if(LEFT(VLOOKUP($B316,'Round 10'!$B$2:$H$362,7,false),1)="B","L","")),if(LEFT(VLOOKUP($B316,'Round 10'!$F$2:$H$362,3,false),1)="b","W",if(LEFT(VLOOKUP($B316,'Round 10'!$F$2:$H$362,3,false),1)="a","L",""))),"")</f>
        <v/>
      </c>
      <c r="N316" s="62" t="s">
        <v>697</v>
      </c>
    </row>
    <row r="317">
      <c r="A317" s="63">
        <v>316.0</v>
      </c>
      <c r="B317" s="64" t="s">
        <v>698</v>
      </c>
      <c r="C317" s="65" t="str">
        <f t="shared" si="1"/>
        <v>1 - 3</v>
      </c>
      <c r="D317" s="67" t="str">
        <f>iferror(if(LEFT(VLOOKUP($B317,'Round 1'!$B$2:$H$361,7,false),1)="A","W",if(LEFT(VLOOKUP($B317,'Round 1'!$B$2:$H$361,7,false),1)="B","L","")),if(LEFT(VLOOKUP($B317,'Round 1'!$F$2:$H$361,3,false),1)="b","W",if(LEFT(VLOOKUP($B317,'Round 1'!$F$2:$H$361,3,false),1)="a","L","")))</f>
        <v>L</v>
      </c>
      <c r="E317" s="67" t="str">
        <f>iferror(if(LEFT(VLOOKUP($B317,'Round 2'!$C$2:$J$361,8,false),1)="A","W",if(LEFT(VLOOKUP($B317,'Round 2'!$C$2:$J$361,8,false),1)="B","L","")),if(LEFT(VLOOKUP($B317,'Round 2'!$G$2:$J$361,4,false),1)="b","W",if(LEFT(VLOOKUP($B317,'Round 2'!$G$2:$J$361,4,false),1)="a","L","")))</f>
        <v>W</v>
      </c>
      <c r="F317" s="67" t="str">
        <f>iferror(if(LEFT(VLOOKUP($B317,'Round 3'!$B$2:$H$361,7,false),1)="A","W",if(LEFT(VLOOKUP($B317,'Round 3'!$B$2:$H$361,7,false),1)="B","L","")),if(LEFT(VLOOKUP($B317,'Round 3'!$F$2:$H$361,3,false),1)="b","W",if(LEFT(VLOOKUP($B317,'Round 3'!$F$2:$H$361,3,false),1)="a","L","")))</f>
        <v>L</v>
      </c>
      <c r="G317" s="67" t="str">
        <f>iferror(if(LEFT(VLOOKUP($B317,'Round 4'!$B$2:$H$361,7,false),1)="A","W",if(LEFT(VLOOKUP($B317,'Round 4'!$B$2:$H$361,7,false),1)="B","L","")),if(LEFT(VLOOKUP($B317,'Round 4'!$F$2:$H$361,3,false),1)="b","W",if(LEFT(VLOOKUP($B317,'Round 4'!$F$2:$H$361,3,false),1)="a","L","")))</f>
        <v>L</v>
      </c>
      <c r="H317" s="67"/>
      <c r="I317" s="67"/>
      <c r="J317" s="67" t="str">
        <f>iferror(iferror(if(LEFT(VLOOKUP($B317,'Round 7'!$B$2:$H$361,7,false),1)="A","W",if(LEFT(VLOOKUP($B317,'Round 7'!$B$2:$H$361,7,false),1)="B","L","")),if(LEFT(VLOOKUP($B317,'Round 7'!$F$2:$H$361,3,false),1)="b","W",if(LEFT(VLOOKUP($B317,'Round 7'!$F$2:$H$361,3,false),1)="a","L",""))),"")</f>
        <v/>
      </c>
      <c r="K317" s="68" t="str">
        <f>iferror(iferror(if(LEFT(VLOOKUP($B317,'Round 8'!$B$2:$H$361,7,false),1)="A","W",if(LEFT(VLOOKUP($B317,'Round 8'!$B$2:$H$361,7,false),1)="B","L","")),if(LEFT(VLOOKUP($B317,'Round 8'!$F$2:$H$361,3,false),1)="b","W",if(LEFT(VLOOKUP($B317,'Round 8'!$F$2:$H$361,3,false),1)="a","L",""))),"")</f>
        <v/>
      </c>
      <c r="L317" s="68" t="str">
        <f>iferror(iferror(if(LEFT(VLOOKUP($B317,'Round 9'!$B$2:$H$361,7,false),1)="A","W",if(LEFT(VLOOKUP($B317,'Round 9'!$B$2:$H$361,7,false),1)="B","L","")),if(LEFT(VLOOKUP($B317,'Round 9'!$F$2:$H$361,3,false),1)="b","W",if(LEFT(VLOOKUP($B317,'Round 9'!$F$2:$H$361,3,false),1)="a","L",""))),"")</f>
        <v/>
      </c>
      <c r="M317" s="68" t="str">
        <f>iferror(iferror(if(LEFT(VLOOKUP($B317,'Round 10'!$B$2:$H$362,7,false),1)="A","W",if(LEFT(VLOOKUP($B317,'Round 10'!$B$2:$H$362,7,false),1)="B","L","")),if(LEFT(VLOOKUP($B317,'Round 10'!$F$2:$H$362,3,false),1)="b","W",if(LEFT(VLOOKUP($B317,'Round 10'!$F$2:$H$362,3,false),1)="a","L",""))),"")</f>
        <v/>
      </c>
      <c r="N317" s="62" t="s">
        <v>699</v>
      </c>
    </row>
    <row r="318">
      <c r="A318" s="63">
        <v>317.0</v>
      </c>
      <c r="B318" s="64" t="s">
        <v>700</v>
      </c>
      <c r="C318" s="65" t="str">
        <f t="shared" si="1"/>
        <v>2 - 3</v>
      </c>
      <c r="D318" s="67" t="str">
        <f>iferror(if(LEFT(VLOOKUP($B318,'Round 1'!$B$2:$H$361,7,false),1)="A","W",if(LEFT(VLOOKUP($B318,'Round 1'!$B$2:$H$361,7,false),1)="B","L","")),if(LEFT(VLOOKUP($B318,'Round 1'!$F$2:$H$361,3,false),1)="b","W",if(LEFT(VLOOKUP($B318,'Round 1'!$F$2:$H$361,3,false),1)="a","L","")))</f>
        <v>W</v>
      </c>
      <c r="E318" s="67" t="str">
        <f>iferror(if(LEFT(VLOOKUP($B318,'Round 2'!$C$2:$J$361,8,false),1)="A","W",if(LEFT(VLOOKUP($B318,'Round 2'!$C$2:$J$361,8,false),1)="B","L","")),if(LEFT(VLOOKUP($B318,'Round 2'!$G$2:$J$361,4,false),1)="b","W",if(LEFT(VLOOKUP($B318,'Round 2'!$G$2:$J$361,4,false),1)="a","L","")))</f>
        <v>W</v>
      </c>
      <c r="F318" s="67" t="str">
        <f>iferror(if(LEFT(VLOOKUP($B318,'Round 3'!$B$2:$H$361,7,false),1)="A","W",if(LEFT(VLOOKUP($B318,'Round 3'!$B$2:$H$361,7,false),1)="B","L","")),if(LEFT(VLOOKUP($B318,'Round 3'!$F$2:$H$361,3,false),1)="b","W",if(LEFT(VLOOKUP($B318,'Round 3'!$F$2:$H$361,3,false),1)="a","L","")))</f>
        <v>L</v>
      </c>
      <c r="G318" s="67" t="str">
        <f>iferror(if(LEFT(VLOOKUP($B318,'Round 4'!$B$2:$H$361,7,false),1)="A","W",if(LEFT(VLOOKUP($B318,'Round 4'!$B$2:$H$361,7,false),1)="B","L","")),if(LEFT(VLOOKUP($B318,'Round 4'!$F$2:$H$361,3,false),1)="b","W",if(LEFT(VLOOKUP($B318,'Round 4'!$F$2:$H$361,3,false),1)="a","L","")))</f>
        <v>L</v>
      </c>
      <c r="H318" s="67" t="str">
        <f>iferror(if(LEFT(VLOOKUP($B318,'Round 5'!$B$2:$H$361,7,false),1)="A","W",if(LEFT(VLOOKUP($B318,'Round 5'!$B$2:$H$361,7,false),1)="B","L","")),if(LEFT(VLOOKUP($B318,'Round 5'!$F$2:$H$361,3,false),1)="b","W",if(LEFT(VLOOKUP($B318,'Round 5'!$F$2:$H$361,3,false),1)="a","L","")))</f>
        <v>L</v>
      </c>
      <c r="I318" s="67"/>
      <c r="J318" s="67" t="str">
        <f>iferror(iferror(if(LEFT(VLOOKUP($B318,'Round 7'!$B$2:$H$361,7,false),1)="A","W",if(LEFT(VLOOKUP($B318,'Round 7'!$B$2:$H$361,7,false),1)="B","L","")),if(LEFT(VLOOKUP($B318,'Round 7'!$F$2:$H$361,3,false),1)="b","W",if(LEFT(VLOOKUP($B318,'Round 7'!$F$2:$H$361,3,false),1)="a","L",""))),"")</f>
        <v/>
      </c>
      <c r="K318" s="68" t="str">
        <f>iferror(iferror(if(LEFT(VLOOKUP($B318,'Round 8'!$B$2:$H$361,7,false),1)="A","W",if(LEFT(VLOOKUP($B318,'Round 8'!$B$2:$H$361,7,false),1)="B","L","")),if(LEFT(VLOOKUP($B318,'Round 8'!$F$2:$H$361,3,false),1)="b","W",if(LEFT(VLOOKUP($B318,'Round 8'!$F$2:$H$361,3,false),1)="a","L",""))),"")</f>
        <v/>
      </c>
      <c r="L318" s="68" t="str">
        <f>iferror(iferror(if(LEFT(VLOOKUP($B318,'Round 9'!$B$2:$H$361,7,false),1)="A","W",if(LEFT(VLOOKUP($B318,'Round 9'!$B$2:$H$361,7,false),1)="B","L","")),if(LEFT(VLOOKUP($B318,'Round 9'!$F$2:$H$361,3,false),1)="b","W",if(LEFT(VLOOKUP($B318,'Round 9'!$F$2:$H$361,3,false),1)="a","L",""))),"")</f>
        <v/>
      </c>
      <c r="M318" s="68" t="str">
        <f>iferror(iferror(if(LEFT(VLOOKUP($B318,'Round 10'!$B$2:$H$362,7,false),1)="A","W",if(LEFT(VLOOKUP($B318,'Round 10'!$B$2:$H$362,7,false),1)="B","L","")),if(LEFT(VLOOKUP($B318,'Round 10'!$F$2:$H$362,3,false),1)="b","W",if(LEFT(VLOOKUP($B318,'Round 10'!$F$2:$H$362,3,false),1)="a","L",""))),"")</f>
        <v/>
      </c>
      <c r="N318" s="62" t="s">
        <v>701</v>
      </c>
    </row>
    <row r="319">
      <c r="A319" s="63">
        <v>318.0</v>
      </c>
      <c r="B319" s="64" t="s">
        <v>702</v>
      </c>
      <c r="C319" s="65" t="str">
        <f t="shared" si="1"/>
        <v>3 - 3</v>
      </c>
      <c r="D319" s="67" t="str">
        <f>iferror(if(LEFT(VLOOKUP($B319,'Round 1'!$B$2:$H$361,7,false),1)="A","W",if(LEFT(VLOOKUP($B319,'Round 1'!$B$2:$H$361,7,false),1)="B","L","")),if(LEFT(VLOOKUP($B319,'Round 1'!$F$2:$H$361,3,false),1)="b","W",if(LEFT(VLOOKUP($B319,'Round 1'!$F$2:$H$361,3,false),1)="a","L","")))</f>
        <v>L</v>
      </c>
      <c r="E319" s="67" t="str">
        <f>iferror(if(LEFT(VLOOKUP($B319,'Round 2'!$C$2:$J$361,8,false),1)="A","W",if(LEFT(VLOOKUP($B319,'Round 2'!$C$2:$J$361,8,false),1)="B","L","")),if(LEFT(VLOOKUP($B319,'Round 2'!$G$2:$J$361,4,false),1)="b","W",if(LEFT(VLOOKUP($B319,'Round 2'!$G$2:$J$361,4,false),1)="a","L","")))</f>
        <v>W</v>
      </c>
      <c r="F319" s="67" t="str">
        <f>iferror(if(LEFT(VLOOKUP($B319,'Round 3'!$B$2:$H$361,7,false),1)="A","W",if(LEFT(VLOOKUP($B319,'Round 3'!$B$2:$H$361,7,false),1)="B","L","")),if(LEFT(VLOOKUP($B319,'Round 3'!$F$2:$H$361,3,false),1)="b","W",if(LEFT(VLOOKUP($B319,'Round 3'!$F$2:$H$361,3,false),1)="a","L","")))</f>
        <v>W</v>
      </c>
      <c r="G319" s="67" t="str">
        <f>iferror(if(LEFT(VLOOKUP($B319,'Round 4'!$B$2:$H$361,7,false),1)="A","W",if(LEFT(VLOOKUP($B319,'Round 4'!$B$2:$H$361,7,false),1)="B","L","")),if(LEFT(VLOOKUP($B319,'Round 4'!$F$2:$H$361,3,false),1)="b","W",if(LEFT(VLOOKUP($B319,'Round 4'!$F$2:$H$361,3,false),1)="a","L","")))</f>
        <v>L</v>
      </c>
      <c r="H319" s="67" t="str">
        <f>iferror(if(LEFT(VLOOKUP($B319,'Round 5'!$B$2:$H$361,7,false),1)="A","W",if(LEFT(VLOOKUP($B319,'Round 5'!$B$2:$H$361,7,false),1)="B","L","")),if(LEFT(VLOOKUP($B319,'Round 5'!$F$2:$H$361,3,false),1)="b","W",if(LEFT(VLOOKUP($B319,'Round 5'!$F$2:$H$361,3,false),1)="a","L","")))</f>
        <v>W</v>
      </c>
      <c r="I319" s="67" t="str">
        <f>iferror(if(LEFT(VLOOKUP($B319,'Round 6'!$B$2:$H$361,7,false),1)="A","W",if(LEFT(VLOOKUP($B319,'Round 6'!$B$2:$H$361,7,false),1)="B","L","")),if(LEFT(VLOOKUP($B319,'Round 6'!$F$2:$H$361,3,false),1)="b","W",if(LEFT(VLOOKUP($B319,'Round 6'!$F$2:$H$361,3,false),1)="a","L","")))</f>
        <v>L</v>
      </c>
      <c r="J319" s="67" t="str">
        <f>iferror(iferror(if(LEFT(VLOOKUP($B319,'Round 7'!$B$2:$H$361,7,false),1)="A","W",if(LEFT(VLOOKUP($B319,'Round 7'!$B$2:$H$361,7,false),1)="B","L","")),if(LEFT(VLOOKUP($B319,'Round 7'!$F$2:$H$361,3,false),1)="b","W",if(LEFT(VLOOKUP($B319,'Round 7'!$F$2:$H$361,3,false),1)="a","L",""))),"")</f>
        <v/>
      </c>
      <c r="K319" s="68" t="str">
        <f>iferror(iferror(if(LEFT(VLOOKUP($B319,'Round 8'!$B$2:$H$361,7,false),1)="A","W",if(LEFT(VLOOKUP($B319,'Round 8'!$B$2:$H$361,7,false),1)="B","L","")),if(LEFT(VLOOKUP($B319,'Round 8'!$F$2:$H$361,3,false),1)="b","W",if(LEFT(VLOOKUP($B319,'Round 8'!$F$2:$H$361,3,false),1)="a","L",""))),"")</f>
        <v/>
      </c>
      <c r="L319" s="68" t="str">
        <f>iferror(iferror(if(LEFT(VLOOKUP($B319,'Round 9'!$B$2:$H$361,7,false),1)="A","W",if(LEFT(VLOOKUP($B319,'Round 9'!$B$2:$H$361,7,false),1)="B","L","")),if(LEFT(VLOOKUP($B319,'Round 9'!$F$2:$H$361,3,false),1)="b","W",if(LEFT(VLOOKUP($B319,'Round 9'!$F$2:$H$361,3,false),1)="a","L",""))),"")</f>
        <v/>
      </c>
      <c r="M319" s="68" t="str">
        <f>iferror(iferror(if(LEFT(VLOOKUP($B319,'Round 10'!$B$2:$H$362,7,false),1)="A","W",if(LEFT(VLOOKUP($B319,'Round 10'!$B$2:$H$362,7,false),1)="B","L","")),if(LEFT(VLOOKUP($B319,'Round 10'!$F$2:$H$362,3,false),1)="b","W",if(LEFT(VLOOKUP($B319,'Round 10'!$F$2:$H$362,3,false),1)="a","L",""))),"")</f>
        <v/>
      </c>
      <c r="N319" s="62" t="s">
        <v>703</v>
      </c>
    </row>
    <row r="320">
      <c r="A320" s="63">
        <v>319.0</v>
      </c>
      <c r="B320" s="64" t="s">
        <v>704</v>
      </c>
      <c r="C320" s="65" t="str">
        <f t="shared" si="1"/>
        <v>3 - 3</v>
      </c>
      <c r="D320" s="67" t="str">
        <f>iferror(if(LEFT(VLOOKUP($B320,'Round 1'!$B$2:$H$361,7,false),1)="A","W",if(LEFT(VLOOKUP($B320,'Round 1'!$B$2:$H$361,7,false),1)="B","L","")),if(LEFT(VLOOKUP($B320,'Round 1'!$F$2:$H$361,3,false),1)="b","W",if(LEFT(VLOOKUP($B320,'Round 1'!$F$2:$H$361,3,false),1)="a","L","")))</f>
        <v>W</v>
      </c>
      <c r="E320" s="67" t="str">
        <f>iferror(if(LEFT(VLOOKUP($B320,'Round 2'!$C$2:$J$361,8,false),1)="A","W",if(LEFT(VLOOKUP($B320,'Round 2'!$C$2:$J$361,8,false),1)="B","L","")),if(LEFT(VLOOKUP($B320,'Round 2'!$G$2:$J$361,4,false),1)="b","W",if(LEFT(VLOOKUP($B320,'Round 2'!$G$2:$J$361,4,false),1)="a","L","")))</f>
        <v>L</v>
      </c>
      <c r="F320" s="67" t="str">
        <f>iferror(if(LEFT(VLOOKUP($B320,'Round 3'!$B$2:$H$361,7,false),1)="A","W",if(LEFT(VLOOKUP($B320,'Round 3'!$B$2:$H$361,7,false),1)="B","L","")),if(LEFT(VLOOKUP($B320,'Round 3'!$F$2:$H$361,3,false),1)="b","W",if(LEFT(VLOOKUP($B320,'Round 3'!$F$2:$H$361,3,false),1)="a","L","")))</f>
        <v>L</v>
      </c>
      <c r="G320" s="67" t="str">
        <f>iferror(if(LEFT(VLOOKUP($B320,'Round 4'!$B$2:$H$361,7,false),1)="A","W",if(LEFT(VLOOKUP($B320,'Round 4'!$B$2:$H$361,7,false),1)="B","L","")),if(LEFT(VLOOKUP($B320,'Round 4'!$F$2:$H$361,3,false),1)="b","W",if(LEFT(VLOOKUP($B320,'Round 4'!$F$2:$H$361,3,false),1)="a","L","")))</f>
        <v>W</v>
      </c>
      <c r="H320" s="67" t="str">
        <f>iferror(if(LEFT(VLOOKUP($B320,'Round 5'!$B$2:$H$361,7,false),1)="A","W",if(LEFT(VLOOKUP($B320,'Round 5'!$B$2:$H$361,7,false),1)="B","L","")),if(LEFT(VLOOKUP($B320,'Round 5'!$F$2:$H$361,3,false),1)="b","W",if(LEFT(VLOOKUP($B320,'Round 5'!$F$2:$H$361,3,false),1)="a","L","")))</f>
        <v>W</v>
      </c>
      <c r="I320" s="67" t="str">
        <f>iferror(if(LEFT(VLOOKUP($B320,'Round 6'!$B$2:$H$361,7,false),1)="A","W",if(LEFT(VLOOKUP($B320,'Round 6'!$B$2:$H$361,7,false),1)="B","L","")),if(LEFT(VLOOKUP($B320,'Round 6'!$F$2:$H$361,3,false),1)="b","W",if(LEFT(VLOOKUP($B320,'Round 6'!$F$2:$H$361,3,false),1)="a","L","")))</f>
        <v>L</v>
      </c>
      <c r="J320" s="67" t="str">
        <f>iferror(iferror(if(LEFT(VLOOKUP($B320,'Round 7'!$B$2:$H$361,7,false),1)="A","W",if(LEFT(VLOOKUP($B320,'Round 7'!$B$2:$H$361,7,false),1)="B","L","")),if(LEFT(VLOOKUP($B320,'Round 7'!$F$2:$H$361,3,false),1)="b","W",if(LEFT(VLOOKUP($B320,'Round 7'!$F$2:$H$361,3,false),1)="a","L",""))),"")</f>
        <v/>
      </c>
      <c r="K320" s="68" t="str">
        <f>iferror(iferror(if(LEFT(VLOOKUP($B320,'Round 8'!$B$2:$H$361,7,false),1)="A","W",if(LEFT(VLOOKUP($B320,'Round 8'!$B$2:$H$361,7,false),1)="B","L","")),if(LEFT(VLOOKUP($B320,'Round 8'!$F$2:$H$361,3,false),1)="b","W",if(LEFT(VLOOKUP($B320,'Round 8'!$F$2:$H$361,3,false),1)="a","L",""))),"")</f>
        <v/>
      </c>
      <c r="L320" s="68" t="str">
        <f>iferror(iferror(if(LEFT(VLOOKUP($B320,'Round 9'!$B$2:$H$361,7,false),1)="A","W",if(LEFT(VLOOKUP($B320,'Round 9'!$B$2:$H$361,7,false),1)="B","L","")),if(LEFT(VLOOKUP($B320,'Round 9'!$F$2:$H$361,3,false),1)="b","W",if(LEFT(VLOOKUP($B320,'Round 9'!$F$2:$H$361,3,false),1)="a","L",""))),"")</f>
        <v/>
      </c>
      <c r="M320" s="68" t="str">
        <f>iferror(iferror(if(LEFT(VLOOKUP($B320,'Round 10'!$B$2:$H$362,7,false),1)="A","W",if(LEFT(VLOOKUP($B320,'Round 10'!$B$2:$H$362,7,false),1)="B","L","")),if(LEFT(VLOOKUP($B320,'Round 10'!$F$2:$H$362,3,false),1)="b","W",if(LEFT(VLOOKUP($B320,'Round 10'!$F$2:$H$362,3,false),1)="a","L",""))),"")</f>
        <v/>
      </c>
      <c r="N320" s="62" t="s">
        <v>705</v>
      </c>
    </row>
    <row r="321">
      <c r="A321" s="63">
        <v>320.0</v>
      </c>
      <c r="B321" s="64" t="s">
        <v>706</v>
      </c>
      <c r="C321" s="65" t="str">
        <f t="shared" si="1"/>
        <v>4 - 3</v>
      </c>
      <c r="D321" s="67" t="str">
        <f>iferror(if(LEFT(VLOOKUP($B321,'Round 1'!$B$2:$H$361,7,false),1)="A","W",if(LEFT(VLOOKUP($B321,'Round 1'!$B$2:$H$361,7,false),1)="B","L","")),if(LEFT(VLOOKUP($B321,'Round 1'!$F$2:$H$361,3,false),1)="b","W",if(LEFT(VLOOKUP($B321,'Round 1'!$F$2:$H$361,3,false),1)="a","L","")))</f>
        <v>W</v>
      </c>
      <c r="E321" s="67" t="str">
        <f>iferror(if(LEFT(VLOOKUP($B321,'Round 2'!$C$2:$J$361,8,false),1)="A","W",if(LEFT(VLOOKUP($B321,'Round 2'!$C$2:$J$361,8,false),1)="B","L","")),if(LEFT(VLOOKUP($B321,'Round 2'!$G$2:$J$361,4,false),1)="b","W",if(LEFT(VLOOKUP($B321,'Round 2'!$G$2:$J$361,4,false),1)="a","L","")))</f>
        <v>W</v>
      </c>
      <c r="F321" s="67" t="str">
        <f>iferror(if(LEFT(VLOOKUP($B321,'Round 3'!$B$2:$H$361,7,false),1)="A","W",if(LEFT(VLOOKUP($B321,'Round 3'!$B$2:$H$361,7,false),1)="B","L","")),if(LEFT(VLOOKUP($B321,'Round 3'!$F$2:$H$361,3,false),1)="b","W",if(LEFT(VLOOKUP($B321,'Round 3'!$F$2:$H$361,3,false),1)="a","L","")))</f>
        <v>L</v>
      </c>
      <c r="G321" s="67" t="str">
        <f>iferror(if(LEFT(VLOOKUP($B321,'Round 4'!$B$2:$H$361,7,false),1)="A","W",if(LEFT(VLOOKUP($B321,'Round 4'!$B$2:$H$361,7,false),1)="B","L","")),if(LEFT(VLOOKUP($B321,'Round 4'!$F$2:$H$361,3,false),1)="b","W",if(LEFT(VLOOKUP($B321,'Round 4'!$F$2:$H$361,3,false),1)="a","L","")))</f>
        <v>W</v>
      </c>
      <c r="H321" s="67" t="str">
        <f>iferror(if(LEFT(VLOOKUP($B321,'Round 5'!$B$2:$H$361,7,false),1)="A","W",if(LEFT(VLOOKUP($B321,'Round 5'!$B$2:$H$361,7,false),1)="B","L","")),if(LEFT(VLOOKUP($B321,'Round 5'!$F$2:$H$361,3,false),1)="b","W",if(LEFT(VLOOKUP($B321,'Round 5'!$F$2:$H$361,3,false),1)="a","L","")))</f>
        <v>L</v>
      </c>
      <c r="I321" s="67" t="str">
        <f>iferror(if(LEFT(VLOOKUP($B321,'Round 6'!$B$2:$H$361,7,false),1)="A","W",if(LEFT(VLOOKUP($B321,'Round 6'!$B$2:$H$361,7,false),1)="B","L","")),if(LEFT(VLOOKUP($B321,'Round 6'!$F$2:$H$361,3,false),1)="b","W",if(LEFT(VLOOKUP($B321,'Round 6'!$F$2:$H$361,3,false),1)="a","L","")))</f>
        <v>W</v>
      </c>
      <c r="J321" s="67" t="str">
        <f>iferror(iferror(if(LEFT(VLOOKUP($B321,'Round 7'!$B$2:$H$361,7,false),1)="A","W",if(LEFT(VLOOKUP($B321,'Round 7'!$B$2:$H$361,7,false),1)="B","L","")),if(LEFT(VLOOKUP($B321,'Round 7'!$F$2:$H$361,3,false),1)="b","W",if(LEFT(VLOOKUP($B321,'Round 7'!$F$2:$H$361,3,false),1)="a","L",""))),"")</f>
        <v>L</v>
      </c>
      <c r="K321" s="68" t="str">
        <f>iferror(iferror(if(LEFT(VLOOKUP($B321,'Round 8'!$B$2:$H$361,7,false),1)="A","W",if(LEFT(VLOOKUP($B321,'Round 8'!$B$2:$H$361,7,false),1)="B","L","")),if(LEFT(VLOOKUP($B321,'Round 8'!$F$2:$H$361,3,false),1)="b","W",if(LEFT(VLOOKUP($B321,'Round 8'!$F$2:$H$361,3,false),1)="a","L",""))),"")</f>
        <v/>
      </c>
      <c r="L321" s="68" t="str">
        <f>iferror(iferror(if(LEFT(VLOOKUP($B321,'Round 9'!$B$2:$H$361,7,false),1)="A","W",if(LEFT(VLOOKUP($B321,'Round 9'!$B$2:$H$361,7,false),1)="B","L","")),if(LEFT(VLOOKUP($B321,'Round 9'!$F$2:$H$361,3,false),1)="b","W",if(LEFT(VLOOKUP($B321,'Round 9'!$F$2:$H$361,3,false),1)="a","L",""))),"")</f>
        <v/>
      </c>
      <c r="M321" s="68" t="str">
        <f>iferror(iferror(if(LEFT(VLOOKUP($B321,'Round 10'!$B$2:$H$362,7,false),1)="A","W",if(LEFT(VLOOKUP($B321,'Round 10'!$B$2:$H$362,7,false),1)="B","L","")),if(LEFT(VLOOKUP($B321,'Round 10'!$F$2:$H$362,3,false),1)="b","W",if(LEFT(VLOOKUP($B321,'Round 10'!$F$2:$H$362,3,false),1)="a","L",""))),"")</f>
        <v/>
      </c>
      <c r="N321" s="62" t="s">
        <v>707</v>
      </c>
    </row>
    <row r="322">
      <c r="A322" s="63">
        <v>321.0</v>
      </c>
      <c r="B322" s="64" t="s">
        <v>708</v>
      </c>
      <c r="C322" s="65" t="str">
        <f t="shared" si="1"/>
        <v>4 - 3</v>
      </c>
      <c r="D322" s="67" t="str">
        <f>iferror(if(LEFT(VLOOKUP($B322,'Round 1'!$B$2:$H$361,7,false),1)="A","W",if(LEFT(VLOOKUP($B322,'Round 1'!$B$2:$H$361,7,false),1)="B","L","")),if(LEFT(VLOOKUP($B322,'Round 1'!$F$2:$H$361,3,false),1)="b","W",if(LEFT(VLOOKUP($B322,'Round 1'!$F$2:$H$361,3,false),1)="a","L","")))</f>
        <v>W</v>
      </c>
      <c r="E322" s="67" t="str">
        <f>iferror(if(LEFT(VLOOKUP($B322,'Round 2'!$C$2:$J$361,8,false),1)="A","W",if(LEFT(VLOOKUP($B322,'Round 2'!$C$2:$J$361,8,false),1)="B","L","")),if(LEFT(VLOOKUP($B322,'Round 2'!$G$2:$J$361,4,false),1)="b","W",if(LEFT(VLOOKUP($B322,'Round 2'!$G$2:$J$361,4,false),1)="a","L","")))</f>
        <v>L</v>
      </c>
      <c r="F322" s="67" t="str">
        <f>iferror(if(LEFT(VLOOKUP($B322,'Round 3'!$B$2:$H$361,7,false),1)="A","W",if(LEFT(VLOOKUP($B322,'Round 3'!$B$2:$H$361,7,false),1)="B","L","")),if(LEFT(VLOOKUP($B322,'Round 3'!$F$2:$H$361,3,false),1)="b","W",if(LEFT(VLOOKUP($B322,'Round 3'!$F$2:$H$361,3,false),1)="a","L","")))</f>
        <v>W</v>
      </c>
      <c r="G322" s="67" t="str">
        <f>iferror(if(LEFT(VLOOKUP($B322,'Round 4'!$B$2:$H$361,7,false),1)="A","W",if(LEFT(VLOOKUP($B322,'Round 4'!$B$2:$H$361,7,false),1)="B","L","")),if(LEFT(VLOOKUP($B322,'Round 4'!$F$2:$H$361,3,false),1)="b","W",if(LEFT(VLOOKUP($B322,'Round 4'!$F$2:$H$361,3,false),1)="a","L","")))</f>
        <v>L</v>
      </c>
      <c r="H322" s="67" t="str">
        <f>iferror(if(LEFT(VLOOKUP($B322,'Round 5'!$B$2:$H$361,7,false),1)="A","W",if(LEFT(VLOOKUP($B322,'Round 5'!$B$2:$H$361,7,false),1)="B","L","")),if(LEFT(VLOOKUP($B322,'Round 5'!$F$2:$H$361,3,false),1)="b","W",if(LEFT(VLOOKUP($B322,'Round 5'!$F$2:$H$361,3,false),1)="a","L","")))</f>
        <v>W</v>
      </c>
      <c r="I322" s="67" t="str">
        <f>iferror(if(LEFT(VLOOKUP($B322,'Round 6'!$B$2:$H$361,7,false),1)="A","W",if(LEFT(VLOOKUP($B322,'Round 6'!$B$2:$H$361,7,false),1)="B","L","")),if(LEFT(VLOOKUP($B322,'Round 6'!$F$2:$H$361,3,false),1)="b","W",if(LEFT(VLOOKUP($B322,'Round 6'!$F$2:$H$361,3,false),1)="a","L","")))</f>
        <v>W</v>
      </c>
      <c r="J322" s="67" t="str">
        <f>iferror(iferror(if(LEFT(VLOOKUP($B322,'Round 7'!$B$2:$H$361,7,false),1)="A","W",if(LEFT(VLOOKUP($B322,'Round 7'!$B$2:$H$361,7,false),1)="B","L","")),if(LEFT(VLOOKUP($B322,'Round 7'!$F$2:$H$361,3,false),1)="b","W",if(LEFT(VLOOKUP($B322,'Round 7'!$F$2:$H$361,3,false),1)="a","L",""))),"")</f>
        <v>L</v>
      </c>
      <c r="K322" s="68" t="str">
        <f>iferror(iferror(if(LEFT(VLOOKUP($B322,'Round 8'!$B$2:$H$361,7,false),1)="A","W",if(LEFT(VLOOKUP($B322,'Round 8'!$B$2:$H$361,7,false),1)="B","L","")),if(LEFT(VLOOKUP($B322,'Round 8'!$F$2:$H$361,3,false),1)="b","W",if(LEFT(VLOOKUP($B322,'Round 8'!$F$2:$H$361,3,false),1)="a","L",""))),"")</f>
        <v/>
      </c>
      <c r="L322" s="68" t="str">
        <f>iferror(iferror(if(LEFT(VLOOKUP($B322,'Round 9'!$B$2:$H$361,7,false),1)="A","W",if(LEFT(VLOOKUP($B322,'Round 9'!$B$2:$H$361,7,false),1)="B","L","")),if(LEFT(VLOOKUP($B322,'Round 9'!$F$2:$H$361,3,false),1)="b","W",if(LEFT(VLOOKUP($B322,'Round 9'!$F$2:$H$361,3,false),1)="a","L",""))),"")</f>
        <v/>
      </c>
      <c r="M322" s="68" t="str">
        <f>iferror(iferror(if(LEFT(VLOOKUP($B322,'Round 10'!$B$2:$H$362,7,false),1)="A","W",if(LEFT(VLOOKUP($B322,'Round 10'!$B$2:$H$362,7,false),1)="B","L","")),if(LEFT(VLOOKUP($B322,'Round 10'!$F$2:$H$362,3,false),1)="b","W",if(LEFT(VLOOKUP($B322,'Round 10'!$F$2:$H$362,3,false),1)="a","L",""))),"")</f>
        <v/>
      </c>
      <c r="N322" s="62" t="s">
        <v>709</v>
      </c>
    </row>
    <row r="323">
      <c r="A323" s="63">
        <v>322.0</v>
      </c>
      <c r="B323" s="64" t="s">
        <v>710</v>
      </c>
      <c r="C323" s="65" t="str">
        <f t="shared" si="1"/>
        <v>2 - 3</v>
      </c>
      <c r="D323" s="67" t="str">
        <f>iferror(if(LEFT(VLOOKUP($B323,'Round 1'!$B$2:$H$361,7,false),1)="A","W",if(LEFT(VLOOKUP($B323,'Round 1'!$B$2:$H$361,7,false),1)="B","L","")),if(LEFT(VLOOKUP($B323,'Round 1'!$F$2:$H$361,3,false),1)="b","W",if(LEFT(VLOOKUP($B323,'Round 1'!$F$2:$H$361,3,false),1)="a","L","")))</f>
        <v>L</v>
      </c>
      <c r="E323" s="67" t="str">
        <f>iferror(if(LEFT(VLOOKUP($B323,'Round 2'!$C$2:$J$361,8,false),1)="A","W",if(LEFT(VLOOKUP($B323,'Round 2'!$C$2:$J$361,8,false),1)="B","L","")),if(LEFT(VLOOKUP($B323,'Round 2'!$G$2:$J$361,4,false),1)="b","W",if(LEFT(VLOOKUP($B323,'Round 2'!$G$2:$J$361,4,false),1)="a","L","")))</f>
        <v>W</v>
      </c>
      <c r="F323" s="67" t="str">
        <f>iferror(if(LEFT(VLOOKUP($B323,'Round 3'!$B$2:$H$361,7,false),1)="A","W",if(LEFT(VLOOKUP($B323,'Round 3'!$B$2:$H$361,7,false),1)="B","L","")),if(LEFT(VLOOKUP($B323,'Round 3'!$F$2:$H$361,3,false),1)="b","W",if(LEFT(VLOOKUP($B323,'Round 3'!$F$2:$H$361,3,false),1)="a","L","")))</f>
        <v>L</v>
      </c>
      <c r="G323" s="67" t="str">
        <f>iferror(if(LEFT(VLOOKUP($B323,'Round 4'!$B$2:$H$361,7,false),1)="A","W",if(LEFT(VLOOKUP($B323,'Round 4'!$B$2:$H$361,7,false),1)="B","L","")),if(LEFT(VLOOKUP($B323,'Round 4'!$F$2:$H$361,3,false),1)="b","W",if(LEFT(VLOOKUP($B323,'Round 4'!$F$2:$H$361,3,false),1)="a","L","")))</f>
        <v>W</v>
      </c>
      <c r="H323" s="67" t="str">
        <f>iferror(if(LEFT(VLOOKUP($B323,'Round 5'!$B$2:$H$361,7,false),1)="A","W",if(LEFT(VLOOKUP($B323,'Round 5'!$B$2:$H$361,7,false),1)="B","L","")),if(LEFT(VLOOKUP($B323,'Round 5'!$F$2:$H$361,3,false),1)="b","W",if(LEFT(VLOOKUP($B323,'Round 5'!$F$2:$H$361,3,false),1)="a","L","")))</f>
        <v>L</v>
      </c>
      <c r="I323" s="67"/>
      <c r="J323" s="67" t="str">
        <f>iferror(iferror(if(LEFT(VLOOKUP($B323,'Round 7'!$B$2:$H$361,7,false),1)="A","W",if(LEFT(VLOOKUP($B323,'Round 7'!$B$2:$H$361,7,false),1)="B","L","")),if(LEFT(VLOOKUP($B323,'Round 7'!$F$2:$H$361,3,false),1)="b","W",if(LEFT(VLOOKUP($B323,'Round 7'!$F$2:$H$361,3,false),1)="a","L",""))),"")</f>
        <v/>
      </c>
      <c r="K323" s="68" t="str">
        <f>iferror(iferror(if(LEFT(VLOOKUP($B323,'Round 8'!$B$2:$H$361,7,false),1)="A","W",if(LEFT(VLOOKUP($B323,'Round 8'!$B$2:$H$361,7,false),1)="B","L","")),if(LEFT(VLOOKUP($B323,'Round 8'!$F$2:$H$361,3,false),1)="b","W",if(LEFT(VLOOKUP($B323,'Round 8'!$F$2:$H$361,3,false),1)="a","L",""))),"")</f>
        <v/>
      </c>
      <c r="L323" s="68" t="str">
        <f>iferror(iferror(if(LEFT(VLOOKUP($B323,'Round 9'!$B$2:$H$361,7,false),1)="A","W",if(LEFT(VLOOKUP($B323,'Round 9'!$B$2:$H$361,7,false),1)="B","L","")),if(LEFT(VLOOKUP($B323,'Round 9'!$F$2:$H$361,3,false),1)="b","W",if(LEFT(VLOOKUP($B323,'Round 9'!$F$2:$H$361,3,false),1)="a","L",""))),"")</f>
        <v/>
      </c>
      <c r="M323" s="68" t="str">
        <f>iferror(iferror(if(LEFT(VLOOKUP($B323,'Round 10'!$B$2:$H$362,7,false),1)="A","W",if(LEFT(VLOOKUP($B323,'Round 10'!$B$2:$H$362,7,false),1)="B","L","")),if(LEFT(VLOOKUP($B323,'Round 10'!$F$2:$H$362,3,false),1)="b","W",if(LEFT(VLOOKUP($B323,'Round 10'!$F$2:$H$362,3,false),1)="a","L",""))),"")</f>
        <v/>
      </c>
      <c r="N323" s="62" t="s">
        <v>711</v>
      </c>
    </row>
    <row r="324">
      <c r="A324" s="63">
        <v>323.0</v>
      </c>
      <c r="B324" s="64" t="s">
        <v>712</v>
      </c>
      <c r="C324" s="65" t="str">
        <f t="shared" si="1"/>
        <v>2 - 3</v>
      </c>
      <c r="D324" s="67" t="str">
        <f>iferror(if(LEFT(VLOOKUP($B324,'Round 1'!$B$2:$H$361,7,false),1)="A","W",if(LEFT(VLOOKUP($B324,'Round 1'!$B$2:$H$361,7,false),1)="B","L","")),if(LEFT(VLOOKUP($B324,'Round 1'!$F$2:$H$361,3,false),1)="b","W",if(LEFT(VLOOKUP($B324,'Round 1'!$F$2:$H$361,3,false),1)="a","L","")))</f>
        <v>L</v>
      </c>
      <c r="E324" s="67" t="str">
        <f>iferror(if(LEFT(VLOOKUP($B324,'Round 2'!$C$2:$J$361,8,false),1)="A","W",if(LEFT(VLOOKUP($B324,'Round 2'!$C$2:$J$361,8,false),1)="B","L","")),if(LEFT(VLOOKUP($B324,'Round 2'!$G$2:$J$361,4,false),1)="b","W",if(LEFT(VLOOKUP($B324,'Round 2'!$G$2:$J$361,4,false),1)="a","L","")))</f>
        <v>L</v>
      </c>
      <c r="F324" s="67" t="str">
        <f>iferror(if(LEFT(VLOOKUP($B324,'Round 3'!$B$2:$H$361,7,false),1)="A","W",if(LEFT(VLOOKUP($B324,'Round 3'!$B$2:$H$361,7,false),1)="B","L","")),if(LEFT(VLOOKUP($B324,'Round 3'!$F$2:$H$361,3,false),1)="b","W",if(LEFT(VLOOKUP($B324,'Round 3'!$F$2:$H$361,3,false),1)="a","L","")))</f>
        <v>W</v>
      </c>
      <c r="G324" s="67" t="str">
        <f>iferror(if(LEFT(VLOOKUP($B324,'Round 4'!$B$2:$H$361,7,false),1)="A","W",if(LEFT(VLOOKUP($B324,'Round 4'!$B$2:$H$361,7,false),1)="B","L","")),if(LEFT(VLOOKUP($B324,'Round 4'!$F$2:$H$361,3,false),1)="b","W",if(LEFT(VLOOKUP($B324,'Round 4'!$F$2:$H$361,3,false),1)="a","L","")))</f>
        <v>W</v>
      </c>
      <c r="H324" s="67" t="str">
        <f>iferror(if(LEFT(VLOOKUP($B324,'Round 5'!$B$2:$H$361,7,false),1)="A","W",if(LEFT(VLOOKUP($B324,'Round 5'!$B$2:$H$361,7,false),1)="B","L","")),if(LEFT(VLOOKUP($B324,'Round 5'!$F$2:$H$361,3,false),1)="b","W",if(LEFT(VLOOKUP($B324,'Round 5'!$F$2:$H$361,3,false),1)="a","L","")))</f>
        <v>L</v>
      </c>
      <c r="I324" s="67"/>
      <c r="J324" s="67" t="str">
        <f>iferror(iferror(if(LEFT(VLOOKUP($B324,'Round 7'!$B$2:$H$361,7,false),1)="A","W",if(LEFT(VLOOKUP($B324,'Round 7'!$B$2:$H$361,7,false),1)="B","L","")),if(LEFT(VLOOKUP($B324,'Round 7'!$F$2:$H$361,3,false),1)="b","W",if(LEFT(VLOOKUP($B324,'Round 7'!$F$2:$H$361,3,false),1)="a","L",""))),"")</f>
        <v/>
      </c>
      <c r="K324" s="68" t="str">
        <f>iferror(iferror(if(LEFT(VLOOKUP($B324,'Round 8'!$B$2:$H$361,7,false),1)="A","W",if(LEFT(VLOOKUP($B324,'Round 8'!$B$2:$H$361,7,false),1)="B","L","")),if(LEFT(VLOOKUP($B324,'Round 8'!$F$2:$H$361,3,false),1)="b","W",if(LEFT(VLOOKUP($B324,'Round 8'!$F$2:$H$361,3,false),1)="a","L",""))),"")</f>
        <v/>
      </c>
      <c r="L324" s="68" t="str">
        <f>iferror(iferror(if(LEFT(VLOOKUP($B324,'Round 9'!$B$2:$H$361,7,false),1)="A","W",if(LEFT(VLOOKUP($B324,'Round 9'!$B$2:$H$361,7,false),1)="B","L","")),if(LEFT(VLOOKUP($B324,'Round 9'!$F$2:$H$361,3,false),1)="b","W",if(LEFT(VLOOKUP($B324,'Round 9'!$F$2:$H$361,3,false),1)="a","L",""))),"")</f>
        <v/>
      </c>
      <c r="M324" s="68" t="str">
        <f>iferror(iferror(if(LEFT(VLOOKUP($B324,'Round 10'!$B$2:$H$362,7,false),1)="A","W",if(LEFT(VLOOKUP($B324,'Round 10'!$B$2:$H$362,7,false),1)="B","L","")),if(LEFT(VLOOKUP($B324,'Round 10'!$F$2:$H$362,3,false),1)="b","W",if(LEFT(VLOOKUP($B324,'Round 10'!$F$2:$H$362,3,false),1)="a","L",""))),"")</f>
        <v/>
      </c>
      <c r="N324" s="62" t="s">
        <v>713</v>
      </c>
    </row>
    <row r="325">
      <c r="A325" s="63">
        <v>324.0</v>
      </c>
      <c r="B325" s="64" t="s">
        <v>714</v>
      </c>
      <c r="C325" s="65" t="str">
        <f t="shared" si="1"/>
        <v>1 - 3</v>
      </c>
      <c r="D325" s="67" t="str">
        <f>iferror(if(LEFT(VLOOKUP($B325,'Round 1'!$B$2:$H$361,7,false),1)="A","W",if(LEFT(VLOOKUP($B325,'Round 1'!$B$2:$H$361,7,false),1)="B","L","")),if(LEFT(VLOOKUP($B325,'Round 1'!$F$2:$H$361,3,false),1)="b","W",if(LEFT(VLOOKUP($B325,'Round 1'!$F$2:$H$361,3,false),1)="a","L","")))</f>
        <v>L</v>
      </c>
      <c r="E325" s="67" t="str">
        <f>iferror(if(LEFT(VLOOKUP($B325,'Round 2'!$C$2:$J$361,8,false),1)="A","W",if(LEFT(VLOOKUP($B325,'Round 2'!$C$2:$J$361,8,false),1)="B","L","")),if(LEFT(VLOOKUP($B325,'Round 2'!$G$2:$J$361,4,false),1)="b","W",if(LEFT(VLOOKUP($B325,'Round 2'!$G$2:$J$361,4,false),1)="a","L","")))</f>
        <v>L</v>
      </c>
      <c r="F325" s="67" t="str">
        <f>iferror(if(LEFT(VLOOKUP($B325,'Round 3'!$B$2:$H$361,7,false),1)="A","W",if(LEFT(VLOOKUP($B325,'Round 3'!$B$2:$H$361,7,false),1)="B","L","")),if(LEFT(VLOOKUP($B325,'Round 3'!$F$2:$H$361,3,false),1)="b","W",if(LEFT(VLOOKUP($B325,'Round 3'!$F$2:$H$361,3,false),1)="a","L","")))</f>
        <v>W</v>
      </c>
      <c r="G325" s="67" t="str">
        <f>iferror(if(LEFT(VLOOKUP($B325,'Round 4'!$B$2:$H$361,7,false),1)="A","W",if(LEFT(VLOOKUP($B325,'Round 4'!$B$2:$H$361,7,false),1)="B","L","")),if(LEFT(VLOOKUP($B325,'Round 4'!$F$2:$H$361,3,false),1)="b","W",if(LEFT(VLOOKUP($B325,'Round 4'!$F$2:$H$361,3,false),1)="a","L","")))</f>
        <v>L</v>
      </c>
      <c r="H325" s="67"/>
      <c r="I325" s="67"/>
      <c r="J325" s="67" t="str">
        <f>iferror(iferror(if(LEFT(VLOOKUP($B325,'Round 7'!$B$2:$H$361,7,false),1)="A","W",if(LEFT(VLOOKUP($B325,'Round 7'!$B$2:$H$361,7,false),1)="B","L","")),if(LEFT(VLOOKUP($B325,'Round 7'!$F$2:$H$361,3,false),1)="b","W",if(LEFT(VLOOKUP($B325,'Round 7'!$F$2:$H$361,3,false),1)="a","L",""))),"")</f>
        <v/>
      </c>
      <c r="K325" s="68" t="str">
        <f>iferror(iferror(if(LEFT(VLOOKUP($B325,'Round 8'!$B$2:$H$361,7,false),1)="A","W",if(LEFT(VLOOKUP($B325,'Round 8'!$B$2:$H$361,7,false),1)="B","L","")),if(LEFT(VLOOKUP($B325,'Round 8'!$F$2:$H$361,3,false),1)="b","W",if(LEFT(VLOOKUP($B325,'Round 8'!$F$2:$H$361,3,false),1)="a","L",""))),"")</f>
        <v/>
      </c>
      <c r="L325" s="68" t="str">
        <f>iferror(iferror(if(LEFT(VLOOKUP($B325,'Round 9'!$B$2:$H$361,7,false),1)="A","W",if(LEFT(VLOOKUP($B325,'Round 9'!$B$2:$H$361,7,false),1)="B","L","")),if(LEFT(VLOOKUP($B325,'Round 9'!$F$2:$H$361,3,false),1)="b","W",if(LEFT(VLOOKUP($B325,'Round 9'!$F$2:$H$361,3,false),1)="a","L",""))),"")</f>
        <v/>
      </c>
      <c r="M325" s="68" t="str">
        <f>iferror(iferror(if(LEFT(VLOOKUP($B325,'Round 10'!$B$2:$H$362,7,false),1)="A","W",if(LEFT(VLOOKUP($B325,'Round 10'!$B$2:$H$362,7,false),1)="B","L","")),if(LEFT(VLOOKUP($B325,'Round 10'!$F$2:$H$362,3,false),1)="b","W",if(LEFT(VLOOKUP($B325,'Round 10'!$F$2:$H$362,3,false),1)="a","L",""))),"")</f>
        <v/>
      </c>
      <c r="N325" s="62" t="s">
        <v>715</v>
      </c>
    </row>
    <row r="326">
      <c r="A326" s="63">
        <v>325.0</v>
      </c>
      <c r="B326" s="64" t="s">
        <v>716</v>
      </c>
      <c r="C326" s="65" t="str">
        <f t="shared" si="1"/>
        <v>7 - 2</v>
      </c>
      <c r="D326" s="67" t="str">
        <f>iferror(if(LEFT(VLOOKUP($B326,'Round 1'!$B$2:$H$361,7,false),1)="A","W",if(LEFT(VLOOKUP($B326,'Round 1'!$B$2:$H$361,7,false),1)="B","L","")),if(LEFT(VLOOKUP($B326,'Round 1'!$F$2:$H$361,3,false),1)="b","W",if(LEFT(VLOOKUP($B326,'Round 1'!$F$2:$H$361,3,false),1)="a","L","")))</f>
        <v>W</v>
      </c>
      <c r="E326" s="67" t="str">
        <f>iferror(if(LEFT(VLOOKUP($B326,'Round 2'!$C$2:$J$361,8,false),1)="A","W",if(LEFT(VLOOKUP($B326,'Round 2'!$C$2:$J$361,8,false),1)="B","L","")),if(LEFT(VLOOKUP($B326,'Round 2'!$G$2:$J$361,4,false),1)="b","W",if(LEFT(VLOOKUP($B326,'Round 2'!$G$2:$J$361,4,false),1)="a","L","")))</f>
        <v>W</v>
      </c>
      <c r="F326" s="67" t="str">
        <f>iferror(if(LEFT(VLOOKUP($B326,'Round 3'!$B$2:$H$361,7,false),1)="A","W",if(LEFT(VLOOKUP($B326,'Round 3'!$B$2:$H$361,7,false),1)="B","L","")),if(LEFT(VLOOKUP($B326,'Round 3'!$F$2:$H$361,3,false),1)="b","W",if(LEFT(VLOOKUP($B326,'Round 3'!$F$2:$H$361,3,false),1)="a","L","")))</f>
        <v>W</v>
      </c>
      <c r="G326" s="67" t="str">
        <f>iferror(if(LEFT(VLOOKUP($B326,'Round 4'!$B$2:$H$361,7,false),1)="A","W",if(LEFT(VLOOKUP($B326,'Round 4'!$B$2:$H$361,7,false),1)="B","L","")),if(LEFT(VLOOKUP($B326,'Round 4'!$F$2:$H$361,3,false),1)="b","W",if(LEFT(VLOOKUP($B326,'Round 4'!$F$2:$H$361,3,false),1)="a","L","")))</f>
        <v>W</v>
      </c>
      <c r="H326" s="67" t="str">
        <f>iferror(if(LEFT(VLOOKUP($B326,'Round 5'!$B$2:$H$361,7,false),1)="A","W",if(LEFT(VLOOKUP($B326,'Round 5'!$B$2:$H$361,7,false),1)="B","L","")),if(LEFT(VLOOKUP($B326,'Round 5'!$F$2:$H$361,3,false),1)="b","W",if(LEFT(VLOOKUP($B326,'Round 5'!$F$2:$H$361,3,false),1)="a","L","")))</f>
        <v>L</v>
      </c>
      <c r="I326" s="67" t="str">
        <f>iferror(if(LEFT(VLOOKUP($B326,'Round 6'!$B$2:$H$361,7,false),1)="A","W",if(LEFT(VLOOKUP($B326,'Round 6'!$B$2:$H$361,7,false),1)="B","L","")),if(LEFT(VLOOKUP($B326,'Round 6'!$F$2:$H$361,3,false),1)="b","W",if(LEFT(VLOOKUP($B326,'Round 6'!$F$2:$H$361,3,false),1)="a","L","")))</f>
        <v>L</v>
      </c>
      <c r="J326" s="67" t="str">
        <f>iferror(iferror(if(LEFT(VLOOKUP($B326,'Round 7'!$B$2:$H$361,7,false),1)="A","W",if(LEFT(VLOOKUP($B326,'Round 7'!$B$2:$H$361,7,false),1)="B","L","")),if(LEFT(VLOOKUP($B326,'Round 7'!$F$2:$H$361,3,false),1)="b","W",if(LEFT(VLOOKUP($B326,'Round 7'!$F$2:$H$361,3,false),1)="a","L",""))),"")</f>
        <v>W</v>
      </c>
      <c r="K326" s="68" t="str">
        <f>iferror(iferror(if(LEFT(VLOOKUP($B326,'Round 8'!$B$2:$H$361,7,false),1)="A","W",if(LEFT(VLOOKUP($B326,'Round 8'!$B$2:$H$361,7,false),1)="B","L","")),if(LEFT(VLOOKUP($B326,'Round 8'!$F$2:$H$361,3,false),1)="b","W",if(LEFT(VLOOKUP($B326,'Round 8'!$F$2:$H$361,3,false),1)="a","L",""))),"")</f>
        <v>W</v>
      </c>
      <c r="L326" s="68" t="str">
        <f>iferror(iferror(if(LEFT(VLOOKUP($B326,'Round 9'!$B$2:$H$361,7,false),1)="A","W",if(LEFT(VLOOKUP($B326,'Round 9'!$B$2:$H$361,7,false),1)="B","L","")),if(LEFT(VLOOKUP($B326,'Round 9'!$F$2:$H$361,3,false),1)="b","W",if(LEFT(VLOOKUP($B326,'Round 9'!$F$2:$H$361,3,false),1)="a","L",""))),"")</f>
        <v>W</v>
      </c>
      <c r="M326" s="68" t="str">
        <f>iferror(iferror(if(LEFT(VLOOKUP($B326,'Round 10'!$B$2:$H$362,7,false),1)="A","W",if(LEFT(VLOOKUP($B326,'Round 10'!$B$2:$H$362,7,false),1)="B","L","")),if(LEFT(VLOOKUP($B326,'Round 10'!$F$2:$H$362,3,false),1)="b","W",if(LEFT(VLOOKUP($B326,'Round 10'!$F$2:$H$362,3,false),1)="a","L",""))),"")</f>
        <v/>
      </c>
      <c r="N326" s="62" t="s">
        <v>717</v>
      </c>
    </row>
    <row r="327">
      <c r="A327" s="63">
        <v>326.0</v>
      </c>
      <c r="B327" s="64" t="s">
        <v>718</v>
      </c>
      <c r="C327" s="65" t="str">
        <f t="shared" si="1"/>
        <v>1 - 3</v>
      </c>
      <c r="D327" s="67" t="str">
        <f>iferror(if(LEFT(VLOOKUP($B327,'Round 1'!$B$2:$H$361,7,false),1)="A","W",if(LEFT(VLOOKUP($B327,'Round 1'!$B$2:$H$361,7,false),1)="B","L","")),if(LEFT(VLOOKUP($B327,'Round 1'!$F$2:$H$361,3,false),1)="b","W",if(LEFT(VLOOKUP($B327,'Round 1'!$F$2:$H$361,3,false),1)="a","L","")))</f>
        <v>W</v>
      </c>
      <c r="E327" s="67" t="str">
        <f>iferror(if(LEFT(VLOOKUP($B327,'Round 2'!$C$2:$J$361,8,false),1)="A","W",if(LEFT(VLOOKUP($B327,'Round 2'!$C$2:$J$361,8,false),1)="B","L","")),if(LEFT(VLOOKUP($B327,'Round 2'!$G$2:$J$361,4,false),1)="b","W",if(LEFT(VLOOKUP($B327,'Round 2'!$G$2:$J$361,4,false),1)="a","L","")))</f>
        <v>L</v>
      </c>
      <c r="F327" s="67" t="str">
        <f>iferror(if(LEFT(VLOOKUP($B327,'Round 3'!$B$2:$H$361,7,false),1)="A","W",if(LEFT(VLOOKUP($B327,'Round 3'!$B$2:$H$361,7,false),1)="B","L","")),if(LEFT(VLOOKUP($B327,'Round 3'!$F$2:$H$361,3,false),1)="b","W",if(LEFT(VLOOKUP($B327,'Round 3'!$F$2:$H$361,3,false),1)="a","L","")))</f>
        <v>L</v>
      </c>
      <c r="G327" s="67" t="str">
        <f>iferror(if(LEFT(VLOOKUP($B327,'Round 4'!$B$2:$H$361,7,false),1)="A","W",if(LEFT(VLOOKUP($B327,'Round 4'!$B$2:$H$361,7,false),1)="B","L","")),if(LEFT(VLOOKUP($B327,'Round 4'!$F$2:$H$361,3,false),1)="b","W",if(LEFT(VLOOKUP($B327,'Round 4'!$F$2:$H$361,3,false),1)="a","L","")))</f>
        <v>L</v>
      </c>
      <c r="H327" s="67"/>
      <c r="I327" s="67"/>
      <c r="J327" s="67" t="str">
        <f>iferror(iferror(if(LEFT(VLOOKUP($B327,'Round 7'!$B$2:$H$361,7,false),1)="A","W",if(LEFT(VLOOKUP($B327,'Round 7'!$B$2:$H$361,7,false),1)="B","L","")),if(LEFT(VLOOKUP($B327,'Round 7'!$F$2:$H$361,3,false),1)="b","W",if(LEFT(VLOOKUP($B327,'Round 7'!$F$2:$H$361,3,false),1)="a","L",""))),"")</f>
        <v/>
      </c>
      <c r="K327" s="68" t="str">
        <f>iferror(iferror(if(LEFT(VLOOKUP($B327,'Round 8'!$B$2:$H$361,7,false),1)="A","W",if(LEFT(VLOOKUP($B327,'Round 8'!$B$2:$H$361,7,false),1)="B","L","")),if(LEFT(VLOOKUP($B327,'Round 8'!$F$2:$H$361,3,false),1)="b","W",if(LEFT(VLOOKUP($B327,'Round 8'!$F$2:$H$361,3,false),1)="a","L",""))),"")</f>
        <v/>
      </c>
      <c r="L327" s="68" t="str">
        <f>iferror(iferror(if(LEFT(VLOOKUP($B327,'Round 9'!$B$2:$H$361,7,false),1)="A","W",if(LEFT(VLOOKUP($B327,'Round 9'!$B$2:$H$361,7,false),1)="B","L","")),if(LEFT(VLOOKUP($B327,'Round 9'!$F$2:$H$361,3,false),1)="b","W",if(LEFT(VLOOKUP($B327,'Round 9'!$F$2:$H$361,3,false),1)="a","L",""))),"")</f>
        <v/>
      </c>
      <c r="M327" s="68" t="str">
        <f>iferror(iferror(if(LEFT(VLOOKUP($B327,'Round 10'!$B$2:$H$362,7,false),1)="A","W",if(LEFT(VLOOKUP($B327,'Round 10'!$B$2:$H$362,7,false),1)="B","L","")),if(LEFT(VLOOKUP($B327,'Round 10'!$F$2:$H$362,3,false),1)="b","W",if(LEFT(VLOOKUP($B327,'Round 10'!$F$2:$H$362,3,false),1)="a","L",""))),"")</f>
        <v/>
      </c>
      <c r="N327" s="62" t="s">
        <v>719</v>
      </c>
    </row>
    <row r="328">
      <c r="A328" s="63">
        <v>327.0</v>
      </c>
      <c r="B328" s="64" t="s">
        <v>720</v>
      </c>
      <c r="C328" s="65" t="str">
        <f t="shared" si="1"/>
        <v>3 - 3</v>
      </c>
      <c r="D328" s="67" t="str">
        <f>iferror(if(LEFT(VLOOKUP($B328,'Round 1'!$B$2:$H$361,7,false),1)="A","W",if(LEFT(VLOOKUP($B328,'Round 1'!$B$2:$H$361,7,false),1)="B","L","")),if(LEFT(VLOOKUP($B328,'Round 1'!$F$2:$H$361,3,false),1)="b","W",if(LEFT(VLOOKUP($B328,'Round 1'!$F$2:$H$361,3,false),1)="a","L","")))</f>
        <v>L</v>
      </c>
      <c r="E328" s="67" t="str">
        <f>iferror(if(LEFT(VLOOKUP($B328,'Round 2'!$C$2:$J$361,8,false),1)="A","W",if(LEFT(VLOOKUP($B328,'Round 2'!$C$2:$J$361,8,false),1)="B","L","")),if(LEFT(VLOOKUP($B328,'Round 2'!$G$2:$J$361,4,false),1)="b","W",if(LEFT(VLOOKUP($B328,'Round 2'!$G$2:$J$361,4,false),1)="a","L","")))</f>
        <v>L</v>
      </c>
      <c r="F328" s="67" t="str">
        <f>iferror(if(LEFT(VLOOKUP($B328,'Round 3'!$B$2:$H$361,7,false),1)="A","W",if(LEFT(VLOOKUP($B328,'Round 3'!$B$2:$H$361,7,false),1)="B","L","")),if(LEFT(VLOOKUP($B328,'Round 3'!$F$2:$H$361,3,false),1)="b","W",if(LEFT(VLOOKUP($B328,'Round 3'!$F$2:$H$361,3,false),1)="a","L","")))</f>
        <v>W</v>
      </c>
      <c r="G328" s="67" t="str">
        <f>iferror(if(LEFT(VLOOKUP($B328,'Round 4'!$B$2:$H$361,7,false),1)="A","W",if(LEFT(VLOOKUP($B328,'Round 4'!$B$2:$H$361,7,false),1)="B","L","")),if(LEFT(VLOOKUP($B328,'Round 4'!$F$2:$H$361,3,false),1)="b","W",if(LEFT(VLOOKUP($B328,'Round 4'!$F$2:$H$361,3,false),1)="a","L","")))</f>
        <v>W</v>
      </c>
      <c r="H328" s="67" t="str">
        <f>iferror(if(LEFT(VLOOKUP($B328,'Round 5'!$B$2:$H$361,7,false),1)="A","W",if(LEFT(VLOOKUP($B328,'Round 5'!$B$2:$H$361,7,false),1)="B","L","")),if(LEFT(VLOOKUP($B328,'Round 5'!$F$2:$H$361,3,false),1)="b","W",if(LEFT(VLOOKUP($B328,'Round 5'!$F$2:$H$361,3,false),1)="a","L","")))</f>
        <v>W</v>
      </c>
      <c r="I328" s="67" t="str">
        <f>iferror(if(LEFT(VLOOKUP($B328,'Round 6'!$B$2:$H$361,7,false),1)="A","W",if(LEFT(VLOOKUP($B328,'Round 6'!$B$2:$H$361,7,false),1)="B","L","")),if(LEFT(VLOOKUP($B328,'Round 6'!$F$2:$H$361,3,false),1)="b","W",if(LEFT(VLOOKUP($B328,'Round 6'!$F$2:$H$361,3,false),1)="a","L","")))</f>
        <v>L</v>
      </c>
      <c r="J328" s="67" t="str">
        <f>iferror(iferror(if(LEFT(VLOOKUP($B328,'Round 7'!$B$2:$H$361,7,false),1)="A","W",if(LEFT(VLOOKUP($B328,'Round 7'!$B$2:$H$361,7,false),1)="B","L","")),if(LEFT(VLOOKUP($B328,'Round 7'!$F$2:$H$361,3,false),1)="b","W",if(LEFT(VLOOKUP($B328,'Round 7'!$F$2:$H$361,3,false),1)="a","L",""))),"")</f>
        <v/>
      </c>
      <c r="K328" s="68" t="str">
        <f>iferror(iferror(if(LEFT(VLOOKUP($B328,'Round 8'!$B$2:$H$361,7,false),1)="A","W",if(LEFT(VLOOKUP($B328,'Round 8'!$B$2:$H$361,7,false),1)="B","L","")),if(LEFT(VLOOKUP($B328,'Round 8'!$F$2:$H$361,3,false),1)="b","W",if(LEFT(VLOOKUP($B328,'Round 8'!$F$2:$H$361,3,false),1)="a","L",""))),"")</f>
        <v/>
      </c>
      <c r="L328" s="68" t="str">
        <f>iferror(iferror(if(LEFT(VLOOKUP($B328,'Round 9'!$B$2:$H$361,7,false),1)="A","W",if(LEFT(VLOOKUP($B328,'Round 9'!$B$2:$H$361,7,false),1)="B","L","")),if(LEFT(VLOOKUP($B328,'Round 9'!$F$2:$H$361,3,false),1)="b","W",if(LEFT(VLOOKUP($B328,'Round 9'!$F$2:$H$361,3,false),1)="a","L",""))),"")</f>
        <v/>
      </c>
      <c r="M328" s="68" t="str">
        <f>iferror(iferror(if(LEFT(VLOOKUP($B328,'Round 10'!$B$2:$H$362,7,false),1)="A","W",if(LEFT(VLOOKUP($B328,'Round 10'!$B$2:$H$362,7,false),1)="B","L","")),if(LEFT(VLOOKUP($B328,'Round 10'!$F$2:$H$362,3,false),1)="b","W",if(LEFT(VLOOKUP($B328,'Round 10'!$F$2:$H$362,3,false),1)="a","L",""))),"")</f>
        <v/>
      </c>
      <c r="N328" s="62" t="s">
        <v>721</v>
      </c>
    </row>
    <row r="329">
      <c r="A329" s="63">
        <v>328.0</v>
      </c>
      <c r="B329" s="64" t="s">
        <v>722</v>
      </c>
      <c r="C329" s="65" t="str">
        <f t="shared" si="1"/>
        <v>0 - 3</v>
      </c>
      <c r="D329" s="67" t="str">
        <f>iferror(if(LEFT(VLOOKUP($B329,'Round 1'!$B$2:$H$361,7,false),1)="A","W",if(LEFT(VLOOKUP($B329,'Round 1'!$B$2:$H$361,7,false),1)="B","L","")),if(LEFT(VLOOKUP($B329,'Round 1'!$F$2:$H$361,3,false),1)="b","W",if(LEFT(VLOOKUP($B329,'Round 1'!$F$2:$H$361,3,false),1)="a","L","")))</f>
        <v>L</v>
      </c>
      <c r="E329" s="67" t="str">
        <f>iferror(if(LEFT(VLOOKUP($B329,'Round 2'!$C$2:$J$361,8,false),1)="A","W",if(LEFT(VLOOKUP($B329,'Round 2'!$C$2:$J$361,8,false),1)="B","L","")),if(LEFT(VLOOKUP($B329,'Round 2'!$G$2:$J$361,4,false),1)="b","W",if(LEFT(VLOOKUP($B329,'Round 2'!$G$2:$J$361,4,false),1)="a","L","")))</f>
        <v>L</v>
      </c>
      <c r="F329" s="67" t="str">
        <f>iferror(if(LEFT(VLOOKUP($B329,'Round 3'!$B$2:$H$361,7,false),1)="A","W",if(LEFT(VLOOKUP($B329,'Round 3'!$B$2:$H$361,7,false),1)="B","L","")),if(LEFT(VLOOKUP($B329,'Round 3'!$F$2:$H$361,3,false),1)="b","W",if(LEFT(VLOOKUP($B329,'Round 3'!$F$2:$H$361,3,false),1)="a","L","")))</f>
        <v>L</v>
      </c>
      <c r="G329" s="67"/>
      <c r="H329" s="67"/>
      <c r="I329" s="67"/>
      <c r="J329" s="67" t="str">
        <f>iferror(iferror(if(LEFT(VLOOKUP($B329,'Round 7'!$B$2:$H$361,7,false),1)="A","W",if(LEFT(VLOOKUP($B329,'Round 7'!$B$2:$H$361,7,false),1)="B","L","")),if(LEFT(VLOOKUP($B329,'Round 7'!$F$2:$H$361,3,false),1)="b","W",if(LEFT(VLOOKUP($B329,'Round 7'!$F$2:$H$361,3,false),1)="a","L",""))),"")</f>
        <v/>
      </c>
      <c r="K329" s="68" t="str">
        <f>iferror(iferror(if(LEFT(VLOOKUP($B329,'Round 8'!$B$2:$H$361,7,false),1)="A","W",if(LEFT(VLOOKUP($B329,'Round 8'!$B$2:$H$361,7,false),1)="B","L","")),if(LEFT(VLOOKUP($B329,'Round 8'!$F$2:$H$361,3,false),1)="b","W",if(LEFT(VLOOKUP($B329,'Round 8'!$F$2:$H$361,3,false),1)="a","L",""))),"")</f>
        <v/>
      </c>
      <c r="L329" s="68" t="str">
        <f>iferror(iferror(if(LEFT(VLOOKUP($B329,'Round 9'!$B$2:$H$361,7,false),1)="A","W",if(LEFT(VLOOKUP($B329,'Round 9'!$B$2:$H$361,7,false),1)="B","L","")),if(LEFT(VLOOKUP($B329,'Round 9'!$F$2:$H$361,3,false),1)="b","W",if(LEFT(VLOOKUP($B329,'Round 9'!$F$2:$H$361,3,false),1)="a","L",""))),"")</f>
        <v/>
      </c>
      <c r="M329" s="68" t="str">
        <f>iferror(iferror(if(LEFT(VLOOKUP($B329,'Round 10'!$B$2:$H$362,7,false),1)="A","W",if(LEFT(VLOOKUP($B329,'Round 10'!$B$2:$H$362,7,false),1)="B","L","")),if(LEFT(VLOOKUP($B329,'Round 10'!$F$2:$H$362,3,false),1)="b","W",if(LEFT(VLOOKUP($B329,'Round 10'!$F$2:$H$362,3,false),1)="a","L",""))),"")</f>
        <v/>
      </c>
      <c r="N329" s="62" t="s">
        <v>723</v>
      </c>
    </row>
    <row r="330">
      <c r="A330" s="63">
        <v>329.0</v>
      </c>
      <c r="B330" s="64" t="s">
        <v>724</v>
      </c>
      <c r="C330" s="65" t="str">
        <f t="shared" si="1"/>
        <v>5 - 3</v>
      </c>
      <c r="D330" s="67" t="str">
        <f>iferror(if(LEFT(VLOOKUP($B330,'Round 1'!$B$2:$H$361,7,false),1)="A","W",if(LEFT(VLOOKUP($B330,'Round 1'!$B$2:$H$361,7,false),1)="B","L","")),if(LEFT(VLOOKUP($B330,'Round 1'!$F$2:$H$361,3,false),1)="b","W",if(LEFT(VLOOKUP($B330,'Round 1'!$F$2:$H$361,3,false),1)="a","L","")))</f>
        <v>W</v>
      </c>
      <c r="E330" s="67" t="str">
        <f>iferror(if(LEFT(VLOOKUP($B330,'Round 2'!$C$2:$J$361,8,false),1)="A","W",if(LEFT(VLOOKUP($B330,'Round 2'!$C$2:$J$361,8,false),1)="B","L","")),if(LEFT(VLOOKUP($B330,'Round 2'!$G$2:$J$361,4,false),1)="b","W",if(LEFT(VLOOKUP($B330,'Round 2'!$G$2:$J$361,4,false),1)="a","L","")))</f>
        <v>W</v>
      </c>
      <c r="F330" s="67" t="str">
        <f>iferror(if(LEFT(VLOOKUP($B330,'Round 3'!$B$2:$H$361,7,false),1)="A","W",if(LEFT(VLOOKUP($B330,'Round 3'!$B$2:$H$361,7,false),1)="B","L","")),if(LEFT(VLOOKUP($B330,'Round 3'!$F$2:$H$361,3,false),1)="b","W",if(LEFT(VLOOKUP($B330,'Round 3'!$F$2:$H$361,3,false),1)="a","L","")))</f>
        <v>L</v>
      </c>
      <c r="G330" s="67" t="str">
        <f>iferror(if(LEFT(VLOOKUP($B330,'Round 4'!$B$2:$H$361,7,false),1)="A","W",if(LEFT(VLOOKUP($B330,'Round 4'!$B$2:$H$361,7,false),1)="B","L","")),if(LEFT(VLOOKUP($B330,'Round 4'!$F$2:$H$361,3,false),1)="b","W",if(LEFT(VLOOKUP($B330,'Round 4'!$F$2:$H$361,3,false),1)="a","L","")))</f>
        <v>W</v>
      </c>
      <c r="H330" s="67" t="str">
        <f>iferror(if(LEFT(VLOOKUP($B330,'Round 5'!$B$2:$H$361,7,false),1)="A","W",if(LEFT(VLOOKUP($B330,'Round 5'!$B$2:$H$361,7,false),1)="B","L","")),if(LEFT(VLOOKUP($B330,'Round 5'!$F$2:$H$361,3,false),1)="b","W",if(LEFT(VLOOKUP($B330,'Round 5'!$F$2:$H$361,3,false),1)="a","L","")))</f>
        <v>W</v>
      </c>
      <c r="I330" s="67" t="str">
        <f>iferror(if(LEFT(VLOOKUP($B330,'Round 6'!$B$2:$H$361,7,false),1)="A","W",if(LEFT(VLOOKUP($B330,'Round 6'!$B$2:$H$361,7,false),1)="B","L","")),if(LEFT(VLOOKUP($B330,'Round 6'!$F$2:$H$361,3,false),1)="b","W",if(LEFT(VLOOKUP($B330,'Round 6'!$F$2:$H$361,3,false),1)="a","L","")))</f>
        <v>L</v>
      </c>
      <c r="J330" s="67" t="str">
        <f>iferror(iferror(if(LEFT(VLOOKUP($B330,'Round 7'!$B$2:$H$361,7,false),1)="A","W",if(LEFT(VLOOKUP($B330,'Round 7'!$B$2:$H$361,7,false),1)="B","L","")),if(LEFT(VLOOKUP($B330,'Round 7'!$F$2:$H$361,3,false),1)="b","W",if(LEFT(VLOOKUP($B330,'Round 7'!$F$2:$H$361,3,false),1)="a","L",""))),"")</f>
        <v>W</v>
      </c>
      <c r="K330" s="68" t="str">
        <f>iferror(iferror(if(LEFT(VLOOKUP($B330,'Round 8'!$B$2:$H$361,7,false),1)="A","W",if(LEFT(VLOOKUP($B330,'Round 8'!$B$2:$H$361,7,false),1)="B","L","")),if(LEFT(VLOOKUP($B330,'Round 8'!$F$2:$H$361,3,false),1)="b","W",if(LEFT(VLOOKUP($B330,'Round 8'!$F$2:$H$361,3,false),1)="a","L",""))),"")</f>
        <v>L</v>
      </c>
      <c r="L330" s="68" t="str">
        <f>iferror(iferror(if(LEFT(VLOOKUP($B330,'Round 9'!$B$2:$H$361,7,false),1)="A","W",if(LEFT(VLOOKUP($B330,'Round 9'!$B$2:$H$361,7,false),1)="B","L","")),if(LEFT(VLOOKUP($B330,'Round 9'!$F$2:$H$361,3,false),1)="b","W",if(LEFT(VLOOKUP($B330,'Round 9'!$F$2:$H$361,3,false),1)="a","L",""))),"")</f>
        <v/>
      </c>
      <c r="M330" s="68" t="str">
        <f>iferror(iferror(if(LEFT(VLOOKUP($B330,'Round 10'!$B$2:$H$362,7,false),1)="A","W",if(LEFT(VLOOKUP($B330,'Round 10'!$B$2:$H$362,7,false),1)="B","L","")),if(LEFT(VLOOKUP($B330,'Round 10'!$F$2:$H$362,3,false),1)="b","W",if(LEFT(VLOOKUP($B330,'Round 10'!$F$2:$H$362,3,false),1)="a","L",""))),"")</f>
        <v/>
      </c>
      <c r="N330" s="62" t="s">
        <v>725</v>
      </c>
    </row>
    <row r="331">
      <c r="A331" s="63">
        <v>330.0</v>
      </c>
      <c r="B331" s="64" t="s">
        <v>726</v>
      </c>
      <c r="C331" s="65" t="str">
        <f t="shared" si="1"/>
        <v>6 - 3</v>
      </c>
      <c r="D331" s="67" t="str">
        <f>iferror(if(LEFT(VLOOKUP($B331,'Round 1'!$B$2:$H$361,7,false),1)="A","W",if(LEFT(VLOOKUP($B331,'Round 1'!$B$2:$H$361,7,false),1)="B","L","")),if(LEFT(VLOOKUP($B331,'Round 1'!$F$2:$H$361,3,false),1)="b","W",if(LEFT(VLOOKUP($B331,'Round 1'!$F$2:$H$361,3,false),1)="a","L","")))</f>
        <v>W</v>
      </c>
      <c r="E331" s="67" t="str">
        <f>iferror(if(LEFT(VLOOKUP($B331,'Round 2'!$C$2:$J$361,8,false),1)="A","W",if(LEFT(VLOOKUP($B331,'Round 2'!$C$2:$J$361,8,false),1)="B","L","")),if(LEFT(VLOOKUP($B331,'Round 2'!$G$2:$J$361,4,false),1)="b","W",if(LEFT(VLOOKUP($B331,'Round 2'!$G$2:$J$361,4,false),1)="a","L","")))</f>
        <v>W</v>
      </c>
      <c r="F331" s="67" t="str">
        <f>iferror(if(LEFT(VLOOKUP($B331,'Round 3'!$B$2:$H$361,7,false),1)="A","W",if(LEFT(VLOOKUP($B331,'Round 3'!$B$2:$H$361,7,false),1)="B","L","")),if(LEFT(VLOOKUP($B331,'Round 3'!$F$2:$H$361,3,false),1)="b","W",if(LEFT(VLOOKUP($B331,'Round 3'!$F$2:$H$361,3,false),1)="a","L","")))</f>
        <v>W</v>
      </c>
      <c r="G331" s="67" t="str">
        <f>iferror(if(LEFT(VLOOKUP($B331,'Round 4'!$B$2:$H$361,7,false),1)="A","W",if(LEFT(VLOOKUP($B331,'Round 4'!$B$2:$H$361,7,false),1)="B","L","")),if(LEFT(VLOOKUP($B331,'Round 4'!$F$2:$H$361,3,false),1)="b","W",if(LEFT(VLOOKUP($B331,'Round 4'!$F$2:$H$361,3,false),1)="a","L","")))</f>
        <v>L</v>
      </c>
      <c r="H331" s="67" t="str">
        <f>iferror(if(LEFT(VLOOKUP($B331,'Round 5'!$B$2:$H$361,7,false),1)="A","W",if(LEFT(VLOOKUP($B331,'Round 5'!$B$2:$H$361,7,false),1)="B","L","")),if(LEFT(VLOOKUP($B331,'Round 5'!$F$2:$H$361,3,false),1)="b","W",if(LEFT(VLOOKUP($B331,'Round 5'!$F$2:$H$361,3,false),1)="a","L","")))</f>
        <v>W</v>
      </c>
      <c r="I331" s="67" t="str">
        <f>iferror(if(LEFT(VLOOKUP($B331,'Round 6'!$B$2:$H$361,7,false),1)="A","W",if(LEFT(VLOOKUP($B331,'Round 6'!$B$2:$H$361,7,false),1)="B","L","")),if(LEFT(VLOOKUP($B331,'Round 6'!$F$2:$H$361,3,false),1)="b","W",if(LEFT(VLOOKUP($B331,'Round 6'!$F$2:$H$361,3,false),1)="a","L","")))</f>
        <v>W</v>
      </c>
      <c r="J331" s="67" t="str">
        <f>iferror(iferror(if(LEFT(VLOOKUP($B331,'Round 7'!$B$2:$H$361,7,false),1)="A","W",if(LEFT(VLOOKUP($B331,'Round 7'!$B$2:$H$361,7,false),1)="B","L","")),if(LEFT(VLOOKUP($B331,'Round 7'!$F$2:$H$361,3,false),1)="b","W",if(LEFT(VLOOKUP($B331,'Round 7'!$F$2:$H$361,3,false),1)="a","L",""))),"")</f>
        <v>L</v>
      </c>
      <c r="K331" s="68" t="str">
        <f>iferror(iferror(if(LEFT(VLOOKUP($B331,'Round 8'!$B$2:$H$361,7,false),1)="A","W",if(LEFT(VLOOKUP($B331,'Round 8'!$B$2:$H$361,7,false),1)="B","L","")),if(LEFT(VLOOKUP($B331,'Round 8'!$F$2:$H$361,3,false),1)="b","W",if(LEFT(VLOOKUP($B331,'Round 8'!$F$2:$H$361,3,false),1)="a","L",""))),"")</f>
        <v>W</v>
      </c>
      <c r="L331" s="68" t="str">
        <f>iferror(iferror(if(LEFT(VLOOKUP($B331,'Round 9'!$B$2:$H$361,7,false),1)="A","W",if(LEFT(VLOOKUP($B331,'Round 9'!$B$2:$H$361,7,false),1)="B","L","")),if(LEFT(VLOOKUP($B331,'Round 9'!$F$2:$H$361,3,false),1)="b","W",if(LEFT(VLOOKUP($B331,'Round 9'!$F$2:$H$361,3,false),1)="a","L",""))),"")</f>
        <v>L</v>
      </c>
      <c r="M331" s="68" t="str">
        <f>iferror(iferror(if(LEFT(VLOOKUP($B331,'Round 10'!$B$2:$H$362,7,false),1)="A","W",if(LEFT(VLOOKUP($B331,'Round 10'!$B$2:$H$362,7,false),1)="B","L","")),if(LEFT(VLOOKUP($B331,'Round 10'!$F$2:$H$362,3,false),1)="b","W",if(LEFT(VLOOKUP($B331,'Round 10'!$F$2:$H$362,3,false),1)="a","L",""))),"")</f>
        <v/>
      </c>
      <c r="N331" s="62" t="s">
        <v>727</v>
      </c>
    </row>
    <row r="332">
      <c r="A332" s="63">
        <v>331.0</v>
      </c>
      <c r="B332" s="64" t="s">
        <v>728</v>
      </c>
      <c r="C332" s="65" t="str">
        <f t="shared" si="1"/>
        <v>6 - 3</v>
      </c>
      <c r="D332" s="67" t="str">
        <f>iferror(if(LEFT(VLOOKUP($B332,'Round 1'!$B$2:$H$361,7,false),1)="A","W",if(LEFT(VLOOKUP($B332,'Round 1'!$B$2:$H$361,7,false),1)="B","L","")),if(LEFT(VLOOKUP($B332,'Round 1'!$F$2:$H$361,3,false),1)="b","W",if(LEFT(VLOOKUP($B332,'Round 1'!$F$2:$H$361,3,false),1)="a","L","")))</f>
        <v>W</v>
      </c>
      <c r="E332" s="67" t="str">
        <f>iferror(if(LEFT(VLOOKUP($B332,'Round 2'!$C$2:$J$361,8,false),1)="A","W",if(LEFT(VLOOKUP($B332,'Round 2'!$C$2:$J$361,8,false),1)="B","L","")),if(LEFT(VLOOKUP($B332,'Round 2'!$G$2:$J$361,4,false),1)="b","W",if(LEFT(VLOOKUP($B332,'Round 2'!$G$2:$J$361,4,false),1)="a","L","")))</f>
        <v>W</v>
      </c>
      <c r="F332" s="67" t="str">
        <f>iferror(if(LEFT(VLOOKUP($B332,'Round 3'!$B$2:$H$361,7,false),1)="A","W",if(LEFT(VLOOKUP($B332,'Round 3'!$B$2:$H$361,7,false),1)="B","L","")),if(LEFT(VLOOKUP($B332,'Round 3'!$F$2:$H$361,3,false),1)="b","W",if(LEFT(VLOOKUP($B332,'Round 3'!$F$2:$H$361,3,false),1)="a","L","")))</f>
        <v>W</v>
      </c>
      <c r="G332" s="67" t="str">
        <f>iferror(if(LEFT(VLOOKUP($B332,'Round 4'!$B$2:$H$361,7,false),1)="A","W",if(LEFT(VLOOKUP($B332,'Round 4'!$B$2:$H$361,7,false),1)="B","L","")),if(LEFT(VLOOKUP($B332,'Round 4'!$F$2:$H$361,3,false),1)="b","W",if(LEFT(VLOOKUP($B332,'Round 4'!$F$2:$H$361,3,false),1)="a","L","")))</f>
        <v>L</v>
      </c>
      <c r="H332" s="67" t="str">
        <f>iferror(if(LEFT(VLOOKUP($B332,'Round 5'!$B$2:$H$361,7,false),1)="A","W",if(LEFT(VLOOKUP($B332,'Round 5'!$B$2:$H$361,7,false),1)="B","L","")),if(LEFT(VLOOKUP($B332,'Round 5'!$F$2:$H$361,3,false),1)="b","W",if(LEFT(VLOOKUP($B332,'Round 5'!$F$2:$H$361,3,false),1)="a","L","")))</f>
        <v>W</v>
      </c>
      <c r="I332" s="67" t="str">
        <f>iferror(if(LEFT(VLOOKUP($B332,'Round 6'!$B$2:$H$361,7,false),1)="A","W",if(LEFT(VLOOKUP($B332,'Round 6'!$B$2:$H$361,7,false),1)="B","L","")),if(LEFT(VLOOKUP($B332,'Round 6'!$F$2:$H$361,3,false),1)="b","W",if(LEFT(VLOOKUP($B332,'Round 6'!$F$2:$H$361,3,false),1)="a","L","")))</f>
        <v>L</v>
      </c>
      <c r="J332" s="67" t="str">
        <f>iferror(iferror(if(LEFT(VLOOKUP($B332,'Round 7'!$B$2:$H$361,7,false),1)="A","W",if(LEFT(VLOOKUP($B332,'Round 7'!$B$2:$H$361,7,false),1)="B","L","")),if(LEFT(VLOOKUP($B332,'Round 7'!$F$2:$H$361,3,false),1)="b","W",if(LEFT(VLOOKUP($B332,'Round 7'!$F$2:$H$361,3,false),1)="a","L",""))),"")</f>
        <v>W</v>
      </c>
      <c r="K332" s="68" t="str">
        <f>iferror(iferror(if(LEFT(VLOOKUP($B332,'Round 8'!$B$2:$H$361,7,false),1)="A","W",if(LEFT(VLOOKUP($B332,'Round 8'!$B$2:$H$361,7,false),1)="B","L","")),if(LEFT(VLOOKUP($B332,'Round 8'!$F$2:$H$361,3,false),1)="b","W",if(LEFT(VLOOKUP($B332,'Round 8'!$F$2:$H$361,3,false),1)="a","L",""))),"")</f>
        <v>W</v>
      </c>
      <c r="L332" s="68" t="str">
        <f>iferror(iferror(if(LEFT(VLOOKUP($B332,'Round 9'!$B$2:$H$361,7,false),1)="A","W",if(LEFT(VLOOKUP($B332,'Round 9'!$B$2:$H$361,7,false),1)="B","L","")),if(LEFT(VLOOKUP($B332,'Round 9'!$F$2:$H$361,3,false),1)="b","W",if(LEFT(VLOOKUP($B332,'Round 9'!$F$2:$H$361,3,false),1)="a","L",""))),"")</f>
        <v>L</v>
      </c>
      <c r="M332" s="68" t="str">
        <f>iferror(iferror(if(LEFT(VLOOKUP($B332,'Round 10'!$B$2:$H$362,7,false),1)="A","W",if(LEFT(VLOOKUP($B332,'Round 10'!$B$2:$H$362,7,false),1)="B","L","")),if(LEFT(VLOOKUP($B332,'Round 10'!$F$2:$H$362,3,false),1)="b","W",if(LEFT(VLOOKUP($B332,'Round 10'!$F$2:$H$362,3,false),1)="a","L",""))),"")</f>
        <v/>
      </c>
      <c r="N332" s="62" t="s">
        <v>729</v>
      </c>
    </row>
    <row r="333">
      <c r="A333" s="63">
        <v>332.0</v>
      </c>
      <c r="B333" s="64" t="s">
        <v>730</v>
      </c>
      <c r="C333" s="65" t="str">
        <f t="shared" si="1"/>
        <v>0 - 3</v>
      </c>
      <c r="D333" s="67" t="str">
        <f>iferror(if(LEFT(VLOOKUP($B333,'Round 1'!$B$2:$H$361,7,false),1)="A","W",if(LEFT(VLOOKUP($B333,'Round 1'!$B$2:$H$361,7,false),1)="B","L","")),if(LEFT(VLOOKUP($B333,'Round 1'!$F$2:$H$361,3,false),1)="b","W",if(LEFT(VLOOKUP($B333,'Round 1'!$F$2:$H$361,3,false),1)="a","L","")))</f>
        <v>L</v>
      </c>
      <c r="E333" s="67" t="str">
        <f>iferror(if(LEFT(VLOOKUP($B333,'Round 2'!$C$2:$J$361,8,false),1)="A","W",if(LEFT(VLOOKUP($B333,'Round 2'!$C$2:$J$361,8,false),1)="B","L","")),if(LEFT(VLOOKUP($B333,'Round 2'!$G$2:$J$361,4,false),1)="b","W",if(LEFT(VLOOKUP($B333,'Round 2'!$G$2:$J$361,4,false),1)="a","L","")))</f>
        <v>L</v>
      </c>
      <c r="F333" s="67" t="str">
        <f>iferror(if(LEFT(VLOOKUP($B333,'Round 3'!$B$2:$H$361,7,false),1)="A","W",if(LEFT(VLOOKUP($B333,'Round 3'!$B$2:$H$361,7,false),1)="B","L","")),if(LEFT(VLOOKUP($B333,'Round 3'!$F$2:$H$361,3,false),1)="b","W",if(LEFT(VLOOKUP($B333,'Round 3'!$F$2:$H$361,3,false),1)="a","L","")))</f>
        <v>L</v>
      </c>
      <c r="G333" s="67"/>
      <c r="H333" s="67"/>
      <c r="I333" s="67"/>
      <c r="J333" s="67" t="str">
        <f>iferror(iferror(if(LEFT(VLOOKUP($B333,'Round 7'!$B$2:$H$361,7,false),1)="A","W",if(LEFT(VLOOKUP($B333,'Round 7'!$B$2:$H$361,7,false),1)="B","L","")),if(LEFT(VLOOKUP($B333,'Round 7'!$F$2:$H$361,3,false),1)="b","W",if(LEFT(VLOOKUP($B333,'Round 7'!$F$2:$H$361,3,false),1)="a","L",""))),"")</f>
        <v/>
      </c>
      <c r="K333" s="68" t="str">
        <f>iferror(iferror(if(LEFT(VLOOKUP($B333,'Round 8'!$B$2:$H$361,7,false),1)="A","W",if(LEFT(VLOOKUP($B333,'Round 8'!$B$2:$H$361,7,false),1)="B","L","")),if(LEFT(VLOOKUP($B333,'Round 8'!$F$2:$H$361,3,false),1)="b","W",if(LEFT(VLOOKUP($B333,'Round 8'!$F$2:$H$361,3,false),1)="a","L",""))),"")</f>
        <v/>
      </c>
      <c r="L333" s="68" t="str">
        <f>iferror(iferror(if(LEFT(VLOOKUP($B333,'Round 9'!$B$2:$H$361,7,false),1)="A","W",if(LEFT(VLOOKUP($B333,'Round 9'!$B$2:$H$361,7,false),1)="B","L","")),if(LEFT(VLOOKUP($B333,'Round 9'!$F$2:$H$361,3,false),1)="b","W",if(LEFT(VLOOKUP($B333,'Round 9'!$F$2:$H$361,3,false),1)="a","L",""))),"")</f>
        <v/>
      </c>
      <c r="M333" s="68" t="str">
        <f>iferror(iferror(if(LEFT(VLOOKUP($B333,'Round 10'!$B$2:$H$362,7,false),1)="A","W",if(LEFT(VLOOKUP($B333,'Round 10'!$B$2:$H$362,7,false),1)="B","L","")),if(LEFT(VLOOKUP($B333,'Round 10'!$F$2:$H$362,3,false),1)="b","W",if(LEFT(VLOOKUP($B333,'Round 10'!$F$2:$H$362,3,false),1)="a","L",""))),"")</f>
        <v/>
      </c>
      <c r="N333" s="62" t="s">
        <v>144</v>
      </c>
    </row>
    <row r="334">
      <c r="A334" s="63">
        <v>333.0</v>
      </c>
      <c r="B334" s="64" t="s">
        <v>731</v>
      </c>
      <c r="C334" s="65" t="str">
        <f t="shared" si="1"/>
        <v>1 - 3</v>
      </c>
      <c r="D334" s="67" t="str">
        <f>iferror(if(LEFT(VLOOKUP($B334,'Round 1'!$B$2:$H$361,7,false),1)="A","W",if(LEFT(VLOOKUP($B334,'Round 1'!$B$2:$H$361,7,false),1)="B","L","")),if(LEFT(VLOOKUP($B334,'Round 1'!$F$2:$H$361,3,false),1)="b","W",if(LEFT(VLOOKUP($B334,'Round 1'!$F$2:$H$361,3,false),1)="a","L","")))</f>
        <v>W</v>
      </c>
      <c r="E334" s="67" t="str">
        <f>iferror(if(LEFT(VLOOKUP($B334,'Round 2'!$C$2:$J$361,8,false),1)="A","W",if(LEFT(VLOOKUP($B334,'Round 2'!$C$2:$J$361,8,false),1)="B","L","")),if(LEFT(VLOOKUP($B334,'Round 2'!$G$2:$J$361,4,false),1)="b","W",if(LEFT(VLOOKUP($B334,'Round 2'!$G$2:$J$361,4,false),1)="a","L","")))</f>
        <v>L</v>
      </c>
      <c r="F334" s="67" t="str">
        <f>iferror(if(LEFT(VLOOKUP($B334,'Round 3'!$B$2:$H$361,7,false),1)="A","W",if(LEFT(VLOOKUP($B334,'Round 3'!$B$2:$H$361,7,false),1)="B","L","")),if(LEFT(VLOOKUP($B334,'Round 3'!$F$2:$H$361,3,false),1)="b","W",if(LEFT(VLOOKUP($B334,'Round 3'!$F$2:$H$361,3,false),1)="a","L","")))</f>
        <v>L</v>
      </c>
      <c r="G334" s="67" t="str">
        <f>iferror(if(LEFT(VLOOKUP($B334,'Round 4'!$B$2:$H$361,7,false),1)="A","W",if(LEFT(VLOOKUP($B334,'Round 4'!$B$2:$H$361,7,false),1)="B","L","")),if(LEFT(VLOOKUP($B334,'Round 4'!$F$2:$H$361,3,false),1)="b","W",if(LEFT(VLOOKUP($B334,'Round 4'!$F$2:$H$361,3,false),1)="a","L","")))</f>
        <v>L</v>
      </c>
      <c r="H334" s="67"/>
      <c r="I334" s="67"/>
      <c r="J334" s="67" t="str">
        <f>iferror(iferror(if(LEFT(VLOOKUP($B334,'Round 7'!$B$2:$H$361,7,false),1)="A","W",if(LEFT(VLOOKUP($B334,'Round 7'!$B$2:$H$361,7,false),1)="B","L","")),if(LEFT(VLOOKUP($B334,'Round 7'!$F$2:$H$361,3,false),1)="b","W",if(LEFT(VLOOKUP($B334,'Round 7'!$F$2:$H$361,3,false),1)="a","L",""))),"")</f>
        <v/>
      </c>
      <c r="K334" s="68" t="str">
        <f>iferror(iferror(if(LEFT(VLOOKUP($B334,'Round 8'!$B$2:$H$361,7,false),1)="A","W",if(LEFT(VLOOKUP($B334,'Round 8'!$B$2:$H$361,7,false),1)="B","L","")),if(LEFT(VLOOKUP($B334,'Round 8'!$F$2:$H$361,3,false),1)="b","W",if(LEFT(VLOOKUP($B334,'Round 8'!$F$2:$H$361,3,false),1)="a","L",""))),"")</f>
        <v/>
      </c>
      <c r="L334" s="68" t="str">
        <f>iferror(iferror(if(LEFT(VLOOKUP($B334,'Round 9'!$B$2:$H$361,7,false),1)="A","W",if(LEFT(VLOOKUP($B334,'Round 9'!$B$2:$H$361,7,false),1)="B","L","")),if(LEFT(VLOOKUP($B334,'Round 9'!$F$2:$H$361,3,false),1)="b","W",if(LEFT(VLOOKUP($B334,'Round 9'!$F$2:$H$361,3,false),1)="a","L",""))),"")</f>
        <v/>
      </c>
      <c r="M334" s="68" t="str">
        <f>iferror(iferror(if(LEFT(VLOOKUP($B334,'Round 10'!$B$2:$H$362,7,false),1)="A","W",if(LEFT(VLOOKUP($B334,'Round 10'!$B$2:$H$362,7,false),1)="B","L","")),if(LEFT(VLOOKUP($B334,'Round 10'!$F$2:$H$362,3,false),1)="b","W",if(LEFT(VLOOKUP($B334,'Round 10'!$F$2:$H$362,3,false),1)="a","L",""))),"")</f>
        <v/>
      </c>
      <c r="N334" s="62" t="s">
        <v>732</v>
      </c>
    </row>
    <row r="335">
      <c r="A335" s="63">
        <v>334.0</v>
      </c>
      <c r="B335" s="64" t="s">
        <v>733</v>
      </c>
      <c r="C335" s="65" t="str">
        <f t="shared" si="1"/>
        <v>5 - 3</v>
      </c>
      <c r="D335" s="67" t="str">
        <f>iferror(if(LEFT(VLOOKUP($B335,'Round 1'!$B$2:$H$361,7,false),1)="A","W",if(LEFT(VLOOKUP($B335,'Round 1'!$B$2:$H$361,7,false),1)="B","L","")),if(LEFT(VLOOKUP($B335,'Round 1'!$F$2:$H$361,3,false),1)="b","W",if(LEFT(VLOOKUP($B335,'Round 1'!$F$2:$H$361,3,false),1)="a","L","")))</f>
        <v>W</v>
      </c>
      <c r="E335" s="67" t="str">
        <f>iferror(if(LEFT(VLOOKUP($B335,'Round 2'!$C$2:$J$361,8,false),1)="A","W",if(LEFT(VLOOKUP($B335,'Round 2'!$C$2:$J$361,8,false),1)="B","L","")),if(LEFT(VLOOKUP($B335,'Round 2'!$G$2:$J$361,4,false),1)="b","W",if(LEFT(VLOOKUP($B335,'Round 2'!$G$2:$J$361,4,false),1)="a","L","")))</f>
        <v>L</v>
      </c>
      <c r="F335" s="67" t="str">
        <f>iferror(if(LEFT(VLOOKUP($B335,'Round 3'!$B$2:$H$361,7,false),1)="A","W",if(LEFT(VLOOKUP($B335,'Round 3'!$B$2:$H$361,7,false),1)="B","L","")),if(LEFT(VLOOKUP($B335,'Round 3'!$F$2:$H$361,3,false),1)="b","W",if(LEFT(VLOOKUP($B335,'Round 3'!$F$2:$H$361,3,false),1)="a","L","")))</f>
        <v>W</v>
      </c>
      <c r="G335" s="67" t="str">
        <f>iferror(if(LEFT(VLOOKUP($B335,'Round 4'!$B$2:$H$361,7,false),1)="A","W",if(LEFT(VLOOKUP($B335,'Round 4'!$B$2:$H$361,7,false),1)="B","L","")),if(LEFT(VLOOKUP($B335,'Round 4'!$F$2:$H$361,3,false),1)="b","W",if(LEFT(VLOOKUP($B335,'Round 4'!$F$2:$H$361,3,false),1)="a","L","")))</f>
        <v>W</v>
      </c>
      <c r="H335" s="67" t="str">
        <f>iferror(if(LEFT(VLOOKUP($B335,'Round 5'!$B$2:$H$361,7,false),1)="A","W",if(LEFT(VLOOKUP($B335,'Round 5'!$B$2:$H$361,7,false),1)="B","L","")),if(LEFT(VLOOKUP($B335,'Round 5'!$F$2:$H$361,3,false),1)="b","W",if(LEFT(VLOOKUP($B335,'Round 5'!$F$2:$H$361,3,false),1)="a","L","")))</f>
        <v>L</v>
      </c>
      <c r="I335" s="67" t="str">
        <f>iferror(if(LEFT(VLOOKUP($B335,'Round 6'!$B$2:$H$361,7,false),1)="A","W",if(LEFT(VLOOKUP($B335,'Round 6'!$B$2:$H$361,7,false),1)="B","L","")),if(LEFT(VLOOKUP($B335,'Round 6'!$F$2:$H$361,3,false),1)="b","W",if(LEFT(VLOOKUP($B335,'Round 6'!$F$2:$H$361,3,false),1)="a","L","")))</f>
        <v>W</v>
      </c>
      <c r="J335" s="67" t="str">
        <f>iferror(iferror(if(LEFT(VLOOKUP($B335,'Round 7'!$B$2:$H$361,7,false),1)="A","W",if(LEFT(VLOOKUP($B335,'Round 7'!$B$2:$H$361,7,false),1)="B","L","")),if(LEFT(VLOOKUP($B335,'Round 7'!$F$2:$H$361,3,false),1)="b","W",if(LEFT(VLOOKUP($B335,'Round 7'!$F$2:$H$361,3,false),1)="a","L",""))),"")</f>
        <v>W</v>
      </c>
      <c r="K335" s="68" t="str">
        <f>iferror(iferror(if(LEFT(VLOOKUP($B335,'Round 8'!$B$2:$H$361,7,false),1)="A","W",if(LEFT(VLOOKUP($B335,'Round 8'!$B$2:$H$361,7,false),1)="B","L","")),if(LEFT(VLOOKUP($B335,'Round 8'!$F$2:$H$361,3,false),1)="b","W",if(LEFT(VLOOKUP($B335,'Round 8'!$F$2:$H$361,3,false),1)="a","L",""))),"")</f>
        <v>L</v>
      </c>
      <c r="L335" s="68" t="str">
        <f>iferror(iferror(if(LEFT(VLOOKUP($B335,'Round 9'!$B$2:$H$361,7,false),1)="A","W",if(LEFT(VLOOKUP($B335,'Round 9'!$B$2:$H$361,7,false),1)="B","L","")),if(LEFT(VLOOKUP($B335,'Round 9'!$F$2:$H$361,3,false),1)="b","W",if(LEFT(VLOOKUP($B335,'Round 9'!$F$2:$H$361,3,false),1)="a","L",""))),"")</f>
        <v/>
      </c>
      <c r="M335" s="68" t="str">
        <f>iferror(iferror(if(LEFT(VLOOKUP($B335,'Round 10'!$B$2:$H$362,7,false),1)="A","W",if(LEFT(VLOOKUP($B335,'Round 10'!$B$2:$H$362,7,false),1)="B","L","")),if(LEFT(VLOOKUP($B335,'Round 10'!$F$2:$H$362,3,false),1)="b","W",if(LEFT(VLOOKUP($B335,'Round 10'!$F$2:$H$362,3,false),1)="a","L",""))),"")</f>
        <v/>
      </c>
      <c r="N335" s="62" t="s">
        <v>734</v>
      </c>
    </row>
    <row r="336">
      <c r="A336" s="63">
        <v>335.0</v>
      </c>
      <c r="B336" s="64" t="s">
        <v>735</v>
      </c>
      <c r="C336" s="65" t="str">
        <f t="shared" si="1"/>
        <v>1 - 3</v>
      </c>
      <c r="D336" s="67" t="str">
        <f>iferror(if(LEFT(VLOOKUP($B336,'Round 1'!$B$2:$H$361,7,false),1)="A","W",if(LEFT(VLOOKUP($B336,'Round 1'!$B$2:$H$361,7,false),1)="B","L","")),if(LEFT(VLOOKUP($B336,'Round 1'!$F$2:$H$361,3,false),1)="b","W",if(LEFT(VLOOKUP($B336,'Round 1'!$F$2:$H$361,3,false),1)="a","L","")))</f>
        <v>L</v>
      </c>
      <c r="E336" s="67" t="str">
        <f>iferror(if(LEFT(VLOOKUP($B336,'Round 2'!$C$2:$J$361,8,false),1)="A","W",if(LEFT(VLOOKUP($B336,'Round 2'!$C$2:$J$361,8,false),1)="B","L","")),if(LEFT(VLOOKUP($B336,'Round 2'!$G$2:$J$361,4,false),1)="b","W",if(LEFT(VLOOKUP($B336,'Round 2'!$G$2:$J$361,4,false),1)="a","L","")))</f>
        <v>W</v>
      </c>
      <c r="F336" s="67" t="str">
        <f>iferror(if(LEFT(VLOOKUP($B336,'Round 3'!$B$2:$H$361,7,false),1)="A","W",if(LEFT(VLOOKUP($B336,'Round 3'!$B$2:$H$361,7,false),1)="B","L","")),if(LEFT(VLOOKUP($B336,'Round 3'!$F$2:$H$361,3,false),1)="b","W",if(LEFT(VLOOKUP($B336,'Round 3'!$F$2:$H$361,3,false),1)="a","L","")))</f>
        <v>L</v>
      </c>
      <c r="G336" s="67" t="str">
        <f>iferror(if(LEFT(VLOOKUP($B336,'Round 4'!$B$2:$H$361,7,false),1)="A","W",if(LEFT(VLOOKUP($B336,'Round 4'!$B$2:$H$361,7,false),1)="B","L","")),if(LEFT(VLOOKUP($B336,'Round 4'!$F$2:$H$361,3,false),1)="b","W",if(LEFT(VLOOKUP($B336,'Round 4'!$F$2:$H$361,3,false),1)="a","L","")))</f>
        <v>L</v>
      </c>
      <c r="H336" s="67"/>
      <c r="I336" s="67"/>
      <c r="J336" s="67" t="str">
        <f>iferror(iferror(if(LEFT(VLOOKUP($B336,'Round 7'!$B$2:$H$361,7,false),1)="A","W",if(LEFT(VLOOKUP($B336,'Round 7'!$B$2:$H$361,7,false),1)="B","L","")),if(LEFT(VLOOKUP($B336,'Round 7'!$F$2:$H$361,3,false),1)="b","W",if(LEFT(VLOOKUP($B336,'Round 7'!$F$2:$H$361,3,false),1)="a","L",""))),"")</f>
        <v/>
      </c>
      <c r="K336" s="68" t="str">
        <f>iferror(iferror(if(LEFT(VLOOKUP($B336,'Round 8'!$B$2:$H$361,7,false),1)="A","W",if(LEFT(VLOOKUP($B336,'Round 8'!$B$2:$H$361,7,false),1)="B","L","")),if(LEFT(VLOOKUP($B336,'Round 8'!$F$2:$H$361,3,false),1)="b","W",if(LEFT(VLOOKUP($B336,'Round 8'!$F$2:$H$361,3,false),1)="a","L",""))),"")</f>
        <v/>
      </c>
      <c r="L336" s="68" t="str">
        <f>iferror(iferror(if(LEFT(VLOOKUP($B336,'Round 9'!$B$2:$H$361,7,false),1)="A","W",if(LEFT(VLOOKUP($B336,'Round 9'!$B$2:$H$361,7,false),1)="B","L","")),if(LEFT(VLOOKUP($B336,'Round 9'!$F$2:$H$361,3,false),1)="b","W",if(LEFT(VLOOKUP($B336,'Round 9'!$F$2:$H$361,3,false),1)="a","L",""))),"")</f>
        <v/>
      </c>
      <c r="M336" s="68" t="str">
        <f>iferror(iferror(if(LEFT(VLOOKUP($B336,'Round 10'!$B$2:$H$362,7,false),1)="A","W",if(LEFT(VLOOKUP($B336,'Round 10'!$B$2:$H$362,7,false),1)="B","L","")),if(LEFT(VLOOKUP($B336,'Round 10'!$F$2:$H$362,3,false),1)="b","W",if(LEFT(VLOOKUP($B336,'Round 10'!$F$2:$H$362,3,false),1)="a","L",""))),"")</f>
        <v/>
      </c>
      <c r="N336" s="62" t="s">
        <v>736</v>
      </c>
    </row>
    <row r="337">
      <c r="A337" s="63">
        <v>336.0</v>
      </c>
      <c r="B337" s="64" t="s">
        <v>737</v>
      </c>
      <c r="C337" s="65" t="str">
        <f t="shared" si="1"/>
        <v>4 - 3</v>
      </c>
      <c r="D337" s="67" t="str">
        <f>iferror(if(LEFT(VLOOKUP($B337,'Round 1'!$B$2:$H$361,7,false),1)="A","W",if(LEFT(VLOOKUP($B337,'Round 1'!$B$2:$H$361,7,false),1)="B","L","")),if(LEFT(VLOOKUP($B337,'Round 1'!$F$2:$H$361,3,false),1)="b","W",if(LEFT(VLOOKUP($B337,'Round 1'!$F$2:$H$361,3,false),1)="a","L","")))</f>
        <v>W</v>
      </c>
      <c r="E337" s="67" t="str">
        <f>iferror(if(LEFT(VLOOKUP($B337,'Round 2'!$C$2:$J$361,8,false),1)="A","W",if(LEFT(VLOOKUP($B337,'Round 2'!$C$2:$J$361,8,false),1)="B","L","")),if(LEFT(VLOOKUP($B337,'Round 2'!$G$2:$J$361,4,false),1)="b","W",if(LEFT(VLOOKUP($B337,'Round 2'!$G$2:$J$361,4,false),1)="a","L","")))</f>
        <v>L</v>
      </c>
      <c r="F337" s="67" t="str">
        <f>iferror(if(LEFT(VLOOKUP($B337,'Round 3'!$B$2:$H$361,7,false),1)="A","W",if(LEFT(VLOOKUP($B337,'Round 3'!$B$2:$H$361,7,false),1)="B","L","")),if(LEFT(VLOOKUP($B337,'Round 3'!$F$2:$H$361,3,false),1)="b","W",if(LEFT(VLOOKUP($B337,'Round 3'!$F$2:$H$361,3,false),1)="a","L","")))</f>
        <v>W</v>
      </c>
      <c r="G337" s="67" t="str">
        <f>iferror(if(LEFT(VLOOKUP($B337,'Round 4'!$B$2:$H$361,7,false),1)="A","W",if(LEFT(VLOOKUP($B337,'Round 4'!$B$2:$H$361,7,false),1)="B","L","")),if(LEFT(VLOOKUP($B337,'Round 4'!$F$2:$H$361,3,false),1)="b","W",if(LEFT(VLOOKUP($B337,'Round 4'!$F$2:$H$361,3,false),1)="a","L","")))</f>
        <v>L</v>
      </c>
      <c r="H337" s="67" t="str">
        <f>iferror(if(LEFT(VLOOKUP($B337,'Round 5'!$B$2:$H$361,7,false),1)="A","W",if(LEFT(VLOOKUP($B337,'Round 5'!$B$2:$H$361,7,false),1)="B","L","")),if(LEFT(VLOOKUP($B337,'Round 5'!$F$2:$H$361,3,false),1)="b","W",if(LEFT(VLOOKUP($B337,'Round 5'!$F$2:$H$361,3,false),1)="a","L","")))</f>
        <v>W</v>
      </c>
      <c r="I337" s="67" t="str">
        <f>iferror(if(LEFT(VLOOKUP($B337,'Round 6'!$B$2:$H$361,7,false),1)="A","W",if(LEFT(VLOOKUP($B337,'Round 6'!$B$2:$H$361,7,false),1)="B","L","")),if(LEFT(VLOOKUP($B337,'Round 6'!$F$2:$H$361,3,false),1)="b","W",if(LEFT(VLOOKUP($B337,'Round 6'!$F$2:$H$361,3,false),1)="a","L","")))</f>
        <v>W</v>
      </c>
      <c r="J337" s="67" t="str">
        <f>iferror(iferror(if(LEFT(VLOOKUP($B337,'Round 7'!$B$2:$H$361,7,false),1)="A","W",if(LEFT(VLOOKUP($B337,'Round 7'!$B$2:$H$361,7,false),1)="B","L","")),if(LEFT(VLOOKUP($B337,'Round 7'!$F$2:$H$361,3,false),1)="b","W",if(LEFT(VLOOKUP($B337,'Round 7'!$F$2:$H$361,3,false),1)="a","L",""))),"")</f>
        <v>L</v>
      </c>
      <c r="K337" s="68" t="str">
        <f>iferror(iferror(if(LEFT(VLOOKUP($B337,'Round 8'!$B$2:$H$361,7,false),1)="A","W",if(LEFT(VLOOKUP($B337,'Round 8'!$B$2:$H$361,7,false),1)="B","L","")),if(LEFT(VLOOKUP($B337,'Round 8'!$F$2:$H$361,3,false),1)="b","W",if(LEFT(VLOOKUP($B337,'Round 8'!$F$2:$H$361,3,false),1)="a","L",""))),"")</f>
        <v/>
      </c>
      <c r="L337" s="68" t="str">
        <f>iferror(iferror(if(LEFT(VLOOKUP($B337,'Round 9'!$B$2:$H$361,7,false),1)="A","W",if(LEFT(VLOOKUP($B337,'Round 9'!$B$2:$H$361,7,false),1)="B","L","")),if(LEFT(VLOOKUP($B337,'Round 9'!$F$2:$H$361,3,false),1)="b","W",if(LEFT(VLOOKUP($B337,'Round 9'!$F$2:$H$361,3,false),1)="a","L",""))),"")</f>
        <v/>
      </c>
      <c r="M337" s="68" t="str">
        <f>iferror(iferror(if(LEFT(VLOOKUP($B337,'Round 10'!$B$2:$H$362,7,false),1)="A","W",if(LEFT(VLOOKUP($B337,'Round 10'!$B$2:$H$362,7,false),1)="B","L","")),if(LEFT(VLOOKUP($B337,'Round 10'!$F$2:$H$362,3,false),1)="b","W",if(LEFT(VLOOKUP($B337,'Round 10'!$F$2:$H$362,3,false),1)="a","L",""))),"")</f>
        <v/>
      </c>
      <c r="N337" s="62" t="s">
        <v>738</v>
      </c>
    </row>
    <row r="338">
      <c r="A338" s="63">
        <v>337.0</v>
      </c>
      <c r="B338" s="64" t="s">
        <v>739</v>
      </c>
      <c r="C338" s="65" t="str">
        <f t="shared" si="1"/>
        <v>3 - 3</v>
      </c>
      <c r="D338" s="67" t="str">
        <f>iferror(if(LEFT(VLOOKUP($B338,'Round 1'!$B$2:$H$361,7,false),1)="A","W",if(LEFT(VLOOKUP($B338,'Round 1'!$B$2:$H$361,7,false),1)="B","L","")),if(LEFT(VLOOKUP($B338,'Round 1'!$F$2:$H$361,3,false),1)="b","W",if(LEFT(VLOOKUP($B338,'Round 1'!$F$2:$H$361,3,false),1)="a","L","")))</f>
        <v>W</v>
      </c>
      <c r="E338" s="67" t="str">
        <f>iferror(if(LEFT(VLOOKUP($B338,'Round 2'!$C$2:$J$361,8,false),1)="A","W",if(LEFT(VLOOKUP($B338,'Round 2'!$C$2:$J$361,8,false),1)="B","L","")),if(LEFT(VLOOKUP($B338,'Round 2'!$G$2:$J$361,4,false),1)="b","W",if(LEFT(VLOOKUP($B338,'Round 2'!$G$2:$J$361,4,false),1)="a","L","")))</f>
        <v>W</v>
      </c>
      <c r="F338" s="67" t="str">
        <f>iferror(if(LEFT(VLOOKUP($B338,'Round 3'!$B$2:$H$361,7,false),1)="A","W",if(LEFT(VLOOKUP($B338,'Round 3'!$B$2:$H$361,7,false),1)="B","L","")),if(LEFT(VLOOKUP($B338,'Round 3'!$F$2:$H$361,3,false),1)="b","W",if(LEFT(VLOOKUP($B338,'Round 3'!$F$2:$H$361,3,false),1)="a","L","")))</f>
        <v>L</v>
      </c>
      <c r="G338" s="67" t="str">
        <f>iferror(if(LEFT(VLOOKUP($B338,'Round 4'!$B$2:$H$361,7,false),1)="A","W",if(LEFT(VLOOKUP($B338,'Round 4'!$B$2:$H$361,7,false),1)="B","L","")),if(LEFT(VLOOKUP($B338,'Round 4'!$F$2:$H$361,3,false),1)="b","W",if(LEFT(VLOOKUP($B338,'Round 4'!$F$2:$H$361,3,false),1)="a","L","")))</f>
        <v>W</v>
      </c>
      <c r="H338" s="67" t="str">
        <f>iferror(if(LEFT(VLOOKUP($B338,'Round 5'!$B$2:$H$361,7,false),1)="A","W",if(LEFT(VLOOKUP($B338,'Round 5'!$B$2:$H$361,7,false),1)="B","L","")),if(LEFT(VLOOKUP($B338,'Round 5'!$F$2:$H$361,3,false),1)="b","W",if(LEFT(VLOOKUP($B338,'Round 5'!$F$2:$H$361,3,false),1)="a","L","")))</f>
        <v>L</v>
      </c>
      <c r="I338" s="67" t="str">
        <f>iferror(if(LEFT(VLOOKUP($B338,'Round 6'!$B$2:$H$361,7,false),1)="A","W",if(LEFT(VLOOKUP($B338,'Round 6'!$B$2:$H$361,7,false),1)="B","L","")),if(LEFT(VLOOKUP($B338,'Round 6'!$F$2:$H$361,3,false),1)="b","W",if(LEFT(VLOOKUP($B338,'Round 6'!$F$2:$H$361,3,false),1)="a","L","")))</f>
        <v>L</v>
      </c>
      <c r="J338" s="67" t="str">
        <f>iferror(iferror(if(LEFT(VLOOKUP($B338,'Round 7'!$B$2:$H$361,7,false),1)="A","W",if(LEFT(VLOOKUP($B338,'Round 7'!$B$2:$H$361,7,false),1)="B","L","")),if(LEFT(VLOOKUP($B338,'Round 7'!$F$2:$H$361,3,false),1)="b","W",if(LEFT(VLOOKUP($B338,'Round 7'!$F$2:$H$361,3,false),1)="a","L",""))),"")</f>
        <v/>
      </c>
      <c r="K338" s="68" t="str">
        <f>iferror(iferror(if(LEFT(VLOOKUP($B338,'Round 8'!$B$2:$H$361,7,false),1)="A","W",if(LEFT(VLOOKUP($B338,'Round 8'!$B$2:$H$361,7,false),1)="B","L","")),if(LEFT(VLOOKUP($B338,'Round 8'!$F$2:$H$361,3,false),1)="b","W",if(LEFT(VLOOKUP($B338,'Round 8'!$F$2:$H$361,3,false),1)="a","L",""))),"")</f>
        <v/>
      </c>
      <c r="L338" s="68" t="str">
        <f>iferror(iferror(if(LEFT(VLOOKUP($B338,'Round 9'!$B$2:$H$361,7,false),1)="A","W",if(LEFT(VLOOKUP($B338,'Round 9'!$B$2:$H$361,7,false),1)="B","L","")),if(LEFT(VLOOKUP($B338,'Round 9'!$F$2:$H$361,3,false),1)="b","W",if(LEFT(VLOOKUP($B338,'Round 9'!$F$2:$H$361,3,false),1)="a","L",""))),"")</f>
        <v/>
      </c>
      <c r="M338" s="68" t="str">
        <f>iferror(iferror(if(LEFT(VLOOKUP($B338,'Round 10'!$B$2:$H$362,7,false),1)="A","W",if(LEFT(VLOOKUP($B338,'Round 10'!$B$2:$H$362,7,false),1)="B","L","")),if(LEFT(VLOOKUP($B338,'Round 10'!$F$2:$H$362,3,false),1)="b","W",if(LEFT(VLOOKUP($B338,'Round 10'!$F$2:$H$362,3,false),1)="a","L",""))),"")</f>
        <v/>
      </c>
      <c r="N338" s="62" t="s">
        <v>740</v>
      </c>
    </row>
    <row r="339">
      <c r="A339" s="63">
        <v>338.0</v>
      </c>
      <c r="B339" s="64" t="s">
        <v>741</v>
      </c>
      <c r="C339" s="65" t="str">
        <f t="shared" si="1"/>
        <v>5 - 3</v>
      </c>
      <c r="D339" s="67" t="str">
        <f>iferror(if(LEFT(VLOOKUP($B339,'Round 1'!$B$2:$H$361,7,false),1)="A","W",if(LEFT(VLOOKUP($B339,'Round 1'!$B$2:$H$361,7,false),1)="B","L","")),if(LEFT(VLOOKUP($B339,'Round 1'!$F$2:$H$361,3,false),1)="b","W",if(LEFT(VLOOKUP($B339,'Round 1'!$F$2:$H$361,3,false),1)="a","L","")))</f>
        <v>W</v>
      </c>
      <c r="E339" s="67" t="str">
        <f>iferror(if(LEFT(VLOOKUP($B339,'Round 2'!$C$2:$J$361,8,false),1)="A","W",if(LEFT(VLOOKUP($B339,'Round 2'!$C$2:$J$361,8,false),1)="B","L","")),if(LEFT(VLOOKUP($B339,'Round 2'!$G$2:$J$361,4,false),1)="b","W",if(LEFT(VLOOKUP($B339,'Round 2'!$G$2:$J$361,4,false),1)="a","L","")))</f>
        <v>W</v>
      </c>
      <c r="F339" s="67" t="str">
        <f>iferror(if(LEFT(VLOOKUP($B339,'Round 3'!$B$2:$H$361,7,false),1)="A","W",if(LEFT(VLOOKUP($B339,'Round 3'!$B$2:$H$361,7,false),1)="B","L","")),if(LEFT(VLOOKUP($B339,'Round 3'!$F$2:$H$361,3,false),1)="b","W",if(LEFT(VLOOKUP($B339,'Round 3'!$F$2:$H$361,3,false),1)="a","L","")))</f>
        <v>W</v>
      </c>
      <c r="G339" s="67" t="str">
        <f>iferror(if(LEFT(VLOOKUP($B339,'Round 4'!$B$2:$H$361,7,false),1)="A","W",if(LEFT(VLOOKUP($B339,'Round 4'!$B$2:$H$361,7,false),1)="B","L","")),if(LEFT(VLOOKUP($B339,'Round 4'!$F$2:$H$361,3,false),1)="b","W",if(LEFT(VLOOKUP($B339,'Round 4'!$F$2:$H$361,3,false),1)="a","L","")))</f>
        <v>L</v>
      </c>
      <c r="H339" s="67" t="str">
        <f>iferror(if(LEFT(VLOOKUP($B339,'Round 5'!$B$2:$H$361,7,false),1)="A","W",if(LEFT(VLOOKUP($B339,'Round 5'!$B$2:$H$361,7,false),1)="B","L","")),if(LEFT(VLOOKUP($B339,'Round 5'!$F$2:$H$361,3,false),1)="b","W",if(LEFT(VLOOKUP($B339,'Round 5'!$F$2:$H$361,3,false),1)="a","L","")))</f>
        <v>W</v>
      </c>
      <c r="I339" s="67" t="str">
        <f>iferror(if(LEFT(VLOOKUP($B339,'Round 6'!$B$2:$H$361,7,false),1)="A","W",if(LEFT(VLOOKUP($B339,'Round 6'!$B$2:$H$361,7,false),1)="B","L","")),if(LEFT(VLOOKUP($B339,'Round 6'!$F$2:$H$361,3,false),1)="b","W",if(LEFT(VLOOKUP($B339,'Round 6'!$F$2:$H$361,3,false),1)="a","L","")))</f>
        <v>L</v>
      </c>
      <c r="J339" s="67" t="str">
        <f>iferror(iferror(if(LEFT(VLOOKUP($B339,'Round 7'!$B$2:$H$361,7,false),1)="A","W",if(LEFT(VLOOKUP($B339,'Round 7'!$B$2:$H$361,7,false),1)="B","L","")),if(LEFT(VLOOKUP($B339,'Round 7'!$F$2:$H$361,3,false),1)="b","W",if(LEFT(VLOOKUP($B339,'Round 7'!$F$2:$H$361,3,false),1)="a","L",""))),"")</f>
        <v>W</v>
      </c>
      <c r="K339" s="68" t="str">
        <f>iferror(iferror(if(LEFT(VLOOKUP($B339,'Round 8'!$B$2:$H$361,7,false),1)="A","W",if(LEFT(VLOOKUP($B339,'Round 8'!$B$2:$H$361,7,false),1)="B","L","")),if(LEFT(VLOOKUP($B339,'Round 8'!$F$2:$H$361,3,false),1)="b","W",if(LEFT(VLOOKUP($B339,'Round 8'!$F$2:$H$361,3,false),1)="a","L",""))),"")</f>
        <v>L</v>
      </c>
      <c r="L339" s="68" t="str">
        <f>iferror(iferror(if(LEFT(VLOOKUP($B339,'Round 9'!$B$2:$H$361,7,false),1)="A","W",if(LEFT(VLOOKUP($B339,'Round 9'!$B$2:$H$361,7,false),1)="B","L","")),if(LEFT(VLOOKUP($B339,'Round 9'!$F$2:$H$361,3,false),1)="b","W",if(LEFT(VLOOKUP($B339,'Round 9'!$F$2:$H$361,3,false),1)="a","L",""))),"")</f>
        <v/>
      </c>
      <c r="M339" s="68" t="str">
        <f>iferror(iferror(if(LEFT(VLOOKUP($B339,'Round 10'!$B$2:$H$362,7,false),1)="A","W",if(LEFT(VLOOKUP($B339,'Round 10'!$B$2:$H$362,7,false),1)="B","L","")),if(LEFT(VLOOKUP($B339,'Round 10'!$F$2:$H$362,3,false),1)="b","W",if(LEFT(VLOOKUP($B339,'Round 10'!$F$2:$H$362,3,false),1)="a","L",""))),"")</f>
        <v/>
      </c>
      <c r="N339" s="62" t="s">
        <v>742</v>
      </c>
    </row>
    <row r="340">
      <c r="A340" s="63">
        <v>339.0</v>
      </c>
      <c r="B340" s="64" t="s">
        <v>743</v>
      </c>
      <c r="C340" s="65" t="str">
        <f t="shared" si="1"/>
        <v>5 - 3</v>
      </c>
      <c r="D340" s="67" t="str">
        <f>iferror(if(LEFT(VLOOKUP($B340,'Round 1'!$B$2:$H$361,7,false),1)="A","W",if(LEFT(VLOOKUP($B340,'Round 1'!$B$2:$H$361,7,false),1)="B","L","")),if(LEFT(VLOOKUP($B340,'Round 1'!$F$2:$H$361,3,false),1)="b","W",if(LEFT(VLOOKUP($B340,'Round 1'!$F$2:$H$361,3,false),1)="a","L","")))</f>
        <v>W</v>
      </c>
      <c r="E340" s="67" t="str">
        <f>iferror(if(LEFT(VLOOKUP($B340,'Round 2'!$C$2:$J$361,8,false),1)="A","W",if(LEFT(VLOOKUP($B340,'Round 2'!$C$2:$J$361,8,false),1)="B","L","")),if(LEFT(VLOOKUP($B340,'Round 2'!$G$2:$J$361,4,false),1)="b","W",if(LEFT(VLOOKUP($B340,'Round 2'!$G$2:$J$361,4,false),1)="a","L","")))</f>
        <v>L</v>
      </c>
      <c r="F340" s="67" t="str">
        <f>iferror(if(LEFT(VLOOKUP($B340,'Round 3'!$B$2:$H$361,7,false),1)="A","W",if(LEFT(VLOOKUP($B340,'Round 3'!$B$2:$H$361,7,false),1)="B","L","")),if(LEFT(VLOOKUP($B340,'Round 3'!$F$2:$H$361,3,false),1)="b","W",if(LEFT(VLOOKUP($B340,'Round 3'!$F$2:$H$361,3,false),1)="a","L","")))</f>
        <v>W</v>
      </c>
      <c r="G340" s="67" t="str">
        <f>iferror(if(LEFT(VLOOKUP($B340,'Round 4'!$B$2:$H$361,7,false),1)="A","W",if(LEFT(VLOOKUP($B340,'Round 4'!$B$2:$H$361,7,false),1)="B","L","")),if(LEFT(VLOOKUP($B340,'Round 4'!$F$2:$H$361,3,false),1)="b","W",if(LEFT(VLOOKUP($B340,'Round 4'!$F$2:$H$361,3,false),1)="a","L","")))</f>
        <v>W</v>
      </c>
      <c r="H340" s="67" t="str">
        <f>iferror(if(LEFT(VLOOKUP($B340,'Round 5'!$B$2:$H$361,7,false),1)="A","W",if(LEFT(VLOOKUP($B340,'Round 5'!$B$2:$H$361,7,false),1)="B","L","")),if(LEFT(VLOOKUP($B340,'Round 5'!$F$2:$H$361,3,false),1)="b","W",if(LEFT(VLOOKUP($B340,'Round 5'!$F$2:$H$361,3,false),1)="a","L","")))</f>
        <v>L</v>
      </c>
      <c r="I340" s="67" t="str">
        <f>iferror(if(LEFT(VLOOKUP($B340,'Round 6'!$B$2:$H$361,7,false),1)="A","W",if(LEFT(VLOOKUP($B340,'Round 6'!$B$2:$H$361,7,false),1)="B","L","")),if(LEFT(VLOOKUP($B340,'Round 6'!$F$2:$H$361,3,false),1)="b","W",if(LEFT(VLOOKUP($B340,'Round 6'!$F$2:$H$361,3,false),1)="a","L","")))</f>
        <v>W</v>
      </c>
      <c r="J340" s="67" t="str">
        <f>iferror(iferror(if(LEFT(VLOOKUP($B340,'Round 7'!$B$2:$H$361,7,false),1)="A","W",if(LEFT(VLOOKUP($B340,'Round 7'!$B$2:$H$361,7,false),1)="B","L","")),if(LEFT(VLOOKUP($B340,'Round 7'!$F$2:$H$361,3,false),1)="b","W",if(LEFT(VLOOKUP($B340,'Round 7'!$F$2:$H$361,3,false),1)="a","L",""))),"")</f>
        <v>W</v>
      </c>
      <c r="K340" s="68" t="str">
        <f>iferror(iferror(if(LEFT(VLOOKUP($B340,'Round 8'!$B$2:$H$361,7,false),1)="A","W",if(LEFT(VLOOKUP($B340,'Round 8'!$B$2:$H$361,7,false),1)="B","L","")),if(LEFT(VLOOKUP($B340,'Round 8'!$F$2:$H$361,3,false),1)="b","W",if(LEFT(VLOOKUP($B340,'Round 8'!$F$2:$H$361,3,false),1)="a","L",""))),"")</f>
        <v>L</v>
      </c>
      <c r="L340" s="68" t="str">
        <f>iferror(iferror(if(LEFT(VLOOKUP($B340,'Round 9'!$B$2:$H$361,7,false),1)="A","W",if(LEFT(VLOOKUP($B340,'Round 9'!$B$2:$H$361,7,false),1)="B","L","")),if(LEFT(VLOOKUP($B340,'Round 9'!$F$2:$H$361,3,false),1)="b","W",if(LEFT(VLOOKUP($B340,'Round 9'!$F$2:$H$361,3,false),1)="a","L",""))),"")</f>
        <v/>
      </c>
      <c r="M340" s="68" t="str">
        <f>iferror(iferror(if(LEFT(VLOOKUP($B340,'Round 10'!$B$2:$H$362,7,false),1)="A","W",if(LEFT(VLOOKUP($B340,'Round 10'!$B$2:$H$362,7,false),1)="B","L","")),if(LEFT(VLOOKUP($B340,'Round 10'!$F$2:$H$362,3,false),1)="b","W",if(LEFT(VLOOKUP($B340,'Round 10'!$F$2:$H$362,3,false),1)="a","L",""))),"")</f>
        <v/>
      </c>
      <c r="N340" s="62" t="s">
        <v>744</v>
      </c>
    </row>
    <row r="341">
      <c r="A341" s="63">
        <v>340.0</v>
      </c>
      <c r="B341" s="64" t="s">
        <v>745</v>
      </c>
      <c r="C341" s="65" t="str">
        <f t="shared" si="1"/>
        <v>0 - 3</v>
      </c>
      <c r="D341" s="67" t="str">
        <f>iferror(if(LEFT(VLOOKUP($B341,'Round 1'!$B$2:$H$361,7,false),1)="A","W",if(LEFT(VLOOKUP($B341,'Round 1'!$B$2:$H$361,7,false),1)="B","L","")),if(LEFT(VLOOKUP($B341,'Round 1'!$F$2:$H$361,3,false),1)="b","W",if(LEFT(VLOOKUP($B341,'Round 1'!$F$2:$H$361,3,false),1)="a","L","")))</f>
        <v>L</v>
      </c>
      <c r="E341" s="67" t="str">
        <f>iferror(if(LEFT(VLOOKUP($B341,'Round 2'!$C$2:$J$361,8,false),1)="A","W",if(LEFT(VLOOKUP($B341,'Round 2'!$C$2:$J$361,8,false),1)="B","L","")),if(LEFT(VLOOKUP($B341,'Round 2'!$G$2:$J$361,4,false),1)="b","W",if(LEFT(VLOOKUP($B341,'Round 2'!$G$2:$J$361,4,false),1)="a","L","")))</f>
        <v>L</v>
      </c>
      <c r="F341" s="67" t="str">
        <f>iferror(if(LEFT(VLOOKUP($B341,'Round 3'!$B$2:$H$361,7,false),1)="A","W",if(LEFT(VLOOKUP($B341,'Round 3'!$B$2:$H$361,7,false),1)="B","L","")),if(LEFT(VLOOKUP($B341,'Round 3'!$F$2:$H$361,3,false),1)="b","W",if(LEFT(VLOOKUP($B341,'Round 3'!$F$2:$H$361,3,false),1)="a","L","")))</f>
        <v>L</v>
      </c>
      <c r="G341" s="67"/>
      <c r="H341" s="67"/>
      <c r="I341" s="67"/>
      <c r="J341" s="67" t="str">
        <f>iferror(iferror(if(LEFT(VLOOKUP($B341,'Round 7'!$B$2:$H$361,7,false),1)="A","W",if(LEFT(VLOOKUP($B341,'Round 7'!$B$2:$H$361,7,false),1)="B","L","")),if(LEFT(VLOOKUP($B341,'Round 7'!$F$2:$H$361,3,false),1)="b","W",if(LEFT(VLOOKUP($B341,'Round 7'!$F$2:$H$361,3,false),1)="a","L",""))),"")</f>
        <v/>
      </c>
      <c r="K341" s="68" t="str">
        <f>iferror(iferror(if(LEFT(VLOOKUP($B341,'Round 8'!$B$2:$H$361,7,false),1)="A","W",if(LEFT(VLOOKUP($B341,'Round 8'!$B$2:$H$361,7,false),1)="B","L","")),if(LEFT(VLOOKUP($B341,'Round 8'!$F$2:$H$361,3,false),1)="b","W",if(LEFT(VLOOKUP($B341,'Round 8'!$F$2:$H$361,3,false),1)="a","L",""))),"")</f>
        <v/>
      </c>
      <c r="L341" s="68" t="str">
        <f>iferror(iferror(if(LEFT(VLOOKUP($B341,'Round 9'!$B$2:$H$361,7,false),1)="A","W",if(LEFT(VLOOKUP($B341,'Round 9'!$B$2:$H$361,7,false),1)="B","L","")),if(LEFT(VLOOKUP($B341,'Round 9'!$F$2:$H$361,3,false),1)="b","W",if(LEFT(VLOOKUP($B341,'Round 9'!$F$2:$H$361,3,false),1)="a","L",""))),"")</f>
        <v/>
      </c>
      <c r="M341" s="68" t="str">
        <f>iferror(iferror(if(LEFT(VLOOKUP($B341,'Round 10'!$B$2:$H$362,7,false),1)="A","W",if(LEFT(VLOOKUP($B341,'Round 10'!$B$2:$H$362,7,false),1)="B","L","")),if(LEFT(VLOOKUP($B341,'Round 10'!$F$2:$H$362,3,false),1)="b","W",if(LEFT(VLOOKUP($B341,'Round 10'!$F$2:$H$362,3,false),1)="a","L",""))),"")</f>
        <v/>
      </c>
      <c r="N341" s="62" t="s">
        <v>746</v>
      </c>
    </row>
    <row r="342">
      <c r="A342" s="63">
        <v>341.0</v>
      </c>
      <c r="B342" s="64" t="s">
        <v>747</v>
      </c>
      <c r="C342" s="65" t="str">
        <f t="shared" si="1"/>
        <v>2 - 3</v>
      </c>
      <c r="D342" s="67" t="str">
        <f>iferror(if(LEFT(VLOOKUP($B342,'Round 1'!$B$2:$H$361,7,false),1)="A","W",if(LEFT(VLOOKUP($B342,'Round 1'!$B$2:$H$361,7,false),1)="B","L","")),if(LEFT(VLOOKUP($B342,'Round 1'!$F$2:$H$361,3,false),1)="b","W",if(LEFT(VLOOKUP($B342,'Round 1'!$F$2:$H$361,3,false),1)="a","L","")))</f>
        <v>W</v>
      </c>
      <c r="E342" s="67" t="str">
        <f>iferror(if(LEFT(VLOOKUP($B342,'Round 2'!$C$2:$J$361,8,false),1)="A","W",if(LEFT(VLOOKUP($B342,'Round 2'!$C$2:$J$361,8,false),1)="B","L","")),if(LEFT(VLOOKUP($B342,'Round 2'!$G$2:$J$361,4,false),1)="b","W",if(LEFT(VLOOKUP($B342,'Round 2'!$G$2:$J$361,4,false),1)="a","L","")))</f>
        <v>L</v>
      </c>
      <c r="F342" s="67" t="str">
        <f>iferror(if(LEFT(VLOOKUP($B342,'Round 3'!$B$2:$H$361,7,false),1)="A","W",if(LEFT(VLOOKUP($B342,'Round 3'!$B$2:$H$361,7,false),1)="B","L","")),if(LEFT(VLOOKUP($B342,'Round 3'!$F$2:$H$361,3,false),1)="b","W",if(LEFT(VLOOKUP($B342,'Round 3'!$F$2:$H$361,3,false),1)="a","L","")))</f>
        <v>L</v>
      </c>
      <c r="G342" s="67" t="str">
        <f>iferror(if(LEFT(VLOOKUP($B342,'Round 4'!$B$2:$H$361,7,false),1)="A","W",if(LEFT(VLOOKUP($B342,'Round 4'!$B$2:$H$361,7,false),1)="B","L","")),if(LEFT(VLOOKUP($B342,'Round 4'!$F$2:$H$361,3,false),1)="b","W",if(LEFT(VLOOKUP($B342,'Round 4'!$F$2:$H$361,3,false),1)="a","L","")))</f>
        <v>W</v>
      </c>
      <c r="H342" s="67" t="str">
        <f>iferror(if(LEFT(VLOOKUP($B342,'Round 5'!$B$2:$H$361,7,false),1)="A","W",if(LEFT(VLOOKUP($B342,'Round 5'!$B$2:$H$361,7,false),1)="B","L","")),if(LEFT(VLOOKUP($B342,'Round 5'!$F$2:$H$361,3,false),1)="b","W",if(LEFT(VLOOKUP($B342,'Round 5'!$F$2:$H$361,3,false),1)="a","L","")))</f>
        <v>L</v>
      </c>
      <c r="I342" s="67"/>
      <c r="J342" s="67" t="str">
        <f>iferror(iferror(if(LEFT(VLOOKUP($B342,'Round 7'!$B$2:$H$361,7,false),1)="A","W",if(LEFT(VLOOKUP($B342,'Round 7'!$B$2:$H$361,7,false),1)="B","L","")),if(LEFT(VLOOKUP($B342,'Round 7'!$F$2:$H$361,3,false),1)="b","W",if(LEFT(VLOOKUP($B342,'Round 7'!$F$2:$H$361,3,false),1)="a","L",""))),"")</f>
        <v/>
      </c>
      <c r="K342" s="68" t="str">
        <f>iferror(iferror(if(LEFT(VLOOKUP($B342,'Round 8'!$B$2:$H$361,7,false),1)="A","W",if(LEFT(VLOOKUP($B342,'Round 8'!$B$2:$H$361,7,false),1)="B","L","")),if(LEFT(VLOOKUP($B342,'Round 8'!$F$2:$H$361,3,false),1)="b","W",if(LEFT(VLOOKUP($B342,'Round 8'!$F$2:$H$361,3,false),1)="a","L",""))),"")</f>
        <v/>
      </c>
      <c r="L342" s="68" t="str">
        <f>iferror(iferror(if(LEFT(VLOOKUP($B342,'Round 9'!$B$2:$H$361,7,false),1)="A","W",if(LEFT(VLOOKUP($B342,'Round 9'!$B$2:$H$361,7,false),1)="B","L","")),if(LEFT(VLOOKUP($B342,'Round 9'!$F$2:$H$361,3,false),1)="b","W",if(LEFT(VLOOKUP($B342,'Round 9'!$F$2:$H$361,3,false),1)="a","L",""))),"")</f>
        <v/>
      </c>
      <c r="M342" s="68" t="str">
        <f>iferror(iferror(if(LEFT(VLOOKUP($B342,'Round 10'!$B$2:$H$362,7,false),1)="A","W",if(LEFT(VLOOKUP($B342,'Round 10'!$B$2:$H$362,7,false),1)="B","L","")),if(LEFT(VLOOKUP($B342,'Round 10'!$F$2:$H$362,3,false),1)="b","W",if(LEFT(VLOOKUP($B342,'Round 10'!$F$2:$H$362,3,false),1)="a","L",""))),"")</f>
        <v/>
      </c>
      <c r="N342" s="62" t="s">
        <v>748</v>
      </c>
    </row>
    <row r="343">
      <c r="A343" s="63">
        <v>342.0</v>
      </c>
      <c r="B343" s="64" t="s">
        <v>749</v>
      </c>
      <c r="C343" s="65" t="str">
        <f t="shared" si="1"/>
        <v>0 - 3</v>
      </c>
      <c r="D343" s="67" t="str">
        <f>iferror(if(LEFT(VLOOKUP($B343,'Round 1'!$B$2:$H$361,7,false),1)="A","W",if(LEFT(VLOOKUP($B343,'Round 1'!$B$2:$H$361,7,false),1)="B","L","")),if(LEFT(VLOOKUP($B343,'Round 1'!$F$2:$H$361,3,false),1)="b","W",if(LEFT(VLOOKUP($B343,'Round 1'!$F$2:$H$361,3,false),1)="a","L","")))</f>
        <v>L</v>
      </c>
      <c r="E343" s="67" t="str">
        <f>iferror(if(LEFT(VLOOKUP($B343,'Round 2'!$C$2:$J$361,8,false),1)="A","W",if(LEFT(VLOOKUP($B343,'Round 2'!$C$2:$J$361,8,false),1)="B","L","")),if(LEFT(VLOOKUP($B343,'Round 2'!$G$2:$J$361,4,false),1)="b","W",if(LEFT(VLOOKUP($B343,'Round 2'!$G$2:$J$361,4,false),1)="a","L","")))</f>
        <v>L</v>
      </c>
      <c r="F343" s="67" t="str">
        <f>iferror(if(LEFT(VLOOKUP($B343,'Round 3'!$B$2:$H$361,7,false),1)="A","W",if(LEFT(VLOOKUP($B343,'Round 3'!$B$2:$H$361,7,false),1)="B","L","")),if(LEFT(VLOOKUP($B343,'Round 3'!$F$2:$H$361,3,false),1)="b","W",if(LEFT(VLOOKUP($B343,'Round 3'!$F$2:$H$361,3,false),1)="a","L","")))</f>
        <v>L</v>
      </c>
      <c r="G343" s="67"/>
      <c r="H343" s="67"/>
      <c r="I343" s="67"/>
      <c r="J343" s="67" t="str">
        <f>iferror(iferror(if(LEFT(VLOOKUP($B343,'Round 7'!$B$2:$H$361,7,false),1)="A","W",if(LEFT(VLOOKUP($B343,'Round 7'!$B$2:$H$361,7,false),1)="B","L","")),if(LEFT(VLOOKUP($B343,'Round 7'!$F$2:$H$361,3,false),1)="b","W",if(LEFT(VLOOKUP($B343,'Round 7'!$F$2:$H$361,3,false),1)="a","L",""))),"")</f>
        <v/>
      </c>
      <c r="K343" s="68" t="str">
        <f>iferror(iferror(if(LEFT(VLOOKUP($B343,'Round 8'!$B$2:$H$361,7,false),1)="A","W",if(LEFT(VLOOKUP($B343,'Round 8'!$B$2:$H$361,7,false),1)="B","L","")),if(LEFT(VLOOKUP($B343,'Round 8'!$F$2:$H$361,3,false),1)="b","W",if(LEFT(VLOOKUP($B343,'Round 8'!$F$2:$H$361,3,false),1)="a","L",""))),"")</f>
        <v/>
      </c>
      <c r="L343" s="68" t="str">
        <f>iferror(iferror(if(LEFT(VLOOKUP($B343,'Round 9'!$B$2:$H$361,7,false),1)="A","W",if(LEFT(VLOOKUP($B343,'Round 9'!$B$2:$H$361,7,false),1)="B","L","")),if(LEFT(VLOOKUP($B343,'Round 9'!$F$2:$H$361,3,false),1)="b","W",if(LEFT(VLOOKUP($B343,'Round 9'!$F$2:$H$361,3,false),1)="a","L",""))),"")</f>
        <v/>
      </c>
      <c r="M343" s="68" t="str">
        <f>iferror(iferror(if(LEFT(VLOOKUP($B343,'Round 10'!$B$2:$H$362,7,false),1)="A","W",if(LEFT(VLOOKUP($B343,'Round 10'!$B$2:$H$362,7,false),1)="B","L","")),if(LEFT(VLOOKUP($B343,'Round 10'!$F$2:$H$362,3,false),1)="b","W",if(LEFT(VLOOKUP($B343,'Round 10'!$F$2:$H$362,3,false),1)="a","L",""))),"")</f>
        <v/>
      </c>
      <c r="N343" s="62" t="s">
        <v>750</v>
      </c>
    </row>
    <row r="344">
      <c r="A344" s="63">
        <v>343.0</v>
      </c>
      <c r="B344" s="64" t="s">
        <v>751</v>
      </c>
      <c r="C344" s="65" t="str">
        <f t="shared" si="1"/>
        <v>4 - 3</v>
      </c>
      <c r="D344" s="67" t="str">
        <f>iferror(if(LEFT(VLOOKUP($B344,'Round 1'!$B$2:$H$361,7,false),1)="A","W",if(LEFT(VLOOKUP($B344,'Round 1'!$B$2:$H$361,7,false),1)="B","L","")),if(LEFT(VLOOKUP($B344,'Round 1'!$F$2:$H$361,3,false),1)="b","W",if(LEFT(VLOOKUP($B344,'Round 1'!$F$2:$H$361,3,false),1)="a","L","")))</f>
        <v>W</v>
      </c>
      <c r="E344" s="67" t="str">
        <f>iferror(if(LEFT(VLOOKUP($B344,'Round 2'!$C$2:$J$361,8,false),1)="A","W",if(LEFT(VLOOKUP($B344,'Round 2'!$C$2:$J$361,8,false),1)="B","L","")),if(LEFT(VLOOKUP($B344,'Round 2'!$G$2:$J$361,4,false),1)="b","W",if(LEFT(VLOOKUP($B344,'Round 2'!$G$2:$J$361,4,false),1)="a","L","")))</f>
        <v>L</v>
      </c>
      <c r="F344" s="67" t="str">
        <f>iferror(if(LEFT(VLOOKUP($B344,'Round 3'!$B$2:$H$361,7,false),1)="A","W",if(LEFT(VLOOKUP($B344,'Round 3'!$B$2:$H$361,7,false),1)="B","L","")),if(LEFT(VLOOKUP($B344,'Round 3'!$F$2:$H$361,3,false),1)="b","W",if(LEFT(VLOOKUP($B344,'Round 3'!$F$2:$H$361,3,false),1)="a","L","")))</f>
        <v>W</v>
      </c>
      <c r="G344" s="67" t="str">
        <f>iferror(if(LEFT(VLOOKUP($B344,'Round 4'!$B$2:$H$361,7,false),1)="A","W",if(LEFT(VLOOKUP($B344,'Round 4'!$B$2:$H$361,7,false),1)="B","L","")),if(LEFT(VLOOKUP($B344,'Round 4'!$F$2:$H$361,3,false),1)="b","W",if(LEFT(VLOOKUP($B344,'Round 4'!$F$2:$H$361,3,false),1)="a","L","")))</f>
        <v>W</v>
      </c>
      <c r="H344" s="67" t="str">
        <f>iferror(if(LEFT(VLOOKUP($B344,'Round 5'!$B$2:$H$361,7,false),1)="A","W",if(LEFT(VLOOKUP($B344,'Round 5'!$B$2:$H$361,7,false),1)="B","L","")),if(LEFT(VLOOKUP($B344,'Round 5'!$F$2:$H$361,3,false),1)="b","W",if(LEFT(VLOOKUP($B344,'Round 5'!$F$2:$H$361,3,false),1)="a","L","")))</f>
        <v>W</v>
      </c>
      <c r="I344" s="67" t="str">
        <f>iferror(if(LEFT(VLOOKUP($B344,'Round 6'!$B$2:$H$361,7,false),1)="A","W",if(LEFT(VLOOKUP($B344,'Round 6'!$B$2:$H$361,7,false),1)="B","L","")),if(LEFT(VLOOKUP($B344,'Round 6'!$F$2:$H$361,3,false),1)="b","W",if(LEFT(VLOOKUP($B344,'Round 6'!$F$2:$H$361,3,false),1)="a","L","")))</f>
        <v>L</v>
      </c>
      <c r="J344" s="67" t="str">
        <f>iferror(iferror(if(LEFT(VLOOKUP($B344,'Round 7'!$B$2:$H$361,7,false),1)="A","W",if(LEFT(VLOOKUP($B344,'Round 7'!$B$2:$H$361,7,false),1)="B","L","")),if(LEFT(VLOOKUP($B344,'Round 7'!$F$2:$H$361,3,false),1)="b","W",if(LEFT(VLOOKUP($B344,'Round 7'!$F$2:$H$361,3,false),1)="a","L",""))),"")</f>
        <v>L</v>
      </c>
      <c r="K344" s="68" t="str">
        <f>iferror(iferror(if(LEFT(VLOOKUP($B344,'Round 8'!$B$2:$H$361,7,false),1)="A","W",if(LEFT(VLOOKUP($B344,'Round 8'!$B$2:$H$361,7,false),1)="B","L","")),if(LEFT(VLOOKUP($B344,'Round 8'!$F$2:$H$361,3,false),1)="b","W",if(LEFT(VLOOKUP($B344,'Round 8'!$F$2:$H$361,3,false),1)="a","L",""))),"")</f>
        <v/>
      </c>
      <c r="L344" s="68" t="str">
        <f>iferror(iferror(if(LEFT(VLOOKUP($B344,'Round 9'!$B$2:$H$361,7,false),1)="A","W",if(LEFT(VLOOKUP($B344,'Round 9'!$B$2:$H$361,7,false),1)="B","L","")),if(LEFT(VLOOKUP($B344,'Round 9'!$F$2:$H$361,3,false),1)="b","W",if(LEFT(VLOOKUP($B344,'Round 9'!$F$2:$H$361,3,false),1)="a","L",""))),"")</f>
        <v/>
      </c>
      <c r="M344" s="68" t="str">
        <f>iferror(iferror(if(LEFT(VLOOKUP($B344,'Round 10'!$B$2:$H$362,7,false),1)="A","W",if(LEFT(VLOOKUP($B344,'Round 10'!$B$2:$H$362,7,false),1)="B","L","")),if(LEFT(VLOOKUP($B344,'Round 10'!$F$2:$H$362,3,false),1)="b","W",if(LEFT(VLOOKUP($B344,'Round 10'!$F$2:$H$362,3,false),1)="a","L",""))),"")</f>
        <v/>
      </c>
      <c r="N344" s="62" t="s">
        <v>752</v>
      </c>
    </row>
    <row r="345">
      <c r="A345" s="63">
        <v>344.0</v>
      </c>
      <c r="B345" s="64" t="s">
        <v>753</v>
      </c>
      <c r="C345" s="65" t="str">
        <f t="shared" si="1"/>
        <v>2 - 3</v>
      </c>
      <c r="D345" s="67" t="str">
        <f>iferror(if(LEFT(VLOOKUP($B345,'Round 1'!$B$2:$H$361,7,false),1)="A","W",if(LEFT(VLOOKUP($B345,'Round 1'!$B$2:$H$361,7,false),1)="B","L","")),if(LEFT(VLOOKUP($B345,'Round 1'!$F$2:$H$361,3,false),1)="b","W",if(LEFT(VLOOKUP($B345,'Round 1'!$F$2:$H$361,3,false),1)="a","L","")))</f>
        <v>L</v>
      </c>
      <c r="E345" s="67" t="str">
        <f>iferror(if(LEFT(VLOOKUP($B345,'Round 2'!$C$2:$J$361,8,false),1)="A","W",if(LEFT(VLOOKUP($B345,'Round 2'!$C$2:$J$361,8,false),1)="B","L","")),if(LEFT(VLOOKUP($B345,'Round 2'!$G$2:$J$361,4,false),1)="b","W",if(LEFT(VLOOKUP($B345,'Round 2'!$G$2:$J$361,4,false),1)="a","L","")))</f>
        <v>W</v>
      </c>
      <c r="F345" s="67" t="str">
        <f>iferror(if(LEFT(VLOOKUP($B345,'Round 3'!$B$2:$H$361,7,false),1)="A","W",if(LEFT(VLOOKUP($B345,'Round 3'!$B$2:$H$361,7,false),1)="B","L","")),if(LEFT(VLOOKUP($B345,'Round 3'!$F$2:$H$361,3,false),1)="b","W",if(LEFT(VLOOKUP($B345,'Round 3'!$F$2:$H$361,3,false),1)="a","L","")))</f>
        <v>W</v>
      </c>
      <c r="G345" s="67" t="str">
        <f>iferror(if(LEFT(VLOOKUP($B345,'Round 4'!$B$2:$H$361,7,false),1)="A","W",if(LEFT(VLOOKUP($B345,'Round 4'!$B$2:$H$361,7,false),1)="B","L","")),if(LEFT(VLOOKUP($B345,'Round 4'!$F$2:$H$361,3,false),1)="b","W",if(LEFT(VLOOKUP($B345,'Round 4'!$F$2:$H$361,3,false),1)="a","L","")))</f>
        <v>L</v>
      </c>
      <c r="H345" s="67" t="str">
        <f>iferror(if(LEFT(VLOOKUP($B345,'Round 5'!$B$2:$H$361,7,false),1)="A","W",if(LEFT(VLOOKUP($B345,'Round 5'!$B$2:$H$361,7,false),1)="B","L","")),if(LEFT(VLOOKUP($B345,'Round 5'!$F$2:$H$361,3,false),1)="b","W",if(LEFT(VLOOKUP($B345,'Round 5'!$F$2:$H$361,3,false),1)="a","L","")))</f>
        <v>L</v>
      </c>
      <c r="I345" s="67"/>
      <c r="J345" s="67" t="str">
        <f>iferror(iferror(if(LEFT(VLOOKUP($B345,'Round 7'!$B$2:$H$361,7,false),1)="A","W",if(LEFT(VLOOKUP($B345,'Round 7'!$B$2:$H$361,7,false),1)="B","L","")),if(LEFT(VLOOKUP($B345,'Round 7'!$F$2:$H$361,3,false),1)="b","W",if(LEFT(VLOOKUP($B345,'Round 7'!$F$2:$H$361,3,false),1)="a","L",""))),"")</f>
        <v/>
      </c>
      <c r="K345" s="68" t="str">
        <f>iferror(iferror(if(LEFT(VLOOKUP($B345,'Round 8'!$B$2:$H$361,7,false),1)="A","W",if(LEFT(VLOOKUP($B345,'Round 8'!$B$2:$H$361,7,false),1)="B","L","")),if(LEFT(VLOOKUP($B345,'Round 8'!$F$2:$H$361,3,false),1)="b","W",if(LEFT(VLOOKUP($B345,'Round 8'!$F$2:$H$361,3,false),1)="a","L",""))),"")</f>
        <v/>
      </c>
      <c r="L345" s="68" t="str">
        <f>iferror(iferror(if(LEFT(VLOOKUP($B345,'Round 9'!$B$2:$H$361,7,false),1)="A","W",if(LEFT(VLOOKUP($B345,'Round 9'!$B$2:$H$361,7,false),1)="B","L","")),if(LEFT(VLOOKUP($B345,'Round 9'!$F$2:$H$361,3,false),1)="b","W",if(LEFT(VLOOKUP($B345,'Round 9'!$F$2:$H$361,3,false),1)="a","L",""))),"")</f>
        <v/>
      </c>
      <c r="M345" s="68" t="str">
        <f>iferror(iferror(if(LEFT(VLOOKUP($B345,'Round 10'!$B$2:$H$362,7,false),1)="A","W",if(LEFT(VLOOKUP($B345,'Round 10'!$B$2:$H$362,7,false),1)="B","L","")),if(LEFT(VLOOKUP($B345,'Round 10'!$F$2:$H$362,3,false),1)="b","W",if(LEFT(VLOOKUP($B345,'Round 10'!$F$2:$H$362,3,false),1)="a","L",""))),"")</f>
        <v/>
      </c>
      <c r="N345" s="62" t="s">
        <v>754</v>
      </c>
    </row>
    <row r="346">
      <c r="A346" s="63">
        <v>345.0</v>
      </c>
      <c r="B346" s="64" t="s">
        <v>755</v>
      </c>
      <c r="C346" s="65" t="str">
        <f t="shared" si="1"/>
        <v>2 - 3</v>
      </c>
      <c r="D346" s="67" t="str">
        <f>iferror(if(LEFT(VLOOKUP($B346,'Round 1'!$B$2:$H$361,7,false),1)="A","W",if(LEFT(VLOOKUP($B346,'Round 1'!$B$2:$H$361,7,false),1)="B","L","")),if(LEFT(VLOOKUP($B346,'Round 1'!$F$2:$H$361,3,false),1)="b","W",if(LEFT(VLOOKUP($B346,'Round 1'!$F$2:$H$361,3,false),1)="a","L","")))</f>
        <v>W</v>
      </c>
      <c r="E346" s="67" t="str">
        <f>iferror(if(LEFT(VLOOKUP($B346,'Round 2'!$C$2:$J$361,8,false),1)="A","W",if(LEFT(VLOOKUP($B346,'Round 2'!$C$2:$J$361,8,false),1)="B","L","")),if(LEFT(VLOOKUP($B346,'Round 2'!$G$2:$J$361,4,false),1)="b","W",if(LEFT(VLOOKUP($B346,'Round 2'!$G$2:$J$361,4,false),1)="a","L","")))</f>
        <v>W</v>
      </c>
      <c r="F346" s="67" t="str">
        <f>iferror(if(LEFT(VLOOKUP($B346,'Round 3'!$B$2:$H$361,7,false),1)="A","W",if(LEFT(VLOOKUP($B346,'Round 3'!$B$2:$H$361,7,false),1)="B","L","")),if(LEFT(VLOOKUP($B346,'Round 3'!$F$2:$H$361,3,false),1)="b","W",if(LEFT(VLOOKUP($B346,'Round 3'!$F$2:$H$361,3,false),1)="a","L","")))</f>
        <v>L</v>
      </c>
      <c r="G346" s="67" t="str">
        <f>iferror(if(LEFT(VLOOKUP($B346,'Round 4'!$B$2:$H$361,7,false),1)="A","W",if(LEFT(VLOOKUP($B346,'Round 4'!$B$2:$H$361,7,false),1)="B","L","")),if(LEFT(VLOOKUP($B346,'Round 4'!$F$2:$H$361,3,false),1)="b","W",if(LEFT(VLOOKUP($B346,'Round 4'!$F$2:$H$361,3,false),1)="a","L","")))</f>
        <v>L</v>
      </c>
      <c r="H346" s="67" t="str">
        <f>iferror(if(LEFT(VLOOKUP($B346,'Round 5'!$B$2:$H$361,7,false),1)="A","W",if(LEFT(VLOOKUP($B346,'Round 5'!$B$2:$H$361,7,false),1)="B","L","")),if(LEFT(VLOOKUP($B346,'Round 5'!$F$2:$H$361,3,false),1)="b","W",if(LEFT(VLOOKUP($B346,'Round 5'!$F$2:$H$361,3,false),1)="a","L","")))</f>
        <v>L</v>
      </c>
      <c r="I346" s="67"/>
      <c r="J346" s="67" t="str">
        <f>iferror(iferror(if(LEFT(VLOOKUP($B346,'Round 7'!$B$2:$H$361,7,false),1)="A","W",if(LEFT(VLOOKUP($B346,'Round 7'!$B$2:$H$361,7,false),1)="B","L","")),if(LEFT(VLOOKUP($B346,'Round 7'!$F$2:$H$361,3,false),1)="b","W",if(LEFT(VLOOKUP($B346,'Round 7'!$F$2:$H$361,3,false),1)="a","L",""))),"")</f>
        <v/>
      </c>
      <c r="K346" s="68" t="str">
        <f>iferror(iferror(if(LEFT(VLOOKUP($B346,'Round 8'!$B$2:$H$361,7,false),1)="A","W",if(LEFT(VLOOKUP($B346,'Round 8'!$B$2:$H$361,7,false),1)="B","L","")),if(LEFT(VLOOKUP($B346,'Round 8'!$F$2:$H$361,3,false),1)="b","W",if(LEFT(VLOOKUP($B346,'Round 8'!$F$2:$H$361,3,false),1)="a","L",""))),"")</f>
        <v/>
      </c>
      <c r="L346" s="68" t="str">
        <f>iferror(iferror(if(LEFT(VLOOKUP($B346,'Round 9'!$B$2:$H$361,7,false),1)="A","W",if(LEFT(VLOOKUP($B346,'Round 9'!$B$2:$H$361,7,false),1)="B","L","")),if(LEFT(VLOOKUP($B346,'Round 9'!$F$2:$H$361,3,false),1)="b","W",if(LEFT(VLOOKUP($B346,'Round 9'!$F$2:$H$361,3,false),1)="a","L",""))),"")</f>
        <v/>
      </c>
      <c r="M346" s="68" t="str">
        <f>iferror(iferror(if(LEFT(VLOOKUP($B346,'Round 10'!$B$2:$H$362,7,false),1)="A","W",if(LEFT(VLOOKUP($B346,'Round 10'!$B$2:$H$362,7,false),1)="B","L","")),if(LEFT(VLOOKUP($B346,'Round 10'!$F$2:$H$362,3,false),1)="b","W",if(LEFT(VLOOKUP($B346,'Round 10'!$F$2:$H$362,3,false),1)="a","L",""))),"")</f>
        <v/>
      </c>
      <c r="N346" s="62" t="s">
        <v>756</v>
      </c>
    </row>
    <row r="347">
      <c r="A347" s="63">
        <v>346.0</v>
      </c>
      <c r="B347" s="64" t="s">
        <v>757</v>
      </c>
      <c r="C347" s="65" t="str">
        <f t="shared" si="1"/>
        <v>2 - 3</v>
      </c>
      <c r="D347" s="67" t="str">
        <f>iferror(if(LEFT(VLOOKUP($B347,'Round 1'!$B$2:$H$361,7,false),1)="A","W",if(LEFT(VLOOKUP($B347,'Round 1'!$B$2:$H$361,7,false),1)="B","L","")),if(LEFT(VLOOKUP($B347,'Round 1'!$F$2:$H$361,3,false),1)="b","W",if(LEFT(VLOOKUP($B347,'Round 1'!$F$2:$H$361,3,false),1)="a","L","")))</f>
        <v>L</v>
      </c>
      <c r="E347" s="67" t="str">
        <f>iferror(if(LEFT(VLOOKUP($B347,'Round 2'!$C$2:$J$361,8,false),1)="A","W",if(LEFT(VLOOKUP($B347,'Round 2'!$C$2:$J$361,8,false),1)="B","L","")),if(LEFT(VLOOKUP($B347,'Round 2'!$G$2:$J$361,4,false),1)="b","W",if(LEFT(VLOOKUP($B347,'Round 2'!$G$2:$J$361,4,false),1)="a","L","")))</f>
        <v>L</v>
      </c>
      <c r="F347" s="67" t="str">
        <f>iferror(if(LEFT(VLOOKUP($B347,'Round 3'!$B$2:$H$361,7,false),1)="A","W",if(LEFT(VLOOKUP($B347,'Round 3'!$B$2:$H$361,7,false),1)="B","L","")),if(LEFT(VLOOKUP($B347,'Round 3'!$F$2:$H$361,3,false),1)="b","W",if(LEFT(VLOOKUP($B347,'Round 3'!$F$2:$H$361,3,false),1)="a","L","")))</f>
        <v>W</v>
      </c>
      <c r="G347" s="67" t="str">
        <f>iferror(if(LEFT(VLOOKUP($B347,'Round 4'!$B$2:$H$361,7,false),1)="A","W",if(LEFT(VLOOKUP($B347,'Round 4'!$B$2:$H$361,7,false),1)="B","L","")),if(LEFT(VLOOKUP($B347,'Round 4'!$F$2:$H$361,3,false),1)="b","W",if(LEFT(VLOOKUP($B347,'Round 4'!$F$2:$H$361,3,false),1)="a","L","")))</f>
        <v>W</v>
      </c>
      <c r="H347" s="67" t="str">
        <f>iferror(if(LEFT(VLOOKUP($B347,'Round 5'!$B$2:$H$361,7,false),1)="A","W",if(LEFT(VLOOKUP($B347,'Round 5'!$B$2:$H$361,7,false),1)="B","L","")),if(LEFT(VLOOKUP($B347,'Round 5'!$F$2:$H$361,3,false),1)="b","W",if(LEFT(VLOOKUP($B347,'Round 5'!$F$2:$H$361,3,false),1)="a","L","")))</f>
        <v>L</v>
      </c>
      <c r="I347" s="67"/>
      <c r="J347" s="67" t="str">
        <f>iferror(iferror(if(LEFT(VLOOKUP($B347,'Round 7'!$B$2:$H$361,7,false),1)="A","W",if(LEFT(VLOOKUP($B347,'Round 7'!$B$2:$H$361,7,false),1)="B","L","")),if(LEFT(VLOOKUP($B347,'Round 7'!$F$2:$H$361,3,false),1)="b","W",if(LEFT(VLOOKUP($B347,'Round 7'!$F$2:$H$361,3,false),1)="a","L",""))),"")</f>
        <v/>
      </c>
      <c r="K347" s="68" t="str">
        <f>iferror(iferror(if(LEFT(VLOOKUP($B347,'Round 8'!$B$2:$H$361,7,false),1)="A","W",if(LEFT(VLOOKUP($B347,'Round 8'!$B$2:$H$361,7,false),1)="B","L","")),if(LEFT(VLOOKUP($B347,'Round 8'!$F$2:$H$361,3,false),1)="b","W",if(LEFT(VLOOKUP($B347,'Round 8'!$F$2:$H$361,3,false),1)="a","L",""))),"")</f>
        <v/>
      </c>
      <c r="L347" s="68" t="str">
        <f>iferror(iferror(if(LEFT(VLOOKUP($B347,'Round 9'!$B$2:$H$361,7,false),1)="A","W",if(LEFT(VLOOKUP($B347,'Round 9'!$B$2:$H$361,7,false),1)="B","L","")),if(LEFT(VLOOKUP($B347,'Round 9'!$F$2:$H$361,3,false),1)="b","W",if(LEFT(VLOOKUP($B347,'Round 9'!$F$2:$H$361,3,false),1)="a","L",""))),"")</f>
        <v/>
      </c>
      <c r="M347" s="68" t="str">
        <f>iferror(iferror(if(LEFT(VLOOKUP($B347,'Round 10'!$B$2:$H$362,7,false),1)="A","W",if(LEFT(VLOOKUP($B347,'Round 10'!$B$2:$H$362,7,false),1)="B","L","")),if(LEFT(VLOOKUP($B347,'Round 10'!$F$2:$H$362,3,false),1)="b","W",if(LEFT(VLOOKUP($B347,'Round 10'!$F$2:$H$362,3,false),1)="a","L",""))),"")</f>
        <v/>
      </c>
      <c r="N347" s="62" t="s">
        <v>758</v>
      </c>
    </row>
    <row r="348">
      <c r="A348" s="63">
        <v>347.0</v>
      </c>
      <c r="B348" s="64" t="s">
        <v>759</v>
      </c>
      <c r="C348" s="65" t="str">
        <f t="shared" si="1"/>
        <v>0 - 3</v>
      </c>
      <c r="D348" s="67" t="str">
        <f>iferror(if(LEFT(VLOOKUP($B348,'Round 1'!$B$2:$H$361,7,false),1)="A","W",if(LEFT(VLOOKUP($B348,'Round 1'!$B$2:$H$361,7,false),1)="B","L","")),if(LEFT(VLOOKUP($B348,'Round 1'!$F$2:$H$361,3,false),1)="b","W",if(LEFT(VLOOKUP($B348,'Round 1'!$F$2:$H$361,3,false),1)="a","L","")))</f>
        <v>L</v>
      </c>
      <c r="E348" s="67" t="str">
        <f>iferror(if(LEFT(VLOOKUP($B348,'Round 2'!$C$2:$J$361,8,false),1)="A","W",if(LEFT(VLOOKUP($B348,'Round 2'!$C$2:$J$361,8,false),1)="B","L","")),if(LEFT(VLOOKUP($B348,'Round 2'!$G$2:$J$361,4,false),1)="b","W",if(LEFT(VLOOKUP($B348,'Round 2'!$G$2:$J$361,4,false),1)="a","L","")))</f>
        <v>L</v>
      </c>
      <c r="F348" s="67" t="str">
        <f>iferror(if(LEFT(VLOOKUP($B348,'Round 3'!$B$2:$H$361,7,false),1)="A","W",if(LEFT(VLOOKUP($B348,'Round 3'!$B$2:$H$361,7,false),1)="B","L","")),if(LEFT(VLOOKUP($B348,'Round 3'!$F$2:$H$361,3,false),1)="b","W",if(LEFT(VLOOKUP($B348,'Round 3'!$F$2:$H$361,3,false),1)="a","L","")))</f>
        <v>L</v>
      </c>
      <c r="G348" s="67"/>
      <c r="H348" s="67"/>
      <c r="I348" s="67"/>
      <c r="J348" s="67" t="str">
        <f>iferror(iferror(if(LEFT(VLOOKUP($B348,'Round 7'!$B$2:$H$361,7,false),1)="A","W",if(LEFT(VLOOKUP($B348,'Round 7'!$B$2:$H$361,7,false),1)="B","L","")),if(LEFT(VLOOKUP($B348,'Round 7'!$F$2:$H$361,3,false),1)="b","W",if(LEFT(VLOOKUP($B348,'Round 7'!$F$2:$H$361,3,false),1)="a","L",""))),"")</f>
        <v/>
      </c>
      <c r="K348" s="68" t="str">
        <f>iferror(iferror(if(LEFT(VLOOKUP($B348,'Round 8'!$B$2:$H$361,7,false),1)="A","W",if(LEFT(VLOOKUP($B348,'Round 8'!$B$2:$H$361,7,false),1)="B","L","")),if(LEFT(VLOOKUP($B348,'Round 8'!$F$2:$H$361,3,false),1)="b","W",if(LEFT(VLOOKUP($B348,'Round 8'!$F$2:$H$361,3,false),1)="a","L",""))),"")</f>
        <v/>
      </c>
      <c r="L348" s="68" t="str">
        <f>iferror(iferror(if(LEFT(VLOOKUP($B348,'Round 9'!$B$2:$H$361,7,false),1)="A","W",if(LEFT(VLOOKUP($B348,'Round 9'!$B$2:$H$361,7,false),1)="B","L","")),if(LEFT(VLOOKUP($B348,'Round 9'!$F$2:$H$361,3,false),1)="b","W",if(LEFT(VLOOKUP($B348,'Round 9'!$F$2:$H$361,3,false),1)="a","L",""))),"")</f>
        <v/>
      </c>
      <c r="M348" s="68" t="str">
        <f>iferror(iferror(if(LEFT(VLOOKUP($B348,'Round 10'!$B$2:$H$362,7,false),1)="A","W",if(LEFT(VLOOKUP($B348,'Round 10'!$B$2:$H$362,7,false),1)="B","L","")),if(LEFT(VLOOKUP($B348,'Round 10'!$F$2:$H$362,3,false),1)="b","W",if(LEFT(VLOOKUP($B348,'Round 10'!$F$2:$H$362,3,false),1)="a","L",""))),"")</f>
        <v/>
      </c>
      <c r="N348" s="72" t="s">
        <v>144</v>
      </c>
    </row>
    <row r="349">
      <c r="A349" s="63">
        <v>348.0</v>
      </c>
      <c r="B349" s="64" t="s">
        <v>760</v>
      </c>
      <c r="C349" s="65" t="str">
        <f t="shared" si="1"/>
        <v>0 - 3</v>
      </c>
      <c r="D349" s="67" t="str">
        <f>iferror(if(LEFT(VLOOKUP($B349,'Round 1'!$B$2:$H$361,7,false),1)="A","W",if(LEFT(VLOOKUP($B349,'Round 1'!$B$2:$H$361,7,false),1)="B","L","")),if(LEFT(VLOOKUP($B349,'Round 1'!$F$2:$H$361,3,false),1)="b","W",if(LEFT(VLOOKUP($B349,'Round 1'!$F$2:$H$361,3,false),1)="a","L","")))</f>
        <v>L</v>
      </c>
      <c r="E349" s="67" t="str">
        <f>iferror(if(LEFT(VLOOKUP($B349,'Round 2'!$C$2:$J$361,8,false),1)="A","W",if(LEFT(VLOOKUP($B349,'Round 2'!$C$2:$J$361,8,false),1)="B","L","")),if(LEFT(VLOOKUP($B349,'Round 2'!$G$2:$J$361,4,false),1)="b","W",if(LEFT(VLOOKUP($B349,'Round 2'!$G$2:$J$361,4,false),1)="a","L","")))</f>
        <v>L</v>
      </c>
      <c r="F349" s="67" t="str">
        <f>iferror(if(LEFT(VLOOKUP($B349,'Round 3'!$B$2:$H$361,7,false),1)="A","W",if(LEFT(VLOOKUP($B349,'Round 3'!$B$2:$H$361,7,false),1)="B","L","")),if(LEFT(VLOOKUP($B349,'Round 3'!$F$2:$H$361,3,false),1)="b","W",if(LEFT(VLOOKUP($B349,'Round 3'!$F$2:$H$361,3,false),1)="a","L","")))</f>
        <v>L</v>
      </c>
      <c r="G349" s="67"/>
      <c r="H349" s="67"/>
      <c r="I349" s="67"/>
      <c r="J349" s="67" t="str">
        <f>iferror(iferror(if(LEFT(VLOOKUP($B349,'Round 7'!$B$2:$H$361,7,false),1)="A","W",if(LEFT(VLOOKUP($B349,'Round 7'!$B$2:$H$361,7,false),1)="B","L","")),if(LEFT(VLOOKUP($B349,'Round 7'!$F$2:$H$361,3,false),1)="b","W",if(LEFT(VLOOKUP($B349,'Round 7'!$F$2:$H$361,3,false),1)="a","L",""))),"")</f>
        <v/>
      </c>
      <c r="K349" s="68" t="str">
        <f>iferror(iferror(if(LEFT(VLOOKUP($B349,'Round 8'!$B$2:$H$361,7,false),1)="A","W",if(LEFT(VLOOKUP($B349,'Round 8'!$B$2:$H$361,7,false),1)="B","L","")),if(LEFT(VLOOKUP($B349,'Round 8'!$F$2:$H$361,3,false),1)="b","W",if(LEFT(VLOOKUP($B349,'Round 8'!$F$2:$H$361,3,false),1)="a","L",""))),"")</f>
        <v/>
      </c>
      <c r="L349" s="68" t="str">
        <f>iferror(iferror(if(LEFT(VLOOKUP($B349,'Round 9'!$B$2:$H$361,7,false),1)="A","W",if(LEFT(VLOOKUP($B349,'Round 9'!$B$2:$H$361,7,false),1)="B","L","")),if(LEFT(VLOOKUP($B349,'Round 9'!$F$2:$H$361,3,false),1)="b","W",if(LEFT(VLOOKUP($B349,'Round 9'!$F$2:$H$361,3,false),1)="a","L",""))),"")</f>
        <v/>
      </c>
      <c r="M349" s="68" t="str">
        <f>iferror(iferror(if(LEFT(VLOOKUP($B349,'Round 10'!$B$2:$H$362,7,false),1)="A","W",if(LEFT(VLOOKUP($B349,'Round 10'!$B$2:$H$362,7,false),1)="B","L","")),if(LEFT(VLOOKUP($B349,'Round 10'!$F$2:$H$362,3,false),1)="b","W",if(LEFT(VLOOKUP($B349,'Round 10'!$F$2:$H$362,3,false),1)="a","L",""))),"")</f>
        <v/>
      </c>
      <c r="N349" s="72" t="s">
        <v>144</v>
      </c>
    </row>
    <row r="350">
      <c r="A350" s="63">
        <v>349.0</v>
      </c>
      <c r="B350" s="64" t="s">
        <v>761</v>
      </c>
      <c r="C350" s="65" t="str">
        <f t="shared" si="1"/>
        <v>3 - 3</v>
      </c>
      <c r="D350" s="67" t="str">
        <f>iferror(if(LEFT(VLOOKUP($B350,'Round 1'!$B$2:$H$361,7,false),1)="A","W",if(LEFT(VLOOKUP($B350,'Round 1'!$B$2:$H$361,7,false),1)="B","L","")),if(LEFT(VLOOKUP($B350,'Round 1'!$F$2:$H$361,3,false),1)="b","W",if(LEFT(VLOOKUP($B350,'Round 1'!$F$2:$H$361,3,false),1)="a","L","")))</f>
        <v>L</v>
      </c>
      <c r="E350" s="67" t="str">
        <f>iferror(if(LEFT(VLOOKUP($B350,'Round 2'!$C$2:$J$361,8,false),1)="A","W",if(LEFT(VLOOKUP($B350,'Round 2'!$C$2:$J$361,8,false),1)="B","L","")),if(LEFT(VLOOKUP($B350,'Round 2'!$G$2:$J$361,4,false),1)="b","W",if(LEFT(VLOOKUP($B350,'Round 2'!$G$2:$J$361,4,false),1)="a","L","")))</f>
        <v>W</v>
      </c>
      <c r="F350" s="67" t="str">
        <f>iferror(if(LEFT(VLOOKUP($B350,'Round 3'!$B$2:$H$361,7,false),1)="A","W",if(LEFT(VLOOKUP($B350,'Round 3'!$B$2:$H$361,7,false),1)="B","L","")),if(LEFT(VLOOKUP($B350,'Round 3'!$F$2:$H$361,3,false),1)="b","W",if(LEFT(VLOOKUP($B350,'Round 3'!$F$2:$H$361,3,false),1)="a","L","")))</f>
        <v>W</v>
      </c>
      <c r="G350" s="67" t="str">
        <f>iferror(if(LEFT(VLOOKUP($B350,'Round 4'!$B$2:$H$361,7,false),1)="A","W",if(LEFT(VLOOKUP($B350,'Round 4'!$B$2:$H$361,7,false),1)="B","L","")),if(LEFT(VLOOKUP($B350,'Round 4'!$F$2:$H$361,3,false),1)="b","W",if(LEFT(VLOOKUP($B350,'Round 4'!$F$2:$H$361,3,false),1)="a","L","")))</f>
        <v>L</v>
      </c>
      <c r="H350" s="67" t="str">
        <f>iferror(if(LEFT(VLOOKUP($B350,'Round 5'!$B$2:$H$361,7,false),1)="A","W",if(LEFT(VLOOKUP($B350,'Round 5'!$B$2:$H$361,7,false),1)="B","L","")),if(LEFT(VLOOKUP($B350,'Round 5'!$F$2:$H$361,3,false),1)="b","W",if(LEFT(VLOOKUP($B350,'Round 5'!$F$2:$H$361,3,false),1)="a","L","")))</f>
        <v>W</v>
      </c>
      <c r="I350" s="67" t="str">
        <f>iferror(if(LEFT(VLOOKUP($B350,'Round 6'!$B$2:$H$361,7,false),1)="A","W",if(LEFT(VLOOKUP($B350,'Round 6'!$B$2:$H$361,7,false),1)="B","L","")),if(LEFT(VLOOKUP($B350,'Round 6'!$F$2:$H$361,3,false),1)="b","W",if(LEFT(VLOOKUP($B350,'Round 6'!$F$2:$H$361,3,false),1)="a","L","")))</f>
        <v>L</v>
      </c>
      <c r="J350" s="67" t="str">
        <f>iferror(iferror(if(LEFT(VLOOKUP($B350,'Round 7'!$B$2:$H$361,7,false),1)="A","W",if(LEFT(VLOOKUP($B350,'Round 7'!$B$2:$H$361,7,false),1)="B","L","")),if(LEFT(VLOOKUP($B350,'Round 7'!$F$2:$H$361,3,false),1)="b","W",if(LEFT(VLOOKUP($B350,'Round 7'!$F$2:$H$361,3,false),1)="a","L",""))),"")</f>
        <v/>
      </c>
      <c r="K350" s="68" t="str">
        <f>iferror(iferror(if(LEFT(VLOOKUP($B350,'Round 8'!$B$2:$H$361,7,false),1)="A","W",if(LEFT(VLOOKUP($B350,'Round 8'!$B$2:$H$361,7,false),1)="B","L","")),if(LEFT(VLOOKUP($B350,'Round 8'!$F$2:$H$361,3,false),1)="b","W",if(LEFT(VLOOKUP($B350,'Round 8'!$F$2:$H$361,3,false),1)="a","L",""))),"")</f>
        <v/>
      </c>
      <c r="L350" s="68" t="str">
        <f>iferror(iferror(if(LEFT(VLOOKUP($B350,'Round 9'!$B$2:$H$361,7,false),1)="A","W",if(LEFT(VLOOKUP($B350,'Round 9'!$B$2:$H$361,7,false),1)="B","L","")),if(LEFT(VLOOKUP($B350,'Round 9'!$F$2:$H$361,3,false),1)="b","W",if(LEFT(VLOOKUP($B350,'Round 9'!$F$2:$H$361,3,false),1)="a","L",""))),"")</f>
        <v/>
      </c>
      <c r="M350" s="68" t="str">
        <f>iferror(iferror(if(LEFT(VLOOKUP($B350,'Round 10'!$B$2:$H$362,7,false),1)="A","W",if(LEFT(VLOOKUP($B350,'Round 10'!$B$2:$H$362,7,false),1)="B","L","")),if(LEFT(VLOOKUP($B350,'Round 10'!$F$2:$H$362,3,false),1)="b","W",if(LEFT(VLOOKUP($B350,'Round 10'!$F$2:$H$362,3,false),1)="a","L",""))),"")</f>
        <v/>
      </c>
      <c r="N350" s="62" t="s">
        <v>762</v>
      </c>
    </row>
    <row r="351">
      <c r="A351" s="63">
        <v>350.0</v>
      </c>
      <c r="B351" s="64" t="s">
        <v>763</v>
      </c>
      <c r="C351" s="65" t="str">
        <f t="shared" si="1"/>
        <v>4 - 3</v>
      </c>
      <c r="D351" s="67" t="str">
        <f>iferror(if(LEFT(VLOOKUP($B351,'Round 1'!$B$2:$H$361,7,false),1)="A","W",if(LEFT(VLOOKUP($B351,'Round 1'!$B$2:$H$361,7,false),1)="B","L","")),if(LEFT(VLOOKUP($B351,'Round 1'!$F$2:$H$361,3,false),1)="b","W",if(LEFT(VLOOKUP($B351,'Round 1'!$F$2:$H$361,3,false),1)="a","L","")))</f>
        <v>W</v>
      </c>
      <c r="E351" s="67" t="str">
        <f>iferror(if(LEFT(VLOOKUP($B351,'Round 2'!$C$2:$J$361,8,false),1)="A","W",if(LEFT(VLOOKUP($B351,'Round 2'!$C$2:$J$361,8,false),1)="B","L","")),if(LEFT(VLOOKUP($B351,'Round 2'!$G$2:$J$361,4,false),1)="b","W",if(LEFT(VLOOKUP($B351,'Round 2'!$G$2:$J$361,4,false),1)="a","L","")))</f>
        <v>L</v>
      </c>
      <c r="F351" s="67" t="str">
        <f>iferror(if(LEFT(VLOOKUP($B351,'Round 3'!$B$2:$H$361,7,false),1)="A","W",if(LEFT(VLOOKUP($B351,'Round 3'!$B$2:$H$361,7,false),1)="B","L","")),if(LEFT(VLOOKUP($B351,'Round 3'!$F$2:$H$361,3,false),1)="b","W",if(LEFT(VLOOKUP($B351,'Round 3'!$F$2:$H$361,3,false),1)="a","L","")))</f>
        <v>W</v>
      </c>
      <c r="G351" s="67" t="str">
        <f>iferror(if(LEFT(VLOOKUP($B351,'Round 4'!$B$2:$H$361,7,false),1)="A","W",if(LEFT(VLOOKUP($B351,'Round 4'!$B$2:$H$361,7,false),1)="B","L","")),if(LEFT(VLOOKUP($B351,'Round 4'!$F$2:$H$361,3,false),1)="b","W",if(LEFT(VLOOKUP($B351,'Round 4'!$F$2:$H$361,3,false),1)="a","L","")))</f>
        <v>W</v>
      </c>
      <c r="H351" s="67" t="str">
        <f>iferror(if(LEFT(VLOOKUP($B351,'Round 5'!$B$2:$H$361,7,false),1)="A","W",if(LEFT(VLOOKUP($B351,'Round 5'!$B$2:$H$361,7,false),1)="B","L","")),if(LEFT(VLOOKUP($B351,'Round 5'!$F$2:$H$361,3,false),1)="b","W",if(LEFT(VLOOKUP($B351,'Round 5'!$F$2:$H$361,3,false),1)="a","L","")))</f>
        <v>L</v>
      </c>
      <c r="I351" s="67" t="str">
        <f>iferror(if(LEFT(VLOOKUP($B351,'Round 6'!$B$2:$H$361,7,false),1)="A","W",if(LEFT(VLOOKUP($B351,'Round 6'!$B$2:$H$361,7,false),1)="B","L","")),if(LEFT(VLOOKUP($B351,'Round 6'!$F$2:$H$361,3,false),1)="b","W",if(LEFT(VLOOKUP($B351,'Round 6'!$F$2:$H$361,3,false),1)="a","L","")))</f>
        <v>W</v>
      </c>
      <c r="J351" s="67" t="str">
        <f>iferror(iferror(if(LEFT(VLOOKUP($B351,'Round 7'!$B$2:$H$361,7,false),1)="A","W",if(LEFT(VLOOKUP($B351,'Round 7'!$B$2:$H$361,7,false),1)="B","L","")),if(LEFT(VLOOKUP($B351,'Round 7'!$F$2:$H$361,3,false),1)="b","W",if(LEFT(VLOOKUP($B351,'Round 7'!$F$2:$H$361,3,false),1)="a","L",""))),"")</f>
        <v>L</v>
      </c>
      <c r="K351" s="68" t="str">
        <f>iferror(iferror(if(LEFT(VLOOKUP($B351,'Round 8'!$B$2:$H$361,7,false),1)="A","W",if(LEFT(VLOOKUP($B351,'Round 8'!$B$2:$H$361,7,false),1)="B","L","")),if(LEFT(VLOOKUP($B351,'Round 8'!$F$2:$H$361,3,false),1)="b","W",if(LEFT(VLOOKUP($B351,'Round 8'!$F$2:$H$361,3,false),1)="a","L",""))),"")</f>
        <v/>
      </c>
      <c r="L351" s="68" t="str">
        <f>iferror(iferror(if(LEFT(VLOOKUP($B351,'Round 9'!$B$2:$H$361,7,false),1)="A","W",if(LEFT(VLOOKUP($B351,'Round 9'!$B$2:$H$361,7,false),1)="B","L","")),if(LEFT(VLOOKUP($B351,'Round 9'!$F$2:$H$361,3,false),1)="b","W",if(LEFT(VLOOKUP($B351,'Round 9'!$F$2:$H$361,3,false),1)="a","L",""))),"")</f>
        <v/>
      </c>
      <c r="M351" s="68" t="str">
        <f>iferror(iferror(if(LEFT(VLOOKUP($B351,'Round 10'!$B$2:$H$362,7,false),1)="A","W",if(LEFT(VLOOKUP($B351,'Round 10'!$B$2:$H$362,7,false),1)="B","L","")),if(LEFT(VLOOKUP($B351,'Round 10'!$F$2:$H$362,3,false),1)="b","W",if(LEFT(VLOOKUP($B351,'Round 10'!$F$2:$H$362,3,false),1)="a","L",""))),"")</f>
        <v/>
      </c>
      <c r="N351" s="62" t="s">
        <v>764</v>
      </c>
    </row>
    <row r="352">
      <c r="A352" s="63">
        <v>351.0</v>
      </c>
      <c r="B352" s="64" t="s">
        <v>765</v>
      </c>
      <c r="C352" s="65" t="str">
        <f t="shared" si="1"/>
        <v>1 - 3</v>
      </c>
      <c r="D352" s="67" t="str">
        <f>iferror(if(LEFT(VLOOKUP($B352,'Round 1'!$B$2:$H$361,7,false),1)="A","W",if(LEFT(VLOOKUP($B352,'Round 1'!$B$2:$H$361,7,false),1)="B","L","")),if(LEFT(VLOOKUP($B352,'Round 1'!$F$2:$H$361,3,false),1)="b","W",if(LEFT(VLOOKUP($B352,'Round 1'!$F$2:$H$361,3,false),1)="a","L","")))</f>
        <v>L</v>
      </c>
      <c r="E352" s="67" t="str">
        <f>iferror(if(LEFT(VLOOKUP($B352,'Round 2'!$C$2:$J$361,8,false),1)="A","W",if(LEFT(VLOOKUP($B352,'Round 2'!$C$2:$J$361,8,false),1)="B","L","")),if(LEFT(VLOOKUP($B352,'Round 2'!$G$2:$J$361,4,false),1)="b","W",if(LEFT(VLOOKUP($B352,'Round 2'!$G$2:$J$361,4,false),1)="a","L","")))</f>
        <v>W</v>
      </c>
      <c r="F352" s="67" t="str">
        <f>iferror(if(LEFT(VLOOKUP($B352,'Round 3'!$B$2:$H$361,7,false),1)="A","W",if(LEFT(VLOOKUP($B352,'Round 3'!$B$2:$H$361,7,false),1)="B","L","")),if(LEFT(VLOOKUP($B352,'Round 3'!$F$2:$H$361,3,false),1)="b","W",if(LEFT(VLOOKUP($B352,'Round 3'!$F$2:$H$361,3,false),1)="a","L","")))</f>
        <v>L</v>
      </c>
      <c r="G352" s="67" t="str">
        <f>iferror(if(LEFT(VLOOKUP($B352,'Round 4'!$B$2:$H$361,7,false),1)="A","W",if(LEFT(VLOOKUP($B352,'Round 4'!$B$2:$H$361,7,false),1)="B","L","")),if(LEFT(VLOOKUP($B352,'Round 4'!$F$2:$H$361,3,false),1)="b","W",if(LEFT(VLOOKUP($B352,'Round 4'!$F$2:$H$361,3,false),1)="a","L","")))</f>
        <v>L</v>
      </c>
      <c r="H352" s="67"/>
      <c r="I352" s="67"/>
      <c r="J352" s="67" t="str">
        <f>iferror(iferror(if(LEFT(VLOOKUP($B352,'Round 7'!$B$2:$H$361,7,false),1)="A","W",if(LEFT(VLOOKUP($B352,'Round 7'!$B$2:$H$361,7,false),1)="B","L","")),if(LEFT(VLOOKUP($B352,'Round 7'!$F$2:$H$361,3,false),1)="b","W",if(LEFT(VLOOKUP($B352,'Round 7'!$F$2:$H$361,3,false),1)="a","L",""))),"")</f>
        <v/>
      </c>
      <c r="K352" s="68" t="str">
        <f>iferror(iferror(if(LEFT(VLOOKUP($B352,'Round 8'!$B$2:$H$361,7,false),1)="A","W",if(LEFT(VLOOKUP($B352,'Round 8'!$B$2:$H$361,7,false),1)="B","L","")),if(LEFT(VLOOKUP($B352,'Round 8'!$F$2:$H$361,3,false),1)="b","W",if(LEFT(VLOOKUP($B352,'Round 8'!$F$2:$H$361,3,false),1)="a","L",""))),"")</f>
        <v/>
      </c>
      <c r="L352" s="68" t="str">
        <f>iferror(iferror(if(LEFT(VLOOKUP($B352,'Round 9'!$B$2:$H$361,7,false),1)="A","W",if(LEFT(VLOOKUP($B352,'Round 9'!$B$2:$H$361,7,false),1)="B","L","")),if(LEFT(VLOOKUP($B352,'Round 9'!$F$2:$H$361,3,false),1)="b","W",if(LEFT(VLOOKUP($B352,'Round 9'!$F$2:$H$361,3,false),1)="a","L",""))),"")</f>
        <v/>
      </c>
      <c r="M352" s="68" t="str">
        <f>iferror(iferror(if(LEFT(VLOOKUP($B352,'Round 10'!$B$2:$H$362,7,false),1)="A","W",if(LEFT(VLOOKUP($B352,'Round 10'!$B$2:$H$362,7,false),1)="B","L","")),if(LEFT(VLOOKUP($B352,'Round 10'!$F$2:$H$362,3,false),1)="b","W",if(LEFT(VLOOKUP($B352,'Round 10'!$F$2:$H$362,3,false),1)="a","L",""))),"")</f>
        <v/>
      </c>
      <c r="N352" s="62" t="s">
        <v>766</v>
      </c>
    </row>
    <row r="353">
      <c r="A353" s="63">
        <v>352.0</v>
      </c>
      <c r="B353" s="64" t="s">
        <v>767</v>
      </c>
      <c r="C353" s="65" t="str">
        <f t="shared" si="1"/>
        <v>5 - 3</v>
      </c>
      <c r="D353" s="67" t="str">
        <f>iferror(if(LEFT(VLOOKUP($B353,'Round 1'!$B$2:$H$361,7,false),1)="A","W",if(LEFT(VLOOKUP($B353,'Round 1'!$B$2:$H$361,7,false),1)="B","L","")),if(LEFT(VLOOKUP($B353,'Round 1'!$F$2:$H$361,3,false),1)="b","W",if(LEFT(VLOOKUP($B353,'Round 1'!$F$2:$H$361,3,false),1)="a","L","")))</f>
        <v>W</v>
      </c>
      <c r="E353" s="67" t="str">
        <f>iferror(if(LEFT(VLOOKUP($B353,'Round 2'!$C$2:$J$361,8,false),1)="A","W",if(LEFT(VLOOKUP($B353,'Round 2'!$C$2:$J$361,8,false),1)="B","L","")),if(LEFT(VLOOKUP($B353,'Round 2'!$G$2:$J$361,4,false),1)="b","W",if(LEFT(VLOOKUP($B353,'Round 2'!$G$2:$J$361,4,false),1)="a","L","")))</f>
        <v>W</v>
      </c>
      <c r="F353" s="67" t="str">
        <f>iferror(if(LEFT(VLOOKUP($B353,'Round 3'!$B$2:$H$361,7,false),1)="A","W",if(LEFT(VLOOKUP($B353,'Round 3'!$B$2:$H$361,7,false),1)="B","L","")),if(LEFT(VLOOKUP($B353,'Round 3'!$F$2:$H$361,3,false),1)="b","W",if(LEFT(VLOOKUP($B353,'Round 3'!$F$2:$H$361,3,false),1)="a","L","")))</f>
        <v>L</v>
      </c>
      <c r="G353" s="67" t="str">
        <f>iferror(if(LEFT(VLOOKUP($B353,'Round 4'!$B$2:$H$361,7,false),1)="A","W",if(LEFT(VLOOKUP($B353,'Round 4'!$B$2:$H$361,7,false),1)="B","L","")),if(LEFT(VLOOKUP($B353,'Round 4'!$F$2:$H$361,3,false),1)="b","W",if(LEFT(VLOOKUP($B353,'Round 4'!$F$2:$H$361,3,false),1)="a","L","")))</f>
        <v>W</v>
      </c>
      <c r="H353" s="67" t="str">
        <f>iferror(if(LEFT(VLOOKUP($B353,'Round 5'!$B$2:$H$361,7,false),1)="A","W",if(LEFT(VLOOKUP($B353,'Round 5'!$B$2:$H$361,7,false),1)="B","L","")),if(LEFT(VLOOKUP($B353,'Round 5'!$F$2:$H$361,3,false),1)="b","W",if(LEFT(VLOOKUP($B353,'Round 5'!$F$2:$H$361,3,false),1)="a","L","")))</f>
        <v>W</v>
      </c>
      <c r="I353" s="67" t="str">
        <f>iferror(if(LEFT(VLOOKUP($B353,'Round 6'!$B$2:$H$361,7,false),1)="A","W",if(LEFT(VLOOKUP($B353,'Round 6'!$B$2:$H$361,7,false),1)="B","L","")),if(LEFT(VLOOKUP($B353,'Round 6'!$F$2:$H$361,3,false),1)="b","W",if(LEFT(VLOOKUP($B353,'Round 6'!$F$2:$H$361,3,false),1)="a","L","")))</f>
        <v>L</v>
      </c>
      <c r="J353" s="67" t="str">
        <f>iferror(iferror(if(LEFT(VLOOKUP($B353,'Round 7'!$B$2:$H$361,7,false),1)="A","W",if(LEFT(VLOOKUP($B353,'Round 7'!$B$2:$H$361,7,false),1)="B","L","")),if(LEFT(VLOOKUP($B353,'Round 7'!$F$2:$H$361,3,false),1)="b","W",if(LEFT(VLOOKUP($B353,'Round 7'!$F$2:$H$361,3,false),1)="a","L",""))),"")</f>
        <v>W</v>
      </c>
      <c r="K353" s="68" t="str">
        <f>iferror(iferror(if(LEFT(VLOOKUP($B353,'Round 8'!$B$2:$H$361,7,false),1)="A","W",if(LEFT(VLOOKUP($B353,'Round 8'!$B$2:$H$361,7,false),1)="B","L","")),if(LEFT(VLOOKUP($B353,'Round 8'!$F$2:$H$361,3,false),1)="b","W",if(LEFT(VLOOKUP($B353,'Round 8'!$F$2:$H$361,3,false),1)="a","L",""))),"")</f>
        <v>L</v>
      </c>
      <c r="L353" s="68" t="str">
        <f>iferror(iferror(if(LEFT(VLOOKUP($B353,'Round 9'!$B$2:$H$361,7,false),1)="A","W",if(LEFT(VLOOKUP($B353,'Round 9'!$B$2:$H$361,7,false),1)="B","L","")),if(LEFT(VLOOKUP($B353,'Round 9'!$F$2:$H$361,3,false),1)="b","W",if(LEFT(VLOOKUP($B353,'Round 9'!$F$2:$H$361,3,false),1)="a","L",""))),"")</f>
        <v/>
      </c>
      <c r="M353" s="68" t="str">
        <f>iferror(iferror(if(LEFT(VLOOKUP($B353,'Round 10'!$B$2:$H$362,7,false),1)="A","W",if(LEFT(VLOOKUP($B353,'Round 10'!$B$2:$H$362,7,false),1)="B","L","")),if(LEFT(VLOOKUP($B353,'Round 10'!$F$2:$H$362,3,false),1)="b","W",if(LEFT(VLOOKUP($B353,'Round 10'!$F$2:$H$362,3,false),1)="a","L",""))),"")</f>
        <v/>
      </c>
      <c r="N353" s="62" t="s">
        <v>768</v>
      </c>
    </row>
    <row r="354">
      <c r="A354" s="63">
        <v>353.0</v>
      </c>
      <c r="B354" s="71" t="s">
        <v>769</v>
      </c>
      <c r="C354" s="65" t="str">
        <f t="shared" si="1"/>
        <v>1 - 3</v>
      </c>
      <c r="D354" s="67" t="str">
        <f>iferror(if(LEFT(VLOOKUP($B354,'Round 1'!$B$2:$H$361,7,false),1)="A","W",if(LEFT(VLOOKUP($B354,'Round 1'!$B$2:$H$361,7,false),1)="B","L","")),if(LEFT(VLOOKUP($B354,'Round 1'!$F$2:$H$361,3,false),1)="b","W",if(LEFT(VLOOKUP($B354,'Round 1'!$F$2:$H$361,3,false),1)="a","L","")))</f>
        <v>L</v>
      </c>
      <c r="E354" s="67" t="str">
        <f>iferror(if(LEFT(VLOOKUP($B354,'Round 2'!$C$2:$J$361,8,false),1)="A","W",if(LEFT(VLOOKUP($B354,'Round 2'!$C$2:$J$361,8,false),1)="B","L","")),if(LEFT(VLOOKUP($B354,'Round 2'!$G$2:$J$361,4,false),1)="b","W",if(LEFT(VLOOKUP($B354,'Round 2'!$G$2:$J$361,4,false),1)="a","L","")))</f>
        <v>L</v>
      </c>
      <c r="F354" s="67" t="str">
        <f>iferror(if(LEFT(VLOOKUP($B354,'Round 3'!$B$2:$H$361,7,false),1)="A","W",if(LEFT(VLOOKUP($B354,'Round 3'!$B$2:$H$361,7,false),1)="B","L","")),if(LEFT(VLOOKUP($B354,'Round 3'!$F$2:$H$361,3,false),1)="b","W",if(LEFT(VLOOKUP($B354,'Round 3'!$F$2:$H$361,3,false),1)="a","L","")))</f>
        <v>W</v>
      </c>
      <c r="G354" s="67" t="str">
        <f>iferror(if(LEFT(VLOOKUP($B354,'Round 4'!$B$2:$H$361,7,false),1)="A","W",if(LEFT(VLOOKUP($B354,'Round 4'!$B$2:$H$361,7,false),1)="B","L","")),if(LEFT(VLOOKUP($B354,'Round 4'!$F$2:$H$361,3,false),1)="b","W",if(LEFT(VLOOKUP($B354,'Round 4'!$F$2:$H$361,3,false),1)="a","L","")))</f>
        <v>L</v>
      </c>
      <c r="H354" s="67"/>
      <c r="I354" s="67"/>
      <c r="J354" s="67" t="str">
        <f>iferror(iferror(if(LEFT(VLOOKUP($B354,'Round 7'!$B$2:$H$361,7,false),1)="A","W",if(LEFT(VLOOKUP($B354,'Round 7'!$B$2:$H$361,7,false),1)="B","L","")),if(LEFT(VLOOKUP($B354,'Round 7'!$F$2:$H$361,3,false),1)="b","W",if(LEFT(VLOOKUP($B354,'Round 7'!$F$2:$H$361,3,false),1)="a","L",""))),"")</f>
        <v/>
      </c>
      <c r="K354" s="68" t="str">
        <f>iferror(iferror(if(LEFT(VLOOKUP($B354,'Round 8'!$B$2:$H$361,7,false),1)="A","W",if(LEFT(VLOOKUP($B354,'Round 8'!$B$2:$H$361,7,false),1)="B","L","")),if(LEFT(VLOOKUP($B354,'Round 8'!$F$2:$H$361,3,false),1)="b","W",if(LEFT(VLOOKUP($B354,'Round 8'!$F$2:$H$361,3,false),1)="a","L",""))),"")</f>
        <v/>
      </c>
      <c r="L354" s="68" t="str">
        <f>iferror(iferror(if(LEFT(VLOOKUP($B354,'Round 9'!$B$2:$H$361,7,false),1)="A","W",if(LEFT(VLOOKUP($B354,'Round 9'!$B$2:$H$361,7,false),1)="B","L","")),if(LEFT(VLOOKUP($B354,'Round 9'!$F$2:$H$361,3,false),1)="b","W",if(LEFT(VLOOKUP($B354,'Round 9'!$F$2:$H$361,3,false),1)="a","L",""))),"")</f>
        <v/>
      </c>
      <c r="M354" s="68" t="str">
        <f>iferror(iferror(if(LEFT(VLOOKUP($B354,'Round 10'!$B$2:$H$362,7,false),1)="A","W",if(LEFT(VLOOKUP($B354,'Round 10'!$B$2:$H$362,7,false),1)="B","L","")),if(LEFT(VLOOKUP($B354,'Round 10'!$F$2:$H$362,3,false),1)="b","W",if(LEFT(VLOOKUP($B354,'Round 10'!$F$2:$H$362,3,false),1)="a","L",""))),"")</f>
        <v/>
      </c>
      <c r="N354" s="62" t="s">
        <v>770</v>
      </c>
    </row>
    <row r="355">
      <c r="A355" s="63">
        <v>354.0</v>
      </c>
      <c r="B355" s="64" t="s">
        <v>771</v>
      </c>
      <c r="C355" s="65" t="str">
        <f t="shared" si="1"/>
        <v>7 - 3</v>
      </c>
      <c r="D355" s="67" t="str">
        <f>iferror(if(LEFT(VLOOKUP($B355,'Round 1'!$B$2:$H$361,7,false),1)="A","W",if(LEFT(VLOOKUP($B355,'Round 1'!$B$2:$H$361,7,false),1)="B","L","")),if(LEFT(VLOOKUP($B355,'Round 1'!$F$2:$H$361,3,false),1)="b","W",if(LEFT(VLOOKUP($B355,'Round 1'!$F$2:$H$361,3,false),1)="a","L","")))</f>
        <v>W</v>
      </c>
      <c r="E355" s="67" t="str">
        <f>iferror(if(LEFT(VLOOKUP($B355,'Round 2'!$C$2:$J$361,8,false),1)="A","W",if(LEFT(VLOOKUP($B355,'Round 2'!$C$2:$J$361,8,false),1)="B","L","")),if(LEFT(VLOOKUP($B355,'Round 2'!$G$2:$J$361,4,false),1)="b","W",if(LEFT(VLOOKUP($B355,'Round 2'!$G$2:$J$361,4,false),1)="a","L","")))</f>
        <v>L</v>
      </c>
      <c r="F355" s="67" t="str">
        <f>iferror(if(LEFT(VLOOKUP($B355,'Round 3'!$B$2:$H$361,7,false),1)="A","W",if(LEFT(VLOOKUP($B355,'Round 3'!$B$2:$H$361,7,false),1)="B","L","")),if(LEFT(VLOOKUP($B355,'Round 3'!$F$2:$H$361,3,false),1)="b","W",if(LEFT(VLOOKUP($B355,'Round 3'!$F$2:$H$361,3,false),1)="a","L","")))</f>
        <v>W</v>
      </c>
      <c r="G355" s="67" t="str">
        <f>iferror(if(LEFT(VLOOKUP($B355,'Round 4'!$B$2:$H$361,7,false),1)="A","W",if(LEFT(VLOOKUP($B355,'Round 4'!$B$2:$H$361,7,false),1)="B","L","")),if(LEFT(VLOOKUP($B355,'Round 4'!$F$2:$H$361,3,false),1)="b","W",if(LEFT(VLOOKUP($B355,'Round 4'!$F$2:$H$361,3,false),1)="a","L","")))</f>
        <v>L</v>
      </c>
      <c r="H355" s="67" t="str">
        <f>iferror(if(LEFT(VLOOKUP($B355,'Round 5'!$B$2:$H$361,7,false),1)="A","W",if(LEFT(VLOOKUP($B355,'Round 5'!$B$2:$H$361,7,false),1)="B","L","")),if(LEFT(VLOOKUP($B355,'Round 5'!$F$2:$H$361,3,false),1)="b","W",if(LEFT(VLOOKUP($B355,'Round 5'!$F$2:$H$361,3,false),1)="a","L","")))</f>
        <v>W</v>
      </c>
      <c r="I355" s="67" t="str">
        <f>iferror(if(LEFT(VLOOKUP($B355,'Round 6'!$B$2:$H$361,7,false),1)="A","W",if(LEFT(VLOOKUP($B355,'Round 6'!$B$2:$H$361,7,false),1)="B","L","")),if(LEFT(VLOOKUP($B355,'Round 6'!$F$2:$H$361,3,false),1)="b","W",if(LEFT(VLOOKUP($B355,'Round 6'!$F$2:$H$361,3,false),1)="a","L","")))</f>
        <v>W</v>
      </c>
      <c r="J355" s="67" t="str">
        <f>iferror(iferror(if(LEFT(VLOOKUP($B355,'Round 7'!$B$2:$H$361,7,false),1)="A","W",if(LEFT(VLOOKUP($B355,'Round 7'!$B$2:$H$361,7,false),1)="B","L","")),if(LEFT(VLOOKUP($B355,'Round 7'!$F$2:$H$361,3,false),1)="b","W",if(LEFT(VLOOKUP($B355,'Round 7'!$F$2:$H$361,3,false),1)="a","L",""))),"")</f>
        <v>W</v>
      </c>
      <c r="K355" s="68" t="str">
        <f>iferror(iferror(if(LEFT(VLOOKUP($B355,'Round 8'!$B$2:$H$361,7,false),1)="A","W",if(LEFT(VLOOKUP($B355,'Round 8'!$B$2:$H$361,7,false),1)="B","L","")),if(LEFT(VLOOKUP($B355,'Round 8'!$F$2:$H$361,3,false),1)="b","W",if(LEFT(VLOOKUP($B355,'Round 8'!$F$2:$H$361,3,false),1)="a","L",""))),"")</f>
        <v>W</v>
      </c>
      <c r="L355" s="68" t="str">
        <f>iferror(iferror(if(LEFT(VLOOKUP($B355,'Round 9'!$B$2:$H$361,7,false),1)="A","W",if(LEFT(VLOOKUP($B355,'Round 9'!$B$2:$H$361,7,false),1)="B","L","")),if(LEFT(VLOOKUP($B355,'Round 9'!$F$2:$H$361,3,false),1)="b","W",if(LEFT(VLOOKUP($B355,'Round 9'!$F$2:$H$361,3,false),1)="a","L",""))),"")</f>
        <v>W</v>
      </c>
      <c r="M355" s="68" t="str">
        <f>iferror(iferror(if(LEFT(VLOOKUP($B355,'Round 10'!$B$2:$H$362,7,false),1)="A","W",if(LEFT(VLOOKUP($B355,'Round 10'!$B$2:$H$362,7,false),1)="B","L","")),if(LEFT(VLOOKUP($B355,'Round 10'!$F$2:$H$362,3,false),1)="b","W",if(LEFT(VLOOKUP($B355,'Round 10'!$F$2:$H$362,3,false),1)="a","L",""))),"")</f>
        <v>L</v>
      </c>
      <c r="N355" s="62" t="s">
        <v>772</v>
      </c>
    </row>
    <row r="356">
      <c r="A356" s="63">
        <v>355.0</v>
      </c>
      <c r="B356" s="71" t="s">
        <v>773</v>
      </c>
      <c r="C356" s="65" t="str">
        <f t="shared" si="1"/>
        <v>5 - 3</v>
      </c>
      <c r="D356" s="67" t="str">
        <f>iferror(if(LEFT(VLOOKUP($B356,'Round 1'!$B$2:$H$361,7,false),1)="A","W",if(LEFT(VLOOKUP($B356,'Round 1'!$B$2:$H$361,7,false),1)="B","L","")),if(LEFT(VLOOKUP($B356,'Round 1'!$F$2:$H$361,3,false),1)="b","W",if(LEFT(VLOOKUP($B356,'Round 1'!$F$2:$H$361,3,false),1)="a","L","")))</f>
        <v>W</v>
      </c>
      <c r="E356" s="67" t="str">
        <f>iferror(if(LEFT(VLOOKUP($B356,'Round 2'!$C$2:$J$361,8,false),1)="A","W",if(LEFT(VLOOKUP($B356,'Round 2'!$C$2:$J$361,8,false),1)="B","L","")),if(LEFT(VLOOKUP($B356,'Round 2'!$G$2:$J$361,4,false),1)="b","W",if(LEFT(VLOOKUP($B356,'Round 2'!$G$2:$J$361,4,false),1)="a","L","")))</f>
        <v>W</v>
      </c>
      <c r="F356" s="67" t="str">
        <f>iferror(if(LEFT(VLOOKUP($B356,'Round 3'!$B$2:$H$361,7,false),1)="A","W",if(LEFT(VLOOKUP($B356,'Round 3'!$B$2:$H$361,7,false),1)="B","L","")),if(LEFT(VLOOKUP($B356,'Round 3'!$F$2:$H$361,3,false),1)="b","W",if(LEFT(VLOOKUP($B356,'Round 3'!$F$2:$H$361,3,false),1)="a","L","")))</f>
        <v>L</v>
      </c>
      <c r="G356" s="67" t="str">
        <f>iferror(if(LEFT(VLOOKUP($B356,'Round 4'!$B$2:$H$361,7,false),1)="A","W",if(LEFT(VLOOKUP($B356,'Round 4'!$B$2:$H$361,7,false),1)="B","L","")),if(LEFT(VLOOKUP($B356,'Round 4'!$F$2:$H$361,3,false),1)="b","W",if(LEFT(VLOOKUP($B356,'Round 4'!$F$2:$H$361,3,false),1)="a","L","")))</f>
        <v>L</v>
      </c>
      <c r="H356" s="67" t="str">
        <f>iferror(if(LEFT(VLOOKUP($B356,'Round 5'!$B$2:$H$361,7,false),1)="A","W",if(LEFT(VLOOKUP($B356,'Round 5'!$B$2:$H$361,7,false),1)="B","L","")),if(LEFT(VLOOKUP($B356,'Round 5'!$F$2:$H$361,3,false),1)="b","W",if(LEFT(VLOOKUP($B356,'Round 5'!$F$2:$H$361,3,false),1)="a","L","")))</f>
        <v>W</v>
      </c>
      <c r="I356" s="67" t="str">
        <f>iferror(if(LEFT(VLOOKUP($B356,'Round 6'!$B$2:$H$361,7,false),1)="A","W",if(LEFT(VLOOKUP($B356,'Round 6'!$B$2:$H$361,7,false),1)="B","L","")),if(LEFT(VLOOKUP($B356,'Round 6'!$F$2:$H$361,3,false),1)="b","W",if(LEFT(VLOOKUP($B356,'Round 6'!$F$2:$H$361,3,false),1)="a","L","")))</f>
        <v>W</v>
      </c>
      <c r="J356" s="67" t="str">
        <f>iferror(iferror(if(LEFT(VLOOKUP($B356,'Round 7'!$B$2:$H$361,7,false),1)="A","W",if(LEFT(VLOOKUP($B356,'Round 7'!$B$2:$H$361,7,false),1)="B","L","")),if(LEFT(VLOOKUP($B356,'Round 7'!$F$2:$H$361,3,false),1)="b","W",if(LEFT(VLOOKUP($B356,'Round 7'!$F$2:$H$361,3,false),1)="a","L",""))),"")</f>
        <v>W</v>
      </c>
      <c r="K356" s="68" t="str">
        <f>iferror(iferror(if(LEFT(VLOOKUP($B356,'Round 8'!$B$2:$H$361,7,false),1)="A","W",if(LEFT(VLOOKUP($B356,'Round 8'!$B$2:$H$361,7,false),1)="B","L","")),if(LEFT(VLOOKUP($B356,'Round 8'!$F$2:$H$361,3,false),1)="b","W",if(LEFT(VLOOKUP($B356,'Round 8'!$F$2:$H$361,3,false),1)="a","L",""))),"")</f>
        <v>L</v>
      </c>
      <c r="L356" s="68" t="str">
        <f>iferror(iferror(if(LEFT(VLOOKUP($B356,'Round 9'!$B$2:$H$361,7,false),1)="A","W",if(LEFT(VLOOKUP($B356,'Round 9'!$B$2:$H$361,7,false),1)="B","L","")),if(LEFT(VLOOKUP($B356,'Round 9'!$F$2:$H$361,3,false),1)="b","W",if(LEFT(VLOOKUP($B356,'Round 9'!$F$2:$H$361,3,false),1)="a","L",""))),"")</f>
        <v/>
      </c>
      <c r="M356" s="68" t="str">
        <f>iferror(iferror(if(LEFT(VLOOKUP($B356,'Round 10'!$B$2:$H$362,7,false),1)="A","W",if(LEFT(VLOOKUP($B356,'Round 10'!$B$2:$H$362,7,false),1)="B","L","")),if(LEFT(VLOOKUP($B356,'Round 10'!$F$2:$H$362,3,false),1)="b","W",if(LEFT(VLOOKUP($B356,'Round 10'!$F$2:$H$362,3,false),1)="a","L",""))),"")</f>
        <v/>
      </c>
      <c r="N356" s="62" t="s">
        <v>774</v>
      </c>
    </row>
    <row r="357">
      <c r="A357" s="63">
        <v>356.0</v>
      </c>
      <c r="B357" s="64" t="s">
        <v>775</v>
      </c>
      <c r="C357" s="65" t="str">
        <f t="shared" si="1"/>
        <v>1 - 3</v>
      </c>
      <c r="D357" s="67" t="str">
        <f>iferror(if(LEFT(VLOOKUP($B357,'Round 1'!$B$2:$H$361,7,false),1)="A","W",if(LEFT(VLOOKUP($B357,'Round 1'!$B$2:$H$361,7,false),1)="B","L","")),if(LEFT(VLOOKUP($B357,'Round 1'!$F$2:$H$361,3,false),1)="b","W",if(LEFT(VLOOKUP($B357,'Round 1'!$F$2:$H$361,3,false),1)="a","L","")))</f>
        <v>W</v>
      </c>
      <c r="E357" s="67" t="str">
        <f>iferror(if(LEFT(VLOOKUP($B357,'Round 2'!$C$2:$J$361,8,false),1)="A","W",if(LEFT(VLOOKUP($B357,'Round 2'!$C$2:$J$361,8,false),1)="B","L","")),if(LEFT(VLOOKUP($B357,'Round 2'!$G$2:$J$361,4,false),1)="b","W",if(LEFT(VLOOKUP($B357,'Round 2'!$G$2:$J$361,4,false),1)="a","L","")))</f>
        <v>L</v>
      </c>
      <c r="F357" s="67" t="str">
        <f>iferror(if(LEFT(VLOOKUP($B357,'Round 3'!$B$2:$H$361,7,false),1)="A","W",if(LEFT(VLOOKUP($B357,'Round 3'!$B$2:$H$361,7,false),1)="B","L","")),if(LEFT(VLOOKUP($B357,'Round 3'!$F$2:$H$361,3,false),1)="b","W",if(LEFT(VLOOKUP($B357,'Round 3'!$F$2:$H$361,3,false),1)="a","L","")))</f>
        <v>L</v>
      </c>
      <c r="G357" s="67" t="str">
        <f>iferror(if(LEFT(VLOOKUP($B357,'Round 4'!$B$2:$H$361,7,false),1)="A","W",if(LEFT(VLOOKUP($B357,'Round 4'!$B$2:$H$361,7,false),1)="B","L","")),if(LEFT(VLOOKUP($B357,'Round 4'!$F$2:$H$361,3,false),1)="b","W",if(LEFT(VLOOKUP($B357,'Round 4'!$F$2:$H$361,3,false),1)="a","L","")))</f>
        <v>L</v>
      </c>
      <c r="H357" s="67"/>
      <c r="I357" s="67"/>
      <c r="J357" s="67" t="str">
        <f>iferror(iferror(if(LEFT(VLOOKUP($B357,'Round 7'!$B$2:$H$361,7,false),1)="A","W",if(LEFT(VLOOKUP($B357,'Round 7'!$B$2:$H$361,7,false),1)="B","L","")),if(LEFT(VLOOKUP($B357,'Round 7'!$F$2:$H$361,3,false),1)="b","W",if(LEFT(VLOOKUP($B357,'Round 7'!$F$2:$H$361,3,false),1)="a","L",""))),"")</f>
        <v/>
      </c>
      <c r="K357" s="68" t="str">
        <f>iferror(iferror(if(LEFT(VLOOKUP($B357,'Round 8'!$B$2:$H$361,7,false),1)="A","W",if(LEFT(VLOOKUP($B357,'Round 8'!$B$2:$H$361,7,false),1)="B","L","")),if(LEFT(VLOOKUP($B357,'Round 8'!$F$2:$H$361,3,false),1)="b","W",if(LEFT(VLOOKUP($B357,'Round 8'!$F$2:$H$361,3,false),1)="a","L",""))),"")</f>
        <v/>
      </c>
      <c r="L357" s="68" t="str">
        <f>iferror(iferror(if(LEFT(VLOOKUP($B357,'Round 9'!$B$2:$H$361,7,false),1)="A","W",if(LEFT(VLOOKUP($B357,'Round 9'!$B$2:$H$361,7,false),1)="B","L","")),if(LEFT(VLOOKUP($B357,'Round 9'!$F$2:$H$361,3,false),1)="b","W",if(LEFT(VLOOKUP($B357,'Round 9'!$F$2:$H$361,3,false),1)="a","L",""))),"")</f>
        <v/>
      </c>
      <c r="M357" s="68" t="str">
        <f>iferror(iferror(if(LEFT(VLOOKUP($B357,'Round 10'!$B$2:$H$362,7,false),1)="A","W",if(LEFT(VLOOKUP($B357,'Round 10'!$B$2:$H$362,7,false),1)="B","L","")),if(LEFT(VLOOKUP($B357,'Round 10'!$F$2:$H$362,3,false),1)="b","W",if(LEFT(VLOOKUP($B357,'Round 10'!$F$2:$H$362,3,false),1)="a","L",""))),"")</f>
        <v/>
      </c>
      <c r="N357" s="62" t="s">
        <v>776</v>
      </c>
    </row>
    <row r="358">
      <c r="A358" s="63">
        <v>357.0</v>
      </c>
      <c r="B358" s="64" t="s">
        <v>777</v>
      </c>
      <c r="C358" s="65" t="str">
        <f t="shared" si="1"/>
        <v>2 - 3</v>
      </c>
      <c r="D358" s="67" t="str">
        <f>iferror(if(LEFT(VLOOKUP($B358,'Round 1'!$B$2:$H$361,7,false),1)="A","W",if(LEFT(VLOOKUP($B358,'Round 1'!$B$2:$H$361,7,false),1)="B","L","")),if(LEFT(VLOOKUP($B358,'Round 1'!$F$2:$H$361,3,false),1)="b","W",if(LEFT(VLOOKUP($B358,'Round 1'!$F$2:$H$361,3,false),1)="a","L","")))</f>
        <v>W</v>
      </c>
      <c r="E358" s="67" t="str">
        <f>iferror(if(LEFT(VLOOKUP($B358,'Round 2'!$C$2:$J$361,8,false),1)="A","W",if(LEFT(VLOOKUP($B358,'Round 2'!$C$2:$J$361,8,false),1)="B","L","")),if(LEFT(VLOOKUP($B358,'Round 2'!$G$2:$J$361,4,false),1)="b","W",if(LEFT(VLOOKUP($B358,'Round 2'!$G$2:$J$361,4,false),1)="a","L","")))</f>
        <v>W</v>
      </c>
      <c r="F358" s="67" t="str">
        <f>iferror(if(LEFT(VLOOKUP($B358,'Round 3'!$B$2:$H$361,7,false),1)="A","W",if(LEFT(VLOOKUP($B358,'Round 3'!$B$2:$H$361,7,false),1)="B","L","")),if(LEFT(VLOOKUP($B358,'Round 3'!$F$2:$H$361,3,false),1)="b","W",if(LEFT(VLOOKUP($B358,'Round 3'!$F$2:$H$361,3,false),1)="a","L","")))</f>
        <v>L</v>
      </c>
      <c r="G358" s="67" t="str">
        <f>iferror(if(LEFT(VLOOKUP($B358,'Round 4'!$B$2:$H$361,7,false),1)="A","W",if(LEFT(VLOOKUP($B358,'Round 4'!$B$2:$H$361,7,false),1)="B","L","")),if(LEFT(VLOOKUP($B358,'Round 4'!$F$2:$H$361,3,false),1)="b","W",if(LEFT(VLOOKUP($B358,'Round 4'!$F$2:$H$361,3,false),1)="a","L","")))</f>
        <v>L</v>
      </c>
      <c r="H358" s="67" t="str">
        <f>iferror(if(LEFT(VLOOKUP($B358,'Round 5'!$B$2:$H$361,7,false),1)="A","W",if(LEFT(VLOOKUP($B358,'Round 5'!$B$2:$H$361,7,false),1)="B","L","")),if(LEFT(VLOOKUP($B358,'Round 5'!$F$2:$H$361,3,false),1)="b","W",if(LEFT(VLOOKUP($B358,'Round 5'!$F$2:$H$361,3,false),1)="a","L","")))</f>
        <v>L</v>
      </c>
      <c r="I358" s="67"/>
      <c r="J358" s="67" t="str">
        <f>iferror(iferror(if(LEFT(VLOOKUP($B358,'Round 7'!$B$2:$H$361,7,false),1)="A","W",if(LEFT(VLOOKUP($B358,'Round 7'!$B$2:$H$361,7,false),1)="B","L","")),if(LEFT(VLOOKUP($B358,'Round 7'!$F$2:$H$361,3,false),1)="b","W",if(LEFT(VLOOKUP($B358,'Round 7'!$F$2:$H$361,3,false),1)="a","L",""))),"")</f>
        <v/>
      </c>
      <c r="K358" s="68" t="str">
        <f>iferror(iferror(if(LEFT(VLOOKUP($B358,'Round 8'!$B$2:$H$361,7,false),1)="A","W",if(LEFT(VLOOKUP($B358,'Round 8'!$B$2:$H$361,7,false),1)="B","L","")),if(LEFT(VLOOKUP($B358,'Round 8'!$F$2:$H$361,3,false),1)="b","W",if(LEFT(VLOOKUP($B358,'Round 8'!$F$2:$H$361,3,false),1)="a","L",""))),"")</f>
        <v/>
      </c>
      <c r="L358" s="68" t="str">
        <f>iferror(iferror(if(LEFT(VLOOKUP($B358,'Round 9'!$B$2:$H$361,7,false),1)="A","W",if(LEFT(VLOOKUP($B358,'Round 9'!$B$2:$H$361,7,false),1)="B","L","")),if(LEFT(VLOOKUP($B358,'Round 9'!$F$2:$H$361,3,false),1)="b","W",if(LEFT(VLOOKUP($B358,'Round 9'!$F$2:$H$361,3,false),1)="a","L",""))),"")</f>
        <v/>
      </c>
      <c r="M358" s="68" t="str">
        <f>iferror(iferror(if(LEFT(VLOOKUP($B358,'Round 10'!$B$2:$H$362,7,false),1)="A","W",if(LEFT(VLOOKUP($B358,'Round 10'!$B$2:$H$362,7,false),1)="B","L","")),if(LEFT(VLOOKUP($B358,'Round 10'!$F$2:$H$362,3,false),1)="b","W",if(LEFT(VLOOKUP($B358,'Round 10'!$F$2:$H$362,3,false),1)="a","L",""))),"")</f>
        <v/>
      </c>
      <c r="N358" s="62" t="s">
        <v>778</v>
      </c>
    </row>
    <row r="359">
      <c r="A359" s="63">
        <v>358.0</v>
      </c>
      <c r="B359" s="64" t="s">
        <v>779</v>
      </c>
      <c r="C359" s="65" t="str">
        <f t="shared" si="1"/>
        <v>1 - 3</v>
      </c>
      <c r="D359" s="67" t="str">
        <f>iferror(if(LEFT(VLOOKUP($B359,'Round 1'!$B$2:$H$361,7,false),1)="A","W",if(LEFT(VLOOKUP($B359,'Round 1'!$B$2:$H$361,7,false),1)="B","L","")),if(LEFT(VLOOKUP($B359,'Round 1'!$F$2:$H$361,3,false),1)="b","W",if(LEFT(VLOOKUP($B359,'Round 1'!$F$2:$H$361,3,false),1)="a","L","")))</f>
        <v>L</v>
      </c>
      <c r="E359" s="67" t="str">
        <f>iferror(if(LEFT(VLOOKUP($B359,'Round 2'!$C$2:$J$361,8,false),1)="A","W",if(LEFT(VLOOKUP($B359,'Round 2'!$C$2:$J$361,8,false),1)="B","L","")),if(LEFT(VLOOKUP($B359,'Round 2'!$G$2:$J$361,4,false),1)="b","W",if(LEFT(VLOOKUP($B359,'Round 2'!$G$2:$J$361,4,false),1)="a","L","")))</f>
        <v>W</v>
      </c>
      <c r="F359" s="67" t="str">
        <f>iferror(if(LEFT(VLOOKUP($B359,'Round 3'!$B$2:$H$361,7,false),1)="A","W",if(LEFT(VLOOKUP($B359,'Round 3'!$B$2:$H$361,7,false),1)="B","L","")),if(LEFT(VLOOKUP($B359,'Round 3'!$F$2:$H$361,3,false),1)="b","W",if(LEFT(VLOOKUP($B359,'Round 3'!$F$2:$H$361,3,false),1)="a","L","")))</f>
        <v>L</v>
      </c>
      <c r="G359" s="67" t="str">
        <f>iferror(if(LEFT(VLOOKUP($B359,'Round 4'!$B$2:$H$361,7,false),1)="A","W",if(LEFT(VLOOKUP($B359,'Round 4'!$B$2:$H$361,7,false),1)="B","L","")),if(LEFT(VLOOKUP($B359,'Round 4'!$F$2:$H$361,3,false),1)="b","W",if(LEFT(VLOOKUP($B359,'Round 4'!$F$2:$H$361,3,false),1)="a","L","")))</f>
        <v>L</v>
      </c>
      <c r="H359" s="67"/>
      <c r="I359" s="67"/>
      <c r="J359" s="67" t="str">
        <f>iferror(iferror(if(LEFT(VLOOKUP($B359,'Round 7'!$B$2:$H$361,7,false),1)="A","W",if(LEFT(VLOOKUP($B359,'Round 7'!$B$2:$H$361,7,false),1)="B","L","")),if(LEFT(VLOOKUP($B359,'Round 7'!$F$2:$H$361,3,false),1)="b","W",if(LEFT(VLOOKUP($B359,'Round 7'!$F$2:$H$361,3,false),1)="a","L",""))),"")</f>
        <v/>
      </c>
      <c r="K359" s="68" t="str">
        <f>iferror(iferror(if(LEFT(VLOOKUP($B359,'Round 8'!$B$2:$H$361,7,false),1)="A","W",if(LEFT(VLOOKUP($B359,'Round 8'!$B$2:$H$361,7,false),1)="B","L","")),if(LEFT(VLOOKUP($B359,'Round 8'!$F$2:$H$361,3,false),1)="b","W",if(LEFT(VLOOKUP($B359,'Round 8'!$F$2:$H$361,3,false),1)="a","L",""))),"")</f>
        <v/>
      </c>
      <c r="L359" s="68" t="str">
        <f>iferror(iferror(if(LEFT(VLOOKUP($B359,'Round 9'!$B$2:$H$361,7,false),1)="A","W",if(LEFT(VLOOKUP($B359,'Round 9'!$B$2:$H$361,7,false),1)="B","L","")),if(LEFT(VLOOKUP($B359,'Round 9'!$F$2:$H$361,3,false),1)="b","W",if(LEFT(VLOOKUP($B359,'Round 9'!$F$2:$H$361,3,false),1)="a","L",""))),"")</f>
        <v/>
      </c>
      <c r="M359" s="68" t="str">
        <f>iferror(iferror(if(LEFT(VLOOKUP($B359,'Round 10'!$B$2:$H$362,7,false),1)="A","W",if(LEFT(VLOOKUP($B359,'Round 10'!$B$2:$H$362,7,false),1)="B","L","")),if(LEFT(VLOOKUP($B359,'Round 10'!$F$2:$H$362,3,false),1)="b","W",if(LEFT(VLOOKUP($B359,'Round 10'!$F$2:$H$362,3,false),1)="a","L",""))),"")</f>
        <v/>
      </c>
      <c r="N359" s="62" t="s">
        <v>144</v>
      </c>
    </row>
    <row r="360">
      <c r="A360" s="63">
        <v>359.0</v>
      </c>
      <c r="B360" s="64" t="s">
        <v>780</v>
      </c>
      <c r="C360" s="65" t="str">
        <f t="shared" si="1"/>
        <v>1 - 3</v>
      </c>
      <c r="D360" s="67" t="str">
        <f>iferror(if(LEFT(VLOOKUP($B360,'Round 1'!$B$2:$H$361,7,false),1)="A","W",if(LEFT(VLOOKUP($B360,'Round 1'!$B$2:$H$361,7,false),1)="B","L","")),if(LEFT(VLOOKUP($B360,'Round 1'!$F$2:$H$361,3,false),1)="b","W",if(LEFT(VLOOKUP($B360,'Round 1'!$F$2:$H$361,3,false),1)="a","L","")))</f>
        <v>W</v>
      </c>
      <c r="E360" s="67" t="str">
        <f>iferror(if(LEFT(VLOOKUP($B360,'Round 2'!$C$2:$J$361,8,false),1)="A","W",if(LEFT(VLOOKUP($B360,'Round 2'!$C$2:$J$361,8,false),1)="B","L","")),if(LEFT(VLOOKUP($B360,'Round 2'!$G$2:$J$361,4,false),1)="b","W",if(LEFT(VLOOKUP($B360,'Round 2'!$G$2:$J$361,4,false),1)="a","L","")))</f>
        <v>L</v>
      </c>
      <c r="F360" s="67" t="str">
        <f>iferror(if(LEFT(VLOOKUP($B360,'Round 3'!$B$2:$H$361,7,false),1)="A","W",if(LEFT(VLOOKUP($B360,'Round 3'!$B$2:$H$361,7,false),1)="B","L","")),if(LEFT(VLOOKUP($B360,'Round 3'!$F$2:$H$361,3,false),1)="b","W",if(LEFT(VLOOKUP($B360,'Round 3'!$F$2:$H$361,3,false),1)="a","L","")))</f>
        <v>L</v>
      </c>
      <c r="G360" s="67" t="str">
        <f>iferror(if(LEFT(VLOOKUP($B360,'Round 4'!$B$2:$H$361,7,false),1)="A","W",if(LEFT(VLOOKUP($B360,'Round 4'!$B$2:$H$361,7,false),1)="B","L","")),if(LEFT(VLOOKUP($B360,'Round 4'!$F$2:$H$361,3,false),1)="b","W",if(LEFT(VLOOKUP($B360,'Round 4'!$F$2:$H$361,3,false),1)="a","L","")))</f>
        <v>L</v>
      </c>
      <c r="H360" s="67"/>
      <c r="I360" s="67"/>
      <c r="J360" s="67" t="str">
        <f>iferror(iferror(if(LEFT(VLOOKUP($B360,'Round 7'!$B$2:$H$361,7,false),1)="A","W",if(LEFT(VLOOKUP($B360,'Round 7'!$B$2:$H$361,7,false),1)="B","L","")),if(LEFT(VLOOKUP($B360,'Round 7'!$F$2:$H$361,3,false),1)="b","W",if(LEFT(VLOOKUP($B360,'Round 7'!$F$2:$H$361,3,false),1)="a","L",""))),"")</f>
        <v/>
      </c>
      <c r="K360" s="68" t="str">
        <f>iferror(iferror(if(LEFT(VLOOKUP($B360,'Round 8'!$B$2:$H$361,7,false),1)="A","W",if(LEFT(VLOOKUP($B360,'Round 8'!$B$2:$H$361,7,false),1)="B","L","")),if(LEFT(VLOOKUP($B360,'Round 8'!$F$2:$H$361,3,false),1)="b","W",if(LEFT(VLOOKUP($B360,'Round 8'!$F$2:$H$361,3,false),1)="a","L",""))),"")</f>
        <v/>
      </c>
      <c r="L360" s="68" t="str">
        <f>iferror(iferror(if(LEFT(VLOOKUP($B360,'Round 9'!$B$2:$H$361,7,false),1)="A","W",if(LEFT(VLOOKUP($B360,'Round 9'!$B$2:$H$361,7,false),1)="B","L","")),if(LEFT(VLOOKUP($B360,'Round 9'!$F$2:$H$361,3,false),1)="b","W",if(LEFT(VLOOKUP($B360,'Round 9'!$F$2:$H$361,3,false),1)="a","L",""))),"")</f>
        <v/>
      </c>
      <c r="M360" s="68" t="str">
        <f>iferror(iferror(if(LEFT(VLOOKUP($B360,'Round 10'!$B$2:$H$362,7,false),1)="A","W",if(LEFT(VLOOKUP($B360,'Round 10'!$B$2:$H$362,7,false),1)="B","L","")),if(LEFT(VLOOKUP($B360,'Round 10'!$F$2:$H$362,3,false),1)="b","W",if(LEFT(VLOOKUP($B360,'Round 10'!$F$2:$H$362,3,false),1)="a","L",""))),"")</f>
        <v/>
      </c>
      <c r="N360" s="62" t="s">
        <v>781</v>
      </c>
    </row>
    <row r="361">
      <c r="A361" s="63">
        <v>360.0</v>
      </c>
      <c r="B361" s="64" t="s">
        <v>782</v>
      </c>
      <c r="C361" s="65" t="str">
        <f t="shared" si="1"/>
        <v>3 - 3</v>
      </c>
      <c r="D361" s="67" t="str">
        <f>iferror(if(LEFT(VLOOKUP($B361,'Round 1'!$B$2:$H$361,7,false),1)="A","W",if(LEFT(VLOOKUP($B361,'Round 1'!$B$2:$H$361,7,false),1)="B","L","")),if(LEFT(VLOOKUP($B361,'Round 1'!$F$2:$H$361,3,false),1)="b","W",if(LEFT(VLOOKUP($B361,'Round 1'!$F$2:$H$361,3,false),1)="a","L","")))</f>
        <v>L</v>
      </c>
      <c r="E361" s="67" t="str">
        <f>iferror(if(LEFT(VLOOKUP($B361,'Round 2'!$C$2:$J$361,8,false),1)="A","W",if(LEFT(VLOOKUP($B361,'Round 2'!$C$2:$J$361,8,false),1)="B","L","")),if(LEFT(VLOOKUP($B361,'Round 2'!$G$2:$J$361,4,false),1)="b","W",if(LEFT(VLOOKUP($B361,'Round 2'!$G$2:$J$361,4,false),1)="a","L","")))</f>
        <v>W</v>
      </c>
      <c r="F361" s="67" t="str">
        <f>iferror(if(LEFT(VLOOKUP($B361,'Round 3'!$B$2:$H$361,7,false),1)="A","W",if(LEFT(VLOOKUP($B361,'Round 3'!$B$2:$H$361,7,false),1)="B","L","")),if(LEFT(VLOOKUP($B361,'Round 3'!$F$2:$H$361,3,false),1)="b","W",if(LEFT(VLOOKUP($B361,'Round 3'!$F$2:$H$361,3,false),1)="a","L","")))</f>
        <v>W</v>
      </c>
      <c r="G361" s="67" t="str">
        <f>iferror(if(LEFT(VLOOKUP($B361,'Round 4'!$B$2:$H$361,7,false),1)="A","W",if(LEFT(VLOOKUP($B361,'Round 4'!$B$2:$H$361,7,false),1)="B","L","")),if(LEFT(VLOOKUP($B361,'Round 4'!$F$2:$H$361,3,false),1)="b","W",if(LEFT(VLOOKUP($B361,'Round 4'!$F$2:$H$361,3,false),1)="a","L","")))</f>
        <v>W</v>
      </c>
      <c r="H361" s="67" t="str">
        <f>iferror(if(LEFT(VLOOKUP($B361,'Round 5'!$B$2:$H$361,7,false),1)="A","W",if(LEFT(VLOOKUP($B361,'Round 5'!$B$2:$H$361,7,false),1)="B","L","")),if(LEFT(VLOOKUP($B361,'Round 5'!$F$2:$H$361,3,false),1)="b","W",if(LEFT(VLOOKUP($B361,'Round 5'!$F$2:$H$361,3,false),1)="a","L","")))</f>
        <v>L</v>
      </c>
      <c r="I361" s="67" t="str">
        <f>iferror(if(LEFT(VLOOKUP($B361,'Round 6'!$B$2:$H$361,7,false),1)="A","W",if(LEFT(VLOOKUP($B361,'Round 6'!$B$2:$H$361,7,false),1)="B","L","")),if(LEFT(VLOOKUP($B361,'Round 6'!$F$2:$H$361,3,false),1)="b","W",if(LEFT(VLOOKUP($B361,'Round 6'!$F$2:$H$361,3,false),1)="a","L","")))</f>
        <v>L</v>
      </c>
      <c r="J361" s="67" t="str">
        <f>iferror(iferror(if(LEFT(VLOOKUP($B361,'Round 7'!$B$2:$H$361,7,false),1)="A","W",if(LEFT(VLOOKUP($B361,'Round 7'!$B$2:$H$361,7,false),1)="B","L","")),if(LEFT(VLOOKUP($B361,'Round 7'!$F$2:$H$361,3,false),1)="b","W",if(LEFT(VLOOKUP($B361,'Round 7'!$F$2:$H$361,3,false),1)="a","L",""))),"")</f>
        <v/>
      </c>
      <c r="K361" s="68" t="str">
        <f>iferror(iferror(if(LEFT(VLOOKUP($B361,'Round 8'!$B$2:$H$361,7,false),1)="A","W",if(LEFT(VLOOKUP($B361,'Round 8'!$B$2:$H$361,7,false),1)="B","L","")),if(LEFT(VLOOKUP($B361,'Round 8'!$F$2:$H$361,3,false),1)="b","W",if(LEFT(VLOOKUP($B361,'Round 8'!$F$2:$H$361,3,false),1)="a","L",""))),"")</f>
        <v/>
      </c>
      <c r="L361" s="68" t="str">
        <f>iferror(iferror(if(LEFT(VLOOKUP($B361,'Round 9'!$B$2:$H$361,7,false),1)="A","W",if(LEFT(VLOOKUP($B361,'Round 9'!$B$2:$H$361,7,false),1)="B","L","")),if(LEFT(VLOOKUP($B361,'Round 9'!$F$2:$H$361,3,false),1)="b","W",if(LEFT(VLOOKUP($B361,'Round 9'!$F$2:$H$361,3,false),1)="a","L",""))),"")</f>
        <v/>
      </c>
      <c r="M361" s="68" t="str">
        <f>iferror(iferror(if(LEFT(VLOOKUP($B361,'Round 10'!$B$2:$H$362,7,false),1)="A","W",if(LEFT(VLOOKUP($B361,'Round 10'!$B$2:$H$362,7,false),1)="B","L","")),if(LEFT(VLOOKUP($B361,'Round 10'!$F$2:$H$362,3,false),1)="b","W",if(LEFT(VLOOKUP($B361,'Round 10'!$F$2:$H$362,3,false),1)="a","L",""))),"")</f>
        <v/>
      </c>
      <c r="N361" s="62" t="s">
        <v>783</v>
      </c>
    </row>
    <row r="362">
      <c r="A362" s="63">
        <v>361.0</v>
      </c>
      <c r="B362" s="64" t="s">
        <v>784</v>
      </c>
      <c r="C362" s="65" t="str">
        <f t="shared" si="1"/>
        <v>3 - 3</v>
      </c>
      <c r="D362" s="67" t="str">
        <f>iferror(if(LEFT(VLOOKUP($B362,'Round 1'!$B$2:$H$361,7,false),1)="A","W",if(LEFT(VLOOKUP($B362,'Round 1'!$B$2:$H$361,7,false),1)="B","L","")),if(LEFT(VLOOKUP($B362,'Round 1'!$F$2:$H$361,3,false),1)="b","W",if(LEFT(VLOOKUP($B362,'Round 1'!$F$2:$H$361,3,false),1)="a","L","")))</f>
        <v>W</v>
      </c>
      <c r="E362" s="67" t="str">
        <f>iferror(if(LEFT(VLOOKUP($B362,'Round 2'!$C$2:$J$361,8,false),1)="A","W",if(LEFT(VLOOKUP($B362,'Round 2'!$C$2:$J$361,8,false),1)="B","L","")),if(LEFT(VLOOKUP($B362,'Round 2'!$G$2:$J$361,4,false),1)="b","W",if(LEFT(VLOOKUP($B362,'Round 2'!$G$2:$J$361,4,false),1)="a","L","")))</f>
        <v>L</v>
      </c>
      <c r="F362" s="67" t="str">
        <f>iferror(if(LEFT(VLOOKUP($B362,'Round 3'!$B$2:$H$361,7,false),1)="A","W",if(LEFT(VLOOKUP($B362,'Round 3'!$B$2:$H$361,7,false),1)="B","L","")),if(LEFT(VLOOKUP($B362,'Round 3'!$F$2:$H$361,3,false),1)="b","W",if(LEFT(VLOOKUP($B362,'Round 3'!$F$2:$H$361,3,false),1)="a","L","")))</f>
        <v>L</v>
      </c>
      <c r="G362" s="67" t="str">
        <f>iferror(if(LEFT(VLOOKUP($B362,'Round 4'!$B$2:$H$361,7,false),1)="A","W",if(LEFT(VLOOKUP($B362,'Round 4'!$B$2:$H$361,7,false),1)="B","L","")),if(LEFT(VLOOKUP($B362,'Round 4'!$F$2:$H$361,3,false),1)="b","W",if(LEFT(VLOOKUP($B362,'Round 4'!$F$2:$H$361,3,false),1)="a","L","")))</f>
        <v>W</v>
      </c>
      <c r="H362" s="67" t="str">
        <f>iferror(if(LEFT(VLOOKUP($B362,'Round 5'!$B$2:$H$361,7,false),1)="A","W",if(LEFT(VLOOKUP($B362,'Round 5'!$B$2:$H$361,7,false),1)="B","L","")),if(LEFT(VLOOKUP($B362,'Round 5'!$F$2:$H$361,3,false),1)="b","W",if(LEFT(VLOOKUP($B362,'Round 5'!$F$2:$H$361,3,false),1)="a","L","")))</f>
        <v>W</v>
      </c>
      <c r="I362" s="67" t="str">
        <f>iferror(if(LEFT(VLOOKUP($B362,'Round 6'!$B$2:$H$361,7,false),1)="A","W",if(LEFT(VLOOKUP($B362,'Round 6'!$B$2:$H$361,7,false),1)="B","L","")),if(LEFT(VLOOKUP($B362,'Round 6'!$F$2:$H$361,3,false),1)="b","W",if(LEFT(VLOOKUP($B362,'Round 6'!$F$2:$H$361,3,false),1)="a","L","")))</f>
        <v>L</v>
      </c>
      <c r="J362" s="67" t="str">
        <f>iferror(iferror(if(LEFT(VLOOKUP($B362,'Round 7'!$B$2:$H$361,7,false),1)="A","W",if(LEFT(VLOOKUP($B362,'Round 7'!$B$2:$H$361,7,false),1)="B","L","")),if(LEFT(VLOOKUP($B362,'Round 7'!$F$2:$H$361,3,false),1)="b","W",if(LEFT(VLOOKUP($B362,'Round 7'!$F$2:$H$361,3,false),1)="a","L",""))),"")</f>
        <v/>
      </c>
      <c r="K362" s="68" t="str">
        <f>iferror(iferror(if(LEFT(VLOOKUP($B362,'Round 8'!$B$2:$H$361,7,false),1)="A","W",if(LEFT(VLOOKUP($B362,'Round 8'!$B$2:$H$361,7,false),1)="B","L","")),if(LEFT(VLOOKUP($B362,'Round 8'!$F$2:$H$361,3,false),1)="b","W",if(LEFT(VLOOKUP($B362,'Round 8'!$F$2:$H$361,3,false),1)="a","L",""))),"")</f>
        <v/>
      </c>
      <c r="L362" s="68" t="str">
        <f>iferror(iferror(if(LEFT(VLOOKUP($B362,'Round 9'!$B$2:$H$361,7,false),1)="A","W",if(LEFT(VLOOKUP($B362,'Round 9'!$B$2:$H$361,7,false),1)="B","L","")),if(LEFT(VLOOKUP($B362,'Round 9'!$F$2:$H$361,3,false),1)="b","W",if(LEFT(VLOOKUP($B362,'Round 9'!$F$2:$H$361,3,false),1)="a","L",""))),"")</f>
        <v/>
      </c>
      <c r="M362" s="68" t="str">
        <f>iferror(iferror(if(LEFT(VLOOKUP($B362,'Round 10'!$B$2:$H$362,7,false),1)="A","W",if(LEFT(VLOOKUP($B362,'Round 10'!$B$2:$H$362,7,false),1)="B","L","")),if(LEFT(VLOOKUP($B362,'Round 10'!$F$2:$H$362,3,false),1)="b","W",if(LEFT(VLOOKUP($B362,'Round 10'!$F$2:$H$362,3,false),1)="a","L",""))),"")</f>
        <v/>
      </c>
      <c r="N362" s="62" t="s">
        <v>785</v>
      </c>
    </row>
    <row r="363">
      <c r="A363" s="63">
        <v>362.0</v>
      </c>
      <c r="B363" s="64" t="s">
        <v>786</v>
      </c>
      <c r="C363" s="65" t="str">
        <f t="shared" si="1"/>
        <v>2 - 3</v>
      </c>
      <c r="D363" s="67" t="str">
        <f>iferror(if(LEFT(VLOOKUP($B363,'Round 1'!$B$2:$H$361,7,false),1)="A","W",if(LEFT(VLOOKUP($B363,'Round 1'!$B$2:$H$361,7,false),1)="B","L","")),if(LEFT(VLOOKUP($B363,'Round 1'!$F$2:$H$361,3,false),1)="b","W",if(LEFT(VLOOKUP($B363,'Round 1'!$F$2:$H$361,3,false),1)="a","L","")))</f>
        <v>L</v>
      </c>
      <c r="E363" s="67" t="str">
        <f>iferror(if(LEFT(VLOOKUP($B363,'Round 2'!$C$2:$J$361,8,false),1)="A","W",if(LEFT(VLOOKUP($B363,'Round 2'!$C$2:$J$361,8,false),1)="B","L","")),if(LEFT(VLOOKUP($B363,'Round 2'!$G$2:$J$361,4,false),1)="b","W",if(LEFT(VLOOKUP($B363,'Round 2'!$G$2:$J$361,4,false),1)="a","L","")))</f>
        <v>W</v>
      </c>
      <c r="F363" s="67" t="str">
        <f>iferror(if(LEFT(VLOOKUP($B363,'Round 3'!$B$2:$H$361,7,false),1)="A","W",if(LEFT(VLOOKUP($B363,'Round 3'!$B$2:$H$361,7,false),1)="B","L","")),if(LEFT(VLOOKUP($B363,'Round 3'!$F$2:$H$361,3,false),1)="b","W",if(LEFT(VLOOKUP($B363,'Round 3'!$F$2:$H$361,3,false),1)="a","L","")))</f>
        <v>W</v>
      </c>
      <c r="G363" s="67" t="str">
        <f>iferror(if(LEFT(VLOOKUP($B363,'Round 4'!$B$2:$H$361,7,false),1)="A","W",if(LEFT(VLOOKUP($B363,'Round 4'!$B$2:$H$361,7,false),1)="B","L","")),if(LEFT(VLOOKUP($B363,'Round 4'!$F$2:$H$361,3,false),1)="b","W",if(LEFT(VLOOKUP($B363,'Round 4'!$F$2:$H$361,3,false),1)="a","L","")))</f>
        <v>L</v>
      </c>
      <c r="H363" s="67" t="str">
        <f>iferror(if(LEFT(VLOOKUP($B363,'Round 5'!$B$2:$H$361,7,false),1)="A","W",if(LEFT(VLOOKUP($B363,'Round 5'!$B$2:$H$361,7,false),1)="B","L","")),if(LEFT(VLOOKUP($B363,'Round 5'!$F$2:$H$361,3,false),1)="b","W",if(LEFT(VLOOKUP($B363,'Round 5'!$F$2:$H$361,3,false),1)="a","L","")))</f>
        <v>L</v>
      </c>
      <c r="I363" s="67"/>
      <c r="J363" s="67" t="str">
        <f>iferror(iferror(if(LEFT(VLOOKUP($B363,'Round 7'!$B$2:$H$361,7,false),1)="A","W",if(LEFT(VLOOKUP($B363,'Round 7'!$B$2:$H$361,7,false),1)="B","L","")),if(LEFT(VLOOKUP($B363,'Round 7'!$F$2:$H$361,3,false),1)="b","W",if(LEFT(VLOOKUP($B363,'Round 7'!$F$2:$H$361,3,false),1)="a","L",""))),"")</f>
        <v/>
      </c>
      <c r="K363" s="68" t="str">
        <f>iferror(iferror(if(LEFT(VLOOKUP($B363,'Round 8'!$B$2:$H$361,7,false),1)="A","W",if(LEFT(VLOOKUP($B363,'Round 8'!$B$2:$H$361,7,false),1)="B","L","")),if(LEFT(VLOOKUP($B363,'Round 8'!$F$2:$H$361,3,false),1)="b","W",if(LEFT(VLOOKUP($B363,'Round 8'!$F$2:$H$361,3,false),1)="a","L",""))),"")</f>
        <v/>
      </c>
      <c r="L363" s="68" t="str">
        <f>iferror(iferror(if(LEFT(VLOOKUP($B363,'Round 9'!$B$2:$H$361,7,false),1)="A","W",if(LEFT(VLOOKUP($B363,'Round 9'!$B$2:$H$361,7,false),1)="B","L","")),if(LEFT(VLOOKUP($B363,'Round 9'!$F$2:$H$361,3,false),1)="b","W",if(LEFT(VLOOKUP($B363,'Round 9'!$F$2:$H$361,3,false),1)="a","L",""))),"")</f>
        <v/>
      </c>
      <c r="M363" s="68" t="str">
        <f>iferror(iferror(if(LEFT(VLOOKUP($B363,'Round 10'!$B$2:$H$362,7,false),1)="A","W",if(LEFT(VLOOKUP($B363,'Round 10'!$B$2:$H$362,7,false),1)="B","L","")),if(LEFT(VLOOKUP($B363,'Round 10'!$F$2:$H$362,3,false),1)="b","W",if(LEFT(VLOOKUP($B363,'Round 10'!$F$2:$H$362,3,false),1)="a","L",""))),"")</f>
        <v/>
      </c>
      <c r="N363" s="62" t="s">
        <v>787</v>
      </c>
    </row>
    <row r="364">
      <c r="A364" s="63">
        <v>363.0</v>
      </c>
      <c r="B364" s="64" t="s">
        <v>788</v>
      </c>
      <c r="C364" s="65" t="str">
        <f t="shared" si="1"/>
        <v>3 - 3</v>
      </c>
      <c r="D364" s="67" t="str">
        <f>iferror(if(LEFT(VLOOKUP($B364,'Round 1'!$B$2:$H$361,7,false),1)="A","W",if(LEFT(VLOOKUP($B364,'Round 1'!$B$2:$H$361,7,false),1)="B","L","")),if(LEFT(VLOOKUP($B364,'Round 1'!$F$2:$H$361,3,false),1)="b","W",if(LEFT(VLOOKUP($B364,'Round 1'!$F$2:$H$361,3,false),1)="a","L","")))</f>
        <v>W</v>
      </c>
      <c r="E364" s="67" t="str">
        <f>iferror(if(LEFT(VLOOKUP($B364,'Round 2'!$C$2:$J$361,8,false),1)="A","W",if(LEFT(VLOOKUP($B364,'Round 2'!$C$2:$J$361,8,false),1)="B","L","")),if(LEFT(VLOOKUP($B364,'Round 2'!$G$2:$J$361,4,false),1)="b","W",if(LEFT(VLOOKUP($B364,'Round 2'!$G$2:$J$361,4,false),1)="a","L","")))</f>
        <v>W</v>
      </c>
      <c r="F364" s="67" t="str">
        <f>iferror(if(LEFT(VLOOKUP($B364,'Round 3'!$B$2:$H$361,7,false),1)="A","W",if(LEFT(VLOOKUP($B364,'Round 3'!$B$2:$H$361,7,false),1)="B","L","")),if(LEFT(VLOOKUP($B364,'Round 3'!$F$2:$H$361,3,false),1)="b","W",if(LEFT(VLOOKUP($B364,'Round 3'!$F$2:$H$361,3,false),1)="a","L","")))</f>
        <v>L</v>
      </c>
      <c r="G364" s="67" t="str">
        <f>iferror(if(LEFT(VLOOKUP($B364,'Round 4'!$B$2:$H$361,7,false),1)="A","W",if(LEFT(VLOOKUP($B364,'Round 4'!$B$2:$H$361,7,false),1)="B","L","")),if(LEFT(VLOOKUP($B364,'Round 4'!$F$2:$H$361,3,false),1)="b","W",if(LEFT(VLOOKUP($B364,'Round 4'!$F$2:$H$361,3,false),1)="a","L","")))</f>
        <v>W</v>
      </c>
      <c r="H364" s="67" t="str">
        <f>iferror(if(LEFT(VLOOKUP($B364,'Round 5'!$B$2:$H$361,7,false),1)="A","W",if(LEFT(VLOOKUP($B364,'Round 5'!$B$2:$H$361,7,false),1)="B","L","")),if(LEFT(VLOOKUP($B364,'Round 5'!$F$2:$H$361,3,false),1)="b","W",if(LEFT(VLOOKUP($B364,'Round 5'!$F$2:$H$361,3,false),1)="a","L","")))</f>
        <v>L</v>
      </c>
      <c r="I364" s="67" t="str">
        <f>iferror(if(LEFT(VLOOKUP($B364,'Round 6'!$B$2:$H$361,7,false),1)="A","W",if(LEFT(VLOOKUP($B364,'Round 6'!$B$2:$H$361,7,false),1)="B","L","")),if(LEFT(VLOOKUP($B364,'Round 6'!$F$2:$H$361,3,false),1)="b","W",if(LEFT(VLOOKUP($B364,'Round 6'!$F$2:$H$361,3,false),1)="a","L","")))</f>
        <v>L</v>
      </c>
      <c r="J364" s="67" t="str">
        <f>iferror(iferror(if(LEFT(VLOOKUP($B364,'Round 7'!$B$2:$H$361,7,false),1)="A","W",if(LEFT(VLOOKUP($B364,'Round 7'!$B$2:$H$361,7,false),1)="B","L","")),if(LEFT(VLOOKUP($B364,'Round 7'!$F$2:$H$361,3,false),1)="b","W",if(LEFT(VLOOKUP($B364,'Round 7'!$F$2:$H$361,3,false),1)="a","L",""))),"")</f>
        <v/>
      </c>
      <c r="K364" s="68" t="str">
        <f>iferror(iferror(if(LEFT(VLOOKUP($B364,'Round 8'!$B$2:$H$361,7,false),1)="A","W",if(LEFT(VLOOKUP($B364,'Round 8'!$B$2:$H$361,7,false),1)="B","L","")),if(LEFT(VLOOKUP($B364,'Round 8'!$F$2:$H$361,3,false),1)="b","W",if(LEFT(VLOOKUP($B364,'Round 8'!$F$2:$H$361,3,false),1)="a","L",""))),"")</f>
        <v/>
      </c>
      <c r="L364" s="68" t="str">
        <f>iferror(iferror(if(LEFT(VLOOKUP($B364,'Round 9'!$B$2:$H$361,7,false),1)="A","W",if(LEFT(VLOOKUP($B364,'Round 9'!$B$2:$H$361,7,false),1)="B","L","")),if(LEFT(VLOOKUP($B364,'Round 9'!$F$2:$H$361,3,false),1)="b","W",if(LEFT(VLOOKUP($B364,'Round 9'!$F$2:$H$361,3,false),1)="a","L",""))),"")</f>
        <v/>
      </c>
      <c r="M364" s="68" t="str">
        <f>iferror(iferror(if(LEFT(VLOOKUP($B364,'Round 10'!$B$2:$H$362,7,false),1)="A","W",if(LEFT(VLOOKUP($B364,'Round 10'!$B$2:$H$362,7,false),1)="B","L","")),if(LEFT(VLOOKUP($B364,'Round 10'!$F$2:$H$362,3,false),1)="b","W",if(LEFT(VLOOKUP($B364,'Round 10'!$F$2:$H$362,3,false),1)="a","L",""))),"")</f>
        <v/>
      </c>
      <c r="N364" s="62" t="s">
        <v>789</v>
      </c>
    </row>
    <row r="365">
      <c r="A365" s="63">
        <v>364.0</v>
      </c>
      <c r="B365" s="64" t="s">
        <v>790</v>
      </c>
      <c r="C365" s="65" t="str">
        <f t="shared" si="1"/>
        <v>3 - 3</v>
      </c>
      <c r="D365" s="67" t="str">
        <f>iferror(if(LEFT(VLOOKUP($B365,'Round 1'!$B$2:$H$361,7,false),1)="A","W",if(LEFT(VLOOKUP($B365,'Round 1'!$B$2:$H$361,7,false),1)="B","L","")),if(LEFT(VLOOKUP($B365,'Round 1'!$F$2:$H$361,3,false),1)="b","W",if(LEFT(VLOOKUP($B365,'Round 1'!$F$2:$H$361,3,false),1)="a","L","")))</f>
        <v>L</v>
      </c>
      <c r="E365" s="67" t="str">
        <f>iferror(if(LEFT(VLOOKUP($B365,'Round 2'!$C$2:$J$361,8,false),1)="A","W",if(LEFT(VLOOKUP($B365,'Round 2'!$C$2:$J$361,8,false),1)="B","L","")),if(LEFT(VLOOKUP($B365,'Round 2'!$G$2:$J$361,4,false),1)="b","W",if(LEFT(VLOOKUP($B365,'Round 2'!$G$2:$J$361,4,false),1)="a","L","")))</f>
        <v>W</v>
      </c>
      <c r="F365" s="67" t="str">
        <f>iferror(if(LEFT(VLOOKUP($B365,'Round 3'!$B$2:$H$361,7,false),1)="A","W",if(LEFT(VLOOKUP($B365,'Round 3'!$B$2:$H$361,7,false),1)="B","L","")),if(LEFT(VLOOKUP($B365,'Round 3'!$F$2:$H$361,3,false),1)="b","W",if(LEFT(VLOOKUP($B365,'Round 3'!$F$2:$H$361,3,false),1)="a","L","")))</f>
        <v>W</v>
      </c>
      <c r="G365" s="67" t="str">
        <f>iferror(if(LEFT(VLOOKUP($B365,'Round 4'!$B$2:$H$361,7,false),1)="A","W",if(LEFT(VLOOKUP($B365,'Round 4'!$B$2:$H$361,7,false),1)="B","L","")),if(LEFT(VLOOKUP($B365,'Round 4'!$F$2:$H$361,3,false),1)="b","W",if(LEFT(VLOOKUP($B365,'Round 4'!$F$2:$H$361,3,false),1)="a","L","")))</f>
        <v>L</v>
      </c>
      <c r="H365" s="67" t="str">
        <f>iferror(if(LEFT(VLOOKUP($B365,'Round 5'!$B$2:$H$361,7,false),1)="A","W",if(LEFT(VLOOKUP($B365,'Round 5'!$B$2:$H$361,7,false),1)="B","L","")),if(LEFT(VLOOKUP($B365,'Round 5'!$F$2:$H$361,3,false),1)="b","W",if(LEFT(VLOOKUP($B365,'Round 5'!$F$2:$H$361,3,false),1)="a","L","")))</f>
        <v>W</v>
      </c>
      <c r="I365" s="67" t="str">
        <f>iferror(if(LEFT(VLOOKUP($B365,'Round 6'!$B$2:$H$361,7,false),1)="A","W",if(LEFT(VLOOKUP($B365,'Round 6'!$B$2:$H$361,7,false),1)="B","L","")),if(LEFT(VLOOKUP($B365,'Round 6'!$F$2:$H$361,3,false),1)="b","W",if(LEFT(VLOOKUP($B365,'Round 6'!$F$2:$H$361,3,false),1)="a","L","")))</f>
        <v>L</v>
      </c>
      <c r="J365" s="67" t="str">
        <f>iferror(iferror(if(LEFT(VLOOKUP($B365,'Round 7'!$B$2:$H$361,7,false),1)="A","W",if(LEFT(VLOOKUP($B365,'Round 7'!$B$2:$H$361,7,false),1)="B","L","")),if(LEFT(VLOOKUP($B365,'Round 7'!$F$2:$H$361,3,false),1)="b","W",if(LEFT(VLOOKUP($B365,'Round 7'!$F$2:$H$361,3,false),1)="a","L",""))),"")</f>
        <v/>
      </c>
      <c r="K365" s="68" t="str">
        <f>iferror(iferror(if(LEFT(VLOOKUP($B365,'Round 8'!$B$2:$H$361,7,false),1)="A","W",if(LEFT(VLOOKUP($B365,'Round 8'!$B$2:$H$361,7,false),1)="B","L","")),if(LEFT(VLOOKUP($B365,'Round 8'!$F$2:$H$361,3,false),1)="b","W",if(LEFT(VLOOKUP($B365,'Round 8'!$F$2:$H$361,3,false),1)="a","L",""))),"")</f>
        <v/>
      </c>
      <c r="L365" s="68" t="str">
        <f>iferror(iferror(if(LEFT(VLOOKUP($B365,'Round 9'!$B$2:$H$361,7,false),1)="A","W",if(LEFT(VLOOKUP($B365,'Round 9'!$B$2:$H$361,7,false),1)="B","L","")),if(LEFT(VLOOKUP($B365,'Round 9'!$F$2:$H$361,3,false),1)="b","W",if(LEFT(VLOOKUP($B365,'Round 9'!$F$2:$H$361,3,false),1)="a","L",""))),"")</f>
        <v/>
      </c>
      <c r="M365" s="68" t="str">
        <f>iferror(iferror(if(LEFT(VLOOKUP($B365,'Round 10'!$B$2:$H$362,7,false),1)="A","W",if(LEFT(VLOOKUP($B365,'Round 10'!$B$2:$H$362,7,false),1)="B","L","")),if(LEFT(VLOOKUP($B365,'Round 10'!$F$2:$H$362,3,false),1)="b","W",if(LEFT(VLOOKUP($B365,'Round 10'!$F$2:$H$362,3,false),1)="a","L",""))),"")</f>
        <v/>
      </c>
      <c r="N365" s="62" t="s">
        <v>791</v>
      </c>
    </row>
    <row r="366">
      <c r="A366" s="63">
        <v>365.0</v>
      </c>
      <c r="B366" s="64" t="s">
        <v>792</v>
      </c>
      <c r="C366" s="65" t="str">
        <f t="shared" si="1"/>
        <v>2 - 3</v>
      </c>
      <c r="D366" s="67" t="str">
        <f>iferror(if(LEFT(VLOOKUP($B366,'Round 1'!$B$2:$H$361,7,false),1)="A","W",if(LEFT(VLOOKUP($B366,'Round 1'!$B$2:$H$361,7,false),1)="B","L","")),if(LEFT(VLOOKUP($B366,'Round 1'!$F$2:$H$361,3,false),1)="b","W",if(LEFT(VLOOKUP($B366,'Round 1'!$F$2:$H$361,3,false),1)="a","L","")))</f>
        <v>L</v>
      </c>
      <c r="E366" s="67" t="str">
        <f>iferror(if(LEFT(VLOOKUP($B366,'Round 2'!$C$2:$J$361,8,false),1)="A","W",if(LEFT(VLOOKUP($B366,'Round 2'!$C$2:$J$361,8,false),1)="B","L","")),if(LEFT(VLOOKUP($B366,'Round 2'!$G$2:$J$361,4,false),1)="b","W",if(LEFT(VLOOKUP($B366,'Round 2'!$G$2:$J$361,4,false),1)="a","L","")))</f>
        <v>W</v>
      </c>
      <c r="F366" s="67" t="str">
        <f>iferror(if(LEFT(VLOOKUP($B366,'Round 3'!$B$2:$H$361,7,false),1)="A","W",if(LEFT(VLOOKUP($B366,'Round 3'!$B$2:$H$361,7,false),1)="B","L","")),if(LEFT(VLOOKUP($B366,'Round 3'!$F$2:$H$361,3,false),1)="b","W",if(LEFT(VLOOKUP($B366,'Round 3'!$F$2:$H$361,3,false),1)="a","L","")))</f>
        <v>W</v>
      </c>
      <c r="G366" s="67" t="str">
        <f>iferror(if(LEFT(VLOOKUP($B366,'Round 4'!$B$2:$H$361,7,false),1)="A","W",if(LEFT(VLOOKUP($B366,'Round 4'!$B$2:$H$361,7,false),1)="B","L","")),if(LEFT(VLOOKUP($B366,'Round 4'!$F$2:$H$361,3,false),1)="b","W",if(LEFT(VLOOKUP($B366,'Round 4'!$F$2:$H$361,3,false),1)="a","L","")))</f>
        <v>L</v>
      </c>
      <c r="H366" s="67" t="str">
        <f>iferror(if(LEFT(VLOOKUP($B366,'Round 5'!$B$2:$H$361,7,false),1)="A","W",if(LEFT(VLOOKUP($B366,'Round 5'!$B$2:$H$361,7,false),1)="B","L","")),if(LEFT(VLOOKUP($B366,'Round 5'!$F$2:$H$361,3,false),1)="b","W",if(LEFT(VLOOKUP($B366,'Round 5'!$F$2:$H$361,3,false),1)="a","L","")))</f>
        <v>L</v>
      </c>
      <c r="I366" s="67"/>
      <c r="J366" s="67" t="str">
        <f>iferror(iferror(if(LEFT(VLOOKUP($B366,'Round 7'!$B$2:$H$361,7,false),1)="A","W",if(LEFT(VLOOKUP($B366,'Round 7'!$B$2:$H$361,7,false),1)="B","L","")),if(LEFT(VLOOKUP($B366,'Round 7'!$F$2:$H$361,3,false),1)="b","W",if(LEFT(VLOOKUP($B366,'Round 7'!$F$2:$H$361,3,false),1)="a","L",""))),"")</f>
        <v/>
      </c>
      <c r="K366" s="68" t="str">
        <f>iferror(iferror(if(LEFT(VLOOKUP($B366,'Round 8'!$B$2:$H$361,7,false),1)="A","W",if(LEFT(VLOOKUP($B366,'Round 8'!$B$2:$H$361,7,false),1)="B","L","")),if(LEFT(VLOOKUP($B366,'Round 8'!$F$2:$H$361,3,false),1)="b","W",if(LEFT(VLOOKUP($B366,'Round 8'!$F$2:$H$361,3,false),1)="a","L",""))),"")</f>
        <v/>
      </c>
      <c r="L366" s="68" t="str">
        <f>iferror(iferror(if(LEFT(VLOOKUP($B366,'Round 9'!$B$2:$H$361,7,false),1)="A","W",if(LEFT(VLOOKUP($B366,'Round 9'!$B$2:$H$361,7,false),1)="B","L","")),if(LEFT(VLOOKUP($B366,'Round 9'!$F$2:$H$361,3,false),1)="b","W",if(LEFT(VLOOKUP($B366,'Round 9'!$F$2:$H$361,3,false),1)="a","L",""))),"")</f>
        <v/>
      </c>
      <c r="M366" s="68" t="str">
        <f>iferror(iferror(if(LEFT(VLOOKUP($B366,'Round 10'!$B$2:$H$362,7,false),1)="A","W",if(LEFT(VLOOKUP($B366,'Round 10'!$B$2:$H$362,7,false),1)="B","L","")),if(LEFT(VLOOKUP($B366,'Round 10'!$F$2:$H$362,3,false),1)="b","W",if(LEFT(VLOOKUP($B366,'Round 10'!$F$2:$H$362,3,false),1)="a","L",""))),"")</f>
        <v/>
      </c>
      <c r="N366" s="62" t="s">
        <v>793</v>
      </c>
    </row>
    <row r="367">
      <c r="A367" s="63">
        <v>366.0</v>
      </c>
      <c r="B367" s="64" t="s">
        <v>794</v>
      </c>
      <c r="C367" s="65" t="str">
        <f t="shared" si="1"/>
        <v>2 - 3</v>
      </c>
      <c r="D367" s="67" t="str">
        <f>iferror(if(LEFT(VLOOKUP($B367,'Round 1'!$B$2:$H$361,7,false),1)="A","W",if(LEFT(VLOOKUP($B367,'Round 1'!$B$2:$H$361,7,false),1)="B","L","")),if(LEFT(VLOOKUP($B367,'Round 1'!$F$2:$H$361,3,false),1)="b","W",if(LEFT(VLOOKUP($B367,'Round 1'!$F$2:$H$361,3,false),1)="a","L","")))</f>
        <v>L</v>
      </c>
      <c r="E367" s="67" t="str">
        <f>iferror(if(LEFT(VLOOKUP($B367,'Round 2'!$C$2:$J$361,8,false),1)="A","W",if(LEFT(VLOOKUP($B367,'Round 2'!$C$2:$J$361,8,false),1)="B","L","")),if(LEFT(VLOOKUP($B367,'Round 2'!$G$2:$J$361,4,false),1)="b","W",if(LEFT(VLOOKUP($B367,'Round 2'!$G$2:$J$361,4,false),1)="a","L","")))</f>
        <v>W</v>
      </c>
      <c r="F367" s="67" t="str">
        <f>iferror(if(LEFT(VLOOKUP($B367,'Round 3'!$B$2:$H$361,7,false),1)="A","W",if(LEFT(VLOOKUP($B367,'Round 3'!$B$2:$H$361,7,false),1)="B","L","")),if(LEFT(VLOOKUP($B367,'Round 3'!$F$2:$H$361,3,false),1)="b","W",if(LEFT(VLOOKUP($B367,'Round 3'!$F$2:$H$361,3,false),1)="a","L","")))</f>
        <v>L</v>
      </c>
      <c r="G367" s="67" t="str">
        <f>iferror(if(LEFT(VLOOKUP($B367,'Round 4'!$B$2:$H$361,7,false),1)="A","W",if(LEFT(VLOOKUP($B367,'Round 4'!$B$2:$H$361,7,false),1)="B","L","")),if(LEFT(VLOOKUP($B367,'Round 4'!$F$2:$H$361,3,false),1)="b","W",if(LEFT(VLOOKUP($B367,'Round 4'!$F$2:$H$361,3,false),1)="a","L","")))</f>
        <v>W</v>
      </c>
      <c r="H367" s="67" t="str">
        <f>iferror(if(LEFT(VLOOKUP($B367,'Round 5'!$B$2:$H$361,7,false),1)="A","W",if(LEFT(VLOOKUP($B367,'Round 5'!$B$2:$H$361,7,false),1)="B","L","")),if(LEFT(VLOOKUP($B367,'Round 5'!$F$2:$H$361,3,false),1)="b","W",if(LEFT(VLOOKUP($B367,'Round 5'!$F$2:$H$361,3,false),1)="a","L","")))</f>
        <v>L</v>
      </c>
      <c r="I367" s="67"/>
      <c r="J367" s="67" t="str">
        <f>iferror(iferror(if(LEFT(VLOOKUP($B367,'Round 7'!$B$2:$H$361,7,false),1)="A","W",if(LEFT(VLOOKUP($B367,'Round 7'!$B$2:$H$361,7,false),1)="B","L","")),if(LEFT(VLOOKUP($B367,'Round 7'!$F$2:$H$361,3,false),1)="b","W",if(LEFT(VLOOKUP($B367,'Round 7'!$F$2:$H$361,3,false),1)="a","L",""))),"")</f>
        <v/>
      </c>
      <c r="K367" s="68" t="str">
        <f>iferror(iferror(if(LEFT(VLOOKUP($B367,'Round 8'!$B$2:$H$361,7,false),1)="A","W",if(LEFT(VLOOKUP($B367,'Round 8'!$B$2:$H$361,7,false),1)="B","L","")),if(LEFT(VLOOKUP($B367,'Round 8'!$F$2:$H$361,3,false),1)="b","W",if(LEFT(VLOOKUP($B367,'Round 8'!$F$2:$H$361,3,false),1)="a","L",""))),"")</f>
        <v/>
      </c>
      <c r="L367" s="68" t="str">
        <f>iferror(iferror(if(LEFT(VLOOKUP($B367,'Round 9'!$B$2:$H$361,7,false),1)="A","W",if(LEFT(VLOOKUP($B367,'Round 9'!$B$2:$H$361,7,false),1)="B","L","")),if(LEFT(VLOOKUP($B367,'Round 9'!$F$2:$H$361,3,false),1)="b","W",if(LEFT(VLOOKUP($B367,'Round 9'!$F$2:$H$361,3,false),1)="a","L",""))),"")</f>
        <v/>
      </c>
      <c r="M367" s="68" t="str">
        <f>iferror(iferror(if(LEFT(VLOOKUP($B367,'Round 10'!$B$2:$H$362,7,false),1)="A","W",if(LEFT(VLOOKUP($B367,'Round 10'!$B$2:$H$362,7,false),1)="B","L","")),if(LEFT(VLOOKUP($B367,'Round 10'!$F$2:$H$362,3,false),1)="b","W",if(LEFT(VLOOKUP($B367,'Round 10'!$F$2:$H$362,3,false),1)="a","L",""))),"")</f>
        <v/>
      </c>
      <c r="N367" s="62" t="s">
        <v>795</v>
      </c>
    </row>
    <row r="368">
      <c r="A368" s="63">
        <v>367.0</v>
      </c>
      <c r="B368" s="64" t="s">
        <v>796</v>
      </c>
      <c r="C368" s="65" t="str">
        <f t="shared" si="1"/>
        <v>1 - 3</v>
      </c>
      <c r="D368" s="67" t="str">
        <f>iferror(if(LEFT(VLOOKUP($B368,'Round 1'!$B$2:$H$361,7,false),1)="A","W",if(LEFT(VLOOKUP($B368,'Round 1'!$B$2:$H$361,7,false),1)="B","L","")),if(LEFT(VLOOKUP($B368,'Round 1'!$F$2:$H$361,3,false),1)="b","W",if(LEFT(VLOOKUP($B368,'Round 1'!$F$2:$H$361,3,false),1)="a","L","")))</f>
        <v>L</v>
      </c>
      <c r="E368" s="67" t="str">
        <f>iferror(if(LEFT(VLOOKUP($B368,'Round 2'!$C$2:$J$361,8,false),1)="A","W",if(LEFT(VLOOKUP($B368,'Round 2'!$C$2:$J$361,8,false),1)="B","L","")),if(LEFT(VLOOKUP($B368,'Round 2'!$G$2:$J$361,4,false),1)="b","W",if(LEFT(VLOOKUP($B368,'Round 2'!$G$2:$J$361,4,false),1)="a","L","")))</f>
        <v>W</v>
      </c>
      <c r="F368" s="67" t="str">
        <f>iferror(if(LEFT(VLOOKUP($B368,'Round 3'!$B$2:$H$361,7,false),1)="A","W",if(LEFT(VLOOKUP($B368,'Round 3'!$B$2:$H$361,7,false),1)="B","L","")),if(LEFT(VLOOKUP($B368,'Round 3'!$F$2:$H$361,3,false),1)="b","W",if(LEFT(VLOOKUP($B368,'Round 3'!$F$2:$H$361,3,false),1)="a","L","")))</f>
        <v>L</v>
      </c>
      <c r="G368" s="67" t="str">
        <f>iferror(if(LEFT(VLOOKUP($B368,'Round 4'!$B$2:$H$361,7,false),1)="A","W",if(LEFT(VLOOKUP($B368,'Round 4'!$B$2:$H$361,7,false),1)="B","L","")),if(LEFT(VLOOKUP($B368,'Round 4'!$F$2:$H$361,3,false),1)="b","W",if(LEFT(VLOOKUP($B368,'Round 4'!$F$2:$H$361,3,false),1)="a","L","")))</f>
        <v>L</v>
      </c>
      <c r="H368" s="67"/>
      <c r="I368" s="67"/>
      <c r="J368" s="67" t="str">
        <f>iferror(iferror(if(LEFT(VLOOKUP($B368,'Round 7'!$B$2:$H$361,7,false),1)="A","W",if(LEFT(VLOOKUP($B368,'Round 7'!$B$2:$H$361,7,false),1)="B","L","")),if(LEFT(VLOOKUP($B368,'Round 7'!$F$2:$H$361,3,false),1)="b","W",if(LEFT(VLOOKUP($B368,'Round 7'!$F$2:$H$361,3,false),1)="a","L",""))),"")</f>
        <v/>
      </c>
      <c r="K368" s="68" t="str">
        <f>iferror(iferror(if(LEFT(VLOOKUP($B368,'Round 8'!$B$2:$H$361,7,false),1)="A","W",if(LEFT(VLOOKUP($B368,'Round 8'!$B$2:$H$361,7,false),1)="B","L","")),if(LEFT(VLOOKUP($B368,'Round 8'!$F$2:$H$361,3,false),1)="b","W",if(LEFT(VLOOKUP($B368,'Round 8'!$F$2:$H$361,3,false),1)="a","L",""))),"")</f>
        <v/>
      </c>
      <c r="L368" s="68" t="str">
        <f>iferror(iferror(if(LEFT(VLOOKUP($B368,'Round 9'!$B$2:$H$361,7,false),1)="A","W",if(LEFT(VLOOKUP($B368,'Round 9'!$B$2:$H$361,7,false),1)="B","L","")),if(LEFT(VLOOKUP($B368,'Round 9'!$F$2:$H$361,3,false),1)="b","W",if(LEFT(VLOOKUP($B368,'Round 9'!$F$2:$H$361,3,false),1)="a","L",""))),"")</f>
        <v/>
      </c>
      <c r="M368" s="68" t="str">
        <f>iferror(iferror(if(LEFT(VLOOKUP($B368,'Round 10'!$B$2:$H$362,7,false),1)="A","W",if(LEFT(VLOOKUP($B368,'Round 10'!$B$2:$H$362,7,false),1)="B","L","")),if(LEFT(VLOOKUP($B368,'Round 10'!$F$2:$H$362,3,false),1)="b","W",if(LEFT(VLOOKUP($B368,'Round 10'!$F$2:$H$362,3,false),1)="a","L",""))),"")</f>
        <v/>
      </c>
      <c r="N368" s="62" t="s">
        <v>797</v>
      </c>
    </row>
    <row r="369">
      <c r="A369" s="63">
        <v>368.0</v>
      </c>
      <c r="B369" s="64" t="s">
        <v>798</v>
      </c>
      <c r="C369" s="65" t="str">
        <f t="shared" si="1"/>
        <v>1 - 3</v>
      </c>
      <c r="D369" s="67" t="str">
        <f>iferror(if(LEFT(VLOOKUP($B369,'Round 1'!$B$2:$H$361,7,false),1)="A","W",if(LEFT(VLOOKUP($B369,'Round 1'!$B$2:$H$361,7,false),1)="B","L","")),if(LEFT(VLOOKUP($B369,'Round 1'!$F$2:$H$361,3,false),1)="b","W",if(LEFT(VLOOKUP($B369,'Round 1'!$F$2:$H$361,3,false),1)="a","L","")))</f>
        <v>W</v>
      </c>
      <c r="E369" s="67" t="str">
        <f>iferror(if(LEFT(VLOOKUP($B369,'Round 2'!$C$2:$J$361,8,false),1)="A","W",if(LEFT(VLOOKUP($B369,'Round 2'!$C$2:$J$361,8,false),1)="B","L","")),if(LEFT(VLOOKUP($B369,'Round 2'!$G$2:$J$361,4,false),1)="b","W",if(LEFT(VLOOKUP($B369,'Round 2'!$G$2:$J$361,4,false),1)="a","L","")))</f>
        <v>L</v>
      </c>
      <c r="F369" s="67" t="str">
        <f>iferror(if(LEFT(VLOOKUP($B369,'Round 3'!$B$2:$H$361,7,false),1)="A","W",if(LEFT(VLOOKUP($B369,'Round 3'!$B$2:$H$361,7,false),1)="B","L","")),if(LEFT(VLOOKUP($B369,'Round 3'!$F$2:$H$361,3,false),1)="b","W",if(LEFT(VLOOKUP($B369,'Round 3'!$F$2:$H$361,3,false),1)="a","L","")))</f>
        <v>L</v>
      </c>
      <c r="G369" s="67" t="str">
        <f>iferror(if(LEFT(VLOOKUP($B369,'Round 4'!$B$2:$H$361,7,false),1)="A","W",if(LEFT(VLOOKUP($B369,'Round 4'!$B$2:$H$361,7,false),1)="B","L","")),if(LEFT(VLOOKUP($B369,'Round 4'!$F$2:$H$361,3,false),1)="b","W",if(LEFT(VLOOKUP($B369,'Round 4'!$F$2:$H$361,3,false),1)="a","L","")))</f>
        <v>L</v>
      </c>
      <c r="H369" s="67"/>
      <c r="I369" s="67"/>
      <c r="J369" s="67" t="str">
        <f>iferror(iferror(if(LEFT(VLOOKUP($B369,'Round 7'!$B$2:$H$361,7,false),1)="A","W",if(LEFT(VLOOKUP($B369,'Round 7'!$B$2:$H$361,7,false),1)="B","L","")),if(LEFT(VLOOKUP($B369,'Round 7'!$F$2:$H$361,3,false),1)="b","W",if(LEFT(VLOOKUP($B369,'Round 7'!$F$2:$H$361,3,false),1)="a","L",""))),"")</f>
        <v/>
      </c>
      <c r="K369" s="68" t="str">
        <f>iferror(iferror(if(LEFT(VLOOKUP($B369,'Round 8'!$B$2:$H$361,7,false),1)="A","W",if(LEFT(VLOOKUP($B369,'Round 8'!$B$2:$H$361,7,false),1)="B","L","")),if(LEFT(VLOOKUP($B369,'Round 8'!$F$2:$H$361,3,false),1)="b","W",if(LEFT(VLOOKUP($B369,'Round 8'!$F$2:$H$361,3,false),1)="a","L",""))),"")</f>
        <v/>
      </c>
      <c r="L369" s="68" t="str">
        <f>iferror(iferror(if(LEFT(VLOOKUP($B369,'Round 9'!$B$2:$H$361,7,false),1)="A","W",if(LEFT(VLOOKUP($B369,'Round 9'!$B$2:$H$361,7,false),1)="B","L","")),if(LEFT(VLOOKUP($B369,'Round 9'!$F$2:$H$361,3,false),1)="b","W",if(LEFT(VLOOKUP($B369,'Round 9'!$F$2:$H$361,3,false),1)="a","L",""))),"")</f>
        <v/>
      </c>
      <c r="M369" s="68" t="str">
        <f>iferror(iferror(if(LEFT(VLOOKUP($B369,'Round 10'!$B$2:$H$362,7,false),1)="A","W",if(LEFT(VLOOKUP($B369,'Round 10'!$B$2:$H$362,7,false),1)="B","L","")),if(LEFT(VLOOKUP($B369,'Round 10'!$F$2:$H$362,3,false),1)="b","W",if(LEFT(VLOOKUP($B369,'Round 10'!$F$2:$H$362,3,false),1)="a","L",""))),"")</f>
        <v/>
      </c>
      <c r="N369" s="62" t="s">
        <v>799</v>
      </c>
    </row>
    <row r="370">
      <c r="A370" s="63">
        <v>369.0</v>
      </c>
      <c r="B370" s="64" t="s">
        <v>800</v>
      </c>
      <c r="C370" s="65" t="str">
        <f t="shared" si="1"/>
        <v>0 - 3</v>
      </c>
      <c r="D370" s="67" t="str">
        <f>iferror(if(LEFT(VLOOKUP($B370,'Round 1'!$B$2:$H$361,7,false),1)="A","W",if(LEFT(VLOOKUP($B370,'Round 1'!$B$2:$H$361,7,false),1)="B","L","")),if(LEFT(VLOOKUP($B370,'Round 1'!$F$2:$H$361,3,false),1)="b","W",if(LEFT(VLOOKUP($B370,'Round 1'!$F$2:$H$361,3,false),1)="a","L","")))</f>
        <v>L</v>
      </c>
      <c r="E370" s="67" t="str">
        <f>iferror(if(LEFT(VLOOKUP($B370,'Round 2'!$C$2:$J$361,8,false),1)="A","W",if(LEFT(VLOOKUP($B370,'Round 2'!$C$2:$J$361,8,false),1)="B","L","")),if(LEFT(VLOOKUP($B370,'Round 2'!$G$2:$J$361,4,false),1)="b","W",if(LEFT(VLOOKUP($B370,'Round 2'!$G$2:$J$361,4,false),1)="a","L","")))</f>
        <v>L</v>
      </c>
      <c r="F370" s="67" t="str">
        <f>iferror(if(LEFT(VLOOKUP($B370,'Round 3'!$B$2:$H$361,7,false),1)="A","W",if(LEFT(VLOOKUP($B370,'Round 3'!$B$2:$H$361,7,false),1)="B","L","")),if(LEFT(VLOOKUP($B370,'Round 3'!$F$2:$H$361,3,false),1)="b","W",if(LEFT(VLOOKUP($B370,'Round 3'!$F$2:$H$361,3,false),1)="a","L","")))</f>
        <v>L</v>
      </c>
      <c r="G370" s="67"/>
      <c r="H370" s="67"/>
      <c r="I370" s="67"/>
      <c r="J370" s="67" t="str">
        <f>iferror(iferror(if(LEFT(VLOOKUP($B370,'Round 7'!$B$2:$H$361,7,false),1)="A","W",if(LEFT(VLOOKUP($B370,'Round 7'!$B$2:$H$361,7,false),1)="B","L","")),if(LEFT(VLOOKUP($B370,'Round 7'!$F$2:$H$361,3,false),1)="b","W",if(LEFT(VLOOKUP($B370,'Round 7'!$F$2:$H$361,3,false),1)="a","L",""))),"")</f>
        <v/>
      </c>
      <c r="K370" s="68" t="str">
        <f>iferror(iferror(if(LEFT(VLOOKUP($B370,'Round 8'!$B$2:$H$361,7,false),1)="A","W",if(LEFT(VLOOKUP($B370,'Round 8'!$B$2:$H$361,7,false),1)="B","L","")),if(LEFT(VLOOKUP($B370,'Round 8'!$F$2:$H$361,3,false),1)="b","W",if(LEFT(VLOOKUP($B370,'Round 8'!$F$2:$H$361,3,false),1)="a","L",""))),"")</f>
        <v/>
      </c>
      <c r="L370" s="68" t="str">
        <f>iferror(iferror(if(LEFT(VLOOKUP($B370,'Round 9'!$B$2:$H$361,7,false),1)="A","W",if(LEFT(VLOOKUP($B370,'Round 9'!$B$2:$H$361,7,false),1)="B","L","")),if(LEFT(VLOOKUP($B370,'Round 9'!$F$2:$H$361,3,false),1)="b","W",if(LEFT(VLOOKUP($B370,'Round 9'!$F$2:$H$361,3,false),1)="a","L",""))),"")</f>
        <v/>
      </c>
      <c r="M370" s="68" t="str">
        <f>iferror(iferror(if(LEFT(VLOOKUP($B370,'Round 10'!$B$2:$H$362,7,false),1)="A","W",if(LEFT(VLOOKUP($B370,'Round 10'!$B$2:$H$362,7,false),1)="B","L","")),if(LEFT(VLOOKUP($B370,'Round 10'!$F$2:$H$362,3,false),1)="b","W",if(LEFT(VLOOKUP($B370,'Round 10'!$F$2:$H$362,3,false),1)="a","L",""))),"")</f>
        <v/>
      </c>
      <c r="N370" s="72" t="s">
        <v>144</v>
      </c>
    </row>
    <row r="371">
      <c r="A371" s="63">
        <v>370.0</v>
      </c>
      <c r="B371" s="64" t="s">
        <v>801</v>
      </c>
      <c r="C371" s="65" t="str">
        <f t="shared" si="1"/>
        <v>2 - 3</v>
      </c>
      <c r="D371" s="67" t="str">
        <f>iferror(if(LEFT(VLOOKUP($B371,'Round 1'!$B$2:$H$361,7,false),1)="A","W",if(LEFT(VLOOKUP($B371,'Round 1'!$B$2:$H$361,7,false),1)="B","L","")),if(LEFT(VLOOKUP($B371,'Round 1'!$F$2:$H$361,3,false),1)="b","W",if(LEFT(VLOOKUP($B371,'Round 1'!$F$2:$H$361,3,false),1)="a","L","")))</f>
        <v>L</v>
      </c>
      <c r="E371" s="67" t="str">
        <f>iferror(if(LEFT(VLOOKUP($B371,'Round 2'!$C$2:$J$361,8,false),1)="A","W",if(LEFT(VLOOKUP($B371,'Round 2'!$C$2:$J$361,8,false),1)="B","L","")),if(LEFT(VLOOKUP($B371,'Round 2'!$G$2:$J$361,4,false),1)="b","W",if(LEFT(VLOOKUP($B371,'Round 2'!$G$2:$J$361,4,false),1)="a","L","")))</f>
        <v>W</v>
      </c>
      <c r="F371" s="67" t="str">
        <f>iferror(if(LEFT(VLOOKUP($B371,'Round 3'!$B$2:$H$361,7,false),1)="A","W",if(LEFT(VLOOKUP($B371,'Round 3'!$B$2:$H$361,7,false),1)="B","L","")),if(LEFT(VLOOKUP($B371,'Round 3'!$F$2:$H$361,3,false),1)="b","W",if(LEFT(VLOOKUP($B371,'Round 3'!$F$2:$H$361,3,false),1)="a","L","")))</f>
        <v>W</v>
      </c>
      <c r="G371" s="67" t="str">
        <f>iferror(if(LEFT(VLOOKUP($B371,'Round 4'!$B$2:$H$361,7,false),1)="A","W",if(LEFT(VLOOKUP($B371,'Round 4'!$B$2:$H$361,7,false),1)="B","L","")),if(LEFT(VLOOKUP($B371,'Round 4'!$F$2:$H$361,3,false),1)="b","W",if(LEFT(VLOOKUP($B371,'Round 4'!$F$2:$H$361,3,false),1)="a","L","")))</f>
        <v>L</v>
      </c>
      <c r="H371" s="67" t="str">
        <f>iferror(if(LEFT(VLOOKUP($B371,'Round 5'!$B$2:$H$361,7,false),1)="A","W",if(LEFT(VLOOKUP($B371,'Round 5'!$B$2:$H$361,7,false),1)="B","L","")),if(LEFT(VLOOKUP($B371,'Round 5'!$F$2:$H$361,3,false),1)="b","W",if(LEFT(VLOOKUP($B371,'Round 5'!$F$2:$H$361,3,false),1)="a","L","")))</f>
        <v>L</v>
      </c>
      <c r="I371" s="67"/>
      <c r="J371" s="67" t="str">
        <f>iferror(iferror(if(LEFT(VLOOKUP($B371,'Round 7'!$B$2:$H$361,7,false),1)="A","W",if(LEFT(VLOOKUP($B371,'Round 7'!$B$2:$H$361,7,false),1)="B","L","")),if(LEFT(VLOOKUP($B371,'Round 7'!$F$2:$H$361,3,false),1)="b","W",if(LEFT(VLOOKUP($B371,'Round 7'!$F$2:$H$361,3,false),1)="a","L",""))),"")</f>
        <v/>
      </c>
      <c r="K371" s="68" t="str">
        <f>iferror(iferror(if(LEFT(VLOOKUP($B371,'Round 8'!$B$2:$H$361,7,false),1)="A","W",if(LEFT(VLOOKUP($B371,'Round 8'!$B$2:$H$361,7,false),1)="B","L","")),if(LEFT(VLOOKUP($B371,'Round 8'!$F$2:$H$361,3,false),1)="b","W",if(LEFT(VLOOKUP($B371,'Round 8'!$F$2:$H$361,3,false),1)="a","L",""))),"")</f>
        <v/>
      </c>
      <c r="L371" s="68" t="str">
        <f>iferror(iferror(if(LEFT(VLOOKUP($B371,'Round 9'!$B$2:$H$361,7,false),1)="A","W",if(LEFT(VLOOKUP($B371,'Round 9'!$B$2:$H$361,7,false),1)="B","L","")),if(LEFT(VLOOKUP($B371,'Round 9'!$F$2:$H$361,3,false),1)="b","W",if(LEFT(VLOOKUP($B371,'Round 9'!$F$2:$H$361,3,false),1)="a","L",""))),"")</f>
        <v/>
      </c>
      <c r="M371" s="68" t="str">
        <f>iferror(iferror(if(LEFT(VLOOKUP($B371,'Round 10'!$B$2:$H$362,7,false),1)="A","W",if(LEFT(VLOOKUP($B371,'Round 10'!$B$2:$H$362,7,false),1)="B","L","")),if(LEFT(VLOOKUP($B371,'Round 10'!$F$2:$H$362,3,false),1)="b","W",if(LEFT(VLOOKUP($B371,'Round 10'!$F$2:$H$362,3,false),1)="a","L",""))),"")</f>
        <v/>
      </c>
      <c r="N371" s="62" t="s">
        <v>802</v>
      </c>
    </row>
    <row r="372">
      <c r="A372" s="63">
        <v>371.0</v>
      </c>
      <c r="B372" s="64" t="s">
        <v>803</v>
      </c>
      <c r="C372" s="65" t="str">
        <f t="shared" si="1"/>
        <v>1 - 3</v>
      </c>
      <c r="D372" s="67" t="str">
        <f>iferror(if(LEFT(VLOOKUP($B372,'Round 1'!$B$2:$H$361,7,false),1)="A","W",if(LEFT(VLOOKUP($B372,'Round 1'!$B$2:$H$361,7,false),1)="B","L","")),if(LEFT(VLOOKUP($B372,'Round 1'!$F$2:$H$361,3,false),1)="b","W",if(LEFT(VLOOKUP($B372,'Round 1'!$F$2:$H$361,3,false),1)="a","L","")))</f>
        <v>W</v>
      </c>
      <c r="E372" s="67" t="str">
        <f>iferror(if(LEFT(VLOOKUP($B372,'Round 2'!$C$2:$J$361,8,false),1)="A","W",if(LEFT(VLOOKUP($B372,'Round 2'!$C$2:$J$361,8,false),1)="B","L","")),if(LEFT(VLOOKUP($B372,'Round 2'!$G$2:$J$361,4,false),1)="b","W",if(LEFT(VLOOKUP($B372,'Round 2'!$G$2:$J$361,4,false),1)="a","L","")))</f>
        <v>L</v>
      </c>
      <c r="F372" s="67" t="str">
        <f>iferror(if(LEFT(VLOOKUP($B372,'Round 3'!$B$2:$H$361,7,false),1)="A","W",if(LEFT(VLOOKUP($B372,'Round 3'!$B$2:$H$361,7,false),1)="B","L","")),if(LEFT(VLOOKUP($B372,'Round 3'!$F$2:$H$361,3,false),1)="b","W",if(LEFT(VLOOKUP($B372,'Round 3'!$F$2:$H$361,3,false),1)="a","L","")))</f>
        <v>L</v>
      </c>
      <c r="G372" s="67" t="str">
        <f>iferror(if(LEFT(VLOOKUP($B372,'Round 4'!$B$2:$H$361,7,false),1)="A","W",if(LEFT(VLOOKUP($B372,'Round 4'!$B$2:$H$361,7,false),1)="B","L","")),if(LEFT(VLOOKUP($B372,'Round 4'!$F$2:$H$361,3,false),1)="b","W",if(LEFT(VLOOKUP($B372,'Round 4'!$F$2:$H$361,3,false),1)="a","L","")))</f>
        <v>L</v>
      </c>
      <c r="H372" s="67"/>
      <c r="I372" s="67"/>
      <c r="J372" s="67" t="str">
        <f>iferror(iferror(if(LEFT(VLOOKUP($B372,'Round 7'!$B$2:$H$361,7,false),1)="A","W",if(LEFT(VLOOKUP($B372,'Round 7'!$B$2:$H$361,7,false),1)="B","L","")),if(LEFT(VLOOKUP($B372,'Round 7'!$F$2:$H$361,3,false),1)="b","W",if(LEFT(VLOOKUP($B372,'Round 7'!$F$2:$H$361,3,false),1)="a","L",""))),"")</f>
        <v/>
      </c>
      <c r="K372" s="68" t="str">
        <f>iferror(iferror(if(LEFT(VLOOKUP($B372,'Round 8'!$B$2:$H$361,7,false),1)="A","W",if(LEFT(VLOOKUP($B372,'Round 8'!$B$2:$H$361,7,false),1)="B","L","")),if(LEFT(VLOOKUP($B372,'Round 8'!$F$2:$H$361,3,false),1)="b","W",if(LEFT(VLOOKUP($B372,'Round 8'!$F$2:$H$361,3,false),1)="a","L",""))),"")</f>
        <v/>
      </c>
      <c r="L372" s="68" t="str">
        <f>iferror(iferror(if(LEFT(VLOOKUP($B372,'Round 9'!$B$2:$H$361,7,false),1)="A","W",if(LEFT(VLOOKUP($B372,'Round 9'!$B$2:$H$361,7,false),1)="B","L","")),if(LEFT(VLOOKUP($B372,'Round 9'!$F$2:$H$361,3,false),1)="b","W",if(LEFT(VLOOKUP($B372,'Round 9'!$F$2:$H$361,3,false),1)="a","L",""))),"")</f>
        <v/>
      </c>
      <c r="M372" s="68" t="str">
        <f>iferror(iferror(if(LEFT(VLOOKUP($B372,'Round 10'!$B$2:$H$362,7,false),1)="A","W",if(LEFT(VLOOKUP($B372,'Round 10'!$B$2:$H$362,7,false),1)="B","L","")),if(LEFT(VLOOKUP($B372,'Round 10'!$F$2:$H$362,3,false),1)="b","W",if(LEFT(VLOOKUP($B372,'Round 10'!$F$2:$H$362,3,false),1)="a","L",""))),"")</f>
        <v/>
      </c>
      <c r="N372" s="62" t="s">
        <v>804</v>
      </c>
    </row>
    <row r="373">
      <c r="A373" s="63">
        <v>372.0</v>
      </c>
      <c r="B373" s="64" t="s">
        <v>805</v>
      </c>
      <c r="C373" s="65" t="str">
        <f t="shared" si="1"/>
        <v>4 - 3</v>
      </c>
      <c r="D373" s="67" t="str">
        <f>iferror(if(LEFT(VLOOKUP($B373,'Round 1'!$B$2:$H$361,7,false),1)="A","W",if(LEFT(VLOOKUP($B373,'Round 1'!$B$2:$H$361,7,false),1)="B","L","")),if(LEFT(VLOOKUP($B373,'Round 1'!$F$2:$H$361,3,false),1)="b","W",if(LEFT(VLOOKUP($B373,'Round 1'!$F$2:$H$361,3,false),1)="a","L","")))</f>
        <v>L</v>
      </c>
      <c r="E373" s="67" t="str">
        <f>iferror(if(LEFT(VLOOKUP($B373,'Round 2'!$C$2:$J$361,8,false),1)="A","W",if(LEFT(VLOOKUP($B373,'Round 2'!$C$2:$J$361,8,false),1)="B","L","")),if(LEFT(VLOOKUP($B373,'Round 2'!$G$2:$J$361,4,false),1)="b","W",if(LEFT(VLOOKUP($B373,'Round 2'!$G$2:$J$361,4,false),1)="a","L","")))</f>
        <v>W</v>
      </c>
      <c r="F373" s="67" t="str">
        <f>iferror(if(LEFT(VLOOKUP($B373,'Round 3'!$B$2:$H$361,7,false),1)="A","W",if(LEFT(VLOOKUP($B373,'Round 3'!$B$2:$H$361,7,false),1)="B","L","")),if(LEFT(VLOOKUP($B373,'Round 3'!$F$2:$H$361,3,false),1)="b","W",if(LEFT(VLOOKUP($B373,'Round 3'!$F$2:$H$361,3,false),1)="a","L","")))</f>
        <v>W</v>
      </c>
      <c r="G373" s="67" t="str">
        <f>iferror(if(LEFT(VLOOKUP($B373,'Round 4'!$B$2:$H$361,7,false),1)="A","W",if(LEFT(VLOOKUP($B373,'Round 4'!$B$2:$H$361,7,false),1)="B","L","")),if(LEFT(VLOOKUP($B373,'Round 4'!$F$2:$H$361,3,false),1)="b","W",if(LEFT(VLOOKUP($B373,'Round 4'!$F$2:$H$361,3,false),1)="a","L","")))</f>
        <v>W</v>
      </c>
      <c r="H373" s="67" t="str">
        <f>iferror(if(LEFT(VLOOKUP($B373,'Round 5'!$B$2:$H$361,7,false),1)="A","W",if(LEFT(VLOOKUP($B373,'Round 5'!$B$2:$H$361,7,false),1)="B","L","")),if(LEFT(VLOOKUP($B373,'Round 5'!$F$2:$H$361,3,false),1)="b","W",if(LEFT(VLOOKUP($B373,'Round 5'!$F$2:$H$361,3,false),1)="a","L","")))</f>
        <v>L</v>
      </c>
      <c r="I373" s="67" t="str">
        <f>iferror(if(LEFT(VLOOKUP($B373,'Round 6'!$B$2:$H$361,7,false),1)="A","W",if(LEFT(VLOOKUP($B373,'Round 6'!$B$2:$H$361,7,false),1)="B","L","")),if(LEFT(VLOOKUP($B373,'Round 6'!$F$2:$H$361,3,false),1)="b","W",if(LEFT(VLOOKUP($B373,'Round 6'!$F$2:$H$361,3,false),1)="a","L","")))</f>
        <v>W</v>
      </c>
      <c r="J373" s="67" t="str">
        <f>iferror(iferror(if(LEFT(VLOOKUP($B373,'Round 7'!$B$2:$H$361,7,false),1)="A","W",if(LEFT(VLOOKUP($B373,'Round 7'!$B$2:$H$361,7,false),1)="B","L","")),if(LEFT(VLOOKUP($B373,'Round 7'!$F$2:$H$361,3,false),1)="b","W",if(LEFT(VLOOKUP($B373,'Round 7'!$F$2:$H$361,3,false),1)="a","L",""))),"")</f>
        <v>L</v>
      </c>
      <c r="K373" s="68" t="str">
        <f>iferror(iferror(if(LEFT(VLOOKUP($B373,'Round 8'!$B$2:$H$361,7,false),1)="A","W",if(LEFT(VLOOKUP($B373,'Round 8'!$B$2:$H$361,7,false),1)="B","L","")),if(LEFT(VLOOKUP($B373,'Round 8'!$F$2:$H$361,3,false),1)="b","W",if(LEFT(VLOOKUP($B373,'Round 8'!$F$2:$H$361,3,false),1)="a","L",""))),"")</f>
        <v/>
      </c>
      <c r="L373" s="68" t="str">
        <f>iferror(iferror(if(LEFT(VLOOKUP($B373,'Round 9'!$B$2:$H$361,7,false),1)="A","W",if(LEFT(VLOOKUP($B373,'Round 9'!$B$2:$H$361,7,false),1)="B","L","")),if(LEFT(VLOOKUP($B373,'Round 9'!$F$2:$H$361,3,false),1)="b","W",if(LEFT(VLOOKUP($B373,'Round 9'!$F$2:$H$361,3,false),1)="a","L",""))),"")</f>
        <v/>
      </c>
      <c r="M373" s="68" t="str">
        <f>iferror(iferror(if(LEFT(VLOOKUP($B373,'Round 10'!$B$2:$H$362,7,false),1)="A","W",if(LEFT(VLOOKUP($B373,'Round 10'!$B$2:$H$362,7,false),1)="B","L","")),if(LEFT(VLOOKUP($B373,'Round 10'!$F$2:$H$362,3,false),1)="b","W",if(LEFT(VLOOKUP($B373,'Round 10'!$F$2:$H$362,3,false),1)="a","L",""))),"")</f>
        <v/>
      </c>
      <c r="N373" s="62" t="s">
        <v>806</v>
      </c>
    </row>
    <row r="374">
      <c r="A374" s="63">
        <v>373.0</v>
      </c>
      <c r="B374" s="64" t="s">
        <v>807</v>
      </c>
      <c r="C374" s="65" t="str">
        <f t="shared" si="1"/>
        <v>0 - 3</v>
      </c>
      <c r="D374" s="67" t="str">
        <f>iferror(if(LEFT(VLOOKUP($B374,'Round 1'!$B$2:$H$361,7,false),1)="A","W",if(LEFT(VLOOKUP($B374,'Round 1'!$B$2:$H$361,7,false),1)="B","L","")),if(LEFT(VLOOKUP($B374,'Round 1'!$F$2:$H$361,3,false),1)="b","W",if(LEFT(VLOOKUP($B374,'Round 1'!$F$2:$H$361,3,false),1)="a","L","")))</f>
        <v>L</v>
      </c>
      <c r="E374" s="67" t="str">
        <f>iferror(if(LEFT(VLOOKUP($B374,'Round 2'!$C$2:$J$361,8,false),1)="A","W",if(LEFT(VLOOKUP($B374,'Round 2'!$C$2:$J$361,8,false),1)="B","L","")),if(LEFT(VLOOKUP($B374,'Round 2'!$G$2:$J$361,4,false),1)="b","W",if(LEFT(VLOOKUP($B374,'Round 2'!$G$2:$J$361,4,false),1)="a","L","")))</f>
        <v>L</v>
      </c>
      <c r="F374" s="67" t="str">
        <f>iferror(if(LEFT(VLOOKUP($B374,'Round 3'!$B$2:$H$361,7,false),1)="A","W",if(LEFT(VLOOKUP($B374,'Round 3'!$B$2:$H$361,7,false),1)="B","L","")),if(LEFT(VLOOKUP($B374,'Round 3'!$F$2:$H$361,3,false),1)="b","W",if(LEFT(VLOOKUP($B374,'Round 3'!$F$2:$H$361,3,false),1)="a","L","")))</f>
        <v>L</v>
      </c>
      <c r="G374" s="67"/>
      <c r="H374" s="67"/>
      <c r="I374" s="67"/>
      <c r="J374" s="67" t="str">
        <f>iferror(iferror(if(LEFT(VLOOKUP($B374,'Round 7'!$B$2:$H$361,7,false),1)="A","W",if(LEFT(VLOOKUP($B374,'Round 7'!$B$2:$H$361,7,false),1)="B","L","")),if(LEFT(VLOOKUP($B374,'Round 7'!$F$2:$H$361,3,false),1)="b","W",if(LEFT(VLOOKUP($B374,'Round 7'!$F$2:$H$361,3,false),1)="a","L",""))),"")</f>
        <v/>
      </c>
      <c r="K374" s="68" t="str">
        <f>iferror(iferror(if(LEFT(VLOOKUP($B374,'Round 8'!$B$2:$H$361,7,false),1)="A","W",if(LEFT(VLOOKUP($B374,'Round 8'!$B$2:$H$361,7,false),1)="B","L","")),if(LEFT(VLOOKUP($B374,'Round 8'!$F$2:$H$361,3,false),1)="b","W",if(LEFT(VLOOKUP($B374,'Round 8'!$F$2:$H$361,3,false),1)="a","L",""))),"")</f>
        <v/>
      </c>
      <c r="L374" s="68" t="str">
        <f>iferror(iferror(if(LEFT(VLOOKUP($B374,'Round 9'!$B$2:$H$361,7,false),1)="A","W",if(LEFT(VLOOKUP($B374,'Round 9'!$B$2:$H$361,7,false),1)="B","L","")),if(LEFT(VLOOKUP($B374,'Round 9'!$F$2:$H$361,3,false),1)="b","W",if(LEFT(VLOOKUP($B374,'Round 9'!$F$2:$H$361,3,false),1)="a","L",""))),"")</f>
        <v/>
      </c>
      <c r="M374" s="68" t="str">
        <f>iferror(iferror(if(LEFT(VLOOKUP($B374,'Round 10'!$B$2:$H$362,7,false),1)="A","W",if(LEFT(VLOOKUP($B374,'Round 10'!$B$2:$H$362,7,false),1)="B","L","")),if(LEFT(VLOOKUP($B374,'Round 10'!$F$2:$H$362,3,false),1)="b","W",if(LEFT(VLOOKUP($B374,'Round 10'!$F$2:$H$362,3,false),1)="a","L",""))),"")</f>
        <v/>
      </c>
      <c r="N374" s="72" t="s">
        <v>144</v>
      </c>
    </row>
    <row r="375">
      <c r="A375" s="63">
        <v>374.0</v>
      </c>
      <c r="B375" s="64" t="s">
        <v>808</v>
      </c>
      <c r="C375" s="65" t="str">
        <f t="shared" si="1"/>
        <v>0 - 3</v>
      </c>
      <c r="D375" s="67" t="str">
        <f>iferror(if(LEFT(VLOOKUP($B375,'Round 1'!$B$2:$H$361,7,false),1)="A","W",if(LEFT(VLOOKUP($B375,'Round 1'!$B$2:$H$361,7,false),1)="B","L","")),if(LEFT(VLOOKUP($B375,'Round 1'!$F$2:$H$361,3,false),1)="b","W",if(LEFT(VLOOKUP($B375,'Round 1'!$F$2:$H$361,3,false),1)="a","L","")))</f>
        <v>L</v>
      </c>
      <c r="E375" s="67" t="str">
        <f>iferror(if(LEFT(VLOOKUP($B375,'Round 2'!$C$2:$J$361,8,false),1)="A","W",if(LEFT(VLOOKUP($B375,'Round 2'!$C$2:$J$361,8,false),1)="B","L","")),if(LEFT(VLOOKUP($B375,'Round 2'!$G$2:$J$361,4,false),1)="b","W",if(LEFT(VLOOKUP($B375,'Round 2'!$G$2:$J$361,4,false),1)="a","L","")))</f>
        <v>L</v>
      </c>
      <c r="F375" s="67" t="str">
        <f>iferror(if(LEFT(VLOOKUP($B375,'Round 3'!$B$2:$H$361,7,false),1)="A","W",if(LEFT(VLOOKUP($B375,'Round 3'!$B$2:$H$361,7,false),1)="B","L","")),if(LEFT(VLOOKUP($B375,'Round 3'!$F$2:$H$361,3,false),1)="b","W",if(LEFT(VLOOKUP($B375,'Round 3'!$F$2:$H$361,3,false),1)="a","L","")))</f>
        <v>L</v>
      </c>
      <c r="G375" s="67"/>
      <c r="H375" s="67"/>
      <c r="I375" s="67"/>
      <c r="J375" s="67" t="str">
        <f>iferror(iferror(if(LEFT(VLOOKUP($B375,'Round 7'!$B$2:$H$361,7,false),1)="A","W",if(LEFT(VLOOKUP($B375,'Round 7'!$B$2:$H$361,7,false),1)="B","L","")),if(LEFT(VLOOKUP($B375,'Round 7'!$F$2:$H$361,3,false),1)="b","W",if(LEFT(VLOOKUP($B375,'Round 7'!$F$2:$H$361,3,false),1)="a","L",""))),"")</f>
        <v/>
      </c>
      <c r="K375" s="68" t="str">
        <f>iferror(iferror(if(LEFT(VLOOKUP($B375,'Round 8'!$B$2:$H$361,7,false),1)="A","W",if(LEFT(VLOOKUP($B375,'Round 8'!$B$2:$H$361,7,false),1)="B","L","")),if(LEFT(VLOOKUP($B375,'Round 8'!$F$2:$H$361,3,false),1)="b","W",if(LEFT(VLOOKUP($B375,'Round 8'!$F$2:$H$361,3,false),1)="a","L",""))),"")</f>
        <v/>
      </c>
      <c r="L375" s="68" t="str">
        <f>iferror(iferror(if(LEFT(VLOOKUP($B375,'Round 9'!$B$2:$H$361,7,false),1)="A","W",if(LEFT(VLOOKUP($B375,'Round 9'!$B$2:$H$361,7,false),1)="B","L","")),if(LEFT(VLOOKUP($B375,'Round 9'!$F$2:$H$361,3,false),1)="b","W",if(LEFT(VLOOKUP($B375,'Round 9'!$F$2:$H$361,3,false),1)="a","L",""))),"")</f>
        <v/>
      </c>
      <c r="M375" s="68" t="str">
        <f>iferror(iferror(if(LEFT(VLOOKUP($B375,'Round 10'!$B$2:$H$362,7,false),1)="A","W",if(LEFT(VLOOKUP($B375,'Round 10'!$B$2:$H$362,7,false),1)="B","L","")),if(LEFT(VLOOKUP($B375,'Round 10'!$F$2:$H$362,3,false),1)="b","W",if(LEFT(VLOOKUP($B375,'Round 10'!$F$2:$H$362,3,false),1)="a","L",""))),"")</f>
        <v/>
      </c>
      <c r="N375" s="72" t="s">
        <v>144</v>
      </c>
    </row>
    <row r="376">
      <c r="A376" s="63">
        <v>375.0</v>
      </c>
      <c r="B376" s="64" t="s">
        <v>809</v>
      </c>
      <c r="C376" s="65" t="str">
        <f t="shared" si="1"/>
        <v>3 - 3</v>
      </c>
      <c r="D376" s="67" t="str">
        <f>iferror(if(LEFT(VLOOKUP($B376,'Round 1'!$B$2:$H$361,7,false),1)="A","W",if(LEFT(VLOOKUP($B376,'Round 1'!$B$2:$H$361,7,false),1)="B","L","")),if(LEFT(VLOOKUP($B376,'Round 1'!$F$2:$H$361,3,false),1)="b","W",if(LEFT(VLOOKUP($B376,'Round 1'!$F$2:$H$361,3,false),1)="a","L","")))</f>
        <v>W</v>
      </c>
      <c r="E376" s="67" t="str">
        <f>iferror(if(LEFT(VLOOKUP($B376,'Round 2'!$C$2:$J$361,8,false),1)="A","W",if(LEFT(VLOOKUP($B376,'Round 2'!$C$2:$J$361,8,false),1)="B","L","")),if(LEFT(VLOOKUP($B376,'Round 2'!$G$2:$J$361,4,false),1)="b","W",if(LEFT(VLOOKUP($B376,'Round 2'!$G$2:$J$361,4,false),1)="a","L","")))</f>
        <v>W</v>
      </c>
      <c r="F376" s="67" t="str">
        <f>iferror(if(LEFT(VLOOKUP($B376,'Round 3'!$B$2:$H$361,7,false),1)="A","W",if(LEFT(VLOOKUP($B376,'Round 3'!$B$2:$H$361,7,false),1)="B","L","")),if(LEFT(VLOOKUP($B376,'Round 3'!$F$2:$H$361,3,false),1)="b","W",if(LEFT(VLOOKUP($B376,'Round 3'!$F$2:$H$361,3,false),1)="a","L","")))</f>
        <v>W</v>
      </c>
      <c r="G376" s="67" t="str">
        <f>iferror(if(LEFT(VLOOKUP($B376,'Round 4'!$B$2:$H$361,7,false),1)="A","W",if(LEFT(VLOOKUP($B376,'Round 4'!$B$2:$H$361,7,false),1)="B","L","")),if(LEFT(VLOOKUP($B376,'Round 4'!$F$2:$H$361,3,false),1)="b","W",if(LEFT(VLOOKUP($B376,'Round 4'!$F$2:$H$361,3,false),1)="a","L","")))</f>
        <v>L</v>
      </c>
      <c r="H376" s="67" t="str">
        <f>iferror(if(LEFT(VLOOKUP($B376,'Round 5'!$B$2:$H$361,7,false),1)="A","W",if(LEFT(VLOOKUP($B376,'Round 5'!$B$2:$H$361,7,false),1)="B","L","")),if(LEFT(VLOOKUP($B376,'Round 5'!$F$2:$H$361,3,false),1)="b","W",if(LEFT(VLOOKUP($B376,'Round 5'!$F$2:$H$361,3,false),1)="a","L","")))</f>
        <v>L</v>
      </c>
      <c r="I376" s="67" t="str">
        <f>iferror(if(LEFT(VLOOKUP($B376,'Round 6'!$B$2:$H$361,7,false),1)="A","W",if(LEFT(VLOOKUP($B376,'Round 6'!$B$2:$H$361,7,false),1)="B","L","")),if(LEFT(VLOOKUP($B376,'Round 6'!$F$2:$H$361,3,false),1)="b","W",if(LEFT(VLOOKUP($B376,'Round 6'!$F$2:$H$361,3,false),1)="a","L","")))</f>
        <v>L</v>
      </c>
      <c r="J376" s="67" t="str">
        <f>iferror(iferror(if(LEFT(VLOOKUP($B376,'Round 7'!$B$2:$H$361,7,false),1)="A","W",if(LEFT(VLOOKUP($B376,'Round 7'!$B$2:$H$361,7,false),1)="B","L","")),if(LEFT(VLOOKUP($B376,'Round 7'!$F$2:$H$361,3,false),1)="b","W",if(LEFT(VLOOKUP($B376,'Round 7'!$F$2:$H$361,3,false),1)="a","L",""))),"")</f>
        <v/>
      </c>
      <c r="K376" s="68" t="str">
        <f>iferror(iferror(if(LEFT(VLOOKUP($B376,'Round 8'!$B$2:$H$361,7,false),1)="A","W",if(LEFT(VLOOKUP($B376,'Round 8'!$B$2:$H$361,7,false),1)="B","L","")),if(LEFT(VLOOKUP($B376,'Round 8'!$F$2:$H$361,3,false),1)="b","W",if(LEFT(VLOOKUP($B376,'Round 8'!$F$2:$H$361,3,false),1)="a","L",""))),"")</f>
        <v/>
      </c>
      <c r="L376" s="68" t="str">
        <f>iferror(iferror(if(LEFT(VLOOKUP($B376,'Round 9'!$B$2:$H$361,7,false),1)="A","W",if(LEFT(VLOOKUP($B376,'Round 9'!$B$2:$H$361,7,false),1)="B","L","")),if(LEFT(VLOOKUP($B376,'Round 9'!$F$2:$H$361,3,false),1)="b","W",if(LEFT(VLOOKUP($B376,'Round 9'!$F$2:$H$361,3,false),1)="a","L",""))),"")</f>
        <v/>
      </c>
      <c r="M376" s="68" t="str">
        <f>iferror(iferror(if(LEFT(VLOOKUP($B376,'Round 10'!$B$2:$H$362,7,false),1)="A","W",if(LEFT(VLOOKUP($B376,'Round 10'!$B$2:$H$362,7,false),1)="B","L","")),if(LEFT(VLOOKUP($B376,'Round 10'!$F$2:$H$362,3,false),1)="b","W",if(LEFT(VLOOKUP($B376,'Round 10'!$F$2:$H$362,3,false),1)="a","L",""))),"")</f>
        <v/>
      </c>
      <c r="N376" s="62" t="s">
        <v>810</v>
      </c>
    </row>
    <row r="377">
      <c r="A377" s="63">
        <v>376.0</v>
      </c>
      <c r="B377" s="64" t="s">
        <v>811</v>
      </c>
      <c r="C377" s="65" t="str">
        <f t="shared" si="1"/>
        <v>3 - 3</v>
      </c>
      <c r="D377" s="67" t="str">
        <f>iferror(if(LEFT(VLOOKUP($B377,'Round 1'!$B$2:$H$361,7,false),1)="A","W",if(LEFT(VLOOKUP($B377,'Round 1'!$B$2:$H$361,7,false),1)="B","L","")),if(LEFT(VLOOKUP($B377,'Round 1'!$F$2:$H$361,3,false),1)="b","W",if(LEFT(VLOOKUP($B377,'Round 1'!$F$2:$H$361,3,false),1)="a","L","")))</f>
        <v>W</v>
      </c>
      <c r="E377" s="67" t="str">
        <f>iferror(if(LEFT(VLOOKUP($B377,'Round 2'!$C$2:$J$361,8,false),1)="A","W",if(LEFT(VLOOKUP($B377,'Round 2'!$C$2:$J$361,8,false),1)="B","L","")),if(LEFT(VLOOKUP($B377,'Round 2'!$G$2:$J$361,4,false),1)="b","W",if(LEFT(VLOOKUP($B377,'Round 2'!$G$2:$J$361,4,false),1)="a","L","")))</f>
        <v>W</v>
      </c>
      <c r="F377" s="67" t="str">
        <f>iferror(if(LEFT(VLOOKUP($B377,'Round 3'!$B$2:$H$361,7,false),1)="A","W",if(LEFT(VLOOKUP($B377,'Round 3'!$B$2:$H$361,7,false),1)="B","L","")),if(LEFT(VLOOKUP($B377,'Round 3'!$F$2:$H$361,3,false),1)="b","W",if(LEFT(VLOOKUP($B377,'Round 3'!$F$2:$H$361,3,false),1)="a","L","")))</f>
        <v>W</v>
      </c>
      <c r="G377" s="67" t="str">
        <f>iferror(if(LEFT(VLOOKUP($B377,'Round 4'!$B$2:$H$361,7,false),1)="A","W",if(LEFT(VLOOKUP($B377,'Round 4'!$B$2:$H$361,7,false),1)="B","L","")),if(LEFT(VLOOKUP($B377,'Round 4'!$F$2:$H$361,3,false),1)="b","W",if(LEFT(VLOOKUP($B377,'Round 4'!$F$2:$H$361,3,false),1)="a","L","")))</f>
        <v>L</v>
      </c>
      <c r="H377" s="67" t="str">
        <f>iferror(if(LEFT(VLOOKUP($B377,'Round 5'!$B$2:$H$361,7,false),1)="A","W",if(LEFT(VLOOKUP($B377,'Round 5'!$B$2:$H$361,7,false),1)="B","L","")),if(LEFT(VLOOKUP($B377,'Round 5'!$F$2:$H$361,3,false),1)="b","W",if(LEFT(VLOOKUP($B377,'Round 5'!$F$2:$H$361,3,false),1)="a","L","")))</f>
        <v>L</v>
      </c>
      <c r="I377" s="66" t="s">
        <v>812</v>
      </c>
      <c r="J377" s="67" t="str">
        <f>iferror(iferror(if(LEFT(VLOOKUP($B377,'Round 7'!$B$2:$H$361,7,false),1)="A","W",if(LEFT(VLOOKUP($B377,'Round 7'!$B$2:$H$361,7,false),1)="B","L","")),if(LEFT(VLOOKUP($B377,'Round 7'!$F$2:$H$361,3,false),1)="b","W",if(LEFT(VLOOKUP($B377,'Round 7'!$F$2:$H$361,3,false),1)="a","L",""))),"")</f>
        <v/>
      </c>
      <c r="K377" s="68" t="str">
        <f>iferror(iferror(if(LEFT(VLOOKUP($B377,'Round 8'!$B$2:$H$361,7,false),1)="A","W",if(LEFT(VLOOKUP($B377,'Round 8'!$B$2:$H$361,7,false),1)="B","L","")),if(LEFT(VLOOKUP($B377,'Round 8'!$F$2:$H$361,3,false),1)="b","W",if(LEFT(VLOOKUP($B377,'Round 8'!$F$2:$H$361,3,false),1)="a","L",""))),"")</f>
        <v/>
      </c>
      <c r="L377" s="68" t="str">
        <f>iferror(iferror(if(LEFT(VLOOKUP($B377,'Round 9'!$B$2:$H$361,7,false),1)="A","W",if(LEFT(VLOOKUP($B377,'Round 9'!$B$2:$H$361,7,false),1)="B","L","")),if(LEFT(VLOOKUP($B377,'Round 9'!$F$2:$H$361,3,false),1)="b","W",if(LEFT(VLOOKUP($B377,'Round 9'!$F$2:$H$361,3,false),1)="a","L",""))),"")</f>
        <v/>
      </c>
      <c r="M377" s="68" t="str">
        <f>iferror(iferror(if(LEFT(VLOOKUP($B377,'Round 10'!$B$2:$H$362,7,false),1)="A","W",if(LEFT(VLOOKUP($B377,'Round 10'!$B$2:$H$362,7,false),1)="B","L","")),if(LEFT(VLOOKUP($B377,'Round 10'!$F$2:$H$362,3,false),1)="b","W",if(LEFT(VLOOKUP($B377,'Round 10'!$F$2:$H$362,3,false),1)="a","L",""))),"")</f>
        <v/>
      </c>
      <c r="N377" s="62" t="s">
        <v>813</v>
      </c>
    </row>
    <row r="378">
      <c r="A378" s="63">
        <v>377.0</v>
      </c>
      <c r="B378" s="64" t="s">
        <v>814</v>
      </c>
      <c r="C378" s="65" t="str">
        <f t="shared" si="1"/>
        <v>5 - 3</v>
      </c>
      <c r="D378" s="67" t="str">
        <f>iferror(if(LEFT(VLOOKUP($B378,'Round 1'!$B$2:$H$361,7,false),1)="A","W",if(LEFT(VLOOKUP($B378,'Round 1'!$B$2:$H$361,7,false),1)="B","L","")),if(LEFT(VLOOKUP($B378,'Round 1'!$F$2:$H$361,3,false),1)="b","W",if(LEFT(VLOOKUP($B378,'Round 1'!$F$2:$H$361,3,false),1)="a","L","")))</f>
        <v>L</v>
      </c>
      <c r="E378" s="67" t="str">
        <f>iferror(if(LEFT(VLOOKUP($B378,'Round 2'!$C$2:$J$361,8,false),1)="A","W",if(LEFT(VLOOKUP($B378,'Round 2'!$C$2:$J$361,8,false),1)="B","L","")),if(LEFT(VLOOKUP($B378,'Round 2'!$G$2:$J$361,4,false),1)="b","W",if(LEFT(VLOOKUP($B378,'Round 2'!$G$2:$J$361,4,false),1)="a","L","")))</f>
        <v>W</v>
      </c>
      <c r="F378" s="67" t="str">
        <f>iferror(if(LEFT(VLOOKUP($B378,'Round 3'!$B$2:$H$361,7,false),1)="A","W",if(LEFT(VLOOKUP($B378,'Round 3'!$B$2:$H$361,7,false),1)="B","L","")),if(LEFT(VLOOKUP($B378,'Round 3'!$F$2:$H$361,3,false),1)="b","W",if(LEFT(VLOOKUP($B378,'Round 3'!$F$2:$H$361,3,false),1)="a","L","")))</f>
        <v>W</v>
      </c>
      <c r="G378" s="67" t="str">
        <f>iferror(if(LEFT(VLOOKUP($B378,'Round 4'!$B$2:$H$361,7,false),1)="A","W",if(LEFT(VLOOKUP($B378,'Round 4'!$B$2:$H$361,7,false),1)="B","L","")),if(LEFT(VLOOKUP($B378,'Round 4'!$F$2:$H$361,3,false),1)="b","W",if(LEFT(VLOOKUP($B378,'Round 4'!$F$2:$H$361,3,false),1)="a","L","")))</f>
        <v>W</v>
      </c>
      <c r="H378" s="67" t="str">
        <f>iferror(if(LEFT(VLOOKUP($B378,'Round 5'!$B$2:$H$361,7,false),1)="A","W",if(LEFT(VLOOKUP($B378,'Round 5'!$B$2:$H$361,7,false),1)="B","L","")),if(LEFT(VLOOKUP($B378,'Round 5'!$F$2:$H$361,3,false),1)="b","W",if(LEFT(VLOOKUP($B378,'Round 5'!$F$2:$H$361,3,false),1)="a","L","")))</f>
        <v>L</v>
      </c>
      <c r="I378" s="67" t="str">
        <f>iferror(if(LEFT(VLOOKUP($B378,'Round 6'!$B$2:$H$361,7,false),1)="A","W",if(LEFT(VLOOKUP($B378,'Round 6'!$B$2:$H$361,7,false),1)="B","L","")),if(LEFT(VLOOKUP($B378,'Round 6'!$F$2:$H$361,3,false),1)="b","W",if(LEFT(VLOOKUP($B378,'Round 6'!$F$2:$H$361,3,false),1)="a","L","")))</f>
        <v>W</v>
      </c>
      <c r="J378" s="67" t="str">
        <f>iferror(iferror(if(LEFT(VLOOKUP($B378,'Round 7'!$B$2:$H$361,7,false),1)="A","W",if(LEFT(VLOOKUP($B378,'Round 7'!$B$2:$H$361,7,false),1)="B","L","")),if(LEFT(VLOOKUP($B378,'Round 7'!$F$2:$H$361,3,false),1)="b","W",if(LEFT(VLOOKUP($B378,'Round 7'!$F$2:$H$361,3,false),1)="a","L",""))),"")</f>
        <v>W</v>
      </c>
      <c r="K378" s="68" t="str">
        <f>iferror(iferror(if(LEFT(VLOOKUP($B378,'Round 8'!$B$2:$H$361,7,false),1)="A","W",if(LEFT(VLOOKUP($B378,'Round 8'!$B$2:$H$361,7,false),1)="B","L","")),if(LEFT(VLOOKUP($B378,'Round 8'!$F$2:$H$361,3,false),1)="b","W",if(LEFT(VLOOKUP($B378,'Round 8'!$F$2:$H$361,3,false),1)="a","L",""))),"")</f>
        <v>L</v>
      </c>
      <c r="L378" s="68" t="str">
        <f>iferror(iferror(if(LEFT(VLOOKUP($B378,'Round 9'!$B$2:$H$361,7,false),1)="A","W",if(LEFT(VLOOKUP($B378,'Round 9'!$B$2:$H$361,7,false),1)="B","L","")),if(LEFT(VLOOKUP($B378,'Round 9'!$F$2:$H$361,3,false),1)="b","W",if(LEFT(VLOOKUP($B378,'Round 9'!$F$2:$H$361,3,false),1)="a","L",""))),"")</f>
        <v/>
      </c>
      <c r="M378" s="68" t="str">
        <f>iferror(iferror(if(LEFT(VLOOKUP($B378,'Round 10'!$B$2:$H$362,7,false),1)="A","W",if(LEFT(VLOOKUP($B378,'Round 10'!$B$2:$H$362,7,false),1)="B","L","")),if(LEFT(VLOOKUP($B378,'Round 10'!$F$2:$H$362,3,false),1)="b","W",if(LEFT(VLOOKUP($B378,'Round 10'!$F$2:$H$362,3,false),1)="a","L",""))),"")</f>
        <v/>
      </c>
      <c r="N378" s="62" t="s">
        <v>815</v>
      </c>
    </row>
    <row r="379">
      <c r="A379" s="63">
        <v>378.0</v>
      </c>
      <c r="B379" s="64" t="s">
        <v>816</v>
      </c>
      <c r="C379" s="65" t="str">
        <f t="shared" si="1"/>
        <v>0 - 3</v>
      </c>
      <c r="D379" s="67" t="str">
        <f>iferror(if(LEFT(VLOOKUP($B379,'Round 1'!$B$2:$H$361,7,false),1)="A","W",if(LEFT(VLOOKUP($B379,'Round 1'!$B$2:$H$361,7,false),1)="B","L","")),if(LEFT(VLOOKUP($B379,'Round 1'!$F$2:$H$361,3,false),1)="b","W",if(LEFT(VLOOKUP($B379,'Round 1'!$F$2:$H$361,3,false),1)="a","L","")))</f>
        <v>L</v>
      </c>
      <c r="E379" s="67" t="str">
        <f>iferror(if(LEFT(VLOOKUP($B379,'Round 2'!$C$2:$J$361,8,false),1)="A","W",if(LEFT(VLOOKUP($B379,'Round 2'!$C$2:$J$361,8,false),1)="B","L","")),if(LEFT(VLOOKUP($B379,'Round 2'!$G$2:$J$361,4,false),1)="b","W",if(LEFT(VLOOKUP($B379,'Round 2'!$G$2:$J$361,4,false),1)="a","L","")))</f>
        <v>L</v>
      </c>
      <c r="F379" s="67" t="str">
        <f>iferror(if(LEFT(VLOOKUP($B379,'Round 3'!$B$2:$H$361,7,false),1)="A","W",if(LEFT(VLOOKUP($B379,'Round 3'!$B$2:$H$361,7,false),1)="B","L","")),if(LEFT(VLOOKUP($B379,'Round 3'!$F$2:$H$361,3,false),1)="b","W",if(LEFT(VLOOKUP($B379,'Round 3'!$F$2:$H$361,3,false),1)="a","L","")))</f>
        <v>L</v>
      </c>
      <c r="G379" s="67"/>
      <c r="H379" s="67"/>
      <c r="I379" s="67"/>
      <c r="J379" s="67" t="str">
        <f>iferror(iferror(if(LEFT(VLOOKUP($B379,'Round 7'!$B$2:$H$361,7,false),1)="A","W",if(LEFT(VLOOKUP($B379,'Round 7'!$B$2:$H$361,7,false),1)="B","L","")),if(LEFT(VLOOKUP($B379,'Round 7'!$F$2:$H$361,3,false),1)="b","W",if(LEFT(VLOOKUP($B379,'Round 7'!$F$2:$H$361,3,false),1)="a","L",""))),"")</f>
        <v/>
      </c>
      <c r="K379" s="68" t="str">
        <f>iferror(iferror(if(LEFT(VLOOKUP($B379,'Round 8'!$B$2:$H$361,7,false),1)="A","W",if(LEFT(VLOOKUP($B379,'Round 8'!$B$2:$H$361,7,false),1)="B","L","")),if(LEFT(VLOOKUP($B379,'Round 8'!$F$2:$H$361,3,false),1)="b","W",if(LEFT(VLOOKUP($B379,'Round 8'!$F$2:$H$361,3,false),1)="a","L",""))),"")</f>
        <v/>
      </c>
      <c r="L379" s="68" t="str">
        <f>iferror(iferror(if(LEFT(VLOOKUP($B379,'Round 9'!$B$2:$H$361,7,false),1)="A","W",if(LEFT(VLOOKUP($B379,'Round 9'!$B$2:$H$361,7,false),1)="B","L","")),if(LEFT(VLOOKUP($B379,'Round 9'!$F$2:$H$361,3,false),1)="b","W",if(LEFT(VLOOKUP($B379,'Round 9'!$F$2:$H$361,3,false),1)="a","L",""))),"")</f>
        <v/>
      </c>
      <c r="M379" s="68" t="str">
        <f>iferror(iferror(if(LEFT(VLOOKUP($B379,'Round 10'!$B$2:$H$362,7,false),1)="A","W",if(LEFT(VLOOKUP($B379,'Round 10'!$B$2:$H$362,7,false),1)="B","L","")),if(LEFT(VLOOKUP($B379,'Round 10'!$F$2:$H$362,3,false),1)="b","W",if(LEFT(VLOOKUP($B379,'Round 10'!$F$2:$H$362,3,false),1)="a","L",""))),"")</f>
        <v/>
      </c>
      <c r="N379" s="62" t="s">
        <v>817</v>
      </c>
    </row>
    <row r="380">
      <c r="A380" s="63">
        <v>379.0</v>
      </c>
      <c r="B380" s="64" t="s">
        <v>818</v>
      </c>
      <c r="C380" s="65" t="str">
        <f t="shared" si="1"/>
        <v>2 - 3</v>
      </c>
      <c r="D380" s="67" t="str">
        <f>iferror(if(LEFT(VLOOKUP($B380,'Round 1'!$B$2:$H$361,7,false),1)="A","W",if(LEFT(VLOOKUP($B380,'Round 1'!$B$2:$H$361,7,false),1)="B","L","")),if(LEFT(VLOOKUP($B380,'Round 1'!$F$2:$H$361,3,false),1)="b","W",if(LEFT(VLOOKUP($B380,'Round 1'!$F$2:$H$361,3,false),1)="a","L","")))</f>
        <v>W</v>
      </c>
      <c r="E380" s="67" t="str">
        <f>iferror(if(LEFT(VLOOKUP($B380,'Round 2'!$C$2:$J$361,8,false),1)="A","W",if(LEFT(VLOOKUP($B380,'Round 2'!$C$2:$J$361,8,false),1)="B","L","")),if(LEFT(VLOOKUP($B380,'Round 2'!$G$2:$J$361,4,false),1)="b","W",if(LEFT(VLOOKUP($B380,'Round 2'!$G$2:$J$361,4,false),1)="a","L","")))</f>
        <v>L</v>
      </c>
      <c r="F380" s="67" t="str">
        <f>iferror(if(LEFT(VLOOKUP($B380,'Round 3'!$B$2:$H$361,7,false),1)="A","W",if(LEFT(VLOOKUP($B380,'Round 3'!$B$2:$H$361,7,false),1)="B","L","")),if(LEFT(VLOOKUP($B380,'Round 3'!$F$2:$H$361,3,false),1)="b","W",if(LEFT(VLOOKUP($B380,'Round 3'!$F$2:$H$361,3,false),1)="a","L","")))</f>
        <v>L</v>
      </c>
      <c r="G380" s="67" t="str">
        <f>iferror(if(LEFT(VLOOKUP($B380,'Round 4'!$B$2:$H$361,7,false),1)="A","W",if(LEFT(VLOOKUP($B380,'Round 4'!$B$2:$H$361,7,false),1)="B","L","")),if(LEFT(VLOOKUP($B380,'Round 4'!$F$2:$H$361,3,false),1)="b","W",if(LEFT(VLOOKUP($B380,'Round 4'!$F$2:$H$361,3,false),1)="a","L","")))</f>
        <v>W</v>
      </c>
      <c r="H380" s="67" t="str">
        <f>iferror(if(LEFT(VLOOKUP($B380,'Round 5'!$B$2:$H$361,7,false),1)="A","W",if(LEFT(VLOOKUP($B380,'Round 5'!$B$2:$H$361,7,false),1)="B","L","")),if(LEFT(VLOOKUP($B380,'Round 5'!$F$2:$H$361,3,false),1)="b","W",if(LEFT(VLOOKUP($B380,'Round 5'!$F$2:$H$361,3,false),1)="a","L","")))</f>
        <v>L</v>
      </c>
      <c r="I380" s="67"/>
      <c r="J380" s="67" t="str">
        <f>iferror(iferror(if(LEFT(VLOOKUP($B380,'Round 7'!$B$2:$H$361,7,false),1)="A","W",if(LEFT(VLOOKUP($B380,'Round 7'!$B$2:$H$361,7,false),1)="B","L","")),if(LEFT(VLOOKUP($B380,'Round 7'!$F$2:$H$361,3,false),1)="b","W",if(LEFT(VLOOKUP($B380,'Round 7'!$F$2:$H$361,3,false),1)="a","L",""))),"")</f>
        <v/>
      </c>
      <c r="K380" s="68" t="str">
        <f>iferror(iferror(if(LEFT(VLOOKUP($B380,'Round 8'!$B$2:$H$361,7,false),1)="A","W",if(LEFT(VLOOKUP($B380,'Round 8'!$B$2:$H$361,7,false),1)="B","L","")),if(LEFT(VLOOKUP($B380,'Round 8'!$F$2:$H$361,3,false),1)="b","W",if(LEFT(VLOOKUP($B380,'Round 8'!$F$2:$H$361,3,false),1)="a","L",""))),"")</f>
        <v/>
      </c>
      <c r="L380" s="68" t="str">
        <f>iferror(iferror(if(LEFT(VLOOKUP($B380,'Round 9'!$B$2:$H$361,7,false),1)="A","W",if(LEFT(VLOOKUP($B380,'Round 9'!$B$2:$H$361,7,false),1)="B","L","")),if(LEFT(VLOOKUP($B380,'Round 9'!$F$2:$H$361,3,false),1)="b","W",if(LEFT(VLOOKUP($B380,'Round 9'!$F$2:$H$361,3,false),1)="a","L",""))),"")</f>
        <v/>
      </c>
      <c r="M380" s="68" t="str">
        <f>iferror(iferror(if(LEFT(VLOOKUP($B380,'Round 10'!$B$2:$H$362,7,false),1)="A","W",if(LEFT(VLOOKUP($B380,'Round 10'!$B$2:$H$362,7,false),1)="B","L","")),if(LEFT(VLOOKUP($B380,'Round 10'!$F$2:$H$362,3,false),1)="b","W",if(LEFT(VLOOKUP($B380,'Round 10'!$F$2:$H$362,3,false),1)="a","L",""))),"")</f>
        <v/>
      </c>
      <c r="N380" s="62" t="s">
        <v>819</v>
      </c>
    </row>
    <row r="381">
      <c r="A381" s="63">
        <v>380.0</v>
      </c>
      <c r="B381" s="64" t="s">
        <v>820</v>
      </c>
      <c r="C381" s="65" t="str">
        <f t="shared" si="1"/>
        <v>4 - 3</v>
      </c>
      <c r="D381" s="67" t="str">
        <f>iferror(if(LEFT(VLOOKUP($B381,'Round 1'!$B$2:$H$361,7,false),1)="A","W",if(LEFT(VLOOKUP($B381,'Round 1'!$B$2:$H$361,7,false),1)="B","L","")),if(LEFT(VLOOKUP($B381,'Round 1'!$F$2:$H$361,3,false),1)="b","W",if(LEFT(VLOOKUP($B381,'Round 1'!$F$2:$H$361,3,false),1)="a","L","")))</f>
        <v>W</v>
      </c>
      <c r="E381" s="67" t="str">
        <f>iferror(if(LEFT(VLOOKUP($B381,'Round 2'!$C$2:$J$361,8,false),1)="A","W",if(LEFT(VLOOKUP($B381,'Round 2'!$C$2:$J$361,8,false),1)="B","L","")),if(LEFT(VLOOKUP($B381,'Round 2'!$G$2:$J$361,4,false),1)="b","W",if(LEFT(VLOOKUP($B381,'Round 2'!$G$2:$J$361,4,false),1)="a","L","")))</f>
        <v>W</v>
      </c>
      <c r="F381" s="67" t="str">
        <f>iferror(if(LEFT(VLOOKUP($B381,'Round 3'!$B$2:$H$361,7,false),1)="A","W",if(LEFT(VLOOKUP($B381,'Round 3'!$B$2:$H$361,7,false),1)="B","L","")),if(LEFT(VLOOKUP($B381,'Round 3'!$F$2:$H$361,3,false),1)="b","W",if(LEFT(VLOOKUP($B381,'Round 3'!$F$2:$H$361,3,false),1)="a","L","")))</f>
        <v>L</v>
      </c>
      <c r="G381" s="67" t="str">
        <f>iferror(if(LEFT(VLOOKUP($B381,'Round 4'!$B$2:$H$361,7,false),1)="A","W",if(LEFT(VLOOKUP($B381,'Round 4'!$B$2:$H$361,7,false),1)="B","L","")),if(LEFT(VLOOKUP($B381,'Round 4'!$F$2:$H$361,3,false),1)="b","W",if(LEFT(VLOOKUP($B381,'Round 4'!$F$2:$H$361,3,false),1)="a","L","")))</f>
        <v>W</v>
      </c>
      <c r="H381" s="67" t="str">
        <f>iferror(if(LEFT(VLOOKUP($B381,'Round 5'!$B$2:$H$361,7,false),1)="A","W",if(LEFT(VLOOKUP($B381,'Round 5'!$B$2:$H$361,7,false),1)="B","L","")),if(LEFT(VLOOKUP($B381,'Round 5'!$F$2:$H$361,3,false),1)="b","W",if(LEFT(VLOOKUP($B381,'Round 5'!$F$2:$H$361,3,false),1)="a","L","")))</f>
        <v>L</v>
      </c>
      <c r="I381" s="67" t="str">
        <f>iferror(if(LEFT(VLOOKUP($B381,'Round 6'!$B$2:$H$361,7,false),1)="A","W",if(LEFT(VLOOKUP($B381,'Round 6'!$B$2:$H$361,7,false),1)="B","L","")),if(LEFT(VLOOKUP($B381,'Round 6'!$F$2:$H$361,3,false),1)="b","W",if(LEFT(VLOOKUP($B381,'Round 6'!$F$2:$H$361,3,false),1)="a","L","")))</f>
        <v>W</v>
      </c>
      <c r="J381" s="67" t="str">
        <f>iferror(iferror(if(LEFT(VLOOKUP($B381,'Round 7'!$B$2:$H$361,7,false),1)="A","W",if(LEFT(VLOOKUP($B381,'Round 7'!$B$2:$H$361,7,false),1)="B","L","")),if(LEFT(VLOOKUP($B381,'Round 7'!$F$2:$H$361,3,false),1)="b","W",if(LEFT(VLOOKUP($B381,'Round 7'!$F$2:$H$361,3,false),1)="a","L",""))),"")</f>
        <v>L</v>
      </c>
      <c r="K381" s="68" t="str">
        <f>iferror(iferror(if(LEFT(VLOOKUP($B381,'Round 8'!$B$2:$H$361,7,false),1)="A","W",if(LEFT(VLOOKUP($B381,'Round 8'!$B$2:$H$361,7,false),1)="B","L","")),if(LEFT(VLOOKUP($B381,'Round 8'!$F$2:$H$361,3,false),1)="b","W",if(LEFT(VLOOKUP($B381,'Round 8'!$F$2:$H$361,3,false),1)="a","L",""))),"")</f>
        <v/>
      </c>
      <c r="L381" s="68" t="str">
        <f>iferror(iferror(if(LEFT(VLOOKUP($B381,'Round 9'!$B$2:$H$361,7,false),1)="A","W",if(LEFT(VLOOKUP($B381,'Round 9'!$B$2:$H$361,7,false),1)="B","L","")),if(LEFT(VLOOKUP($B381,'Round 9'!$F$2:$H$361,3,false),1)="b","W",if(LEFT(VLOOKUP($B381,'Round 9'!$F$2:$H$361,3,false),1)="a","L",""))),"")</f>
        <v/>
      </c>
      <c r="M381" s="68" t="str">
        <f>iferror(iferror(if(LEFT(VLOOKUP($B381,'Round 10'!$B$2:$H$362,7,false),1)="A","W",if(LEFT(VLOOKUP($B381,'Round 10'!$B$2:$H$362,7,false),1)="B","L","")),if(LEFT(VLOOKUP($B381,'Round 10'!$F$2:$H$362,3,false),1)="b","W",if(LEFT(VLOOKUP($B381,'Round 10'!$F$2:$H$362,3,false),1)="a","L",""))),"")</f>
        <v/>
      </c>
      <c r="N381" s="62" t="s">
        <v>821</v>
      </c>
    </row>
    <row r="382">
      <c r="A382" s="63">
        <v>381.0</v>
      </c>
      <c r="B382" s="64" t="s">
        <v>822</v>
      </c>
      <c r="C382" s="65" t="str">
        <f t="shared" si="1"/>
        <v>3 - 3</v>
      </c>
      <c r="D382" s="67" t="str">
        <f>iferror(if(LEFT(VLOOKUP($B382,'Round 1'!$B$2:$H$361,7,false),1)="A","W",if(LEFT(VLOOKUP($B382,'Round 1'!$B$2:$H$361,7,false),1)="B","L","")),if(LEFT(VLOOKUP($B382,'Round 1'!$F$2:$H$361,3,false),1)="b","W",if(LEFT(VLOOKUP($B382,'Round 1'!$F$2:$H$361,3,false),1)="a","L","")))</f>
        <v>W</v>
      </c>
      <c r="E382" s="67" t="str">
        <f>iferror(if(LEFT(VLOOKUP($B382,'Round 2'!$C$2:$J$361,8,false),1)="A","W",if(LEFT(VLOOKUP($B382,'Round 2'!$C$2:$J$361,8,false),1)="B","L","")),if(LEFT(VLOOKUP($B382,'Round 2'!$G$2:$J$361,4,false),1)="b","W",if(LEFT(VLOOKUP($B382,'Round 2'!$G$2:$J$361,4,false),1)="a","L","")))</f>
        <v>L</v>
      </c>
      <c r="F382" s="67" t="str">
        <f>iferror(if(LEFT(VLOOKUP($B382,'Round 3'!$B$2:$H$361,7,false),1)="A","W",if(LEFT(VLOOKUP($B382,'Round 3'!$B$2:$H$361,7,false),1)="B","L","")),if(LEFT(VLOOKUP($B382,'Round 3'!$F$2:$H$361,3,false),1)="b","W",if(LEFT(VLOOKUP($B382,'Round 3'!$F$2:$H$361,3,false),1)="a","L","")))</f>
        <v>L</v>
      </c>
      <c r="G382" s="67" t="str">
        <f>iferror(if(LEFT(VLOOKUP($B382,'Round 4'!$B$2:$H$361,7,false),1)="A","W",if(LEFT(VLOOKUP($B382,'Round 4'!$B$2:$H$361,7,false),1)="B","L","")),if(LEFT(VLOOKUP($B382,'Round 4'!$F$2:$H$361,3,false),1)="b","W",if(LEFT(VLOOKUP($B382,'Round 4'!$F$2:$H$361,3,false),1)="a","L","")))</f>
        <v>W</v>
      </c>
      <c r="H382" s="67" t="str">
        <f>iferror(if(LEFT(VLOOKUP($B382,'Round 5'!$B$2:$H$361,7,false),1)="A","W",if(LEFT(VLOOKUP($B382,'Round 5'!$B$2:$H$361,7,false),1)="B","L","")),if(LEFT(VLOOKUP($B382,'Round 5'!$F$2:$H$361,3,false),1)="b","W",if(LEFT(VLOOKUP($B382,'Round 5'!$F$2:$H$361,3,false),1)="a","L","")))</f>
        <v>W</v>
      </c>
      <c r="I382" s="67" t="str">
        <f>iferror(if(LEFT(VLOOKUP($B382,'Round 6'!$B$2:$H$361,7,false),1)="A","W",if(LEFT(VLOOKUP($B382,'Round 6'!$B$2:$H$361,7,false),1)="B","L","")),if(LEFT(VLOOKUP($B382,'Round 6'!$F$2:$H$361,3,false),1)="b","W",if(LEFT(VLOOKUP($B382,'Round 6'!$F$2:$H$361,3,false),1)="a","L","")))</f>
        <v>L</v>
      </c>
      <c r="J382" s="67" t="str">
        <f>iferror(iferror(if(LEFT(VLOOKUP($B382,'Round 7'!$B$2:$H$361,7,false),1)="A","W",if(LEFT(VLOOKUP($B382,'Round 7'!$B$2:$H$361,7,false),1)="B","L","")),if(LEFT(VLOOKUP($B382,'Round 7'!$F$2:$H$361,3,false),1)="b","W",if(LEFT(VLOOKUP($B382,'Round 7'!$F$2:$H$361,3,false),1)="a","L",""))),"")</f>
        <v/>
      </c>
      <c r="K382" s="68" t="str">
        <f>iferror(iferror(if(LEFT(VLOOKUP($B382,'Round 8'!$B$2:$H$361,7,false),1)="A","W",if(LEFT(VLOOKUP($B382,'Round 8'!$B$2:$H$361,7,false),1)="B","L","")),if(LEFT(VLOOKUP($B382,'Round 8'!$F$2:$H$361,3,false),1)="b","W",if(LEFT(VLOOKUP($B382,'Round 8'!$F$2:$H$361,3,false),1)="a","L",""))),"")</f>
        <v/>
      </c>
      <c r="L382" s="68" t="str">
        <f>iferror(iferror(if(LEFT(VLOOKUP($B382,'Round 9'!$B$2:$H$361,7,false),1)="A","W",if(LEFT(VLOOKUP($B382,'Round 9'!$B$2:$H$361,7,false),1)="B","L","")),if(LEFT(VLOOKUP($B382,'Round 9'!$F$2:$H$361,3,false),1)="b","W",if(LEFT(VLOOKUP($B382,'Round 9'!$F$2:$H$361,3,false),1)="a","L",""))),"")</f>
        <v/>
      </c>
      <c r="M382" s="68" t="str">
        <f>iferror(iferror(if(LEFT(VLOOKUP($B382,'Round 10'!$B$2:$H$362,7,false),1)="A","W",if(LEFT(VLOOKUP($B382,'Round 10'!$B$2:$H$362,7,false),1)="B","L","")),if(LEFT(VLOOKUP($B382,'Round 10'!$F$2:$H$362,3,false),1)="b","W",if(LEFT(VLOOKUP($B382,'Round 10'!$F$2:$H$362,3,false),1)="a","L",""))),"")</f>
        <v/>
      </c>
      <c r="N382" s="62" t="s">
        <v>823</v>
      </c>
    </row>
    <row r="383">
      <c r="A383" s="63">
        <v>382.0</v>
      </c>
      <c r="B383" s="64" t="s">
        <v>824</v>
      </c>
      <c r="C383" s="65" t="str">
        <f t="shared" si="1"/>
        <v>1 - 3</v>
      </c>
      <c r="D383" s="67" t="str">
        <f>iferror(if(LEFT(VLOOKUP($B383,'Round 1'!$B$2:$H$361,7,false),1)="A","W",if(LEFT(VLOOKUP($B383,'Round 1'!$B$2:$H$361,7,false),1)="B","L","")),if(LEFT(VLOOKUP($B383,'Round 1'!$F$2:$H$361,3,false),1)="b","W",if(LEFT(VLOOKUP($B383,'Round 1'!$F$2:$H$361,3,false),1)="a","L","")))</f>
        <v>L</v>
      </c>
      <c r="E383" s="67" t="str">
        <f>iferror(if(LEFT(VLOOKUP($B383,'Round 2'!$C$2:$J$361,8,false),1)="A","W",if(LEFT(VLOOKUP($B383,'Round 2'!$C$2:$J$361,8,false),1)="B","L","")),if(LEFT(VLOOKUP($B383,'Round 2'!$G$2:$J$361,4,false),1)="b","W",if(LEFT(VLOOKUP($B383,'Round 2'!$G$2:$J$361,4,false),1)="a","L","")))</f>
        <v>L</v>
      </c>
      <c r="F383" s="67" t="str">
        <f>iferror(if(LEFT(VLOOKUP($B383,'Round 3'!$B$2:$H$361,7,false),1)="A","W",if(LEFT(VLOOKUP($B383,'Round 3'!$B$2:$H$361,7,false),1)="B","L","")),if(LEFT(VLOOKUP($B383,'Round 3'!$F$2:$H$361,3,false),1)="b","W",if(LEFT(VLOOKUP($B383,'Round 3'!$F$2:$H$361,3,false),1)="a","L","")))</f>
        <v>W</v>
      </c>
      <c r="G383" s="67" t="str">
        <f>iferror(if(LEFT(VLOOKUP($B383,'Round 4'!$B$2:$H$361,7,false),1)="A","W",if(LEFT(VLOOKUP($B383,'Round 4'!$B$2:$H$361,7,false),1)="B","L","")),if(LEFT(VLOOKUP($B383,'Round 4'!$F$2:$H$361,3,false),1)="b","W",if(LEFT(VLOOKUP($B383,'Round 4'!$F$2:$H$361,3,false),1)="a","L","")))</f>
        <v>L</v>
      </c>
      <c r="H383" s="67"/>
      <c r="I383" s="67"/>
      <c r="J383" s="67" t="str">
        <f>iferror(iferror(if(LEFT(VLOOKUP($B383,'Round 7'!$B$2:$H$361,7,false),1)="A","W",if(LEFT(VLOOKUP($B383,'Round 7'!$B$2:$H$361,7,false),1)="B","L","")),if(LEFT(VLOOKUP($B383,'Round 7'!$F$2:$H$361,3,false),1)="b","W",if(LEFT(VLOOKUP($B383,'Round 7'!$F$2:$H$361,3,false),1)="a","L",""))),"")</f>
        <v/>
      </c>
      <c r="K383" s="68" t="str">
        <f>iferror(iferror(if(LEFT(VLOOKUP($B383,'Round 8'!$B$2:$H$361,7,false),1)="A","W",if(LEFT(VLOOKUP($B383,'Round 8'!$B$2:$H$361,7,false),1)="B","L","")),if(LEFT(VLOOKUP($B383,'Round 8'!$F$2:$H$361,3,false),1)="b","W",if(LEFT(VLOOKUP($B383,'Round 8'!$F$2:$H$361,3,false),1)="a","L",""))),"")</f>
        <v/>
      </c>
      <c r="L383" s="68" t="str">
        <f>iferror(iferror(if(LEFT(VLOOKUP($B383,'Round 9'!$B$2:$H$361,7,false),1)="A","W",if(LEFT(VLOOKUP($B383,'Round 9'!$B$2:$H$361,7,false),1)="B","L","")),if(LEFT(VLOOKUP($B383,'Round 9'!$F$2:$H$361,3,false),1)="b","W",if(LEFT(VLOOKUP($B383,'Round 9'!$F$2:$H$361,3,false),1)="a","L",""))),"")</f>
        <v/>
      </c>
      <c r="M383" s="68" t="str">
        <f>iferror(iferror(if(LEFT(VLOOKUP($B383,'Round 10'!$B$2:$H$362,7,false),1)="A","W",if(LEFT(VLOOKUP($B383,'Round 10'!$B$2:$H$362,7,false),1)="B","L","")),if(LEFT(VLOOKUP($B383,'Round 10'!$F$2:$H$362,3,false),1)="b","W",if(LEFT(VLOOKUP($B383,'Round 10'!$F$2:$H$362,3,false),1)="a","L",""))),"")</f>
        <v/>
      </c>
      <c r="N383" s="62" t="s">
        <v>825</v>
      </c>
    </row>
    <row r="384">
      <c r="A384" s="63">
        <v>383.0</v>
      </c>
      <c r="B384" s="64" t="s">
        <v>826</v>
      </c>
      <c r="C384" s="65" t="str">
        <f t="shared" si="1"/>
        <v>2 - 3</v>
      </c>
      <c r="D384" s="67" t="str">
        <f>iferror(if(LEFT(VLOOKUP($B384,'Round 1'!$B$2:$H$361,7,false),1)="A","W",if(LEFT(VLOOKUP($B384,'Round 1'!$B$2:$H$361,7,false),1)="B","L","")),if(LEFT(VLOOKUP($B384,'Round 1'!$F$2:$H$361,3,false),1)="b","W",if(LEFT(VLOOKUP($B384,'Round 1'!$F$2:$H$361,3,false),1)="a","L","")))</f>
        <v>L</v>
      </c>
      <c r="E384" s="67" t="str">
        <f>iferror(if(LEFT(VLOOKUP($B384,'Round 2'!$C$2:$J$361,8,false),1)="A","W",if(LEFT(VLOOKUP($B384,'Round 2'!$C$2:$J$361,8,false),1)="B","L","")),if(LEFT(VLOOKUP($B384,'Round 2'!$G$2:$J$361,4,false),1)="b","W",if(LEFT(VLOOKUP($B384,'Round 2'!$G$2:$J$361,4,false),1)="a","L","")))</f>
        <v>W</v>
      </c>
      <c r="F384" s="67" t="str">
        <f>iferror(if(LEFT(VLOOKUP($B384,'Round 3'!$B$2:$H$361,7,false),1)="A","W",if(LEFT(VLOOKUP($B384,'Round 3'!$B$2:$H$361,7,false),1)="B","L","")),if(LEFT(VLOOKUP($B384,'Round 3'!$F$2:$H$361,3,false),1)="b","W",if(LEFT(VLOOKUP($B384,'Round 3'!$F$2:$H$361,3,false),1)="a","L","")))</f>
        <v>W</v>
      </c>
      <c r="G384" s="67" t="str">
        <f>iferror(if(LEFT(VLOOKUP($B384,'Round 4'!$B$2:$H$361,7,false),1)="A","W",if(LEFT(VLOOKUP($B384,'Round 4'!$B$2:$H$361,7,false),1)="B","L","")),if(LEFT(VLOOKUP($B384,'Round 4'!$F$2:$H$361,3,false),1)="b","W",if(LEFT(VLOOKUP($B384,'Round 4'!$F$2:$H$361,3,false),1)="a","L","")))</f>
        <v>L</v>
      </c>
      <c r="H384" s="67" t="str">
        <f>iferror(if(LEFT(VLOOKUP($B384,'Round 5'!$B$2:$H$361,7,false),1)="A","W",if(LEFT(VLOOKUP($B384,'Round 5'!$B$2:$H$361,7,false),1)="B","L","")),if(LEFT(VLOOKUP($B384,'Round 5'!$F$2:$H$361,3,false),1)="b","W",if(LEFT(VLOOKUP($B384,'Round 5'!$F$2:$H$361,3,false),1)="a","L","")))</f>
        <v>L</v>
      </c>
      <c r="I384" s="67"/>
      <c r="J384" s="67" t="str">
        <f>iferror(iferror(if(LEFT(VLOOKUP($B384,'Round 7'!$B$2:$H$361,7,false),1)="A","W",if(LEFT(VLOOKUP($B384,'Round 7'!$B$2:$H$361,7,false),1)="B","L","")),if(LEFT(VLOOKUP($B384,'Round 7'!$F$2:$H$361,3,false),1)="b","W",if(LEFT(VLOOKUP($B384,'Round 7'!$F$2:$H$361,3,false),1)="a","L",""))),"")</f>
        <v/>
      </c>
      <c r="K384" s="68" t="str">
        <f>iferror(iferror(if(LEFT(VLOOKUP($B384,'Round 8'!$B$2:$H$361,7,false),1)="A","W",if(LEFT(VLOOKUP($B384,'Round 8'!$B$2:$H$361,7,false),1)="B","L","")),if(LEFT(VLOOKUP($B384,'Round 8'!$F$2:$H$361,3,false),1)="b","W",if(LEFT(VLOOKUP($B384,'Round 8'!$F$2:$H$361,3,false),1)="a","L",""))),"")</f>
        <v/>
      </c>
      <c r="L384" s="68" t="str">
        <f>iferror(iferror(if(LEFT(VLOOKUP($B384,'Round 9'!$B$2:$H$361,7,false),1)="A","W",if(LEFT(VLOOKUP($B384,'Round 9'!$B$2:$H$361,7,false),1)="B","L","")),if(LEFT(VLOOKUP($B384,'Round 9'!$F$2:$H$361,3,false),1)="b","W",if(LEFT(VLOOKUP($B384,'Round 9'!$F$2:$H$361,3,false),1)="a","L",""))),"")</f>
        <v/>
      </c>
      <c r="M384" s="68" t="str">
        <f>iferror(iferror(if(LEFT(VLOOKUP($B384,'Round 10'!$B$2:$H$362,7,false),1)="A","W",if(LEFT(VLOOKUP($B384,'Round 10'!$B$2:$H$362,7,false),1)="B","L","")),if(LEFT(VLOOKUP($B384,'Round 10'!$F$2:$H$362,3,false),1)="b","W",if(LEFT(VLOOKUP($B384,'Round 10'!$F$2:$H$362,3,false),1)="a","L",""))),"")</f>
        <v/>
      </c>
      <c r="N384" s="62" t="s">
        <v>827</v>
      </c>
    </row>
    <row r="385">
      <c r="A385" s="63">
        <v>384.0</v>
      </c>
      <c r="B385" s="64" t="s">
        <v>828</v>
      </c>
      <c r="C385" s="65" t="str">
        <f t="shared" si="1"/>
        <v>2 - 3</v>
      </c>
      <c r="D385" s="67" t="str">
        <f>iferror(if(LEFT(VLOOKUP($B385,'Round 1'!$B$2:$H$361,7,false),1)="A","W",if(LEFT(VLOOKUP($B385,'Round 1'!$B$2:$H$361,7,false),1)="B","L","")),if(LEFT(VLOOKUP($B385,'Round 1'!$F$2:$H$361,3,false),1)="b","W",if(LEFT(VLOOKUP($B385,'Round 1'!$F$2:$H$361,3,false),1)="a","L","")))</f>
        <v>L</v>
      </c>
      <c r="E385" s="67" t="str">
        <f>iferror(if(LEFT(VLOOKUP($B385,'Round 2'!$C$2:$J$361,8,false),1)="A","W",if(LEFT(VLOOKUP($B385,'Round 2'!$C$2:$J$361,8,false),1)="B","L","")),if(LEFT(VLOOKUP($B385,'Round 2'!$G$2:$J$361,4,false),1)="b","W",if(LEFT(VLOOKUP($B385,'Round 2'!$G$2:$J$361,4,false),1)="a","L","")))</f>
        <v>L</v>
      </c>
      <c r="F385" s="67" t="str">
        <f>iferror(if(LEFT(VLOOKUP($B385,'Round 3'!$B$2:$H$361,7,false),1)="A","W",if(LEFT(VLOOKUP($B385,'Round 3'!$B$2:$H$361,7,false),1)="B","L","")),if(LEFT(VLOOKUP($B385,'Round 3'!$F$2:$H$361,3,false),1)="b","W",if(LEFT(VLOOKUP($B385,'Round 3'!$F$2:$H$361,3,false),1)="a","L","")))</f>
        <v>W</v>
      </c>
      <c r="G385" s="67" t="str">
        <f>iferror(if(LEFT(VLOOKUP($B385,'Round 4'!$B$2:$H$361,7,false),1)="A","W",if(LEFT(VLOOKUP($B385,'Round 4'!$B$2:$H$361,7,false),1)="B","L","")),if(LEFT(VLOOKUP($B385,'Round 4'!$F$2:$H$361,3,false),1)="b","W",if(LEFT(VLOOKUP($B385,'Round 4'!$F$2:$H$361,3,false),1)="a","L","")))</f>
        <v>W</v>
      </c>
      <c r="H385" s="67" t="str">
        <f>iferror(if(LEFT(VLOOKUP($B385,'Round 5'!$B$2:$H$361,7,false),1)="A","W",if(LEFT(VLOOKUP($B385,'Round 5'!$B$2:$H$361,7,false),1)="B","L","")),if(LEFT(VLOOKUP($B385,'Round 5'!$F$2:$H$361,3,false),1)="b","W",if(LEFT(VLOOKUP($B385,'Round 5'!$F$2:$H$361,3,false),1)="a","L","")))</f>
        <v>L</v>
      </c>
      <c r="I385" s="67"/>
      <c r="J385" s="67" t="str">
        <f>iferror(iferror(if(LEFT(VLOOKUP($B385,'Round 7'!$B$2:$H$361,7,false),1)="A","W",if(LEFT(VLOOKUP($B385,'Round 7'!$B$2:$H$361,7,false),1)="B","L","")),if(LEFT(VLOOKUP($B385,'Round 7'!$F$2:$H$361,3,false),1)="b","W",if(LEFT(VLOOKUP($B385,'Round 7'!$F$2:$H$361,3,false),1)="a","L",""))),"")</f>
        <v/>
      </c>
      <c r="K385" s="68" t="str">
        <f>iferror(iferror(if(LEFT(VLOOKUP($B385,'Round 8'!$B$2:$H$361,7,false),1)="A","W",if(LEFT(VLOOKUP($B385,'Round 8'!$B$2:$H$361,7,false),1)="B","L","")),if(LEFT(VLOOKUP($B385,'Round 8'!$F$2:$H$361,3,false),1)="b","W",if(LEFT(VLOOKUP($B385,'Round 8'!$F$2:$H$361,3,false),1)="a","L",""))),"")</f>
        <v/>
      </c>
      <c r="L385" s="68" t="str">
        <f>iferror(iferror(if(LEFT(VLOOKUP($B385,'Round 9'!$B$2:$H$361,7,false),1)="A","W",if(LEFT(VLOOKUP($B385,'Round 9'!$B$2:$H$361,7,false),1)="B","L","")),if(LEFT(VLOOKUP($B385,'Round 9'!$F$2:$H$361,3,false),1)="b","W",if(LEFT(VLOOKUP($B385,'Round 9'!$F$2:$H$361,3,false),1)="a","L",""))),"")</f>
        <v/>
      </c>
      <c r="M385" s="68" t="str">
        <f>iferror(iferror(if(LEFT(VLOOKUP($B385,'Round 10'!$B$2:$H$362,7,false),1)="A","W",if(LEFT(VLOOKUP($B385,'Round 10'!$B$2:$H$362,7,false),1)="B","L","")),if(LEFT(VLOOKUP($B385,'Round 10'!$F$2:$H$362,3,false),1)="b","W",if(LEFT(VLOOKUP($B385,'Round 10'!$F$2:$H$362,3,false),1)="a","L",""))),"")</f>
        <v/>
      </c>
      <c r="N385" s="62" t="s">
        <v>829</v>
      </c>
    </row>
    <row r="386">
      <c r="A386" s="63">
        <v>385.0</v>
      </c>
      <c r="B386" s="64" t="s">
        <v>830</v>
      </c>
      <c r="C386" s="65" t="str">
        <f t="shared" si="1"/>
        <v>4 - 3</v>
      </c>
      <c r="D386" s="67" t="str">
        <f>iferror(if(LEFT(VLOOKUP($B386,'Round 1'!$B$2:$H$361,7,false),1)="A","W",if(LEFT(VLOOKUP($B386,'Round 1'!$B$2:$H$361,7,false),1)="B","L","")),if(LEFT(VLOOKUP($B386,'Round 1'!$F$2:$H$361,3,false),1)="b","W",if(LEFT(VLOOKUP($B386,'Round 1'!$F$2:$H$361,3,false),1)="a","L","")))</f>
        <v>W</v>
      </c>
      <c r="E386" s="67" t="str">
        <f>iferror(if(LEFT(VLOOKUP($B386,'Round 2'!$C$2:$J$361,8,false),1)="A","W",if(LEFT(VLOOKUP($B386,'Round 2'!$C$2:$J$361,8,false),1)="B","L","")),if(LEFT(VLOOKUP($B386,'Round 2'!$G$2:$J$361,4,false),1)="b","W",if(LEFT(VLOOKUP($B386,'Round 2'!$G$2:$J$361,4,false),1)="a","L","")))</f>
        <v>W</v>
      </c>
      <c r="F386" s="67" t="str">
        <f>iferror(if(LEFT(VLOOKUP($B386,'Round 3'!$B$2:$H$361,7,false),1)="A","W",if(LEFT(VLOOKUP($B386,'Round 3'!$B$2:$H$361,7,false),1)="B","L","")),if(LEFT(VLOOKUP($B386,'Round 3'!$F$2:$H$361,3,false),1)="b","W",if(LEFT(VLOOKUP($B386,'Round 3'!$F$2:$H$361,3,false),1)="a","L","")))</f>
        <v>W</v>
      </c>
      <c r="G386" s="67" t="str">
        <f>iferror(if(LEFT(VLOOKUP($B386,'Round 4'!$B$2:$H$361,7,false),1)="A","W",if(LEFT(VLOOKUP($B386,'Round 4'!$B$2:$H$361,7,false),1)="B","L","")),if(LEFT(VLOOKUP($B386,'Round 4'!$F$2:$H$361,3,false),1)="b","W",if(LEFT(VLOOKUP($B386,'Round 4'!$F$2:$H$361,3,false),1)="a","L","")))</f>
        <v>L</v>
      </c>
      <c r="H386" s="67" t="str">
        <f>iferror(if(LEFT(VLOOKUP($B386,'Round 5'!$B$2:$H$361,7,false),1)="A","W",if(LEFT(VLOOKUP($B386,'Round 5'!$B$2:$H$361,7,false),1)="B","L","")),if(LEFT(VLOOKUP($B386,'Round 5'!$F$2:$H$361,3,false),1)="b","W",if(LEFT(VLOOKUP($B386,'Round 5'!$F$2:$H$361,3,false),1)="a","L","")))</f>
        <v>W</v>
      </c>
      <c r="I386" s="67" t="str">
        <f>iferror(if(LEFT(VLOOKUP($B386,'Round 6'!$B$2:$H$361,7,false),1)="A","W",if(LEFT(VLOOKUP($B386,'Round 6'!$B$2:$H$361,7,false),1)="B","L","")),if(LEFT(VLOOKUP($B386,'Round 6'!$F$2:$H$361,3,false),1)="b","W",if(LEFT(VLOOKUP($B386,'Round 6'!$F$2:$H$361,3,false),1)="a","L","")))</f>
        <v>L</v>
      </c>
      <c r="J386" s="67" t="str">
        <f>iferror(iferror(if(LEFT(VLOOKUP($B386,'Round 7'!$B$2:$H$361,7,false),1)="A","W",if(LEFT(VLOOKUP($B386,'Round 7'!$B$2:$H$361,7,false),1)="B","L","")),if(LEFT(VLOOKUP($B386,'Round 7'!$F$2:$H$361,3,false),1)="b","W",if(LEFT(VLOOKUP($B386,'Round 7'!$F$2:$H$361,3,false),1)="a","L",""))),"")</f>
        <v>L</v>
      </c>
      <c r="K386" s="68" t="str">
        <f>iferror(iferror(if(LEFT(VLOOKUP($B386,'Round 8'!$B$2:$H$361,7,false),1)="A","W",if(LEFT(VLOOKUP($B386,'Round 8'!$B$2:$H$361,7,false),1)="B","L","")),if(LEFT(VLOOKUP($B386,'Round 8'!$F$2:$H$361,3,false),1)="b","W",if(LEFT(VLOOKUP($B386,'Round 8'!$F$2:$H$361,3,false),1)="a","L",""))),"")</f>
        <v/>
      </c>
      <c r="L386" s="68" t="str">
        <f>iferror(iferror(if(LEFT(VLOOKUP($B386,'Round 9'!$B$2:$H$361,7,false),1)="A","W",if(LEFT(VLOOKUP($B386,'Round 9'!$B$2:$H$361,7,false),1)="B","L","")),if(LEFT(VLOOKUP($B386,'Round 9'!$F$2:$H$361,3,false),1)="b","W",if(LEFT(VLOOKUP($B386,'Round 9'!$F$2:$H$361,3,false),1)="a","L",""))),"")</f>
        <v/>
      </c>
      <c r="M386" s="68" t="str">
        <f>iferror(iferror(if(LEFT(VLOOKUP($B386,'Round 10'!$B$2:$H$362,7,false),1)="A","W",if(LEFT(VLOOKUP($B386,'Round 10'!$B$2:$H$362,7,false),1)="B","L","")),if(LEFT(VLOOKUP($B386,'Round 10'!$F$2:$H$362,3,false),1)="b","W",if(LEFT(VLOOKUP($B386,'Round 10'!$F$2:$H$362,3,false),1)="a","L",""))),"")</f>
        <v/>
      </c>
      <c r="N386" s="62" t="s">
        <v>831</v>
      </c>
    </row>
    <row r="387">
      <c r="A387" s="63">
        <v>386.0</v>
      </c>
      <c r="B387" s="64" t="s">
        <v>832</v>
      </c>
      <c r="C387" s="65" t="str">
        <f t="shared" si="1"/>
        <v>0 - 3</v>
      </c>
      <c r="D387" s="67" t="str">
        <f>iferror(if(LEFT(VLOOKUP($B387,'Round 1'!$B$2:$H$361,7,false),1)="A","W",if(LEFT(VLOOKUP($B387,'Round 1'!$B$2:$H$361,7,false),1)="B","L","")),if(LEFT(VLOOKUP($B387,'Round 1'!$F$2:$H$361,3,false),1)="b","W",if(LEFT(VLOOKUP($B387,'Round 1'!$F$2:$H$361,3,false),1)="a","L","")))</f>
        <v>L</v>
      </c>
      <c r="E387" s="67" t="str">
        <f>iferror(if(LEFT(VLOOKUP($B387,'Round 2'!$C$2:$J$361,8,false),1)="A","W",if(LEFT(VLOOKUP($B387,'Round 2'!$C$2:$J$361,8,false),1)="B","L","")),if(LEFT(VLOOKUP($B387,'Round 2'!$G$2:$J$361,4,false),1)="b","W",if(LEFT(VLOOKUP($B387,'Round 2'!$G$2:$J$361,4,false),1)="a","L","")))</f>
        <v>L</v>
      </c>
      <c r="F387" s="67" t="str">
        <f>iferror(if(LEFT(VLOOKUP($B387,'Round 3'!$B$2:$H$361,7,false),1)="A","W",if(LEFT(VLOOKUP($B387,'Round 3'!$B$2:$H$361,7,false),1)="B","L","")),if(LEFT(VLOOKUP($B387,'Round 3'!$F$2:$H$361,3,false),1)="b","W",if(LEFT(VLOOKUP($B387,'Round 3'!$F$2:$H$361,3,false),1)="a","L","")))</f>
        <v>L</v>
      </c>
      <c r="G387" s="67"/>
      <c r="H387" s="67"/>
      <c r="I387" s="67"/>
      <c r="J387" s="67" t="str">
        <f>iferror(iferror(if(LEFT(VLOOKUP($B387,'Round 7'!$B$2:$H$361,7,false),1)="A","W",if(LEFT(VLOOKUP($B387,'Round 7'!$B$2:$H$361,7,false),1)="B","L","")),if(LEFT(VLOOKUP($B387,'Round 7'!$F$2:$H$361,3,false),1)="b","W",if(LEFT(VLOOKUP($B387,'Round 7'!$F$2:$H$361,3,false),1)="a","L",""))),"")</f>
        <v/>
      </c>
      <c r="K387" s="68" t="str">
        <f>iferror(iferror(if(LEFT(VLOOKUP($B387,'Round 8'!$B$2:$H$361,7,false),1)="A","W",if(LEFT(VLOOKUP($B387,'Round 8'!$B$2:$H$361,7,false),1)="B","L","")),if(LEFT(VLOOKUP($B387,'Round 8'!$F$2:$H$361,3,false),1)="b","W",if(LEFT(VLOOKUP($B387,'Round 8'!$F$2:$H$361,3,false),1)="a","L",""))),"")</f>
        <v/>
      </c>
      <c r="L387" s="68" t="str">
        <f>iferror(iferror(if(LEFT(VLOOKUP($B387,'Round 9'!$B$2:$H$361,7,false),1)="A","W",if(LEFT(VLOOKUP($B387,'Round 9'!$B$2:$H$361,7,false),1)="B","L","")),if(LEFT(VLOOKUP($B387,'Round 9'!$F$2:$H$361,3,false),1)="b","W",if(LEFT(VLOOKUP($B387,'Round 9'!$F$2:$H$361,3,false),1)="a","L",""))),"")</f>
        <v/>
      </c>
      <c r="M387" s="68" t="str">
        <f>iferror(iferror(if(LEFT(VLOOKUP($B387,'Round 10'!$B$2:$H$362,7,false),1)="A","W",if(LEFT(VLOOKUP($B387,'Round 10'!$B$2:$H$362,7,false),1)="B","L","")),if(LEFT(VLOOKUP($B387,'Round 10'!$F$2:$H$362,3,false),1)="b","W",if(LEFT(VLOOKUP($B387,'Round 10'!$F$2:$H$362,3,false),1)="a","L",""))),"")</f>
        <v/>
      </c>
      <c r="N387" s="62" t="s">
        <v>144</v>
      </c>
    </row>
    <row r="388">
      <c r="A388" s="63">
        <v>387.0</v>
      </c>
      <c r="B388" s="64" t="s">
        <v>833</v>
      </c>
      <c r="C388" s="65" t="str">
        <f t="shared" si="1"/>
        <v>2 - 3</v>
      </c>
      <c r="D388" s="67" t="str">
        <f>iferror(if(LEFT(VLOOKUP($B388,'Round 1'!$B$2:$H$361,7,false),1)="A","W",if(LEFT(VLOOKUP($B388,'Round 1'!$B$2:$H$361,7,false),1)="B","L","")),if(LEFT(VLOOKUP($B388,'Round 1'!$F$2:$H$361,3,false),1)="b","W",if(LEFT(VLOOKUP($B388,'Round 1'!$F$2:$H$361,3,false),1)="a","L","")))</f>
        <v>W</v>
      </c>
      <c r="E388" s="67" t="str">
        <f>iferror(if(LEFT(VLOOKUP($B388,'Round 2'!$C$2:$J$361,8,false),1)="A","W",if(LEFT(VLOOKUP($B388,'Round 2'!$C$2:$J$361,8,false),1)="B","L","")),if(LEFT(VLOOKUP($B388,'Round 2'!$G$2:$J$361,4,false),1)="b","W",if(LEFT(VLOOKUP($B388,'Round 2'!$G$2:$J$361,4,false),1)="a","L","")))</f>
        <v>L</v>
      </c>
      <c r="F388" s="67" t="str">
        <f>iferror(if(LEFT(VLOOKUP($B388,'Round 3'!$B$2:$H$361,7,false),1)="A","W",if(LEFT(VLOOKUP($B388,'Round 3'!$B$2:$H$361,7,false),1)="B","L","")),if(LEFT(VLOOKUP($B388,'Round 3'!$F$2:$H$361,3,false),1)="b","W",if(LEFT(VLOOKUP($B388,'Round 3'!$F$2:$H$361,3,false),1)="a","L","")))</f>
        <v>W</v>
      </c>
      <c r="G388" s="67" t="str">
        <f>iferror(if(LEFT(VLOOKUP($B388,'Round 4'!$B$2:$H$361,7,false),1)="A","W",if(LEFT(VLOOKUP($B388,'Round 4'!$B$2:$H$361,7,false),1)="B","L","")),if(LEFT(VLOOKUP($B388,'Round 4'!$F$2:$H$361,3,false),1)="b","W",if(LEFT(VLOOKUP($B388,'Round 4'!$F$2:$H$361,3,false),1)="a","L","")))</f>
        <v>L</v>
      </c>
      <c r="H388" s="67" t="str">
        <f>iferror(if(LEFT(VLOOKUP($B388,'Round 5'!$B$2:$H$361,7,false),1)="A","W",if(LEFT(VLOOKUP($B388,'Round 5'!$B$2:$H$361,7,false),1)="B","L","")),if(LEFT(VLOOKUP($B388,'Round 5'!$F$2:$H$361,3,false),1)="b","W",if(LEFT(VLOOKUP($B388,'Round 5'!$F$2:$H$361,3,false),1)="a","L","")))</f>
        <v>L</v>
      </c>
      <c r="I388" s="67"/>
      <c r="J388" s="67" t="str">
        <f>iferror(iferror(if(LEFT(VLOOKUP($B388,'Round 7'!$B$2:$H$361,7,false),1)="A","W",if(LEFT(VLOOKUP($B388,'Round 7'!$B$2:$H$361,7,false),1)="B","L","")),if(LEFT(VLOOKUP($B388,'Round 7'!$F$2:$H$361,3,false),1)="b","W",if(LEFT(VLOOKUP($B388,'Round 7'!$F$2:$H$361,3,false),1)="a","L",""))),"")</f>
        <v/>
      </c>
      <c r="K388" s="68" t="str">
        <f>iferror(iferror(if(LEFT(VLOOKUP($B388,'Round 8'!$B$2:$H$361,7,false),1)="A","W",if(LEFT(VLOOKUP($B388,'Round 8'!$B$2:$H$361,7,false),1)="B","L","")),if(LEFT(VLOOKUP($B388,'Round 8'!$F$2:$H$361,3,false),1)="b","W",if(LEFT(VLOOKUP($B388,'Round 8'!$F$2:$H$361,3,false),1)="a","L",""))),"")</f>
        <v/>
      </c>
      <c r="L388" s="68" t="str">
        <f>iferror(iferror(if(LEFT(VLOOKUP($B388,'Round 9'!$B$2:$H$361,7,false),1)="A","W",if(LEFT(VLOOKUP($B388,'Round 9'!$B$2:$H$361,7,false),1)="B","L","")),if(LEFT(VLOOKUP($B388,'Round 9'!$F$2:$H$361,3,false),1)="b","W",if(LEFT(VLOOKUP($B388,'Round 9'!$F$2:$H$361,3,false),1)="a","L",""))),"")</f>
        <v/>
      </c>
      <c r="M388" s="68" t="str">
        <f>iferror(iferror(if(LEFT(VLOOKUP($B388,'Round 10'!$B$2:$H$362,7,false),1)="A","W",if(LEFT(VLOOKUP($B388,'Round 10'!$B$2:$H$362,7,false),1)="B","L","")),if(LEFT(VLOOKUP($B388,'Round 10'!$F$2:$H$362,3,false),1)="b","W",if(LEFT(VLOOKUP($B388,'Round 10'!$F$2:$H$362,3,false),1)="a","L",""))),"")</f>
        <v/>
      </c>
      <c r="N388" s="62" t="s">
        <v>834</v>
      </c>
    </row>
    <row r="389">
      <c r="A389" s="63">
        <v>388.0</v>
      </c>
      <c r="B389" s="64" t="s">
        <v>835</v>
      </c>
      <c r="C389" s="65" t="str">
        <f t="shared" si="1"/>
        <v>2 - 3</v>
      </c>
      <c r="D389" s="67" t="str">
        <f>iferror(if(LEFT(VLOOKUP($B389,'Round 1'!$B$2:$H$361,7,false),1)="A","W",if(LEFT(VLOOKUP($B389,'Round 1'!$B$2:$H$361,7,false),1)="B","L","")),if(LEFT(VLOOKUP($B389,'Round 1'!$F$2:$H$361,3,false),1)="b","W",if(LEFT(VLOOKUP($B389,'Round 1'!$F$2:$H$361,3,false),1)="a","L","")))</f>
        <v>W</v>
      </c>
      <c r="E389" s="67" t="str">
        <f>iferror(if(LEFT(VLOOKUP($B389,'Round 2'!$C$2:$J$361,8,false),1)="A","W",if(LEFT(VLOOKUP($B389,'Round 2'!$C$2:$J$361,8,false),1)="B","L","")),if(LEFT(VLOOKUP($B389,'Round 2'!$G$2:$J$361,4,false),1)="b","W",if(LEFT(VLOOKUP($B389,'Round 2'!$G$2:$J$361,4,false),1)="a","L","")))</f>
        <v>L</v>
      </c>
      <c r="F389" s="67" t="str">
        <f>iferror(if(LEFT(VLOOKUP($B389,'Round 3'!$B$2:$H$361,7,false),1)="A","W",if(LEFT(VLOOKUP($B389,'Round 3'!$B$2:$H$361,7,false),1)="B","L","")),if(LEFT(VLOOKUP($B389,'Round 3'!$F$2:$H$361,3,false),1)="b","W",if(LEFT(VLOOKUP($B389,'Round 3'!$F$2:$H$361,3,false),1)="a","L","")))</f>
        <v>L</v>
      </c>
      <c r="G389" s="67" t="str">
        <f>iferror(if(LEFT(VLOOKUP($B389,'Round 4'!$B$2:$H$361,7,false),1)="A","W",if(LEFT(VLOOKUP($B389,'Round 4'!$B$2:$H$361,7,false),1)="B","L","")),if(LEFT(VLOOKUP($B389,'Round 4'!$F$2:$H$361,3,false),1)="b","W",if(LEFT(VLOOKUP($B389,'Round 4'!$F$2:$H$361,3,false),1)="a","L","")))</f>
        <v>W</v>
      </c>
      <c r="H389" s="67" t="str">
        <f>iferror(if(LEFT(VLOOKUP($B389,'Round 5'!$B$2:$H$361,7,false),1)="A","W",if(LEFT(VLOOKUP($B389,'Round 5'!$B$2:$H$361,7,false),1)="B","L","")),if(LEFT(VLOOKUP($B389,'Round 5'!$F$2:$H$361,3,false),1)="b","W",if(LEFT(VLOOKUP($B389,'Round 5'!$F$2:$H$361,3,false),1)="a","L","")))</f>
        <v>L</v>
      </c>
      <c r="I389" s="67"/>
      <c r="J389" s="67" t="str">
        <f>iferror(iferror(if(LEFT(VLOOKUP($B389,'Round 7'!$B$2:$H$361,7,false),1)="A","W",if(LEFT(VLOOKUP($B389,'Round 7'!$B$2:$H$361,7,false),1)="B","L","")),if(LEFT(VLOOKUP($B389,'Round 7'!$F$2:$H$361,3,false),1)="b","W",if(LEFT(VLOOKUP($B389,'Round 7'!$F$2:$H$361,3,false),1)="a","L",""))),"")</f>
        <v/>
      </c>
      <c r="K389" s="68" t="str">
        <f>iferror(iferror(if(LEFT(VLOOKUP($B389,'Round 8'!$B$2:$H$361,7,false),1)="A","W",if(LEFT(VLOOKUP($B389,'Round 8'!$B$2:$H$361,7,false),1)="B","L","")),if(LEFT(VLOOKUP($B389,'Round 8'!$F$2:$H$361,3,false),1)="b","W",if(LEFT(VLOOKUP($B389,'Round 8'!$F$2:$H$361,3,false),1)="a","L",""))),"")</f>
        <v/>
      </c>
      <c r="L389" s="68" t="str">
        <f>iferror(iferror(if(LEFT(VLOOKUP($B389,'Round 9'!$B$2:$H$361,7,false),1)="A","W",if(LEFT(VLOOKUP($B389,'Round 9'!$B$2:$H$361,7,false),1)="B","L","")),if(LEFT(VLOOKUP($B389,'Round 9'!$F$2:$H$361,3,false),1)="b","W",if(LEFT(VLOOKUP($B389,'Round 9'!$F$2:$H$361,3,false),1)="a","L",""))),"")</f>
        <v/>
      </c>
      <c r="M389" s="68" t="str">
        <f>iferror(iferror(if(LEFT(VLOOKUP($B389,'Round 10'!$B$2:$H$362,7,false),1)="A","W",if(LEFT(VLOOKUP($B389,'Round 10'!$B$2:$H$362,7,false),1)="B","L","")),if(LEFT(VLOOKUP($B389,'Round 10'!$F$2:$H$362,3,false),1)="b","W",if(LEFT(VLOOKUP($B389,'Round 10'!$F$2:$H$362,3,false),1)="a","L",""))),"")</f>
        <v/>
      </c>
      <c r="N389" s="62" t="s">
        <v>836</v>
      </c>
    </row>
    <row r="390">
      <c r="A390" s="63">
        <v>389.0</v>
      </c>
      <c r="B390" s="64" t="s">
        <v>837</v>
      </c>
      <c r="C390" s="65" t="str">
        <f t="shared" si="1"/>
        <v>4 - 3</v>
      </c>
      <c r="D390" s="67" t="str">
        <f>iferror(if(LEFT(VLOOKUP($B390,'Round 1'!$B$2:$H$361,7,false),1)="A","W",if(LEFT(VLOOKUP($B390,'Round 1'!$B$2:$H$361,7,false),1)="B","L","")),if(LEFT(VLOOKUP($B390,'Round 1'!$F$2:$H$361,3,false),1)="b","W",if(LEFT(VLOOKUP($B390,'Round 1'!$F$2:$H$361,3,false),1)="a","L","")))</f>
        <v>W</v>
      </c>
      <c r="E390" s="67" t="str">
        <f>iferror(if(LEFT(VLOOKUP($B390,'Round 2'!$C$2:$J$361,8,false),1)="A","W",if(LEFT(VLOOKUP($B390,'Round 2'!$C$2:$J$361,8,false),1)="B","L","")),if(LEFT(VLOOKUP($B390,'Round 2'!$G$2:$J$361,4,false),1)="b","W",if(LEFT(VLOOKUP($B390,'Round 2'!$G$2:$J$361,4,false),1)="a","L","")))</f>
        <v>L</v>
      </c>
      <c r="F390" s="67" t="str">
        <f>iferror(if(LEFT(VLOOKUP($B390,'Round 3'!$B$2:$H$361,7,false),1)="A","W",if(LEFT(VLOOKUP($B390,'Round 3'!$B$2:$H$361,7,false),1)="B","L","")),if(LEFT(VLOOKUP($B390,'Round 3'!$F$2:$H$361,3,false),1)="b","W",if(LEFT(VLOOKUP($B390,'Round 3'!$F$2:$H$361,3,false),1)="a","L","")))</f>
        <v>W</v>
      </c>
      <c r="G390" s="67" t="str">
        <f>iferror(if(LEFT(VLOOKUP($B390,'Round 4'!$B$2:$H$361,7,false),1)="A","W",if(LEFT(VLOOKUP($B390,'Round 4'!$B$2:$H$361,7,false),1)="B","L","")),if(LEFT(VLOOKUP($B390,'Round 4'!$F$2:$H$361,3,false),1)="b","W",if(LEFT(VLOOKUP($B390,'Round 4'!$F$2:$H$361,3,false),1)="a","L","")))</f>
        <v>L</v>
      </c>
      <c r="H390" s="67" t="str">
        <f>iferror(if(LEFT(VLOOKUP($B390,'Round 5'!$B$2:$H$361,7,false),1)="A","W",if(LEFT(VLOOKUP($B390,'Round 5'!$B$2:$H$361,7,false),1)="B","L","")),if(LEFT(VLOOKUP($B390,'Round 5'!$F$2:$H$361,3,false),1)="b","W",if(LEFT(VLOOKUP($B390,'Round 5'!$F$2:$H$361,3,false),1)="a","L","")))</f>
        <v>W</v>
      </c>
      <c r="I390" s="67" t="str">
        <f>iferror(if(LEFT(VLOOKUP($B390,'Round 6'!$B$2:$H$361,7,false),1)="A","W",if(LEFT(VLOOKUP($B390,'Round 6'!$B$2:$H$361,7,false),1)="B","L","")),if(LEFT(VLOOKUP($B390,'Round 6'!$F$2:$H$361,3,false),1)="b","W",if(LEFT(VLOOKUP($B390,'Round 6'!$F$2:$H$361,3,false),1)="a","L","")))</f>
        <v>W</v>
      </c>
      <c r="J390" s="67" t="str">
        <f>iferror(iferror(if(LEFT(VLOOKUP($B390,'Round 7'!$B$2:$H$361,7,false),1)="A","W",if(LEFT(VLOOKUP($B390,'Round 7'!$B$2:$H$361,7,false),1)="B","L","")),if(LEFT(VLOOKUP($B390,'Round 7'!$F$2:$H$361,3,false),1)="b","W",if(LEFT(VLOOKUP($B390,'Round 7'!$F$2:$H$361,3,false),1)="a","L",""))),"")</f>
        <v>L</v>
      </c>
      <c r="K390" s="68" t="str">
        <f>iferror(iferror(if(LEFT(VLOOKUP($B390,'Round 8'!$B$2:$H$361,7,false),1)="A","W",if(LEFT(VLOOKUP($B390,'Round 8'!$B$2:$H$361,7,false),1)="B","L","")),if(LEFT(VLOOKUP($B390,'Round 8'!$F$2:$H$361,3,false),1)="b","W",if(LEFT(VLOOKUP($B390,'Round 8'!$F$2:$H$361,3,false),1)="a","L",""))),"")</f>
        <v/>
      </c>
      <c r="L390" s="68" t="str">
        <f>iferror(iferror(if(LEFT(VLOOKUP($B390,'Round 9'!$B$2:$H$361,7,false),1)="A","W",if(LEFT(VLOOKUP($B390,'Round 9'!$B$2:$H$361,7,false),1)="B","L","")),if(LEFT(VLOOKUP($B390,'Round 9'!$F$2:$H$361,3,false),1)="b","W",if(LEFT(VLOOKUP($B390,'Round 9'!$F$2:$H$361,3,false),1)="a","L",""))),"")</f>
        <v/>
      </c>
      <c r="M390" s="68" t="str">
        <f>iferror(iferror(if(LEFT(VLOOKUP($B390,'Round 10'!$B$2:$H$362,7,false),1)="A","W",if(LEFT(VLOOKUP($B390,'Round 10'!$B$2:$H$362,7,false),1)="B","L","")),if(LEFT(VLOOKUP($B390,'Round 10'!$F$2:$H$362,3,false),1)="b","W",if(LEFT(VLOOKUP($B390,'Round 10'!$F$2:$H$362,3,false),1)="a","L",""))),"")</f>
        <v/>
      </c>
      <c r="N390" s="62" t="s">
        <v>838</v>
      </c>
    </row>
    <row r="391">
      <c r="A391" s="63">
        <v>390.0</v>
      </c>
      <c r="B391" s="64" t="s">
        <v>839</v>
      </c>
      <c r="C391" s="65" t="str">
        <f t="shared" si="1"/>
        <v>1 - 3</v>
      </c>
      <c r="D391" s="67" t="str">
        <f>iferror(if(LEFT(VLOOKUP($B391,'Round 1'!$B$2:$H$361,7,false),1)="A","W",if(LEFT(VLOOKUP($B391,'Round 1'!$B$2:$H$361,7,false),1)="B","L","")),if(LEFT(VLOOKUP($B391,'Round 1'!$F$2:$H$361,3,false),1)="b","W",if(LEFT(VLOOKUP($B391,'Round 1'!$F$2:$H$361,3,false),1)="a","L","")))</f>
        <v>L</v>
      </c>
      <c r="E391" s="67" t="str">
        <f>iferror(if(LEFT(VLOOKUP($B391,'Round 2'!$C$2:$J$361,8,false),1)="A","W",if(LEFT(VLOOKUP($B391,'Round 2'!$C$2:$J$361,8,false),1)="B","L","")),if(LEFT(VLOOKUP($B391,'Round 2'!$G$2:$J$361,4,false),1)="b","W",if(LEFT(VLOOKUP($B391,'Round 2'!$G$2:$J$361,4,false),1)="a","L","")))</f>
        <v>L</v>
      </c>
      <c r="F391" s="67" t="str">
        <f>iferror(if(LEFT(VLOOKUP($B391,'Round 3'!$B$2:$H$361,7,false),1)="A","W",if(LEFT(VLOOKUP($B391,'Round 3'!$B$2:$H$361,7,false),1)="B","L","")),if(LEFT(VLOOKUP($B391,'Round 3'!$F$2:$H$361,3,false),1)="b","W",if(LEFT(VLOOKUP($B391,'Round 3'!$F$2:$H$361,3,false),1)="a","L","")))</f>
        <v>W</v>
      </c>
      <c r="G391" s="67" t="str">
        <f>iferror(if(LEFT(VLOOKUP($B391,'Round 4'!$B$2:$H$361,7,false),1)="A","W",if(LEFT(VLOOKUP($B391,'Round 4'!$B$2:$H$361,7,false),1)="B","L","")),if(LEFT(VLOOKUP($B391,'Round 4'!$F$2:$H$361,3,false),1)="b","W",if(LEFT(VLOOKUP($B391,'Round 4'!$F$2:$H$361,3,false),1)="a","L","")))</f>
        <v>L</v>
      </c>
      <c r="H391" s="67"/>
      <c r="I391" s="67"/>
      <c r="J391" s="67" t="str">
        <f>iferror(iferror(if(LEFT(VLOOKUP($B391,'Round 7'!$B$2:$H$361,7,false),1)="A","W",if(LEFT(VLOOKUP($B391,'Round 7'!$B$2:$H$361,7,false),1)="B","L","")),if(LEFT(VLOOKUP($B391,'Round 7'!$F$2:$H$361,3,false),1)="b","W",if(LEFT(VLOOKUP($B391,'Round 7'!$F$2:$H$361,3,false),1)="a","L",""))),"")</f>
        <v/>
      </c>
      <c r="K391" s="68" t="str">
        <f>iferror(iferror(if(LEFT(VLOOKUP($B391,'Round 8'!$B$2:$H$361,7,false),1)="A","W",if(LEFT(VLOOKUP($B391,'Round 8'!$B$2:$H$361,7,false),1)="B","L","")),if(LEFT(VLOOKUP($B391,'Round 8'!$F$2:$H$361,3,false),1)="b","W",if(LEFT(VLOOKUP($B391,'Round 8'!$F$2:$H$361,3,false),1)="a","L",""))),"")</f>
        <v/>
      </c>
      <c r="L391" s="68" t="str">
        <f>iferror(iferror(if(LEFT(VLOOKUP($B391,'Round 9'!$B$2:$H$361,7,false),1)="A","W",if(LEFT(VLOOKUP($B391,'Round 9'!$B$2:$H$361,7,false),1)="B","L","")),if(LEFT(VLOOKUP($B391,'Round 9'!$F$2:$H$361,3,false),1)="b","W",if(LEFT(VLOOKUP($B391,'Round 9'!$F$2:$H$361,3,false),1)="a","L",""))),"")</f>
        <v/>
      </c>
      <c r="M391" s="68" t="str">
        <f>iferror(iferror(if(LEFT(VLOOKUP($B391,'Round 10'!$B$2:$H$362,7,false),1)="A","W",if(LEFT(VLOOKUP($B391,'Round 10'!$B$2:$H$362,7,false),1)="B","L","")),if(LEFT(VLOOKUP($B391,'Round 10'!$F$2:$H$362,3,false),1)="b","W",if(LEFT(VLOOKUP($B391,'Round 10'!$F$2:$H$362,3,false),1)="a","L",""))),"")</f>
        <v/>
      </c>
      <c r="N391" s="62" t="s">
        <v>840</v>
      </c>
    </row>
    <row r="392">
      <c r="A392" s="63">
        <v>391.0</v>
      </c>
      <c r="B392" s="64" t="s">
        <v>841</v>
      </c>
      <c r="C392" s="65" t="str">
        <f t="shared" si="1"/>
        <v>1 - 3</v>
      </c>
      <c r="D392" s="67" t="str">
        <f>iferror(if(LEFT(VLOOKUP($B392,'Round 1'!$B$2:$H$361,7,false),1)="A","W",if(LEFT(VLOOKUP($B392,'Round 1'!$B$2:$H$361,7,false),1)="B","L","")),if(LEFT(VLOOKUP($B392,'Round 1'!$F$2:$H$361,3,false),1)="b","W",if(LEFT(VLOOKUP($B392,'Round 1'!$F$2:$H$361,3,false),1)="a","L","")))</f>
        <v>W</v>
      </c>
      <c r="E392" s="67" t="str">
        <f>iferror(if(LEFT(VLOOKUP($B392,'Round 2'!$C$2:$J$361,8,false),1)="A","W",if(LEFT(VLOOKUP($B392,'Round 2'!$C$2:$J$361,8,false),1)="B","L","")),if(LEFT(VLOOKUP($B392,'Round 2'!$G$2:$J$361,4,false),1)="b","W",if(LEFT(VLOOKUP($B392,'Round 2'!$G$2:$J$361,4,false),1)="a","L","")))</f>
        <v>L</v>
      </c>
      <c r="F392" s="67" t="str">
        <f>iferror(if(LEFT(VLOOKUP($B392,'Round 3'!$B$2:$H$361,7,false),1)="A","W",if(LEFT(VLOOKUP($B392,'Round 3'!$B$2:$H$361,7,false),1)="B","L","")),if(LEFT(VLOOKUP($B392,'Round 3'!$F$2:$H$361,3,false),1)="b","W",if(LEFT(VLOOKUP($B392,'Round 3'!$F$2:$H$361,3,false),1)="a","L","")))</f>
        <v>L</v>
      </c>
      <c r="G392" s="67" t="str">
        <f>iferror(if(LEFT(VLOOKUP($B392,'Round 4'!$B$2:$H$361,7,false),1)="A","W",if(LEFT(VLOOKUP($B392,'Round 4'!$B$2:$H$361,7,false),1)="B","L","")),if(LEFT(VLOOKUP($B392,'Round 4'!$F$2:$H$361,3,false),1)="b","W",if(LEFT(VLOOKUP($B392,'Round 4'!$F$2:$H$361,3,false),1)="a","L","")))</f>
        <v>L</v>
      </c>
      <c r="H392" s="67"/>
      <c r="I392" s="67"/>
      <c r="J392" s="67" t="str">
        <f>iferror(iferror(if(LEFT(VLOOKUP($B392,'Round 7'!$B$2:$H$361,7,false),1)="A","W",if(LEFT(VLOOKUP($B392,'Round 7'!$B$2:$H$361,7,false),1)="B","L","")),if(LEFT(VLOOKUP($B392,'Round 7'!$F$2:$H$361,3,false),1)="b","W",if(LEFT(VLOOKUP($B392,'Round 7'!$F$2:$H$361,3,false),1)="a","L",""))),"")</f>
        <v/>
      </c>
      <c r="K392" s="68" t="str">
        <f>iferror(iferror(if(LEFT(VLOOKUP($B392,'Round 8'!$B$2:$H$361,7,false),1)="A","W",if(LEFT(VLOOKUP($B392,'Round 8'!$B$2:$H$361,7,false),1)="B","L","")),if(LEFT(VLOOKUP($B392,'Round 8'!$F$2:$H$361,3,false),1)="b","W",if(LEFT(VLOOKUP($B392,'Round 8'!$F$2:$H$361,3,false),1)="a","L",""))),"")</f>
        <v/>
      </c>
      <c r="L392" s="68" t="str">
        <f>iferror(iferror(if(LEFT(VLOOKUP($B392,'Round 9'!$B$2:$H$361,7,false),1)="A","W",if(LEFT(VLOOKUP($B392,'Round 9'!$B$2:$H$361,7,false),1)="B","L","")),if(LEFT(VLOOKUP($B392,'Round 9'!$F$2:$H$361,3,false),1)="b","W",if(LEFT(VLOOKUP($B392,'Round 9'!$F$2:$H$361,3,false),1)="a","L",""))),"")</f>
        <v/>
      </c>
      <c r="M392" s="68" t="str">
        <f>iferror(iferror(if(LEFT(VLOOKUP($B392,'Round 10'!$B$2:$H$362,7,false),1)="A","W",if(LEFT(VLOOKUP($B392,'Round 10'!$B$2:$H$362,7,false),1)="B","L","")),if(LEFT(VLOOKUP($B392,'Round 10'!$F$2:$H$362,3,false),1)="b","W",if(LEFT(VLOOKUP($B392,'Round 10'!$F$2:$H$362,3,false),1)="a","L",""))),"")</f>
        <v/>
      </c>
      <c r="N392" s="62" t="s">
        <v>144</v>
      </c>
    </row>
    <row r="393">
      <c r="A393" s="64">
        <v>392.0</v>
      </c>
      <c r="B393" s="64" t="s">
        <v>842</v>
      </c>
      <c r="C393" s="65" t="str">
        <f t="shared" si="1"/>
        <v>2 - 3</v>
      </c>
      <c r="D393" s="67" t="str">
        <f>iferror(if(LEFT(VLOOKUP($B393,'Round 1'!$B$2:$H$361,7,false),1)="A","W",if(LEFT(VLOOKUP($B393,'Round 1'!$B$2:$H$361,7,false),1)="B","L","")),if(LEFT(VLOOKUP($B393,'Round 1'!$F$2:$H$361,3,false),1)="b","W",if(LEFT(VLOOKUP($B393,'Round 1'!$F$2:$H$361,3,false),1)="a","L","")))</f>
        <v>W</v>
      </c>
      <c r="E393" s="67" t="str">
        <f>iferror(if(LEFT(VLOOKUP($B393,'Round 2'!$C$2:$J$361,8,false),1)="A","W",if(LEFT(VLOOKUP($B393,'Round 2'!$C$2:$J$361,8,false),1)="B","L","")),if(LEFT(VLOOKUP($B393,'Round 2'!$G$2:$J$361,4,false),1)="b","W",if(LEFT(VLOOKUP($B393,'Round 2'!$G$2:$J$361,4,false),1)="a","L","")))</f>
        <v>W</v>
      </c>
      <c r="F393" s="67" t="str">
        <f>iferror(if(LEFT(VLOOKUP($B393,'Round 3'!$B$2:$H$361,7,false),1)="A","W",if(LEFT(VLOOKUP($B393,'Round 3'!$B$2:$H$361,7,false),1)="B","L","")),if(LEFT(VLOOKUP($B393,'Round 3'!$F$2:$H$361,3,false),1)="b","W",if(LEFT(VLOOKUP($B393,'Round 3'!$F$2:$H$361,3,false),1)="a","L","")))</f>
        <v>L</v>
      </c>
      <c r="G393" s="67" t="str">
        <f>iferror(if(LEFT(VLOOKUP($B393,'Round 4'!$B$2:$H$361,7,false),1)="A","W",if(LEFT(VLOOKUP($B393,'Round 4'!$B$2:$H$361,7,false),1)="B","L","")),if(LEFT(VLOOKUP($B393,'Round 4'!$F$2:$H$361,3,false),1)="b","W",if(LEFT(VLOOKUP($B393,'Round 4'!$F$2:$H$361,3,false),1)="a","L","")))</f>
        <v>L</v>
      </c>
      <c r="H393" s="67" t="str">
        <f>iferror(if(LEFT(VLOOKUP($B393,'Round 5'!$B$2:$H$361,7,false),1)="A","W",if(LEFT(VLOOKUP($B393,'Round 5'!$B$2:$H$361,7,false),1)="B","L","")),if(LEFT(VLOOKUP($B393,'Round 5'!$F$2:$H$361,3,false),1)="b","W",if(LEFT(VLOOKUP($B393,'Round 5'!$F$2:$H$361,3,false),1)="a","L","")))</f>
        <v>L</v>
      </c>
      <c r="I393" s="67"/>
      <c r="J393" s="67" t="str">
        <f>iferror(iferror(if(LEFT(VLOOKUP($B393,'Round 7'!$B$2:$H$361,7,false),1)="A","W",if(LEFT(VLOOKUP($B393,'Round 7'!$B$2:$H$361,7,false),1)="B","L","")),if(LEFT(VLOOKUP($B393,'Round 7'!$F$2:$H$361,3,false),1)="b","W",if(LEFT(VLOOKUP($B393,'Round 7'!$F$2:$H$361,3,false),1)="a","L",""))),"")</f>
        <v/>
      </c>
      <c r="K393" s="68" t="str">
        <f>iferror(iferror(if(LEFT(VLOOKUP($B393,'Round 8'!$B$2:$H$361,7,false),1)="A","W",if(LEFT(VLOOKUP($B393,'Round 8'!$B$2:$H$361,7,false),1)="B","L","")),if(LEFT(VLOOKUP($B393,'Round 8'!$F$2:$H$361,3,false),1)="b","W",if(LEFT(VLOOKUP($B393,'Round 8'!$F$2:$H$361,3,false),1)="a","L",""))),"")</f>
        <v/>
      </c>
      <c r="L393" s="68" t="str">
        <f>iferror(iferror(if(LEFT(VLOOKUP($B393,'Round 9'!$B$2:$H$361,7,false),1)="A","W",if(LEFT(VLOOKUP($B393,'Round 9'!$B$2:$H$361,7,false),1)="B","L","")),if(LEFT(VLOOKUP($B393,'Round 9'!$F$2:$H$361,3,false),1)="b","W",if(LEFT(VLOOKUP($B393,'Round 9'!$F$2:$H$361,3,false),1)="a","L",""))),"")</f>
        <v/>
      </c>
      <c r="M393" s="68" t="str">
        <f>iferror(iferror(if(LEFT(VLOOKUP($B393,'Round 10'!$B$2:$H$362,7,false),1)="A","W",if(LEFT(VLOOKUP($B393,'Round 10'!$B$2:$H$362,7,false),1)="B","L","")),if(LEFT(VLOOKUP($B393,'Round 10'!$F$2:$H$362,3,false),1)="b","W",if(LEFT(VLOOKUP($B393,'Round 10'!$F$2:$H$362,3,false),1)="a","L",""))),"")</f>
        <v/>
      </c>
      <c r="N393" s="62" t="s">
        <v>843</v>
      </c>
    </row>
    <row r="394">
      <c r="A394" s="63">
        <v>393.0</v>
      </c>
      <c r="B394" s="64" t="s">
        <v>844</v>
      </c>
      <c r="C394" s="65" t="str">
        <f t="shared" si="1"/>
        <v>4 - 3</v>
      </c>
      <c r="D394" s="67" t="str">
        <f>iferror(if(LEFT(VLOOKUP($B394,'Round 1'!$B$2:$H$361,7,false),1)="A","W",if(LEFT(VLOOKUP($B394,'Round 1'!$B$2:$H$361,7,false),1)="B","L","")),if(LEFT(VLOOKUP($B394,'Round 1'!$F$2:$H$361,3,false),1)="b","W",if(LEFT(VLOOKUP($B394,'Round 1'!$F$2:$H$361,3,false),1)="a","L","")))</f>
        <v>W</v>
      </c>
      <c r="E394" s="67" t="str">
        <f>iferror(if(LEFT(VLOOKUP($B394,'Round 2'!$C$2:$J$361,8,false),1)="A","W",if(LEFT(VLOOKUP($B394,'Round 2'!$C$2:$J$361,8,false),1)="B","L","")),if(LEFT(VLOOKUP($B394,'Round 2'!$G$2:$J$361,4,false),1)="b","W",if(LEFT(VLOOKUP($B394,'Round 2'!$G$2:$J$361,4,false),1)="a","L","")))</f>
        <v>W</v>
      </c>
      <c r="F394" s="67" t="str">
        <f>iferror(if(LEFT(VLOOKUP($B394,'Round 3'!$B$2:$H$361,7,false),1)="A","W",if(LEFT(VLOOKUP($B394,'Round 3'!$B$2:$H$361,7,false),1)="B","L","")),if(LEFT(VLOOKUP($B394,'Round 3'!$F$2:$H$361,3,false),1)="b","W",if(LEFT(VLOOKUP($B394,'Round 3'!$F$2:$H$361,3,false),1)="a","L","")))</f>
        <v>W</v>
      </c>
      <c r="G394" s="67" t="str">
        <f>iferror(if(LEFT(VLOOKUP($B394,'Round 4'!$B$2:$H$361,7,false),1)="A","W",if(LEFT(VLOOKUP($B394,'Round 4'!$B$2:$H$361,7,false),1)="B","L","")),if(LEFT(VLOOKUP($B394,'Round 4'!$F$2:$H$361,3,false),1)="b","W",if(LEFT(VLOOKUP($B394,'Round 4'!$F$2:$H$361,3,false),1)="a","L","")))</f>
        <v>L</v>
      </c>
      <c r="H394" s="67" t="str">
        <f>iferror(if(LEFT(VLOOKUP($B394,'Round 5'!$B$2:$H$361,7,false),1)="A","W",if(LEFT(VLOOKUP($B394,'Round 5'!$B$2:$H$361,7,false),1)="B","L","")),if(LEFT(VLOOKUP($B394,'Round 5'!$F$2:$H$361,3,false),1)="b","W",if(LEFT(VLOOKUP($B394,'Round 5'!$F$2:$H$361,3,false),1)="a","L","")))</f>
        <v>L</v>
      </c>
      <c r="I394" s="67" t="str">
        <f>iferror(if(LEFT(VLOOKUP($B394,'Round 6'!$B$2:$H$361,7,false),1)="A","W",if(LEFT(VLOOKUP($B394,'Round 6'!$B$2:$H$361,7,false),1)="B","L","")),if(LEFT(VLOOKUP($B394,'Round 6'!$F$2:$H$361,3,false),1)="b","W",if(LEFT(VLOOKUP($B394,'Round 6'!$F$2:$H$361,3,false),1)="a","L","")))</f>
        <v>W</v>
      </c>
      <c r="J394" s="67" t="str">
        <f>iferror(iferror(if(LEFT(VLOOKUP($B394,'Round 7'!$B$2:$H$361,7,false),1)="A","W",if(LEFT(VLOOKUP($B394,'Round 7'!$B$2:$H$361,7,false),1)="B","L","")),if(LEFT(VLOOKUP($B394,'Round 7'!$F$2:$H$361,3,false),1)="b","W",if(LEFT(VLOOKUP($B394,'Round 7'!$F$2:$H$361,3,false),1)="a","L",""))),"")</f>
        <v>L</v>
      </c>
      <c r="K394" s="68" t="str">
        <f>iferror(iferror(if(LEFT(VLOOKUP($B394,'Round 8'!$B$2:$H$361,7,false),1)="A","W",if(LEFT(VLOOKUP($B394,'Round 8'!$B$2:$H$361,7,false),1)="B","L","")),if(LEFT(VLOOKUP($B394,'Round 8'!$F$2:$H$361,3,false),1)="b","W",if(LEFT(VLOOKUP($B394,'Round 8'!$F$2:$H$361,3,false),1)="a","L",""))),"")</f>
        <v/>
      </c>
      <c r="L394" s="68" t="str">
        <f>iferror(iferror(if(LEFT(VLOOKUP($B394,'Round 9'!$B$2:$H$361,7,false),1)="A","W",if(LEFT(VLOOKUP($B394,'Round 9'!$B$2:$H$361,7,false),1)="B","L","")),if(LEFT(VLOOKUP($B394,'Round 9'!$F$2:$H$361,3,false),1)="b","W",if(LEFT(VLOOKUP($B394,'Round 9'!$F$2:$H$361,3,false),1)="a","L",""))),"")</f>
        <v/>
      </c>
      <c r="M394" s="68" t="str">
        <f>iferror(iferror(if(LEFT(VLOOKUP($B394,'Round 10'!$B$2:$H$362,7,false),1)="A","W",if(LEFT(VLOOKUP($B394,'Round 10'!$B$2:$H$362,7,false),1)="B","L","")),if(LEFT(VLOOKUP($B394,'Round 10'!$F$2:$H$362,3,false),1)="b","W",if(LEFT(VLOOKUP($B394,'Round 10'!$F$2:$H$362,3,false),1)="a","L",""))),"")</f>
        <v/>
      </c>
      <c r="N394" s="62" t="s">
        <v>845</v>
      </c>
    </row>
    <row r="395">
      <c r="A395" s="63">
        <v>394.0</v>
      </c>
      <c r="B395" s="64" t="s">
        <v>846</v>
      </c>
      <c r="C395" s="65" t="str">
        <f t="shared" si="1"/>
        <v>1 - 3</v>
      </c>
      <c r="D395" s="67" t="str">
        <f>iferror(if(LEFT(VLOOKUP($B395,'Round 1'!$B$2:$H$361,7,false),1)="A","W",if(LEFT(VLOOKUP($B395,'Round 1'!$B$2:$H$361,7,false),1)="B","L","")),if(LEFT(VLOOKUP($B395,'Round 1'!$F$2:$H$361,3,false),1)="b","W",if(LEFT(VLOOKUP($B395,'Round 1'!$F$2:$H$361,3,false),1)="a","L","")))</f>
        <v>W</v>
      </c>
      <c r="E395" s="67" t="str">
        <f>iferror(if(LEFT(VLOOKUP($B395,'Round 2'!$C$2:$J$361,8,false),1)="A","W",if(LEFT(VLOOKUP($B395,'Round 2'!$C$2:$J$361,8,false),1)="B","L","")),if(LEFT(VLOOKUP($B395,'Round 2'!$G$2:$J$361,4,false),1)="b","W",if(LEFT(VLOOKUP($B395,'Round 2'!$G$2:$J$361,4,false),1)="a","L","")))</f>
        <v>L</v>
      </c>
      <c r="F395" s="67" t="str">
        <f>iferror(if(LEFT(VLOOKUP($B395,'Round 3'!$B$2:$H$361,7,false),1)="A","W",if(LEFT(VLOOKUP($B395,'Round 3'!$B$2:$H$361,7,false),1)="B","L","")),if(LEFT(VLOOKUP($B395,'Round 3'!$F$2:$H$361,3,false),1)="b","W",if(LEFT(VLOOKUP($B395,'Round 3'!$F$2:$H$361,3,false),1)="a","L","")))</f>
        <v>L</v>
      </c>
      <c r="G395" s="67" t="str">
        <f>iferror(if(LEFT(VLOOKUP($B395,'Round 4'!$B$2:$H$361,7,false),1)="A","W",if(LEFT(VLOOKUP($B395,'Round 4'!$B$2:$H$361,7,false),1)="B","L","")),if(LEFT(VLOOKUP($B395,'Round 4'!$F$2:$H$361,3,false),1)="b","W",if(LEFT(VLOOKUP($B395,'Round 4'!$F$2:$H$361,3,false),1)="a","L","")))</f>
        <v>L</v>
      </c>
      <c r="H395" s="67"/>
      <c r="I395" s="67"/>
      <c r="J395" s="67" t="str">
        <f>iferror(iferror(if(LEFT(VLOOKUP($B395,'Round 7'!$B$2:$H$361,7,false),1)="A","W",if(LEFT(VLOOKUP($B395,'Round 7'!$B$2:$H$361,7,false),1)="B","L","")),if(LEFT(VLOOKUP($B395,'Round 7'!$F$2:$H$361,3,false),1)="b","W",if(LEFT(VLOOKUP($B395,'Round 7'!$F$2:$H$361,3,false),1)="a","L",""))),"")</f>
        <v/>
      </c>
      <c r="K395" s="68" t="str">
        <f>iferror(iferror(if(LEFT(VLOOKUP($B395,'Round 8'!$B$2:$H$361,7,false),1)="A","W",if(LEFT(VLOOKUP($B395,'Round 8'!$B$2:$H$361,7,false),1)="B","L","")),if(LEFT(VLOOKUP($B395,'Round 8'!$F$2:$H$361,3,false),1)="b","W",if(LEFT(VLOOKUP($B395,'Round 8'!$F$2:$H$361,3,false),1)="a","L",""))),"")</f>
        <v/>
      </c>
      <c r="L395" s="68" t="str">
        <f>iferror(iferror(if(LEFT(VLOOKUP($B395,'Round 9'!$B$2:$H$361,7,false),1)="A","W",if(LEFT(VLOOKUP($B395,'Round 9'!$B$2:$H$361,7,false),1)="B","L","")),if(LEFT(VLOOKUP($B395,'Round 9'!$F$2:$H$361,3,false),1)="b","W",if(LEFT(VLOOKUP($B395,'Round 9'!$F$2:$H$361,3,false),1)="a","L",""))),"")</f>
        <v/>
      </c>
      <c r="M395" s="68" t="str">
        <f>iferror(iferror(if(LEFT(VLOOKUP($B395,'Round 10'!$B$2:$H$362,7,false),1)="A","W",if(LEFT(VLOOKUP($B395,'Round 10'!$B$2:$H$362,7,false),1)="B","L","")),if(LEFT(VLOOKUP($B395,'Round 10'!$F$2:$H$362,3,false),1)="b","W",if(LEFT(VLOOKUP($B395,'Round 10'!$F$2:$H$362,3,false),1)="a","L",""))),"")</f>
        <v/>
      </c>
      <c r="N395" s="62" t="s">
        <v>847</v>
      </c>
    </row>
    <row r="396">
      <c r="A396" s="63">
        <v>395.0</v>
      </c>
      <c r="B396" s="64" t="s">
        <v>848</v>
      </c>
      <c r="C396" s="65" t="str">
        <f t="shared" si="1"/>
        <v>0 - 3</v>
      </c>
      <c r="D396" s="67" t="str">
        <f>iferror(if(LEFT(VLOOKUP($B396,'Round 1'!$B$2:$H$361,7,false),1)="A","W",if(LEFT(VLOOKUP($B396,'Round 1'!$B$2:$H$361,7,false),1)="B","L","")),if(LEFT(VLOOKUP($B396,'Round 1'!$F$2:$H$361,3,false),1)="b","W",if(LEFT(VLOOKUP($B396,'Round 1'!$F$2:$H$361,3,false),1)="a","L","")))</f>
        <v>L</v>
      </c>
      <c r="E396" s="67" t="str">
        <f>iferror(if(LEFT(VLOOKUP($B396,'Round 2'!$C$2:$J$361,8,false),1)="A","W",if(LEFT(VLOOKUP($B396,'Round 2'!$C$2:$J$361,8,false),1)="B","L","")),if(LEFT(VLOOKUP($B396,'Round 2'!$G$2:$J$361,4,false),1)="b","W",if(LEFT(VLOOKUP($B396,'Round 2'!$G$2:$J$361,4,false),1)="a","L","")))</f>
        <v>L</v>
      </c>
      <c r="F396" s="67" t="str">
        <f>iferror(if(LEFT(VLOOKUP($B396,'Round 3'!$B$2:$H$361,7,false),1)="A","W",if(LEFT(VLOOKUP($B396,'Round 3'!$B$2:$H$361,7,false),1)="B","L","")),if(LEFT(VLOOKUP($B396,'Round 3'!$F$2:$H$361,3,false),1)="b","W",if(LEFT(VLOOKUP($B396,'Round 3'!$F$2:$H$361,3,false),1)="a","L","")))</f>
        <v>L</v>
      </c>
      <c r="G396" s="67"/>
      <c r="H396" s="67"/>
      <c r="I396" s="67"/>
      <c r="J396" s="67" t="str">
        <f>iferror(iferror(if(LEFT(VLOOKUP($B396,'Round 7'!$B$2:$H$361,7,false),1)="A","W",if(LEFT(VLOOKUP($B396,'Round 7'!$B$2:$H$361,7,false),1)="B","L","")),if(LEFT(VLOOKUP($B396,'Round 7'!$F$2:$H$361,3,false),1)="b","W",if(LEFT(VLOOKUP($B396,'Round 7'!$F$2:$H$361,3,false),1)="a","L",""))),"")</f>
        <v/>
      </c>
      <c r="K396" s="68" t="str">
        <f>iferror(iferror(if(LEFT(VLOOKUP($B396,'Round 8'!$B$2:$H$361,7,false),1)="A","W",if(LEFT(VLOOKUP($B396,'Round 8'!$B$2:$H$361,7,false),1)="B","L","")),if(LEFT(VLOOKUP($B396,'Round 8'!$F$2:$H$361,3,false),1)="b","W",if(LEFT(VLOOKUP($B396,'Round 8'!$F$2:$H$361,3,false),1)="a","L",""))),"")</f>
        <v/>
      </c>
      <c r="L396" s="68" t="str">
        <f>iferror(iferror(if(LEFT(VLOOKUP($B396,'Round 9'!$B$2:$H$361,7,false),1)="A","W",if(LEFT(VLOOKUP($B396,'Round 9'!$B$2:$H$361,7,false),1)="B","L","")),if(LEFT(VLOOKUP($B396,'Round 9'!$F$2:$H$361,3,false),1)="b","W",if(LEFT(VLOOKUP($B396,'Round 9'!$F$2:$H$361,3,false),1)="a","L",""))),"")</f>
        <v/>
      </c>
      <c r="M396" s="68" t="str">
        <f>iferror(iferror(if(LEFT(VLOOKUP($B396,'Round 10'!$B$2:$H$362,7,false),1)="A","W",if(LEFT(VLOOKUP($B396,'Round 10'!$B$2:$H$362,7,false),1)="B","L","")),if(LEFT(VLOOKUP($B396,'Round 10'!$F$2:$H$362,3,false),1)="b","W",if(LEFT(VLOOKUP($B396,'Round 10'!$F$2:$H$362,3,false),1)="a","L",""))),"")</f>
        <v/>
      </c>
      <c r="N396" s="62" t="s">
        <v>849</v>
      </c>
    </row>
    <row r="397">
      <c r="A397" s="63">
        <v>396.0</v>
      </c>
      <c r="B397" s="64" t="s">
        <v>850</v>
      </c>
      <c r="C397" s="65" t="str">
        <f t="shared" si="1"/>
        <v>0 - 3</v>
      </c>
      <c r="D397" s="67" t="str">
        <f>iferror(if(LEFT(VLOOKUP($B397,'Round 1'!$B$2:$H$361,7,false),1)="A","W",if(LEFT(VLOOKUP($B397,'Round 1'!$B$2:$H$361,7,false),1)="B","L","")),if(LEFT(VLOOKUP($B397,'Round 1'!$F$2:$H$361,3,false),1)="b","W",if(LEFT(VLOOKUP($B397,'Round 1'!$F$2:$H$361,3,false),1)="a","L","")))</f>
        <v>L</v>
      </c>
      <c r="E397" s="67" t="str">
        <f>iferror(if(LEFT(VLOOKUP($B397,'Round 2'!$C$2:$J$361,8,false),1)="A","W",if(LEFT(VLOOKUP($B397,'Round 2'!$C$2:$J$361,8,false),1)="B","L","")),if(LEFT(VLOOKUP($B397,'Round 2'!$G$2:$J$361,4,false),1)="b","W",if(LEFT(VLOOKUP($B397,'Round 2'!$G$2:$J$361,4,false),1)="a","L","")))</f>
        <v>L</v>
      </c>
      <c r="F397" s="67" t="str">
        <f>iferror(if(LEFT(VLOOKUP($B397,'Round 3'!$B$2:$H$361,7,false),1)="A","W",if(LEFT(VLOOKUP($B397,'Round 3'!$B$2:$H$361,7,false),1)="B","L","")),if(LEFT(VLOOKUP($B397,'Round 3'!$F$2:$H$361,3,false),1)="b","W",if(LEFT(VLOOKUP($B397,'Round 3'!$F$2:$H$361,3,false),1)="a","L","")))</f>
        <v>L</v>
      </c>
      <c r="G397" s="67"/>
      <c r="H397" s="67"/>
      <c r="I397" s="67"/>
      <c r="J397" s="67" t="str">
        <f>iferror(iferror(if(LEFT(VLOOKUP($B397,'Round 7'!$B$2:$H$361,7,false),1)="A","W",if(LEFT(VLOOKUP($B397,'Round 7'!$B$2:$H$361,7,false),1)="B","L","")),if(LEFT(VLOOKUP($B397,'Round 7'!$F$2:$H$361,3,false),1)="b","W",if(LEFT(VLOOKUP($B397,'Round 7'!$F$2:$H$361,3,false),1)="a","L",""))),"")</f>
        <v/>
      </c>
      <c r="K397" s="68" t="str">
        <f>iferror(iferror(if(LEFT(VLOOKUP($B397,'Round 8'!$B$2:$H$361,7,false),1)="A","W",if(LEFT(VLOOKUP($B397,'Round 8'!$B$2:$H$361,7,false),1)="B","L","")),if(LEFT(VLOOKUP($B397,'Round 8'!$F$2:$H$361,3,false),1)="b","W",if(LEFT(VLOOKUP($B397,'Round 8'!$F$2:$H$361,3,false),1)="a","L",""))),"")</f>
        <v/>
      </c>
      <c r="L397" s="68" t="str">
        <f>iferror(iferror(if(LEFT(VLOOKUP($B397,'Round 9'!$B$2:$H$361,7,false),1)="A","W",if(LEFT(VLOOKUP($B397,'Round 9'!$B$2:$H$361,7,false),1)="B","L","")),if(LEFT(VLOOKUP($B397,'Round 9'!$F$2:$H$361,3,false),1)="b","W",if(LEFT(VLOOKUP($B397,'Round 9'!$F$2:$H$361,3,false),1)="a","L",""))),"")</f>
        <v/>
      </c>
      <c r="M397" s="68" t="str">
        <f>iferror(iferror(if(LEFT(VLOOKUP($B397,'Round 10'!$B$2:$H$362,7,false),1)="A","W",if(LEFT(VLOOKUP($B397,'Round 10'!$B$2:$H$362,7,false),1)="B","L","")),if(LEFT(VLOOKUP($B397,'Round 10'!$F$2:$H$362,3,false),1)="b","W",if(LEFT(VLOOKUP($B397,'Round 10'!$F$2:$H$362,3,false),1)="a","L",""))),"")</f>
        <v/>
      </c>
      <c r="N397" s="62" t="s">
        <v>851</v>
      </c>
    </row>
    <row r="398">
      <c r="A398" s="63">
        <v>397.0</v>
      </c>
      <c r="B398" s="64" t="s">
        <v>852</v>
      </c>
      <c r="C398" s="65" t="str">
        <f t="shared" si="1"/>
        <v>2 - 3</v>
      </c>
      <c r="D398" s="67" t="str">
        <f>iferror(if(LEFT(VLOOKUP($B398,'Round 1'!$B$2:$H$361,7,false),1)="A","W",if(LEFT(VLOOKUP($B398,'Round 1'!$B$2:$H$361,7,false),1)="B","L","")),if(LEFT(VLOOKUP($B398,'Round 1'!$F$2:$H$361,3,false),1)="b","W",if(LEFT(VLOOKUP($B398,'Round 1'!$F$2:$H$361,3,false),1)="a","L","")))</f>
        <v>W</v>
      </c>
      <c r="E398" s="67" t="str">
        <f>iferror(if(LEFT(VLOOKUP($B398,'Round 2'!$C$2:$J$361,8,false),1)="A","W",if(LEFT(VLOOKUP($B398,'Round 2'!$C$2:$J$361,8,false),1)="B","L","")),if(LEFT(VLOOKUP($B398,'Round 2'!$G$2:$J$361,4,false),1)="b","W",if(LEFT(VLOOKUP($B398,'Round 2'!$G$2:$J$361,4,false),1)="a","L","")))</f>
        <v>L</v>
      </c>
      <c r="F398" s="67" t="str">
        <f>iferror(if(LEFT(VLOOKUP($B398,'Round 3'!$B$2:$H$361,7,false),1)="A","W",if(LEFT(VLOOKUP($B398,'Round 3'!$B$2:$H$361,7,false),1)="B","L","")),if(LEFT(VLOOKUP($B398,'Round 3'!$F$2:$H$361,3,false),1)="b","W",if(LEFT(VLOOKUP($B398,'Round 3'!$F$2:$H$361,3,false),1)="a","L","")))</f>
        <v>L</v>
      </c>
      <c r="G398" s="67" t="str">
        <f>iferror(if(LEFT(VLOOKUP($B398,'Round 4'!$B$2:$H$361,7,false),1)="A","W",if(LEFT(VLOOKUP($B398,'Round 4'!$B$2:$H$361,7,false),1)="B","L","")),if(LEFT(VLOOKUP($B398,'Round 4'!$F$2:$H$361,3,false),1)="b","W",if(LEFT(VLOOKUP($B398,'Round 4'!$F$2:$H$361,3,false),1)="a","L","")))</f>
        <v>W</v>
      </c>
      <c r="H398" s="67" t="str">
        <f>iferror(if(LEFT(VLOOKUP($B398,'Round 5'!$B$2:$H$361,7,false),1)="A","W",if(LEFT(VLOOKUP($B398,'Round 5'!$B$2:$H$361,7,false),1)="B","L","")),if(LEFT(VLOOKUP($B398,'Round 5'!$F$2:$H$361,3,false),1)="b","W",if(LEFT(VLOOKUP($B398,'Round 5'!$F$2:$H$361,3,false),1)="a","L","")))</f>
        <v>L</v>
      </c>
      <c r="I398" s="67"/>
      <c r="J398" s="67" t="str">
        <f>iferror(iferror(if(LEFT(VLOOKUP($B398,'Round 7'!$B$2:$H$361,7,false),1)="A","W",if(LEFT(VLOOKUP($B398,'Round 7'!$B$2:$H$361,7,false),1)="B","L","")),if(LEFT(VLOOKUP($B398,'Round 7'!$F$2:$H$361,3,false),1)="b","W",if(LEFT(VLOOKUP($B398,'Round 7'!$F$2:$H$361,3,false),1)="a","L",""))),"")</f>
        <v/>
      </c>
      <c r="K398" s="68" t="str">
        <f>iferror(iferror(if(LEFT(VLOOKUP($B398,'Round 8'!$B$2:$H$361,7,false),1)="A","W",if(LEFT(VLOOKUP($B398,'Round 8'!$B$2:$H$361,7,false),1)="B","L","")),if(LEFT(VLOOKUP($B398,'Round 8'!$F$2:$H$361,3,false),1)="b","W",if(LEFT(VLOOKUP($B398,'Round 8'!$F$2:$H$361,3,false),1)="a","L",""))),"")</f>
        <v/>
      </c>
      <c r="L398" s="68" t="str">
        <f>iferror(iferror(if(LEFT(VLOOKUP($B398,'Round 9'!$B$2:$H$361,7,false),1)="A","W",if(LEFT(VLOOKUP($B398,'Round 9'!$B$2:$H$361,7,false),1)="B","L","")),if(LEFT(VLOOKUP($B398,'Round 9'!$F$2:$H$361,3,false),1)="b","W",if(LEFT(VLOOKUP($B398,'Round 9'!$F$2:$H$361,3,false),1)="a","L",""))),"")</f>
        <v/>
      </c>
      <c r="M398" s="68" t="str">
        <f>iferror(iferror(if(LEFT(VLOOKUP($B398,'Round 10'!$B$2:$H$362,7,false),1)="A","W",if(LEFT(VLOOKUP($B398,'Round 10'!$B$2:$H$362,7,false),1)="B","L","")),if(LEFT(VLOOKUP($B398,'Round 10'!$F$2:$H$362,3,false),1)="b","W",if(LEFT(VLOOKUP($B398,'Round 10'!$F$2:$H$362,3,false),1)="a","L",""))),"")</f>
        <v/>
      </c>
      <c r="N398" s="62" t="s">
        <v>853</v>
      </c>
    </row>
    <row r="399">
      <c r="A399" s="63">
        <v>398.0</v>
      </c>
      <c r="B399" s="64" t="s">
        <v>854</v>
      </c>
      <c r="C399" s="65" t="str">
        <f t="shared" si="1"/>
        <v>4 - 3</v>
      </c>
      <c r="D399" s="67" t="str">
        <f>iferror(if(LEFT(VLOOKUP($B399,'Round 1'!$B$2:$H$361,7,false),1)="A","W",if(LEFT(VLOOKUP($B399,'Round 1'!$B$2:$H$361,7,false),1)="B","L","")),if(LEFT(VLOOKUP($B399,'Round 1'!$F$2:$H$361,3,false),1)="b","W",if(LEFT(VLOOKUP($B399,'Round 1'!$F$2:$H$361,3,false),1)="a","L","")))</f>
        <v>W</v>
      </c>
      <c r="E399" s="67" t="str">
        <f>iferror(if(LEFT(VLOOKUP($B399,'Round 2'!$C$2:$J$361,8,false),1)="A","W",if(LEFT(VLOOKUP($B399,'Round 2'!$C$2:$J$361,8,false),1)="B","L","")),if(LEFT(VLOOKUP($B399,'Round 2'!$G$2:$J$361,4,false),1)="b","W",if(LEFT(VLOOKUP($B399,'Round 2'!$G$2:$J$361,4,false),1)="a","L","")))</f>
        <v>L</v>
      </c>
      <c r="F399" s="67" t="str">
        <f>iferror(if(LEFT(VLOOKUP($B399,'Round 3'!$B$2:$H$361,7,false),1)="A","W",if(LEFT(VLOOKUP($B399,'Round 3'!$B$2:$H$361,7,false),1)="B","L","")),if(LEFT(VLOOKUP($B399,'Round 3'!$F$2:$H$361,3,false),1)="b","W",if(LEFT(VLOOKUP($B399,'Round 3'!$F$2:$H$361,3,false),1)="a","L","")))</f>
        <v>W</v>
      </c>
      <c r="G399" s="67" t="str">
        <f>iferror(if(LEFT(VLOOKUP($B399,'Round 4'!$B$2:$H$361,7,false),1)="A","W",if(LEFT(VLOOKUP($B399,'Round 4'!$B$2:$H$361,7,false),1)="B","L","")),if(LEFT(VLOOKUP($B399,'Round 4'!$F$2:$H$361,3,false),1)="b","W",if(LEFT(VLOOKUP($B399,'Round 4'!$F$2:$H$361,3,false),1)="a","L","")))</f>
        <v>W</v>
      </c>
      <c r="H399" s="67" t="str">
        <f>iferror(if(LEFT(VLOOKUP($B399,'Round 5'!$B$2:$H$361,7,false),1)="A","W",if(LEFT(VLOOKUP($B399,'Round 5'!$B$2:$H$361,7,false),1)="B","L","")),if(LEFT(VLOOKUP($B399,'Round 5'!$F$2:$H$361,3,false),1)="b","W",if(LEFT(VLOOKUP($B399,'Round 5'!$F$2:$H$361,3,false),1)="a","L","")))</f>
        <v>W</v>
      </c>
      <c r="I399" s="67" t="str">
        <f>iferror(if(LEFT(VLOOKUP($B399,'Round 6'!$B$2:$H$361,7,false),1)="A","W",if(LEFT(VLOOKUP($B399,'Round 6'!$B$2:$H$361,7,false),1)="B","L","")),if(LEFT(VLOOKUP($B399,'Round 6'!$F$2:$H$361,3,false),1)="b","W",if(LEFT(VLOOKUP($B399,'Round 6'!$F$2:$H$361,3,false),1)="a","L","")))</f>
        <v>L</v>
      </c>
      <c r="J399" s="67" t="str">
        <f>iferror(iferror(if(LEFT(VLOOKUP($B399,'Round 7'!$B$2:$H$361,7,false),1)="A","W",if(LEFT(VLOOKUP($B399,'Round 7'!$B$2:$H$361,7,false),1)="B","L","")),if(LEFT(VLOOKUP($B399,'Round 7'!$F$2:$H$361,3,false),1)="b","W",if(LEFT(VLOOKUP($B399,'Round 7'!$F$2:$H$361,3,false),1)="a","L",""))),"")</f>
        <v>L</v>
      </c>
      <c r="K399" s="68" t="str">
        <f>iferror(iferror(if(LEFT(VLOOKUP($B399,'Round 8'!$B$2:$H$361,7,false),1)="A","W",if(LEFT(VLOOKUP($B399,'Round 8'!$B$2:$H$361,7,false),1)="B","L","")),if(LEFT(VLOOKUP($B399,'Round 8'!$F$2:$H$361,3,false),1)="b","W",if(LEFT(VLOOKUP($B399,'Round 8'!$F$2:$H$361,3,false),1)="a","L",""))),"")</f>
        <v/>
      </c>
      <c r="L399" s="68" t="str">
        <f>iferror(iferror(if(LEFT(VLOOKUP($B399,'Round 9'!$B$2:$H$361,7,false),1)="A","W",if(LEFT(VLOOKUP($B399,'Round 9'!$B$2:$H$361,7,false),1)="B","L","")),if(LEFT(VLOOKUP($B399,'Round 9'!$F$2:$H$361,3,false),1)="b","W",if(LEFT(VLOOKUP($B399,'Round 9'!$F$2:$H$361,3,false),1)="a","L",""))),"")</f>
        <v/>
      </c>
      <c r="M399" s="68" t="str">
        <f>iferror(iferror(if(LEFT(VLOOKUP($B399,'Round 10'!$B$2:$H$362,7,false),1)="A","W",if(LEFT(VLOOKUP($B399,'Round 10'!$B$2:$H$362,7,false),1)="B","L","")),if(LEFT(VLOOKUP($B399,'Round 10'!$F$2:$H$362,3,false),1)="b","W",if(LEFT(VLOOKUP($B399,'Round 10'!$F$2:$H$362,3,false),1)="a","L",""))),"")</f>
        <v/>
      </c>
      <c r="N399" s="62" t="s">
        <v>855</v>
      </c>
    </row>
    <row r="400">
      <c r="A400" s="63">
        <v>399.0</v>
      </c>
      <c r="B400" s="64" t="s">
        <v>856</v>
      </c>
      <c r="C400" s="65" t="str">
        <f t="shared" si="1"/>
        <v>1 - 3</v>
      </c>
      <c r="D400" s="67" t="str">
        <f>iferror(if(LEFT(VLOOKUP($B400,'Round 1'!$B$2:$H$361,7,false),1)="A","W",if(LEFT(VLOOKUP($B400,'Round 1'!$B$2:$H$361,7,false),1)="B","L","")),if(LEFT(VLOOKUP($B400,'Round 1'!$F$2:$H$361,3,false),1)="b","W",if(LEFT(VLOOKUP($B400,'Round 1'!$F$2:$H$361,3,false),1)="a","L","")))</f>
        <v>L</v>
      </c>
      <c r="E400" s="67" t="str">
        <f>iferror(if(LEFT(VLOOKUP($B400,'Round 2'!$C$2:$J$361,8,false),1)="A","W",if(LEFT(VLOOKUP($B400,'Round 2'!$C$2:$J$361,8,false),1)="B","L","")),if(LEFT(VLOOKUP($B400,'Round 2'!$G$2:$J$361,4,false),1)="b","W",if(LEFT(VLOOKUP($B400,'Round 2'!$G$2:$J$361,4,false),1)="a","L","")))</f>
        <v>W</v>
      </c>
      <c r="F400" s="67" t="str">
        <f>iferror(if(LEFT(VLOOKUP($B400,'Round 3'!$B$2:$H$361,7,false),1)="A","W",if(LEFT(VLOOKUP($B400,'Round 3'!$B$2:$H$361,7,false),1)="B","L","")),if(LEFT(VLOOKUP($B400,'Round 3'!$F$2:$H$361,3,false),1)="b","W",if(LEFT(VLOOKUP($B400,'Round 3'!$F$2:$H$361,3,false),1)="a","L","")))</f>
        <v>L</v>
      </c>
      <c r="G400" s="67" t="str">
        <f>iferror(if(LEFT(VLOOKUP($B400,'Round 4'!$B$2:$H$361,7,false),1)="A","W",if(LEFT(VLOOKUP($B400,'Round 4'!$B$2:$H$361,7,false),1)="B","L","")),if(LEFT(VLOOKUP($B400,'Round 4'!$F$2:$H$361,3,false),1)="b","W",if(LEFT(VLOOKUP($B400,'Round 4'!$F$2:$H$361,3,false),1)="a","L","")))</f>
        <v>L</v>
      </c>
      <c r="H400" s="67"/>
      <c r="I400" s="67"/>
      <c r="J400" s="67" t="str">
        <f>iferror(iferror(if(LEFT(VLOOKUP($B400,'Round 7'!$B$2:$H$361,7,false),1)="A","W",if(LEFT(VLOOKUP($B400,'Round 7'!$B$2:$H$361,7,false),1)="B","L","")),if(LEFT(VLOOKUP($B400,'Round 7'!$F$2:$H$361,3,false),1)="b","W",if(LEFT(VLOOKUP($B400,'Round 7'!$F$2:$H$361,3,false),1)="a","L",""))),"")</f>
        <v/>
      </c>
      <c r="K400" s="68" t="str">
        <f>iferror(iferror(if(LEFT(VLOOKUP($B400,'Round 8'!$B$2:$H$361,7,false),1)="A","W",if(LEFT(VLOOKUP($B400,'Round 8'!$B$2:$H$361,7,false),1)="B","L","")),if(LEFT(VLOOKUP($B400,'Round 8'!$F$2:$H$361,3,false),1)="b","W",if(LEFT(VLOOKUP($B400,'Round 8'!$F$2:$H$361,3,false),1)="a","L",""))),"")</f>
        <v/>
      </c>
      <c r="L400" s="68" t="str">
        <f>iferror(iferror(if(LEFT(VLOOKUP($B400,'Round 9'!$B$2:$H$361,7,false),1)="A","W",if(LEFT(VLOOKUP($B400,'Round 9'!$B$2:$H$361,7,false),1)="B","L","")),if(LEFT(VLOOKUP($B400,'Round 9'!$F$2:$H$361,3,false),1)="b","W",if(LEFT(VLOOKUP($B400,'Round 9'!$F$2:$H$361,3,false),1)="a","L",""))),"")</f>
        <v/>
      </c>
      <c r="M400" s="68" t="str">
        <f>iferror(iferror(if(LEFT(VLOOKUP($B400,'Round 10'!$B$2:$H$362,7,false),1)="A","W",if(LEFT(VLOOKUP($B400,'Round 10'!$B$2:$H$362,7,false),1)="B","L","")),if(LEFT(VLOOKUP($B400,'Round 10'!$F$2:$H$362,3,false),1)="b","W",if(LEFT(VLOOKUP($B400,'Round 10'!$F$2:$H$362,3,false),1)="a","L",""))),"")</f>
        <v/>
      </c>
      <c r="N400" s="62" t="s">
        <v>857</v>
      </c>
    </row>
    <row r="401">
      <c r="A401" s="63">
        <v>400.0</v>
      </c>
      <c r="B401" s="64" t="s">
        <v>858</v>
      </c>
      <c r="C401" s="65" t="str">
        <f t="shared" si="1"/>
        <v>4 - 3</v>
      </c>
      <c r="D401" s="67" t="str">
        <f>iferror(if(LEFT(VLOOKUP($B401,'Round 1'!$B$2:$H$361,7,false),1)="A","W",if(LEFT(VLOOKUP($B401,'Round 1'!$B$2:$H$361,7,false),1)="B","L","")),if(LEFT(VLOOKUP($B401,'Round 1'!$F$2:$H$361,3,false),1)="b","W",if(LEFT(VLOOKUP($B401,'Round 1'!$F$2:$H$361,3,false),1)="a","L","")))</f>
        <v>L</v>
      </c>
      <c r="E401" s="67" t="str">
        <f>iferror(if(LEFT(VLOOKUP($B401,'Round 2'!$C$2:$J$361,8,false),1)="A","W",if(LEFT(VLOOKUP($B401,'Round 2'!$C$2:$J$361,8,false),1)="B","L","")),if(LEFT(VLOOKUP($B401,'Round 2'!$G$2:$J$361,4,false),1)="b","W",if(LEFT(VLOOKUP($B401,'Round 2'!$G$2:$J$361,4,false),1)="a","L","")))</f>
        <v>W</v>
      </c>
      <c r="F401" s="67" t="str">
        <f>iferror(if(LEFT(VLOOKUP($B401,'Round 3'!$B$2:$H$361,7,false),1)="A","W",if(LEFT(VLOOKUP($B401,'Round 3'!$B$2:$H$361,7,false),1)="B","L","")),if(LEFT(VLOOKUP($B401,'Round 3'!$F$2:$H$361,3,false),1)="b","W",if(LEFT(VLOOKUP($B401,'Round 3'!$F$2:$H$361,3,false),1)="a","L","")))</f>
        <v>L</v>
      </c>
      <c r="G401" s="67" t="str">
        <f>iferror(if(LEFT(VLOOKUP($B401,'Round 4'!$B$2:$H$361,7,false),1)="A","W",if(LEFT(VLOOKUP($B401,'Round 4'!$B$2:$H$361,7,false),1)="B","L","")),if(LEFT(VLOOKUP($B401,'Round 4'!$F$2:$H$361,3,false),1)="b","W",if(LEFT(VLOOKUP($B401,'Round 4'!$F$2:$H$361,3,false),1)="a","L","")))</f>
        <v>W</v>
      </c>
      <c r="H401" s="67" t="str">
        <f>iferror(if(LEFT(VLOOKUP($B401,'Round 5'!$B$2:$H$361,7,false),1)="A","W",if(LEFT(VLOOKUP($B401,'Round 5'!$B$2:$H$361,7,false),1)="B","L","")),if(LEFT(VLOOKUP($B401,'Round 5'!$F$2:$H$361,3,false),1)="b","W",if(LEFT(VLOOKUP($B401,'Round 5'!$F$2:$H$361,3,false),1)="a","L","")))</f>
        <v>W</v>
      </c>
      <c r="I401" s="67" t="str">
        <f>iferror(if(LEFT(VLOOKUP($B401,'Round 6'!$B$2:$H$361,7,false),1)="A","W",if(LEFT(VLOOKUP($B401,'Round 6'!$B$2:$H$361,7,false),1)="B","L","")),if(LEFT(VLOOKUP($B401,'Round 6'!$F$2:$H$361,3,false),1)="b","W",if(LEFT(VLOOKUP($B401,'Round 6'!$F$2:$H$361,3,false),1)="a","L","")))</f>
        <v>W</v>
      </c>
      <c r="J401" s="67" t="str">
        <f>iferror(iferror(if(LEFT(VLOOKUP($B401,'Round 7'!$B$2:$H$361,7,false),1)="A","W",if(LEFT(VLOOKUP($B401,'Round 7'!$B$2:$H$361,7,false),1)="B","L","")),if(LEFT(VLOOKUP($B401,'Round 7'!$F$2:$H$361,3,false),1)="b","W",if(LEFT(VLOOKUP($B401,'Round 7'!$F$2:$H$361,3,false),1)="a","L",""))),"")</f>
        <v>L</v>
      </c>
      <c r="K401" s="68" t="str">
        <f>iferror(iferror(if(LEFT(VLOOKUP($B401,'Round 8'!$B$2:$H$361,7,false),1)="A","W",if(LEFT(VLOOKUP($B401,'Round 8'!$B$2:$H$361,7,false),1)="B","L","")),if(LEFT(VLOOKUP($B401,'Round 8'!$F$2:$H$361,3,false),1)="b","W",if(LEFT(VLOOKUP($B401,'Round 8'!$F$2:$H$361,3,false),1)="a","L",""))),"")</f>
        <v/>
      </c>
      <c r="L401" s="68" t="str">
        <f>iferror(iferror(if(LEFT(VLOOKUP($B401,'Round 9'!$B$2:$H$361,7,false),1)="A","W",if(LEFT(VLOOKUP($B401,'Round 9'!$B$2:$H$361,7,false),1)="B","L","")),if(LEFT(VLOOKUP($B401,'Round 9'!$F$2:$H$361,3,false),1)="b","W",if(LEFT(VLOOKUP($B401,'Round 9'!$F$2:$H$361,3,false),1)="a","L",""))),"")</f>
        <v/>
      </c>
      <c r="M401" s="68" t="str">
        <f>iferror(iferror(if(LEFT(VLOOKUP($B401,'Round 10'!$B$2:$H$362,7,false),1)="A","W",if(LEFT(VLOOKUP($B401,'Round 10'!$B$2:$H$362,7,false),1)="B","L","")),if(LEFT(VLOOKUP($B401,'Round 10'!$F$2:$H$362,3,false),1)="b","W",if(LEFT(VLOOKUP($B401,'Round 10'!$F$2:$H$362,3,false),1)="a","L",""))),"")</f>
        <v/>
      </c>
      <c r="N401" s="62" t="s">
        <v>859</v>
      </c>
    </row>
    <row r="402">
      <c r="A402" s="63">
        <v>401.0</v>
      </c>
      <c r="B402" s="64" t="s">
        <v>860</v>
      </c>
      <c r="C402" s="65" t="str">
        <f t="shared" si="1"/>
        <v>4 - 3</v>
      </c>
      <c r="D402" s="67" t="str">
        <f>iferror(if(LEFT(VLOOKUP($B402,'Round 1'!$B$2:$H$361,7,false),1)="A","W",if(LEFT(VLOOKUP($B402,'Round 1'!$B$2:$H$361,7,false),1)="B","L","")),if(LEFT(VLOOKUP($B402,'Round 1'!$F$2:$H$361,3,false),1)="b","W",if(LEFT(VLOOKUP($B402,'Round 1'!$F$2:$H$361,3,false),1)="a","L","")))</f>
        <v>L</v>
      </c>
      <c r="E402" s="67" t="str">
        <f>iferror(if(LEFT(VLOOKUP($B402,'Round 2'!$C$2:$J$361,8,false),1)="A","W",if(LEFT(VLOOKUP($B402,'Round 2'!$C$2:$J$361,8,false),1)="B","L","")),if(LEFT(VLOOKUP($B402,'Round 2'!$G$2:$J$361,4,false),1)="b","W",if(LEFT(VLOOKUP($B402,'Round 2'!$G$2:$J$361,4,false),1)="a","L","")))</f>
        <v>L</v>
      </c>
      <c r="F402" s="67" t="str">
        <f>iferror(if(LEFT(VLOOKUP($B402,'Round 3'!$B$2:$H$361,7,false),1)="A","W",if(LEFT(VLOOKUP($B402,'Round 3'!$B$2:$H$361,7,false),1)="B","L","")),if(LEFT(VLOOKUP($B402,'Round 3'!$F$2:$H$361,3,false),1)="b","W",if(LEFT(VLOOKUP($B402,'Round 3'!$F$2:$H$361,3,false),1)="a","L","")))</f>
        <v>W</v>
      </c>
      <c r="G402" s="67" t="str">
        <f>iferror(if(LEFT(VLOOKUP($B402,'Round 4'!$B$2:$H$361,7,false),1)="A","W",if(LEFT(VLOOKUP($B402,'Round 4'!$B$2:$H$361,7,false),1)="B","L","")),if(LEFT(VLOOKUP($B402,'Round 4'!$F$2:$H$361,3,false),1)="b","W",if(LEFT(VLOOKUP($B402,'Round 4'!$F$2:$H$361,3,false),1)="a","L","")))</f>
        <v>W</v>
      </c>
      <c r="H402" s="67" t="str">
        <f>iferror(if(LEFT(VLOOKUP($B402,'Round 5'!$B$2:$H$361,7,false),1)="A","W",if(LEFT(VLOOKUP($B402,'Round 5'!$B$2:$H$361,7,false),1)="B","L","")),if(LEFT(VLOOKUP($B402,'Round 5'!$F$2:$H$361,3,false),1)="b","W",if(LEFT(VLOOKUP($B402,'Round 5'!$F$2:$H$361,3,false),1)="a","L","")))</f>
        <v>W</v>
      </c>
      <c r="I402" s="67" t="str">
        <f>iferror(if(LEFT(VLOOKUP($B402,'Round 6'!$B$2:$H$361,7,false),1)="A","W",if(LEFT(VLOOKUP($B402,'Round 6'!$B$2:$H$361,7,false),1)="B","L","")),if(LEFT(VLOOKUP($B402,'Round 6'!$F$2:$H$361,3,false),1)="b","W",if(LEFT(VLOOKUP($B402,'Round 6'!$F$2:$H$361,3,false),1)="a","L","")))</f>
        <v>W</v>
      </c>
      <c r="J402" s="67" t="str">
        <f>iferror(iferror(if(LEFT(VLOOKUP($B402,'Round 7'!$B$2:$H$361,7,false),1)="A","W",if(LEFT(VLOOKUP($B402,'Round 7'!$B$2:$H$361,7,false),1)="B","L","")),if(LEFT(VLOOKUP($B402,'Round 7'!$F$2:$H$361,3,false),1)="b","W",if(LEFT(VLOOKUP($B402,'Round 7'!$F$2:$H$361,3,false),1)="a","L",""))),"")</f>
        <v>L</v>
      </c>
      <c r="K402" s="68" t="str">
        <f>iferror(iferror(if(LEFT(VLOOKUP($B402,'Round 8'!$B$2:$H$361,7,false),1)="A","W",if(LEFT(VLOOKUP($B402,'Round 8'!$B$2:$H$361,7,false),1)="B","L","")),if(LEFT(VLOOKUP($B402,'Round 8'!$F$2:$H$361,3,false),1)="b","W",if(LEFT(VLOOKUP($B402,'Round 8'!$F$2:$H$361,3,false),1)="a","L",""))),"")</f>
        <v/>
      </c>
      <c r="L402" s="68" t="str">
        <f>iferror(iferror(if(LEFT(VLOOKUP($B402,'Round 9'!$B$2:$H$361,7,false),1)="A","W",if(LEFT(VLOOKUP($B402,'Round 9'!$B$2:$H$361,7,false),1)="B","L","")),if(LEFT(VLOOKUP($B402,'Round 9'!$F$2:$H$361,3,false),1)="b","W",if(LEFT(VLOOKUP($B402,'Round 9'!$F$2:$H$361,3,false),1)="a","L",""))),"")</f>
        <v/>
      </c>
      <c r="M402" s="68" t="str">
        <f>iferror(iferror(if(LEFT(VLOOKUP($B402,'Round 10'!$B$2:$H$362,7,false),1)="A","W",if(LEFT(VLOOKUP($B402,'Round 10'!$B$2:$H$362,7,false),1)="B","L","")),if(LEFT(VLOOKUP($B402,'Round 10'!$F$2:$H$362,3,false),1)="b","W",if(LEFT(VLOOKUP($B402,'Round 10'!$F$2:$H$362,3,false),1)="a","L",""))),"")</f>
        <v/>
      </c>
      <c r="N402" s="62" t="s">
        <v>861</v>
      </c>
    </row>
    <row r="403">
      <c r="A403" s="63">
        <v>402.0</v>
      </c>
      <c r="B403" s="64" t="s">
        <v>862</v>
      </c>
      <c r="C403" s="65" t="str">
        <f t="shared" si="1"/>
        <v>4 - 3</v>
      </c>
      <c r="D403" s="67" t="str">
        <f>iferror(if(LEFT(VLOOKUP($B403,'Round 1'!$B$2:$H$361,7,false),1)="A","W",if(LEFT(VLOOKUP($B403,'Round 1'!$B$2:$H$361,7,false),1)="B","L","")),if(LEFT(VLOOKUP($B403,'Round 1'!$F$2:$H$361,3,false),1)="b","W",if(LEFT(VLOOKUP($B403,'Round 1'!$F$2:$H$361,3,false),1)="a","L","")))</f>
        <v>W</v>
      </c>
      <c r="E403" s="67" t="str">
        <f>iferror(if(LEFT(VLOOKUP($B403,'Round 2'!$C$2:$J$361,8,false),1)="A","W",if(LEFT(VLOOKUP($B403,'Round 2'!$C$2:$J$361,8,false),1)="B","L","")),if(LEFT(VLOOKUP($B403,'Round 2'!$G$2:$J$361,4,false),1)="b","W",if(LEFT(VLOOKUP($B403,'Round 2'!$G$2:$J$361,4,false),1)="a","L","")))</f>
        <v>W</v>
      </c>
      <c r="F403" s="67" t="str">
        <f>iferror(if(LEFT(VLOOKUP($B403,'Round 3'!$B$2:$H$361,7,false),1)="A","W",if(LEFT(VLOOKUP($B403,'Round 3'!$B$2:$H$361,7,false),1)="B","L","")),if(LEFT(VLOOKUP($B403,'Round 3'!$F$2:$H$361,3,false),1)="b","W",if(LEFT(VLOOKUP($B403,'Round 3'!$F$2:$H$361,3,false),1)="a","L","")))</f>
        <v>W</v>
      </c>
      <c r="G403" s="67" t="str">
        <f>iferror(if(LEFT(VLOOKUP($B403,'Round 4'!$B$2:$H$361,7,false),1)="A","W",if(LEFT(VLOOKUP($B403,'Round 4'!$B$2:$H$361,7,false),1)="B","L","")),if(LEFT(VLOOKUP($B403,'Round 4'!$F$2:$H$361,3,false),1)="b","W",if(LEFT(VLOOKUP($B403,'Round 4'!$F$2:$H$361,3,false),1)="a","L","")))</f>
        <v>L</v>
      </c>
      <c r="H403" s="67" t="str">
        <f>iferror(if(LEFT(VLOOKUP($B403,'Round 5'!$B$2:$H$361,7,false),1)="A","W",if(LEFT(VLOOKUP($B403,'Round 5'!$B$2:$H$361,7,false),1)="B","L","")),if(LEFT(VLOOKUP($B403,'Round 5'!$F$2:$H$361,3,false),1)="b","W",if(LEFT(VLOOKUP($B403,'Round 5'!$F$2:$H$361,3,false),1)="a","L","")))</f>
        <v>L</v>
      </c>
      <c r="I403" s="67" t="str">
        <f>iferror(if(LEFT(VLOOKUP($B403,'Round 6'!$B$2:$H$361,7,false),1)="A","W",if(LEFT(VLOOKUP($B403,'Round 6'!$B$2:$H$361,7,false),1)="B","L","")),if(LEFT(VLOOKUP($B403,'Round 6'!$F$2:$H$361,3,false),1)="b","W",if(LEFT(VLOOKUP($B403,'Round 6'!$F$2:$H$361,3,false),1)="a","L","")))</f>
        <v>W</v>
      </c>
      <c r="J403" s="67" t="str">
        <f>iferror(iferror(if(LEFT(VLOOKUP($B403,'Round 7'!$B$2:$H$361,7,false),1)="A","W",if(LEFT(VLOOKUP($B403,'Round 7'!$B$2:$H$361,7,false),1)="B","L","")),if(LEFT(VLOOKUP($B403,'Round 7'!$F$2:$H$361,3,false),1)="b","W",if(LEFT(VLOOKUP($B403,'Round 7'!$F$2:$H$361,3,false),1)="a","L",""))),"")</f>
        <v>L</v>
      </c>
      <c r="K403" s="68" t="str">
        <f>iferror(iferror(if(LEFT(VLOOKUP($B403,'Round 8'!$B$2:$H$361,7,false),1)="A","W",if(LEFT(VLOOKUP($B403,'Round 8'!$B$2:$H$361,7,false),1)="B","L","")),if(LEFT(VLOOKUP($B403,'Round 8'!$F$2:$H$361,3,false),1)="b","W",if(LEFT(VLOOKUP($B403,'Round 8'!$F$2:$H$361,3,false),1)="a","L",""))),"")</f>
        <v/>
      </c>
      <c r="L403" s="68" t="str">
        <f>iferror(iferror(if(LEFT(VLOOKUP($B403,'Round 9'!$B$2:$H$361,7,false),1)="A","W",if(LEFT(VLOOKUP($B403,'Round 9'!$B$2:$H$361,7,false),1)="B","L","")),if(LEFT(VLOOKUP($B403,'Round 9'!$F$2:$H$361,3,false),1)="b","W",if(LEFT(VLOOKUP($B403,'Round 9'!$F$2:$H$361,3,false),1)="a","L",""))),"")</f>
        <v/>
      </c>
      <c r="M403" s="68" t="str">
        <f>iferror(iferror(if(LEFT(VLOOKUP($B403,'Round 10'!$B$2:$H$362,7,false),1)="A","W",if(LEFT(VLOOKUP($B403,'Round 10'!$B$2:$H$362,7,false),1)="B","L","")),if(LEFT(VLOOKUP($B403,'Round 10'!$F$2:$H$362,3,false),1)="b","W",if(LEFT(VLOOKUP($B403,'Round 10'!$F$2:$H$362,3,false),1)="a","L",""))),"")</f>
        <v/>
      </c>
      <c r="N403" s="62" t="s">
        <v>863</v>
      </c>
    </row>
    <row r="404">
      <c r="A404" s="63">
        <v>403.0</v>
      </c>
      <c r="B404" s="64" t="s">
        <v>864</v>
      </c>
      <c r="C404" s="65" t="str">
        <f t="shared" si="1"/>
        <v>2 - 3</v>
      </c>
      <c r="D404" s="67" t="str">
        <f>iferror(if(LEFT(VLOOKUP($B404,'Round 1'!$B$2:$H$361,7,false),1)="A","W",if(LEFT(VLOOKUP($B404,'Round 1'!$B$2:$H$361,7,false),1)="B","L","")),if(LEFT(VLOOKUP($B404,'Round 1'!$F$2:$H$361,3,false),1)="b","W",if(LEFT(VLOOKUP($B404,'Round 1'!$F$2:$H$361,3,false),1)="a","L","")))</f>
        <v>W</v>
      </c>
      <c r="E404" s="67" t="str">
        <f>iferror(if(LEFT(VLOOKUP($B404,'Round 2'!$C$2:$J$361,8,false),1)="A","W",if(LEFT(VLOOKUP($B404,'Round 2'!$C$2:$J$361,8,false),1)="B","L","")),if(LEFT(VLOOKUP($B404,'Round 2'!$G$2:$J$361,4,false),1)="b","W",if(LEFT(VLOOKUP($B404,'Round 2'!$G$2:$J$361,4,false),1)="a","L","")))</f>
        <v>L</v>
      </c>
      <c r="F404" s="67" t="str">
        <f>iferror(if(LEFT(VLOOKUP($B404,'Round 3'!$B$2:$H$361,7,false),1)="A","W",if(LEFT(VLOOKUP($B404,'Round 3'!$B$2:$H$361,7,false),1)="B","L","")),if(LEFT(VLOOKUP($B404,'Round 3'!$F$2:$H$361,3,false),1)="b","W",if(LEFT(VLOOKUP($B404,'Round 3'!$F$2:$H$361,3,false),1)="a","L","")))</f>
        <v>W</v>
      </c>
      <c r="G404" s="67" t="str">
        <f>iferror(if(LEFT(VLOOKUP($B404,'Round 4'!$B$2:$H$361,7,false),1)="A","W",if(LEFT(VLOOKUP($B404,'Round 4'!$B$2:$H$361,7,false),1)="B","L","")),if(LEFT(VLOOKUP($B404,'Round 4'!$F$2:$H$361,3,false),1)="b","W",if(LEFT(VLOOKUP($B404,'Round 4'!$F$2:$H$361,3,false),1)="a","L","")))</f>
        <v>L</v>
      </c>
      <c r="H404" s="67" t="str">
        <f>iferror(if(LEFT(VLOOKUP($B404,'Round 5'!$B$2:$H$361,7,false),1)="A","W",if(LEFT(VLOOKUP($B404,'Round 5'!$B$2:$H$361,7,false),1)="B","L","")),if(LEFT(VLOOKUP($B404,'Round 5'!$F$2:$H$361,3,false),1)="b","W",if(LEFT(VLOOKUP($B404,'Round 5'!$F$2:$H$361,3,false),1)="a","L","")))</f>
        <v>L</v>
      </c>
      <c r="I404" s="67"/>
      <c r="J404" s="67" t="str">
        <f>iferror(iferror(if(LEFT(VLOOKUP($B404,'Round 7'!$B$2:$H$361,7,false),1)="A","W",if(LEFT(VLOOKUP($B404,'Round 7'!$B$2:$H$361,7,false),1)="B","L","")),if(LEFT(VLOOKUP($B404,'Round 7'!$F$2:$H$361,3,false),1)="b","W",if(LEFT(VLOOKUP($B404,'Round 7'!$F$2:$H$361,3,false),1)="a","L",""))),"")</f>
        <v/>
      </c>
      <c r="K404" s="68" t="str">
        <f>iferror(iferror(if(LEFT(VLOOKUP($B404,'Round 8'!$B$2:$H$361,7,false),1)="A","W",if(LEFT(VLOOKUP($B404,'Round 8'!$B$2:$H$361,7,false),1)="B","L","")),if(LEFT(VLOOKUP($B404,'Round 8'!$F$2:$H$361,3,false),1)="b","W",if(LEFT(VLOOKUP($B404,'Round 8'!$F$2:$H$361,3,false),1)="a","L",""))),"")</f>
        <v/>
      </c>
      <c r="L404" s="68" t="str">
        <f>iferror(iferror(if(LEFT(VLOOKUP($B404,'Round 9'!$B$2:$H$361,7,false),1)="A","W",if(LEFT(VLOOKUP($B404,'Round 9'!$B$2:$H$361,7,false),1)="B","L","")),if(LEFT(VLOOKUP($B404,'Round 9'!$F$2:$H$361,3,false),1)="b","W",if(LEFT(VLOOKUP($B404,'Round 9'!$F$2:$H$361,3,false),1)="a","L",""))),"")</f>
        <v/>
      </c>
      <c r="M404" s="68" t="str">
        <f>iferror(iferror(if(LEFT(VLOOKUP($B404,'Round 10'!$B$2:$H$362,7,false),1)="A","W",if(LEFT(VLOOKUP($B404,'Round 10'!$B$2:$H$362,7,false),1)="B","L","")),if(LEFT(VLOOKUP($B404,'Round 10'!$F$2:$H$362,3,false),1)="b","W",if(LEFT(VLOOKUP($B404,'Round 10'!$F$2:$H$362,3,false),1)="a","L",""))),"")</f>
        <v/>
      </c>
      <c r="N404" s="62" t="s">
        <v>865</v>
      </c>
    </row>
    <row r="405">
      <c r="A405" s="63">
        <v>404.0</v>
      </c>
      <c r="B405" s="64" t="s">
        <v>866</v>
      </c>
      <c r="C405" s="65" t="str">
        <f t="shared" si="1"/>
        <v>3 - 3</v>
      </c>
      <c r="D405" s="67" t="str">
        <f>iferror(if(LEFT(VLOOKUP($B405,'Round 1'!$B$2:$H$361,7,false),1)="A","W",if(LEFT(VLOOKUP($B405,'Round 1'!$B$2:$H$361,7,false),1)="B","L","")),if(LEFT(VLOOKUP($B405,'Round 1'!$F$2:$H$361,3,false),1)="b","W",if(LEFT(VLOOKUP($B405,'Round 1'!$F$2:$H$361,3,false),1)="a","L","")))</f>
        <v>L</v>
      </c>
      <c r="E405" s="67" t="str">
        <f>iferror(if(LEFT(VLOOKUP($B405,'Round 2'!$C$2:$J$361,8,false),1)="A","W",if(LEFT(VLOOKUP($B405,'Round 2'!$C$2:$J$361,8,false),1)="B","L","")),if(LEFT(VLOOKUP($B405,'Round 2'!$G$2:$J$361,4,false),1)="b","W",if(LEFT(VLOOKUP($B405,'Round 2'!$G$2:$J$361,4,false),1)="a","L","")))</f>
        <v>W</v>
      </c>
      <c r="F405" s="67" t="str">
        <f>iferror(if(LEFT(VLOOKUP($B405,'Round 3'!$B$2:$H$361,7,false),1)="A","W",if(LEFT(VLOOKUP($B405,'Round 3'!$B$2:$H$361,7,false),1)="B","L","")),if(LEFT(VLOOKUP($B405,'Round 3'!$F$2:$H$361,3,false),1)="b","W",if(LEFT(VLOOKUP($B405,'Round 3'!$F$2:$H$361,3,false),1)="a","L","")))</f>
        <v>L</v>
      </c>
      <c r="G405" s="67" t="str">
        <f>iferror(if(LEFT(VLOOKUP($B405,'Round 4'!$B$2:$H$361,7,false),1)="A","W",if(LEFT(VLOOKUP($B405,'Round 4'!$B$2:$H$361,7,false),1)="B","L","")),if(LEFT(VLOOKUP($B405,'Round 4'!$F$2:$H$361,3,false),1)="b","W",if(LEFT(VLOOKUP($B405,'Round 4'!$F$2:$H$361,3,false),1)="a","L","")))</f>
        <v>W</v>
      </c>
      <c r="H405" s="67" t="str">
        <f>iferror(if(LEFT(VLOOKUP($B405,'Round 5'!$B$2:$H$361,7,false),1)="A","W",if(LEFT(VLOOKUP($B405,'Round 5'!$B$2:$H$361,7,false),1)="B","L","")),if(LEFT(VLOOKUP($B405,'Round 5'!$F$2:$H$361,3,false),1)="b","W",if(LEFT(VLOOKUP($B405,'Round 5'!$F$2:$H$361,3,false),1)="a","L","")))</f>
        <v>W</v>
      </c>
      <c r="I405" s="67" t="str">
        <f>iferror(if(LEFT(VLOOKUP($B405,'Round 6'!$B$2:$H$361,7,false),1)="A","W",if(LEFT(VLOOKUP($B405,'Round 6'!$B$2:$H$361,7,false),1)="B","L","")),if(LEFT(VLOOKUP($B405,'Round 6'!$F$2:$H$361,3,false),1)="b","W",if(LEFT(VLOOKUP($B405,'Round 6'!$F$2:$H$361,3,false),1)="a","L","")))</f>
        <v>L</v>
      </c>
      <c r="J405" s="67" t="str">
        <f>iferror(iferror(if(LEFT(VLOOKUP($B405,'Round 7'!$B$2:$H$361,7,false),1)="A","W",if(LEFT(VLOOKUP($B405,'Round 7'!$B$2:$H$361,7,false),1)="B","L","")),if(LEFT(VLOOKUP($B405,'Round 7'!$F$2:$H$361,3,false),1)="b","W",if(LEFT(VLOOKUP($B405,'Round 7'!$F$2:$H$361,3,false),1)="a","L",""))),"")</f>
        <v/>
      </c>
      <c r="K405" s="68" t="str">
        <f>iferror(iferror(if(LEFT(VLOOKUP($B405,'Round 8'!$B$2:$H$361,7,false),1)="A","W",if(LEFT(VLOOKUP($B405,'Round 8'!$B$2:$H$361,7,false),1)="B","L","")),if(LEFT(VLOOKUP($B405,'Round 8'!$F$2:$H$361,3,false),1)="b","W",if(LEFT(VLOOKUP($B405,'Round 8'!$F$2:$H$361,3,false),1)="a","L",""))),"")</f>
        <v/>
      </c>
      <c r="L405" s="68" t="str">
        <f>iferror(iferror(if(LEFT(VLOOKUP($B405,'Round 9'!$B$2:$H$361,7,false),1)="A","W",if(LEFT(VLOOKUP($B405,'Round 9'!$B$2:$H$361,7,false),1)="B","L","")),if(LEFT(VLOOKUP($B405,'Round 9'!$F$2:$H$361,3,false),1)="b","W",if(LEFT(VLOOKUP($B405,'Round 9'!$F$2:$H$361,3,false),1)="a","L",""))),"")</f>
        <v/>
      </c>
      <c r="M405" s="68" t="str">
        <f>iferror(iferror(if(LEFT(VLOOKUP($B405,'Round 10'!$B$2:$H$362,7,false),1)="A","W",if(LEFT(VLOOKUP($B405,'Round 10'!$B$2:$H$362,7,false),1)="B","L","")),if(LEFT(VLOOKUP($B405,'Round 10'!$F$2:$H$362,3,false),1)="b","W",if(LEFT(VLOOKUP($B405,'Round 10'!$F$2:$H$362,3,false),1)="a","L",""))),"")</f>
        <v/>
      </c>
      <c r="N405" s="62" t="s">
        <v>867</v>
      </c>
    </row>
    <row r="406">
      <c r="A406" s="63">
        <v>405.0</v>
      </c>
      <c r="B406" s="64" t="s">
        <v>868</v>
      </c>
      <c r="C406" s="65" t="str">
        <f t="shared" si="1"/>
        <v>2 - 3</v>
      </c>
      <c r="D406" s="67" t="str">
        <f>iferror(if(LEFT(VLOOKUP($B406,'Round 1'!$B$2:$H$361,7,false),1)="A","W",if(LEFT(VLOOKUP($B406,'Round 1'!$B$2:$H$361,7,false),1)="B","L","")),if(LEFT(VLOOKUP($B406,'Round 1'!$F$2:$H$361,3,false),1)="b","W",if(LEFT(VLOOKUP($B406,'Round 1'!$F$2:$H$361,3,false),1)="a","L","")))</f>
        <v>L</v>
      </c>
      <c r="E406" s="67" t="str">
        <f>iferror(if(LEFT(VLOOKUP($B406,'Round 2'!$C$2:$J$361,8,false),1)="A","W",if(LEFT(VLOOKUP($B406,'Round 2'!$C$2:$J$361,8,false),1)="B","L","")),if(LEFT(VLOOKUP($B406,'Round 2'!$G$2:$J$361,4,false),1)="b","W",if(LEFT(VLOOKUP($B406,'Round 2'!$G$2:$J$361,4,false),1)="a","L","")))</f>
        <v>W</v>
      </c>
      <c r="F406" s="67" t="str">
        <f>iferror(if(LEFT(VLOOKUP($B406,'Round 3'!$B$2:$H$361,7,false),1)="A","W",if(LEFT(VLOOKUP($B406,'Round 3'!$B$2:$H$361,7,false),1)="B","L","")),if(LEFT(VLOOKUP($B406,'Round 3'!$F$2:$H$361,3,false),1)="b","W",if(LEFT(VLOOKUP($B406,'Round 3'!$F$2:$H$361,3,false),1)="a","L","")))</f>
        <v>W</v>
      </c>
      <c r="G406" s="67" t="str">
        <f>iferror(if(LEFT(VLOOKUP($B406,'Round 4'!$B$2:$H$361,7,false),1)="A","W",if(LEFT(VLOOKUP($B406,'Round 4'!$B$2:$H$361,7,false),1)="B","L","")),if(LEFT(VLOOKUP($B406,'Round 4'!$F$2:$H$361,3,false),1)="b","W",if(LEFT(VLOOKUP($B406,'Round 4'!$F$2:$H$361,3,false),1)="a","L","")))</f>
        <v>L</v>
      </c>
      <c r="H406" s="67" t="str">
        <f>iferror(if(LEFT(VLOOKUP($B406,'Round 5'!$B$2:$H$361,7,false),1)="A","W",if(LEFT(VLOOKUP($B406,'Round 5'!$B$2:$H$361,7,false),1)="B","L","")),if(LEFT(VLOOKUP($B406,'Round 5'!$F$2:$H$361,3,false),1)="b","W",if(LEFT(VLOOKUP($B406,'Round 5'!$F$2:$H$361,3,false),1)="a","L","")))</f>
        <v>L</v>
      </c>
      <c r="I406" s="67"/>
      <c r="J406" s="67" t="str">
        <f>iferror(iferror(if(LEFT(VLOOKUP($B406,'Round 7'!$B$2:$H$361,7,false),1)="A","W",if(LEFT(VLOOKUP($B406,'Round 7'!$B$2:$H$361,7,false),1)="B","L","")),if(LEFT(VLOOKUP($B406,'Round 7'!$F$2:$H$361,3,false),1)="b","W",if(LEFT(VLOOKUP($B406,'Round 7'!$F$2:$H$361,3,false),1)="a","L",""))),"")</f>
        <v/>
      </c>
      <c r="K406" s="68" t="str">
        <f>iferror(iferror(if(LEFT(VLOOKUP($B406,'Round 8'!$B$2:$H$361,7,false),1)="A","W",if(LEFT(VLOOKUP($B406,'Round 8'!$B$2:$H$361,7,false),1)="B","L","")),if(LEFT(VLOOKUP($B406,'Round 8'!$F$2:$H$361,3,false),1)="b","W",if(LEFT(VLOOKUP($B406,'Round 8'!$F$2:$H$361,3,false),1)="a","L",""))),"")</f>
        <v/>
      </c>
      <c r="L406" s="68" t="str">
        <f>iferror(iferror(if(LEFT(VLOOKUP($B406,'Round 9'!$B$2:$H$361,7,false),1)="A","W",if(LEFT(VLOOKUP($B406,'Round 9'!$B$2:$H$361,7,false),1)="B","L","")),if(LEFT(VLOOKUP($B406,'Round 9'!$F$2:$H$361,3,false),1)="b","W",if(LEFT(VLOOKUP($B406,'Round 9'!$F$2:$H$361,3,false),1)="a","L",""))),"")</f>
        <v/>
      </c>
      <c r="M406" s="68" t="str">
        <f>iferror(iferror(if(LEFT(VLOOKUP($B406,'Round 10'!$B$2:$H$362,7,false),1)="A","W",if(LEFT(VLOOKUP($B406,'Round 10'!$B$2:$H$362,7,false),1)="B","L","")),if(LEFT(VLOOKUP($B406,'Round 10'!$F$2:$H$362,3,false),1)="b","W",if(LEFT(VLOOKUP($B406,'Round 10'!$F$2:$H$362,3,false),1)="a","L",""))),"")</f>
        <v/>
      </c>
      <c r="N406" s="62" t="s">
        <v>869</v>
      </c>
    </row>
    <row r="407">
      <c r="A407" s="63">
        <v>406.0</v>
      </c>
      <c r="B407" s="64" t="s">
        <v>870</v>
      </c>
      <c r="C407" s="65" t="str">
        <f t="shared" si="1"/>
        <v>6 - 3</v>
      </c>
      <c r="D407" s="67" t="str">
        <f>iferror(if(LEFT(VLOOKUP($B407,'Round 1'!$B$2:$H$361,7,false),1)="A","W",if(LEFT(VLOOKUP($B407,'Round 1'!$B$2:$H$361,7,false),1)="B","L","")),if(LEFT(VLOOKUP($B407,'Round 1'!$F$2:$H$361,3,false),1)="b","W",if(LEFT(VLOOKUP($B407,'Round 1'!$F$2:$H$361,3,false),1)="a","L","")))</f>
        <v>L</v>
      </c>
      <c r="E407" s="67" t="str">
        <f>iferror(if(LEFT(VLOOKUP($B407,'Round 2'!$C$2:$J$361,8,false),1)="A","W",if(LEFT(VLOOKUP($B407,'Round 2'!$C$2:$J$361,8,false),1)="B","L","")),if(LEFT(VLOOKUP($B407,'Round 2'!$G$2:$J$361,4,false),1)="b","W",if(LEFT(VLOOKUP($B407,'Round 2'!$G$2:$J$361,4,false),1)="a","L","")))</f>
        <v>L</v>
      </c>
      <c r="F407" s="67" t="str">
        <f>iferror(if(LEFT(VLOOKUP($B407,'Round 3'!$B$2:$H$361,7,false),1)="A","W",if(LEFT(VLOOKUP($B407,'Round 3'!$B$2:$H$361,7,false),1)="B","L","")),if(LEFT(VLOOKUP($B407,'Round 3'!$F$2:$H$361,3,false),1)="b","W",if(LEFT(VLOOKUP($B407,'Round 3'!$F$2:$H$361,3,false),1)="a","L","")))</f>
        <v>W</v>
      </c>
      <c r="G407" s="67" t="str">
        <f>iferror(if(LEFT(VLOOKUP($B407,'Round 4'!$B$2:$H$361,7,false),1)="A","W",if(LEFT(VLOOKUP($B407,'Round 4'!$B$2:$H$361,7,false),1)="B","L","")),if(LEFT(VLOOKUP($B407,'Round 4'!$F$2:$H$361,3,false),1)="b","W",if(LEFT(VLOOKUP($B407,'Round 4'!$F$2:$H$361,3,false),1)="a","L","")))</f>
        <v>W</v>
      </c>
      <c r="H407" s="67" t="str">
        <f>iferror(if(LEFT(VLOOKUP($B407,'Round 5'!$B$2:$H$361,7,false),1)="A","W",if(LEFT(VLOOKUP($B407,'Round 5'!$B$2:$H$361,7,false),1)="B","L","")),if(LEFT(VLOOKUP($B407,'Round 5'!$F$2:$H$361,3,false),1)="b","W",if(LEFT(VLOOKUP($B407,'Round 5'!$F$2:$H$361,3,false),1)="a","L","")))</f>
        <v>W</v>
      </c>
      <c r="I407" s="67" t="str">
        <f>iferror(if(LEFT(VLOOKUP($B407,'Round 6'!$B$2:$H$361,7,false),1)="A","W",if(LEFT(VLOOKUP($B407,'Round 6'!$B$2:$H$361,7,false),1)="B","L","")),if(LEFT(VLOOKUP($B407,'Round 6'!$F$2:$H$361,3,false),1)="b","W",if(LEFT(VLOOKUP($B407,'Round 6'!$F$2:$H$361,3,false),1)="a","L","")))</f>
        <v>W</v>
      </c>
      <c r="J407" s="67" t="str">
        <f>iferror(iferror(if(LEFT(VLOOKUP($B407,'Round 7'!$B$2:$H$361,7,false),1)="A","W",if(LEFT(VLOOKUP($B407,'Round 7'!$B$2:$H$361,7,false),1)="B","L","")),if(LEFT(VLOOKUP($B407,'Round 7'!$F$2:$H$361,3,false),1)="b","W",if(LEFT(VLOOKUP($B407,'Round 7'!$F$2:$H$361,3,false),1)="a","L",""))),"")</f>
        <v>W</v>
      </c>
      <c r="K407" s="68" t="str">
        <f>iferror(iferror(if(LEFT(VLOOKUP($B407,'Round 8'!$B$2:$H$361,7,false),1)="A","W",if(LEFT(VLOOKUP($B407,'Round 8'!$B$2:$H$361,7,false),1)="B","L","")),if(LEFT(VLOOKUP($B407,'Round 8'!$F$2:$H$361,3,false),1)="b","W",if(LEFT(VLOOKUP($B407,'Round 8'!$F$2:$H$361,3,false),1)="a","L",""))),"")</f>
        <v>W</v>
      </c>
      <c r="L407" s="68" t="str">
        <f>iferror(iferror(if(LEFT(VLOOKUP($B407,'Round 9'!$B$2:$H$361,7,false),1)="A","W",if(LEFT(VLOOKUP($B407,'Round 9'!$B$2:$H$361,7,false),1)="B","L","")),if(LEFT(VLOOKUP($B407,'Round 9'!$F$2:$H$361,3,false),1)="b","W",if(LEFT(VLOOKUP($B407,'Round 9'!$F$2:$H$361,3,false),1)="a","L",""))),"")</f>
        <v>L</v>
      </c>
      <c r="M407" s="68" t="str">
        <f>iferror(iferror(if(LEFT(VLOOKUP($B407,'Round 10'!$B$2:$H$362,7,false),1)="A","W",if(LEFT(VLOOKUP($B407,'Round 10'!$B$2:$H$362,7,false),1)="B","L","")),if(LEFT(VLOOKUP($B407,'Round 10'!$F$2:$H$362,3,false),1)="b","W",if(LEFT(VLOOKUP($B407,'Round 10'!$F$2:$H$362,3,false),1)="a","L",""))),"")</f>
        <v/>
      </c>
      <c r="N407" s="62" t="s">
        <v>871</v>
      </c>
    </row>
    <row r="408">
      <c r="A408" s="63">
        <v>407.0</v>
      </c>
      <c r="B408" s="64" t="s">
        <v>872</v>
      </c>
      <c r="C408" s="65" t="str">
        <f t="shared" si="1"/>
        <v>2 - 3</v>
      </c>
      <c r="D408" s="67" t="str">
        <f>iferror(if(LEFT(VLOOKUP($B408,'Round 1'!$B$2:$H$361,7,false),1)="A","W",if(LEFT(VLOOKUP($B408,'Round 1'!$B$2:$H$361,7,false),1)="B","L","")),if(LEFT(VLOOKUP($B408,'Round 1'!$F$2:$H$361,3,false),1)="b","W",if(LEFT(VLOOKUP($B408,'Round 1'!$F$2:$H$361,3,false),1)="a","L","")))</f>
        <v>L</v>
      </c>
      <c r="E408" s="67" t="str">
        <f>iferror(if(LEFT(VLOOKUP($B408,'Round 2'!$C$2:$J$361,8,false),1)="A","W",if(LEFT(VLOOKUP($B408,'Round 2'!$C$2:$J$361,8,false),1)="B","L","")),if(LEFT(VLOOKUP($B408,'Round 2'!$G$2:$J$361,4,false),1)="b","W",if(LEFT(VLOOKUP($B408,'Round 2'!$G$2:$J$361,4,false),1)="a","L","")))</f>
        <v>W</v>
      </c>
      <c r="F408" s="67" t="str">
        <f>iferror(if(LEFT(VLOOKUP($B408,'Round 3'!$B$2:$H$361,7,false),1)="A","W",if(LEFT(VLOOKUP($B408,'Round 3'!$B$2:$H$361,7,false),1)="B","L","")),if(LEFT(VLOOKUP($B408,'Round 3'!$F$2:$H$361,3,false),1)="b","W",if(LEFT(VLOOKUP($B408,'Round 3'!$F$2:$H$361,3,false),1)="a","L","")))</f>
        <v>W</v>
      </c>
      <c r="G408" s="67" t="str">
        <f>iferror(if(LEFT(VLOOKUP($B408,'Round 4'!$B$2:$H$361,7,false),1)="A","W",if(LEFT(VLOOKUP($B408,'Round 4'!$B$2:$H$361,7,false),1)="B","L","")),if(LEFT(VLOOKUP($B408,'Round 4'!$F$2:$H$361,3,false),1)="b","W",if(LEFT(VLOOKUP($B408,'Round 4'!$F$2:$H$361,3,false),1)="a","L","")))</f>
        <v>L</v>
      </c>
      <c r="H408" s="67" t="str">
        <f>iferror(if(LEFT(VLOOKUP($B408,'Round 5'!$B$2:$H$361,7,false),1)="A","W",if(LEFT(VLOOKUP($B408,'Round 5'!$B$2:$H$361,7,false),1)="B","L","")),if(LEFT(VLOOKUP($B408,'Round 5'!$F$2:$H$361,3,false),1)="b","W",if(LEFT(VLOOKUP($B408,'Round 5'!$F$2:$H$361,3,false),1)="a","L","")))</f>
        <v>L</v>
      </c>
      <c r="I408" s="67"/>
      <c r="J408" s="67" t="str">
        <f>iferror(iferror(if(LEFT(VLOOKUP($B408,'Round 7'!$B$2:$H$361,7,false),1)="A","W",if(LEFT(VLOOKUP($B408,'Round 7'!$B$2:$H$361,7,false),1)="B","L","")),if(LEFT(VLOOKUP($B408,'Round 7'!$F$2:$H$361,3,false),1)="b","W",if(LEFT(VLOOKUP($B408,'Round 7'!$F$2:$H$361,3,false),1)="a","L",""))),"")</f>
        <v/>
      </c>
      <c r="K408" s="68" t="str">
        <f>iferror(iferror(if(LEFT(VLOOKUP($B408,'Round 8'!$B$2:$H$361,7,false),1)="A","W",if(LEFT(VLOOKUP($B408,'Round 8'!$B$2:$H$361,7,false),1)="B","L","")),if(LEFT(VLOOKUP($B408,'Round 8'!$F$2:$H$361,3,false),1)="b","W",if(LEFT(VLOOKUP($B408,'Round 8'!$F$2:$H$361,3,false),1)="a","L",""))),"")</f>
        <v/>
      </c>
      <c r="L408" s="68" t="str">
        <f>iferror(iferror(if(LEFT(VLOOKUP($B408,'Round 9'!$B$2:$H$361,7,false),1)="A","W",if(LEFT(VLOOKUP($B408,'Round 9'!$B$2:$H$361,7,false),1)="B","L","")),if(LEFT(VLOOKUP($B408,'Round 9'!$F$2:$H$361,3,false),1)="b","W",if(LEFT(VLOOKUP($B408,'Round 9'!$F$2:$H$361,3,false),1)="a","L",""))),"")</f>
        <v/>
      </c>
      <c r="M408" s="68" t="str">
        <f>iferror(iferror(if(LEFT(VLOOKUP($B408,'Round 10'!$B$2:$H$362,7,false),1)="A","W",if(LEFT(VLOOKUP($B408,'Round 10'!$B$2:$H$362,7,false),1)="B","L","")),if(LEFT(VLOOKUP($B408,'Round 10'!$F$2:$H$362,3,false),1)="b","W",if(LEFT(VLOOKUP($B408,'Round 10'!$F$2:$H$362,3,false),1)="a","L",""))),"")</f>
        <v/>
      </c>
      <c r="N408" s="62" t="s">
        <v>873</v>
      </c>
    </row>
    <row r="409">
      <c r="A409" s="63">
        <v>408.0</v>
      </c>
      <c r="B409" s="64" t="s">
        <v>874</v>
      </c>
      <c r="C409" s="65" t="str">
        <f t="shared" si="1"/>
        <v>0 - 3</v>
      </c>
      <c r="D409" s="67" t="str">
        <f>iferror(if(LEFT(VLOOKUP($B409,'Round 1'!$B$2:$H$361,7,false),1)="A","W",if(LEFT(VLOOKUP($B409,'Round 1'!$B$2:$H$361,7,false),1)="B","L","")),if(LEFT(VLOOKUP($B409,'Round 1'!$F$2:$H$361,3,false),1)="b","W",if(LEFT(VLOOKUP($B409,'Round 1'!$F$2:$H$361,3,false),1)="a","L","")))</f>
        <v>L</v>
      </c>
      <c r="E409" s="67" t="str">
        <f>iferror(if(LEFT(VLOOKUP($B409,'Round 2'!$C$2:$J$361,8,false),1)="A","W",if(LEFT(VLOOKUP($B409,'Round 2'!$C$2:$J$361,8,false),1)="B","L","")),if(LEFT(VLOOKUP($B409,'Round 2'!$G$2:$J$361,4,false),1)="b","W",if(LEFT(VLOOKUP($B409,'Round 2'!$G$2:$J$361,4,false),1)="a","L","")))</f>
        <v>L</v>
      </c>
      <c r="F409" s="67" t="str">
        <f>iferror(if(LEFT(VLOOKUP($B409,'Round 3'!$B$2:$H$361,7,false),1)="A","W",if(LEFT(VLOOKUP($B409,'Round 3'!$B$2:$H$361,7,false),1)="B","L","")),if(LEFT(VLOOKUP($B409,'Round 3'!$F$2:$H$361,3,false),1)="b","W",if(LEFT(VLOOKUP($B409,'Round 3'!$F$2:$H$361,3,false),1)="a","L","")))</f>
        <v>L</v>
      </c>
      <c r="G409" s="67"/>
      <c r="H409" s="67"/>
      <c r="I409" s="67"/>
      <c r="J409" s="67" t="str">
        <f>iferror(iferror(if(LEFT(VLOOKUP($B409,'Round 7'!$B$2:$H$361,7,false),1)="A","W",if(LEFT(VLOOKUP($B409,'Round 7'!$B$2:$H$361,7,false),1)="B","L","")),if(LEFT(VLOOKUP($B409,'Round 7'!$F$2:$H$361,3,false),1)="b","W",if(LEFT(VLOOKUP($B409,'Round 7'!$F$2:$H$361,3,false),1)="a","L",""))),"")</f>
        <v/>
      </c>
      <c r="K409" s="68" t="str">
        <f>iferror(iferror(if(LEFT(VLOOKUP($B409,'Round 8'!$B$2:$H$361,7,false),1)="A","W",if(LEFT(VLOOKUP($B409,'Round 8'!$B$2:$H$361,7,false),1)="B","L","")),if(LEFT(VLOOKUP($B409,'Round 8'!$F$2:$H$361,3,false),1)="b","W",if(LEFT(VLOOKUP($B409,'Round 8'!$F$2:$H$361,3,false),1)="a","L",""))),"")</f>
        <v/>
      </c>
      <c r="L409" s="68" t="str">
        <f>iferror(iferror(if(LEFT(VLOOKUP($B409,'Round 9'!$B$2:$H$361,7,false),1)="A","W",if(LEFT(VLOOKUP($B409,'Round 9'!$B$2:$H$361,7,false),1)="B","L","")),if(LEFT(VLOOKUP($B409,'Round 9'!$F$2:$H$361,3,false),1)="b","W",if(LEFT(VLOOKUP($B409,'Round 9'!$F$2:$H$361,3,false),1)="a","L",""))),"")</f>
        <v/>
      </c>
      <c r="M409" s="68" t="str">
        <f>iferror(iferror(if(LEFT(VLOOKUP($B409,'Round 10'!$B$2:$H$362,7,false),1)="A","W",if(LEFT(VLOOKUP($B409,'Round 10'!$B$2:$H$362,7,false),1)="B","L","")),if(LEFT(VLOOKUP($B409,'Round 10'!$F$2:$H$362,3,false),1)="b","W",if(LEFT(VLOOKUP($B409,'Round 10'!$F$2:$H$362,3,false),1)="a","L",""))),"")</f>
        <v/>
      </c>
      <c r="N409" s="62" t="s">
        <v>144</v>
      </c>
    </row>
    <row r="410">
      <c r="A410" s="63">
        <v>409.0</v>
      </c>
      <c r="B410" s="64" t="s">
        <v>875</v>
      </c>
      <c r="C410" s="65" t="str">
        <f t="shared" si="1"/>
        <v>3 - 3</v>
      </c>
      <c r="D410" s="67" t="str">
        <f>iferror(if(LEFT(VLOOKUP($B410,'Round 1'!$B$2:$H$361,7,false),1)="A","W",if(LEFT(VLOOKUP($B410,'Round 1'!$B$2:$H$361,7,false),1)="B","L","")),if(LEFT(VLOOKUP($B410,'Round 1'!$F$2:$H$361,3,false),1)="b","W",if(LEFT(VLOOKUP($B410,'Round 1'!$F$2:$H$361,3,false),1)="a","L","")))</f>
        <v>L</v>
      </c>
      <c r="E410" s="67" t="str">
        <f>iferror(if(LEFT(VLOOKUP($B410,'Round 2'!$C$2:$J$361,8,false),1)="A","W",if(LEFT(VLOOKUP($B410,'Round 2'!$C$2:$J$361,8,false),1)="B","L","")),if(LEFT(VLOOKUP($B410,'Round 2'!$G$2:$J$361,4,false),1)="b","W",if(LEFT(VLOOKUP($B410,'Round 2'!$G$2:$J$361,4,false),1)="a","L","")))</f>
        <v>W</v>
      </c>
      <c r="F410" s="67" t="str">
        <f>iferror(if(LEFT(VLOOKUP($B410,'Round 3'!$B$2:$H$361,7,false),1)="A","W",if(LEFT(VLOOKUP($B410,'Round 3'!$B$2:$H$361,7,false),1)="B","L","")),if(LEFT(VLOOKUP($B410,'Round 3'!$F$2:$H$361,3,false),1)="b","W",if(LEFT(VLOOKUP($B410,'Round 3'!$F$2:$H$361,3,false),1)="a","L","")))</f>
        <v>W</v>
      </c>
      <c r="G410" s="67" t="str">
        <f>iferror(if(LEFT(VLOOKUP($B410,'Round 4'!$B$2:$H$361,7,false),1)="A","W",if(LEFT(VLOOKUP($B410,'Round 4'!$B$2:$H$361,7,false),1)="B","L","")),if(LEFT(VLOOKUP($B410,'Round 4'!$F$2:$H$361,3,false),1)="b","W",if(LEFT(VLOOKUP($B410,'Round 4'!$F$2:$H$361,3,false),1)="a","L","")))</f>
        <v>L</v>
      </c>
      <c r="H410" s="67" t="str">
        <f>iferror(if(LEFT(VLOOKUP($B410,'Round 5'!$B$2:$H$361,7,false),1)="A","W",if(LEFT(VLOOKUP($B410,'Round 5'!$B$2:$H$361,7,false),1)="B","L","")),if(LEFT(VLOOKUP($B410,'Round 5'!$F$2:$H$361,3,false),1)="b","W",if(LEFT(VLOOKUP($B410,'Round 5'!$F$2:$H$361,3,false),1)="a","L","")))</f>
        <v>W</v>
      </c>
      <c r="I410" s="67" t="str">
        <f>iferror(if(LEFT(VLOOKUP($B410,'Round 6'!$B$2:$H$361,7,false),1)="A","W",if(LEFT(VLOOKUP($B410,'Round 6'!$B$2:$H$361,7,false),1)="B","L","")),if(LEFT(VLOOKUP($B410,'Round 6'!$F$2:$H$361,3,false),1)="b","W",if(LEFT(VLOOKUP($B410,'Round 6'!$F$2:$H$361,3,false),1)="a","L","")))</f>
        <v>L</v>
      </c>
      <c r="J410" s="67" t="str">
        <f>iferror(iferror(if(LEFT(VLOOKUP($B410,'Round 7'!$B$2:$H$361,7,false),1)="A","W",if(LEFT(VLOOKUP($B410,'Round 7'!$B$2:$H$361,7,false),1)="B","L","")),if(LEFT(VLOOKUP($B410,'Round 7'!$F$2:$H$361,3,false),1)="b","W",if(LEFT(VLOOKUP($B410,'Round 7'!$F$2:$H$361,3,false),1)="a","L",""))),"")</f>
        <v/>
      </c>
      <c r="K410" s="68" t="str">
        <f>iferror(iferror(if(LEFT(VLOOKUP($B410,'Round 8'!$B$2:$H$361,7,false),1)="A","W",if(LEFT(VLOOKUP($B410,'Round 8'!$B$2:$H$361,7,false),1)="B","L","")),if(LEFT(VLOOKUP($B410,'Round 8'!$F$2:$H$361,3,false),1)="b","W",if(LEFT(VLOOKUP($B410,'Round 8'!$F$2:$H$361,3,false),1)="a","L",""))),"")</f>
        <v/>
      </c>
      <c r="L410" s="68" t="str">
        <f>iferror(iferror(if(LEFT(VLOOKUP($B410,'Round 9'!$B$2:$H$361,7,false),1)="A","W",if(LEFT(VLOOKUP($B410,'Round 9'!$B$2:$H$361,7,false),1)="B","L","")),if(LEFT(VLOOKUP($B410,'Round 9'!$F$2:$H$361,3,false),1)="b","W",if(LEFT(VLOOKUP($B410,'Round 9'!$F$2:$H$361,3,false),1)="a","L",""))),"")</f>
        <v/>
      </c>
      <c r="M410" s="68" t="str">
        <f>iferror(iferror(if(LEFT(VLOOKUP($B410,'Round 10'!$B$2:$H$362,7,false),1)="A","W",if(LEFT(VLOOKUP($B410,'Round 10'!$B$2:$H$362,7,false),1)="B","L","")),if(LEFT(VLOOKUP($B410,'Round 10'!$F$2:$H$362,3,false),1)="b","W",if(LEFT(VLOOKUP($B410,'Round 10'!$F$2:$H$362,3,false),1)="a","L",""))),"")</f>
        <v/>
      </c>
      <c r="N410" s="62" t="s">
        <v>876</v>
      </c>
    </row>
    <row r="411">
      <c r="A411" s="63">
        <v>410.0</v>
      </c>
      <c r="B411" s="64" t="s">
        <v>877</v>
      </c>
      <c r="C411" s="65" t="str">
        <f t="shared" si="1"/>
        <v>3 - 3</v>
      </c>
      <c r="D411" s="67" t="str">
        <f>iferror(if(LEFT(VLOOKUP($B411,'Round 1'!$B$2:$H$361,7,false),1)="A","W",if(LEFT(VLOOKUP($B411,'Round 1'!$B$2:$H$361,7,false),1)="B","L","")),if(LEFT(VLOOKUP($B411,'Round 1'!$F$2:$H$361,3,false),1)="b","W",if(LEFT(VLOOKUP($B411,'Round 1'!$F$2:$H$361,3,false),1)="a","L","")))</f>
        <v>W</v>
      </c>
      <c r="E411" s="67" t="str">
        <f>iferror(if(LEFT(VLOOKUP($B411,'Round 2'!$C$2:$J$361,8,false),1)="A","W",if(LEFT(VLOOKUP($B411,'Round 2'!$C$2:$J$361,8,false),1)="B","L","")),if(LEFT(VLOOKUP($B411,'Round 2'!$G$2:$J$361,4,false),1)="b","W",if(LEFT(VLOOKUP($B411,'Round 2'!$G$2:$J$361,4,false),1)="a","L","")))</f>
        <v>L</v>
      </c>
      <c r="F411" s="67" t="str">
        <f>iferror(if(LEFT(VLOOKUP($B411,'Round 3'!$B$2:$H$361,7,false),1)="A","W",if(LEFT(VLOOKUP($B411,'Round 3'!$B$2:$H$361,7,false),1)="B","L","")),if(LEFT(VLOOKUP($B411,'Round 3'!$F$2:$H$361,3,false),1)="b","W",if(LEFT(VLOOKUP($B411,'Round 3'!$F$2:$H$361,3,false),1)="a","L","")))</f>
        <v>L</v>
      </c>
      <c r="G411" s="67" t="str">
        <f>iferror(if(LEFT(VLOOKUP($B411,'Round 4'!$B$2:$H$361,7,false),1)="A","W",if(LEFT(VLOOKUP($B411,'Round 4'!$B$2:$H$361,7,false),1)="B","L","")),if(LEFT(VLOOKUP($B411,'Round 4'!$F$2:$H$361,3,false),1)="b","W",if(LEFT(VLOOKUP($B411,'Round 4'!$F$2:$H$361,3,false),1)="a","L","")))</f>
        <v>W</v>
      </c>
      <c r="H411" s="67" t="str">
        <f>iferror(if(LEFT(VLOOKUP($B411,'Round 5'!$B$2:$H$361,7,false),1)="A","W",if(LEFT(VLOOKUP($B411,'Round 5'!$B$2:$H$361,7,false),1)="B","L","")),if(LEFT(VLOOKUP($B411,'Round 5'!$F$2:$H$361,3,false),1)="b","W",if(LEFT(VLOOKUP($B411,'Round 5'!$F$2:$H$361,3,false),1)="a","L","")))</f>
        <v>W</v>
      </c>
      <c r="I411" s="67" t="str">
        <f>iferror(if(LEFT(VLOOKUP($B411,'Round 6'!$B$2:$H$361,7,false),1)="A","W",if(LEFT(VLOOKUP($B411,'Round 6'!$B$2:$H$361,7,false),1)="B","L","")),if(LEFT(VLOOKUP($B411,'Round 6'!$F$2:$H$361,3,false),1)="b","W",if(LEFT(VLOOKUP($B411,'Round 6'!$F$2:$H$361,3,false),1)="a","L","")))</f>
        <v>L</v>
      </c>
      <c r="J411" s="67" t="str">
        <f>iferror(iferror(if(LEFT(VLOOKUP($B411,'Round 7'!$B$2:$H$361,7,false),1)="A","W",if(LEFT(VLOOKUP($B411,'Round 7'!$B$2:$H$361,7,false),1)="B","L","")),if(LEFT(VLOOKUP($B411,'Round 7'!$F$2:$H$361,3,false),1)="b","W",if(LEFT(VLOOKUP($B411,'Round 7'!$F$2:$H$361,3,false),1)="a","L",""))),"")</f>
        <v/>
      </c>
      <c r="K411" s="68" t="str">
        <f>iferror(iferror(if(LEFT(VLOOKUP($B411,'Round 8'!$B$2:$H$361,7,false),1)="A","W",if(LEFT(VLOOKUP($B411,'Round 8'!$B$2:$H$361,7,false),1)="B","L","")),if(LEFT(VLOOKUP($B411,'Round 8'!$F$2:$H$361,3,false),1)="b","W",if(LEFT(VLOOKUP($B411,'Round 8'!$F$2:$H$361,3,false),1)="a","L",""))),"")</f>
        <v/>
      </c>
      <c r="L411" s="68" t="str">
        <f>iferror(iferror(if(LEFT(VLOOKUP($B411,'Round 9'!$B$2:$H$361,7,false),1)="A","W",if(LEFT(VLOOKUP($B411,'Round 9'!$B$2:$H$361,7,false),1)="B","L","")),if(LEFT(VLOOKUP($B411,'Round 9'!$F$2:$H$361,3,false),1)="b","W",if(LEFT(VLOOKUP($B411,'Round 9'!$F$2:$H$361,3,false),1)="a","L",""))),"")</f>
        <v/>
      </c>
      <c r="M411" s="68" t="str">
        <f>iferror(iferror(if(LEFT(VLOOKUP($B411,'Round 10'!$B$2:$H$362,7,false),1)="A","W",if(LEFT(VLOOKUP($B411,'Round 10'!$B$2:$H$362,7,false),1)="B","L","")),if(LEFT(VLOOKUP($B411,'Round 10'!$F$2:$H$362,3,false),1)="b","W",if(LEFT(VLOOKUP($B411,'Round 10'!$F$2:$H$362,3,false),1)="a","L",""))),"")</f>
        <v/>
      </c>
      <c r="N411" s="62" t="s">
        <v>878</v>
      </c>
    </row>
    <row r="412">
      <c r="A412" s="63">
        <v>411.0</v>
      </c>
      <c r="B412" s="64" t="s">
        <v>879</v>
      </c>
      <c r="C412" s="65" t="str">
        <f t="shared" si="1"/>
        <v>6 - 3</v>
      </c>
      <c r="D412" s="67" t="str">
        <f>iferror(if(LEFT(VLOOKUP($B412,'Round 1'!$B$2:$H$361,7,false),1)="A","W",if(LEFT(VLOOKUP($B412,'Round 1'!$B$2:$H$361,7,false),1)="B","L","")),if(LEFT(VLOOKUP($B412,'Round 1'!$F$2:$H$361,3,false),1)="b","W",if(LEFT(VLOOKUP($B412,'Round 1'!$F$2:$H$361,3,false),1)="a","L","")))</f>
        <v>W</v>
      </c>
      <c r="E412" s="67" t="str">
        <f>iferror(if(LEFT(VLOOKUP($B412,'Round 2'!$C$2:$J$361,8,false),1)="A","W",if(LEFT(VLOOKUP($B412,'Round 2'!$C$2:$J$361,8,false),1)="B","L","")),if(LEFT(VLOOKUP($B412,'Round 2'!$G$2:$J$361,4,false),1)="b","W",if(LEFT(VLOOKUP($B412,'Round 2'!$G$2:$J$361,4,false),1)="a","L","")))</f>
        <v>W</v>
      </c>
      <c r="F412" s="67" t="str">
        <f>iferror(if(LEFT(VLOOKUP($B412,'Round 3'!$B$2:$H$361,7,false),1)="A","W",if(LEFT(VLOOKUP($B412,'Round 3'!$B$2:$H$361,7,false),1)="B","L","")),if(LEFT(VLOOKUP($B412,'Round 3'!$F$2:$H$361,3,false),1)="b","W",if(LEFT(VLOOKUP($B412,'Round 3'!$F$2:$H$361,3,false),1)="a","L","")))</f>
        <v>L</v>
      </c>
      <c r="G412" s="67" t="str">
        <f>iferror(if(LEFT(VLOOKUP($B412,'Round 4'!$B$2:$H$361,7,false),1)="A","W",if(LEFT(VLOOKUP($B412,'Round 4'!$B$2:$H$361,7,false),1)="B","L","")),if(LEFT(VLOOKUP($B412,'Round 4'!$F$2:$H$361,3,false),1)="b","W",if(LEFT(VLOOKUP($B412,'Round 4'!$F$2:$H$361,3,false),1)="a","L","")))</f>
        <v>W</v>
      </c>
      <c r="H412" s="67" t="str">
        <f>iferror(if(LEFT(VLOOKUP($B412,'Round 5'!$B$2:$H$361,7,false),1)="A","W",if(LEFT(VLOOKUP($B412,'Round 5'!$B$2:$H$361,7,false),1)="B","L","")),if(LEFT(VLOOKUP($B412,'Round 5'!$F$2:$H$361,3,false),1)="b","W",if(LEFT(VLOOKUP($B412,'Round 5'!$F$2:$H$361,3,false),1)="a","L","")))</f>
        <v>W</v>
      </c>
      <c r="I412" s="67" t="str">
        <f>iferror(if(LEFT(VLOOKUP($B412,'Round 6'!$B$2:$H$361,7,false),1)="A","W",if(LEFT(VLOOKUP($B412,'Round 6'!$B$2:$H$361,7,false),1)="B","L","")),if(LEFT(VLOOKUP($B412,'Round 6'!$F$2:$H$361,3,false),1)="b","W",if(LEFT(VLOOKUP($B412,'Round 6'!$F$2:$H$361,3,false),1)="a","L","")))</f>
        <v>W</v>
      </c>
      <c r="J412" s="67" t="str">
        <f>iferror(iferror(if(LEFT(VLOOKUP($B412,'Round 7'!$B$2:$H$361,7,false),1)="A","W",if(LEFT(VLOOKUP($B412,'Round 7'!$B$2:$H$361,7,false),1)="B","L","")),if(LEFT(VLOOKUP($B412,'Round 7'!$F$2:$H$361,3,false),1)="b","W",if(LEFT(VLOOKUP($B412,'Round 7'!$F$2:$H$361,3,false),1)="a","L",""))),"")</f>
        <v>W</v>
      </c>
      <c r="K412" s="68" t="str">
        <f>iferror(iferror(if(LEFT(VLOOKUP($B412,'Round 8'!$B$2:$H$361,7,false),1)="A","W",if(LEFT(VLOOKUP($B412,'Round 8'!$B$2:$H$361,7,false),1)="B","L","")),if(LEFT(VLOOKUP($B412,'Round 8'!$F$2:$H$361,3,false),1)="b","W",if(LEFT(VLOOKUP($B412,'Round 8'!$F$2:$H$361,3,false),1)="a","L",""))),"")</f>
        <v>L</v>
      </c>
      <c r="L412" s="68" t="str">
        <f>iferror(iferror(if(LEFT(VLOOKUP($B412,'Round 9'!$B$2:$H$361,7,false),1)="A","W",if(LEFT(VLOOKUP($B412,'Round 9'!$B$2:$H$361,7,false),1)="B","L","")),if(LEFT(VLOOKUP($B412,'Round 9'!$F$2:$H$361,3,false),1)="b","W",if(LEFT(VLOOKUP($B412,'Round 9'!$F$2:$H$361,3,false),1)="a","L",""))),"")</f>
        <v>L</v>
      </c>
      <c r="M412" s="68" t="str">
        <f>iferror(iferror(if(LEFT(VLOOKUP($B412,'Round 10'!$B$2:$H$362,7,false),1)="A","W",if(LEFT(VLOOKUP($B412,'Round 10'!$B$2:$H$362,7,false),1)="B","L","")),if(LEFT(VLOOKUP($B412,'Round 10'!$F$2:$H$362,3,false),1)="b","W",if(LEFT(VLOOKUP($B412,'Round 10'!$F$2:$H$362,3,false),1)="a","L",""))),"")</f>
        <v/>
      </c>
      <c r="N412" s="62" t="s">
        <v>880</v>
      </c>
    </row>
    <row r="413">
      <c r="A413" s="63">
        <v>412.0</v>
      </c>
      <c r="B413" s="64" t="s">
        <v>881</v>
      </c>
      <c r="C413" s="65" t="str">
        <f t="shared" si="1"/>
        <v>2 - 3</v>
      </c>
      <c r="D413" s="67" t="str">
        <f>iferror(if(LEFT(VLOOKUP($B413,'Round 1'!$B$2:$H$361,7,false),1)="A","W",if(LEFT(VLOOKUP($B413,'Round 1'!$B$2:$H$361,7,false),1)="B","L","")),if(LEFT(VLOOKUP($B413,'Round 1'!$F$2:$H$361,3,false),1)="b","W",if(LEFT(VLOOKUP($B413,'Round 1'!$F$2:$H$361,3,false),1)="a","L","")))</f>
        <v>L</v>
      </c>
      <c r="E413" s="67" t="str">
        <f>iferror(if(LEFT(VLOOKUP($B413,'Round 2'!$C$2:$J$361,8,false),1)="A","W",if(LEFT(VLOOKUP($B413,'Round 2'!$C$2:$J$361,8,false),1)="B","L","")),if(LEFT(VLOOKUP($B413,'Round 2'!$G$2:$J$361,4,false),1)="b","W",if(LEFT(VLOOKUP($B413,'Round 2'!$G$2:$J$361,4,false),1)="a","L","")))</f>
        <v>L</v>
      </c>
      <c r="F413" s="67" t="str">
        <f>iferror(if(LEFT(VLOOKUP($B413,'Round 3'!$B$2:$H$361,7,false),1)="A","W",if(LEFT(VLOOKUP($B413,'Round 3'!$B$2:$H$361,7,false),1)="B","L","")),if(LEFT(VLOOKUP($B413,'Round 3'!$F$2:$H$361,3,false),1)="b","W",if(LEFT(VLOOKUP($B413,'Round 3'!$F$2:$H$361,3,false),1)="a","L","")))</f>
        <v>W</v>
      </c>
      <c r="G413" s="67" t="str">
        <f>iferror(if(LEFT(VLOOKUP($B413,'Round 4'!$B$2:$H$361,7,false),1)="A","W",if(LEFT(VLOOKUP($B413,'Round 4'!$B$2:$H$361,7,false),1)="B","L","")),if(LEFT(VLOOKUP($B413,'Round 4'!$F$2:$H$361,3,false),1)="b","W",if(LEFT(VLOOKUP($B413,'Round 4'!$F$2:$H$361,3,false),1)="a","L","")))</f>
        <v>W</v>
      </c>
      <c r="H413" s="67" t="str">
        <f>iferror(if(LEFT(VLOOKUP($B413,'Round 5'!$B$2:$H$361,7,false),1)="A","W",if(LEFT(VLOOKUP($B413,'Round 5'!$B$2:$H$361,7,false),1)="B","L","")),if(LEFT(VLOOKUP($B413,'Round 5'!$F$2:$H$361,3,false),1)="b","W",if(LEFT(VLOOKUP($B413,'Round 5'!$F$2:$H$361,3,false),1)="a","L","")))</f>
        <v>L</v>
      </c>
      <c r="I413" s="67"/>
      <c r="J413" s="67" t="str">
        <f>iferror(iferror(if(LEFT(VLOOKUP($B413,'Round 7'!$B$2:$H$361,7,false),1)="A","W",if(LEFT(VLOOKUP($B413,'Round 7'!$B$2:$H$361,7,false),1)="B","L","")),if(LEFT(VLOOKUP($B413,'Round 7'!$F$2:$H$361,3,false),1)="b","W",if(LEFT(VLOOKUP($B413,'Round 7'!$F$2:$H$361,3,false),1)="a","L",""))),"")</f>
        <v/>
      </c>
      <c r="K413" s="68" t="str">
        <f>iferror(iferror(if(LEFT(VLOOKUP($B413,'Round 8'!$B$2:$H$361,7,false),1)="A","W",if(LEFT(VLOOKUP($B413,'Round 8'!$B$2:$H$361,7,false),1)="B","L","")),if(LEFT(VLOOKUP($B413,'Round 8'!$F$2:$H$361,3,false),1)="b","W",if(LEFT(VLOOKUP($B413,'Round 8'!$F$2:$H$361,3,false),1)="a","L",""))),"")</f>
        <v/>
      </c>
      <c r="L413" s="68" t="str">
        <f>iferror(iferror(if(LEFT(VLOOKUP($B413,'Round 9'!$B$2:$H$361,7,false),1)="A","W",if(LEFT(VLOOKUP($B413,'Round 9'!$B$2:$H$361,7,false),1)="B","L","")),if(LEFT(VLOOKUP($B413,'Round 9'!$F$2:$H$361,3,false),1)="b","W",if(LEFT(VLOOKUP($B413,'Round 9'!$F$2:$H$361,3,false),1)="a","L",""))),"")</f>
        <v/>
      </c>
      <c r="M413" s="68" t="str">
        <f>iferror(iferror(if(LEFT(VLOOKUP($B413,'Round 10'!$B$2:$H$362,7,false),1)="A","W",if(LEFT(VLOOKUP($B413,'Round 10'!$B$2:$H$362,7,false),1)="B","L","")),if(LEFT(VLOOKUP($B413,'Round 10'!$F$2:$H$362,3,false),1)="b","W",if(LEFT(VLOOKUP($B413,'Round 10'!$F$2:$H$362,3,false),1)="a","L",""))),"")</f>
        <v/>
      </c>
      <c r="N413" s="62" t="s">
        <v>882</v>
      </c>
    </row>
    <row r="414">
      <c r="A414" s="63">
        <v>413.0</v>
      </c>
      <c r="B414" s="64" t="s">
        <v>883</v>
      </c>
      <c r="C414" s="65" t="str">
        <f t="shared" si="1"/>
        <v>0 - 3</v>
      </c>
      <c r="D414" s="67" t="str">
        <f>iferror(if(LEFT(VLOOKUP($B414,'Round 1'!$B$2:$H$361,7,false),1)="A","W",if(LEFT(VLOOKUP($B414,'Round 1'!$B$2:$H$361,7,false),1)="B","L","")),if(LEFT(VLOOKUP($B414,'Round 1'!$F$2:$H$361,3,false),1)="b","W",if(LEFT(VLOOKUP($B414,'Round 1'!$F$2:$H$361,3,false),1)="a","L","")))</f>
        <v>L</v>
      </c>
      <c r="E414" s="67" t="str">
        <f>iferror(if(LEFT(VLOOKUP($B414,'Round 2'!$C$2:$J$361,8,false),1)="A","W",if(LEFT(VLOOKUP($B414,'Round 2'!$C$2:$J$361,8,false),1)="B","L","")),if(LEFT(VLOOKUP($B414,'Round 2'!$G$2:$J$361,4,false),1)="b","W",if(LEFT(VLOOKUP($B414,'Round 2'!$G$2:$J$361,4,false),1)="a","L","")))</f>
        <v>L</v>
      </c>
      <c r="F414" s="67" t="str">
        <f>iferror(if(LEFT(VLOOKUP($B414,'Round 3'!$B$2:$H$361,7,false),1)="A","W",if(LEFT(VLOOKUP($B414,'Round 3'!$B$2:$H$361,7,false),1)="B","L","")),if(LEFT(VLOOKUP($B414,'Round 3'!$F$2:$H$361,3,false),1)="b","W",if(LEFT(VLOOKUP($B414,'Round 3'!$F$2:$H$361,3,false),1)="a","L","")))</f>
        <v>L</v>
      </c>
      <c r="G414" s="67"/>
      <c r="H414" s="67"/>
      <c r="I414" s="67"/>
      <c r="J414" s="67" t="str">
        <f>iferror(iferror(if(LEFT(VLOOKUP($B414,'Round 7'!$B$2:$H$361,7,false),1)="A","W",if(LEFT(VLOOKUP($B414,'Round 7'!$B$2:$H$361,7,false),1)="B","L","")),if(LEFT(VLOOKUP($B414,'Round 7'!$F$2:$H$361,3,false),1)="b","W",if(LEFT(VLOOKUP($B414,'Round 7'!$F$2:$H$361,3,false),1)="a","L",""))),"")</f>
        <v/>
      </c>
      <c r="K414" s="68" t="str">
        <f>iferror(iferror(if(LEFT(VLOOKUP($B414,'Round 8'!$B$2:$H$361,7,false),1)="A","W",if(LEFT(VLOOKUP($B414,'Round 8'!$B$2:$H$361,7,false),1)="B","L","")),if(LEFT(VLOOKUP($B414,'Round 8'!$F$2:$H$361,3,false),1)="b","W",if(LEFT(VLOOKUP($B414,'Round 8'!$F$2:$H$361,3,false),1)="a","L",""))),"")</f>
        <v/>
      </c>
      <c r="L414" s="68" t="str">
        <f>iferror(iferror(if(LEFT(VLOOKUP($B414,'Round 9'!$B$2:$H$361,7,false),1)="A","W",if(LEFT(VLOOKUP($B414,'Round 9'!$B$2:$H$361,7,false),1)="B","L","")),if(LEFT(VLOOKUP($B414,'Round 9'!$F$2:$H$361,3,false),1)="b","W",if(LEFT(VLOOKUP($B414,'Round 9'!$F$2:$H$361,3,false),1)="a","L",""))),"")</f>
        <v/>
      </c>
      <c r="M414" s="68" t="str">
        <f>iferror(iferror(if(LEFT(VLOOKUP($B414,'Round 10'!$B$2:$H$362,7,false),1)="A","W",if(LEFT(VLOOKUP($B414,'Round 10'!$B$2:$H$362,7,false),1)="B","L","")),if(LEFT(VLOOKUP($B414,'Round 10'!$F$2:$H$362,3,false),1)="b","W",if(LEFT(VLOOKUP($B414,'Round 10'!$F$2:$H$362,3,false),1)="a","L",""))),"")</f>
        <v/>
      </c>
      <c r="N414" s="62" t="s">
        <v>884</v>
      </c>
    </row>
    <row r="415">
      <c r="A415" s="63">
        <v>414.0</v>
      </c>
      <c r="B415" s="64" t="s">
        <v>885</v>
      </c>
      <c r="C415" s="65" t="str">
        <f t="shared" si="1"/>
        <v>2 - 3</v>
      </c>
      <c r="D415" s="67" t="str">
        <f>iferror(if(LEFT(VLOOKUP($B415,'Round 1'!$B$2:$H$361,7,false),1)="A","W",if(LEFT(VLOOKUP($B415,'Round 1'!$B$2:$H$361,7,false),1)="B","L","")),if(LEFT(VLOOKUP($B415,'Round 1'!$F$2:$H$361,3,false),1)="b","W",if(LEFT(VLOOKUP($B415,'Round 1'!$F$2:$H$361,3,false),1)="a","L","")))</f>
        <v>W</v>
      </c>
      <c r="E415" s="67" t="str">
        <f>iferror(if(LEFT(VLOOKUP($B415,'Round 2'!$C$2:$J$361,8,false),1)="A","W",if(LEFT(VLOOKUP($B415,'Round 2'!$C$2:$J$361,8,false),1)="B","L","")),if(LEFT(VLOOKUP($B415,'Round 2'!$G$2:$J$361,4,false),1)="b","W",if(LEFT(VLOOKUP($B415,'Round 2'!$G$2:$J$361,4,false),1)="a","L","")))</f>
        <v>L</v>
      </c>
      <c r="F415" s="67" t="str">
        <f>iferror(if(LEFT(VLOOKUP($B415,'Round 3'!$B$2:$H$361,7,false),1)="A","W",if(LEFT(VLOOKUP($B415,'Round 3'!$B$2:$H$361,7,false),1)="B","L","")),if(LEFT(VLOOKUP($B415,'Round 3'!$F$2:$H$361,3,false),1)="b","W",if(LEFT(VLOOKUP($B415,'Round 3'!$F$2:$H$361,3,false),1)="a","L","")))</f>
        <v>W</v>
      </c>
      <c r="G415" s="67" t="str">
        <f>iferror(if(LEFT(VLOOKUP($B415,'Round 4'!$B$2:$H$361,7,false),1)="A","W",if(LEFT(VLOOKUP($B415,'Round 4'!$B$2:$H$361,7,false),1)="B","L","")),if(LEFT(VLOOKUP($B415,'Round 4'!$F$2:$H$361,3,false),1)="b","W",if(LEFT(VLOOKUP($B415,'Round 4'!$F$2:$H$361,3,false),1)="a","L","")))</f>
        <v>L</v>
      </c>
      <c r="H415" s="67" t="str">
        <f>iferror(if(LEFT(VLOOKUP($B415,'Round 5'!$B$2:$H$361,7,false),1)="A","W",if(LEFT(VLOOKUP($B415,'Round 5'!$B$2:$H$361,7,false),1)="B","L","")),if(LEFT(VLOOKUP($B415,'Round 5'!$F$2:$H$361,3,false),1)="b","W",if(LEFT(VLOOKUP($B415,'Round 5'!$F$2:$H$361,3,false),1)="a","L","")))</f>
        <v>L</v>
      </c>
      <c r="I415" s="67"/>
      <c r="J415" s="67" t="str">
        <f>iferror(iferror(if(LEFT(VLOOKUP($B415,'Round 7'!$B$2:$H$361,7,false),1)="A","W",if(LEFT(VLOOKUP($B415,'Round 7'!$B$2:$H$361,7,false),1)="B","L","")),if(LEFT(VLOOKUP($B415,'Round 7'!$F$2:$H$361,3,false),1)="b","W",if(LEFT(VLOOKUP($B415,'Round 7'!$F$2:$H$361,3,false),1)="a","L",""))),"")</f>
        <v/>
      </c>
      <c r="K415" s="68" t="str">
        <f>iferror(iferror(if(LEFT(VLOOKUP($B415,'Round 8'!$B$2:$H$361,7,false),1)="A","W",if(LEFT(VLOOKUP($B415,'Round 8'!$B$2:$H$361,7,false),1)="B","L","")),if(LEFT(VLOOKUP($B415,'Round 8'!$F$2:$H$361,3,false),1)="b","W",if(LEFT(VLOOKUP($B415,'Round 8'!$F$2:$H$361,3,false),1)="a","L",""))),"")</f>
        <v/>
      </c>
      <c r="L415" s="68" t="str">
        <f>iferror(iferror(if(LEFT(VLOOKUP($B415,'Round 9'!$B$2:$H$361,7,false),1)="A","W",if(LEFT(VLOOKUP($B415,'Round 9'!$B$2:$H$361,7,false),1)="B","L","")),if(LEFT(VLOOKUP($B415,'Round 9'!$F$2:$H$361,3,false),1)="b","W",if(LEFT(VLOOKUP($B415,'Round 9'!$F$2:$H$361,3,false),1)="a","L",""))),"")</f>
        <v/>
      </c>
      <c r="M415" s="68" t="str">
        <f>iferror(iferror(if(LEFT(VLOOKUP($B415,'Round 10'!$B$2:$H$362,7,false),1)="A","W",if(LEFT(VLOOKUP($B415,'Round 10'!$B$2:$H$362,7,false),1)="B","L","")),if(LEFT(VLOOKUP($B415,'Round 10'!$F$2:$H$362,3,false),1)="b","W",if(LEFT(VLOOKUP($B415,'Round 10'!$F$2:$H$362,3,false),1)="a","L",""))),"")</f>
        <v/>
      </c>
      <c r="N415" s="62" t="s">
        <v>886</v>
      </c>
    </row>
    <row r="416">
      <c r="A416" s="63">
        <v>415.0</v>
      </c>
      <c r="B416" s="64" t="s">
        <v>887</v>
      </c>
      <c r="C416" s="65" t="str">
        <f t="shared" si="1"/>
        <v>4 - 3</v>
      </c>
      <c r="D416" s="67" t="str">
        <f>iferror(if(LEFT(VLOOKUP($B416,'Round 1'!$B$2:$H$361,7,false),1)="A","W",if(LEFT(VLOOKUP($B416,'Round 1'!$B$2:$H$361,7,false),1)="B","L","")),if(LEFT(VLOOKUP($B416,'Round 1'!$F$2:$H$361,3,false),1)="b","W",if(LEFT(VLOOKUP($B416,'Round 1'!$F$2:$H$361,3,false),1)="a","L","")))</f>
        <v>W</v>
      </c>
      <c r="E416" s="67" t="str">
        <f>iferror(if(LEFT(VLOOKUP($B416,'Round 2'!$C$2:$J$361,8,false),1)="A","W",if(LEFT(VLOOKUP($B416,'Round 2'!$C$2:$J$361,8,false),1)="B","L","")),if(LEFT(VLOOKUP($B416,'Round 2'!$G$2:$J$361,4,false),1)="b","W",if(LEFT(VLOOKUP($B416,'Round 2'!$G$2:$J$361,4,false),1)="a","L","")))</f>
        <v>L</v>
      </c>
      <c r="F416" s="67" t="str">
        <f>iferror(if(LEFT(VLOOKUP($B416,'Round 3'!$B$2:$H$361,7,false),1)="A","W",if(LEFT(VLOOKUP($B416,'Round 3'!$B$2:$H$361,7,false),1)="B","L","")),if(LEFT(VLOOKUP($B416,'Round 3'!$F$2:$H$361,3,false),1)="b","W",if(LEFT(VLOOKUP($B416,'Round 3'!$F$2:$H$361,3,false),1)="a","L","")))</f>
        <v>W</v>
      </c>
      <c r="G416" s="67" t="str">
        <f>iferror(if(LEFT(VLOOKUP($B416,'Round 4'!$B$2:$H$361,7,false),1)="A","W",if(LEFT(VLOOKUP($B416,'Round 4'!$B$2:$H$361,7,false),1)="B","L","")),if(LEFT(VLOOKUP($B416,'Round 4'!$F$2:$H$361,3,false),1)="b","W",if(LEFT(VLOOKUP($B416,'Round 4'!$F$2:$H$361,3,false),1)="a","L","")))</f>
        <v>W</v>
      </c>
      <c r="H416" s="67" t="str">
        <f>iferror(if(LEFT(VLOOKUP($B416,'Round 5'!$B$2:$H$361,7,false),1)="A","W",if(LEFT(VLOOKUP($B416,'Round 5'!$B$2:$H$361,7,false),1)="B","L","")),if(LEFT(VLOOKUP($B416,'Round 5'!$F$2:$H$361,3,false),1)="b","W",if(LEFT(VLOOKUP($B416,'Round 5'!$F$2:$H$361,3,false),1)="a","L","")))</f>
        <v>W</v>
      </c>
      <c r="I416" s="67" t="str">
        <f>iferror(if(LEFT(VLOOKUP($B416,'Round 6'!$B$2:$H$361,7,false),1)="A","W",if(LEFT(VLOOKUP($B416,'Round 6'!$B$2:$H$361,7,false),1)="B","L","")),if(LEFT(VLOOKUP($B416,'Round 6'!$F$2:$H$361,3,false),1)="b","W",if(LEFT(VLOOKUP($B416,'Round 6'!$F$2:$H$361,3,false),1)="a","L","")))</f>
        <v>L</v>
      </c>
      <c r="J416" s="67" t="str">
        <f>iferror(iferror(if(LEFT(VLOOKUP($B416,'Round 7'!$B$2:$H$361,7,false),1)="A","W",if(LEFT(VLOOKUP($B416,'Round 7'!$B$2:$H$361,7,false),1)="B","L","")),if(LEFT(VLOOKUP($B416,'Round 7'!$F$2:$H$361,3,false),1)="b","W",if(LEFT(VLOOKUP($B416,'Round 7'!$F$2:$H$361,3,false),1)="a","L",""))),"")</f>
        <v>L</v>
      </c>
      <c r="K416" s="68" t="str">
        <f>iferror(iferror(if(LEFT(VLOOKUP($B416,'Round 8'!$B$2:$H$361,7,false),1)="A","W",if(LEFT(VLOOKUP($B416,'Round 8'!$B$2:$H$361,7,false),1)="B","L","")),if(LEFT(VLOOKUP($B416,'Round 8'!$F$2:$H$361,3,false),1)="b","W",if(LEFT(VLOOKUP($B416,'Round 8'!$F$2:$H$361,3,false),1)="a","L",""))),"")</f>
        <v/>
      </c>
      <c r="L416" s="68" t="str">
        <f>iferror(iferror(if(LEFT(VLOOKUP($B416,'Round 9'!$B$2:$H$361,7,false),1)="A","W",if(LEFT(VLOOKUP($B416,'Round 9'!$B$2:$H$361,7,false),1)="B","L","")),if(LEFT(VLOOKUP($B416,'Round 9'!$F$2:$H$361,3,false),1)="b","W",if(LEFT(VLOOKUP($B416,'Round 9'!$F$2:$H$361,3,false),1)="a","L",""))),"")</f>
        <v/>
      </c>
      <c r="M416" s="68" t="str">
        <f>iferror(iferror(if(LEFT(VLOOKUP($B416,'Round 10'!$B$2:$H$362,7,false),1)="A","W",if(LEFT(VLOOKUP($B416,'Round 10'!$B$2:$H$362,7,false),1)="B","L","")),if(LEFT(VLOOKUP($B416,'Round 10'!$F$2:$H$362,3,false),1)="b","W",if(LEFT(VLOOKUP($B416,'Round 10'!$F$2:$H$362,3,false),1)="a","L",""))),"")</f>
        <v/>
      </c>
      <c r="N416" s="62" t="s">
        <v>888</v>
      </c>
    </row>
    <row r="417">
      <c r="A417" s="63">
        <v>416.0</v>
      </c>
      <c r="B417" s="64" t="s">
        <v>889</v>
      </c>
      <c r="C417" s="65" t="str">
        <f t="shared" si="1"/>
        <v>1 - 3</v>
      </c>
      <c r="D417" s="67" t="str">
        <f>iferror(if(LEFT(VLOOKUP($B417,'Round 1'!$B$2:$H$361,7,false),1)="A","W",if(LEFT(VLOOKUP($B417,'Round 1'!$B$2:$H$361,7,false),1)="B","L","")),if(LEFT(VLOOKUP($B417,'Round 1'!$F$2:$H$361,3,false),1)="b","W",if(LEFT(VLOOKUP($B417,'Round 1'!$F$2:$H$361,3,false),1)="a","L","")))</f>
        <v>W</v>
      </c>
      <c r="E417" s="67" t="str">
        <f>iferror(if(LEFT(VLOOKUP($B417,'Round 2'!$C$2:$J$361,8,false),1)="A","W",if(LEFT(VLOOKUP($B417,'Round 2'!$C$2:$J$361,8,false),1)="B","L","")),if(LEFT(VLOOKUP($B417,'Round 2'!$G$2:$J$361,4,false),1)="b","W",if(LEFT(VLOOKUP($B417,'Round 2'!$G$2:$J$361,4,false),1)="a","L","")))</f>
        <v>L</v>
      </c>
      <c r="F417" s="67" t="str">
        <f>iferror(if(LEFT(VLOOKUP($B417,'Round 3'!$B$2:$H$361,7,false),1)="A","W",if(LEFT(VLOOKUP($B417,'Round 3'!$B$2:$H$361,7,false),1)="B","L","")),if(LEFT(VLOOKUP($B417,'Round 3'!$F$2:$H$361,3,false),1)="b","W",if(LEFT(VLOOKUP($B417,'Round 3'!$F$2:$H$361,3,false),1)="a","L","")))</f>
        <v>L</v>
      </c>
      <c r="G417" s="67" t="str">
        <f>iferror(if(LEFT(VLOOKUP($B417,'Round 4'!$B$2:$H$361,7,false),1)="A","W",if(LEFT(VLOOKUP($B417,'Round 4'!$B$2:$H$361,7,false),1)="B","L","")),if(LEFT(VLOOKUP($B417,'Round 4'!$F$2:$H$361,3,false),1)="b","W",if(LEFT(VLOOKUP($B417,'Round 4'!$F$2:$H$361,3,false),1)="a","L","")))</f>
        <v>L</v>
      </c>
      <c r="H417" s="67"/>
      <c r="I417" s="67"/>
      <c r="J417" s="67" t="str">
        <f>iferror(iferror(if(LEFT(VLOOKUP($B417,'Round 7'!$B$2:$H$361,7,false),1)="A","W",if(LEFT(VLOOKUP($B417,'Round 7'!$B$2:$H$361,7,false),1)="B","L","")),if(LEFT(VLOOKUP($B417,'Round 7'!$F$2:$H$361,3,false),1)="b","W",if(LEFT(VLOOKUP($B417,'Round 7'!$F$2:$H$361,3,false),1)="a","L",""))),"")</f>
        <v/>
      </c>
      <c r="K417" s="68" t="str">
        <f>iferror(iferror(if(LEFT(VLOOKUP($B417,'Round 8'!$B$2:$H$361,7,false),1)="A","W",if(LEFT(VLOOKUP($B417,'Round 8'!$B$2:$H$361,7,false),1)="B","L","")),if(LEFT(VLOOKUP($B417,'Round 8'!$F$2:$H$361,3,false),1)="b","W",if(LEFT(VLOOKUP($B417,'Round 8'!$F$2:$H$361,3,false),1)="a","L",""))),"")</f>
        <v/>
      </c>
      <c r="L417" s="68" t="str">
        <f>iferror(iferror(if(LEFT(VLOOKUP($B417,'Round 9'!$B$2:$H$361,7,false),1)="A","W",if(LEFT(VLOOKUP($B417,'Round 9'!$B$2:$H$361,7,false),1)="B","L","")),if(LEFT(VLOOKUP($B417,'Round 9'!$F$2:$H$361,3,false),1)="b","W",if(LEFT(VLOOKUP($B417,'Round 9'!$F$2:$H$361,3,false),1)="a","L",""))),"")</f>
        <v/>
      </c>
      <c r="M417" s="68" t="str">
        <f>iferror(iferror(if(LEFT(VLOOKUP($B417,'Round 10'!$B$2:$H$362,7,false),1)="A","W",if(LEFT(VLOOKUP($B417,'Round 10'!$B$2:$H$362,7,false),1)="B","L","")),if(LEFT(VLOOKUP($B417,'Round 10'!$F$2:$H$362,3,false),1)="b","W",if(LEFT(VLOOKUP($B417,'Round 10'!$F$2:$H$362,3,false),1)="a","L",""))),"")</f>
        <v/>
      </c>
      <c r="N417" s="62" t="s">
        <v>890</v>
      </c>
    </row>
    <row r="418">
      <c r="A418" s="63">
        <v>417.0</v>
      </c>
      <c r="B418" s="64" t="s">
        <v>891</v>
      </c>
      <c r="C418" s="65" t="str">
        <f t="shared" si="1"/>
        <v>1 - 3</v>
      </c>
      <c r="D418" s="67" t="str">
        <f>iferror(if(LEFT(VLOOKUP($B418,'Round 1'!$B$2:$H$361,7,false),1)="A","W",if(LEFT(VLOOKUP($B418,'Round 1'!$B$2:$H$361,7,false),1)="B","L","")),if(LEFT(VLOOKUP($B418,'Round 1'!$F$2:$H$361,3,false),1)="b","W",if(LEFT(VLOOKUP($B418,'Round 1'!$F$2:$H$361,3,false),1)="a","L","")))</f>
        <v>L</v>
      </c>
      <c r="E418" s="67" t="str">
        <f>iferror(if(LEFT(VLOOKUP($B418,'Round 2'!$C$2:$J$361,8,false),1)="A","W",if(LEFT(VLOOKUP($B418,'Round 2'!$C$2:$J$361,8,false),1)="B","L","")),if(LEFT(VLOOKUP($B418,'Round 2'!$G$2:$J$361,4,false),1)="b","W",if(LEFT(VLOOKUP($B418,'Round 2'!$G$2:$J$361,4,false),1)="a","L","")))</f>
        <v>W</v>
      </c>
      <c r="F418" s="67" t="str">
        <f>iferror(if(LEFT(VLOOKUP($B418,'Round 3'!$B$2:$H$361,7,false),1)="A","W",if(LEFT(VLOOKUP($B418,'Round 3'!$B$2:$H$361,7,false),1)="B","L","")),if(LEFT(VLOOKUP($B418,'Round 3'!$F$2:$H$361,3,false),1)="b","W",if(LEFT(VLOOKUP($B418,'Round 3'!$F$2:$H$361,3,false),1)="a","L","")))</f>
        <v>L</v>
      </c>
      <c r="G418" s="67" t="str">
        <f>iferror(if(LEFT(VLOOKUP($B418,'Round 4'!$B$2:$H$361,7,false),1)="A","W",if(LEFT(VLOOKUP($B418,'Round 4'!$B$2:$H$361,7,false),1)="B","L","")),if(LEFT(VLOOKUP($B418,'Round 4'!$F$2:$H$361,3,false),1)="b","W",if(LEFT(VLOOKUP($B418,'Round 4'!$F$2:$H$361,3,false),1)="a","L","")))</f>
        <v>L</v>
      </c>
      <c r="H418" s="67"/>
      <c r="I418" s="67"/>
      <c r="J418" s="67" t="str">
        <f>iferror(iferror(if(LEFT(VLOOKUP($B418,'Round 7'!$B$2:$H$361,7,false),1)="A","W",if(LEFT(VLOOKUP($B418,'Round 7'!$B$2:$H$361,7,false),1)="B","L","")),if(LEFT(VLOOKUP($B418,'Round 7'!$F$2:$H$361,3,false),1)="b","W",if(LEFT(VLOOKUP($B418,'Round 7'!$F$2:$H$361,3,false),1)="a","L",""))),"")</f>
        <v/>
      </c>
      <c r="K418" s="68" t="str">
        <f>iferror(iferror(if(LEFT(VLOOKUP($B418,'Round 8'!$B$2:$H$361,7,false),1)="A","W",if(LEFT(VLOOKUP($B418,'Round 8'!$B$2:$H$361,7,false),1)="B","L","")),if(LEFT(VLOOKUP($B418,'Round 8'!$F$2:$H$361,3,false),1)="b","W",if(LEFT(VLOOKUP($B418,'Round 8'!$F$2:$H$361,3,false),1)="a","L",""))),"")</f>
        <v/>
      </c>
      <c r="L418" s="68" t="str">
        <f>iferror(iferror(if(LEFT(VLOOKUP($B418,'Round 9'!$B$2:$H$361,7,false),1)="A","W",if(LEFT(VLOOKUP($B418,'Round 9'!$B$2:$H$361,7,false),1)="B","L","")),if(LEFT(VLOOKUP($B418,'Round 9'!$F$2:$H$361,3,false),1)="b","W",if(LEFT(VLOOKUP($B418,'Round 9'!$F$2:$H$361,3,false),1)="a","L",""))),"")</f>
        <v/>
      </c>
      <c r="M418" s="68" t="str">
        <f>iferror(iferror(if(LEFT(VLOOKUP($B418,'Round 10'!$B$2:$H$362,7,false),1)="A","W",if(LEFT(VLOOKUP($B418,'Round 10'!$B$2:$H$362,7,false),1)="B","L","")),if(LEFT(VLOOKUP($B418,'Round 10'!$F$2:$H$362,3,false),1)="b","W",if(LEFT(VLOOKUP($B418,'Round 10'!$F$2:$H$362,3,false),1)="a","L",""))),"")</f>
        <v/>
      </c>
      <c r="N418" s="62" t="s">
        <v>892</v>
      </c>
    </row>
    <row r="419">
      <c r="A419" s="63">
        <v>418.0</v>
      </c>
      <c r="B419" s="64" t="s">
        <v>893</v>
      </c>
      <c r="C419" s="65" t="str">
        <f t="shared" si="1"/>
        <v>2 - 3</v>
      </c>
      <c r="D419" s="67" t="str">
        <f>iferror(if(LEFT(VLOOKUP($B419,'Round 1'!$B$2:$H$361,7,false),1)="A","W",if(LEFT(VLOOKUP($B419,'Round 1'!$B$2:$H$361,7,false),1)="B","L","")),if(LEFT(VLOOKUP($B419,'Round 1'!$F$2:$H$361,3,false),1)="b","W",if(LEFT(VLOOKUP($B419,'Round 1'!$F$2:$H$361,3,false),1)="a","L","")))</f>
        <v>W</v>
      </c>
      <c r="E419" s="67" t="str">
        <f>iferror(if(LEFT(VLOOKUP($B419,'Round 2'!$C$2:$J$361,8,false),1)="A","W",if(LEFT(VLOOKUP($B419,'Round 2'!$C$2:$J$361,8,false),1)="B","L","")),if(LEFT(VLOOKUP($B419,'Round 2'!$G$2:$J$361,4,false),1)="b","W",if(LEFT(VLOOKUP($B419,'Round 2'!$G$2:$J$361,4,false),1)="a","L","")))</f>
        <v>W</v>
      </c>
      <c r="F419" s="67" t="str">
        <f>iferror(if(LEFT(VLOOKUP($B419,'Round 3'!$B$2:$H$361,7,false),1)="A","W",if(LEFT(VLOOKUP($B419,'Round 3'!$B$2:$H$361,7,false),1)="B","L","")),if(LEFT(VLOOKUP($B419,'Round 3'!$F$2:$H$361,3,false),1)="b","W",if(LEFT(VLOOKUP($B419,'Round 3'!$F$2:$H$361,3,false),1)="a","L","")))</f>
        <v>L</v>
      </c>
      <c r="G419" s="67" t="str">
        <f>iferror(if(LEFT(VLOOKUP($B419,'Round 4'!$B$2:$H$361,7,false),1)="A","W",if(LEFT(VLOOKUP($B419,'Round 4'!$B$2:$H$361,7,false),1)="B","L","")),if(LEFT(VLOOKUP($B419,'Round 4'!$F$2:$H$361,3,false),1)="b","W",if(LEFT(VLOOKUP($B419,'Round 4'!$F$2:$H$361,3,false),1)="a","L","")))</f>
        <v>L</v>
      </c>
      <c r="H419" s="67" t="str">
        <f>iferror(if(LEFT(VLOOKUP($B419,'Round 5'!$B$2:$H$361,7,false),1)="A","W",if(LEFT(VLOOKUP($B419,'Round 5'!$B$2:$H$361,7,false),1)="B","L","")),if(LEFT(VLOOKUP($B419,'Round 5'!$F$2:$H$361,3,false),1)="b","W",if(LEFT(VLOOKUP($B419,'Round 5'!$F$2:$H$361,3,false),1)="a","L","")))</f>
        <v>L</v>
      </c>
      <c r="I419" s="67"/>
      <c r="J419" s="67" t="str">
        <f>iferror(iferror(if(LEFT(VLOOKUP($B419,'Round 7'!$B$2:$H$361,7,false),1)="A","W",if(LEFT(VLOOKUP($B419,'Round 7'!$B$2:$H$361,7,false),1)="B","L","")),if(LEFT(VLOOKUP($B419,'Round 7'!$F$2:$H$361,3,false),1)="b","W",if(LEFT(VLOOKUP($B419,'Round 7'!$F$2:$H$361,3,false),1)="a","L",""))),"")</f>
        <v/>
      </c>
      <c r="K419" s="68" t="str">
        <f>iferror(iferror(if(LEFT(VLOOKUP($B419,'Round 8'!$B$2:$H$361,7,false),1)="A","W",if(LEFT(VLOOKUP($B419,'Round 8'!$B$2:$H$361,7,false),1)="B","L","")),if(LEFT(VLOOKUP($B419,'Round 8'!$F$2:$H$361,3,false),1)="b","W",if(LEFT(VLOOKUP($B419,'Round 8'!$F$2:$H$361,3,false),1)="a","L",""))),"")</f>
        <v/>
      </c>
      <c r="L419" s="68" t="str">
        <f>iferror(iferror(if(LEFT(VLOOKUP($B419,'Round 9'!$B$2:$H$361,7,false),1)="A","W",if(LEFT(VLOOKUP($B419,'Round 9'!$B$2:$H$361,7,false),1)="B","L","")),if(LEFT(VLOOKUP($B419,'Round 9'!$F$2:$H$361,3,false),1)="b","W",if(LEFT(VLOOKUP($B419,'Round 9'!$F$2:$H$361,3,false),1)="a","L",""))),"")</f>
        <v/>
      </c>
      <c r="M419" s="68" t="str">
        <f>iferror(iferror(if(LEFT(VLOOKUP($B419,'Round 10'!$B$2:$H$362,7,false),1)="A","W",if(LEFT(VLOOKUP($B419,'Round 10'!$B$2:$H$362,7,false),1)="B","L","")),if(LEFT(VLOOKUP($B419,'Round 10'!$F$2:$H$362,3,false),1)="b","W",if(LEFT(VLOOKUP($B419,'Round 10'!$F$2:$H$362,3,false),1)="a","L",""))),"")</f>
        <v/>
      </c>
      <c r="N419" s="62" t="s">
        <v>894</v>
      </c>
    </row>
    <row r="420">
      <c r="A420" s="63">
        <v>419.0</v>
      </c>
      <c r="B420" s="64" t="s">
        <v>895</v>
      </c>
      <c r="C420" s="65" t="str">
        <f t="shared" si="1"/>
        <v>0 - 3</v>
      </c>
      <c r="D420" s="67" t="str">
        <f>iferror(if(LEFT(VLOOKUP($B420,'Round 1'!$B$2:$H$361,7,false),1)="A","W",if(LEFT(VLOOKUP($B420,'Round 1'!$B$2:$H$361,7,false),1)="B","L","")),if(LEFT(VLOOKUP($B420,'Round 1'!$F$2:$H$361,3,false),1)="b","W",if(LEFT(VLOOKUP($B420,'Round 1'!$F$2:$H$361,3,false),1)="a","L","")))</f>
        <v>L</v>
      </c>
      <c r="E420" s="67" t="str">
        <f>iferror(if(LEFT(VLOOKUP($B420,'Round 2'!$C$2:$J$361,8,false),1)="A","W",if(LEFT(VLOOKUP($B420,'Round 2'!$C$2:$J$361,8,false),1)="B","L","")),if(LEFT(VLOOKUP($B420,'Round 2'!$G$2:$J$361,4,false),1)="b","W",if(LEFT(VLOOKUP($B420,'Round 2'!$G$2:$J$361,4,false),1)="a","L","")))</f>
        <v>L</v>
      </c>
      <c r="F420" s="67" t="str">
        <f>iferror(if(LEFT(VLOOKUP($B420,'Round 3'!$B$2:$H$361,7,false),1)="A","W",if(LEFT(VLOOKUP($B420,'Round 3'!$B$2:$H$361,7,false),1)="B","L","")),if(LEFT(VLOOKUP($B420,'Round 3'!$F$2:$H$361,3,false),1)="b","W",if(LEFT(VLOOKUP($B420,'Round 3'!$F$2:$H$361,3,false),1)="a","L","")))</f>
        <v>L</v>
      </c>
      <c r="G420" s="67"/>
      <c r="H420" s="67"/>
      <c r="I420" s="67"/>
      <c r="J420" s="67" t="str">
        <f>iferror(iferror(if(LEFT(VLOOKUP($B420,'Round 7'!$B$2:$H$361,7,false),1)="A","W",if(LEFT(VLOOKUP($B420,'Round 7'!$B$2:$H$361,7,false),1)="B","L","")),if(LEFT(VLOOKUP($B420,'Round 7'!$F$2:$H$361,3,false),1)="b","W",if(LEFT(VLOOKUP($B420,'Round 7'!$F$2:$H$361,3,false),1)="a","L",""))),"")</f>
        <v/>
      </c>
      <c r="K420" s="68" t="str">
        <f>iferror(iferror(if(LEFT(VLOOKUP($B420,'Round 8'!$B$2:$H$361,7,false),1)="A","W",if(LEFT(VLOOKUP($B420,'Round 8'!$B$2:$H$361,7,false),1)="B","L","")),if(LEFT(VLOOKUP($B420,'Round 8'!$F$2:$H$361,3,false),1)="b","W",if(LEFT(VLOOKUP($B420,'Round 8'!$F$2:$H$361,3,false),1)="a","L",""))),"")</f>
        <v/>
      </c>
      <c r="L420" s="68" t="str">
        <f>iferror(iferror(if(LEFT(VLOOKUP($B420,'Round 9'!$B$2:$H$361,7,false),1)="A","W",if(LEFT(VLOOKUP($B420,'Round 9'!$B$2:$H$361,7,false),1)="B","L","")),if(LEFT(VLOOKUP($B420,'Round 9'!$F$2:$H$361,3,false),1)="b","W",if(LEFT(VLOOKUP($B420,'Round 9'!$F$2:$H$361,3,false),1)="a","L",""))),"")</f>
        <v/>
      </c>
      <c r="M420" s="68" t="str">
        <f>iferror(iferror(if(LEFT(VLOOKUP($B420,'Round 10'!$B$2:$H$362,7,false),1)="A","W",if(LEFT(VLOOKUP($B420,'Round 10'!$B$2:$H$362,7,false),1)="B","L","")),if(LEFT(VLOOKUP($B420,'Round 10'!$F$2:$H$362,3,false),1)="b","W",if(LEFT(VLOOKUP($B420,'Round 10'!$F$2:$H$362,3,false),1)="a","L",""))),"")</f>
        <v/>
      </c>
      <c r="N420" s="62" t="s">
        <v>144</v>
      </c>
    </row>
    <row r="421">
      <c r="A421" s="63">
        <v>420.0</v>
      </c>
      <c r="B421" s="64" t="s">
        <v>896</v>
      </c>
      <c r="C421" s="65" t="str">
        <f t="shared" si="1"/>
        <v>1 - 3</v>
      </c>
      <c r="D421" s="67" t="str">
        <f>iferror(if(LEFT(VLOOKUP($B421,'Round 1'!$B$2:$H$361,7,false),1)="A","W",if(LEFT(VLOOKUP($B421,'Round 1'!$B$2:$H$361,7,false),1)="B","L","")),if(LEFT(VLOOKUP($B421,'Round 1'!$F$2:$H$361,3,false),1)="b","W",if(LEFT(VLOOKUP($B421,'Round 1'!$F$2:$H$361,3,false),1)="a","L","")))</f>
        <v>L</v>
      </c>
      <c r="E421" s="67" t="str">
        <f>iferror(if(LEFT(VLOOKUP($B421,'Round 2'!$C$2:$J$361,8,false),1)="A","W",if(LEFT(VLOOKUP($B421,'Round 2'!$C$2:$J$361,8,false),1)="B","L","")),if(LEFT(VLOOKUP($B421,'Round 2'!$G$2:$J$361,4,false),1)="b","W",if(LEFT(VLOOKUP($B421,'Round 2'!$G$2:$J$361,4,false),1)="a","L","")))</f>
        <v>W</v>
      </c>
      <c r="F421" s="67" t="str">
        <f>iferror(if(LEFT(VLOOKUP($B421,'Round 3'!$B$2:$H$361,7,false),1)="A","W",if(LEFT(VLOOKUP($B421,'Round 3'!$B$2:$H$361,7,false),1)="B","L","")),if(LEFT(VLOOKUP($B421,'Round 3'!$F$2:$H$361,3,false),1)="b","W",if(LEFT(VLOOKUP($B421,'Round 3'!$F$2:$H$361,3,false),1)="a","L","")))</f>
        <v>L</v>
      </c>
      <c r="G421" s="67" t="str">
        <f>iferror(if(LEFT(VLOOKUP($B421,'Round 4'!$B$2:$H$361,7,false),1)="A","W",if(LEFT(VLOOKUP($B421,'Round 4'!$B$2:$H$361,7,false),1)="B","L","")),if(LEFT(VLOOKUP($B421,'Round 4'!$F$2:$H$361,3,false),1)="b","W",if(LEFT(VLOOKUP($B421,'Round 4'!$F$2:$H$361,3,false),1)="a","L","")))</f>
        <v>L</v>
      </c>
      <c r="H421" s="67"/>
      <c r="I421" s="67"/>
      <c r="J421" s="67" t="str">
        <f>iferror(iferror(if(LEFT(VLOOKUP($B421,'Round 7'!$B$2:$H$361,7,false),1)="A","W",if(LEFT(VLOOKUP($B421,'Round 7'!$B$2:$H$361,7,false),1)="B","L","")),if(LEFT(VLOOKUP($B421,'Round 7'!$F$2:$H$361,3,false),1)="b","W",if(LEFT(VLOOKUP($B421,'Round 7'!$F$2:$H$361,3,false),1)="a","L",""))),"")</f>
        <v/>
      </c>
      <c r="K421" s="68" t="str">
        <f>iferror(iferror(if(LEFT(VLOOKUP($B421,'Round 8'!$B$2:$H$361,7,false),1)="A","W",if(LEFT(VLOOKUP($B421,'Round 8'!$B$2:$H$361,7,false),1)="B","L","")),if(LEFT(VLOOKUP($B421,'Round 8'!$F$2:$H$361,3,false),1)="b","W",if(LEFT(VLOOKUP($B421,'Round 8'!$F$2:$H$361,3,false),1)="a","L",""))),"")</f>
        <v/>
      </c>
      <c r="L421" s="68" t="str">
        <f>iferror(iferror(if(LEFT(VLOOKUP($B421,'Round 9'!$B$2:$H$361,7,false),1)="A","W",if(LEFT(VLOOKUP($B421,'Round 9'!$B$2:$H$361,7,false),1)="B","L","")),if(LEFT(VLOOKUP($B421,'Round 9'!$F$2:$H$361,3,false),1)="b","W",if(LEFT(VLOOKUP($B421,'Round 9'!$F$2:$H$361,3,false),1)="a","L",""))),"")</f>
        <v/>
      </c>
      <c r="M421" s="68" t="str">
        <f>iferror(iferror(if(LEFT(VLOOKUP($B421,'Round 10'!$B$2:$H$362,7,false),1)="A","W",if(LEFT(VLOOKUP($B421,'Round 10'!$B$2:$H$362,7,false),1)="B","L","")),if(LEFT(VLOOKUP($B421,'Round 10'!$F$2:$H$362,3,false),1)="b","W",if(LEFT(VLOOKUP($B421,'Round 10'!$F$2:$H$362,3,false),1)="a","L",""))),"")</f>
        <v/>
      </c>
      <c r="N421" s="62" t="s">
        <v>897</v>
      </c>
    </row>
    <row r="422">
      <c r="A422" s="63">
        <v>421.0</v>
      </c>
      <c r="B422" s="64" t="s">
        <v>898</v>
      </c>
      <c r="C422" s="65" t="str">
        <f t="shared" si="1"/>
        <v>1 - 3</v>
      </c>
      <c r="D422" s="67" t="str">
        <f>iferror(if(LEFT(VLOOKUP($B422,'Round 1'!$B$2:$H$361,7,false),1)="A","W",if(LEFT(VLOOKUP($B422,'Round 1'!$B$2:$H$361,7,false),1)="B","L","")),if(LEFT(VLOOKUP($B422,'Round 1'!$F$2:$H$361,3,false),1)="b","W",if(LEFT(VLOOKUP($B422,'Round 1'!$F$2:$H$361,3,false),1)="a","L","")))</f>
        <v>L</v>
      </c>
      <c r="E422" s="67" t="str">
        <f>iferror(if(LEFT(VLOOKUP($B422,'Round 2'!$C$2:$J$361,8,false),1)="A","W",if(LEFT(VLOOKUP($B422,'Round 2'!$C$2:$J$361,8,false),1)="B","L","")),if(LEFT(VLOOKUP($B422,'Round 2'!$G$2:$J$361,4,false),1)="b","W",if(LEFT(VLOOKUP($B422,'Round 2'!$G$2:$J$361,4,false),1)="a","L","")))</f>
        <v>W</v>
      </c>
      <c r="F422" s="67" t="str">
        <f>iferror(if(LEFT(VLOOKUP($B422,'Round 3'!$B$2:$H$361,7,false),1)="A","W",if(LEFT(VLOOKUP($B422,'Round 3'!$B$2:$H$361,7,false),1)="B","L","")),if(LEFT(VLOOKUP($B422,'Round 3'!$F$2:$H$361,3,false),1)="b","W",if(LEFT(VLOOKUP($B422,'Round 3'!$F$2:$H$361,3,false),1)="a","L","")))</f>
        <v>L</v>
      </c>
      <c r="G422" s="67" t="str">
        <f>iferror(if(LEFT(VLOOKUP($B422,'Round 4'!$B$2:$H$361,7,false),1)="A","W",if(LEFT(VLOOKUP($B422,'Round 4'!$B$2:$H$361,7,false),1)="B","L","")),if(LEFT(VLOOKUP($B422,'Round 4'!$F$2:$H$361,3,false),1)="b","W",if(LEFT(VLOOKUP($B422,'Round 4'!$F$2:$H$361,3,false),1)="a","L","")))</f>
        <v>L</v>
      </c>
      <c r="H422" s="67"/>
      <c r="I422" s="67"/>
      <c r="J422" s="67" t="str">
        <f>iferror(iferror(if(LEFT(VLOOKUP($B422,'Round 7'!$B$2:$H$361,7,false),1)="A","W",if(LEFT(VLOOKUP($B422,'Round 7'!$B$2:$H$361,7,false),1)="B","L","")),if(LEFT(VLOOKUP($B422,'Round 7'!$F$2:$H$361,3,false),1)="b","W",if(LEFT(VLOOKUP($B422,'Round 7'!$F$2:$H$361,3,false),1)="a","L",""))),"")</f>
        <v/>
      </c>
      <c r="K422" s="68" t="str">
        <f>iferror(iferror(if(LEFT(VLOOKUP($B422,'Round 8'!$B$2:$H$361,7,false),1)="A","W",if(LEFT(VLOOKUP($B422,'Round 8'!$B$2:$H$361,7,false),1)="B","L","")),if(LEFT(VLOOKUP($B422,'Round 8'!$F$2:$H$361,3,false),1)="b","W",if(LEFT(VLOOKUP($B422,'Round 8'!$F$2:$H$361,3,false),1)="a","L",""))),"")</f>
        <v/>
      </c>
      <c r="L422" s="68" t="str">
        <f>iferror(iferror(if(LEFT(VLOOKUP($B422,'Round 9'!$B$2:$H$361,7,false),1)="A","W",if(LEFT(VLOOKUP($B422,'Round 9'!$B$2:$H$361,7,false),1)="B","L","")),if(LEFT(VLOOKUP($B422,'Round 9'!$F$2:$H$361,3,false),1)="b","W",if(LEFT(VLOOKUP($B422,'Round 9'!$F$2:$H$361,3,false),1)="a","L",""))),"")</f>
        <v/>
      </c>
      <c r="M422" s="68" t="str">
        <f>iferror(iferror(if(LEFT(VLOOKUP($B422,'Round 10'!$B$2:$H$362,7,false),1)="A","W",if(LEFT(VLOOKUP($B422,'Round 10'!$B$2:$H$362,7,false),1)="B","L","")),if(LEFT(VLOOKUP($B422,'Round 10'!$F$2:$H$362,3,false),1)="b","W",if(LEFT(VLOOKUP($B422,'Round 10'!$F$2:$H$362,3,false),1)="a","L",""))),"")</f>
        <v/>
      </c>
      <c r="N422" s="62" t="s">
        <v>899</v>
      </c>
    </row>
    <row r="423">
      <c r="A423" s="63">
        <v>422.0</v>
      </c>
      <c r="B423" s="64" t="s">
        <v>900</v>
      </c>
      <c r="C423" s="65" t="str">
        <f t="shared" si="1"/>
        <v>3 - 3</v>
      </c>
      <c r="D423" s="67" t="str">
        <f>iferror(if(LEFT(VLOOKUP($B423,'Round 1'!$B$2:$H$361,7,false),1)="A","W",if(LEFT(VLOOKUP($B423,'Round 1'!$B$2:$H$361,7,false),1)="B","L","")),if(LEFT(VLOOKUP($B423,'Round 1'!$F$2:$H$361,3,false),1)="b","W",if(LEFT(VLOOKUP($B423,'Round 1'!$F$2:$H$361,3,false),1)="a","L","")))</f>
        <v>W</v>
      </c>
      <c r="E423" s="67" t="str">
        <f>iferror(if(LEFT(VLOOKUP($B423,'Round 2'!$C$2:$J$361,8,false),1)="A","W",if(LEFT(VLOOKUP($B423,'Round 2'!$C$2:$J$361,8,false),1)="B","L","")),if(LEFT(VLOOKUP($B423,'Round 2'!$G$2:$J$361,4,false),1)="b","W",if(LEFT(VLOOKUP($B423,'Round 2'!$G$2:$J$361,4,false),1)="a","L","")))</f>
        <v>W</v>
      </c>
      <c r="F423" s="67" t="str">
        <f>iferror(if(LEFT(VLOOKUP($B423,'Round 3'!$B$2:$H$361,7,false),1)="A","W",if(LEFT(VLOOKUP($B423,'Round 3'!$B$2:$H$361,7,false),1)="B","L","")),if(LEFT(VLOOKUP($B423,'Round 3'!$F$2:$H$361,3,false),1)="b","W",if(LEFT(VLOOKUP($B423,'Round 3'!$F$2:$H$361,3,false),1)="a","L","")))</f>
        <v>L</v>
      </c>
      <c r="G423" s="67" t="str">
        <f>iferror(if(LEFT(VLOOKUP($B423,'Round 4'!$B$2:$H$361,7,false),1)="A","W",if(LEFT(VLOOKUP($B423,'Round 4'!$B$2:$H$361,7,false),1)="B","L","")),if(LEFT(VLOOKUP($B423,'Round 4'!$F$2:$H$361,3,false),1)="b","W",if(LEFT(VLOOKUP($B423,'Round 4'!$F$2:$H$361,3,false),1)="a","L","")))</f>
        <v>L</v>
      </c>
      <c r="H423" s="67" t="str">
        <f>iferror(if(LEFT(VLOOKUP($B423,'Round 5'!$B$2:$H$361,7,false),1)="A","W",if(LEFT(VLOOKUP($B423,'Round 5'!$B$2:$H$361,7,false),1)="B","L","")),if(LEFT(VLOOKUP($B423,'Round 5'!$F$2:$H$361,3,false),1)="b","W",if(LEFT(VLOOKUP($B423,'Round 5'!$F$2:$H$361,3,false),1)="a","L","")))</f>
        <v>W</v>
      </c>
      <c r="I423" s="67" t="str">
        <f>iferror(if(LEFT(VLOOKUP($B423,'Round 6'!$B$2:$H$361,7,false),1)="A","W",if(LEFT(VLOOKUP($B423,'Round 6'!$B$2:$H$361,7,false),1)="B","L","")),if(LEFT(VLOOKUP($B423,'Round 6'!$F$2:$H$361,3,false),1)="b","W",if(LEFT(VLOOKUP($B423,'Round 6'!$F$2:$H$361,3,false),1)="a","L","")))</f>
        <v>L</v>
      </c>
      <c r="J423" s="67" t="str">
        <f>iferror(iferror(if(LEFT(VLOOKUP($B423,'Round 7'!$B$2:$H$361,7,false),1)="A","W",if(LEFT(VLOOKUP($B423,'Round 7'!$B$2:$H$361,7,false),1)="B","L","")),if(LEFT(VLOOKUP($B423,'Round 7'!$F$2:$H$361,3,false),1)="b","W",if(LEFT(VLOOKUP($B423,'Round 7'!$F$2:$H$361,3,false),1)="a","L",""))),"")</f>
        <v/>
      </c>
      <c r="K423" s="68" t="str">
        <f>iferror(iferror(if(LEFT(VLOOKUP($B423,'Round 8'!$B$2:$H$361,7,false),1)="A","W",if(LEFT(VLOOKUP($B423,'Round 8'!$B$2:$H$361,7,false),1)="B","L","")),if(LEFT(VLOOKUP($B423,'Round 8'!$F$2:$H$361,3,false),1)="b","W",if(LEFT(VLOOKUP($B423,'Round 8'!$F$2:$H$361,3,false),1)="a","L",""))),"")</f>
        <v/>
      </c>
      <c r="L423" s="68" t="str">
        <f>iferror(iferror(if(LEFT(VLOOKUP($B423,'Round 9'!$B$2:$H$361,7,false),1)="A","W",if(LEFT(VLOOKUP($B423,'Round 9'!$B$2:$H$361,7,false),1)="B","L","")),if(LEFT(VLOOKUP($B423,'Round 9'!$F$2:$H$361,3,false),1)="b","W",if(LEFT(VLOOKUP($B423,'Round 9'!$F$2:$H$361,3,false),1)="a","L",""))),"")</f>
        <v/>
      </c>
      <c r="M423" s="68" t="str">
        <f>iferror(iferror(if(LEFT(VLOOKUP($B423,'Round 10'!$B$2:$H$362,7,false),1)="A","W",if(LEFT(VLOOKUP($B423,'Round 10'!$B$2:$H$362,7,false),1)="B","L","")),if(LEFT(VLOOKUP($B423,'Round 10'!$F$2:$H$362,3,false),1)="b","W",if(LEFT(VLOOKUP($B423,'Round 10'!$F$2:$H$362,3,false),1)="a","L",""))),"")</f>
        <v/>
      </c>
      <c r="N423" s="62" t="s">
        <v>901</v>
      </c>
    </row>
    <row r="424">
      <c r="A424" s="63">
        <v>423.0</v>
      </c>
      <c r="B424" s="64" t="s">
        <v>902</v>
      </c>
      <c r="C424" s="65" t="str">
        <f t="shared" si="1"/>
        <v>6 - 3</v>
      </c>
      <c r="D424" s="67" t="str">
        <f>iferror(if(LEFT(VLOOKUP($B424,'Round 1'!$B$2:$H$361,7,false),1)="A","W",if(LEFT(VLOOKUP($B424,'Round 1'!$B$2:$H$361,7,false),1)="B","L","")),if(LEFT(VLOOKUP($B424,'Round 1'!$F$2:$H$361,3,false),1)="b","W",if(LEFT(VLOOKUP($B424,'Round 1'!$F$2:$H$361,3,false),1)="a","L","")))</f>
        <v>W</v>
      </c>
      <c r="E424" s="67" t="str">
        <f>iferror(if(LEFT(VLOOKUP($B424,'Round 2'!$C$2:$J$361,8,false),1)="A","W",if(LEFT(VLOOKUP($B424,'Round 2'!$C$2:$J$361,8,false),1)="B","L","")),if(LEFT(VLOOKUP($B424,'Round 2'!$G$2:$J$361,4,false),1)="b","W",if(LEFT(VLOOKUP($B424,'Round 2'!$G$2:$J$361,4,false),1)="a","L","")))</f>
        <v>W</v>
      </c>
      <c r="F424" s="67" t="str">
        <f>iferror(if(LEFT(VLOOKUP($B424,'Round 3'!$B$2:$H$361,7,false),1)="A","W",if(LEFT(VLOOKUP($B424,'Round 3'!$B$2:$H$361,7,false),1)="B","L","")),if(LEFT(VLOOKUP($B424,'Round 3'!$F$2:$H$361,3,false),1)="b","W",if(LEFT(VLOOKUP($B424,'Round 3'!$F$2:$H$361,3,false),1)="a","L","")))</f>
        <v>W</v>
      </c>
      <c r="G424" s="67" t="str">
        <f>iferror(if(LEFT(VLOOKUP($B424,'Round 4'!$B$2:$H$361,7,false),1)="A","W",if(LEFT(VLOOKUP($B424,'Round 4'!$B$2:$H$361,7,false),1)="B","L","")),if(LEFT(VLOOKUP($B424,'Round 4'!$F$2:$H$361,3,false),1)="b","W",if(LEFT(VLOOKUP($B424,'Round 4'!$F$2:$H$361,3,false),1)="a","L","")))</f>
        <v>W</v>
      </c>
      <c r="H424" s="67" t="str">
        <f>iferror(if(LEFT(VLOOKUP($B424,'Round 5'!$B$2:$H$361,7,false),1)="A","W",if(LEFT(VLOOKUP($B424,'Round 5'!$B$2:$H$361,7,false),1)="B","L","")),if(LEFT(VLOOKUP($B424,'Round 5'!$F$2:$H$361,3,false),1)="b","W",if(LEFT(VLOOKUP($B424,'Round 5'!$F$2:$H$361,3,false),1)="a","L","")))</f>
        <v>L</v>
      </c>
      <c r="I424" s="67" t="str">
        <f>iferror(if(LEFT(VLOOKUP($B424,'Round 6'!$B$2:$H$361,7,false),1)="A","W",if(LEFT(VLOOKUP($B424,'Round 6'!$B$2:$H$361,7,false),1)="B","L","")),if(LEFT(VLOOKUP($B424,'Round 6'!$F$2:$H$361,3,false),1)="b","W",if(LEFT(VLOOKUP($B424,'Round 6'!$F$2:$H$361,3,false),1)="a","L","")))</f>
        <v>W</v>
      </c>
      <c r="J424" s="67" t="str">
        <f>iferror(iferror(if(LEFT(VLOOKUP($B424,'Round 7'!$B$2:$H$361,7,false),1)="A","W",if(LEFT(VLOOKUP($B424,'Round 7'!$B$2:$H$361,7,false),1)="B","L","")),if(LEFT(VLOOKUP($B424,'Round 7'!$F$2:$H$361,3,false),1)="b","W",if(LEFT(VLOOKUP($B424,'Round 7'!$F$2:$H$361,3,false),1)="a","L",""))),"")</f>
        <v>L</v>
      </c>
      <c r="K424" s="68" t="str">
        <f>iferror(iferror(if(LEFT(VLOOKUP($B424,'Round 8'!$B$2:$H$361,7,false),1)="A","W",if(LEFT(VLOOKUP($B424,'Round 8'!$B$2:$H$361,7,false),1)="B","L","")),if(LEFT(VLOOKUP($B424,'Round 8'!$F$2:$H$361,3,false),1)="b","W",if(LEFT(VLOOKUP($B424,'Round 8'!$F$2:$H$361,3,false),1)="a","L",""))),"")</f>
        <v>W</v>
      </c>
      <c r="L424" s="68" t="str">
        <f>iferror(iferror(if(LEFT(VLOOKUP($B424,'Round 9'!$B$2:$H$361,7,false),1)="A","W",if(LEFT(VLOOKUP($B424,'Round 9'!$B$2:$H$361,7,false),1)="B","L","")),if(LEFT(VLOOKUP($B424,'Round 9'!$F$2:$H$361,3,false),1)="b","W",if(LEFT(VLOOKUP($B424,'Round 9'!$F$2:$H$361,3,false),1)="a","L",""))),"")</f>
        <v>L</v>
      </c>
      <c r="M424" s="68" t="str">
        <f>iferror(iferror(if(LEFT(VLOOKUP($B424,'Round 10'!$B$2:$H$362,7,false),1)="A","W",if(LEFT(VLOOKUP($B424,'Round 10'!$B$2:$H$362,7,false),1)="B","L","")),if(LEFT(VLOOKUP($B424,'Round 10'!$F$2:$H$362,3,false),1)="b","W",if(LEFT(VLOOKUP($B424,'Round 10'!$F$2:$H$362,3,false),1)="a","L",""))),"")</f>
        <v/>
      </c>
      <c r="N424" s="62" t="s">
        <v>903</v>
      </c>
    </row>
    <row r="425">
      <c r="A425" s="63">
        <v>424.0</v>
      </c>
      <c r="B425" s="64" t="s">
        <v>904</v>
      </c>
      <c r="C425" s="65" t="str">
        <f t="shared" si="1"/>
        <v>1 - 3</v>
      </c>
      <c r="D425" s="67" t="str">
        <f>iferror(if(LEFT(VLOOKUP($B425,'Round 1'!$B$2:$H$361,7,false),1)="A","W",if(LEFT(VLOOKUP($B425,'Round 1'!$B$2:$H$361,7,false),1)="B","L","")),if(LEFT(VLOOKUP($B425,'Round 1'!$F$2:$H$361,3,false),1)="b","W",if(LEFT(VLOOKUP($B425,'Round 1'!$F$2:$H$361,3,false),1)="a","L","")))</f>
        <v>L</v>
      </c>
      <c r="E425" s="67" t="str">
        <f>iferror(if(LEFT(VLOOKUP($B425,'Round 2'!$C$2:$J$361,8,false),1)="A","W",if(LEFT(VLOOKUP($B425,'Round 2'!$C$2:$J$361,8,false),1)="B","L","")),if(LEFT(VLOOKUP($B425,'Round 2'!$G$2:$J$361,4,false),1)="b","W",if(LEFT(VLOOKUP($B425,'Round 2'!$G$2:$J$361,4,false),1)="a","L","")))</f>
        <v>W</v>
      </c>
      <c r="F425" s="67" t="str">
        <f>iferror(if(LEFT(VLOOKUP($B425,'Round 3'!$B$2:$H$361,7,false),1)="A","W",if(LEFT(VLOOKUP($B425,'Round 3'!$B$2:$H$361,7,false),1)="B","L","")),if(LEFT(VLOOKUP($B425,'Round 3'!$F$2:$H$361,3,false),1)="b","W",if(LEFT(VLOOKUP($B425,'Round 3'!$F$2:$H$361,3,false),1)="a","L","")))</f>
        <v>L</v>
      </c>
      <c r="G425" s="67" t="str">
        <f>iferror(if(LEFT(VLOOKUP($B425,'Round 4'!$B$2:$H$361,7,false),1)="A","W",if(LEFT(VLOOKUP($B425,'Round 4'!$B$2:$H$361,7,false),1)="B","L","")),if(LEFT(VLOOKUP($B425,'Round 4'!$F$2:$H$361,3,false),1)="b","W",if(LEFT(VLOOKUP($B425,'Round 4'!$F$2:$H$361,3,false),1)="a","L","")))</f>
        <v>L</v>
      </c>
      <c r="H425" s="67"/>
      <c r="I425" s="67"/>
      <c r="J425" s="67" t="str">
        <f>iferror(iferror(if(LEFT(VLOOKUP($B425,'Round 7'!$B$2:$H$361,7,false),1)="A","W",if(LEFT(VLOOKUP($B425,'Round 7'!$B$2:$H$361,7,false),1)="B","L","")),if(LEFT(VLOOKUP($B425,'Round 7'!$F$2:$H$361,3,false),1)="b","W",if(LEFT(VLOOKUP($B425,'Round 7'!$F$2:$H$361,3,false),1)="a","L",""))),"")</f>
        <v/>
      </c>
      <c r="K425" s="68" t="str">
        <f>iferror(iferror(if(LEFT(VLOOKUP($B425,'Round 8'!$B$2:$H$361,7,false),1)="A","W",if(LEFT(VLOOKUP($B425,'Round 8'!$B$2:$H$361,7,false),1)="B","L","")),if(LEFT(VLOOKUP($B425,'Round 8'!$F$2:$H$361,3,false),1)="b","W",if(LEFT(VLOOKUP($B425,'Round 8'!$F$2:$H$361,3,false),1)="a","L",""))),"")</f>
        <v/>
      </c>
      <c r="L425" s="68" t="str">
        <f>iferror(iferror(if(LEFT(VLOOKUP($B425,'Round 9'!$B$2:$H$361,7,false),1)="A","W",if(LEFT(VLOOKUP($B425,'Round 9'!$B$2:$H$361,7,false),1)="B","L","")),if(LEFT(VLOOKUP($B425,'Round 9'!$F$2:$H$361,3,false),1)="b","W",if(LEFT(VLOOKUP($B425,'Round 9'!$F$2:$H$361,3,false),1)="a","L",""))),"")</f>
        <v/>
      </c>
      <c r="M425" s="68" t="str">
        <f>iferror(iferror(if(LEFT(VLOOKUP($B425,'Round 10'!$B$2:$H$362,7,false),1)="A","W",if(LEFT(VLOOKUP($B425,'Round 10'!$B$2:$H$362,7,false),1)="B","L","")),if(LEFT(VLOOKUP($B425,'Round 10'!$F$2:$H$362,3,false),1)="b","W",if(LEFT(VLOOKUP($B425,'Round 10'!$F$2:$H$362,3,false),1)="a","L",""))),"")</f>
        <v/>
      </c>
      <c r="N425" s="62" t="s">
        <v>905</v>
      </c>
    </row>
    <row r="426">
      <c r="A426" s="63">
        <v>425.0</v>
      </c>
      <c r="B426" s="64" t="s">
        <v>906</v>
      </c>
      <c r="C426" s="65" t="str">
        <f t="shared" si="1"/>
        <v>0 - 3</v>
      </c>
      <c r="D426" s="67" t="str">
        <f>iferror(if(LEFT(VLOOKUP($B426,'Round 1'!$B$2:$H$361,7,false),1)="A","W",if(LEFT(VLOOKUP($B426,'Round 1'!$B$2:$H$361,7,false),1)="B","L","")),if(LEFT(VLOOKUP($B426,'Round 1'!$F$2:$H$361,3,false),1)="b","W",if(LEFT(VLOOKUP($B426,'Round 1'!$F$2:$H$361,3,false),1)="a","L","")))</f>
        <v>L</v>
      </c>
      <c r="E426" s="67" t="str">
        <f>iferror(if(LEFT(VLOOKUP($B426,'Round 2'!$C$2:$J$361,8,false),1)="A","W",if(LEFT(VLOOKUP($B426,'Round 2'!$C$2:$J$361,8,false),1)="B","L","")),if(LEFT(VLOOKUP($B426,'Round 2'!$G$2:$J$361,4,false),1)="b","W",if(LEFT(VLOOKUP($B426,'Round 2'!$G$2:$J$361,4,false),1)="a","L","")))</f>
        <v>L</v>
      </c>
      <c r="F426" s="67" t="str">
        <f>iferror(if(LEFT(VLOOKUP($B426,'Round 3'!$B$2:$H$361,7,false),1)="A","W",if(LEFT(VLOOKUP($B426,'Round 3'!$B$2:$H$361,7,false),1)="B","L","")),if(LEFT(VLOOKUP($B426,'Round 3'!$F$2:$H$361,3,false),1)="b","W",if(LEFT(VLOOKUP($B426,'Round 3'!$F$2:$H$361,3,false),1)="a","L","")))</f>
        <v>L</v>
      </c>
      <c r="G426" s="67"/>
      <c r="H426" s="67"/>
      <c r="I426" s="67"/>
      <c r="J426" s="67" t="str">
        <f>iferror(iferror(if(LEFT(VLOOKUP($B426,'Round 7'!$B$2:$H$361,7,false),1)="A","W",if(LEFT(VLOOKUP($B426,'Round 7'!$B$2:$H$361,7,false),1)="B","L","")),if(LEFT(VLOOKUP($B426,'Round 7'!$F$2:$H$361,3,false),1)="b","W",if(LEFT(VLOOKUP($B426,'Round 7'!$F$2:$H$361,3,false),1)="a","L",""))),"")</f>
        <v/>
      </c>
      <c r="K426" s="68" t="str">
        <f>iferror(iferror(if(LEFT(VLOOKUP($B426,'Round 8'!$B$2:$H$361,7,false),1)="A","W",if(LEFT(VLOOKUP($B426,'Round 8'!$B$2:$H$361,7,false),1)="B","L","")),if(LEFT(VLOOKUP($B426,'Round 8'!$F$2:$H$361,3,false),1)="b","W",if(LEFT(VLOOKUP($B426,'Round 8'!$F$2:$H$361,3,false),1)="a","L",""))),"")</f>
        <v/>
      </c>
      <c r="L426" s="68" t="str">
        <f>iferror(iferror(if(LEFT(VLOOKUP($B426,'Round 9'!$B$2:$H$361,7,false),1)="A","W",if(LEFT(VLOOKUP($B426,'Round 9'!$B$2:$H$361,7,false),1)="B","L","")),if(LEFT(VLOOKUP($B426,'Round 9'!$F$2:$H$361,3,false),1)="b","W",if(LEFT(VLOOKUP($B426,'Round 9'!$F$2:$H$361,3,false),1)="a","L",""))),"")</f>
        <v/>
      </c>
      <c r="M426" s="68" t="str">
        <f>iferror(iferror(if(LEFT(VLOOKUP($B426,'Round 10'!$B$2:$H$362,7,false),1)="A","W",if(LEFT(VLOOKUP($B426,'Round 10'!$B$2:$H$362,7,false),1)="B","L","")),if(LEFT(VLOOKUP($B426,'Round 10'!$F$2:$H$362,3,false),1)="b","W",if(LEFT(VLOOKUP($B426,'Round 10'!$F$2:$H$362,3,false),1)="a","L",""))),"")</f>
        <v/>
      </c>
      <c r="N426" s="62" t="s">
        <v>907</v>
      </c>
    </row>
    <row r="427">
      <c r="A427" s="63">
        <v>426.0</v>
      </c>
      <c r="B427" s="64" t="s">
        <v>908</v>
      </c>
      <c r="C427" s="65" t="str">
        <f t="shared" si="1"/>
        <v>1 - 3</v>
      </c>
      <c r="D427" s="67" t="str">
        <f>iferror(if(LEFT(VLOOKUP($B427,'Round 1'!$B$2:$H$361,7,false),1)="A","W",if(LEFT(VLOOKUP($B427,'Round 1'!$B$2:$H$361,7,false),1)="B","L","")),if(LEFT(VLOOKUP($B427,'Round 1'!$F$2:$H$361,3,false),1)="b","W",if(LEFT(VLOOKUP($B427,'Round 1'!$F$2:$H$361,3,false),1)="a","L","")))</f>
        <v>W</v>
      </c>
      <c r="E427" s="67" t="str">
        <f>iferror(if(LEFT(VLOOKUP($B427,'Round 2'!$C$2:$J$361,8,false),1)="A","W",if(LEFT(VLOOKUP($B427,'Round 2'!$C$2:$J$361,8,false),1)="B","L","")),if(LEFT(VLOOKUP($B427,'Round 2'!$G$2:$J$361,4,false),1)="b","W",if(LEFT(VLOOKUP($B427,'Round 2'!$G$2:$J$361,4,false),1)="a","L","")))</f>
        <v>L</v>
      </c>
      <c r="F427" s="67" t="str">
        <f>iferror(if(LEFT(VLOOKUP($B427,'Round 3'!$B$2:$H$361,7,false),1)="A","W",if(LEFT(VLOOKUP($B427,'Round 3'!$B$2:$H$361,7,false),1)="B","L","")),if(LEFT(VLOOKUP($B427,'Round 3'!$F$2:$H$361,3,false),1)="b","W",if(LEFT(VLOOKUP($B427,'Round 3'!$F$2:$H$361,3,false),1)="a","L","")))</f>
        <v>L</v>
      </c>
      <c r="G427" s="67" t="str">
        <f>iferror(if(LEFT(VLOOKUP($B427,'Round 4'!$B$2:$H$361,7,false),1)="A","W",if(LEFT(VLOOKUP($B427,'Round 4'!$B$2:$H$361,7,false),1)="B","L","")),if(LEFT(VLOOKUP($B427,'Round 4'!$F$2:$H$361,3,false),1)="b","W",if(LEFT(VLOOKUP($B427,'Round 4'!$F$2:$H$361,3,false),1)="a","L","")))</f>
        <v>L</v>
      </c>
      <c r="H427" s="67"/>
      <c r="I427" s="67"/>
      <c r="J427" s="67" t="str">
        <f>iferror(iferror(if(LEFT(VLOOKUP($B427,'Round 7'!$B$2:$H$361,7,false),1)="A","W",if(LEFT(VLOOKUP($B427,'Round 7'!$B$2:$H$361,7,false),1)="B","L","")),if(LEFT(VLOOKUP($B427,'Round 7'!$F$2:$H$361,3,false),1)="b","W",if(LEFT(VLOOKUP($B427,'Round 7'!$F$2:$H$361,3,false),1)="a","L",""))),"")</f>
        <v/>
      </c>
      <c r="K427" s="68" t="str">
        <f>iferror(iferror(if(LEFT(VLOOKUP($B427,'Round 8'!$B$2:$H$361,7,false),1)="A","W",if(LEFT(VLOOKUP($B427,'Round 8'!$B$2:$H$361,7,false),1)="B","L","")),if(LEFT(VLOOKUP($B427,'Round 8'!$F$2:$H$361,3,false),1)="b","W",if(LEFT(VLOOKUP($B427,'Round 8'!$F$2:$H$361,3,false),1)="a","L",""))),"")</f>
        <v/>
      </c>
      <c r="L427" s="68" t="str">
        <f>iferror(iferror(if(LEFT(VLOOKUP($B427,'Round 9'!$B$2:$H$361,7,false),1)="A","W",if(LEFT(VLOOKUP($B427,'Round 9'!$B$2:$H$361,7,false),1)="B","L","")),if(LEFT(VLOOKUP($B427,'Round 9'!$F$2:$H$361,3,false),1)="b","W",if(LEFT(VLOOKUP($B427,'Round 9'!$F$2:$H$361,3,false),1)="a","L",""))),"")</f>
        <v/>
      </c>
      <c r="M427" s="68" t="str">
        <f>iferror(iferror(if(LEFT(VLOOKUP($B427,'Round 10'!$B$2:$H$362,7,false),1)="A","W",if(LEFT(VLOOKUP($B427,'Round 10'!$B$2:$H$362,7,false),1)="B","L","")),if(LEFT(VLOOKUP($B427,'Round 10'!$F$2:$H$362,3,false),1)="b","W",if(LEFT(VLOOKUP($B427,'Round 10'!$F$2:$H$362,3,false),1)="a","L",""))),"")</f>
        <v/>
      </c>
      <c r="N427" s="62" t="s">
        <v>909</v>
      </c>
    </row>
    <row r="428">
      <c r="A428" s="63">
        <v>427.0</v>
      </c>
      <c r="B428" s="64" t="s">
        <v>910</v>
      </c>
      <c r="C428" s="65" t="str">
        <f t="shared" si="1"/>
        <v>3 - 3</v>
      </c>
      <c r="D428" s="67" t="str">
        <f>iferror(if(LEFT(VLOOKUP($B428,'Round 1'!$B$2:$H$361,7,false),1)="A","W",if(LEFT(VLOOKUP($B428,'Round 1'!$B$2:$H$361,7,false),1)="B","L","")),if(LEFT(VLOOKUP($B428,'Round 1'!$F$2:$H$361,3,false),1)="b","W",if(LEFT(VLOOKUP($B428,'Round 1'!$F$2:$H$361,3,false),1)="a","L","")))</f>
        <v>L</v>
      </c>
      <c r="E428" s="67" t="str">
        <f>iferror(if(LEFT(VLOOKUP($B428,'Round 2'!$C$2:$J$361,8,false),1)="A","W",if(LEFT(VLOOKUP($B428,'Round 2'!$C$2:$J$361,8,false),1)="B","L","")),if(LEFT(VLOOKUP($B428,'Round 2'!$G$2:$J$361,4,false),1)="b","W",if(LEFT(VLOOKUP($B428,'Round 2'!$G$2:$J$361,4,false),1)="a","L","")))</f>
        <v>W</v>
      </c>
      <c r="F428" s="67" t="str">
        <f>iferror(if(LEFT(VLOOKUP($B428,'Round 3'!$B$2:$H$361,7,false),1)="A","W",if(LEFT(VLOOKUP($B428,'Round 3'!$B$2:$H$361,7,false),1)="B","L","")),if(LEFT(VLOOKUP($B428,'Round 3'!$F$2:$H$361,3,false),1)="b","W",if(LEFT(VLOOKUP($B428,'Round 3'!$F$2:$H$361,3,false),1)="a","L","")))</f>
        <v>W</v>
      </c>
      <c r="G428" s="67" t="str">
        <f>iferror(if(LEFT(VLOOKUP($B428,'Round 4'!$B$2:$H$361,7,false),1)="A","W",if(LEFT(VLOOKUP($B428,'Round 4'!$B$2:$H$361,7,false),1)="B","L","")),if(LEFT(VLOOKUP($B428,'Round 4'!$F$2:$H$361,3,false),1)="b","W",if(LEFT(VLOOKUP($B428,'Round 4'!$F$2:$H$361,3,false),1)="a","L","")))</f>
        <v>L</v>
      </c>
      <c r="H428" s="67" t="str">
        <f>iferror(if(LEFT(VLOOKUP($B428,'Round 5'!$B$2:$H$361,7,false),1)="A","W",if(LEFT(VLOOKUP($B428,'Round 5'!$B$2:$H$361,7,false),1)="B","L","")),if(LEFT(VLOOKUP($B428,'Round 5'!$F$2:$H$361,3,false),1)="b","W",if(LEFT(VLOOKUP($B428,'Round 5'!$F$2:$H$361,3,false),1)="a","L","")))</f>
        <v>W</v>
      </c>
      <c r="I428" s="67" t="str">
        <f>iferror(if(LEFT(VLOOKUP($B428,'Round 6'!$B$2:$H$361,7,false),1)="A","W",if(LEFT(VLOOKUP($B428,'Round 6'!$B$2:$H$361,7,false),1)="B","L","")),if(LEFT(VLOOKUP($B428,'Round 6'!$F$2:$H$361,3,false),1)="b","W",if(LEFT(VLOOKUP($B428,'Round 6'!$F$2:$H$361,3,false),1)="a","L","")))</f>
        <v>L</v>
      </c>
      <c r="J428" s="67" t="str">
        <f>iferror(iferror(if(LEFT(VLOOKUP($B428,'Round 7'!$B$2:$H$361,7,false),1)="A","W",if(LEFT(VLOOKUP($B428,'Round 7'!$B$2:$H$361,7,false),1)="B","L","")),if(LEFT(VLOOKUP($B428,'Round 7'!$F$2:$H$361,3,false),1)="b","W",if(LEFT(VLOOKUP($B428,'Round 7'!$F$2:$H$361,3,false),1)="a","L",""))),"")</f>
        <v/>
      </c>
      <c r="K428" s="68" t="str">
        <f>iferror(iferror(if(LEFT(VLOOKUP($B428,'Round 8'!$B$2:$H$361,7,false),1)="A","W",if(LEFT(VLOOKUP($B428,'Round 8'!$B$2:$H$361,7,false),1)="B","L","")),if(LEFT(VLOOKUP($B428,'Round 8'!$F$2:$H$361,3,false),1)="b","W",if(LEFT(VLOOKUP($B428,'Round 8'!$F$2:$H$361,3,false),1)="a","L",""))),"")</f>
        <v/>
      </c>
      <c r="L428" s="68" t="str">
        <f>iferror(iferror(if(LEFT(VLOOKUP($B428,'Round 9'!$B$2:$H$361,7,false),1)="A","W",if(LEFT(VLOOKUP($B428,'Round 9'!$B$2:$H$361,7,false),1)="B","L","")),if(LEFT(VLOOKUP($B428,'Round 9'!$F$2:$H$361,3,false),1)="b","W",if(LEFT(VLOOKUP($B428,'Round 9'!$F$2:$H$361,3,false),1)="a","L",""))),"")</f>
        <v/>
      </c>
      <c r="M428" s="68" t="str">
        <f>iferror(iferror(if(LEFT(VLOOKUP($B428,'Round 10'!$B$2:$H$362,7,false),1)="A","W",if(LEFT(VLOOKUP($B428,'Round 10'!$B$2:$H$362,7,false),1)="B","L","")),if(LEFT(VLOOKUP($B428,'Round 10'!$F$2:$H$362,3,false),1)="b","W",if(LEFT(VLOOKUP($B428,'Round 10'!$F$2:$H$362,3,false),1)="a","L",""))),"")</f>
        <v/>
      </c>
      <c r="N428" s="62" t="s">
        <v>911</v>
      </c>
    </row>
    <row r="429">
      <c r="A429" s="63">
        <v>428.0</v>
      </c>
      <c r="B429" s="64" t="s">
        <v>912</v>
      </c>
      <c r="C429" s="65" t="str">
        <f t="shared" si="1"/>
        <v>3 - 3</v>
      </c>
      <c r="D429" s="67" t="str">
        <f>iferror(if(LEFT(VLOOKUP($B429,'Round 1'!$B$2:$H$361,7,false),1)="A","W",if(LEFT(VLOOKUP($B429,'Round 1'!$B$2:$H$361,7,false),1)="B","L","")),if(LEFT(VLOOKUP($B429,'Round 1'!$F$2:$H$361,3,false),1)="b","W",if(LEFT(VLOOKUP($B429,'Round 1'!$F$2:$H$361,3,false),1)="a","L","")))</f>
        <v>L</v>
      </c>
      <c r="E429" s="67" t="str">
        <f>iferror(if(LEFT(VLOOKUP($B429,'Round 2'!$C$2:$J$361,8,false),1)="A","W",if(LEFT(VLOOKUP($B429,'Round 2'!$C$2:$J$361,8,false),1)="B","L","")),if(LEFT(VLOOKUP($B429,'Round 2'!$G$2:$J$361,4,false),1)="b","W",if(LEFT(VLOOKUP($B429,'Round 2'!$G$2:$J$361,4,false),1)="a","L","")))</f>
        <v>W</v>
      </c>
      <c r="F429" s="67" t="str">
        <f>iferror(if(LEFT(VLOOKUP($B429,'Round 3'!$B$2:$H$361,7,false),1)="A","W",if(LEFT(VLOOKUP($B429,'Round 3'!$B$2:$H$361,7,false),1)="B","L","")),if(LEFT(VLOOKUP($B429,'Round 3'!$F$2:$H$361,3,false),1)="b","W",if(LEFT(VLOOKUP($B429,'Round 3'!$F$2:$H$361,3,false),1)="a","L","")))</f>
        <v>W</v>
      </c>
      <c r="G429" s="67" t="str">
        <f>iferror(if(LEFT(VLOOKUP($B429,'Round 4'!$B$2:$H$361,7,false),1)="A","W",if(LEFT(VLOOKUP($B429,'Round 4'!$B$2:$H$361,7,false),1)="B","L","")),if(LEFT(VLOOKUP($B429,'Round 4'!$F$2:$H$361,3,false),1)="b","W",if(LEFT(VLOOKUP($B429,'Round 4'!$F$2:$H$361,3,false),1)="a","L","")))</f>
        <v>W</v>
      </c>
      <c r="H429" s="67" t="str">
        <f>iferror(if(LEFT(VLOOKUP($B429,'Round 5'!$B$2:$H$361,7,false),1)="A","W",if(LEFT(VLOOKUP($B429,'Round 5'!$B$2:$H$361,7,false),1)="B","L","")),if(LEFT(VLOOKUP($B429,'Round 5'!$F$2:$H$361,3,false),1)="b","W",if(LEFT(VLOOKUP($B429,'Round 5'!$F$2:$H$361,3,false),1)="a","L","")))</f>
        <v>L</v>
      </c>
      <c r="I429" s="67" t="str">
        <f>iferror(if(LEFT(VLOOKUP($B429,'Round 6'!$B$2:$H$361,7,false),1)="A","W",if(LEFT(VLOOKUP($B429,'Round 6'!$B$2:$H$361,7,false),1)="B","L","")),if(LEFT(VLOOKUP($B429,'Round 6'!$F$2:$H$361,3,false),1)="b","W",if(LEFT(VLOOKUP($B429,'Round 6'!$F$2:$H$361,3,false),1)="a","L","")))</f>
        <v>L</v>
      </c>
      <c r="J429" s="67" t="str">
        <f>iferror(iferror(if(LEFT(VLOOKUP($B429,'Round 7'!$B$2:$H$361,7,false),1)="A","W",if(LEFT(VLOOKUP($B429,'Round 7'!$B$2:$H$361,7,false),1)="B","L","")),if(LEFT(VLOOKUP($B429,'Round 7'!$F$2:$H$361,3,false),1)="b","W",if(LEFT(VLOOKUP($B429,'Round 7'!$F$2:$H$361,3,false),1)="a","L",""))),"")</f>
        <v/>
      </c>
      <c r="K429" s="68" t="str">
        <f>iferror(iferror(if(LEFT(VLOOKUP($B429,'Round 8'!$B$2:$H$361,7,false),1)="A","W",if(LEFT(VLOOKUP($B429,'Round 8'!$B$2:$H$361,7,false),1)="B","L","")),if(LEFT(VLOOKUP($B429,'Round 8'!$F$2:$H$361,3,false),1)="b","W",if(LEFT(VLOOKUP($B429,'Round 8'!$F$2:$H$361,3,false),1)="a","L",""))),"")</f>
        <v/>
      </c>
      <c r="L429" s="68" t="str">
        <f>iferror(iferror(if(LEFT(VLOOKUP($B429,'Round 9'!$B$2:$H$361,7,false),1)="A","W",if(LEFT(VLOOKUP($B429,'Round 9'!$B$2:$H$361,7,false),1)="B","L","")),if(LEFT(VLOOKUP($B429,'Round 9'!$F$2:$H$361,3,false),1)="b","W",if(LEFT(VLOOKUP($B429,'Round 9'!$F$2:$H$361,3,false),1)="a","L",""))),"")</f>
        <v/>
      </c>
      <c r="M429" s="68" t="str">
        <f>iferror(iferror(if(LEFT(VLOOKUP($B429,'Round 10'!$B$2:$H$362,7,false),1)="A","W",if(LEFT(VLOOKUP($B429,'Round 10'!$B$2:$H$362,7,false),1)="B","L","")),if(LEFT(VLOOKUP($B429,'Round 10'!$F$2:$H$362,3,false),1)="b","W",if(LEFT(VLOOKUP($B429,'Round 10'!$F$2:$H$362,3,false),1)="a","L",""))),"")</f>
        <v/>
      </c>
      <c r="N429" s="62" t="s">
        <v>913</v>
      </c>
    </row>
    <row r="430">
      <c r="A430" s="63">
        <v>429.0</v>
      </c>
      <c r="B430" s="64" t="s">
        <v>914</v>
      </c>
      <c r="C430" s="65" t="str">
        <f t="shared" si="1"/>
        <v>3 - 3</v>
      </c>
      <c r="D430" s="67" t="str">
        <f>iferror(if(LEFT(VLOOKUP($B430,'Round 1'!$B$2:$H$361,7,false),1)="A","W",if(LEFT(VLOOKUP($B430,'Round 1'!$B$2:$H$361,7,false),1)="B","L","")),if(LEFT(VLOOKUP($B430,'Round 1'!$F$2:$H$361,3,false),1)="b","W",if(LEFT(VLOOKUP($B430,'Round 1'!$F$2:$H$361,3,false),1)="a","L","")))</f>
        <v>W</v>
      </c>
      <c r="E430" s="67" t="str">
        <f>iferror(if(LEFT(VLOOKUP($B430,'Round 2'!$C$2:$J$361,8,false),1)="A","W",if(LEFT(VLOOKUP($B430,'Round 2'!$C$2:$J$361,8,false),1)="B","L","")),if(LEFT(VLOOKUP($B430,'Round 2'!$G$2:$J$361,4,false),1)="b","W",if(LEFT(VLOOKUP($B430,'Round 2'!$G$2:$J$361,4,false),1)="a","L","")))</f>
        <v>L</v>
      </c>
      <c r="F430" s="67" t="str">
        <f>iferror(if(LEFT(VLOOKUP($B430,'Round 3'!$B$2:$H$361,7,false),1)="A","W",if(LEFT(VLOOKUP($B430,'Round 3'!$B$2:$H$361,7,false),1)="B","L","")),if(LEFT(VLOOKUP($B430,'Round 3'!$F$2:$H$361,3,false),1)="b","W",if(LEFT(VLOOKUP($B430,'Round 3'!$F$2:$H$361,3,false),1)="a","L","")))</f>
        <v>L</v>
      </c>
      <c r="G430" s="67" t="str">
        <f>iferror(if(LEFT(VLOOKUP($B430,'Round 4'!$B$2:$H$361,7,false),1)="A","W",if(LEFT(VLOOKUP($B430,'Round 4'!$B$2:$H$361,7,false),1)="B","L","")),if(LEFT(VLOOKUP($B430,'Round 4'!$F$2:$H$361,3,false),1)="b","W",if(LEFT(VLOOKUP($B430,'Round 4'!$F$2:$H$361,3,false),1)="a","L","")))</f>
        <v>W</v>
      </c>
      <c r="H430" s="67" t="str">
        <f>iferror(if(LEFT(VLOOKUP($B430,'Round 5'!$B$2:$H$361,7,false),1)="A","W",if(LEFT(VLOOKUP($B430,'Round 5'!$B$2:$H$361,7,false),1)="B","L","")),if(LEFT(VLOOKUP($B430,'Round 5'!$F$2:$H$361,3,false),1)="b","W",if(LEFT(VLOOKUP($B430,'Round 5'!$F$2:$H$361,3,false),1)="a","L","")))</f>
        <v>W</v>
      </c>
      <c r="I430" s="67" t="str">
        <f>iferror(if(LEFT(VLOOKUP($B430,'Round 6'!$B$2:$H$361,7,false),1)="A","W",if(LEFT(VLOOKUP($B430,'Round 6'!$B$2:$H$361,7,false),1)="B","L","")),if(LEFT(VLOOKUP($B430,'Round 6'!$F$2:$H$361,3,false),1)="b","W",if(LEFT(VLOOKUP($B430,'Round 6'!$F$2:$H$361,3,false),1)="a","L","")))</f>
        <v>L</v>
      </c>
      <c r="J430" s="67" t="str">
        <f>iferror(iferror(if(LEFT(VLOOKUP($B430,'Round 7'!$B$2:$H$361,7,false),1)="A","W",if(LEFT(VLOOKUP($B430,'Round 7'!$B$2:$H$361,7,false),1)="B","L","")),if(LEFT(VLOOKUP($B430,'Round 7'!$F$2:$H$361,3,false),1)="b","W",if(LEFT(VLOOKUP($B430,'Round 7'!$F$2:$H$361,3,false),1)="a","L",""))),"")</f>
        <v/>
      </c>
      <c r="K430" s="68" t="str">
        <f>iferror(iferror(if(LEFT(VLOOKUP($B430,'Round 8'!$B$2:$H$361,7,false),1)="A","W",if(LEFT(VLOOKUP($B430,'Round 8'!$B$2:$H$361,7,false),1)="B","L","")),if(LEFT(VLOOKUP($B430,'Round 8'!$F$2:$H$361,3,false),1)="b","W",if(LEFT(VLOOKUP($B430,'Round 8'!$F$2:$H$361,3,false),1)="a","L",""))),"")</f>
        <v/>
      </c>
      <c r="L430" s="68" t="str">
        <f>iferror(iferror(if(LEFT(VLOOKUP($B430,'Round 9'!$B$2:$H$361,7,false),1)="A","W",if(LEFT(VLOOKUP($B430,'Round 9'!$B$2:$H$361,7,false),1)="B","L","")),if(LEFT(VLOOKUP($B430,'Round 9'!$F$2:$H$361,3,false),1)="b","W",if(LEFT(VLOOKUP($B430,'Round 9'!$F$2:$H$361,3,false),1)="a","L",""))),"")</f>
        <v/>
      </c>
      <c r="M430" s="68" t="str">
        <f>iferror(iferror(if(LEFT(VLOOKUP($B430,'Round 10'!$B$2:$H$362,7,false),1)="A","W",if(LEFT(VLOOKUP($B430,'Round 10'!$B$2:$H$362,7,false),1)="B","L","")),if(LEFT(VLOOKUP($B430,'Round 10'!$F$2:$H$362,3,false),1)="b","W",if(LEFT(VLOOKUP($B430,'Round 10'!$F$2:$H$362,3,false),1)="a","L",""))),"")</f>
        <v/>
      </c>
      <c r="N430" s="62" t="s">
        <v>915</v>
      </c>
    </row>
    <row r="431">
      <c r="A431" s="63">
        <v>430.0</v>
      </c>
      <c r="B431" s="64" t="s">
        <v>916</v>
      </c>
      <c r="C431" s="65" t="str">
        <f t="shared" si="1"/>
        <v>4 - 3</v>
      </c>
      <c r="D431" s="67" t="str">
        <f>iferror(if(LEFT(VLOOKUP($B431,'Round 1'!$B$2:$H$361,7,false),1)="A","W",if(LEFT(VLOOKUP($B431,'Round 1'!$B$2:$H$361,7,false),1)="B","L","")),if(LEFT(VLOOKUP($B431,'Round 1'!$F$2:$H$361,3,false),1)="b","W",if(LEFT(VLOOKUP($B431,'Round 1'!$F$2:$H$361,3,false),1)="a","L","")))</f>
        <v>W</v>
      </c>
      <c r="E431" s="67" t="str">
        <f>iferror(if(LEFT(VLOOKUP($B431,'Round 2'!$C$2:$J$361,8,false),1)="A","W",if(LEFT(VLOOKUP($B431,'Round 2'!$C$2:$J$361,8,false),1)="B","L","")),if(LEFT(VLOOKUP($B431,'Round 2'!$G$2:$J$361,4,false),1)="b","W",if(LEFT(VLOOKUP($B431,'Round 2'!$G$2:$J$361,4,false),1)="a","L","")))</f>
        <v>L</v>
      </c>
      <c r="F431" s="67" t="str">
        <f>iferror(if(LEFT(VLOOKUP($B431,'Round 3'!$B$2:$H$361,7,false),1)="A","W",if(LEFT(VLOOKUP($B431,'Round 3'!$B$2:$H$361,7,false),1)="B","L","")),if(LEFT(VLOOKUP($B431,'Round 3'!$F$2:$H$361,3,false),1)="b","W",if(LEFT(VLOOKUP($B431,'Round 3'!$F$2:$H$361,3,false),1)="a","L","")))</f>
        <v>W</v>
      </c>
      <c r="G431" s="67" t="str">
        <f>iferror(if(LEFT(VLOOKUP($B431,'Round 4'!$B$2:$H$361,7,false),1)="A","W",if(LEFT(VLOOKUP($B431,'Round 4'!$B$2:$H$361,7,false),1)="B","L","")),if(LEFT(VLOOKUP($B431,'Round 4'!$F$2:$H$361,3,false),1)="b","W",if(LEFT(VLOOKUP($B431,'Round 4'!$F$2:$H$361,3,false),1)="a","L","")))</f>
        <v>W</v>
      </c>
      <c r="H431" s="67" t="str">
        <f>iferror(if(LEFT(VLOOKUP($B431,'Round 5'!$B$2:$H$361,7,false),1)="A","W",if(LEFT(VLOOKUP($B431,'Round 5'!$B$2:$H$361,7,false),1)="B","L","")),if(LEFT(VLOOKUP($B431,'Round 5'!$F$2:$H$361,3,false),1)="b","W",if(LEFT(VLOOKUP($B431,'Round 5'!$F$2:$H$361,3,false),1)="a","L","")))</f>
        <v>L</v>
      </c>
      <c r="I431" s="67" t="str">
        <f>iferror(if(LEFT(VLOOKUP($B431,'Round 6'!$B$2:$H$361,7,false),1)="A","W",if(LEFT(VLOOKUP($B431,'Round 6'!$B$2:$H$361,7,false),1)="B","L","")),if(LEFT(VLOOKUP($B431,'Round 6'!$F$2:$H$361,3,false),1)="b","W",if(LEFT(VLOOKUP($B431,'Round 6'!$F$2:$H$361,3,false),1)="a","L","")))</f>
        <v>W</v>
      </c>
      <c r="J431" s="67" t="str">
        <f>iferror(iferror(if(LEFT(VLOOKUP($B431,'Round 7'!$B$2:$H$361,7,false),1)="A","W",if(LEFT(VLOOKUP($B431,'Round 7'!$B$2:$H$361,7,false),1)="B","L","")),if(LEFT(VLOOKUP($B431,'Round 7'!$F$2:$H$361,3,false),1)="b","W",if(LEFT(VLOOKUP($B431,'Round 7'!$F$2:$H$361,3,false),1)="a","L",""))),"")</f>
        <v>L</v>
      </c>
      <c r="K431" s="68" t="str">
        <f>iferror(iferror(if(LEFT(VLOOKUP($B431,'Round 8'!$B$2:$H$361,7,false),1)="A","W",if(LEFT(VLOOKUP($B431,'Round 8'!$B$2:$H$361,7,false),1)="B","L","")),if(LEFT(VLOOKUP($B431,'Round 8'!$F$2:$H$361,3,false),1)="b","W",if(LEFT(VLOOKUP($B431,'Round 8'!$F$2:$H$361,3,false),1)="a","L",""))),"")</f>
        <v/>
      </c>
      <c r="L431" s="68" t="str">
        <f>iferror(iferror(if(LEFT(VLOOKUP($B431,'Round 9'!$B$2:$H$361,7,false),1)="A","W",if(LEFT(VLOOKUP($B431,'Round 9'!$B$2:$H$361,7,false),1)="B","L","")),if(LEFT(VLOOKUP($B431,'Round 9'!$F$2:$H$361,3,false),1)="b","W",if(LEFT(VLOOKUP($B431,'Round 9'!$F$2:$H$361,3,false),1)="a","L",""))),"")</f>
        <v/>
      </c>
      <c r="M431" s="68" t="str">
        <f>iferror(iferror(if(LEFT(VLOOKUP($B431,'Round 10'!$B$2:$H$362,7,false),1)="A","W",if(LEFT(VLOOKUP($B431,'Round 10'!$B$2:$H$362,7,false),1)="B","L","")),if(LEFT(VLOOKUP($B431,'Round 10'!$F$2:$H$362,3,false),1)="b","W",if(LEFT(VLOOKUP($B431,'Round 10'!$F$2:$H$362,3,false),1)="a","L",""))),"")</f>
        <v/>
      </c>
      <c r="N431" s="62" t="s">
        <v>917</v>
      </c>
    </row>
    <row r="432">
      <c r="A432" s="63">
        <v>431.0</v>
      </c>
      <c r="B432" s="64" t="s">
        <v>918</v>
      </c>
      <c r="C432" s="65" t="str">
        <f t="shared" si="1"/>
        <v>3 - 3</v>
      </c>
      <c r="D432" s="67" t="str">
        <f>iferror(if(LEFT(VLOOKUP($B432,'Round 1'!$B$2:$H$361,7,false),1)="A","W",if(LEFT(VLOOKUP($B432,'Round 1'!$B$2:$H$361,7,false),1)="B","L","")),if(LEFT(VLOOKUP($B432,'Round 1'!$F$2:$H$361,3,false),1)="b","W",if(LEFT(VLOOKUP($B432,'Round 1'!$F$2:$H$361,3,false),1)="a","L","")))</f>
        <v>W</v>
      </c>
      <c r="E432" s="67" t="str">
        <f>iferror(if(LEFT(VLOOKUP($B432,'Round 2'!$C$2:$J$361,8,false),1)="A","W",if(LEFT(VLOOKUP($B432,'Round 2'!$C$2:$J$361,8,false),1)="B","L","")),if(LEFT(VLOOKUP($B432,'Round 2'!$G$2:$J$361,4,false),1)="b","W",if(LEFT(VLOOKUP($B432,'Round 2'!$G$2:$J$361,4,false),1)="a","L","")))</f>
        <v>L</v>
      </c>
      <c r="F432" s="67" t="str">
        <f>iferror(if(LEFT(VLOOKUP($B432,'Round 3'!$B$2:$H$361,7,false),1)="A","W",if(LEFT(VLOOKUP($B432,'Round 3'!$B$2:$H$361,7,false),1)="B","L","")),if(LEFT(VLOOKUP($B432,'Round 3'!$F$2:$H$361,3,false),1)="b","W",if(LEFT(VLOOKUP($B432,'Round 3'!$F$2:$H$361,3,false),1)="a","L","")))</f>
        <v>W</v>
      </c>
      <c r="G432" s="67" t="str">
        <f>iferror(if(LEFT(VLOOKUP($B432,'Round 4'!$B$2:$H$361,7,false),1)="A","W",if(LEFT(VLOOKUP($B432,'Round 4'!$B$2:$H$361,7,false),1)="B","L","")),if(LEFT(VLOOKUP($B432,'Round 4'!$F$2:$H$361,3,false),1)="b","W",if(LEFT(VLOOKUP($B432,'Round 4'!$F$2:$H$361,3,false),1)="a","L","")))</f>
        <v>L</v>
      </c>
      <c r="H432" s="67" t="str">
        <f>iferror(if(LEFT(VLOOKUP($B432,'Round 5'!$B$2:$H$361,7,false),1)="A","W",if(LEFT(VLOOKUP($B432,'Round 5'!$B$2:$H$361,7,false),1)="B","L","")),if(LEFT(VLOOKUP($B432,'Round 5'!$F$2:$H$361,3,false),1)="b","W",if(LEFT(VLOOKUP($B432,'Round 5'!$F$2:$H$361,3,false),1)="a","L","")))</f>
        <v>W</v>
      </c>
      <c r="I432" s="67" t="str">
        <f>iferror(if(LEFT(VLOOKUP($B432,'Round 6'!$B$2:$H$361,7,false),1)="A","W",if(LEFT(VLOOKUP($B432,'Round 6'!$B$2:$H$361,7,false),1)="B","L","")),if(LEFT(VLOOKUP($B432,'Round 6'!$F$2:$H$361,3,false),1)="b","W",if(LEFT(VLOOKUP($B432,'Round 6'!$F$2:$H$361,3,false),1)="a","L","")))</f>
        <v>L</v>
      </c>
      <c r="J432" s="67" t="str">
        <f>iferror(iferror(if(LEFT(VLOOKUP($B432,'Round 7'!$B$2:$H$361,7,false),1)="A","W",if(LEFT(VLOOKUP($B432,'Round 7'!$B$2:$H$361,7,false),1)="B","L","")),if(LEFT(VLOOKUP($B432,'Round 7'!$F$2:$H$361,3,false),1)="b","W",if(LEFT(VLOOKUP($B432,'Round 7'!$F$2:$H$361,3,false),1)="a","L",""))),"")</f>
        <v/>
      </c>
      <c r="K432" s="68" t="str">
        <f>iferror(iferror(if(LEFT(VLOOKUP($B432,'Round 8'!$B$2:$H$361,7,false),1)="A","W",if(LEFT(VLOOKUP($B432,'Round 8'!$B$2:$H$361,7,false),1)="B","L","")),if(LEFT(VLOOKUP($B432,'Round 8'!$F$2:$H$361,3,false),1)="b","W",if(LEFT(VLOOKUP($B432,'Round 8'!$F$2:$H$361,3,false),1)="a","L",""))),"")</f>
        <v/>
      </c>
      <c r="L432" s="68" t="str">
        <f>iferror(iferror(if(LEFT(VLOOKUP($B432,'Round 9'!$B$2:$H$361,7,false),1)="A","W",if(LEFT(VLOOKUP($B432,'Round 9'!$B$2:$H$361,7,false),1)="B","L","")),if(LEFT(VLOOKUP($B432,'Round 9'!$F$2:$H$361,3,false),1)="b","W",if(LEFT(VLOOKUP($B432,'Round 9'!$F$2:$H$361,3,false),1)="a","L",""))),"")</f>
        <v/>
      </c>
      <c r="M432" s="68" t="str">
        <f>iferror(iferror(if(LEFT(VLOOKUP($B432,'Round 10'!$B$2:$H$362,7,false),1)="A","W",if(LEFT(VLOOKUP($B432,'Round 10'!$B$2:$H$362,7,false),1)="B","L","")),if(LEFT(VLOOKUP($B432,'Round 10'!$F$2:$H$362,3,false),1)="b","W",if(LEFT(VLOOKUP($B432,'Round 10'!$F$2:$H$362,3,false),1)="a","L",""))),"")</f>
        <v/>
      </c>
      <c r="N432" s="62" t="s">
        <v>919</v>
      </c>
    </row>
    <row r="433">
      <c r="A433" s="63">
        <v>432.0</v>
      </c>
      <c r="B433" s="64" t="s">
        <v>920</v>
      </c>
      <c r="C433" s="65" t="str">
        <f t="shared" si="1"/>
        <v>2 - 3</v>
      </c>
      <c r="D433" s="67" t="str">
        <f>iferror(if(LEFT(VLOOKUP($B433,'Round 1'!$B$2:$H$361,7,false),1)="A","W",if(LEFT(VLOOKUP($B433,'Round 1'!$B$2:$H$361,7,false),1)="B","L","")),if(LEFT(VLOOKUP($B433,'Round 1'!$F$2:$H$361,3,false),1)="b","W",if(LEFT(VLOOKUP($B433,'Round 1'!$F$2:$H$361,3,false),1)="a","L","")))</f>
        <v>L</v>
      </c>
      <c r="E433" s="67" t="str">
        <f>iferror(if(LEFT(VLOOKUP($B433,'Round 2'!$C$2:$J$361,8,false),1)="A","W",if(LEFT(VLOOKUP($B433,'Round 2'!$C$2:$J$361,8,false),1)="B","L","")),if(LEFT(VLOOKUP($B433,'Round 2'!$G$2:$J$361,4,false),1)="b","W",if(LEFT(VLOOKUP($B433,'Round 2'!$G$2:$J$361,4,false),1)="a","L","")))</f>
        <v>W</v>
      </c>
      <c r="F433" s="67" t="str">
        <f>iferror(if(LEFT(VLOOKUP($B433,'Round 3'!$B$2:$H$361,7,false),1)="A","W",if(LEFT(VLOOKUP($B433,'Round 3'!$B$2:$H$361,7,false),1)="B","L","")),if(LEFT(VLOOKUP($B433,'Round 3'!$F$2:$H$361,3,false),1)="b","W",if(LEFT(VLOOKUP($B433,'Round 3'!$F$2:$H$361,3,false),1)="a","L","")))</f>
        <v>W</v>
      </c>
      <c r="G433" s="67" t="str">
        <f>iferror(if(LEFT(VLOOKUP($B433,'Round 4'!$B$2:$H$361,7,false),1)="A","W",if(LEFT(VLOOKUP($B433,'Round 4'!$B$2:$H$361,7,false),1)="B","L","")),if(LEFT(VLOOKUP($B433,'Round 4'!$F$2:$H$361,3,false),1)="b","W",if(LEFT(VLOOKUP($B433,'Round 4'!$F$2:$H$361,3,false),1)="a","L","")))</f>
        <v>L</v>
      </c>
      <c r="H433" s="67" t="str">
        <f>iferror(if(LEFT(VLOOKUP($B433,'Round 5'!$B$2:$H$361,7,false),1)="A","W",if(LEFT(VLOOKUP($B433,'Round 5'!$B$2:$H$361,7,false),1)="B","L","")),if(LEFT(VLOOKUP($B433,'Round 5'!$F$2:$H$361,3,false),1)="b","W",if(LEFT(VLOOKUP($B433,'Round 5'!$F$2:$H$361,3,false),1)="a","L","")))</f>
        <v>L</v>
      </c>
      <c r="I433" s="67"/>
      <c r="J433" s="67" t="str">
        <f>iferror(iferror(if(LEFT(VLOOKUP($B433,'Round 7'!$B$2:$H$361,7,false),1)="A","W",if(LEFT(VLOOKUP($B433,'Round 7'!$B$2:$H$361,7,false),1)="B","L","")),if(LEFT(VLOOKUP($B433,'Round 7'!$F$2:$H$361,3,false),1)="b","W",if(LEFT(VLOOKUP($B433,'Round 7'!$F$2:$H$361,3,false),1)="a","L",""))),"")</f>
        <v/>
      </c>
      <c r="K433" s="68" t="str">
        <f>iferror(iferror(if(LEFT(VLOOKUP($B433,'Round 8'!$B$2:$H$361,7,false),1)="A","W",if(LEFT(VLOOKUP($B433,'Round 8'!$B$2:$H$361,7,false),1)="B","L","")),if(LEFT(VLOOKUP($B433,'Round 8'!$F$2:$H$361,3,false),1)="b","W",if(LEFT(VLOOKUP($B433,'Round 8'!$F$2:$H$361,3,false),1)="a","L",""))),"")</f>
        <v/>
      </c>
      <c r="L433" s="68" t="str">
        <f>iferror(iferror(if(LEFT(VLOOKUP($B433,'Round 9'!$B$2:$H$361,7,false),1)="A","W",if(LEFT(VLOOKUP($B433,'Round 9'!$B$2:$H$361,7,false),1)="B","L","")),if(LEFT(VLOOKUP($B433,'Round 9'!$F$2:$H$361,3,false),1)="b","W",if(LEFT(VLOOKUP($B433,'Round 9'!$F$2:$H$361,3,false),1)="a","L",""))),"")</f>
        <v/>
      </c>
      <c r="M433" s="68" t="str">
        <f>iferror(iferror(if(LEFT(VLOOKUP($B433,'Round 10'!$B$2:$H$362,7,false),1)="A","W",if(LEFT(VLOOKUP($B433,'Round 10'!$B$2:$H$362,7,false),1)="B","L","")),if(LEFT(VLOOKUP($B433,'Round 10'!$F$2:$H$362,3,false),1)="b","W",if(LEFT(VLOOKUP($B433,'Round 10'!$F$2:$H$362,3,false),1)="a","L",""))),"")</f>
        <v/>
      </c>
      <c r="N433" s="62" t="s">
        <v>921</v>
      </c>
    </row>
    <row r="434">
      <c r="A434" s="63">
        <v>433.0</v>
      </c>
      <c r="B434" s="64" t="s">
        <v>922</v>
      </c>
      <c r="C434" s="65" t="str">
        <f t="shared" si="1"/>
        <v>3 - 3</v>
      </c>
      <c r="D434" s="67" t="str">
        <f>iferror(if(LEFT(VLOOKUP($B434,'Round 1'!$B$2:$H$361,7,false),1)="A","W",if(LEFT(VLOOKUP($B434,'Round 1'!$B$2:$H$361,7,false),1)="B","L","")),if(LEFT(VLOOKUP($B434,'Round 1'!$F$2:$H$361,3,false),1)="b","W",if(LEFT(VLOOKUP($B434,'Round 1'!$F$2:$H$361,3,false),1)="a","L","")))</f>
        <v>W</v>
      </c>
      <c r="E434" s="67" t="str">
        <f>iferror(if(LEFT(VLOOKUP($B434,'Round 2'!$C$2:$J$361,8,false),1)="A","W",if(LEFT(VLOOKUP($B434,'Round 2'!$C$2:$J$361,8,false),1)="B","L","")),if(LEFT(VLOOKUP($B434,'Round 2'!$G$2:$J$361,4,false),1)="b","W",if(LEFT(VLOOKUP($B434,'Round 2'!$G$2:$J$361,4,false),1)="a","L","")))</f>
        <v>L</v>
      </c>
      <c r="F434" s="67" t="str">
        <f>iferror(if(LEFT(VLOOKUP($B434,'Round 3'!$B$2:$H$361,7,false),1)="A","W",if(LEFT(VLOOKUP($B434,'Round 3'!$B$2:$H$361,7,false),1)="B","L","")),if(LEFT(VLOOKUP($B434,'Round 3'!$F$2:$H$361,3,false),1)="b","W",if(LEFT(VLOOKUP($B434,'Round 3'!$F$2:$H$361,3,false),1)="a","L","")))</f>
        <v>W</v>
      </c>
      <c r="G434" s="67" t="str">
        <f>iferror(if(LEFT(VLOOKUP($B434,'Round 4'!$B$2:$H$361,7,false),1)="A","W",if(LEFT(VLOOKUP($B434,'Round 4'!$B$2:$H$361,7,false),1)="B","L","")),if(LEFT(VLOOKUP($B434,'Round 4'!$F$2:$H$361,3,false),1)="b","W",if(LEFT(VLOOKUP($B434,'Round 4'!$F$2:$H$361,3,false),1)="a","L","")))</f>
        <v>W</v>
      </c>
      <c r="H434" s="67" t="str">
        <f>iferror(if(LEFT(VLOOKUP($B434,'Round 5'!$B$2:$H$361,7,false),1)="A","W",if(LEFT(VLOOKUP($B434,'Round 5'!$B$2:$H$361,7,false),1)="B","L","")),if(LEFT(VLOOKUP($B434,'Round 5'!$F$2:$H$361,3,false),1)="b","W",if(LEFT(VLOOKUP($B434,'Round 5'!$F$2:$H$361,3,false),1)="a","L","")))</f>
        <v>L</v>
      </c>
      <c r="I434" s="67" t="str">
        <f>iferror(if(LEFT(VLOOKUP($B434,'Round 6'!$B$2:$H$361,7,false),1)="A","W",if(LEFT(VLOOKUP($B434,'Round 6'!$B$2:$H$361,7,false),1)="B","L","")),if(LEFT(VLOOKUP($B434,'Round 6'!$F$2:$H$361,3,false),1)="b","W",if(LEFT(VLOOKUP($B434,'Round 6'!$F$2:$H$361,3,false),1)="a","L","")))</f>
        <v>L</v>
      </c>
      <c r="J434" s="67" t="str">
        <f>iferror(iferror(if(LEFT(VLOOKUP($B434,'Round 7'!$B$2:$H$361,7,false),1)="A","W",if(LEFT(VLOOKUP($B434,'Round 7'!$B$2:$H$361,7,false),1)="B","L","")),if(LEFT(VLOOKUP($B434,'Round 7'!$F$2:$H$361,3,false),1)="b","W",if(LEFT(VLOOKUP($B434,'Round 7'!$F$2:$H$361,3,false),1)="a","L",""))),"")</f>
        <v/>
      </c>
      <c r="K434" s="68" t="str">
        <f>iferror(iferror(if(LEFT(VLOOKUP($B434,'Round 8'!$B$2:$H$361,7,false),1)="A","W",if(LEFT(VLOOKUP($B434,'Round 8'!$B$2:$H$361,7,false),1)="B","L","")),if(LEFT(VLOOKUP($B434,'Round 8'!$F$2:$H$361,3,false),1)="b","W",if(LEFT(VLOOKUP($B434,'Round 8'!$F$2:$H$361,3,false),1)="a","L",""))),"")</f>
        <v/>
      </c>
      <c r="L434" s="68" t="str">
        <f>iferror(iferror(if(LEFT(VLOOKUP($B434,'Round 9'!$B$2:$H$361,7,false),1)="A","W",if(LEFT(VLOOKUP($B434,'Round 9'!$B$2:$H$361,7,false),1)="B","L","")),if(LEFT(VLOOKUP($B434,'Round 9'!$F$2:$H$361,3,false),1)="b","W",if(LEFT(VLOOKUP($B434,'Round 9'!$F$2:$H$361,3,false),1)="a","L",""))),"")</f>
        <v/>
      </c>
      <c r="M434" s="68" t="str">
        <f>iferror(iferror(if(LEFT(VLOOKUP($B434,'Round 10'!$B$2:$H$362,7,false),1)="A","W",if(LEFT(VLOOKUP($B434,'Round 10'!$B$2:$H$362,7,false),1)="B","L","")),if(LEFT(VLOOKUP($B434,'Round 10'!$F$2:$H$362,3,false),1)="b","W",if(LEFT(VLOOKUP($B434,'Round 10'!$F$2:$H$362,3,false),1)="a","L",""))),"")</f>
        <v/>
      </c>
      <c r="N434" s="62" t="s">
        <v>923</v>
      </c>
    </row>
    <row r="435">
      <c r="A435" s="63">
        <v>434.0</v>
      </c>
      <c r="B435" s="64" t="s">
        <v>924</v>
      </c>
      <c r="C435" s="65" t="str">
        <f t="shared" si="1"/>
        <v>2 - 3</v>
      </c>
      <c r="D435" s="67" t="str">
        <f>iferror(if(LEFT(VLOOKUP($B435,'Round 1'!$B$2:$H$361,7,false),1)="A","W",if(LEFT(VLOOKUP($B435,'Round 1'!$B$2:$H$361,7,false),1)="B","L","")),if(LEFT(VLOOKUP($B435,'Round 1'!$F$2:$H$361,3,false),1)="b","W",if(LEFT(VLOOKUP($B435,'Round 1'!$F$2:$H$361,3,false),1)="a","L","")))</f>
        <v>L</v>
      </c>
      <c r="E435" s="67" t="str">
        <f>iferror(if(LEFT(VLOOKUP($B435,'Round 2'!$C$2:$J$361,8,false),1)="A","W",if(LEFT(VLOOKUP($B435,'Round 2'!$C$2:$J$361,8,false),1)="B","L","")),if(LEFT(VLOOKUP($B435,'Round 2'!$G$2:$J$361,4,false),1)="b","W",if(LEFT(VLOOKUP($B435,'Round 2'!$G$2:$J$361,4,false),1)="a","L","")))</f>
        <v>W</v>
      </c>
      <c r="F435" s="67" t="str">
        <f>iferror(if(LEFT(VLOOKUP($B435,'Round 3'!$B$2:$H$361,7,false),1)="A","W",if(LEFT(VLOOKUP($B435,'Round 3'!$B$2:$H$361,7,false),1)="B","L","")),if(LEFT(VLOOKUP($B435,'Round 3'!$F$2:$H$361,3,false),1)="b","W",if(LEFT(VLOOKUP($B435,'Round 3'!$F$2:$H$361,3,false),1)="a","L","")))</f>
        <v>W</v>
      </c>
      <c r="G435" s="67" t="str">
        <f>iferror(if(LEFT(VLOOKUP($B435,'Round 4'!$B$2:$H$361,7,false),1)="A","W",if(LEFT(VLOOKUP($B435,'Round 4'!$B$2:$H$361,7,false),1)="B","L","")),if(LEFT(VLOOKUP($B435,'Round 4'!$F$2:$H$361,3,false),1)="b","W",if(LEFT(VLOOKUP($B435,'Round 4'!$F$2:$H$361,3,false),1)="a","L","")))</f>
        <v>L</v>
      </c>
      <c r="H435" s="67" t="str">
        <f>iferror(if(LEFT(VLOOKUP($B435,'Round 5'!$B$2:$H$361,7,false),1)="A","W",if(LEFT(VLOOKUP($B435,'Round 5'!$B$2:$H$361,7,false),1)="B","L","")),if(LEFT(VLOOKUP($B435,'Round 5'!$F$2:$H$361,3,false),1)="b","W",if(LEFT(VLOOKUP($B435,'Round 5'!$F$2:$H$361,3,false),1)="a","L","")))</f>
        <v>L</v>
      </c>
      <c r="I435" s="67"/>
      <c r="J435" s="67" t="str">
        <f>iferror(iferror(if(LEFT(VLOOKUP($B435,'Round 7'!$B$2:$H$361,7,false),1)="A","W",if(LEFT(VLOOKUP($B435,'Round 7'!$B$2:$H$361,7,false),1)="B","L","")),if(LEFT(VLOOKUP($B435,'Round 7'!$F$2:$H$361,3,false),1)="b","W",if(LEFT(VLOOKUP($B435,'Round 7'!$F$2:$H$361,3,false),1)="a","L",""))),"")</f>
        <v/>
      </c>
      <c r="K435" s="68" t="str">
        <f>iferror(iferror(if(LEFT(VLOOKUP($B435,'Round 8'!$B$2:$H$361,7,false),1)="A","W",if(LEFT(VLOOKUP($B435,'Round 8'!$B$2:$H$361,7,false),1)="B","L","")),if(LEFT(VLOOKUP($B435,'Round 8'!$F$2:$H$361,3,false),1)="b","W",if(LEFT(VLOOKUP($B435,'Round 8'!$F$2:$H$361,3,false),1)="a","L",""))),"")</f>
        <v/>
      </c>
      <c r="L435" s="68" t="str">
        <f>iferror(iferror(if(LEFT(VLOOKUP($B435,'Round 9'!$B$2:$H$361,7,false),1)="A","W",if(LEFT(VLOOKUP($B435,'Round 9'!$B$2:$H$361,7,false),1)="B","L","")),if(LEFT(VLOOKUP($B435,'Round 9'!$F$2:$H$361,3,false),1)="b","W",if(LEFT(VLOOKUP($B435,'Round 9'!$F$2:$H$361,3,false),1)="a","L",""))),"")</f>
        <v/>
      </c>
      <c r="M435" s="68" t="str">
        <f>iferror(iferror(if(LEFT(VLOOKUP($B435,'Round 10'!$B$2:$H$362,7,false),1)="A","W",if(LEFT(VLOOKUP($B435,'Round 10'!$B$2:$H$362,7,false),1)="B","L","")),if(LEFT(VLOOKUP($B435,'Round 10'!$F$2:$H$362,3,false),1)="b","W",if(LEFT(VLOOKUP($B435,'Round 10'!$F$2:$H$362,3,false),1)="a","L",""))),"")</f>
        <v/>
      </c>
      <c r="N435" s="62" t="s">
        <v>925</v>
      </c>
    </row>
    <row r="436">
      <c r="A436" s="63">
        <v>435.0</v>
      </c>
      <c r="B436" s="64" t="s">
        <v>926</v>
      </c>
      <c r="C436" s="65" t="str">
        <f t="shared" si="1"/>
        <v>3 - 3</v>
      </c>
      <c r="D436" s="67" t="str">
        <f>iferror(if(LEFT(VLOOKUP($B436,'Round 1'!$B$2:$H$361,7,false),1)="A","W",if(LEFT(VLOOKUP($B436,'Round 1'!$B$2:$H$361,7,false),1)="B","L","")),if(LEFT(VLOOKUP($B436,'Round 1'!$F$2:$H$361,3,false),1)="b","W",if(LEFT(VLOOKUP($B436,'Round 1'!$F$2:$H$361,3,false),1)="a","L","")))</f>
        <v>W</v>
      </c>
      <c r="E436" s="67" t="str">
        <f>iferror(if(LEFT(VLOOKUP($B436,'Round 2'!$C$2:$J$361,8,false),1)="A","W",if(LEFT(VLOOKUP($B436,'Round 2'!$C$2:$J$361,8,false),1)="B","L","")),if(LEFT(VLOOKUP($B436,'Round 2'!$G$2:$J$361,4,false),1)="b","W",if(LEFT(VLOOKUP($B436,'Round 2'!$G$2:$J$361,4,false),1)="a","L","")))</f>
        <v>L</v>
      </c>
      <c r="F436" s="67" t="str">
        <f>iferror(if(LEFT(VLOOKUP($B436,'Round 3'!$B$2:$H$361,7,false),1)="A","W",if(LEFT(VLOOKUP($B436,'Round 3'!$B$2:$H$361,7,false),1)="B","L","")),if(LEFT(VLOOKUP($B436,'Round 3'!$F$2:$H$361,3,false),1)="b","W",if(LEFT(VLOOKUP($B436,'Round 3'!$F$2:$H$361,3,false),1)="a","L","")))</f>
        <v>L</v>
      </c>
      <c r="G436" s="67" t="str">
        <f>iferror(if(LEFT(VLOOKUP($B436,'Round 4'!$B$2:$H$361,7,false),1)="A","W",if(LEFT(VLOOKUP($B436,'Round 4'!$B$2:$H$361,7,false),1)="B","L","")),if(LEFT(VLOOKUP($B436,'Round 4'!$F$2:$H$361,3,false),1)="b","W",if(LEFT(VLOOKUP($B436,'Round 4'!$F$2:$H$361,3,false),1)="a","L","")))</f>
        <v>W</v>
      </c>
      <c r="H436" s="67" t="str">
        <f>iferror(if(LEFT(VLOOKUP($B436,'Round 5'!$B$2:$H$361,7,false),1)="A","W",if(LEFT(VLOOKUP($B436,'Round 5'!$B$2:$H$361,7,false),1)="B","L","")),if(LEFT(VLOOKUP($B436,'Round 5'!$F$2:$H$361,3,false),1)="b","W",if(LEFT(VLOOKUP($B436,'Round 5'!$F$2:$H$361,3,false),1)="a","L","")))</f>
        <v>W</v>
      </c>
      <c r="I436" s="67" t="str">
        <f>iferror(if(LEFT(VLOOKUP($B436,'Round 6'!$B$2:$H$361,7,false),1)="A","W",if(LEFT(VLOOKUP($B436,'Round 6'!$B$2:$H$361,7,false),1)="B","L","")),if(LEFT(VLOOKUP($B436,'Round 6'!$F$2:$H$361,3,false),1)="b","W",if(LEFT(VLOOKUP($B436,'Round 6'!$F$2:$H$361,3,false),1)="a","L","")))</f>
        <v>L</v>
      </c>
      <c r="J436" s="67" t="str">
        <f>iferror(iferror(if(LEFT(VLOOKUP($B436,'Round 7'!$B$2:$H$361,7,false),1)="A","W",if(LEFT(VLOOKUP($B436,'Round 7'!$B$2:$H$361,7,false),1)="B","L","")),if(LEFT(VLOOKUP($B436,'Round 7'!$F$2:$H$361,3,false),1)="b","W",if(LEFT(VLOOKUP($B436,'Round 7'!$F$2:$H$361,3,false),1)="a","L",""))),"")</f>
        <v/>
      </c>
      <c r="K436" s="68" t="str">
        <f>iferror(iferror(if(LEFT(VLOOKUP($B436,'Round 8'!$B$2:$H$361,7,false),1)="A","W",if(LEFT(VLOOKUP($B436,'Round 8'!$B$2:$H$361,7,false),1)="B","L","")),if(LEFT(VLOOKUP($B436,'Round 8'!$F$2:$H$361,3,false),1)="b","W",if(LEFT(VLOOKUP($B436,'Round 8'!$F$2:$H$361,3,false),1)="a","L",""))),"")</f>
        <v/>
      </c>
      <c r="L436" s="68" t="str">
        <f>iferror(iferror(if(LEFT(VLOOKUP($B436,'Round 9'!$B$2:$H$361,7,false),1)="A","W",if(LEFT(VLOOKUP($B436,'Round 9'!$B$2:$H$361,7,false),1)="B","L","")),if(LEFT(VLOOKUP($B436,'Round 9'!$F$2:$H$361,3,false),1)="b","W",if(LEFT(VLOOKUP($B436,'Round 9'!$F$2:$H$361,3,false),1)="a","L",""))),"")</f>
        <v/>
      </c>
      <c r="M436" s="68" t="str">
        <f>iferror(iferror(if(LEFT(VLOOKUP($B436,'Round 10'!$B$2:$H$362,7,false),1)="A","W",if(LEFT(VLOOKUP($B436,'Round 10'!$B$2:$H$362,7,false),1)="B","L","")),if(LEFT(VLOOKUP($B436,'Round 10'!$F$2:$H$362,3,false),1)="b","W",if(LEFT(VLOOKUP($B436,'Round 10'!$F$2:$H$362,3,false),1)="a","L",""))),"")</f>
        <v/>
      </c>
      <c r="N436" s="62" t="s">
        <v>927</v>
      </c>
    </row>
    <row r="437">
      <c r="A437" s="63">
        <v>436.0</v>
      </c>
      <c r="B437" s="64" t="s">
        <v>928</v>
      </c>
      <c r="C437" s="65" t="str">
        <f t="shared" si="1"/>
        <v>1 - 3</v>
      </c>
      <c r="D437" s="67" t="str">
        <f>iferror(if(LEFT(VLOOKUP($B437,'Round 1'!$B$2:$H$361,7,false),1)="A","W",if(LEFT(VLOOKUP($B437,'Round 1'!$B$2:$H$361,7,false),1)="B","L","")),if(LEFT(VLOOKUP($B437,'Round 1'!$F$2:$H$361,3,false),1)="b","W",if(LEFT(VLOOKUP($B437,'Round 1'!$F$2:$H$361,3,false),1)="a","L","")))</f>
        <v>L</v>
      </c>
      <c r="E437" s="67" t="str">
        <f>iferror(if(LEFT(VLOOKUP($B437,'Round 2'!$C$2:$J$361,8,false),1)="A","W",if(LEFT(VLOOKUP($B437,'Round 2'!$C$2:$J$361,8,false),1)="B","L","")),if(LEFT(VLOOKUP($B437,'Round 2'!$G$2:$J$361,4,false),1)="b","W",if(LEFT(VLOOKUP($B437,'Round 2'!$G$2:$J$361,4,false),1)="a","L","")))</f>
        <v>L</v>
      </c>
      <c r="F437" s="67" t="str">
        <f>iferror(if(LEFT(VLOOKUP($B437,'Round 3'!$B$2:$H$361,7,false),1)="A","W",if(LEFT(VLOOKUP($B437,'Round 3'!$B$2:$H$361,7,false),1)="B","L","")),if(LEFT(VLOOKUP($B437,'Round 3'!$F$2:$H$361,3,false),1)="b","W",if(LEFT(VLOOKUP($B437,'Round 3'!$F$2:$H$361,3,false),1)="a","L","")))</f>
        <v>W</v>
      </c>
      <c r="G437" s="67" t="str">
        <f>iferror(if(LEFT(VLOOKUP($B437,'Round 4'!$B$2:$H$361,7,false),1)="A","W",if(LEFT(VLOOKUP($B437,'Round 4'!$B$2:$H$361,7,false),1)="B","L","")),if(LEFT(VLOOKUP($B437,'Round 4'!$F$2:$H$361,3,false),1)="b","W",if(LEFT(VLOOKUP($B437,'Round 4'!$F$2:$H$361,3,false),1)="a","L","")))</f>
        <v>L</v>
      </c>
      <c r="H437" s="67"/>
      <c r="I437" s="67"/>
      <c r="J437" s="67" t="str">
        <f>iferror(iferror(if(LEFT(VLOOKUP($B437,'Round 7'!$B$2:$H$361,7,false),1)="A","W",if(LEFT(VLOOKUP($B437,'Round 7'!$B$2:$H$361,7,false),1)="B","L","")),if(LEFT(VLOOKUP($B437,'Round 7'!$F$2:$H$361,3,false),1)="b","W",if(LEFT(VLOOKUP($B437,'Round 7'!$F$2:$H$361,3,false),1)="a","L",""))),"")</f>
        <v/>
      </c>
      <c r="K437" s="68" t="str">
        <f>iferror(iferror(if(LEFT(VLOOKUP($B437,'Round 8'!$B$2:$H$361,7,false),1)="A","W",if(LEFT(VLOOKUP($B437,'Round 8'!$B$2:$H$361,7,false),1)="B","L","")),if(LEFT(VLOOKUP($B437,'Round 8'!$F$2:$H$361,3,false),1)="b","W",if(LEFT(VLOOKUP($B437,'Round 8'!$F$2:$H$361,3,false),1)="a","L",""))),"")</f>
        <v/>
      </c>
      <c r="L437" s="68" t="str">
        <f>iferror(iferror(if(LEFT(VLOOKUP($B437,'Round 9'!$B$2:$H$361,7,false),1)="A","W",if(LEFT(VLOOKUP($B437,'Round 9'!$B$2:$H$361,7,false),1)="B","L","")),if(LEFT(VLOOKUP($B437,'Round 9'!$F$2:$H$361,3,false),1)="b","W",if(LEFT(VLOOKUP($B437,'Round 9'!$F$2:$H$361,3,false),1)="a","L",""))),"")</f>
        <v/>
      </c>
      <c r="M437" s="68" t="str">
        <f>iferror(iferror(if(LEFT(VLOOKUP($B437,'Round 10'!$B$2:$H$362,7,false),1)="A","W",if(LEFT(VLOOKUP($B437,'Round 10'!$B$2:$H$362,7,false),1)="B","L","")),if(LEFT(VLOOKUP($B437,'Round 10'!$F$2:$H$362,3,false),1)="b","W",if(LEFT(VLOOKUP($B437,'Round 10'!$F$2:$H$362,3,false),1)="a","L",""))),"")</f>
        <v/>
      </c>
      <c r="N437" s="62" t="s">
        <v>929</v>
      </c>
    </row>
    <row r="438">
      <c r="A438" s="63">
        <v>437.0</v>
      </c>
      <c r="B438" s="64" t="s">
        <v>930</v>
      </c>
      <c r="C438" s="65" t="str">
        <f t="shared" si="1"/>
        <v>2 - 3</v>
      </c>
      <c r="D438" s="67" t="str">
        <f>iferror(if(LEFT(VLOOKUP($B438,'Round 1'!$B$2:$H$361,7,false),1)="A","W",if(LEFT(VLOOKUP($B438,'Round 1'!$B$2:$H$361,7,false),1)="B","L","")),if(LEFT(VLOOKUP($B438,'Round 1'!$F$2:$H$361,3,false),1)="b","W",if(LEFT(VLOOKUP($B438,'Round 1'!$F$2:$H$361,3,false),1)="a","L","")))</f>
        <v>L</v>
      </c>
      <c r="E438" s="67" t="str">
        <f>iferror(if(LEFT(VLOOKUP($B438,'Round 2'!$C$2:$J$361,8,false),1)="A","W",if(LEFT(VLOOKUP($B438,'Round 2'!$C$2:$J$361,8,false),1)="B","L","")),if(LEFT(VLOOKUP($B438,'Round 2'!$G$2:$J$361,4,false),1)="b","W",if(LEFT(VLOOKUP($B438,'Round 2'!$G$2:$J$361,4,false),1)="a","L","")))</f>
        <v>L</v>
      </c>
      <c r="F438" s="67" t="str">
        <f>iferror(if(LEFT(VLOOKUP($B438,'Round 3'!$B$2:$H$361,7,false),1)="A","W",if(LEFT(VLOOKUP($B438,'Round 3'!$B$2:$H$361,7,false),1)="B","L","")),if(LEFT(VLOOKUP($B438,'Round 3'!$F$2:$H$361,3,false),1)="b","W",if(LEFT(VLOOKUP($B438,'Round 3'!$F$2:$H$361,3,false),1)="a","L","")))</f>
        <v>W</v>
      </c>
      <c r="G438" s="67" t="str">
        <f>iferror(if(LEFT(VLOOKUP($B438,'Round 4'!$B$2:$H$361,7,false),1)="A","W",if(LEFT(VLOOKUP($B438,'Round 4'!$B$2:$H$361,7,false),1)="B","L","")),if(LEFT(VLOOKUP($B438,'Round 4'!$F$2:$H$361,3,false),1)="b","W",if(LEFT(VLOOKUP($B438,'Round 4'!$F$2:$H$361,3,false),1)="a","L","")))</f>
        <v>W</v>
      </c>
      <c r="H438" s="67" t="str">
        <f>iferror(if(LEFT(VLOOKUP($B438,'Round 5'!$B$2:$H$361,7,false),1)="A","W",if(LEFT(VLOOKUP($B438,'Round 5'!$B$2:$H$361,7,false),1)="B","L","")),if(LEFT(VLOOKUP($B438,'Round 5'!$F$2:$H$361,3,false),1)="b","W",if(LEFT(VLOOKUP($B438,'Round 5'!$F$2:$H$361,3,false),1)="a","L","")))</f>
        <v>L</v>
      </c>
      <c r="I438" s="67"/>
      <c r="J438" s="67" t="str">
        <f>iferror(iferror(if(LEFT(VLOOKUP($B438,'Round 7'!$B$2:$H$361,7,false),1)="A","W",if(LEFT(VLOOKUP($B438,'Round 7'!$B$2:$H$361,7,false),1)="B","L","")),if(LEFT(VLOOKUP($B438,'Round 7'!$F$2:$H$361,3,false),1)="b","W",if(LEFT(VLOOKUP($B438,'Round 7'!$F$2:$H$361,3,false),1)="a","L",""))),"")</f>
        <v/>
      </c>
      <c r="K438" s="68" t="str">
        <f>iferror(iferror(if(LEFT(VLOOKUP($B438,'Round 8'!$B$2:$H$361,7,false),1)="A","W",if(LEFT(VLOOKUP($B438,'Round 8'!$B$2:$H$361,7,false),1)="B","L","")),if(LEFT(VLOOKUP($B438,'Round 8'!$F$2:$H$361,3,false),1)="b","W",if(LEFT(VLOOKUP($B438,'Round 8'!$F$2:$H$361,3,false),1)="a","L",""))),"")</f>
        <v/>
      </c>
      <c r="L438" s="68" t="str">
        <f>iferror(iferror(if(LEFT(VLOOKUP($B438,'Round 9'!$B$2:$H$361,7,false),1)="A","W",if(LEFT(VLOOKUP($B438,'Round 9'!$B$2:$H$361,7,false),1)="B","L","")),if(LEFT(VLOOKUP($B438,'Round 9'!$F$2:$H$361,3,false),1)="b","W",if(LEFT(VLOOKUP($B438,'Round 9'!$F$2:$H$361,3,false),1)="a","L",""))),"")</f>
        <v/>
      </c>
      <c r="M438" s="68" t="str">
        <f>iferror(iferror(if(LEFT(VLOOKUP($B438,'Round 10'!$B$2:$H$362,7,false),1)="A","W",if(LEFT(VLOOKUP($B438,'Round 10'!$B$2:$H$362,7,false),1)="B","L","")),if(LEFT(VLOOKUP($B438,'Round 10'!$F$2:$H$362,3,false),1)="b","W",if(LEFT(VLOOKUP($B438,'Round 10'!$F$2:$H$362,3,false),1)="a","L",""))),"")</f>
        <v/>
      </c>
      <c r="N438" s="62" t="s">
        <v>931</v>
      </c>
    </row>
    <row r="439">
      <c r="A439" s="63">
        <v>438.0</v>
      </c>
      <c r="B439" s="64" t="s">
        <v>932</v>
      </c>
      <c r="C439" s="65" t="str">
        <f t="shared" si="1"/>
        <v>1 - 3</v>
      </c>
      <c r="D439" s="67" t="str">
        <f>iferror(if(LEFT(VLOOKUP($B439,'Round 1'!$B$2:$H$361,7,false),1)="A","W",if(LEFT(VLOOKUP($B439,'Round 1'!$B$2:$H$361,7,false),1)="B","L","")),if(LEFT(VLOOKUP($B439,'Round 1'!$F$2:$H$361,3,false),1)="b","W",if(LEFT(VLOOKUP($B439,'Round 1'!$F$2:$H$361,3,false),1)="a","L","")))</f>
        <v>L</v>
      </c>
      <c r="E439" s="67" t="str">
        <f>iferror(if(LEFT(VLOOKUP($B439,'Round 2'!$C$2:$J$361,8,false),1)="A","W",if(LEFT(VLOOKUP($B439,'Round 2'!$C$2:$J$361,8,false),1)="B","L","")),if(LEFT(VLOOKUP($B439,'Round 2'!$G$2:$J$361,4,false),1)="b","W",if(LEFT(VLOOKUP($B439,'Round 2'!$G$2:$J$361,4,false),1)="a","L","")))</f>
        <v>L</v>
      </c>
      <c r="F439" s="67" t="str">
        <f>iferror(if(LEFT(VLOOKUP($B439,'Round 3'!$B$2:$H$361,7,false),1)="A","W",if(LEFT(VLOOKUP($B439,'Round 3'!$B$2:$H$361,7,false),1)="B","L","")),if(LEFT(VLOOKUP($B439,'Round 3'!$F$2:$H$361,3,false),1)="b","W",if(LEFT(VLOOKUP($B439,'Round 3'!$F$2:$H$361,3,false),1)="a","L","")))</f>
        <v>W</v>
      </c>
      <c r="G439" s="67" t="str">
        <f>iferror(if(LEFT(VLOOKUP($B439,'Round 4'!$B$2:$H$361,7,false),1)="A","W",if(LEFT(VLOOKUP($B439,'Round 4'!$B$2:$H$361,7,false),1)="B","L","")),if(LEFT(VLOOKUP($B439,'Round 4'!$F$2:$H$361,3,false),1)="b","W",if(LEFT(VLOOKUP($B439,'Round 4'!$F$2:$H$361,3,false),1)="a","L","")))</f>
        <v>L</v>
      </c>
      <c r="H439" s="67"/>
      <c r="I439" s="67"/>
      <c r="J439" s="67" t="str">
        <f>iferror(iferror(if(LEFT(VLOOKUP($B439,'Round 7'!$B$2:$H$361,7,false),1)="A","W",if(LEFT(VLOOKUP($B439,'Round 7'!$B$2:$H$361,7,false),1)="B","L","")),if(LEFT(VLOOKUP($B439,'Round 7'!$F$2:$H$361,3,false),1)="b","W",if(LEFT(VLOOKUP($B439,'Round 7'!$F$2:$H$361,3,false),1)="a","L",""))),"")</f>
        <v/>
      </c>
      <c r="K439" s="68" t="str">
        <f>iferror(iferror(if(LEFT(VLOOKUP($B439,'Round 8'!$B$2:$H$361,7,false),1)="A","W",if(LEFT(VLOOKUP($B439,'Round 8'!$B$2:$H$361,7,false),1)="B","L","")),if(LEFT(VLOOKUP($B439,'Round 8'!$F$2:$H$361,3,false),1)="b","W",if(LEFT(VLOOKUP($B439,'Round 8'!$F$2:$H$361,3,false),1)="a","L",""))),"")</f>
        <v/>
      </c>
      <c r="L439" s="68" t="str">
        <f>iferror(iferror(if(LEFT(VLOOKUP($B439,'Round 9'!$B$2:$H$361,7,false),1)="A","W",if(LEFT(VLOOKUP($B439,'Round 9'!$B$2:$H$361,7,false),1)="B","L","")),if(LEFT(VLOOKUP($B439,'Round 9'!$F$2:$H$361,3,false),1)="b","W",if(LEFT(VLOOKUP($B439,'Round 9'!$F$2:$H$361,3,false),1)="a","L",""))),"")</f>
        <v/>
      </c>
      <c r="M439" s="68" t="str">
        <f>iferror(iferror(if(LEFT(VLOOKUP($B439,'Round 10'!$B$2:$H$362,7,false),1)="A","W",if(LEFT(VLOOKUP($B439,'Round 10'!$B$2:$H$362,7,false),1)="B","L","")),if(LEFT(VLOOKUP($B439,'Round 10'!$F$2:$H$362,3,false),1)="b","W",if(LEFT(VLOOKUP($B439,'Round 10'!$F$2:$H$362,3,false),1)="a","L",""))),"")</f>
        <v/>
      </c>
      <c r="N439" s="62" t="s">
        <v>933</v>
      </c>
    </row>
    <row r="440">
      <c r="A440" s="63">
        <v>439.0</v>
      </c>
      <c r="B440" s="64" t="s">
        <v>934</v>
      </c>
      <c r="C440" s="65" t="str">
        <f t="shared" si="1"/>
        <v>2 - 3</v>
      </c>
      <c r="D440" s="67" t="str">
        <f>iferror(if(LEFT(VLOOKUP($B440,'Round 1'!$B$2:$H$361,7,false),1)="A","W",if(LEFT(VLOOKUP($B440,'Round 1'!$B$2:$H$361,7,false),1)="B","L","")),if(LEFT(VLOOKUP($B440,'Round 1'!$F$2:$H$361,3,false),1)="b","W",if(LEFT(VLOOKUP($B440,'Round 1'!$F$2:$H$361,3,false),1)="a","L","")))</f>
        <v>L</v>
      </c>
      <c r="E440" s="67" t="str">
        <f>iferror(if(LEFT(VLOOKUP($B440,'Round 2'!$C$2:$J$361,8,false),1)="A","W",if(LEFT(VLOOKUP($B440,'Round 2'!$C$2:$J$361,8,false),1)="B","L","")),if(LEFT(VLOOKUP($B440,'Round 2'!$G$2:$J$361,4,false),1)="b","W",if(LEFT(VLOOKUP($B440,'Round 2'!$G$2:$J$361,4,false),1)="a","L","")))</f>
        <v>L</v>
      </c>
      <c r="F440" s="67" t="str">
        <f>iferror(if(LEFT(VLOOKUP($B440,'Round 3'!$B$2:$H$361,7,false),1)="A","W",if(LEFT(VLOOKUP($B440,'Round 3'!$B$2:$H$361,7,false),1)="B","L","")),if(LEFT(VLOOKUP($B440,'Round 3'!$F$2:$H$361,3,false),1)="b","W",if(LEFT(VLOOKUP($B440,'Round 3'!$F$2:$H$361,3,false),1)="a","L","")))</f>
        <v>W</v>
      </c>
      <c r="G440" s="67" t="str">
        <f>iferror(if(LEFT(VLOOKUP($B440,'Round 4'!$B$2:$H$361,7,false),1)="A","W",if(LEFT(VLOOKUP($B440,'Round 4'!$B$2:$H$361,7,false),1)="B","L","")),if(LEFT(VLOOKUP($B440,'Round 4'!$F$2:$H$361,3,false),1)="b","W",if(LEFT(VLOOKUP($B440,'Round 4'!$F$2:$H$361,3,false),1)="a","L","")))</f>
        <v>W</v>
      </c>
      <c r="H440" s="67" t="str">
        <f>iferror(if(LEFT(VLOOKUP($B440,'Round 5'!$B$2:$H$361,7,false),1)="A","W",if(LEFT(VLOOKUP($B440,'Round 5'!$B$2:$H$361,7,false),1)="B","L","")),if(LEFT(VLOOKUP($B440,'Round 5'!$F$2:$H$361,3,false),1)="b","W",if(LEFT(VLOOKUP($B440,'Round 5'!$F$2:$H$361,3,false),1)="a","L","")))</f>
        <v>L</v>
      </c>
      <c r="I440" s="67"/>
      <c r="J440" s="67" t="str">
        <f>iferror(iferror(if(LEFT(VLOOKUP($B440,'Round 7'!$B$2:$H$361,7,false),1)="A","W",if(LEFT(VLOOKUP($B440,'Round 7'!$B$2:$H$361,7,false),1)="B","L","")),if(LEFT(VLOOKUP($B440,'Round 7'!$F$2:$H$361,3,false),1)="b","W",if(LEFT(VLOOKUP($B440,'Round 7'!$F$2:$H$361,3,false),1)="a","L",""))),"")</f>
        <v/>
      </c>
      <c r="K440" s="68" t="str">
        <f>iferror(iferror(if(LEFT(VLOOKUP($B440,'Round 8'!$B$2:$H$361,7,false),1)="A","W",if(LEFT(VLOOKUP($B440,'Round 8'!$B$2:$H$361,7,false),1)="B","L","")),if(LEFT(VLOOKUP($B440,'Round 8'!$F$2:$H$361,3,false),1)="b","W",if(LEFT(VLOOKUP($B440,'Round 8'!$F$2:$H$361,3,false),1)="a","L",""))),"")</f>
        <v/>
      </c>
      <c r="L440" s="68" t="str">
        <f>iferror(iferror(if(LEFT(VLOOKUP($B440,'Round 9'!$B$2:$H$361,7,false),1)="A","W",if(LEFT(VLOOKUP($B440,'Round 9'!$B$2:$H$361,7,false),1)="B","L","")),if(LEFT(VLOOKUP($B440,'Round 9'!$F$2:$H$361,3,false),1)="b","W",if(LEFT(VLOOKUP($B440,'Round 9'!$F$2:$H$361,3,false),1)="a","L",""))),"")</f>
        <v/>
      </c>
      <c r="M440" s="68" t="str">
        <f>iferror(iferror(if(LEFT(VLOOKUP($B440,'Round 10'!$B$2:$H$362,7,false),1)="A","W",if(LEFT(VLOOKUP($B440,'Round 10'!$B$2:$H$362,7,false),1)="B","L","")),if(LEFT(VLOOKUP($B440,'Round 10'!$F$2:$H$362,3,false),1)="b","W",if(LEFT(VLOOKUP($B440,'Round 10'!$F$2:$H$362,3,false),1)="a","L",""))),"")</f>
        <v/>
      </c>
      <c r="N440" s="62" t="s">
        <v>935</v>
      </c>
    </row>
    <row r="441">
      <c r="A441" s="63">
        <v>440.0</v>
      </c>
      <c r="B441" s="64" t="s">
        <v>936</v>
      </c>
      <c r="C441" s="65" t="str">
        <f t="shared" si="1"/>
        <v>1 - 3</v>
      </c>
      <c r="D441" s="67" t="str">
        <f>iferror(if(LEFT(VLOOKUP($B441,'Round 1'!$B$2:$H$361,7,false),1)="A","W",if(LEFT(VLOOKUP($B441,'Round 1'!$B$2:$H$361,7,false),1)="B","L","")),if(LEFT(VLOOKUP($B441,'Round 1'!$F$2:$H$361,3,false),1)="b","W",if(LEFT(VLOOKUP($B441,'Round 1'!$F$2:$H$361,3,false),1)="a","L","")))</f>
        <v>W</v>
      </c>
      <c r="E441" s="67" t="str">
        <f>iferror(if(LEFT(VLOOKUP($B441,'Round 2'!$C$2:$J$361,8,false),1)="A","W",if(LEFT(VLOOKUP($B441,'Round 2'!$C$2:$J$361,8,false),1)="B","L","")),if(LEFT(VLOOKUP($B441,'Round 2'!$G$2:$J$361,4,false),1)="b","W",if(LEFT(VLOOKUP($B441,'Round 2'!$G$2:$J$361,4,false),1)="a","L","")))</f>
        <v>L</v>
      </c>
      <c r="F441" s="67" t="str">
        <f>iferror(if(LEFT(VLOOKUP($B441,'Round 3'!$B$2:$H$361,7,false),1)="A","W",if(LEFT(VLOOKUP($B441,'Round 3'!$B$2:$H$361,7,false),1)="B","L","")),if(LEFT(VLOOKUP($B441,'Round 3'!$F$2:$H$361,3,false),1)="b","W",if(LEFT(VLOOKUP($B441,'Round 3'!$F$2:$H$361,3,false),1)="a","L","")))</f>
        <v>L</v>
      </c>
      <c r="G441" s="67" t="str">
        <f>iferror(if(LEFT(VLOOKUP($B441,'Round 4'!$B$2:$H$361,7,false),1)="A","W",if(LEFT(VLOOKUP($B441,'Round 4'!$B$2:$H$361,7,false),1)="B","L","")),if(LEFT(VLOOKUP($B441,'Round 4'!$F$2:$H$361,3,false),1)="b","W",if(LEFT(VLOOKUP($B441,'Round 4'!$F$2:$H$361,3,false),1)="a","L","")))</f>
        <v>L</v>
      </c>
      <c r="H441" s="67"/>
      <c r="I441" s="67"/>
      <c r="J441" s="67" t="str">
        <f>iferror(iferror(if(LEFT(VLOOKUP($B441,'Round 7'!$B$2:$H$361,7,false),1)="A","W",if(LEFT(VLOOKUP($B441,'Round 7'!$B$2:$H$361,7,false),1)="B","L","")),if(LEFT(VLOOKUP($B441,'Round 7'!$F$2:$H$361,3,false),1)="b","W",if(LEFT(VLOOKUP($B441,'Round 7'!$F$2:$H$361,3,false),1)="a","L",""))),"")</f>
        <v/>
      </c>
      <c r="K441" s="68" t="str">
        <f>iferror(iferror(if(LEFT(VLOOKUP($B441,'Round 8'!$B$2:$H$361,7,false),1)="A","W",if(LEFT(VLOOKUP($B441,'Round 8'!$B$2:$H$361,7,false),1)="B","L","")),if(LEFT(VLOOKUP($B441,'Round 8'!$F$2:$H$361,3,false),1)="b","W",if(LEFT(VLOOKUP($B441,'Round 8'!$F$2:$H$361,3,false),1)="a","L",""))),"")</f>
        <v/>
      </c>
      <c r="L441" s="68" t="str">
        <f>iferror(iferror(if(LEFT(VLOOKUP($B441,'Round 9'!$B$2:$H$361,7,false),1)="A","W",if(LEFT(VLOOKUP($B441,'Round 9'!$B$2:$H$361,7,false),1)="B","L","")),if(LEFT(VLOOKUP($B441,'Round 9'!$F$2:$H$361,3,false),1)="b","W",if(LEFT(VLOOKUP($B441,'Round 9'!$F$2:$H$361,3,false),1)="a","L",""))),"")</f>
        <v/>
      </c>
      <c r="M441" s="68" t="str">
        <f>iferror(iferror(if(LEFT(VLOOKUP($B441,'Round 10'!$B$2:$H$362,7,false),1)="A","W",if(LEFT(VLOOKUP($B441,'Round 10'!$B$2:$H$362,7,false),1)="B","L","")),if(LEFT(VLOOKUP($B441,'Round 10'!$F$2:$H$362,3,false),1)="b","W",if(LEFT(VLOOKUP($B441,'Round 10'!$F$2:$H$362,3,false),1)="a","L",""))),"")</f>
        <v/>
      </c>
      <c r="N441" s="62" t="s">
        <v>937</v>
      </c>
    </row>
    <row r="442">
      <c r="A442" s="63">
        <v>441.0</v>
      </c>
      <c r="B442" s="64" t="s">
        <v>938</v>
      </c>
      <c r="C442" s="65" t="str">
        <f t="shared" si="1"/>
        <v>2 - 3</v>
      </c>
      <c r="D442" s="67" t="str">
        <f>iferror(if(LEFT(VLOOKUP($B442,'Round 1'!$B$2:$H$361,7,false),1)="A","W",if(LEFT(VLOOKUP($B442,'Round 1'!$B$2:$H$361,7,false),1)="B","L","")),if(LEFT(VLOOKUP($B442,'Round 1'!$F$2:$H$361,3,false),1)="b","W",if(LEFT(VLOOKUP($B442,'Round 1'!$F$2:$H$361,3,false),1)="a","L","")))</f>
        <v>W</v>
      </c>
      <c r="E442" s="67" t="str">
        <f>iferror(if(LEFT(VLOOKUP($B442,'Round 2'!$C$2:$J$361,8,false),1)="A","W",if(LEFT(VLOOKUP($B442,'Round 2'!$C$2:$J$361,8,false),1)="B","L","")),if(LEFT(VLOOKUP($B442,'Round 2'!$G$2:$J$361,4,false),1)="b","W",if(LEFT(VLOOKUP($B442,'Round 2'!$G$2:$J$361,4,false),1)="a","L","")))</f>
        <v>L</v>
      </c>
      <c r="F442" s="67" t="str">
        <f>iferror(if(LEFT(VLOOKUP($B442,'Round 3'!$B$2:$H$361,7,false),1)="A","W",if(LEFT(VLOOKUP($B442,'Round 3'!$B$2:$H$361,7,false),1)="B","L","")),if(LEFT(VLOOKUP($B442,'Round 3'!$F$2:$H$361,3,false),1)="b","W",if(LEFT(VLOOKUP($B442,'Round 3'!$F$2:$H$361,3,false),1)="a","L","")))</f>
        <v>W</v>
      </c>
      <c r="G442" s="67" t="str">
        <f>iferror(if(LEFT(VLOOKUP($B442,'Round 4'!$B$2:$H$361,7,false),1)="A","W",if(LEFT(VLOOKUP($B442,'Round 4'!$B$2:$H$361,7,false),1)="B","L","")),if(LEFT(VLOOKUP($B442,'Round 4'!$F$2:$H$361,3,false),1)="b","W",if(LEFT(VLOOKUP($B442,'Round 4'!$F$2:$H$361,3,false),1)="a","L","")))</f>
        <v>L</v>
      </c>
      <c r="H442" s="67" t="str">
        <f>iferror(if(LEFT(VLOOKUP($B442,'Round 5'!$B$2:$H$361,7,false),1)="A","W",if(LEFT(VLOOKUP($B442,'Round 5'!$B$2:$H$361,7,false),1)="B","L","")),if(LEFT(VLOOKUP($B442,'Round 5'!$F$2:$H$361,3,false),1)="b","W",if(LEFT(VLOOKUP($B442,'Round 5'!$F$2:$H$361,3,false),1)="a","L","")))</f>
        <v>L</v>
      </c>
      <c r="I442" s="67"/>
      <c r="J442" s="67" t="str">
        <f>iferror(iferror(if(LEFT(VLOOKUP($B442,'Round 7'!$B$2:$H$361,7,false),1)="A","W",if(LEFT(VLOOKUP($B442,'Round 7'!$B$2:$H$361,7,false),1)="B","L","")),if(LEFT(VLOOKUP($B442,'Round 7'!$F$2:$H$361,3,false),1)="b","W",if(LEFT(VLOOKUP($B442,'Round 7'!$F$2:$H$361,3,false),1)="a","L",""))),"")</f>
        <v/>
      </c>
      <c r="K442" s="68" t="str">
        <f>iferror(iferror(if(LEFT(VLOOKUP($B442,'Round 8'!$B$2:$H$361,7,false),1)="A","W",if(LEFT(VLOOKUP($B442,'Round 8'!$B$2:$H$361,7,false),1)="B","L","")),if(LEFT(VLOOKUP($B442,'Round 8'!$F$2:$H$361,3,false),1)="b","W",if(LEFT(VLOOKUP($B442,'Round 8'!$F$2:$H$361,3,false),1)="a","L",""))),"")</f>
        <v/>
      </c>
      <c r="L442" s="68" t="str">
        <f>iferror(iferror(if(LEFT(VLOOKUP($B442,'Round 9'!$B$2:$H$361,7,false),1)="A","W",if(LEFT(VLOOKUP($B442,'Round 9'!$B$2:$H$361,7,false),1)="B","L","")),if(LEFT(VLOOKUP($B442,'Round 9'!$F$2:$H$361,3,false),1)="b","W",if(LEFT(VLOOKUP($B442,'Round 9'!$F$2:$H$361,3,false),1)="a","L",""))),"")</f>
        <v/>
      </c>
      <c r="M442" s="68" t="str">
        <f>iferror(iferror(if(LEFT(VLOOKUP($B442,'Round 10'!$B$2:$H$362,7,false),1)="A","W",if(LEFT(VLOOKUP($B442,'Round 10'!$B$2:$H$362,7,false),1)="B","L","")),if(LEFT(VLOOKUP($B442,'Round 10'!$F$2:$H$362,3,false),1)="b","W",if(LEFT(VLOOKUP($B442,'Round 10'!$F$2:$H$362,3,false),1)="a","L",""))),"")</f>
        <v/>
      </c>
      <c r="N442" s="62" t="s">
        <v>939</v>
      </c>
    </row>
    <row r="443">
      <c r="A443" s="63">
        <v>442.0</v>
      </c>
      <c r="B443" s="64" t="s">
        <v>940</v>
      </c>
      <c r="C443" s="65" t="str">
        <f t="shared" si="1"/>
        <v>6 - 3</v>
      </c>
      <c r="D443" s="67" t="str">
        <f>iferror(if(LEFT(VLOOKUP($B443,'Round 1'!$B$2:$H$361,7,false),1)="A","W",if(LEFT(VLOOKUP($B443,'Round 1'!$B$2:$H$361,7,false),1)="B","L","")),if(LEFT(VLOOKUP($B443,'Round 1'!$F$2:$H$361,3,false),1)="b","W",if(LEFT(VLOOKUP($B443,'Round 1'!$F$2:$H$361,3,false),1)="a","L","")))</f>
        <v>W</v>
      </c>
      <c r="E443" s="67" t="str">
        <f>iferror(if(LEFT(VLOOKUP($B443,'Round 2'!$C$2:$J$361,8,false),1)="A","W",if(LEFT(VLOOKUP($B443,'Round 2'!$C$2:$J$361,8,false),1)="B","L","")),if(LEFT(VLOOKUP($B443,'Round 2'!$G$2:$J$361,4,false),1)="b","W",if(LEFT(VLOOKUP($B443,'Round 2'!$G$2:$J$361,4,false),1)="a","L","")))</f>
        <v>W</v>
      </c>
      <c r="F443" s="67" t="str">
        <f>iferror(if(LEFT(VLOOKUP($B443,'Round 3'!$B$2:$H$361,7,false),1)="A","W",if(LEFT(VLOOKUP($B443,'Round 3'!$B$2:$H$361,7,false),1)="B","L","")),if(LEFT(VLOOKUP($B443,'Round 3'!$F$2:$H$361,3,false),1)="b","W",if(LEFT(VLOOKUP($B443,'Round 3'!$F$2:$H$361,3,false),1)="a","L","")))</f>
        <v>L</v>
      </c>
      <c r="G443" s="67" t="str">
        <f>iferror(if(LEFT(VLOOKUP($B443,'Round 4'!$B$2:$H$361,7,false),1)="A","W",if(LEFT(VLOOKUP($B443,'Round 4'!$B$2:$H$361,7,false),1)="B","L","")),if(LEFT(VLOOKUP($B443,'Round 4'!$F$2:$H$361,3,false),1)="b","W",if(LEFT(VLOOKUP($B443,'Round 4'!$F$2:$H$361,3,false),1)="a","L","")))</f>
        <v>W</v>
      </c>
      <c r="H443" s="67" t="str">
        <f>iferror(if(LEFT(VLOOKUP($B443,'Round 5'!$B$2:$H$361,7,false),1)="A","W",if(LEFT(VLOOKUP($B443,'Round 5'!$B$2:$H$361,7,false),1)="B","L","")),if(LEFT(VLOOKUP($B443,'Round 5'!$F$2:$H$361,3,false),1)="b","W",if(LEFT(VLOOKUP($B443,'Round 5'!$F$2:$H$361,3,false),1)="a","L","")))</f>
        <v>L</v>
      </c>
      <c r="I443" s="67" t="str">
        <f>iferror(if(LEFT(VLOOKUP($B443,'Round 6'!$B$2:$H$361,7,false),1)="A","W",if(LEFT(VLOOKUP($B443,'Round 6'!$B$2:$H$361,7,false),1)="B","L","")),if(LEFT(VLOOKUP($B443,'Round 6'!$F$2:$H$361,3,false),1)="b","W",if(LEFT(VLOOKUP($B443,'Round 6'!$F$2:$H$361,3,false),1)="a","L","")))</f>
        <v>W</v>
      </c>
      <c r="J443" s="67" t="str">
        <f>iferror(iferror(if(LEFT(VLOOKUP($B443,'Round 7'!$B$2:$H$361,7,false),1)="A","W",if(LEFT(VLOOKUP($B443,'Round 7'!$B$2:$H$361,7,false),1)="B","L","")),if(LEFT(VLOOKUP($B443,'Round 7'!$F$2:$H$361,3,false),1)="b","W",if(LEFT(VLOOKUP($B443,'Round 7'!$F$2:$H$361,3,false),1)="a","L",""))),"")</f>
        <v>W</v>
      </c>
      <c r="K443" s="68" t="str">
        <f>iferror(iferror(if(LEFT(VLOOKUP($B443,'Round 8'!$B$2:$H$361,7,false),1)="A","W",if(LEFT(VLOOKUP($B443,'Round 8'!$B$2:$H$361,7,false),1)="B","L","")),if(LEFT(VLOOKUP($B443,'Round 8'!$F$2:$H$361,3,false),1)="b","W",if(LEFT(VLOOKUP($B443,'Round 8'!$F$2:$H$361,3,false),1)="a","L",""))),"")</f>
        <v>W</v>
      </c>
      <c r="L443" s="68" t="str">
        <f>iferror(iferror(if(LEFT(VLOOKUP($B443,'Round 9'!$B$2:$H$361,7,false),1)="A","W",if(LEFT(VLOOKUP($B443,'Round 9'!$B$2:$H$361,7,false),1)="B","L","")),if(LEFT(VLOOKUP($B443,'Round 9'!$F$2:$H$361,3,false),1)="b","W",if(LEFT(VLOOKUP($B443,'Round 9'!$F$2:$H$361,3,false),1)="a","L",""))),"")</f>
        <v>L</v>
      </c>
      <c r="M443" s="68" t="str">
        <f>iferror(iferror(if(LEFT(VLOOKUP($B443,'Round 10'!$B$2:$H$362,7,false),1)="A","W",if(LEFT(VLOOKUP($B443,'Round 10'!$B$2:$H$362,7,false),1)="B","L","")),if(LEFT(VLOOKUP($B443,'Round 10'!$F$2:$H$362,3,false),1)="b","W",if(LEFT(VLOOKUP($B443,'Round 10'!$F$2:$H$362,3,false),1)="a","L",""))),"")</f>
        <v/>
      </c>
      <c r="N443" s="62" t="s">
        <v>941</v>
      </c>
    </row>
    <row r="444">
      <c r="A444" s="63">
        <v>443.0</v>
      </c>
      <c r="B444" s="64" t="s">
        <v>942</v>
      </c>
      <c r="C444" s="65" t="str">
        <f t="shared" si="1"/>
        <v>0 - 3</v>
      </c>
      <c r="D444" s="67" t="str">
        <f>iferror(if(LEFT(VLOOKUP($B444,'Round 1'!$B$2:$H$361,7,false),1)="A","W",if(LEFT(VLOOKUP($B444,'Round 1'!$B$2:$H$361,7,false),1)="B","L","")),if(LEFT(VLOOKUP($B444,'Round 1'!$F$2:$H$361,3,false),1)="b","W",if(LEFT(VLOOKUP($B444,'Round 1'!$F$2:$H$361,3,false),1)="a","L","")))</f>
        <v>L</v>
      </c>
      <c r="E444" s="67" t="str">
        <f>iferror(if(LEFT(VLOOKUP($B444,'Round 2'!$C$2:$J$361,8,false),1)="A","W",if(LEFT(VLOOKUP($B444,'Round 2'!$C$2:$J$361,8,false),1)="B","L","")),if(LEFT(VLOOKUP($B444,'Round 2'!$G$2:$J$361,4,false),1)="b","W",if(LEFT(VLOOKUP($B444,'Round 2'!$G$2:$J$361,4,false),1)="a","L","")))</f>
        <v>L</v>
      </c>
      <c r="F444" s="67" t="str">
        <f>iferror(if(LEFT(VLOOKUP($B444,'Round 3'!$B$2:$H$361,7,false),1)="A","W",if(LEFT(VLOOKUP($B444,'Round 3'!$B$2:$H$361,7,false),1)="B","L","")),if(LEFT(VLOOKUP($B444,'Round 3'!$F$2:$H$361,3,false),1)="b","W",if(LEFT(VLOOKUP($B444,'Round 3'!$F$2:$H$361,3,false),1)="a","L","")))</f>
        <v>L</v>
      </c>
      <c r="G444" s="67"/>
      <c r="H444" s="67"/>
      <c r="I444" s="67"/>
      <c r="J444" s="67" t="str">
        <f>iferror(iferror(if(LEFT(VLOOKUP($B444,'Round 7'!$B$2:$H$361,7,false),1)="A","W",if(LEFT(VLOOKUP($B444,'Round 7'!$B$2:$H$361,7,false),1)="B","L","")),if(LEFT(VLOOKUP($B444,'Round 7'!$F$2:$H$361,3,false),1)="b","W",if(LEFT(VLOOKUP($B444,'Round 7'!$F$2:$H$361,3,false),1)="a","L",""))),"")</f>
        <v/>
      </c>
      <c r="K444" s="68" t="str">
        <f>iferror(iferror(if(LEFT(VLOOKUP($B444,'Round 8'!$B$2:$H$361,7,false),1)="A","W",if(LEFT(VLOOKUP($B444,'Round 8'!$B$2:$H$361,7,false),1)="B","L","")),if(LEFT(VLOOKUP($B444,'Round 8'!$F$2:$H$361,3,false),1)="b","W",if(LEFT(VLOOKUP($B444,'Round 8'!$F$2:$H$361,3,false),1)="a","L",""))),"")</f>
        <v/>
      </c>
      <c r="L444" s="68" t="str">
        <f>iferror(iferror(if(LEFT(VLOOKUP($B444,'Round 9'!$B$2:$H$361,7,false),1)="A","W",if(LEFT(VLOOKUP($B444,'Round 9'!$B$2:$H$361,7,false),1)="B","L","")),if(LEFT(VLOOKUP($B444,'Round 9'!$F$2:$H$361,3,false),1)="b","W",if(LEFT(VLOOKUP($B444,'Round 9'!$F$2:$H$361,3,false),1)="a","L",""))),"")</f>
        <v/>
      </c>
      <c r="M444" s="68" t="str">
        <f>iferror(iferror(if(LEFT(VLOOKUP($B444,'Round 10'!$B$2:$H$362,7,false),1)="A","W",if(LEFT(VLOOKUP($B444,'Round 10'!$B$2:$H$362,7,false),1)="B","L","")),if(LEFT(VLOOKUP($B444,'Round 10'!$F$2:$H$362,3,false),1)="b","W",if(LEFT(VLOOKUP($B444,'Round 10'!$F$2:$H$362,3,false),1)="a","L",""))),"")</f>
        <v/>
      </c>
      <c r="N444" s="62" t="s">
        <v>943</v>
      </c>
    </row>
    <row r="445">
      <c r="A445" s="63">
        <v>444.0</v>
      </c>
      <c r="B445" s="64" t="s">
        <v>944</v>
      </c>
      <c r="C445" s="65" t="str">
        <f t="shared" si="1"/>
        <v>1 - 3</v>
      </c>
      <c r="D445" s="67" t="str">
        <f>iferror(if(LEFT(VLOOKUP($B445,'Round 1'!$B$2:$H$361,7,false),1)="A","W",if(LEFT(VLOOKUP($B445,'Round 1'!$B$2:$H$361,7,false),1)="B","L","")),if(LEFT(VLOOKUP($B445,'Round 1'!$F$2:$H$361,3,false),1)="b","W",if(LEFT(VLOOKUP($B445,'Round 1'!$F$2:$H$361,3,false),1)="a","L","")))</f>
        <v>W</v>
      </c>
      <c r="E445" s="67" t="str">
        <f>iferror(if(LEFT(VLOOKUP($B445,'Round 2'!$C$2:$J$361,8,false),1)="A","W",if(LEFT(VLOOKUP($B445,'Round 2'!$C$2:$J$361,8,false),1)="B","L","")),if(LEFT(VLOOKUP($B445,'Round 2'!$G$2:$J$361,4,false),1)="b","W",if(LEFT(VLOOKUP($B445,'Round 2'!$G$2:$J$361,4,false),1)="a","L","")))</f>
        <v>L</v>
      </c>
      <c r="F445" s="67" t="str">
        <f>iferror(if(LEFT(VLOOKUP($B445,'Round 3'!$B$2:$H$361,7,false),1)="A","W",if(LEFT(VLOOKUP($B445,'Round 3'!$B$2:$H$361,7,false),1)="B","L","")),if(LEFT(VLOOKUP($B445,'Round 3'!$F$2:$H$361,3,false),1)="b","W",if(LEFT(VLOOKUP($B445,'Round 3'!$F$2:$H$361,3,false),1)="a","L","")))</f>
        <v>L</v>
      </c>
      <c r="G445" s="67" t="str">
        <f>iferror(if(LEFT(VLOOKUP($B445,'Round 4'!$B$2:$H$361,7,false),1)="A","W",if(LEFT(VLOOKUP($B445,'Round 4'!$B$2:$H$361,7,false),1)="B","L","")),if(LEFT(VLOOKUP($B445,'Round 4'!$F$2:$H$361,3,false),1)="b","W",if(LEFT(VLOOKUP($B445,'Round 4'!$F$2:$H$361,3,false),1)="a","L","")))</f>
        <v>L</v>
      </c>
      <c r="H445" s="67"/>
      <c r="I445" s="67"/>
      <c r="J445" s="67" t="str">
        <f>iferror(iferror(if(LEFT(VLOOKUP($B445,'Round 7'!$B$2:$H$361,7,false),1)="A","W",if(LEFT(VLOOKUP($B445,'Round 7'!$B$2:$H$361,7,false),1)="B","L","")),if(LEFT(VLOOKUP($B445,'Round 7'!$F$2:$H$361,3,false),1)="b","W",if(LEFT(VLOOKUP($B445,'Round 7'!$F$2:$H$361,3,false),1)="a","L",""))),"")</f>
        <v/>
      </c>
      <c r="K445" s="68" t="str">
        <f>iferror(iferror(if(LEFT(VLOOKUP($B445,'Round 8'!$B$2:$H$361,7,false),1)="A","W",if(LEFT(VLOOKUP($B445,'Round 8'!$B$2:$H$361,7,false),1)="B","L","")),if(LEFT(VLOOKUP($B445,'Round 8'!$F$2:$H$361,3,false),1)="b","W",if(LEFT(VLOOKUP($B445,'Round 8'!$F$2:$H$361,3,false),1)="a","L",""))),"")</f>
        <v/>
      </c>
      <c r="L445" s="68" t="str">
        <f>iferror(iferror(if(LEFT(VLOOKUP($B445,'Round 9'!$B$2:$H$361,7,false),1)="A","W",if(LEFT(VLOOKUP($B445,'Round 9'!$B$2:$H$361,7,false),1)="B","L","")),if(LEFT(VLOOKUP($B445,'Round 9'!$F$2:$H$361,3,false),1)="b","W",if(LEFT(VLOOKUP($B445,'Round 9'!$F$2:$H$361,3,false),1)="a","L",""))),"")</f>
        <v/>
      </c>
      <c r="M445" s="68" t="str">
        <f>iferror(iferror(if(LEFT(VLOOKUP($B445,'Round 10'!$B$2:$H$362,7,false),1)="A","W",if(LEFT(VLOOKUP($B445,'Round 10'!$B$2:$H$362,7,false),1)="B","L","")),if(LEFT(VLOOKUP($B445,'Round 10'!$F$2:$H$362,3,false),1)="b","W",if(LEFT(VLOOKUP($B445,'Round 10'!$F$2:$H$362,3,false),1)="a","L",""))),"")</f>
        <v/>
      </c>
      <c r="N445" s="62" t="s">
        <v>945</v>
      </c>
    </row>
    <row r="446">
      <c r="A446" s="63">
        <v>445.0</v>
      </c>
      <c r="B446" s="64" t="s">
        <v>946</v>
      </c>
      <c r="C446" s="65" t="str">
        <f t="shared" si="1"/>
        <v>2 - 3</v>
      </c>
      <c r="D446" s="67" t="str">
        <f>iferror(if(LEFT(VLOOKUP($B446,'Round 1'!$B$2:$H$361,7,false),1)="A","W",if(LEFT(VLOOKUP($B446,'Round 1'!$B$2:$H$361,7,false),1)="B","L","")),if(LEFT(VLOOKUP($B446,'Round 1'!$F$2:$H$361,3,false),1)="b","W",if(LEFT(VLOOKUP($B446,'Round 1'!$F$2:$H$361,3,false),1)="a","L","")))</f>
        <v>W</v>
      </c>
      <c r="E446" s="67" t="str">
        <f>iferror(if(LEFT(VLOOKUP($B446,'Round 2'!$C$2:$J$361,8,false),1)="A","W",if(LEFT(VLOOKUP($B446,'Round 2'!$C$2:$J$361,8,false),1)="B","L","")),if(LEFT(VLOOKUP($B446,'Round 2'!$G$2:$J$361,4,false),1)="b","W",if(LEFT(VLOOKUP($B446,'Round 2'!$G$2:$J$361,4,false),1)="a","L","")))</f>
        <v>L</v>
      </c>
      <c r="F446" s="67" t="str">
        <f>iferror(if(LEFT(VLOOKUP($B446,'Round 3'!$B$2:$H$361,7,false),1)="A","W",if(LEFT(VLOOKUP($B446,'Round 3'!$B$2:$H$361,7,false),1)="B","L","")),if(LEFT(VLOOKUP($B446,'Round 3'!$F$2:$H$361,3,false),1)="b","W",if(LEFT(VLOOKUP($B446,'Round 3'!$F$2:$H$361,3,false),1)="a","L","")))</f>
        <v>W</v>
      </c>
      <c r="G446" s="67" t="str">
        <f>iferror(if(LEFT(VLOOKUP($B446,'Round 4'!$B$2:$H$361,7,false),1)="A","W",if(LEFT(VLOOKUP($B446,'Round 4'!$B$2:$H$361,7,false),1)="B","L","")),if(LEFT(VLOOKUP($B446,'Round 4'!$F$2:$H$361,3,false),1)="b","W",if(LEFT(VLOOKUP($B446,'Round 4'!$F$2:$H$361,3,false),1)="a","L","")))</f>
        <v>L</v>
      </c>
      <c r="H446" s="67" t="str">
        <f>iferror(if(LEFT(VLOOKUP($B446,'Round 5'!$B$2:$H$361,7,false),1)="A","W",if(LEFT(VLOOKUP($B446,'Round 5'!$B$2:$H$361,7,false),1)="B","L","")),if(LEFT(VLOOKUP($B446,'Round 5'!$F$2:$H$361,3,false),1)="b","W",if(LEFT(VLOOKUP($B446,'Round 5'!$F$2:$H$361,3,false),1)="a","L","")))</f>
        <v>L</v>
      </c>
      <c r="I446" s="67"/>
      <c r="J446" s="67" t="str">
        <f>iferror(iferror(if(LEFT(VLOOKUP($B446,'Round 7'!$B$2:$H$361,7,false),1)="A","W",if(LEFT(VLOOKUP($B446,'Round 7'!$B$2:$H$361,7,false),1)="B","L","")),if(LEFT(VLOOKUP($B446,'Round 7'!$F$2:$H$361,3,false),1)="b","W",if(LEFT(VLOOKUP($B446,'Round 7'!$F$2:$H$361,3,false),1)="a","L",""))),"")</f>
        <v/>
      </c>
      <c r="K446" s="68" t="str">
        <f>iferror(iferror(if(LEFT(VLOOKUP($B446,'Round 8'!$B$2:$H$361,7,false),1)="A","W",if(LEFT(VLOOKUP($B446,'Round 8'!$B$2:$H$361,7,false),1)="B","L","")),if(LEFT(VLOOKUP($B446,'Round 8'!$F$2:$H$361,3,false),1)="b","W",if(LEFT(VLOOKUP($B446,'Round 8'!$F$2:$H$361,3,false),1)="a","L",""))),"")</f>
        <v/>
      </c>
      <c r="L446" s="68" t="str">
        <f>iferror(iferror(if(LEFT(VLOOKUP($B446,'Round 9'!$B$2:$H$361,7,false),1)="A","W",if(LEFT(VLOOKUP($B446,'Round 9'!$B$2:$H$361,7,false),1)="B","L","")),if(LEFT(VLOOKUP($B446,'Round 9'!$F$2:$H$361,3,false),1)="b","W",if(LEFT(VLOOKUP($B446,'Round 9'!$F$2:$H$361,3,false),1)="a","L",""))),"")</f>
        <v/>
      </c>
      <c r="M446" s="68" t="str">
        <f>iferror(iferror(if(LEFT(VLOOKUP($B446,'Round 10'!$B$2:$H$362,7,false),1)="A","W",if(LEFT(VLOOKUP($B446,'Round 10'!$B$2:$H$362,7,false),1)="B","L","")),if(LEFT(VLOOKUP($B446,'Round 10'!$F$2:$H$362,3,false),1)="b","W",if(LEFT(VLOOKUP($B446,'Round 10'!$F$2:$H$362,3,false),1)="a","L",""))),"")</f>
        <v/>
      </c>
      <c r="N446" s="62" t="s">
        <v>947</v>
      </c>
    </row>
    <row r="447">
      <c r="A447" s="63">
        <v>446.0</v>
      </c>
      <c r="B447" s="64" t="s">
        <v>948</v>
      </c>
      <c r="C447" s="65" t="str">
        <f t="shared" si="1"/>
        <v>2 - 3</v>
      </c>
      <c r="D447" s="67" t="str">
        <f>iferror(if(LEFT(VLOOKUP($B447,'Round 1'!$B$2:$H$361,7,false),1)="A","W",if(LEFT(VLOOKUP($B447,'Round 1'!$B$2:$H$361,7,false),1)="B","L","")),if(LEFT(VLOOKUP($B447,'Round 1'!$F$2:$H$361,3,false),1)="b","W",if(LEFT(VLOOKUP($B447,'Round 1'!$F$2:$H$361,3,false),1)="a","L","")))</f>
        <v>L</v>
      </c>
      <c r="E447" s="67" t="str">
        <f>iferror(if(LEFT(VLOOKUP($B447,'Round 2'!$C$2:$J$361,8,false),1)="A","W",if(LEFT(VLOOKUP($B447,'Round 2'!$C$2:$J$361,8,false),1)="B","L","")),if(LEFT(VLOOKUP($B447,'Round 2'!$G$2:$J$361,4,false),1)="b","W",if(LEFT(VLOOKUP($B447,'Round 2'!$G$2:$J$361,4,false),1)="a","L","")))</f>
        <v>W</v>
      </c>
      <c r="F447" s="67" t="str">
        <f>iferror(if(LEFT(VLOOKUP($B447,'Round 3'!$B$2:$H$361,7,false),1)="A","W",if(LEFT(VLOOKUP($B447,'Round 3'!$B$2:$H$361,7,false),1)="B","L","")),if(LEFT(VLOOKUP($B447,'Round 3'!$F$2:$H$361,3,false),1)="b","W",if(LEFT(VLOOKUP($B447,'Round 3'!$F$2:$H$361,3,false),1)="a","L","")))</f>
        <v>W</v>
      </c>
      <c r="G447" s="67" t="str">
        <f>iferror(if(LEFT(VLOOKUP($B447,'Round 4'!$B$2:$H$361,7,false),1)="A","W",if(LEFT(VLOOKUP($B447,'Round 4'!$B$2:$H$361,7,false),1)="B","L","")),if(LEFT(VLOOKUP($B447,'Round 4'!$F$2:$H$361,3,false),1)="b","W",if(LEFT(VLOOKUP($B447,'Round 4'!$F$2:$H$361,3,false),1)="a","L","")))</f>
        <v>L</v>
      </c>
      <c r="H447" s="67" t="str">
        <f>iferror(if(LEFT(VLOOKUP($B447,'Round 5'!$B$2:$H$361,7,false),1)="A","W",if(LEFT(VLOOKUP($B447,'Round 5'!$B$2:$H$361,7,false),1)="B","L","")),if(LEFT(VLOOKUP($B447,'Round 5'!$F$2:$H$361,3,false),1)="b","W",if(LEFT(VLOOKUP($B447,'Round 5'!$F$2:$H$361,3,false),1)="a","L","")))</f>
        <v>L</v>
      </c>
      <c r="I447" s="67"/>
      <c r="J447" s="67" t="str">
        <f>iferror(iferror(if(LEFT(VLOOKUP($B447,'Round 7'!$B$2:$H$361,7,false),1)="A","W",if(LEFT(VLOOKUP($B447,'Round 7'!$B$2:$H$361,7,false),1)="B","L","")),if(LEFT(VLOOKUP($B447,'Round 7'!$F$2:$H$361,3,false),1)="b","W",if(LEFT(VLOOKUP($B447,'Round 7'!$F$2:$H$361,3,false),1)="a","L",""))),"")</f>
        <v/>
      </c>
      <c r="K447" s="68" t="str">
        <f>iferror(iferror(if(LEFT(VLOOKUP($B447,'Round 8'!$B$2:$H$361,7,false),1)="A","W",if(LEFT(VLOOKUP($B447,'Round 8'!$B$2:$H$361,7,false),1)="B","L","")),if(LEFT(VLOOKUP($B447,'Round 8'!$F$2:$H$361,3,false),1)="b","W",if(LEFT(VLOOKUP($B447,'Round 8'!$F$2:$H$361,3,false),1)="a","L",""))),"")</f>
        <v/>
      </c>
      <c r="L447" s="68" t="str">
        <f>iferror(iferror(if(LEFT(VLOOKUP($B447,'Round 9'!$B$2:$H$361,7,false),1)="A","W",if(LEFT(VLOOKUP($B447,'Round 9'!$B$2:$H$361,7,false),1)="B","L","")),if(LEFT(VLOOKUP($B447,'Round 9'!$F$2:$H$361,3,false),1)="b","W",if(LEFT(VLOOKUP($B447,'Round 9'!$F$2:$H$361,3,false),1)="a","L",""))),"")</f>
        <v/>
      </c>
      <c r="M447" s="68" t="str">
        <f>iferror(iferror(if(LEFT(VLOOKUP($B447,'Round 10'!$B$2:$H$362,7,false),1)="A","W",if(LEFT(VLOOKUP($B447,'Round 10'!$B$2:$H$362,7,false),1)="B","L","")),if(LEFT(VLOOKUP($B447,'Round 10'!$F$2:$H$362,3,false),1)="b","W",if(LEFT(VLOOKUP($B447,'Round 10'!$F$2:$H$362,3,false),1)="a","L",""))),"")</f>
        <v/>
      </c>
      <c r="N447" s="62" t="s">
        <v>949</v>
      </c>
    </row>
    <row r="448">
      <c r="A448" s="63">
        <v>447.0</v>
      </c>
      <c r="B448" s="64" t="s">
        <v>950</v>
      </c>
      <c r="C448" s="65" t="str">
        <f t="shared" si="1"/>
        <v>4 - 3</v>
      </c>
      <c r="D448" s="67" t="str">
        <f>iferror(if(LEFT(VLOOKUP($B448,'Round 1'!$B$2:$H$361,7,false),1)="A","W",if(LEFT(VLOOKUP($B448,'Round 1'!$B$2:$H$361,7,false),1)="B","L","")),if(LEFT(VLOOKUP($B448,'Round 1'!$F$2:$H$361,3,false),1)="b","W",if(LEFT(VLOOKUP($B448,'Round 1'!$F$2:$H$361,3,false),1)="a","L","")))</f>
        <v>W</v>
      </c>
      <c r="E448" s="67" t="str">
        <f>iferror(if(LEFT(VLOOKUP($B448,'Round 2'!$C$2:$J$361,8,false),1)="A","W",if(LEFT(VLOOKUP($B448,'Round 2'!$C$2:$J$361,8,false),1)="B","L","")),if(LEFT(VLOOKUP($B448,'Round 2'!$G$2:$J$361,4,false),1)="b","W",if(LEFT(VLOOKUP($B448,'Round 2'!$G$2:$J$361,4,false),1)="a","L","")))</f>
        <v>W</v>
      </c>
      <c r="F448" s="67" t="str">
        <f>iferror(if(LEFT(VLOOKUP($B448,'Round 3'!$B$2:$H$361,7,false),1)="A","W",if(LEFT(VLOOKUP($B448,'Round 3'!$B$2:$H$361,7,false),1)="B","L","")),if(LEFT(VLOOKUP($B448,'Round 3'!$F$2:$H$361,3,false),1)="b","W",if(LEFT(VLOOKUP($B448,'Round 3'!$F$2:$H$361,3,false),1)="a","L","")))</f>
        <v>L</v>
      </c>
      <c r="G448" s="67" t="str">
        <f>iferror(if(LEFT(VLOOKUP($B448,'Round 4'!$B$2:$H$361,7,false),1)="A","W",if(LEFT(VLOOKUP($B448,'Round 4'!$B$2:$H$361,7,false),1)="B","L","")),if(LEFT(VLOOKUP($B448,'Round 4'!$F$2:$H$361,3,false),1)="b","W",if(LEFT(VLOOKUP($B448,'Round 4'!$F$2:$H$361,3,false),1)="a","L","")))</f>
        <v>W</v>
      </c>
      <c r="H448" s="67" t="str">
        <f>iferror(if(LEFT(VLOOKUP($B448,'Round 5'!$B$2:$H$361,7,false),1)="A","W",if(LEFT(VLOOKUP($B448,'Round 5'!$B$2:$H$361,7,false),1)="B","L","")),if(LEFT(VLOOKUP($B448,'Round 5'!$F$2:$H$361,3,false),1)="b","W",if(LEFT(VLOOKUP($B448,'Round 5'!$F$2:$H$361,3,false),1)="a","L","")))</f>
        <v>L</v>
      </c>
      <c r="I448" s="67" t="str">
        <f>iferror(if(LEFT(VLOOKUP($B448,'Round 6'!$B$2:$H$361,7,false),1)="A","W",if(LEFT(VLOOKUP($B448,'Round 6'!$B$2:$H$361,7,false),1)="B","L","")),if(LEFT(VLOOKUP($B448,'Round 6'!$F$2:$H$361,3,false),1)="b","W",if(LEFT(VLOOKUP($B448,'Round 6'!$F$2:$H$361,3,false),1)="a","L","")))</f>
        <v>W</v>
      </c>
      <c r="J448" s="67" t="str">
        <f>iferror(iferror(if(LEFT(VLOOKUP($B448,'Round 7'!$B$2:$H$361,7,false),1)="A","W",if(LEFT(VLOOKUP($B448,'Round 7'!$B$2:$H$361,7,false),1)="B","L","")),if(LEFT(VLOOKUP($B448,'Round 7'!$F$2:$H$361,3,false),1)="b","W",if(LEFT(VLOOKUP($B448,'Round 7'!$F$2:$H$361,3,false),1)="a","L",""))),"")</f>
        <v>L</v>
      </c>
      <c r="K448" s="68" t="str">
        <f>iferror(iferror(if(LEFT(VLOOKUP($B448,'Round 8'!$B$2:$H$361,7,false),1)="A","W",if(LEFT(VLOOKUP($B448,'Round 8'!$B$2:$H$361,7,false),1)="B","L","")),if(LEFT(VLOOKUP($B448,'Round 8'!$F$2:$H$361,3,false),1)="b","W",if(LEFT(VLOOKUP($B448,'Round 8'!$F$2:$H$361,3,false),1)="a","L",""))),"")</f>
        <v/>
      </c>
      <c r="L448" s="68" t="str">
        <f>iferror(iferror(if(LEFT(VLOOKUP($B448,'Round 9'!$B$2:$H$361,7,false),1)="A","W",if(LEFT(VLOOKUP($B448,'Round 9'!$B$2:$H$361,7,false),1)="B","L","")),if(LEFT(VLOOKUP($B448,'Round 9'!$F$2:$H$361,3,false),1)="b","W",if(LEFT(VLOOKUP($B448,'Round 9'!$F$2:$H$361,3,false),1)="a","L",""))),"")</f>
        <v/>
      </c>
      <c r="M448" s="68" t="str">
        <f>iferror(iferror(if(LEFT(VLOOKUP($B448,'Round 10'!$B$2:$H$362,7,false),1)="A","W",if(LEFT(VLOOKUP($B448,'Round 10'!$B$2:$H$362,7,false),1)="B","L","")),if(LEFT(VLOOKUP($B448,'Round 10'!$F$2:$H$362,3,false),1)="b","W",if(LEFT(VLOOKUP($B448,'Round 10'!$F$2:$H$362,3,false),1)="a","L",""))),"")</f>
        <v/>
      </c>
      <c r="N448" s="62" t="s">
        <v>951</v>
      </c>
    </row>
    <row r="449">
      <c r="A449" s="63">
        <v>448.0</v>
      </c>
      <c r="B449" s="64" t="s">
        <v>952</v>
      </c>
      <c r="C449" s="65" t="str">
        <f t="shared" si="1"/>
        <v>4 - 3</v>
      </c>
      <c r="D449" s="67" t="str">
        <f>iferror(if(LEFT(VLOOKUP($B449,'Round 1'!$B$2:$H$361,7,false),1)="A","W",if(LEFT(VLOOKUP($B449,'Round 1'!$B$2:$H$361,7,false),1)="B","L","")),if(LEFT(VLOOKUP($B449,'Round 1'!$F$2:$H$361,3,false),1)="b","W",if(LEFT(VLOOKUP($B449,'Round 1'!$F$2:$H$361,3,false),1)="a","L","")))</f>
        <v>W</v>
      </c>
      <c r="E449" s="67" t="str">
        <f>iferror(if(LEFT(VLOOKUP($B449,'Round 2'!$C$2:$J$361,8,false),1)="A","W",if(LEFT(VLOOKUP($B449,'Round 2'!$C$2:$J$361,8,false),1)="B","L","")),if(LEFT(VLOOKUP($B449,'Round 2'!$G$2:$J$361,4,false),1)="b","W",if(LEFT(VLOOKUP($B449,'Round 2'!$G$2:$J$361,4,false),1)="a","L","")))</f>
        <v>L</v>
      </c>
      <c r="F449" s="67" t="str">
        <f>iferror(if(LEFT(VLOOKUP($B449,'Round 3'!$B$2:$H$361,7,false),1)="A","W",if(LEFT(VLOOKUP($B449,'Round 3'!$B$2:$H$361,7,false),1)="B","L","")),if(LEFT(VLOOKUP($B449,'Round 3'!$F$2:$H$361,3,false),1)="b","W",if(LEFT(VLOOKUP($B449,'Round 3'!$F$2:$H$361,3,false),1)="a","L","")))</f>
        <v>W</v>
      </c>
      <c r="G449" s="67" t="str">
        <f>iferror(if(LEFT(VLOOKUP($B449,'Round 4'!$B$2:$H$361,7,false),1)="A","W",if(LEFT(VLOOKUP($B449,'Round 4'!$B$2:$H$361,7,false),1)="B","L","")),if(LEFT(VLOOKUP($B449,'Round 4'!$F$2:$H$361,3,false),1)="b","W",if(LEFT(VLOOKUP($B449,'Round 4'!$F$2:$H$361,3,false),1)="a","L","")))</f>
        <v>W</v>
      </c>
      <c r="H449" s="67" t="str">
        <f>iferror(if(LEFT(VLOOKUP($B449,'Round 5'!$B$2:$H$361,7,false),1)="A","W",if(LEFT(VLOOKUP($B449,'Round 5'!$B$2:$H$361,7,false),1)="B","L","")),if(LEFT(VLOOKUP($B449,'Round 5'!$F$2:$H$361,3,false),1)="b","W",if(LEFT(VLOOKUP($B449,'Round 5'!$F$2:$H$361,3,false),1)="a","L","")))</f>
        <v>L</v>
      </c>
      <c r="I449" s="67" t="str">
        <f>iferror(if(LEFT(VLOOKUP($B449,'Round 6'!$B$2:$H$361,7,false),1)="A","W",if(LEFT(VLOOKUP($B449,'Round 6'!$B$2:$H$361,7,false),1)="B","L","")),if(LEFT(VLOOKUP($B449,'Round 6'!$F$2:$H$361,3,false),1)="b","W",if(LEFT(VLOOKUP($B449,'Round 6'!$F$2:$H$361,3,false),1)="a","L","")))</f>
        <v>W</v>
      </c>
      <c r="J449" s="67" t="str">
        <f>iferror(iferror(if(LEFT(VLOOKUP($B449,'Round 7'!$B$2:$H$361,7,false),1)="A","W",if(LEFT(VLOOKUP($B449,'Round 7'!$B$2:$H$361,7,false),1)="B","L","")),if(LEFT(VLOOKUP($B449,'Round 7'!$F$2:$H$361,3,false),1)="b","W",if(LEFT(VLOOKUP($B449,'Round 7'!$F$2:$H$361,3,false),1)="a","L",""))),"")</f>
        <v>L</v>
      </c>
      <c r="K449" s="68" t="str">
        <f>iferror(iferror(if(LEFT(VLOOKUP($B449,'Round 8'!$B$2:$H$361,7,false),1)="A","W",if(LEFT(VLOOKUP($B449,'Round 8'!$B$2:$H$361,7,false),1)="B","L","")),if(LEFT(VLOOKUP($B449,'Round 8'!$F$2:$H$361,3,false),1)="b","W",if(LEFT(VLOOKUP($B449,'Round 8'!$F$2:$H$361,3,false),1)="a","L",""))),"")</f>
        <v/>
      </c>
      <c r="L449" s="68" t="str">
        <f>iferror(iferror(if(LEFT(VLOOKUP($B449,'Round 9'!$B$2:$H$361,7,false),1)="A","W",if(LEFT(VLOOKUP($B449,'Round 9'!$B$2:$H$361,7,false),1)="B","L","")),if(LEFT(VLOOKUP($B449,'Round 9'!$F$2:$H$361,3,false),1)="b","W",if(LEFT(VLOOKUP($B449,'Round 9'!$F$2:$H$361,3,false),1)="a","L",""))),"")</f>
        <v/>
      </c>
      <c r="M449" s="68" t="str">
        <f>iferror(iferror(if(LEFT(VLOOKUP($B449,'Round 10'!$B$2:$H$362,7,false),1)="A","W",if(LEFT(VLOOKUP($B449,'Round 10'!$B$2:$H$362,7,false),1)="B","L","")),if(LEFT(VLOOKUP($B449,'Round 10'!$F$2:$H$362,3,false),1)="b","W",if(LEFT(VLOOKUP($B449,'Round 10'!$F$2:$H$362,3,false),1)="a","L",""))),"")</f>
        <v/>
      </c>
      <c r="N449" s="62" t="s">
        <v>953</v>
      </c>
    </row>
    <row r="450">
      <c r="A450" s="63">
        <v>449.0</v>
      </c>
      <c r="B450" s="64" t="s">
        <v>954</v>
      </c>
      <c r="C450" s="65" t="str">
        <f t="shared" si="1"/>
        <v>3 - 3</v>
      </c>
      <c r="D450" s="67" t="str">
        <f>iferror(if(LEFT(VLOOKUP($B450,'Round 1'!$B$2:$H$361,7,false),1)="A","W",if(LEFT(VLOOKUP($B450,'Round 1'!$B$2:$H$361,7,false),1)="B","L","")),if(LEFT(VLOOKUP($B450,'Round 1'!$F$2:$H$361,3,false),1)="b","W",if(LEFT(VLOOKUP($B450,'Round 1'!$F$2:$H$361,3,false),1)="a","L","")))</f>
        <v>L</v>
      </c>
      <c r="E450" s="67" t="str">
        <f>iferror(if(LEFT(VLOOKUP($B450,'Round 2'!$C$2:$J$361,8,false),1)="A","W",if(LEFT(VLOOKUP($B450,'Round 2'!$C$2:$J$361,8,false),1)="B","L","")),if(LEFT(VLOOKUP($B450,'Round 2'!$G$2:$J$361,4,false),1)="b","W",if(LEFT(VLOOKUP($B450,'Round 2'!$G$2:$J$361,4,false),1)="a","L","")))</f>
        <v>W</v>
      </c>
      <c r="F450" s="67" t="str">
        <f>iferror(if(LEFT(VLOOKUP($B450,'Round 3'!$B$2:$H$361,7,false),1)="A","W",if(LEFT(VLOOKUP($B450,'Round 3'!$B$2:$H$361,7,false),1)="B","L","")),if(LEFT(VLOOKUP($B450,'Round 3'!$F$2:$H$361,3,false),1)="b","W",if(LEFT(VLOOKUP($B450,'Round 3'!$F$2:$H$361,3,false),1)="a","L","")))</f>
        <v>L</v>
      </c>
      <c r="G450" s="67" t="str">
        <f>iferror(if(LEFT(VLOOKUP($B450,'Round 4'!$B$2:$H$361,7,false),1)="A","W",if(LEFT(VLOOKUP($B450,'Round 4'!$B$2:$H$361,7,false),1)="B","L","")),if(LEFT(VLOOKUP($B450,'Round 4'!$F$2:$H$361,3,false),1)="b","W",if(LEFT(VLOOKUP($B450,'Round 4'!$F$2:$H$361,3,false),1)="a","L","")))</f>
        <v>W</v>
      </c>
      <c r="H450" s="67" t="str">
        <f>iferror(if(LEFT(VLOOKUP($B450,'Round 5'!$B$2:$H$361,7,false),1)="A","W",if(LEFT(VLOOKUP($B450,'Round 5'!$B$2:$H$361,7,false),1)="B","L","")),if(LEFT(VLOOKUP($B450,'Round 5'!$F$2:$H$361,3,false),1)="b","W",if(LEFT(VLOOKUP($B450,'Round 5'!$F$2:$H$361,3,false),1)="a","L","")))</f>
        <v>W</v>
      </c>
      <c r="I450" s="67" t="str">
        <f>iferror(if(LEFT(VLOOKUP($B450,'Round 6'!$B$2:$H$361,7,false),1)="A","W",if(LEFT(VLOOKUP($B450,'Round 6'!$B$2:$H$361,7,false),1)="B","L","")),if(LEFT(VLOOKUP($B450,'Round 6'!$F$2:$H$361,3,false),1)="b","W",if(LEFT(VLOOKUP($B450,'Round 6'!$F$2:$H$361,3,false),1)="a","L","")))</f>
        <v>L</v>
      </c>
      <c r="J450" s="67" t="str">
        <f>iferror(iferror(if(LEFT(VLOOKUP($B450,'Round 7'!$B$2:$H$361,7,false),1)="A","W",if(LEFT(VLOOKUP($B450,'Round 7'!$B$2:$H$361,7,false),1)="B","L","")),if(LEFT(VLOOKUP($B450,'Round 7'!$F$2:$H$361,3,false),1)="b","W",if(LEFT(VLOOKUP($B450,'Round 7'!$F$2:$H$361,3,false),1)="a","L",""))),"")</f>
        <v/>
      </c>
      <c r="K450" s="68" t="str">
        <f>iferror(iferror(if(LEFT(VLOOKUP($B450,'Round 8'!$B$2:$H$361,7,false),1)="A","W",if(LEFT(VLOOKUP($B450,'Round 8'!$B$2:$H$361,7,false),1)="B","L","")),if(LEFT(VLOOKUP($B450,'Round 8'!$F$2:$H$361,3,false),1)="b","W",if(LEFT(VLOOKUP($B450,'Round 8'!$F$2:$H$361,3,false),1)="a","L",""))),"")</f>
        <v/>
      </c>
      <c r="L450" s="68" t="str">
        <f>iferror(iferror(if(LEFT(VLOOKUP($B450,'Round 9'!$B$2:$H$361,7,false),1)="A","W",if(LEFT(VLOOKUP($B450,'Round 9'!$B$2:$H$361,7,false),1)="B","L","")),if(LEFT(VLOOKUP($B450,'Round 9'!$F$2:$H$361,3,false),1)="b","W",if(LEFT(VLOOKUP($B450,'Round 9'!$F$2:$H$361,3,false),1)="a","L",""))),"")</f>
        <v/>
      </c>
      <c r="M450" s="68" t="str">
        <f>iferror(iferror(if(LEFT(VLOOKUP($B450,'Round 10'!$B$2:$H$362,7,false),1)="A","W",if(LEFT(VLOOKUP($B450,'Round 10'!$B$2:$H$362,7,false),1)="B","L","")),if(LEFT(VLOOKUP($B450,'Round 10'!$F$2:$H$362,3,false),1)="b","W",if(LEFT(VLOOKUP($B450,'Round 10'!$F$2:$H$362,3,false),1)="a","L",""))),"")</f>
        <v/>
      </c>
      <c r="N450" s="62" t="s">
        <v>955</v>
      </c>
    </row>
    <row r="451">
      <c r="A451" s="63">
        <v>450.0</v>
      </c>
      <c r="B451" s="64" t="s">
        <v>956</v>
      </c>
      <c r="C451" s="65" t="str">
        <f t="shared" si="1"/>
        <v>3 - 3</v>
      </c>
      <c r="D451" s="67" t="str">
        <f>iferror(if(LEFT(VLOOKUP($B451,'Round 1'!$B$2:$H$361,7,false),1)="A","W",if(LEFT(VLOOKUP($B451,'Round 1'!$B$2:$H$361,7,false),1)="B","L","")),if(LEFT(VLOOKUP($B451,'Round 1'!$F$2:$H$361,3,false),1)="b","W",if(LEFT(VLOOKUP($B451,'Round 1'!$F$2:$H$361,3,false),1)="a","L","")))</f>
        <v>W</v>
      </c>
      <c r="E451" s="67" t="str">
        <f>iferror(if(LEFT(VLOOKUP($B451,'Round 2'!$C$2:$J$361,8,false),1)="A","W",if(LEFT(VLOOKUP($B451,'Round 2'!$C$2:$J$361,8,false),1)="B","L","")),if(LEFT(VLOOKUP($B451,'Round 2'!$G$2:$J$361,4,false),1)="b","W",if(LEFT(VLOOKUP($B451,'Round 2'!$G$2:$J$361,4,false),1)="a","L","")))</f>
        <v>L</v>
      </c>
      <c r="F451" s="67" t="str">
        <f>iferror(if(LEFT(VLOOKUP($B451,'Round 3'!$B$2:$H$361,7,false),1)="A","W",if(LEFT(VLOOKUP($B451,'Round 3'!$B$2:$H$361,7,false),1)="B","L","")),if(LEFT(VLOOKUP($B451,'Round 3'!$F$2:$H$361,3,false),1)="b","W",if(LEFT(VLOOKUP($B451,'Round 3'!$F$2:$H$361,3,false),1)="a","L","")))</f>
        <v>L</v>
      </c>
      <c r="G451" s="67" t="str">
        <f>iferror(if(LEFT(VLOOKUP($B451,'Round 4'!$B$2:$H$361,7,false),1)="A","W",if(LEFT(VLOOKUP($B451,'Round 4'!$B$2:$H$361,7,false),1)="B","L","")),if(LEFT(VLOOKUP($B451,'Round 4'!$F$2:$H$361,3,false),1)="b","W",if(LEFT(VLOOKUP($B451,'Round 4'!$F$2:$H$361,3,false),1)="a","L","")))</f>
        <v>W</v>
      </c>
      <c r="H451" s="67" t="str">
        <f>iferror(if(LEFT(VLOOKUP($B451,'Round 5'!$B$2:$H$361,7,false),1)="A","W",if(LEFT(VLOOKUP($B451,'Round 5'!$B$2:$H$361,7,false),1)="B","L","")),if(LEFT(VLOOKUP($B451,'Round 5'!$F$2:$H$361,3,false),1)="b","W",if(LEFT(VLOOKUP($B451,'Round 5'!$F$2:$H$361,3,false),1)="a","L","")))</f>
        <v>W</v>
      </c>
      <c r="I451" s="67" t="str">
        <f>iferror(if(LEFT(VLOOKUP($B451,'Round 6'!$B$2:$H$361,7,false),1)="A","W",if(LEFT(VLOOKUP($B451,'Round 6'!$B$2:$H$361,7,false),1)="B","L","")),if(LEFT(VLOOKUP($B451,'Round 6'!$F$2:$H$361,3,false),1)="b","W",if(LEFT(VLOOKUP($B451,'Round 6'!$F$2:$H$361,3,false),1)="a","L","")))</f>
        <v>L</v>
      </c>
      <c r="J451" s="67" t="str">
        <f>iferror(iferror(if(LEFT(VLOOKUP($B451,'Round 7'!$B$2:$H$361,7,false),1)="A","W",if(LEFT(VLOOKUP($B451,'Round 7'!$B$2:$H$361,7,false),1)="B","L","")),if(LEFT(VLOOKUP($B451,'Round 7'!$F$2:$H$361,3,false),1)="b","W",if(LEFT(VLOOKUP($B451,'Round 7'!$F$2:$H$361,3,false),1)="a","L",""))),"")</f>
        <v/>
      </c>
      <c r="K451" s="68" t="str">
        <f>iferror(iferror(if(LEFT(VLOOKUP($B451,'Round 8'!$B$2:$H$361,7,false),1)="A","W",if(LEFT(VLOOKUP($B451,'Round 8'!$B$2:$H$361,7,false),1)="B","L","")),if(LEFT(VLOOKUP($B451,'Round 8'!$F$2:$H$361,3,false),1)="b","W",if(LEFT(VLOOKUP($B451,'Round 8'!$F$2:$H$361,3,false),1)="a","L",""))),"")</f>
        <v/>
      </c>
      <c r="L451" s="68" t="str">
        <f>iferror(iferror(if(LEFT(VLOOKUP($B451,'Round 9'!$B$2:$H$361,7,false),1)="A","W",if(LEFT(VLOOKUP($B451,'Round 9'!$B$2:$H$361,7,false),1)="B","L","")),if(LEFT(VLOOKUP($B451,'Round 9'!$F$2:$H$361,3,false),1)="b","W",if(LEFT(VLOOKUP($B451,'Round 9'!$F$2:$H$361,3,false),1)="a","L",""))),"")</f>
        <v/>
      </c>
      <c r="M451" s="68" t="str">
        <f>iferror(iferror(if(LEFT(VLOOKUP($B451,'Round 10'!$B$2:$H$362,7,false),1)="A","W",if(LEFT(VLOOKUP($B451,'Round 10'!$B$2:$H$362,7,false),1)="B","L","")),if(LEFT(VLOOKUP($B451,'Round 10'!$F$2:$H$362,3,false),1)="b","W",if(LEFT(VLOOKUP($B451,'Round 10'!$F$2:$H$362,3,false),1)="a","L",""))),"")</f>
        <v/>
      </c>
      <c r="N451" s="62" t="s">
        <v>957</v>
      </c>
    </row>
    <row r="452">
      <c r="A452" s="63">
        <v>451.0</v>
      </c>
      <c r="B452" s="64" t="s">
        <v>958</v>
      </c>
      <c r="C452" s="65" t="str">
        <f t="shared" si="1"/>
        <v>3 - 3</v>
      </c>
      <c r="D452" s="67" t="str">
        <f>iferror(if(LEFT(VLOOKUP($B452,'Round 1'!$B$2:$H$361,7,false),1)="A","W",if(LEFT(VLOOKUP($B452,'Round 1'!$B$2:$H$361,7,false),1)="B","L","")),if(LEFT(VLOOKUP($B452,'Round 1'!$F$2:$H$361,3,false),1)="b","W",if(LEFT(VLOOKUP($B452,'Round 1'!$F$2:$H$361,3,false),1)="a","L","")))</f>
        <v>L</v>
      </c>
      <c r="E452" s="67" t="str">
        <f>iferror(if(LEFT(VLOOKUP($B452,'Round 2'!$C$2:$J$361,8,false),1)="A","W",if(LEFT(VLOOKUP($B452,'Round 2'!$C$2:$J$361,8,false),1)="B","L","")),if(LEFT(VLOOKUP($B452,'Round 2'!$G$2:$J$361,4,false),1)="b","W",if(LEFT(VLOOKUP($B452,'Round 2'!$G$2:$J$361,4,false),1)="a","L","")))</f>
        <v>W</v>
      </c>
      <c r="F452" s="67" t="str">
        <f>iferror(if(LEFT(VLOOKUP($B452,'Round 3'!$B$2:$H$361,7,false),1)="A","W",if(LEFT(VLOOKUP($B452,'Round 3'!$B$2:$H$361,7,false),1)="B","L","")),if(LEFT(VLOOKUP($B452,'Round 3'!$F$2:$H$361,3,false),1)="b","W",if(LEFT(VLOOKUP($B452,'Round 3'!$F$2:$H$361,3,false),1)="a","L","")))</f>
        <v>W</v>
      </c>
      <c r="G452" s="67" t="str">
        <f>iferror(if(LEFT(VLOOKUP($B452,'Round 4'!$B$2:$H$361,7,false),1)="A","W",if(LEFT(VLOOKUP($B452,'Round 4'!$B$2:$H$361,7,false),1)="B","L","")),if(LEFT(VLOOKUP($B452,'Round 4'!$F$2:$H$361,3,false),1)="b","W",if(LEFT(VLOOKUP($B452,'Round 4'!$F$2:$H$361,3,false),1)="a","L","")))</f>
        <v>W</v>
      </c>
      <c r="H452" s="67" t="str">
        <f>iferror(if(LEFT(VLOOKUP($B452,'Round 5'!$B$2:$H$361,7,false),1)="A","W",if(LEFT(VLOOKUP($B452,'Round 5'!$B$2:$H$361,7,false),1)="B","L","")),if(LEFT(VLOOKUP($B452,'Round 5'!$F$2:$H$361,3,false),1)="b","W",if(LEFT(VLOOKUP($B452,'Round 5'!$F$2:$H$361,3,false),1)="a","L","")))</f>
        <v>L</v>
      </c>
      <c r="I452" s="67" t="str">
        <f>iferror(if(LEFT(VLOOKUP($B452,'Round 6'!$B$2:$H$361,7,false),1)="A","W",if(LEFT(VLOOKUP($B452,'Round 6'!$B$2:$H$361,7,false),1)="B","L","")),if(LEFT(VLOOKUP($B452,'Round 6'!$F$2:$H$361,3,false),1)="b","W",if(LEFT(VLOOKUP($B452,'Round 6'!$F$2:$H$361,3,false),1)="a","L","")))</f>
        <v>L</v>
      </c>
      <c r="J452" s="67" t="str">
        <f>iferror(iferror(if(LEFT(VLOOKUP($B452,'Round 7'!$B$2:$H$361,7,false),1)="A","W",if(LEFT(VLOOKUP($B452,'Round 7'!$B$2:$H$361,7,false),1)="B","L","")),if(LEFT(VLOOKUP($B452,'Round 7'!$F$2:$H$361,3,false),1)="b","W",if(LEFT(VLOOKUP($B452,'Round 7'!$F$2:$H$361,3,false),1)="a","L",""))),"")</f>
        <v/>
      </c>
      <c r="K452" s="68" t="str">
        <f>iferror(iferror(if(LEFT(VLOOKUP($B452,'Round 8'!$B$2:$H$361,7,false),1)="A","W",if(LEFT(VLOOKUP($B452,'Round 8'!$B$2:$H$361,7,false),1)="B","L","")),if(LEFT(VLOOKUP($B452,'Round 8'!$F$2:$H$361,3,false),1)="b","W",if(LEFT(VLOOKUP($B452,'Round 8'!$F$2:$H$361,3,false),1)="a","L",""))),"")</f>
        <v/>
      </c>
      <c r="L452" s="68" t="str">
        <f>iferror(iferror(if(LEFT(VLOOKUP($B452,'Round 9'!$B$2:$H$361,7,false),1)="A","W",if(LEFT(VLOOKUP($B452,'Round 9'!$B$2:$H$361,7,false),1)="B","L","")),if(LEFT(VLOOKUP($B452,'Round 9'!$F$2:$H$361,3,false),1)="b","W",if(LEFT(VLOOKUP($B452,'Round 9'!$F$2:$H$361,3,false),1)="a","L",""))),"")</f>
        <v/>
      </c>
      <c r="M452" s="68" t="str">
        <f>iferror(iferror(if(LEFT(VLOOKUP($B452,'Round 10'!$B$2:$H$362,7,false),1)="A","W",if(LEFT(VLOOKUP($B452,'Round 10'!$B$2:$H$362,7,false),1)="B","L","")),if(LEFT(VLOOKUP($B452,'Round 10'!$F$2:$H$362,3,false),1)="b","W",if(LEFT(VLOOKUP($B452,'Round 10'!$F$2:$H$362,3,false),1)="a","L",""))),"")</f>
        <v/>
      </c>
      <c r="N452" s="62" t="s">
        <v>959</v>
      </c>
    </row>
    <row r="453">
      <c r="A453" s="63">
        <v>452.0</v>
      </c>
      <c r="B453" s="64" t="s">
        <v>960</v>
      </c>
      <c r="C453" s="65" t="str">
        <f t="shared" si="1"/>
        <v>1 - 3</v>
      </c>
      <c r="D453" s="67" t="str">
        <f>iferror(if(LEFT(VLOOKUP($B453,'Round 1'!$B$2:$H$361,7,false),1)="A","W",if(LEFT(VLOOKUP($B453,'Round 1'!$B$2:$H$361,7,false),1)="B","L","")),if(LEFT(VLOOKUP($B453,'Round 1'!$F$2:$H$361,3,false),1)="b","W",if(LEFT(VLOOKUP($B453,'Round 1'!$F$2:$H$361,3,false),1)="a","L","")))</f>
        <v>W</v>
      </c>
      <c r="E453" s="67" t="str">
        <f>iferror(if(LEFT(VLOOKUP($B453,'Round 2'!$C$2:$J$361,8,false),1)="A","W",if(LEFT(VLOOKUP($B453,'Round 2'!$C$2:$J$361,8,false),1)="B","L","")),if(LEFT(VLOOKUP($B453,'Round 2'!$G$2:$J$361,4,false),1)="b","W",if(LEFT(VLOOKUP($B453,'Round 2'!$G$2:$J$361,4,false),1)="a","L","")))</f>
        <v>L</v>
      </c>
      <c r="F453" s="67" t="str">
        <f>iferror(if(LEFT(VLOOKUP($B453,'Round 3'!$B$2:$H$361,7,false),1)="A","W",if(LEFT(VLOOKUP($B453,'Round 3'!$B$2:$H$361,7,false),1)="B","L","")),if(LEFT(VLOOKUP($B453,'Round 3'!$F$2:$H$361,3,false),1)="b","W",if(LEFT(VLOOKUP($B453,'Round 3'!$F$2:$H$361,3,false),1)="a","L","")))</f>
        <v>L</v>
      </c>
      <c r="G453" s="67" t="str">
        <f>iferror(if(LEFT(VLOOKUP($B453,'Round 4'!$B$2:$H$361,7,false),1)="A","W",if(LEFT(VLOOKUP($B453,'Round 4'!$B$2:$H$361,7,false),1)="B","L","")),if(LEFT(VLOOKUP($B453,'Round 4'!$F$2:$H$361,3,false),1)="b","W",if(LEFT(VLOOKUP($B453,'Round 4'!$F$2:$H$361,3,false),1)="a","L","")))</f>
        <v>L</v>
      </c>
      <c r="H453" s="67"/>
      <c r="I453" s="67"/>
      <c r="J453" s="67" t="str">
        <f>iferror(iferror(if(LEFT(VLOOKUP($B453,'Round 7'!$B$2:$H$361,7,false),1)="A","W",if(LEFT(VLOOKUP($B453,'Round 7'!$B$2:$H$361,7,false),1)="B","L","")),if(LEFT(VLOOKUP($B453,'Round 7'!$F$2:$H$361,3,false),1)="b","W",if(LEFT(VLOOKUP($B453,'Round 7'!$F$2:$H$361,3,false),1)="a","L",""))),"")</f>
        <v/>
      </c>
      <c r="K453" s="68" t="str">
        <f>iferror(iferror(if(LEFT(VLOOKUP($B453,'Round 8'!$B$2:$H$361,7,false),1)="A","W",if(LEFT(VLOOKUP($B453,'Round 8'!$B$2:$H$361,7,false),1)="B","L","")),if(LEFT(VLOOKUP($B453,'Round 8'!$F$2:$H$361,3,false),1)="b","W",if(LEFT(VLOOKUP($B453,'Round 8'!$F$2:$H$361,3,false),1)="a","L",""))),"")</f>
        <v/>
      </c>
      <c r="L453" s="68" t="str">
        <f>iferror(iferror(if(LEFT(VLOOKUP($B453,'Round 9'!$B$2:$H$361,7,false),1)="A","W",if(LEFT(VLOOKUP($B453,'Round 9'!$B$2:$H$361,7,false),1)="B","L","")),if(LEFT(VLOOKUP($B453,'Round 9'!$F$2:$H$361,3,false),1)="b","W",if(LEFT(VLOOKUP($B453,'Round 9'!$F$2:$H$361,3,false),1)="a","L",""))),"")</f>
        <v/>
      </c>
      <c r="M453" s="68" t="str">
        <f>iferror(iferror(if(LEFT(VLOOKUP($B453,'Round 10'!$B$2:$H$362,7,false),1)="A","W",if(LEFT(VLOOKUP($B453,'Round 10'!$B$2:$H$362,7,false),1)="B","L","")),if(LEFT(VLOOKUP($B453,'Round 10'!$F$2:$H$362,3,false),1)="b","W",if(LEFT(VLOOKUP($B453,'Round 10'!$F$2:$H$362,3,false),1)="a","L",""))),"")</f>
        <v/>
      </c>
      <c r="N453" s="62" t="s">
        <v>961</v>
      </c>
    </row>
    <row r="454">
      <c r="A454" s="63">
        <v>453.0</v>
      </c>
      <c r="B454" s="64" t="s">
        <v>962</v>
      </c>
      <c r="C454" s="65" t="str">
        <f t="shared" si="1"/>
        <v>2 - 3</v>
      </c>
      <c r="D454" s="67" t="str">
        <f>iferror(if(LEFT(VLOOKUP($B454,'Round 1'!$B$2:$H$361,7,false),1)="A","W",if(LEFT(VLOOKUP($B454,'Round 1'!$B$2:$H$361,7,false),1)="B","L","")),if(LEFT(VLOOKUP($B454,'Round 1'!$F$2:$H$361,3,false),1)="b","W",if(LEFT(VLOOKUP($B454,'Round 1'!$F$2:$H$361,3,false),1)="a","L","")))</f>
        <v>W</v>
      </c>
      <c r="E454" s="67" t="str">
        <f>iferror(if(LEFT(VLOOKUP($B454,'Round 2'!$C$2:$J$361,8,false),1)="A","W",if(LEFT(VLOOKUP($B454,'Round 2'!$C$2:$J$361,8,false),1)="B","L","")),if(LEFT(VLOOKUP($B454,'Round 2'!$G$2:$J$361,4,false),1)="b","W",if(LEFT(VLOOKUP($B454,'Round 2'!$G$2:$J$361,4,false),1)="a","L","")))</f>
        <v>L</v>
      </c>
      <c r="F454" s="67" t="str">
        <f>iferror(if(LEFT(VLOOKUP($B454,'Round 3'!$B$2:$H$361,7,false),1)="A","W",if(LEFT(VLOOKUP($B454,'Round 3'!$B$2:$H$361,7,false),1)="B","L","")),if(LEFT(VLOOKUP($B454,'Round 3'!$F$2:$H$361,3,false),1)="b","W",if(LEFT(VLOOKUP($B454,'Round 3'!$F$2:$H$361,3,false),1)="a","L","")))</f>
        <v>L</v>
      </c>
      <c r="G454" s="67" t="str">
        <f>iferror(if(LEFT(VLOOKUP($B454,'Round 4'!$B$2:$H$361,7,false),1)="A","W",if(LEFT(VLOOKUP($B454,'Round 4'!$B$2:$H$361,7,false),1)="B","L","")),if(LEFT(VLOOKUP($B454,'Round 4'!$F$2:$H$361,3,false),1)="b","W",if(LEFT(VLOOKUP($B454,'Round 4'!$F$2:$H$361,3,false),1)="a","L","")))</f>
        <v>W</v>
      </c>
      <c r="H454" s="67" t="str">
        <f>iferror(if(LEFT(VLOOKUP($B454,'Round 5'!$B$2:$H$361,7,false),1)="A","W",if(LEFT(VLOOKUP($B454,'Round 5'!$B$2:$H$361,7,false),1)="B","L","")),if(LEFT(VLOOKUP($B454,'Round 5'!$F$2:$H$361,3,false),1)="b","W",if(LEFT(VLOOKUP($B454,'Round 5'!$F$2:$H$361,3,false),1)="a","L","")))</f>
        <v>L</v>
      </c>
      <c r="I454" s="67"/>
      <c r="J454" s="67" t="str">
        <f>iferror(iferror(if(LEFT(VLOOKUP($B454,'Round 7'!$B$2:$H$361,7,false),1)="A","W",if(LEFT(VLOOKUP($B454,'Round 7'!$B$2:$H$361,7,false),1)="B","L","")),if(LEFT(VLOOKUP($B454,'Round 7'!$F$2:$H$361,3,false),1)="b","W",if(LEFT(VLOOKUP($B454,'Round 7'!$F$2:$H$361,3,false),1)="a","L",""))),"")</f>
        <v/>
      </c>
      <c r="K454" s="68" t="str">
        <f>iferror(iferror(if(LEFT(VLOOKUP($B454,'Round 8'!$B$2:$H$361,7,false),1)="A","W",if(LEFT(VLOOKUP($B454,'Round 8'!$B$2:$H$361,7,false),1)="B","L","")),if(LEFT(VLOOKUP($B454,'Round 8'!$F$2:$H$361,3,false),1)="b","W",if(LEFT(VLOOKUP($B454,'Round 8'!$F$2:$H$361,3,false),1)="a","L",""))),"")</f>
        <v/>
      </c>
      <c r="L454" s="68" t="str">
        <f>iferror(iferror(if(LEFT(VLOOKUP($B454,'Round 9'!$B$2:$H$361,7,false),1)="A","W",if(LEFT(VLOOKUP($B454,'Round 9'!$B$2:$H$361,7,false),1)="B","L","")),if(LEFT(VLOOKUP($B454,'Round 9'!$F$2:$H$361,3,false),1)="b","W",if(LEFT(VLOOKUP($B454,'Round 9'!$F$2:$H$361,3,false),1)="a","L",""))),"")</f>
        <v/>
      </c>
      <c r="M454" s="68" t="str">
        <f>iferror(iferror(if(LEFT(VLOOKUP($B454,'Round 10'!$B$2:$H$362,7,false),1)="A","W",if(LEFT(VLOOKUP($B454,'Round 10'!$B$2:$H$362,7,false),1)="B","L","")),if(LEFT(VLOOKUP($B454,'Round 10'!$F$2:$H$362,3,false),1)="b","W",if(LEFT(VLOOKUP($B454,'Round 10'!$F$2:$H$362,3,false),1)="a","L",""))),"")</f>
        <v/>
      </c>
      <c r="N454" s="62" t="s">
        <v>963</v>
      </c>
    </row>
    <row r="455">
      <c r="A455" s="63">
        <v>454.0</v>
      </c>
      <c r="B455" s="64" t="s">
        <v>964</v>
      </c>
      <c r="C455" s="65" t="str">
        <f t="shared" si="1"/>
        <v>3 - 3</v>
      </c>
      <c r="D455" s="67" t="str">
        <f>iferror(if(LEFT(VLOOKUP($B455,'Round 1'!$B$2:$H$361,7,false),1)="A","W",if(LEFT(VLOOKUP($B455,'Round 1'!$B$2:$H$361,7,false),1)="B","L","")),if(LEFT(VLOOKUP($B455,'Round 1'!$F$2:$H$361,3,false),1)="b","W",if(LEFT(VLOOKUP($B455,'Round 1'!$F$2:$H$361,3,false),1)="a","L","")))</f>
        <v>W</v>
      </c>
      <c r="E455" s="67" t="str">
        <f>iferror(if(LEFT(VLOOKUP($B455,'Round 2'!$C$2:$J$361,8,false),1)="A","W",if(LEFT(VLOOKUP($B455,'Round 2'!$C$2:$J$361,8,false),1)="B","L","")),if(LEFT(VLOOKUP($B455,'Round 2'!$G$2:$J$361,4,false),1)="b","W",if(LEFT(VLOOKUP($B455,'Round 2'!$G$2:$J$361,4,false),1)="a","L","")))</f>
        <v>W</v>
      </c>
      <c r="F455" s="67" t="str">
        <f>iferror(if(LEFT(VLOOKUP($B455,'Round 3'!$B$2:$H$361,7,false),1)="A","W",if(LEFT(VLOOKUP($B455,'Round 3'!$B$2:$H$361,7,false),1)="B","L","")),if(LEFT(VLOOKUP($B455,'Round 3'!$F$2:$H$361,3,false),1)="b","W",if(LEFT(VLOOKUP($B455,'Round 3'!$F$2:$H$361,3,false),1)="a","L","")))</f>
        <v>W</v>
      </c>
      <c r="G455" s="67" t="str">
        <f>iferror(if(LEFT(VLOOKUP($B455,'Round 4'!$B$2:$H$361,7,false),1)="A","W",if(LEFT(VLOOKUP($B455,'Round 4'!$B$2:$H$361,7,false),1)="B","L","")),if(LEFT(VLOOKUP($B455,'Round 4'!$F$2:$H$361,3,false),1)="b","W",if(LEFT(VLOOKUP($B455,'Round 4'!$F$2:$H$361,3,false),1)="a","L","")))</f>
        <v>L</v>
      </c>
      <c r="H455" s="67" t="str">
        <f>iferror(if(LEFT(VLOOKUP($B455,'Round 5'!$B$2:$H$361,7,false),1)="A","W",if(LEFT(VLOOKUP($B455,'Round 5'!$B$2:$H$361,7,false),1)="B","L","")),if(LEFT(VLOOKUP($B455,'Round 5'!$F$2:$H$361,3,false),1)="b","W",if(LEFT(VLOOKUP($B455,'Round 5'!$F$2:$H$361,3,false),1)="a","L","")))</f>
        <v>L</v>
      </c>
      <c r="I455" s="67" t="str">
        <f>iferror(if(LEFT(VLOOKUP($B455,'Round 6'!$B$2:$H$361,7,false),1)="A","W",if(LEFT(VLOOKUP($B455,'Round 6'!$B$2:$H$361,7,false),1)="B","L","")),if(LEFT(VLOOKUP($B455,'Round 6'!$F$2:$H$361,3,false),1)="b","W",if(LEFT(VLOOKUP($B455,'Round 6'!$F$2:$H$361,3,false),1)="a","L","")))</f>
        <v>L</v>
      </c>
      <c r="J455" s="67" t="str">
        <f>iferror(iferror(if(LEFT(VLOOKUP($B455,'Round 7'!$B$2:$H$361,7,false),1)="A","W",if(LEFT(VLOOKUP($B455,'Round 7'!$B$2:$H$361,7,false),1)="B","L","")),if(LEFT(VLOOKUP($B455,'Round 7'!$F$2:$H$361,3,false),1)="b","W",if(LEFT(VLOOKUP($B455,'Round 7'!$F$2:$H$361,3,false),1)="a","L",""))),"")</f>
        <v/>
      </c>
      <c r="K455" s="68" t="str">
        <f>iferror(iferror(if(LEFT(VLOOKUP($B455,'Round 8'!$B$2:$H$361,7,false),1)="A","W",if(LEFT(VLOOKUP($B455,'Round 8'!$B$2:$H$361,7,false),1)="B","L","")),if(LEFT(VLOOKUP($B455,'Round 8'!$F$2:$H$361,3,false),1)="b","W",if(LEFT(VLOOKUP($B455,'Round 8'!$F$2:$H$361,3,false),1)="a","L",""))),"")</f>
        <v/>
      </c>
      <c r="L455" s="68" t="str">
        <f>iferror(iferror(if(LEFT(VLOOKUP($B455,'Round 9'!$B$2:$H$361,7,false),1)="A","W",if(LEFT(VLOOKUP($B455,'Round 9'!$B$2:$H$361,7,false),1)="B","L","")),if(LEFT(VLOOKUP($B455,'Round 9'!$F$2:$H$361,3,false),1)="b","W",if(LEFT(VLOOKUP($B455,'Round 9'!$F$2:$H$361,3,false),1)="a","L",""))),"")</f>
        <v/>
      </c>
      <c r="M455" s="68" t="str">
        <f>iferror(iferror(if(LEFT(VLOOKUP($B455,'Round 10'!$B$2:$H$362,7,false),1)="A","W",if(LEFT(VLOOKUP($B455,'Round 10'!$B$2:$H$362,7,false),1)="B","L","")),if(LEFT(VLOOKUP($B455,'Round 10'!$F$2:$H$362,3,false),1)="b","W",if(LEFT(VLOOKUP($B455,'Round 10'!$F$2:$H$362,3,false),1)="a","L",""))),"")</f>
        <v/>
      </c>
      <c r="N455" s="62" t="s">
        <v>965</v>
      </c>
    </row>
    <row r="456">
      <c r="A456" s="63">
        <v>455.0</v>
      </c>
      <c r="B456" s="64" t="s">
        <v>966</v>
      </c>
      <c r="C456" s="65" t="str">
        <f t="shared" si="1"/>
        <v>0 - 3</v>
      </c>
      <c r="D456" s="67" t="str">
        <f>iferror(if(LEFT(VLOOKUP($B456,'Round 1'!$B$2:$H$361,7,false),1)="A","W",if(LEFT(VLOOKUP($B456,'Round 1'!$B$2:$H$361,7,false),1)="B","L","")),if(LEFT(VLOOKUP($B456,'Round 1'!$F$2:$H$361,3,false),1)="b","W",if(LEFT(VLOOKUP($B456,'Round 1'!$F$2:$H$361,3,false),1)="a","L","")))</f>
        <v>L</v>
      </c>
      <c r="E456" s="67" t="str">
        <f>iferror(if(LEFT(VLOOKUP($B456,'Round 2'!$C$2:$J$361,8,false),1)="A","W",if(LEFT(VLOOKUP($B456,'Round 2'!$C$2:$J$361,8,false),1)="B","L","")),if(LEFT(VLOOKUP($B456,'Round 2'!$G$2:$J$361,4,false),1)="b","W",if(LEFT(VLOOKUP($B456,'Round 2'!$G$2:$J$361,4,false),1)="a","L","")))</f>
        <v>L</v>
      </c>
      <c r="F456" s="67" t="str">
        <f>iferror(if(LEFT(VLOOKUP($B456,'Round 3'!$B$2:$H$361,7,false),1)="A","W",if(LEFT(VLOOKUP($B456,'Round 3'!$B$2:$H$361,7,false),1)="B","L","")),if(LEFT(VLOOKUP($B456,'Round 3'!$F$2:$H$361,3,false),1)="b","W",if(LEFT(VLOOKUP($B456,'Round 3'!$F$2:$H$361,3,false),1)="a","L","")))</f>
        <v>L</v>
      </c>
      <c r="G456" s="67"/>
      <c r="H456" s="67"/>
      <c r="I456" s="67"/>
      <c r="J456" s="67" t="str">
        <f>iferror(iferror(if(LEFT(VLOOKUP($B456,'Round 7'!$B$2:$H$361,7,false),1)="A","W",if(LEFT(VLOOKUP($B456,'Round 7'!$B$2:$H$361,7,false),1)="B","L","")),if(LEFT(VLOOKUP($B456,'Round 7'!$F$2:$H$361,3,false),1)="b","W",if(LEFT(VLOOKUP($B456,'Round 7'!$F$2:$H$361,3,false),1)="a","L",""))),"")</f>
        <v/>
      </c>
      <c r="K456" s="68" t="str">
        <f>iferror(iferror(if(LEFT(VLOOKUP($B456,'Round 8'!$B$2:$H$361,7,false),1)="A","W",if(LEFT(VLOOKUP($B456,'Round 8'!$B$2:$H$361,7,false),1)="B","L","")),if(LEFT(VLOOKUP($B456,'Round 8'!$F$2:$H$361,3,false),1)="b","W",if(LEFT(VLOOKUP($B456,'Round 8'!$F$2:$H$361,3,false),1)="a","L",""))),"")</f>
        <v/>
      </c>
      <c r="L456" s="68" t="str">
        <f>iferror(iferror(if(LEFT(VLOOKUP($B456,'Round 9'!$B$2:$H$361,7,false),1)="A","W",if(LEFT(VLOOKUP($B456,'Round 9'!$B$2:$H$361,7,false),1)="B","L","")),if(LEFT(VLOOKUP($B456,'Round 9'!$F$2:$H$361,3,false),1)="b","W",if(LEFT(VLOOKUP($B456,'Round 9'!$F$2:$H$361,3,false),1)="a","L",""))),"")</f>
        <v/>
      </c>
      <c r="M456" s="68" t="str">
        <f>iferror(iferror(if(LEFT(VLOOKUP($B456,'Round 10'!$B$2:$H$362,7,false),1)="A","W",if(LEFT(VLOOKUP($B456,'Round 10'!$B$2:$H$362,7,false),1)="B","L","")),if(LEFT(VLOOKUP($B456,'Round 10'!$F$2:$H$362,3,false),1)="b","W",if(LEFT(VLOOKUP($B456,'Round 10'!$F$2:$H$362,3,false),1)="a","L",""))),"")</f>
        <v/>
      </c>
      <c r="N456" s="72" t="s">
        <v>144</v>
      </c>
    </row>
    <row r="457">
      <c r="A457" s="63">
        <v>456.0</v>
      </c>
      <c r="B457" s="64" t="s">
        <v>967</v>
      </c>
      <c r="C457" s="65" t="str">
        <f t="shared" si="1"/>
        <v>0 - 3</v>
      </c>
      <c r="D457" s="67" t="str">
        <f>iferror(if(LEFT(VLOOKUP($B457,'Round 1'!$B$2:$H$361,7,false),1)="A","W",if(LEFT(VLOOKUP($B457,'Round 1'!$B$2:$H$361,7,false),1)="B","L","")),if(LEFT(VLOOKUP($B457,'Round 1'!$F$2:$H$361,3,false),1)="b","W",if(LEFT(VLOOKUP($B457,'Round 1'!$F$2:$H$361,3,false),1)="a","L","")))</f>
        <v>L</v>
      </c>
      <c r="E457" s="67" t="str">
        <f>iferror(if(LEFT(VLOOKUP($B457,'Round 2'!$C$2:$J$361,8,false),1)="A","W",if(LEFT(VLOOKUP($B457,'Round 2'!$C$2:$J$361,8,false),1)="B","L","")),if(LEFT(VLOOKUP($B457,'Round 2'!$G$2:$J$361,4,false),1)="b","W",if(LEFT(VLOOKUP($B457,'Round 2'!$G$2:$J$361,4,false),1)="a","L","")))</f>
        <v>L</v>
      </c>
      <c r="F457" s="67" t="str">
        <f>iferror(if(LEFT(VLOOKUP($B457,'Round 3'!$B$2:$H$361,7,false),1)="A","W",if(LEFT(VLOOKUP($B457,'Round 3'!$B$2:$H$361,7,false),1)="B","L","")),if(LEFT(VLOOKUP($B457,'Round 3'!$F$2:$H$361,3,false),1)="b","W",if(LEFT(VLOOKUP($B457,'Round 3'!$F$2:$H$361,3,false),1)="a","L","")))</f>
        <v>L</v>
      </c>
      <c r="G457" s="67"/>
      <c r="H457" s="67"/>
      <c r="I457" s="67"/>
      <c r="J457" s="67" t="str">
        <f>iferror(iferror(if(LEFT(VLOOKUP($B457,'Round 7'!$B$2:$H$361,7,false),1)="A","W",if(LEFT(VLOOKUP($B457,'Round 7'!$B$2:$H$361,7,false),1)="B","L","")),if(LEFT(VLOOKUP($B457,'Round 7'!$F$2:$H$361,3,false),1)="b","W",if(LEFT(VLOOKUP($B457,'Round 7'!$F$2:$H$361,3,false),1)="a","L",""))),"")</f>
        <v/>
      </c>
      <c r="K457" s="68" t="str">
        <f>iferror(iferror(if(LEFT(VLOOKUP($B457,'Round 8'!$B$2:$H$361,7,false),1)="A","W",if(LEFT(VLOOKUP($B457,'Round 8'!$B$2:$H$361,7,false),1)="B","L","")),if(LEFT(VLOOKUP($B457,'Round 8'!$F$2:$H$361,3,false),1)="b","W",if(LEFT(VLOOKUP($B457,'Round 8'!$F$2:$H$361,3,false),1)="a","L",""))),"")</f>
        <v/>
      </c>
      <c r="L457" s="68" t="str">
        <f>iferror(iferror(if(LEFT(VLOOKUP($B457,'Round 9'!$B$2:$H$361,7,false),1)="A","W",if(LEFT(VLOOKUP($B457,'Round 9'!$B$2:$H$361,7,false),1)="B","L","")),if(LEFT(VLOOKUP($B457,'Round 9'!$F$2:$H$361,3,false),1)="b","W",if(LEFT(VLOOKUP($B457,'Round 9'!$F$2:$H$361,3,false),1)="a","L",""))),"")</f>
        <v/>
      </c>
      <c r="M457" s="68" t="str">
        <f>iferror(iferror(if(LEFT(VLOOKUP($B457,'Round 10'!$B$2:$H$362,7,false),1)="A","W",if(LEFT(VLOOKUP($B457,'Round 10'!$B$2:$H$362,7,false),1)="B","L","")),if(LEFT(VLOOKUP($B457,'Round 10'!$F$2:$H$362,3,false),1)="b","W",if(LEFT(VLOOKUP($B457,'Round 10'!$F$2:$H$362,3,false),1)="a","L",""))),"")</f>
        <v/>
      </c>
      <c r="N457" s="62" t="s">
        <v>968</v>
      </c>
    </row>
    <row r="458">
      <c r="A458" s="63">
        <v>457.0</v>
      </c>
      <c r="B458" s="64" t="s">
        <v>969</v>
      </c>
      <c r="C458" s="65" t="str">
        <f t="shared" si="1"/>
        <v>3 - 3</v>
      </c>
      <c r="D458" s="67" t="str">
        <f>iferror(if(LEFT(VLOOKUP($B458,'Round 1'!$B$2:$H$361,7,false),1)="A","W",if(LEFT(VLOOKUP($B458,'Round 1'!$B$2:$H$361,7,false),1)="B","L","")),if(LEFT(VLOOKUP($B458,'Round 1'!$F$2:$H$361,3,false),1)="b","W",if(LEFT(VLOOKUP($B458,'Round 1'!$F$2:$H$361,3,false),1)="a","L","")))</f>
        <v>W</v>
      </c>
      <c r="E458" s="67" t="str">
        <f>iferror(if(LEFT(VLOOKUP($B458,'Round 2'!$C$2:$J$361,8,false),1)="A","W",if(LEFT(VLOOKUP($B458,'Round 2'!$C$2:$J$361,8,false),1)="B","L","")),if(LEFT(VLOOKUP($B458,'Round 2'!$G$2:$J$361,4,false),1)="b","W",if(LEFT(VLOOKUP($B458,'Round 2'!$G$2:$J$361,4,false),1)="a","L","")))</f>
        <v>W</v>
      </c>
      <c r="F458" s="67" t="str">
        <f>iferror(if(LEFT(VLOOKUP($B458,'Round 3'!$B$2:$H$361,7,false),1)="A","W",if(LEFT(VLOOKUP($B458,'Round 3'!$B$2:$H$361,7,false),1)="B","L","")),if(LEFT(VLOOKUP($B458,'Round 3'!$F$2:$H$361,3,false),1)="b","W",if(LEFT(VLOOKUP($B458,'Round 3'!$F$2:$H$361,3,false),1)="a","L","")))</f>
        <v>W</v>
      </c>
      <c r="G458" s="67" t="str">
        <f>iferror(if(LEFT(VLOOKUP($B458,'Round 4'!$B$2:$H$361,7,false),1)="A","W",if(LEFT(VLOOKUP($B458,'Round 4'!$B$2:$H$361,7,false),1)="B","L","")),if(LEFT(VLOOKUP($B458,'Round 4'!$F$2:$H$361,3,false),1)="b","W",if(LEFT(VLOOKUP($B458,'Round 4'!$F$2:$H$361,3,false),1)="a","L","")))</f>
        <v>L</v>
      </c>
      <c r="H458" s="67" t="str">
        <f>iferror(if(LEFT(VLOOKUP($B458,'Round 5'!$B$2:$H$361,7,false),1)="A","W",if(LEFT(VLOOKUP($B458,'Round 5'!$B$2:$H$361,7,false),1)="B","L","")),if(LEFT(VLOOKUP($B458,'Round 5'!$F$2:$H$361,3,false),1)="b","W",if(LEFT(VLOOKUP($B458,'Round 5'!$F$2:$H$361,3,false),1)="a","L","")))</f>
        <v>L</v>
      </c>
      <c r="I458" s="67" t="str">
        <f>iferror(if(LEFT(VLOOKUP($B458,'Round 6'!$B$2:$H$361,7,false),1)="A","W",if(LEFT(VLOOKUP($B458,'Round 6'!$B$2:$H$361,7,false),1)="B","L","")),if(LEFT(VLOOKUP($B458,'Round 6'!$F$2:$H$361,3,false),1)="b","W",if(LEFT(VLOOKUP($B458,'Round 6'!$F$2:$H$361,3,false),1)="a","L","")))</f>
        <v>L</v>
      </c>
      <c r="J458" s="67" t="str">
        <f>iferror(iferror(if(LEFT(VLOOKUP($B458,'Round 7'!$B$2:$H$361,7,false),1)="A","W",if(LEFT(VLOOKUP($B458,'Round 7'!$B$2:$H$361,7,false),1)="B","L","")),if(LEFT(VLOOKUP($B458,'Round 7'!$F$2:$H$361,3,false),1)="b","W",if(LEFT(VLOOKUP($B458,'Round 7'!$F$2:$H$361,3,false),1)="a","L",""))),"")</f>
        <v/>
      </c>
      <c r="K458" s="68" t="str">
        <f>iferror(iferror(if(LEFT(VLOOKUP($B458,'Round 8'!$B$2:$H$361,7,false),1)="A","W",if(LEFT(VLOOKUP($B458,'Round 8'!$B$2:$H$361,7,false),1)="B","L","")),if(LEFT(VLOOKUP($B458,'Round 8'!$F$2:$H$361,3,false),1)="b","W",if(LEFT(VLOOKUP($B458,'Round 8'!$F$2:$H$361,3,false),1)="a","L",""))),"")</f>
        <v/>
      </c>
      <c r="L458" s="68" t="str">
        <f>iferror(iferror(if(LEFT(VLOOKUP($B458,'Round 9'!$B$2:$H$361,7,false),1)="A","W",if(LEFT(VLOOKUP($B458,'Round 9'!$B$2:$H$361,7,false),1)="B","L","")),if(LEFT(VLOOKUP($B458,'Round 9'!$F$2:$H$361,3,false),1)="b","W",if(LEFT(VLOOKUP($B458,'Round 9'!$F$2:$H$361,3,false),1)="a","L",""))),"")</f>
        <v/>
      </c>
      <c r="M458" s="68" t="str">
        <f>iferror(iferror(if(LEFT(VLOOKUP($B458,'Round 10'!$B$2:$H$362,7,false),1)="A","W",if(LEFT(VLOOKUP($B458,'Round 10'!$B$2:$H$362,7,false),1)="B","L","")),if(LEFT(VLOOKUP($B458,'Round 10'!$F$2:$H$362,3,false),1)="b","W",if(LEFT(VLOOKUP($B458,'Round 10'!$F$2:$H$362,3,false),1)="a","L",""))),"")</f>
        <v/>
      </c>
      <c r="N458" s="62" t="s">
        <v>970</v>
      </c>
    </row>
    <row r="459">
      <c r="A459" s="63">
        <v>458.0</v>
      </c>
      <c r="B459" s="64" t="s">
        <v>971</v>
      </c>
      <c r="C459" s="65" t="str">
        <f t="shared" si="1"/>
        <v>1 - 3</v>
      </c>
      <c r="D459" s="67" t="str">
        <f>iferror(if(LEFT(VLOOKUP($B459,'Round 1'!$B$2:$H$361,7,false),1)="A","W",if(LEFT(VLOOKUP($B459,'Round 1'!$B$2:$H$361,7,false),1)="B","L","")),if(LEFT(VLOOKUP($B459,'Round 1'!$F$2:$H$361,3,false),1)="b","W",if(LEFT(VLOOKUP($B459,'Round 1'!$F$2:$H$361,3,false),1)="a","L","")))</f>
        <v>L</v>
      </c>
      <c r="E459" s="67" t="str">
        <f>iferror(if(LEFT(VLOOKUP($B459,'Round 2'!$C$2:$J$361,8,false),1)="A","W",if(LEFT(VLOOKUP($B459,'Round 2'!$C$2:$J$361,8,false),1)="B","L","")),if(LEFT(VLOOKUP($B459,'Round 2'!$G$2:$J$361,4,false),1)="b","W",if(LEFT(VLOOKUP($B459,'Round 2'!$G$2:$J$361,4,false),1)="a","L","")))</f>
        <v>W</v>
      </c>
      <c r="F459" s="67" t="str">
        <f>iferror(if(LEFT(VLOOKUP($B459,'Round 3'!$B$2:$H$361,7,false),1)="A","W",if(LEFT(VLOOKUP($B459,'Round 3'!$B$2:$H$361,7,false),1)="B","L","")),if(LEFT(VLOOKUP($B459,'Round 3'!$F$2:$H$361,3,false),1)="b","W",if(LEFT(VLOOKUP($B459,'Round 3'!$F$2:$H$361,3,false),1)="a","L","")))</f>
        <v>L</v>
      </c>
      <c r="G459" s="67" t="str">
        <f>iferror(if(LEFT(VLOOKUP($B459,'Round 4'!$B$2:$H$361,7,false),1)="A","W",if(LEFT(VLOOKUP($B459,'Round 4'!$B$2:$H$361,7,false),1)="B","L","")),if(LEFT(VLOOKUP($B459,'Round 4'!$F$2:$H$361,3,false),1)="b","W",if(LEFT(VLOOKUP($B459,'Round 4'!$F$2:$H$361,3,false),1)="a","L","")))</f>
        <v>L</v>
      </c>
      <c r="H459" s="67"/>
      <c r="I459" s="67"/>
      <c r="J459" s="67" t="str">
        <f>iferror(iferror(if(LEFT(VLOOKUP($B459,'Round 7'!$B$2:$H$361,7,false),1)="A","W",if(LEFT(VLOOKUP($B459,'Round 7'!$B$2:$H$361,7,false),1)="B","L","")),if(LEFT(VLOOKUP($B459,'Round 7'!$F$2:$H$361,3,false),1)="b","W",if(LEFT(VLOOKUP($B459,'Round 7'!$F$2:$H$361,3,false),1)="a","L",""))),"")</f>
        <v/>
      </c>
      <c r="K459" s="68" t="str">
        <f>iferror(iferror(if(LEFT(VLOOKUP($B459,'Round 8'!$B$2:$H$361,7,false),1)="A","W",if(LEFT(VLOOKUP($B459,'Round 8'!$B$2:$H$361,7,false),1)="B","L","")),if(LEFT(VLOOKUP($B459,'Round 8'!$F$2:$H$361,3,false),1)="b","W",if(LEFT(VLOOKUP($B459,'Round 8'!$F$2:$H$361,3,false),1)="a","L",""))),"")</f>
        <v/>
      </c>
      <c r="L459" s="68" t="str">
        <f>iferror(iferror(if(LEFT(VLOOKUP($B459,'Round 9'!$B$2:$H$361,7,false),1)="A","W",if(LEFT(VLOOKUP($B459,'Round 9'!$B$2:$H$361,7,false),1)="B","L","")),if(LEFT(VLOOKUP($B459,'Round 9'!$F$2:$H$361,3,false),1)="b","W",if(LEFT(VLOOKUP($B459,'Round 9'!$F$2:$H$361,3,false),1)="a","L",""))),"")</f>
        <v/>
      </c>
      <c r="M459" s="68" t="str">
        <f>iferror(iferror(if(LEFT(VLOOKUP($B459,'Round 10'!$B$2:$H$362,7,false),1)="A","W",if(LEFT(VLOOKUP($B459,'Round 10'!$B$2:$H$362,7,false),1)="B","L","")),if(LEFT(VLOOKUP($B459,'Round 10'!$F$2:$H$362,3,false),1)="b","W",if(LEFT(VLOOKUP($B459,'Round 10'!$F$2:$H$362,3,false),1)="a","L",""))),"")</f>
        <v/>
      </c>
      <c r="N459" s="62" t="s">
        <v>972</v>
      </c>
    </row>
    <row r="460">
      <c r="A460" s="63">
        <v>459.0</v>
      </c>
      <c r="B460" s="64" t="s">
        <v>973</v>
      </c>
      <c r="C460" s="65" t="str">
        <f t="shared" si="1"/>
        <v>1 - 3</v>
      </c>
      <c r="D460" s="67" t="str">
        <f>iferror(if(LEFT(VLOOKUP($B460,'Round 1'!$B$2:$H$361,7,false),1)="A","W",if(LEFT(VLOOKUP($B460,'Round 1'!$B$2:$H$361,7,false),1)="B","L","")),if(LEFT(VLOOKUP($B460,'Round 1'!$F$2:$H$361,3,false),1)="b","W",if(LEFT(VLOOKUP($B460,'Round 1'!$F$2:$H$361,3,false),1)="a","L","")))</f>
        <v>L</v>
      </c>
      <c r="E460" s="67" t="str">
        <f>iferror(if(LEFT(VLOOKUP($B460,'Round 2'!$C$2:$J$361,8,false),1)="A","W",if(LEFT(VLOOKUP($B460,'Round 2'!$C$2:$J$361,8,false),1)="B","L","")),if(LEFT(VLOOKUP($B460,'Round 2'!$G$2:$J$361,4,false),1)="b","W",if(LEFT(VLOOKUP($B460,'Round 2'!$G$2:$J$361,4,false),1)="a","L","")))</f>
        <v>W</v>
      </c>
      <c r="F460" s="67" t="str">
        <f>iferror(if(LEFT(VLOOKUP($B460,'Round 3'!$B$2:$H$361,7,false),1)="A","W",if(LEFT(VLOOKUP($B460,'Round 3'!$B$2:$H$361,7,false),1)="B","L","")),if(LEFT(VLOOKUP($B460,'Round 3'!$F$2:$H$361,3,false),1)="b","W",if(LEFT(VLOOKUP($B460,'Round 3'!$F$2:$H$361,3,false),1)="a","L","")))</f>
        <v>L</v>
      </c>
      <c r="G460" s="67" t="str">
        <f>iferror(if(LEFT(VLOOKUP($B460,'Round 4'!$B$2:$H$361,7,false),1)="A","W",if(LEFT(VLOOKUP($B460,'Round 4'!$B$2:$H$361,7,false),1)="B","L","")),if(LEFT(VLOOKUP($B460,'Round 4'!$F$2:$H$361,3,false),1)="b","W",if(LEFT(VLOOKUP($B460,'Round 4'!$F$2:$H$361,3,false),1)="a","L","")))</f>
        <v>L</v>
      </c>
      <c r="H460" s="67"/>
      <c r="I460" s="67"/>
      <c r="J460" s="67" t="str">
        <f>iferror(iferror(if(LEFT(VLOOKUP($B460,'Round 7'!$B$2:$H$361,7,false),1)="A","W",if(LEFT(VLOOKUP($B460,'Round 7'!$B$2:$H$361,7,false),1)="B","L","")),if(LEFT(VLOOKUP($B460,'Round 7'!$F$2:$H$361,3,false),1)="b","W",if(LEFT(VLOOKUP($B460,'Round 7'!$F$2:$H$361,3,false),1)="a","L",""))),"")</f>
        <v/>
      </c>
      <c r="K460" s="68" t="str">
        <f>iferror(iferror(if(LEFT(VLOOKUP($B460,'Round 8'!$B$2:$H$361,7,false),1)="A","W",if(LEFT(VLOOKUP($B460,'Round 8'!$B$2:$H$361,7,false),1)="B","L","")),if(LEFT(VLOOKUP($B460,'Round 8'!$F$2:$H$361,3,false),1)="b","W",if(LEFT(VLOOKUP($B460,'Round 8'!$F$2:$H$361,3,false),1)="a","L",""))),"")</f>
        <v/>
      </c>
      <c r="L460" s="68" t="str">
        <f>iferror(iferror(if(LEFT(VLOOKUP($B460,'Round 9'!$B$2:$H$361,7,false),1)="A","W",if(LEFT(VLOOKUP($B460,'Round 9'!$B$2:$H$361,7,false),1)="B","L","")),if(LEFT(VLOOKUP($B460,'Round 9'!$F$2:$H$361,3,false),1)="b","W",if(LEFT(VLOOKUP($B460,'Round 9'!$F$2:$H$361,3,false),1)="a","L",""))),"")</f>
        <v/>
      </c>
      <c r="M460" s="68" t="str">
        <f>iferror(iferror(if(LEFT(VLOOKUP($B460,'Round 10'!$B$2:$H$362,7,false),1)="A","W",if(LEFT(VLOOKUP($B460,'Round 10'!$B$2:$H$362,7,false),1)="B","L","")),if(LEFT(VLOOKUP($B460,'Round 10'!$F$2:$H$362,3,false),1)="b","W",if(LEFT(VLOOKUP($B460,'Round 10'!$F$2:$H$362,3,false),1)="a","L",""))),"")</f>
        <v/>
      </c>
      <c r="N460" s="62" t="s">
        <v>974</v>
      </c>
    </row>
    <row r="461">
      <c r="A461" s="63">
        <v>460.0</v>
      </c>
      <c r="B461" s="64" t="s">
        <v>975</v>
      </c>
      <c r="C461" s="65" t="str">
        <f t="shared" si="1"/>
        <v>3 - 3</v>
      </c>
      <c r="D461" s="67" t="str">
        <f>iferror(if(LEFT(VLOOKUP($B461,'Round 1'!$B$2:$H$361,7,false),1)="A","W",if(LEFT(VLOOKUP($B461,'Round 1'!$B$2:$H$361,7,false),1)="B","L","")),if(LEFT(VLOOKUP($B461,'Round 1'!$F$2:$H$361,3,false),1)="b","W",if(LEFT(VLOOKUP($B461,'Round 1'!$F$2:$H$361,3,false),1)="a","L","")))</f>
        <v>L</v>
      </c>
      <c r="E461" s="67" t="str">
        <f>iferror(if(LEFT(VLOOKUP($B461,'Round 2'!$C$2:$J$361,8,false),1)="A","W",if(LEFT(VLOOKUP($B461,'Round 2'!$C$2:$J$361,8,false),1)="B","L","")),if(LEFT(VLOOKUP($B461,'Round 2'!$G$2:$J$361,4,false),1)="b","W",if(LEFT(VLOOKUP($B461,'Round 2'!$G$2:$J$361,4,false),1)="a","L","")))</f>
        <v>W</v>
      </c>
      <c r="F461" s="67" t="str">
        <f>iferror(if(LEFT(VLOOKUP($B461,'Round 3'!$B$2:$H$361,7,false),1)="A","W",if(LEFT(VLOOKUP($B461,'Round 3'!$B$2:$H$361,7,false),1)="B","L","")),if(LEFT(VLOOKUP($B461,'Round 3'!$F$2:$H$361,3,false),1)="b","W",if(LEFT(VLOOKUP($B461,'Round 3'!$F$2:$H$361,3,false),1)="a","L","")))</f>
        <v>W</v>
      </c>
      <c r="G461" s="67" t="str">
        <f>iferror(if(LEFT(VLOOKUP($B461,'Round 4'!$B$2:$H$361,7,false),1)="A","W",if(LEFT(VLOOKUP($B461,'Round 4'!$B$2:$H$361,7,false),1)="B","L","")),if(LEFT(VLOOKUP($B461,'Round 4'!$F$2:$H$361,3,false),1)="b","W",if(LEFT(VLOOKUP($B461,'Round 4'!$F$2:$H$361,3,false),1)="a","L","")))</f>
        <v>W</v>
      </c>
      <c r="H461" s="67" t="str">
        <f>iferror(if(LEFT(VLOOKUP($B461,'Round 5'!$B$2:$H$361,7,false),1)="A","W",if(LEFT(VLOOKUP($B461,'Round 5'!$B$2:$H$361,7,false),1)="B","L","")),if(LEFT(VLOOKUP($B461,'Round 5'!$F$2:$H$361,3,false),1)="b","W",if(LEFT(VLOOKUP($B461,'Round 5'!$F$2:$H$361,3,false),1)="a","L","")))</f>
        <v>L</v>
      </c>
      <c r="I461" s="67" t="str">
        <f>iferror(if(LEFT(VLOOKUP($B461,'Round 6'!$B$2:$H$361,7,false),1)="A","W",if(LEFT(VLOOKUP($B461,'Round 6'!$B$2:$H$361,7,false),1)="B","L","")),if(LEFT(VLOOKUP($B461,'Round 6'!$F$2:$H$361,3,false),1)="b","W",if(LEFT(VLOOKUP($B461,'Round 6'!$F$2:$H$361,3,false),1)="a","L","")))</f>
        <v>L</v>
      </c>
      <c r="J461" s="67" t="str">
        <f>iferror(iferror(if(LEFT(VLOOKUP($B461,'Round 7'!$B$2:$H$361,7,false),1)="A","W",if(LEFT(VLOOKUP($B461,'Round 7'!$B$2:$H$361,7,false),1)="B","L","")),if(LEFT(VLOOKUP($B461,'Round 7'!$F$2:$H$361,3,false),1)="b","W",if(LEFT(VLOOKUP($B461,'Round 7'!$F$2:$H$361,3,false),1)="a","L",""))),"")</f>
        <v/>
      </c>
      <c r="K461" s="68" t="str">
        <f>iferror(iferror(if(LEFT(VLOOKUP($B461,'Round 8'!$B$2:$H$361,7,false),1)="A","W",if(LEFT(VLOOKUP($B461,'Round 8'!$B$2:$H$361,7,false),1)="B","L","")),if(LEFT(VLOOKUP($B461,'Round 8'!$F$2:$H$361,3,false),1)="b","W",if(LEFT(VLOOKUP($B461,'Round 8'!$F$2:$H$361,3,false),1)="a","L",""))),"")</f>
        <v/>
      </c>
      <c r="L461" s="68" t="str">
        <f>iferror(iferror(if(LEFT(VLOOKUP($B461,'Round 9'!$B$2:$H$361,7,false),1)="A","W",if(LEFT(VLOOKUP($B461,'Round 9'!$B$2:$H$361,7,false),1)="B","L","")),if(LEFT(VLOOKUP($B461,'Round 9'!$F$2:$H$361,3,false),1)="b","W",if(LEFT(VLOOKUP($B461,'Round 9'!$F$2:$H$361,3,false),1)="a","L",""))),"")</f>
        <v/>
      </c>
      <c r="M461" s="68" t="str">
        <f>iferror(iferror(if(LEFT(VLOOKUP($B461,'Round 10'!$B$2:$H$362,7,false),1)="A","W",if(LEFT(VLOOKUP($B461,'Round 10'!$B$2:$H$362,7,false),1)="B","L","")),if(LEFT(VLOOKUP($B461,'Round 10'!$F$2:$H$362,3,false),1)="b","W",if(LEFT(VLOOKUP($B461,'Round 10'!$F$2:$H$362,3,false),1)="a","L",""))),"")</f>
        <v/>
      </c>
      <c r="N461" s="62" t="s">
        <v>976</v>
      </c>
    </row>
    <row r="462">
      <c r="A462" s="63">
        <v>461.0</v>
      </c>
      <c r="B462" s="64" t="s">
        <v>977</v>
      </c>
      <c r="C462" s="65" t="str">
        <f t="shared" si="1"/>
        <v>2 - 3</v>
      </c>
      <c r="D462" s="67" t="str">
        <f>iferror(if(LEFT(VLOOKUP($B462,'Round 1'!$B$2:$H$361,7,false),1)="A","W",if(LEFT(VLOOKUP($B462,'Round 1'!$B$2:$H$361,7,false),1)="B","L","")),if(LEFT(VLOOKUP($B462,'Round 1'!$F$2:$H$361,3,false),1)="b","W",if(LEFT(VLOOKUP($B462,'Round 1'!$F$2:$H$361,3,false),1)="a","L","")))</f>
        <v>W</v>
      </c>
      <c r="E462" s="67" t="str">
        <f>iferror(if(LEFT(VLOOKUP($B462,'Round 2'!$C$2:$J$361,8,false),1)="A","W",if(LEFT(VLOOKUP($B462,'Round 2'!$C$2:$J$361,8,false),1)="B","L","")),if(LEFT(VLOOKUP($B462,'Round 2'!$G$2:$J$361,4,false),1)="b","W",if(LEFT(VLOOKUP($B462,'Round 2'!$G$2:$J$361,4,false),1)="a","L","")))</f>
        <v>L</v>
      </c>
      <c r="F462" s="67" t="str">
        <f>iferror(if(LEFT(VLOOKUP($B462,'Round 3'!$B$2:$H$361,7,false),1)="A","W",if(LEFT(VLOOKUP($B462,'Round 3'!$B$2:$H$361,7,false),1)="B","L","")),if(LEFT(VLOOKUP($B462,'Round 3'!$F$2:$H$361,3,false),1)="b","W",if(LEFT(VLOOKUP($B462,'Round 3'!$F$2:$H$361,3,false),1)="a","L","")))</f>
        <v>L</v>
      </c>
      <c r="G462" s="67" t="str">
        <f>iferror(if(LEFT(VLOOKUP($B462,'Round 4'!$B$2:$H$361,7,false),1)="A","W",if(LEFT(VLOOKUP($B462,'Round 4'!$B$2:$H$361,7,false),1)="B","L","")),if(LEFT(VLOOKUP($B462,'Round 4'!$F$2:$H$361,3,false),1)="b","W",if(LEFT(VLOOKUP($B462,'Round 4'!$F$2:$H$361,3,false),1)="a","L","")))</f>
        <v>W</v>
      </c>
      <c r="H462" s="67" t="str">
        <f>iferror(if(LEFT(VLOOKUP($B462,'Round 5'!$B$2:$H$361,7,false),1)="A","W",if(LEFT(VLOOKUP($B462,'Round 5'!$B$2:$H$361,7,false),1)="B","L","")),if(LEFT(VLOOKUP($B462,'Round 5'!$F$2:$H$361,3,false),1)="b","W",if(LEFT(VLOOKUP($B462,'Round 5'!$F$2:$H$361,3,false),1)="a","L","")))</f>
        <v>L</v>
      </c>
      <c r="I462" s="67"/>
      <c r="J462" s="67" t="str">
        <f>iferror(iferror(if(LEFT(VLOOKUP($B462,'Round 7'!$B$2:$H$361,7,false),1)="A","W",if(LEFT(VLOOKUP($B462,'Round 7'!$B$2:$H$361,7,false),1)="B","L","")),if(LEFT(VLOOKUP($B462,'Round 7'!$F$2:$H$361,3,false),1)="b","W",if(LEFT(VLOOKUP($B462,'Round 7'!$F$2:$H$361,3,false),1)="a","L",""))),"")</f>
        <v/>
      </c>
      <c r="K462" s="68" t="str">
        <f>iferror(iferror(if(LEFT(VLOOKUP($B462,'Round 8'!$B$2:$H$361,7,false),1)="A","W",if(LEFT(VLOOKUP($B462,'Round 8'!$B$2:$H$361,7,false),1)="B","L","")),if(LEFT(VLOOKUP($B462,'Round 8'!$F$2:$H$361,3,false),1)="b","W",if(LEFT(VLOOKUP($B462,'Round 8'!$F$2:$H$361,3,false),1)="a","L",""))),"")</f>
        <v/>
      </c>
      <c r="L462" s="68" t="str">
        <f>iferror(iferror(if(LEFT(VLOOKUP($B462,'Round 9'!$B$2:$H$361,7,false),1)="A","W",if(LEFT(VLOOKUP($B462,'Round 9'!$B$2:$H$361,7,false),1)="B","L","")),if(LEFT(VLOOKUP($B462,'Round 9'!$F$2:$H$361,3,false),1)="b","W",if(LEFT(VLOOKUP($B462,'Round 9'!$F$2:$H$361,3,false),1)="a","L",""))),"")</f>
        <v/>
      </c>
      <c r="M462" s="68" t="str">
        <f>iferror(iferror(if(LEFT(VLOOKUP($B462,'Round 10'!$B$2:$H$362,7,false),1)="A","W",if(LEFT(VLOOKUP($B462,'Round 10'!$B$2:$H$362,7,false),1)="B","L","")),if(LEFT(VLOOKUP($B462,'Round 10'!$F$2:$H$362,3,false),1)="b","W",if(LEFT(VLOOKUP($B462,'Round 10'!$F$2:$H$362,3,false),1)="a","L",""))),"")</f>
        <v/>
      </c>
      <c r="N462" s="62" t="s">
        <v>978</v>
      </c>
    </row>
    <row r="463">
      <c r="A463" s="63">
        <v>462.0</v>
      </c>
      <c r="B463" s="64" t="s">
        <v>979</v>
      </c>
      <c r="C463" s="65" t="str">
        <f t="shared" si="1"/>
        <v>2 - 3</v>
      </c>
      <c r="D463" s="67" t="str">
        <f>iferror(if(LEFT(VLOOKUP($B463,'Round 1'!$B$2:$H$361,7,false),1)="A","W",if(LEFT(VLOOKUP($B463,'Round 1'!$B$2:$H$361,7,false),1)="B","L","")),if(LEFT(VLOOKUP($B463,'Round 1'!$F$2:$H$361,3,false),1)="b","W",if(LEFT(VLOOKUP($B463,'Round 1'!$F$2:$H$361,3,false),1)="a","L","")))</f>
        <v>L</v>
      </c>
      <c r="E463" s="67" t="str">
        <f>iferror(if(LEFT(VLOOKUP($B463,'Round 2'!$C$2:$J$361,8,false),1)="A","W",if(LEFT(VLOOKUP($B463,'Round 2'!$C$2:$J$361,8,false),1)="B","L","")),if(LEFT(VLOOKUP($B463,'Round 2'!$G$2:$J$361,4,false),1)="b","W",if(LEFT(VLOOKUP($B463,'Round 2'!$G$2:$J$361,4,false),1)="a","L","")))</f>
        <v>L</v>
      </c>
      <c r="F463" s="67" t="str">
        <f>iferror(if(LEFT(VLOOKUP($B463,'Round 3'!$B$2:$H$361,7,false),1)="A","W",if(LEFT(VLOOKUP($B463,'Round 3'!$B$2:$H$361,7,false),1)="B","L","")),if(LEFT(VLOOKUP($B463,'Round 3'!$F$2:$H$361,3,false),1)="b","W",if(LEFT(VLOOKUP($B463,'Round 3'!$F$2:$H$361,3,false),1)="a","L","")))</f>
        <v>W</v>
      </c>
      <c r="G463" s="67" t="str">
        <f>iferror(if(LEFT(VLOOKUP($B463,'Round 4'!$B$2:$H$361,7,false),1)="A","W",if(LEFT(VLOOKUP($B463,'Round 4'!$B$2:$H$361,7,false),1)="B","L","")),if(LEFT(VLOOKUP($B463,'Round 4'!$F$2:$H$361,3,false),1)="b","W",if(LEFT(VLOOKUP($B463,'Round 4'!$F$2:$H$361,3,false),1)="a","L","")))</f>
        <v>W</v>
      </c>
      <c r="H463" s="67" t="str">
        <f>iferror(if(LEFT(VLOOKUP($B463,'Round 5'!$B$2:$H$361,7,false),1)="A","W",if(LEFT(VLOOKUP($B463,'Round 5'!$B$2:$H$361,7,false),1)="B","L","")),if(LEFT(VLOOKUP($B463,'Round 5'!$F$2:$H$361,3,false),1)="b","W",if(LEFT(VLOOKUP($B463,'Round 5'!$F$2:$H$361,3,false),1)="a","L","")))</f>
        <v>L</v>
      </c>
      <c r="I463" s="67"/>
      <c r="J463" s="67" t="str">
        <f>iferror(iferror(if(LEFT(VLOOKUP($B463,'Round 7'!$B$2:$H$361,7,false),1)="A","W",if(LEFT(VLOOKUP($B463,'Round 7'!$B$2:$H$361,7,false),1)="B","L","")),if(LEFT(VLOOKUP($B463,'Round 7'!$F$2:$H$361,3,false),1)="b","W",if(LEFT(VLOOKUP($B463,'Round 7'!$F$2:$H$361,3,false),1)="a","L",""))),"")</f>
        <v/>
      </c>
      <c r="K463" s="68" t="str">
        <f>iferror(iferror(if(LEFT(VLOOKUP($B463,'Round 8'!$B$2:$H$361,7,false),1)="A","W",if(LEFT(VLOOKUP($B463,'Round 8'!$B$2:$H$361,7,false),1)="B","L","")),if(LEFT(VLOOKUP($B463,'Round 8'!$F$2:$H$361,3,false),1)="b","W",if(LEFT(VLOOKUP($B463,'Round 8'!$F$2:$H$361,3,false),1)="a","L",""))),"")</f>
        <v/>
      </c>
      <c r="L463" s="68" t="str">
        <f>iferror(iferror(if(LEFT(VLOOKUP($B463,'Round 9'!$B$2:$H$361,7,false),1)="A","W",if(LEFT(VLOOKUP($B463,'Round 9'!$B$2:$H$361,7,false),1)="B","L","")),if(LEFT(VLOOKUP($B463,'Round 9'!$F$2:$H$361,3,false),1)="b","W",if(LEFT(VLOOKUP($B463,'Round 9'!$F$2:$H$361,3,false),1)="a","L",""))),"")</f>
        <v/>
      </c>
      <c r="M463" s="68" t="str">
        <f>iferror(iferror(if(LEFT(VLOOKUP($B463,'Round 10'!$B$2:$H$362,7,false),1)="A","W",if(LEFT(VLOOKUP($B463,'Round 10'!$B$2:$H$362,7,false),1)="B","L","")),if(LEFT(VLOOKUP($B463,'Round 10'!$F$2:$H$362,3,false),1)="b","W",if(LEFT(VLOOKUP($B463,'Round 10'!$F$2:$H$362,3,false),1)="a","L",""))),"")</f>
        <v/>
      </c>
      <c r="N463" s="62" t="s">
        <v>980</v>
      </c>
    </row>
    <row r="464">
      <c r="A464" s="63">
        <v>463.0</v>
      </c>
      <c r="B464" s="64" t="s">
        <v>981</v>
      </c>
      <c r="C464" s="65" t="str">
        <f t="shared" si="1"/>
        <v>3 - 3</v>
      </c>
      <c r="D464" s="67" t="str">
        <f>iferror(if(LEFT(VLOOKUP($B464,'Round 1'!$B$2:$H$361,7,false),1)="A","W",if(LEFT(VLOOKUP($B464,'Round 1'!$B$2:$H$361,7,false),1)="B","L","")),if(LEFT(VLOOKUP($B464,'Round 1'!$F$2:$H$361,3,false),1)="b","W",if(LEFT(VLOOKUP($B464,'Round 1'!$F$2:$H$361,3,false),1)="a","L","")))</f>
        <v>L</v>
      </c>
      <c r="E464" s="67" t="str">
        <f>iferror(if(LEFT(VLOOKUP($B464,'Round 2'!$C$2:$J$361,8,false),1)="A","W",if(LEFT(VLOOKUP($B464,'Round 2'!$C$2:$J$361,8,false),1)="B","L","")),if(LEFT(VLOOKUP($B464,'Round 2'!$G$2:$J$361,4,false),1)="b","W",if(LEFT(VLOOKUP($B464,'Round 2'!$G$2:$J$361,4,false),1)="a","L","")))</f>
        <v>W</v>
      </c>
      <c r="F464" s="67" t="str">
        <f>iferror(if(LEFT(VLOOKUP($B464,'Round 3'!$B$2:$H$361,7,false),1)="A","W",if(LEFT(VLOOKUP($B464,'Round 3'!$B$2:$H$361,7,false),1)="B","L","")),if(LEFT(VLOOKUP($B464,'Round 3'!$F$2:$H$361,3,false),1)="b","W",if(LEFT(VLOOKUP($B464,'Round 3'!$F$2:$H$361,3,false),1)="a","L","")))</f>
        <v>L</v>
      </c>
      <c r="G464" s="67" t="str">
        <f>iferror(if(LEFT(VLOOKUP($B464,'Round 4'!$B$2:$H$361,7,false),1)="A","W",if(LEFT(VLOOKUP($B464,'Round 4'!$B$2:$H$361,7,false),1)="B","L","")),if(LEFT(VLOOKUP($B464,'Round 4'!$F$2:$H$361,3,false),1)="b","W",if(LEFT(VLOOKUP($B464,'Round 4'!$F$2:$H$361,3,false),1)="a","L","")))</f>
        <v>W</v>
      </c>
      <c r="H464" s="67" t="str">
        <f>iferror(if(LEFT(VLOOKUP($B464,'Round 5'!$B$2:$H$361,7,false),1)="A","W",if(LEFT(VLOOKUP($B464,'Round 5'!$B$2:$H$361,7,false),1)="B","L","")),if(LEFT(VLOOKUP($B464,'Round 5'!$F$2:$H$361,3,false),1)="b","W",if(LEFT(VLOOKUP($B464,'Round 5'!$F$2:$H$361,3,false),1)="a","L","")))</f>
        <v>W</v>
      </c>
      <c r="I464" s="67" t="str">
        <f>iferror(if(LEFT(VLOOKUP($B464,'Round 6'!$B$2:$H$361,7,false),1)="A","W",if(LEFT(VLOOKUP($B464,'Round 6'!$B$2:$H$361,7,false),1)="B","L","")),if(LEFT(VLOOKUP($B464,'Round 6'!$F$2:$H$361,3,false),1)="b","W",if(LEFT(VLOOKUP($B464,'Round 6'!$F$2:$H$361,3,false),1)="a","L","")))</f>
        <v>L</v>
      </c>
      <c r="J464" s="67" t="str">
        <f>iferror(iferror(if(LEFT(VLOOKUP($B464,'Round 7'!$B$2:$H$361,7,false),1)="A","W",if(LEFT(VLOOKUP($B464,'Round 7'!$B$2:$H$361,7,false),1)="B","L","")),if(LEFT(VLOOKUP($B464,'Round 7'!$F$2:$H$361,3,false),1)="b","W",if(LEFT(VLOOKUP($B464,'Round 7'!$F$2:$H$361,3,false),1)="a","L",""))),"")</f>
        <v/>
      </c>
      <c r="K464" s="68" t="str">
        <f>iferror(iferror(if(LEFT(VLOOKUP($B464,'Round 8'!$B$2:$H$361,7,false),1)="A","W",if(LEFT(VLOOKUP($B464,'Round 8'!$B$2:$H$361,7,false),1)="B","L","")),if(LEFT(VLOOKUP($B464,'Round 8'!$F$2:$H$361,3,false),1)="b","W",if(LEFT(VLOOKUP($B464,'Round 8'!$F$2:$H$361,3,false),1)="a","L",""))),"")</f>
        <v/>
      </c>
      <c r="L464" s="68" t="str">
        <f>iferror(iferror(if(LEFT(VLOOKUP($B464,'Round 9'!$B$2:$H$361,7,false),1)="A","W",if(LEFT(VLOOKUP($B464,'Round 9'!$B$2:$H$361,7,false),1)="B","L","")),if(LEFT(VLOOKUP($B464,'Round 9'!$F$2:$H$361,3,false),1)="b","W",if(LEFT(VLOOKUP($B464,'Round 9'!$F$2:$H$361,3,false),1)="a","L",""))),"")</f>
        <v/>
      </c>
      <c r="M464" s="68" t="str">
        <f>iferror(iferror(if(LEFT(VLOOKUP($B464,'Round 10'!$B$2:$H$362,7,false),1)="A","W",if(LEFT(VLOOKUP($B464,'Round 10'!$B$2:$H$362,7,false),1)="B","L","")),if(LEFT(VLOOKUP($B464,'Round 10'!$F$2:$H$362,3,false),1)="b","W",if(LEFT(VLOOKUP($B464,'Round 10'!$F$2:$H$362,3,false),1)="a","L",""))),"")</f>
        <v/>
      </c>
      <c r="N464" s="62" t="s">
        <v>982</v>
      </c>
    </row>
    <row r="465">
      <c r="A465" s="63">
        <v>464.0</v>
      </c>
      <c r="B465" s="64" t="s">
        <v>983</v>
      </c>
      <c r="C465" s="65" t="str">
        <f t="shared" si="1"/>
        <v>0 - 3</v>
      </c>
      <c r="D465" s="67" t="str">
        <f>iferror(if(LEFT(VLOOKUP($B465,'Round 1'!$B$2:$H$361,7,false),1)="A","W",if(LEFT(VLOOKUP($B465,'Round 1'!$B$2:$H$361,7,false),1)="B","L","")),if(LEFT(VLOOKUP($B465,'Round 1'!$F$2:$H$361,3,false),1)="b","W",if(LEFT(VLOOKUP($B465,'Round 1'!$F$2:$H$361,3,false),1)="a","L","")))</f>
        <v>L</v>
      </c>
      <c r="E465" s="67" t="str">
        <f>iferror(if(LEFT(VLOOKUP($B465,'Round 2'!$C$2:$J$361,8,false),1)="A","W",if(LEFT(VLOOKUP($B465,'Round 2'!$C$2:$J$361,8,false),1)="B","L","")),if(LEFT(VLOOKUP($B465,'Round 2'!$G$2:$J$361,4,false),1)="b","W",if(LEFT(VLOOKUP($B465,'Round 2'!$G$2:$J$361,4,false),1)="a","L","")))</f>
        <v>L</v>
      </c>
      <c r="F465" s="67" t="str">
        <f>iferror(if(LEFT(VLOOKUP($B465,'Round 3'!$B$2:$H$361,7,false),1)="A","W",if(LEFT(VLOOKUP($B465,'Round 3'!$B$2:$H$361,7,false),1)="B","L","")),if(LEFT(VLOOKUP($B465,'Round 3'!$F$2:$H$361,3,false),1)="b","W",if(LEFT(VLOOKUP($B465,'Round 3'!$F$2:$H$361,3,false),1)="a","L","")))</f>
        <v>L</v>
      </c>
      <c r="G465" s="67"/>
      <c r="H465" s="67"/>
      <c r="I465" s="67"/>
      <c r="J465" s="67" t="str">
        <f>iferror(iferror(if(LEFT(VLOOKUP($B465,'Round 7'!$B$2:$H$361,7,false),1)="A","W",if(LEFT(VLOOKUP($B465,'Round 7'!$B$2:$H$361,7,false),1)="B","L","")),if(LEFT(VLOOKUP($B465,'Round 7'!$F$2:$H$361,3,false),1)="b","W",if(LEFT(VLOOKUP($B465,'Round 7'!$F$2:$H$361,3,false),1)="a","L",""))),"")</f>
        <v/>
      </c>
      <c r="K465" s="68" t="str">
        <f>iferror(iferror(if(LEFT(VLOOKUP($B465,'Round 8'!$B$2:$H$361,7,false),1)="A","W",if(LEFT(VLOOKUP($B465,'Round 8'!$B$2:$H$361,7,false),1)="B","L","")),if(LEFT(VLOOKUP($B465,'Round 8'!$F$2:$H$361,3,false),1)="b","W",if(LEFT(VLOOKUP($B465,'Round 8'!$F$2:$H$361,3,false),1)="a","L",""))),"")</f>
        <v/>
      </c>
      <c r="L465" s="68" t="str">
        <f>iferror(iferror(if(LEFT(VLOOKUP($B465,'Round 9'!$B$2:$H$361,7,false),1)="A","W",if(LEFT(VLOOKUP($B465,'Round 9'!$B$2:$H$361,7,false),1)="B","L","")),if(LEFT(VLOOKUP($B465,'Round 9'!$F$2:$H$361,3,false),1)="b","W",if(LEFT(VLOOKUP($B465,'Round 9'!$F$2:$H$361,3,false),1)="a","L",""))),"")</f>
        <v/>
      </c>
      <c r="M465" s="68" t="str">
        <f>iferror(iferror(if(LEFT(VLOOKUP($B465,'Round 10'!$B$2:$H$362,7,false),1)="A","W",if(LEFT(VLOOKUP($B465,'Round 10'!$B$2:$H$362,7,false),1)="B","L","")),if(LEFT(VLOOKUP($B465,'Round 10'!$F$2:$H$362,3,false),1)="b","W",if(LEFT(VLOOKUP($B465,'Round 10'!$F$2:$H$362,3,false),1)="a","L",""))),"")</f>
        <v/>
      </c>
      <c r="N465" s="62" t="s">
        <v>984</v>
      </c>
    </row>
    <row r="466">
      <c r="A466" s="63">
        <v>465.0</v>
      </c>
      <c r="B466" s="64" t="s">
        <v>985</v>
      </c>
      <c r="C466" s="65" t="str">
        <f t="shared" si="1"/>
        <v>2 - 3</v>
      </c>
      <c r="D466" s="67" t="str">
        <f>iferror(if(LEFT(VLOOKUP($B466,'Round 1'!$B$2:$H$361,7,false),1)="A","W",if(LEFT(VLOOKUP($B466,'Round 1'!$B$2:$H$361,7,false),1)="B","L","")),if(LEFT(VLOOKUP($B466,'Round 1'!$F$2:$H$361,3,false),1)="b","W",if(LEFT(VLOOKUP($B466,'Round 1'!$F$2:$H$361,3,false),1)="a","L","")))</f>
        <v>L</v>
      </c>
      <c r="E466" s="67" t="str">
        <f>iferror(if(LEFT(VLOOKUP($B466,'Round 2'!$C$2:$J$361,8,false),1)="A","W",if(LEFT(VLOOKUP($B466,'Round 2'!$C$2:$J$361,8,false),1)="B","L","")),if(LEFT(VLOOKUP($B466,'Round 2'!$G$2:$J$361,4,false),1)="b","W",if(LEFT(VLOOKUP($B466,'Round 2'!$G$2:$J$361,4,false),1)="a","L","")))</f>
        <v>W</v>
      </c>
      <c r="F466" s="67" t="str">
        <f>iferror(if(LEFT(VLOOKUP($B466,'Round 3'!$B$2:$H$361,7,false),1)="A","W",if(LEFT(VLOOKUP($B466,'Round 3'!$B$2:$H$361,7,false),1)="B","L","")),if(LEFT(VLOOKUP($B466,'Round 3'!$F$2:$H$361,3,false),1)="b","W",if(LEFT(VLOOKUP($B466,'Round 3'!$F$2:$H$361,3,false),1)="a","L","")))</f>
        <v>L</v>
      </c>
      <c r="G466" s="67" t="str">
        <f>iferror(if(LEFT(VLOOKUP($B466,'Round 4'!$B$2:$H$361,7,false),1)="A","W",if(LEFT(VLOOKUP($B466,'Round 4'!$B$2:$H$361,7,false),1)="B","L","")),if(LEFT(VLOOKUP($B466,'Round 4'!$F$2:$H$361,3,false),1)="b","W",if(LEFT(VLOOKUP($B466,'Round 4'!$F$2:$H$361,3,false),1)="a","L","")))</f>
        <v>W</v>
      </c>
      <c r="H466" s="67" t="str">
        <f>iferror(if(LEFT(VLOOKUP($B466,'Round 5'!$B$2:$H$361,7,false),1)="A","W",if(LEFT(VLOOKUP($B466,'Round 5'!$B$2:$H$361,7,false),1)="B","L","")),if(LEFT(VLOOKUP($B466,'Round 5'!$F$2:$H$361,3,false),1)="b","W",if(LEFT(VLOOKUP($B466,'Round 5'!$F$2:$H$361,3,false),1)="a","L","")))</f>
        <v>L</v>
      </c>
      <c r="I466" s="67"/>
      <c r="J466" s="67" t="str">
        <f>iferror(iferror(if(LEFT(VLOOKUP($B466,'Round 7'!$B$2:$H$361,7,false),1)="A","W",if(LEFT(VLOOKUP($B466,'Round 7'!$B$2:$H$361,7,false),1)="B","L","")),if(LEFT(VLOOKUP($B466,'Round 7'!$F$2:$H$361,3,false),1)="b","W",if(LEFT(VLOOKUP($B466,'Round 7'!$F$2:$H$361,3,false),1)="a","L",""))),"")</f>
        <v/>
      </c>
      <c r="K466" s="68" t="str">
        <f>iferror(iferror(if(LEFT(VLOOKUP($B466,'Round 8'!$B$2:$H$361,7,false),1)="A","W",if(LEFT(VLOOKUP($B466,'Round 8'!$B$2:$H$361,7,false),1)="B","L","")),if(LEFT(VLOOKUP($B466,'Round 8'!$F$2:$H$361,3,false),1)="b","W",if(LEFT(VLOOKUP($B466,'Round 8'!$F$2:$H$361,3,false),1)="a","L",""))),"")</f>
        <v/>
      </c>
      <c r="L466" s="68" t="str">
        <f>iferror(iferror(if(LEFT(VLOOKUP($B466,'Round 9'!$B$2:$H$361,7,false),1)="A","W",if(LEFT(VLOOKUP($B466,'Round 9'!$B$2:$H$361,7,false),1)="B","L","")),if(LEFT(VLOOKUP($B466,'Round 9'!$F$2:$H$361,3,false),1)="b","W",if(LEFT(VLOOKUP($B466,'Round 9'!$F$2:$H$361,3,false),1)="a","L",""))),"")</f>
        <v/>
      </c>
      <c r="M466" s="68" t="str">
        <f>iferror(iferror(if(LEFT(VLOOKUP($B466,'Round 10'!$B$2:$H$362,7,false),1)="A","W",if(LEFT(VLOOKUP($B466,'Round 10'!$B$2:$H$362,7,false),1)="B","L","")),if(LEFT(VLOOKUP($B466,'Round 10'!$F$2:$H$362,3,false),1)="b","W",if(LEFT(VLOOKUP($B466,'Round 10'!$F$2:$H$362,3,false),1)="a","L",""))),"")</f>
        <v/>
      </c>
      <c r="N466" s="62" t="s">
        <v>986</v>
      </c>
    </row>
    <row r="467">
      <c r="A467" s="63">
        <v>466.0</v>
      </c>
      <c r="B467" s="64" t="s">
        <v>987</v>
      </c>
      <c r="C467" s="65" t="str">
        <f t="shared" si="1"/>
        <v>7 - 2</v>
      </c>
      <c r="D467" s="67" t="str">
        <f>iferror(if(LEFT(VLOOKUP($B467,'Round 1'!$B$2:$H$361,7,false),1)="A","W",if(LEFT(VLOOKUP($B467,'Round 1'!$B$2:$H$361,7,false),1)="B","L","")),if(LEFT(VLOOKUP($B467,'Round 1'!$F$2:$H$361,3,false),1)="b","W",if(LEFT(VLOOKUP($B467,'Round 1'!$F$2:$H$361,3,false),1)="a","L","")))</f>
        <v>L</v>
      </c>
      <c r="E467" s="67" t="str">
        <f>iferror(if(LEFT(VLOOKUP($B467,'Round 2'!$C$2:$J$361,8,false),1)="A","W",if(LEFT(VLOOKUP($B467,'Round 2'!$C$2:$J$361,8,false),1)="B","L","")),if(LEFT(VLOOKUP($B467,'Round 2'!$G$2:$J$361,4,false),1)="b","W",if(LEFT(VLOOKUP($B467,'Round 2'!$G$2:$J$361,4,false),1)="a","L","")))</f>
        <v>W</v>
      </c>
      <c r="F467" s="67" t="str">
        <f>iferror(if(LEFT(VLOOKUP($B467,'Round 3'!$B$2:$H$361,7,false),1)="A","W",if(LEFT(VLOOKUP($B467,'Round 3'!$B$2:$H$361,7,false),1)="B","L","")),if(LEFT(VLOOKUP($B467,'Round 3'!$F$2:$H$361,3,false),1)="b","W",if(LEFT(VLOOKUP($B467,'Round 3'!$F$2:$H$361,3,false),1)="a","L","")))</f>
        <v>W</v>
      </c>
      <c r="G467" s="67" t="str">
        <f>iferror(if(LEFT(VLOOKUP($B467,'Round 4'!$B$2:$H$361,7,false),1)="A","W",if(LEFT(VLOOKUP($B467,'Round 4'!$B$2:$H$361,7,false),1)="B","L","")),if(LEFT(VLOOKUP($B467,'Round 4'!$F$2:$H$361,3,false),1)="b","W",if(LEFT(VLOOKUP($B467,'Round 4'!$F$2:$H$361,3,false),1)="a","L","")))</f>
        <v>W</v>
      </c>
      <c r="H467" s="67" t="str">
        <f>iferror(if(LEFT(VLOOKUP($B467,'Round 5'!$B$2:$H$361,7,false),1)="A","W",if(LEFT(VLOOKUP($B467,'Round 5'!$B$2:$H$361,7,false),1)="B","L","")),if(LEFT(VLOOKUP($B467,'Round 5'!$F$2:$H$361,3,false),1)="b","W",if(LEFT(VLOOKUP($B467,'Round 5'!$F$2:$H$361,3,false),1)="a","L","")))</f>
        <v>L</v>
      </c>
      <c r="I467" s="67" t="str">
        <f>iferror(if(LEFT(VLOOKUP($B467,'Round 6'!$B$2:$H$361,7,false),1)="A","W",if(LEFT(VLOOKUP($B467,'Round 6'!$B$2:$H$361,7,false),1)="B","L","")),if(LEFT(VLOOKUP($B467,'Round 6'!$F$2:$H$361,3,false),1)="b","W",if(LEFT(VLOOKUP($B467,'Round 6'!$F$2:$H$361,3,false),1)="a","L","")))</f>
        <v>W</v>
      </c>
      <c r="J467" s="67" t="str">
        <f>iferror(iferror(if(LEFT(VLOOKUP($B467,'Round 7'!$B$2:$H$361,7,false),1)="A","W",if(LEFT(VLOOKUP($B467,'Round 7'!$B$2:$H$361,7,false),1)="B","L","")),if(LEFT(VLOOKUP($B467,'Round 7'!$F$2:$H$361,3,false),1)="b","W",if(LEFT(VLOOKUP($B467,'Round 7'!$F$2:$H$361,3,false),1)="a","L",""))),"")</f>
        <v>W</v>
      </c>
      <c r="K467" s="68" t="str">
        <f>iferror(iferror(if(LEFT(VLOOKUP($B467,'Round 8'!$B$2:$H$361,7,false),1)="A","W",if(LEFT(VLOOKUP($B467,'Round 8'!$B$2:$H$361,7,false),1)="B","L","")),if(LEFT(VLOOKUP($B467,'Round 8'!$F$2:$H$361,3,false),1)="b","W",if(LEFT(VLOOKUP($B467,'Round 8'!$F$2:$H$361,3,false),1)="a","L",""))),"")</f>
        <v>W</v>
      </c>
      <c r="L467" s="68" t="str">
        <f>iferror(iferror(if(LEFT(VLOOKUP($B467,'Round 9'!$B$2:$H$361,7,false),1)="A","W",if(LEFT(VLOOKUP($B467,'Round 9'!$B$2:$H$361,7,false),1)="B","L","")),if(LEFT(VLOOKUP($B467,'Round 9'!$F$2:$H$361,3,false),1)="b","W",if(LEFT(VLOOKUP($B467,'Round 9'!$F$2:$H$361,3,false),1)="a","L",""))),"")</f>
        <v>W</v>
      </c>
      <c r="M467" s="68" t="str">
        <f>iferror(iferror(if(LEFT(VLOOKUP($B467,'Round 10'!$B$2:$H$362,7,false),1)="A","W",if(LEFT(VLOOKUP($B467,'Round 10'!$B$2:$H$362,7,false),1)="B","L","")),if(LEFT(VLOOKUP($B467,'Round 10'!$F$2:$H$362,3,false),1)="b","W",if(LEFT(VLOOKUP($B467,'Round 10'!$F$2:$H$362,3,false),1)="a","L",""))),"")</f>
        <v/>
      </c>
      <c r="N467" s="62" t="s">
        <v>988</v>
      </c>
    </row>
    <row r="468">
      <c r="A468" s="63">
        <v>467.0</v>
      </c>
      <c r="B468" s="64" t="s">
        <v>989</v>
      </c>
      <c r="C468" s="65" t="str">
        <f t="shared" si="1"/>
        <v>1 - 3</v>
      </c>
      <c r="D468" s="67" t="str">
        <f>iferror(if(LEFT(VLOOKUP($B468,'Round 1'!$B$2:$H$361,7,false),1)="A","W",if(LEFT(VLOOKUP($B468,'Round 1'!$B$2:$H$361,7,false),1)="B","L","")),if(LEFT(VLOOKUP($B468,'Round 1'!$F$2:$H$361,3,false),1)="b","W",if(LEFT(VLOOKUP($B468,'Round 1'!$F$2:$H$361,3,false),1)="a","L","")))</f>
        <v>L</v>
      </c>
      <c r="E468" s="67" t="str">
        <f>iferror(if(LEFT(VLOOKUP($B468,'Round 2'!$C$2:$J$361,8,false),1)="A","W",if(LEFT(VLOOKUP($B468,'Round 2'!$C$2:$J$361,8,false),1)="B","L","")),if(LEFT(VLOOKUP($B468,'Round 2'!$G$2:$J$361,4,false),1)="b","W",if(LEFT(VLOOKUP($B468,'Round 2'!$G$2:$J$361,4,false),1)="a","L","")))</f>
        <v>W</v>
      </c>
      <c r="F468" s="67" t="str">
        <f>iferror(if(LEFT(VLOOKUP($B468,'Round 3'!$B$2:$H$361,7,false),1)="A","W",if(LEFT(VLOOKUP($B468,'Round 3'!$B$2:$H$361,7,false),1)="B","L","")),if(LEFT(VLOOKUP($B468,'Round 3'!$F$2:$H$361,3,false),1)="b","W",if(LEFT(VLOOKUP($B468,'Round 3'!$F$2:$H$361,3,false),1)="a","L","")))</f>
        <v>L</v>
      </c>
      <c r="G468" s="67" t="str">
        <f>iferror(if(LEFT(VLOOKUP($B468,'Round 4'!$B$2:$H$361,7,false),1)="A","W",if(LEFT(VLOOKUP($B468,'Round 4'!$B$2:$H$361,7,false),1)="B","L","")),if(LEFT(VLOOKUP($B468,'Round 4'!$F$2:$H$361,3,false),1)="b","W",if(LEFT(VLOOKUP($B468,'Round 4'!$F$2:$H$361,3,false),1)="a","L","")))</f>
        <v>L</v>
      </c>
      <c r="H468" s="67"/>
      <c r="I468" s="67"/>
      <c r="J468" s="67" t="str">
        <f>iferror(iferror(if(LEFT(VLOOKUP($B468,'Round 7'!$B$2:$H$361,7,false),1)="A","W",if(LEFT(VLOOKUP($B468,'Round 7'!$B$2:$H$361,7,false),1)="B","L","")),if(LEFT(VLOOKUP($B468,'Round 7'!$F$2:$H$361,3,false),1)="b","W",if(LEFT(VLOOKUP($B468,'Round 7'!$F$2:$H$361,3,false),1)="a","L",""))),"")</f>
        <v/>
      </c>
      <c r="K468" s="68" t="str">
        <f>iferror(iferror(if(LEFT(VLOOKUP($B468,'Round 8'!$B$2:$H$361,7,false),1)="A","W",if(LEFT(VLOOKUP($B468,'Round 8'!$B$2:$H$361,7,false),1)="B","L","")),if(LEFT(VLOOKUP($B468,'Round 8'!$F$2:$H$361,3,false),1)="b","W",if(LEFT(VLOOKUP($B468,'Round 8'!$F$2:$H$361,3,false),1)="a","L",""))),"")</f>
        <v/>
      </c>
      <c r="L468" s="68" t="str">
        <f>iferror(iferror(if(LEFT(VLOOKUP($B468,'Round 9'!$B$2:$H$361,7,false),1)="A","W",if(LEFT(VLOOKUP($B468,'Round 9'!$B$2:$H$361,7,false),1)="B","L","")),if(LEFT(VLOOKUP($B468,'Round 9'!$F$2:$H$361,3,false),1)="b","W",if(LEFT(VLOOKUP($B468,'Round 9'!$F$2:$H$361,3,false),1)="a","L",""))),"")</f>
        <v/>
      </c>
      <c r="M468" s="68" t="str">
        <f>iferror(iferror(if(LEFT(VLOOKUP($B468,'Round 10'!$B$2:$H$362,7,false),1)="A","W",if(LEFT(VLOOKUP($B468,'Round 10'!$B$2:$H$362,7,false),1)="B","L","")),if(LEFT(VLOOKUP($B468,'Round 10'!$F$2:$H$362,3,false),1)="b","W",if(LEFT(VLOOKUP($B468,'Round 10'!$F$2:$H$362,3,false),1)="a","L",""))),"")</f>
        <v/>
      </c>
      <c r="N468" s="62" t="s">
        <v>990</v>
      </c>
    </row>
    <row r="469">
      <c r="A469" s="63">
        <v>468.0</v>
      </c>
      <c r="B469" s="64" t="s">
        <v>991</v>
      </c>
      <c r="C469" s="65" t="str">
        <f t="shared" si="1"/>
        <v>3 - 3</v>
      </c>
      <c r="D469" s="67" t="str">
        <f>iferror(if(LEFT(VLOOKUP($B469,'Round 1'!$B$2:$H$361,7,false),1)="A","W",if(LEFT(VLOOKUP($B469,'Round 1'!$B$2:$H$361,7,false),1)="B","L","")),if(LEFT(VLOOKUP($B469,'Round 1'!$F$2:$H$361,3,false),1)="b","W",if(LEFT(VLOOKUP($B469,'Round 1'!$F$2:$H$361,3,false),1)="a","L","")))</f>
        <v>L</v>
      </c>
      <c r="E469" s="67" t="str">
        <f>iferror(if(LEFT(VLOOKUP($B469,'Round 2'!$C$2:$J$361,8,false),1)="A","W",if(LEFT(VLOOKUP($B469,'Round 2'!$C$2:$J$361,8,false),1)="B","L","")),if(LEFT(VLOOKUP($B469,'Round 2'!$G$2:$J$361,4,false),1)="b","W",if(LEFT(VLOOKUP($B469,'Round 2'!$G$2:$J$361,4,false),1)="a","L","")))</f>
        <v>W</v>
      </c>
      <c r="F469" s="67" t="str">
        <f>iferror(if(LEFT(VLOOKUP($B469,'Round 3'!$B$2:$H$361,7,false),1)="A","W",if(LEFT(VLOOKUP($B469,'Round 3'!$B$2:$H$361,7,false),1)="B","L","")),if(LEFT(VLOOKUP($B469,'Round 3'!$F$2:$H$361,3,false),1)="b","W",if(LEFT(VLOOKUP($B469,'Round 3'!$F$2:$H$361,3,false),1)="a","L","")))</f>
        <v>L</v>
      </c>
      <c r="G469" s="67" t="str">
        <f>iferror(if(LEFT(VLOOKUP($B469,'Round 4'!$B$2:$H$361,7,false),1)="A","W",if(LEFT(VLOOKUP($B469,'Round 4'!$B$2:$H$361,7,false),1)="B","L","")),if(LEFT(VLOOKUP($B469,'Round 4'!$F$2:$H$361,3,false),1)="b","W",if(LEFT(VLOOKUP($B469,'Round 4'!$F$2:$H$361,3,false),1)="a","L","")))</f>
        <v>W</v>
      </c>
      <c r="H469" s="67" t="str">
        <f>iferror(if(LEFT(VLOOKUP($B469,'Round 5'!$B$2:$H$361,7,false),1)="A","W",if(LEFT(VLOOKUP($B469,'Round 5'!$B$2:$H$361,7,false),1)="B","L","")),if(LEFT(VLOOKUP($B469,'Round 5'!$F$2:$H$361,3,false),1)="b","W",if(LEFT(VLOOKUP($B469,'Round 5'!$F$2:$H$361,3,false),1)="a","L","")))</f>
        <v>W</v>
      </c>
      <c r="I469" s="67" t="str">
        <f>iferror(if(LEFT(VLOOKUP($B469,'Round 6'!$B$2:$H$361,7,false),1)="A","W",if(LEFT(VLOOKUP($B469,'Round 6'!$B$2:$H$361,7,false),1)="B","L","")),if(LEFT(VLOOKUP($B469,'Round 6'!$F$2:$H$361,3,false),1)="b","W",if(LEFT(VLOOKUP($B469,'Round 6'!$F$2:$H$361,3,false),1)="a","L","")))</f>
        <v>L</v>
      </c>
      <c r="J469" s="67" t="str">
        <f>iferror(iferror(if(LEFT(VLOOKUP($B469,'Round 7'!$B$2:$H$361,7,false),1)="A","W",if(LEFT(VLOOKUP($B469,'Round 7'!$B$2:$H$361,7,false),1)="B","L","")),if(LEFT(VLOOKUP($B469,'Round 7'!$F$2:$H$361,3,false),1)="b","W",if(LEFT(VLOOKUP($B469,'Round 7'!$F$2:$H$361,3,false),1)="a","L",""))),"")</f>
        <v/>
      </c>
      <c r="K469" s="68" t="str">
        <f>iferror(iferror(if(LEFT(VLOOKUP($B469,'Round 8'!$B$2:$H$361,7,false),1)="A","W",if(LEFT(VLOOKUP($B469,'Round 8'!$B$2:$H$361,7,false),1)="B","L","")),if(LEFT(VLOOKUP($B469,'Round 8'!$F$2:$H$361,3,false),1)="b","W",if(LEFT(VLOOKUP($B469,'Round 8'!$F$2:$H$361,3,false),1)="a","L",""))),"")</f>
        <v/>
      </c>
      <c r="L469" s="68" t="str">
        <f>iferror(iferror(if(LEFT(VLOOKUP($B469,'Round 9'!$B$2:$H$361,7,false),1)="A","W",if(LEFT(VLOOKUP($B469,'Round 9'!$B$2:$H$361,7,false),1)="B","L","")),if(LEFT(VLOOKUP($B469,'Round 9'!$F$2:$H$361,3,false),1)="b","W",if(LEFT(VLOOKUP($B469,'Round 9'!$F$2:$H$361,3,false),1)="a","L",""))),"")</f>
        <v/>
      </c>
      <c r="M469" s="68" t="str">
        <f>iferror(iferror(if(LEFT(VLOOKUP($B469,'Round 10'!$B$2:$H$362,7,false),1)="A","W",if(LEFT(VLOOKUP($B469,'Round 10'!$B$2:$H$362,7,false),1)="B","L","")),if(LEFT(VLOOKUP($B469,'Round 10'!$F$2:$H$362,3,false),1)="b","W",if(LEFT(VLOOKUP($B469,'Round 10'!$F$2:$H$362,3,false),1)="a","L",""))),"")</f>
        <v/>
      </c>
      <c r="N469" s="62" t="s">
        <v>992</v>
      </c>
    </row>
    <row r="470">
      <c r="A470" s="63">
        <v>469.0</v>
      </c>
      <c r="B470" s="64" t="s">
        <v>993</v>
      </c>
      <c r="C470" s="65" t="str">
        <f t="shared" si="1"/>
        <v>2 - 3</v>
      </c>
      <c r="D470" s="67" t="str">
        <f>iferror(if(LEFT(VLOOKUP($B470,'Round 1'!$B$2:$H$361,7,false),1)="A","W",if(LEFT(VLOOKUP($B470,'Round 1'!$B$2:$H$361,7,false),1)="B","L","")),if(LEFT(VLOOKUP($B470,'Round 1'!$F$2:$H$361,3,false),1)="b","W",if(LEFT(VLOOKUP($B470,'Round 1'!$F$2:$H$361,3,false),1)="a","L","")))</f>
        <v>W</v>
      </c>
      <c r="E470" s="67" t="str">
        <f>iferror(if(LEFT(VLOOKUP($B470,'Round 2'!$C$2:$J$361,8,false),1)="A","W",if(LEFT(VLOOKUP($B470,'Round 2'!$C$2:$J$361,8,false),1)="B","L","")),if(LEFT(VLOOKUP($B470,'Round 2'!$G$2:$J$361,4,false),1)="b","W",if(LEFT(VLOOKUP($B470,'Round 2'!$G$2:$J$361,4,false),1)="a","L","")))</f>
        <v>W</v>
      </c>
      <c r="F470" s="67" t="str">
        <f>iferror(if(LEFT(VLOOKUP($B470,'Round 3'!$B$2:$H$361,7,false),1)="A","W",if(LEFT(VLOOKUP($B470,'Round 3'!$B$2:$H$361,7,false),1)="B","L","")),if(LEFT(VLOOKUP($B470,'Round 3'!$F$2:$H$361,3,false),1)="b","W",if(LEFT(VLOOKUP($B470,'Round 3'!$F$2:$H$361,3,false),1)="a","L","")))</f>
        <v>L</v>
      </c>
      <c r="G470" s="67" t="str">
        <f>iferror(if(LEFT(VLOOKUP($B470,'Round 4'!$B$2:$H$361,7,false),1)="A","W",if(LEFT(VLOOKUP($B470,'Round 4'!$B$2:$H$361,7,false),1)="B","L","")),if(LEFT(VLOOKUP($B470,'Round 4'!$F$2:$H$361,3,false),1)="b","W",if(LEFT(VLOOKUP($B470,'Round 4'!$F$2:$H$361,3,false),1)="a","L","")))</f>
        <v>L</v>
      </c>
      <c r="H470" s="67" t="str">
        <f>iferror(if(LEFT(VLOOKUP($B470,'Round 5'!$B$2:$H$361,7,false),1)="A","W",if(LEFT(VLOOKUP($B470,'Round 5'!$B$2:$H$361,7,false),1)="B","L","")),if(LEFT(VLOOKUP($B470,'Round 5'!$F$2:$H$361,3,false),1)="b","W",if(LEFT(VLOOKUP($B470,'Round 5'!$F$2:$H$361,3,false),1)="a","L","")))</f>
        <v>L</v>
      </c>
      <c r="I470" s="67"/>
      <c r="J470" s="67" t="str">
        <f>iferror(iferror(if(LEFT(VLOOKUP($B470,'Round 7'!$B$2:$H$361,7,false),1)="A","W",if(LEFT(VLOOKUP($B470,'Round 7'!$B$2:$H$361,7,false),1)="B","L","")),if(LEFT(VLOOKUP($B470,'Round 7'!$F$2:$H$361,3,false),1)="b","W",if(LEFT(VLOOKUP($B470,'Round 7'!$F$2:$H$361,3,false),1)="a","L",""))),"")</f>
        <v/>
      </c>
      <c r="K470" s="68" t="str">
        <f>iferror(iferror(if(LEFT(VLOOKUP($B470,'Round 8'!$B$2:$H$361,7,false),1)="A","W",if(LEFT(VLOOKUP($B470,'Round 8'!$B$2:$H$361,7,false),1)="B","L","")),if(LEFT(VLOOKUP($B470,'Round 8'!$F$2:$H$361,3,false),1)="b","W",if(LEFT(VLOOKUP($B470,'Round 8'!$F$2:$H$361,3,false),1)="a","L",""))),"")</f>
        <v/>
      </c>
      <c r="L470" s="68" t="str">
        <f>iferror(iferror(if(LEFT(VLOOKUP($B470,'Round 9'!$B$2:$H$361,7,false),1)="A","W",if(LEFT(VLOOKUP($B470,'Round 9'!$B$2:$H$361,7,false),1)="B","L","")),if(LEFT(VLOOKUP($B470,'Round 9'!$F$2:$H$361,3,false),1)="b","W",if(LEFT(VLOOKUP($B470,'Round 9'!$F$2:$H$361,3,false),1)="a","L",""))),"")</f>
        <v/>
      </c>
      <c r="M470" s="68" t="str">
        <f>iferror(iferror(if(LEFT(VLOOKUP($B470,'Round 10'!$B$2:$H$362,7,false),1)="A","W",if(LEFT(VLOOKUP($B470,'Round 10'!$B$2:$H$362,7,false),1)="B","L","")),if(LEFT(VLOOKUP($B470,'Round 10'!$F$2:$H$362,3,false),1)="b","W",if(LEFT(VLOOKUP($B470,'Round 10'!$F$2:$H$362,3,false),1)="a","L",""))),"")</f>
        <v/>
      </c>
      <c r="N470" s="62" t="s">
        <v>994</v>
      </c>
    </row>
    <row r="471">
      <c r="A471" s="63">
        <v>470.0</v>
      </c>
      <c r="B471" s="64" t="s">
        <v>995</v>
      </c>
      <c r="C471" s="65" t="str">
        <f t="shared" si="1"/>
        <v>1 - 3</v>
      </c>
      <c r="D471" s="67" t="str">
        <f>iferror(if(LEFT(VLOOKUP($B471,'Round 1'!$B$2:$H$361,7,false),1)="A","W",if(LEFT(VLOOKUP($B471,'Round 1'!$B$2:$H$361,7,false),1)="B","L","")),if(LEFT(VLOOKUP($B471,'Round 1'!$F$2:$H$361,3,false),1)="b","W",if(LEFT(VLOOKUP($B471,'Round 1'!$F$2:$H$361,3,false),1)="a","L","")))</f>
        <v>L</v>
      </c>
      <c r="E471" s="67" t="str">
        <f>iferror(if(LEFT(VLOOKUP($B471,'Round 2'!$C$2:$J$361,8,false),1)="A","W",if(LEFT(VLOOKUP($B471,'Round 2'!$C$2:$J$361,8,false),1)="B","L","")),if(LEFT(VLOOKUP($B471,'Round 2'!$G$2:$J$361,4,false),1)="b","W",if(LEFT(VLOOKUP($B471,'Round 2'!$G$2:$J$361,4,false),1)="a","L","")))</f>
        <v>L</v>
      </c>
      <c r="F471" s="67" t="str">
        <f>iferror(if(LEFT(VLOOKUP($B471,'Round 3'!$B$2:$H$361,7,false),1)="A","W",if(LEFT(VLOOKUP($B471,'Round 3'!$B$2:$H$361,7,false),1)="B","L","")),if(LEFT(VLOOKUP($B471,'Round 3'!$F$2:$H$361,3,false),1)="b","W",if(LEFT(VLOOKUP($B471,'Round 3'!$F$2:$H$361,3,false),1)="a","L","")))</f>
        <v>W</v>
      </c>
      <c r="G471" s="67" t="str">
        <f>iferror(if(LEFT(VLOOKUP($B471,'Round 4'!$B$2:$H$361,7,false),1)="A","W",if(LEFT(VLOOKUP($B471,'Round 4'!$B$2:$H$361,7,false),1)="B","L","")),if(LEFT(VLOOKUP($B471,'Round 4'!$F$2:$H$361,3,false),1)="b","W",if(LEFT(VLOOKUP($B471,'Round 4'!$F$2:$H$361,3,false),1)="a","L","")))</f>
        <v>L</v>
      </c>
      <c r="H471" s="67"/>
      <c r="I471" s="67"/>
      <c r="J471" s="67" t="str">
        <f>iferror(iferror(if(LEFT(VLOOKUP($B471,'Round 7'!$B$2:$H$361,7,false),1)="A","W",if(LEFT(VLOOKUP($B471,'Round 7'!$B$2:$H$361,7,false),1)="B","L","")),if(LEFT(VLOOKUP($B471,'Round 7'!$F$2:$H$361,3,false),1)="b","W",if(LEFT(VLOOKUP($B471,'Round 7'!$F$2:$H$361,3,false),1)="a","L",""))),"")</f>
        <v/>
      </c>
      <c r="K471" s="68" t="str">
        <f>iferror(iferror(if(LEFT(VLOOKUP($B471,'Round 8'!$B$2:$H$361,7,false),1)="A","W",if(LEFT(VLOOKUP($B471,'Round 8'!$B$2:$H$361,7,false),1)="B","L","")),if(LEFT(VLOOKUP($B471,'Round 8'!$F$2:$H$361,3,false),1)="b","W",if(LEFT(VLOOKUP($B471,'Round 8'!$F$2:$H$361,3,false),1)="a","L",""))),"")</f>
        <v/>
      </c>
      <c r="L471" s="68" t="str">
        <f>iferror(iferror(if(LEFT(VLOOKUP($B471,'Round 9'!$B$2:$H$361,7,false),1)="A","W",if(LEFT(VLOOKUP($B471,'Round 9'!$B$2:$H$361,7,false),1)="B","L","")),if(LEFT(VLOOKUP($B471,'Round 9'!$F$2:$H$361,3,false),1)="b","W",if(LEFT(VLOOKUP($B471,'Round 9'!$F$2:$H$361,3,false),1)="a","L",""))),"")</f>
        <v/>
      </c>
      <c r="M471" s="68" t="str">
        <f>iferror(iferror(if(LEFT(VLOOKUP($B471,'Round 10'!$B$2:$H$362,7,false),1)="A","W",if(LEFT(VLOOKUP($B471,'Round 10'!$B$2:$H$362,7,false),1)="B","L","")),if(LEFT(VLOOKUP($B471,'Round 10'!$F$2:$H$362,3,false),1)="b","W",if(LEFT(VLOOKUP($B471,'Round 10'!$F$2:$H$362,3,false),1)="a","L",""))),"")</f>
        <v/>
      </c>
      <c r="N471" s="62" t="s">
        <v>996</v>
      </c>
    </row>
    <row r="472">
      <c r="A472" s="63">
        <v>471.0</v>
      </c>
      <c r="B472" s="64" t="s">
        <v>997</v>
      </c>
      <c r="C472" s="65" t="str">
        <f t="shared" si="1"/>
        <v>7 - 2</v>
      </c>
      <c r="D472" s="67" t="str">
        <f>iferror(if(LEFT(VLOOKUP($B472,'Round 1'!$B$2:$H$361,7,false),1)="A","W",if(LEFT(VLOOKUP($B472,'Round 1'!$B$2:$H$361,7,false),1)="B","L","")),if(LEFT(VLOOKUP($B472,'Round 1'!$F$2:$H$361,3,false),1)="b","W",if(LEFT(VLOOKUP($B472,'Round 1'!$F$2:$H$361,3,false),1)="a","L","")))</f>
        <v>W</v>
      </c>
      <c r="E472" s="67" t="str">
        <f>iferror(if(LEFT(VLOOKUP($B472,'Round 2'!$C$2:$J$361,8,false),1)="A","W",if(LEFT(VLOOKUP($B472,'Round 2'!$C$2:$J$361,8,false),1)="B","L","")),if(LEFT(VLOOKUP($B472,'Round 2'!$G$2:$J$361,4,false),1)="b","W",if(LEFT(VLOOKUP($B472,'Round 2'!$G$2:$J$361,4,false),1)="a","L","")))</f>
        <v>W</v>
      </c>
      <c r="F472" s="67" t="str">
        <f>iferror(if(LEFT(VLOOKUP($B472,'Round 3'!$B$2:$H$361,7,false),1)="A","W",if(LEFT(VLOOKUP($B472,'Round 3'!$B$2:$H$361,7,false),1)="B","L","")),if(LEFT(VLOOKUP($B472,'Round 3'!$F$2:$H$361,3,false),1)="b","W",if(LEFT(VLOOKUP($B472,'Round 3'!$F$2:$H$361,3,false),1)="a","L","")))</f>
        <v>L</v>
      </c>
      <c r="G472" s="67" t="str">
        <f>iferror(if(LEFT(VLOOKUP($B472,'Round 4'!$B$2:$H$361,7,false),1)="A","W",if(LEFT(VLOOKUP($B472,'Round 4'!$B$2:$H$361,7,false),1)="B","L","")),if(LEFT(VLOOKUP($B472,'Round 4'!$F$2:$H$361,3,false),1)="b","W",if(LEFT(VLOOKUP($B472,'Round 4'!$F$2:$H$361,3,false),1)="a","L","")))</f>
        <v>L</v>
      </c>
      <c r="H472" s="67" t="str">
        <f>iferror(if(LEFT(VLOOKUP($B472,'Round 5'!$B$2:$H$361,7,false),1)="A","W",if(LEFT(VLOOKUP($B472,'Round 5'!$B$2:$H$361,7,false),1)="B","L","")),if(LEFT(VLOOKUP($B472,'Round 5'!$F$2:$H$361,3,false),1)="b","W",if(LEFT(VLOOKUP($B472,'Round 5'!$F$2:$H$361,3,false),1)="a","L","")))</f>
        <v>W</v>
      </c>
      <c r="I472" s="67" t="s">
        <v>502</v>
      </c>
      <c r="J472" s="67" t="str">
        <f>iferror(iferror(if(LEFT(VLOOKUP($B472,'Round 7'!$B$2:$H$361,7,false),1)="A","W",if(LEFT(VLOOKUP($B472,'Round 7'!$B$2:$H$361,7,false),1)="B","L","")),if(LEFT(VLOOKUP($B472,'Round 7'!$F$2:$H$361,3,false),1)="b","W",if(LEFT(VLOOKUP($B472,'Round 7'!$F$2:$H$361,3,false),1)="a","L",""))),"")</f>
        <v>W</v>
      </c>
      <c r="K472" s="68" t="str">
        <f>iferror(iferror(if(LEFT(VLOOKUP($B472,'Round 8'!$B$2:$H$361,7,false),1)="A","W",if(LEFT(VLOOKUP($B472,'Round 8'!$B$2:$H$361,7,false),1)="B","L","")),if(LEFT(VLOOKUP($B472,'Round 8'!$F$2:$H$361,3,false),1)="b","W",if(LEFT(VLOOKUP($B472,'Round 8'!$F$2:$H$361,3,false),1)="a","L",""))),"")</f>
        <v>W</v>
      </c>
      <c r="L472" s="68" t="str">
        <f>iferror(iferror(if(LEFT(VLOOKUP($B472,'Round 9'!$B$2:$H$361,7,false),1)="A","W",if(LEFT(VLOOKUP($B472,'Round 9'!$B$2:$H$361,7,false),1)="B","L","")),if(LEFT(VLOOKUP($B472,'Round 9'!$F$2:$H$361,3,false),1)="b","W",if(LEFT(VLOOKUP($B472,'Round 9'!$F$2:$H$361,3,false),1)="a","L",""))),"")</f>
        <v>W</v>
      </c>
      <c r="M472" s="68" t="str">
        <f>iferror(iferror(if(LEFT(VLOOKUP($B472,'Round 10'!$B$2:$H$362,7,false),1)="A","W",if(LEFT(VLOOKUP($B472,'Round 10'!$B$2:$H$362,7,false),1)="B","L","")),if(LEFT(VLOOKUP($B472,'Round 10'!$F$2:$H$362,3,false),1)="b","W",if(LEFT(VLOOKUP($B472,'Round 10'!$F$2:$H$362,3,false),1)="a","L",""))),"")</f>
        <v/>
      </c>
      <c r="N472" s="62" t="s">
        <v>998</v>
      </c>
    </row>
    <row r="473">
      <c r="A473" s="63">
        <v>472.0</v>
      </c>
      <c r="B473" s="64" t="s">
        <v>999</v>
      </c>
      <c r="C473" s="65" t="str">
        <f t="shared" si="1"/>
        <v>2 - 3</v>
      </c>
      <c r="D473" s="67" t="str">
        <f>iferror(if(LEFT(VLOOKUP($B473,'Round 1'!$B$2:$H$361,7,false),1)="A","W",if(LEFT(VLOOKUP($B473,'Round 1'!$B$2:$H$361,7,false),1)="B","L","")),if(LEFT(VLOOKUP($B473,'Round 1'!$F$2:$H$361,3,false),1)="b","W",if(LEFT(VLOOKUP($B473,'Round 1'!$F$2:$H$361,3,false),1)="a","L","")))</f>
        <v>W</v>
      </c>
      <c r="E473" s="67" t="str">
        <f>iferror(if(LEFT(VLOOKUP($B473,'Round 2'!$C$2:$J$361,8,false),1)="A","W",if(LEFT(VLOOKUP($B473,'Round 2'!$C$2:$J$361,8,false),1)="B","L","")),if(LEFT(VLOOKUP($B473,'Round 2'!$G$2:$J$361,4,false),1)="b","W",if(LEFT(VLOOKUP($B473,'Round 2'!$G$2:$J$361,4,false),1)="a","L","")))</f>
        <v>L</v>
      </c>
      <c r="F473" s="67" t="str">
        <f>iferror(if(LEFT(VLOOKUP($B473,'Round 3'!$B$2:$H$361,7,false),1)="A","W",if(LEFT(VLOOKUP($B473,'Round 3'!$B$2:$H$361,7,false),1)="B","L","")),if(LEFT(VLOOKUP($B473,'Round 3'!$F$2:$H$361,3,false),1)="b","W",if(LEFT(VLOOKUP($B473,'Round 3'!$F$2:$H$361,3,false),1)="a","L","")))</f>
        <v>L</v>
      </c>
      <c r="G473" s="67" t="str">
        <f>iferror(if(LEFT(VLOOKUP($B473,'Round 4'!$B$2:$H$361,7,false),1)="A","W",if(LEFT(VLOOKUP($B473,'Round 4'!$B$2:$H$361,7,false),1)="B","L","")),if(LEFT(VLOOKUP($B473,'Round 4'!$F$2:$H$361,3,false),1)="b","W",if(LEFT(VLOOKUP($B473,'Round 4'!$F$2:$H$361,3,false),1)="a","L","")))</f>
        <v>W</v>
      </c>
      <c r="H473" s="67" t="str">
        <f>iferror(if(LEFT(VLOOKUP($B473,'Round 5'!$B$2:$H$361,7,false),1)="A","W",if(LEFT(VLOOKUP($B473,'Round 5'!$B$2:$H$361,7,false),1)="B","L","")),if(LEFT(VLOOKUP($B473,'Round 5'!$F$2:$H$361,3,false),1)="b","W",if(LEFT(VLOOKUP($B473,'Round 5'!$F$2:$H$361,3,false),1)="a","L","")))</f>
        <v>L</v>
      </c>
      <c r="I473" s="67"/>
      <c r="J473" s="67" t="str">
        <f>iferror(iferror(if(LEFT(VLOOKUP($B473,'Round 7'!$B$2:$H$361,7,false),1)="A","W",if(LEFT(VLOOKUP($B473,'Round 7'!$B$2:$H$361,7,false),1)="B","L","")),if(LEFT(VLOOKUP($B473,'Round 7'!$F$2:$H$361,3,false),1)="b","W",if(LEFT(VLOOKUP($B473,'Round 7'!$F$2:$H$361,3,false),1)="a","L",""))),"")</f>
        <v/>
      </c>
      <c r="K473" s="68" t="str">
        <f>iferror(iferror(if(LEFT(VLOOKUP($B473,'Round 8'!$B$2:$H$361,7,false),1)="A","W",if(LEFT(VLOOKUP($B473,'Round 8'!$B$2:$H$361,7,false),1)="B","L","")),if(LEFT(VLOOKUP($B473,'Round 8'!$F$2:$H$361,3,false),1)="b","W",if(LEFT(VLOOKUP($B473,'Round 8'!$F$2:$H$361,3,false),1)="a","L",""))),"")</f>
        <v/>
      </c>
      <c r="L473" s="68" t="str">
        <f>iferror(iferror(if(LEFT(VLOOKUP($B473,'Round 9'!$B$2:$H$361,7,false),1)="A","W",if(LEFT(VLOOKUP($B473,'Round 9'!$B$2:$H$361,7,false),1)="B","L","")),if(LEFT(VLOOKUP($B473,'Round 9'!$F$2:$H$361,3,false),1)="b","W",if(LEFT(VLOOKUP($B473,'Round 9'!$F$2:$H$361,3,false),1)="a","L",""))),"")</f>
        <v/>
      </c>
      <c r="M473" s="68" t="str">
        <f>iferror(iferror(if(LEFT(VLOOKUP($B473,'Round 10'!$B$2:$H$362,7,false),1)="A","W",if(LEFT(VLOOKUP($B473,'Round 10'!$B$2:$H$362,7,false),1)="B","L","")),if(LEFT(VLOOKUP($B473,'Round 10'!$F$2:$H$362,3,false),1)="b","W",if(LEFT(VLOOKUP($B473,'Round 10'!$F$2:$H$362,3,false),1)="a","L",""))),"")</f>
        <v/>
      </c>
      <c r="N473" s="62" t="s">
        <v>1000</v>
      </c>
    </row>
    <row r="474">
      <c r="A474" s="63">
        <v>473.0</v>
      </c>
      <c r="B474" s="64" t="s">
        <v>1001</v>
      </c>
      <c r="C474" s="65" t="str">
        <f t="shared" si="1"/>
        <v>1 - 3</v>
      </c>
      <c r="D474" s="67" t="str">
        <f>iferror(if(LEFT(VLOOKUP($B474,'Round 1'!$B$2:$H$361,7,false),1)="A","W",if(LEFT(VLOOKUP($B474,'Round 1'!$B$2:$H$361,7,false),1)="B","L","")),if(LEFT(VLOOKUP($B474,'Round 1'!$F$2:$H$361,3,false),1)="b","W",if(LEFT(VLOOKUP($B474,'Round 1'!$F$2:$H$361,3,false),1)="a","L","")))</f>
        <v>L</v>
      </c>
      <c r="E474" s="67" t="str">
        <f>iferror(if(LEFT(VLOOKUP($B474,'Round 2'!$C$2:$J$361,8,false),1)="A","W",if(LEFT(VLOOKUP($B474,'Round 2'!$C$2:$J$361,8,false),1)="B","L","")),if(LEFT(VLOOKUP($B474,'Round 2'!$G$2:$J$361,4,false),1)="b","W",if(LEFT(VLOOKUP($B474,'Round 2'!$G$2:$J$361,4,false),1)="a","L","")))</f>
        <v>L</v>
      </c>
      <c r="F474" s="67" t="str">
        <f>iferror(if(LEFT(VLOOKUP($B474,'Round 3'!$B$2:$H$361,7,false),1)="A","W",if(LEFT(VLOOKUP($B474,'Round 3'!$B$2:$H$361,7,false),1)="B","L","")),if(LEFT(VLOOKUP($B474,'Round 3'!$F$2:$H$361,3,false),1)="b","W",if(LEFT(VLOOKUP($B474,'Round 3'!$F$2:$H$361,3,false),1)="a","L","")))</f>
        <v>W</v>
      </c>
      <c r="G474" s="67" t="str">
        <f>iferror(if(LEFT(VLOOKUP($B474,'Round 4'!$B$2:$H$361,7,false),1)="A","W",if(LEFT(VLOOKUP($B474,'Round 4'!$B$2:$H$361,7,false),1)="B","L","")),if(LEFT(VLOOKUP($B474,'Round 4'!$F$2:$H$361,3,false),1)="b","W",if(LEFT(VLOOKUP($B474,'Round 4'!$F$2:$H$361,3,false),1)="a","L","")))</f>
        <v>L</v>
      </c>
      <c r="H474" s="67"/>
      <c r="I474" s="67"/>
      <c r="J474" s="67" t="str">
        <f>iferror(iferror(if(LEFT(VLOOKUP($B474,'Round 7'!$B$2:$H$361,7,false),1)="A","W",if(LEFT(VLOOKUP($B474,'Round 7'!$B$2:$H$361,7,false),1)="B","L","")),if(LEFT(VLOOKUP($B474,'Round 7'!$F$2:$H$361,3,false),1)="b","W",if(LEFT(VLOOKUP($B474,'Round 7'!$F$2:$H$361,3,false),1)="a","L",""))),"")</f>
        <v/>
      </c>
      <c r="K474" s="68" t="str">
        <f>iferror(iferror(if(LEFT(VLOOKUP($B474,'Round 8'!$B$2:$H$361,7,false),1)="A","W",if(LEFT(VLOOKUP($B474,'Round 8'!$B$2:$H$361,7,false),1)="B","L","")),if(LEFT(VLOOKUP($B474,'Round 8'!$F$2:$H$361,3,false),1)="b","W",if(LEFT(VLOOKUP($B474,'Round 8'!$F$2:$H$361,3,false),1)="a","L",""))),"")</f>
        <v/>
      </c>
      <c r="L474" s="68" t="str">
        <f>iferror(iferror(if(LEFT(VLOOKUP($B474,'Round 9'!$B$2:$H$361,7,false),1)="A","W",if(LEFT(VLOOKUP($B474,'Round 9'!$B$2:$H$361,7,false),1)="B","L","")),if(LEFT(VLOOKUP($B474,'Round 9'!$F$2:$H$361,3,false),1)="b","W",if(LEFT(VLOOKUP($B474,'Round 9'!$F$2:$H$361,3,false),1)="a","L",""))),"")</f>
        <v/>
      </c>
      <c r="M474" s="68" t="str">
        <f>iferror(iferror(if(LEFT(VLOOKUP($B474,'Round 10'!$B$2:$H$362,7,false),1)="A","W",if(LEFT(VLOOKUP($B474,'Round 10'!$B$2:$H$362,7,false),1)="B","L","")),if(LEFT(VLOOKUP($B474,'Round 10'!$F$2:$H$362,3,false),1)="b","W",if(LEFT(VLOOKUP($B474,'Round 10'!$F$2:$H$362,3,false),1)="a","L",""))),"")</f>
        <v/>
      </c>
      <c r="N474" s="62" t="s">
        <v>1002</v>
      </c>
    </row>
    <row r="475">
      <c r="A475" s="63">
        <v>474.0</v>
      </c>
      <c r="B475" s="64" t="s">
        <v>1003</v>
      </c>
      <c r="C475" s="65" t="str">
        <f t="shared" si="1"/>
        <v>4 - 3</v>
      </c>
      <c r="D475" s="67" t="str">
        <f>iferror(if(LEFT(VLOOKUP($B475,'Round 1'!$B$2:$H$361,7,false),1)="A","W",if(LEFT(VLOOKUP($B475,'Round 1'!$B$2:$H$361,7,false),1)="B","L","")),if(LEFT(VLOOKUP($B475,'Round 1'!$F$2:$H$361,3,false),1)="b","W",if(LEFT(VLOOKUP($B475,'Round 1'!$F$2:$H$361,3,false),1)="a","L","")))</f>
        <v>W</v>
      </c>
      <c r="E475" s="67" t="str">
        <f>iferror(if(LEFT(VLOOKUP($B475,'Round 2'!$C$2:$J$361,8,false),1)="A","W",if(LEFT(VLOOKUP($B475,'Round 2'!$C$2:$J$361,8,false),1)="B","L","")),if(LEFT(VLOOKUP($B475,'Round 2'!$G$2:$J$361,4,false),1)="b","W",if(LEFT(VLOOKUP($B475,'Round 2'!$G$2:$J$361,4,false),1)="a","L","")))</f>
        <v>W</v>
      </c>
      <c r="F475" s="67" t="str">
        <f>iferror(if(LEFT(VLOOKUP($B475,'Round 3'!$B$2:$H$361,7,false),1)="A","W",if(LEFT(VLOOKUP($B475,'Round 3'!$B$2:$H$361,7,false),1)="B","L","")),if(LEFT(VLOOKUP($B475,'Round 3'!$F$2:$H$361,3,false),1)="b","W",if(LEFT(VLOOKUP($B475,'Round 3'!$F$2:$H$361,3,false),1)="a","L","")))</f>
        <v>W</v>
      </c>
      <c r="G475" s="67" t="str">
        <f>iferror(if(LEFT(VLOOKUP($B475,'Round 4'!$B$2:$H$361,7,false),1)="A","W",if(LEFT(VLOOKUP($B475,'Round 4'!$B$2:$H$361,7,false),1)="B","L","")),if(LEFT(VLOOKUP($B475,'Round 4'!$F$2:$H$361,3,false),1)="b","W",if(LEFT(VLOOKUP($B475,'Round 4'!$F$2:$H$361,3,false),1)="a","L","")))</f>
        <v>L</v>
      </c>
      <c r="H475" s="67" t="str">
        <f>iferror(if(LEFT(VLOOKUP($B475,'Round 5'!$B$2:$H$361,7,false),1)="A","W",if(LEFT(VLOOKUP($B475,'Round 5'!$B$2:$H$361,7,false),1)="B","L","")),if(LEFT(VLOOKUP($B475,'Round 5'!$F$2:$H$361,3,false),1)="b","W",if(LEFT(VLOOKUP($B475,'Round 5'!$F$2:$H$361,3,false),1)="a","L","")))</f>
        <v>L</v>
      </c>
      <c r="I475" s="67" t="str">
        <f>iferror(if(LEFT(VLOOKUP($B475,'Round 6'!$B$2:$H$361,7,false),1)="A","W",if(LEFT(VLOOKUP($B475,'Round 6'!$B$2:$H$361,7,false),1)="B","L","")),if(LEFT(VLOOKUP($B475,'Round 6'!$F$2:$H$361,3,false),1)="b","W",if(LEFT(VLOOKUP($B475,'Round 6'!$F$2:$H$361,3,false),1)="a","L","")))</f>
        <v>W</v>
      </c>
      <c r="J475" s="67" t="str">
        <f>iferror(iferror(if(LEFT(VLOOKUP($B475,'Round 7'!$B$2:$H$361,7,false),1)="A","W",if(LEFT(VLOOKUP($B475,'Round 7'!$B$2:$H$361,7,false),1)="B","L","")),if(LEFT(VLOOKUP($B475,'Round 7'!$F$2:$H$361,3,false),1)="b","W",if(LEFT(VLOOKUP($B475,'Round 7'!$F$2:$H$361,3,false),1)="a","L",""))),"")</f>
        <v>L</v>
      </c>
      <c r="K475" s="68" t="str">
        <f>iferror(iferror(if(LEFT(VLOOKUP($B475,'Round 8'!$B$2:$H$361,7,false),1)="A","W",if(LEFT(VLOOKUP($B475,'Round 8'!$B$2:$H$361,7,false),1)="B","L","")),if(LEFT(VLOOKUP($B475,'Round 8'!$F$2:$H$361,3,false),1)="b","W",if(LEFT(VLOOKUP($B475,'Round 8'!$F$2:$H$361,3,false),1)="a","L",""))),"")</f>
        <v/>
      </c>
      <c r="L475" s="68" t="str">
        <f>iferror(iferror(if(LEFT(VLOOKUP($B475,'Round 9'!$B$2:$H$361,7,false),1)="A","W",if(LEFT(VLOOKUP($B475,'Round 9'!$B$2:$H$361,7,false),1)="B","L","")),if(LEFT(VLOOKUP($B475,'Round 9'!$F$2:$H$361,3,false),1)="b","W",if(LEFT(VLOOKUP($B475,'Round 9'!$F$2:$H$361,3,false),1)="a","L",""))),"")</f>
        <v/>
      </c>
      <c r="M475" s="68" t="str">
        <f>iferror(iferror(if(LEFT(VLOOKUP($B475,'Round 10'!$B$2:$H$362,7,false),1)="A","W",if(LEFT(VLOOKUP($B475,'Round 10'!$B$2:$H$362,7,false),1)="B","L","")),if(LEFT(VLOOKUP($B475,'Round 10'!$F$2:$H$362,3,false),1)="b","W",if(LEFT(VLOOKUP($B475,'Round 10'!$F$2:$H$362,3,false),1)="a","L",""))),"")</f>
        <v/>
      </c>
      <c r="N475" s="62" t="s">
        <v>1004</v>
      </c>
    </row>
    <row r="476">
      <c r="A476" s="63">
        <v>475.0</v>
      </c>
      <c r="B476" s="64" t="s">
        <v>1005</v>
      </c>
      <c r="C476" s="65" t="str">
        <f t="shared" si="1"/>
        <v>4 - 3</v>
      </c>
      <c r="D476" s="67" t="str">
        <f>iferror(if(LEFT(VLOOKUP($B476,'Round 1'!$B$2:$H$361,7,false),1)="A","W",if(LEFT(VLOOKUP($B476,'Round 1'!$B$2:$H$361,7,false),1)="B","L","")),if(LEFT(VLOOKUP($B476,'Round 1'!$F$2:$H$361,3,false),1)="b","W",if(LEFT(VLOOKUP($B476,'Round 1'!$F$2:$H$361,3,false),1)="a","L","")))</f>
        <v>W</v>
      </c>
      <c r="E476" s="67" t="str">
        <f>iferror(if(LEFT(VLOOKUP($B476,'Round 2'!$C$2:$J$361,8,false),1)="A","W",if(LEFT(VLOOKUP($B476,'Round 2'!$C$2:$J$361,8,false),1)="B","L","")),if(LEFT(VLOOKUP($B476,'Round 2'!$G$2:$J$361,4,false),1)="b","W",if(LEFT(VLOOKUP($B476,'Round 2'!$G$2:$J$361,4,false),1)="a","L","")))</f>
        <v>L</v>
      </c>
      <c r="F476" s="67" t="str">
        <f>iferror(if(LEFT(VLOOKUP($B476,'Round 3'!$B$2:$H$361,7,false),1)="A","W",if(LEFT(VLOOKUP($B476,'Round 3'!$B$2:$H$361,7,false),1)="B","L","")),if(LEFT(VLOOKUP($B476,'Round 3'!$F$2:$H$361,3,false),1)="b","W",if(LEFT(VLOOKUP($B476,'Round 3'!$F$2:$H$361,3,false),1)="a","L","")))</f>
        <v>W</v>
      </c>
      <c r="G476" s="67" t="str">
        <f>iferror(if(LEFT(VLOOKUP($B476,'Round 4'!$B$2:$H$361,7,false),1)="A","W",if(LEFT(VLOOKUP($B476,'Round 4'!$B$2:$H$361,7,false),1)="B","L","")),if(LEFT(VLOOKUP($B476,'Round 4'!$F$2:$H$361,3,false),1)="b","W",if(LEFT(VLOOKUP($B476,'Round 4'!$F$2:$H$361,3,false),1)="a","L","")))</f>
        <v>W</v>
      </c>
      <c r="H476" s="67" t="str">
        <f>iferror(if(LEFT(VLOOKUP($B476,'Round 5'!$B$2:$H$361,7,false),1)="A","W",if(LEFT(VLOOKUP($B476,'Round 5'!$B$2:$H$361,7,false),1)="B","L","")),if(LEFT(VLOOKUP($B476,'Round 5'!$F$2:$H$361,3,false),1)="b","W",if(LEFT(VLOOKUP($B476,'Round 5'!$F$2:$H$361,3,false),1)="a","L","")))</f>
        <v>L</v>
      </c>
      <c r="I476" s="67" t="str">
        <f>iferror(if(LEFT(VLOOKUP($B476,'Round 6'!$B$2:$H$361,7,false),1)="A","W",if(LEFT(VLOOKUP($B476,'Round 6'!$B$2:$H$361,7,false),1)="B","L","")),if(LEFT(VLOOKUP($B476,'Round 6'!$F$2:$H$361,3,false),1)="b","W",if(LEFT(VLOOKUP($B476,'Round 6'!$F$2:$H$361,3,false),1)="a","L","")))</f>
        <v>W</v>
      </c>
      <c r="J476" s="67" t="str">
        <f>iferror(iferror(if(LEFT(VLOOKUP($B476,'Round 7'!$B$2:$H$361,7,false),1)="A","W",if(LEFT(VLOOKUP($B476,'Round 7'!$B$2:$H$361,7,false),1)="B","L","")),if(LEFT(VLOOKUP($B476,'Round 7'!$F$2:$H$361,3,false),1)="b","W",if(LEFT(VLOOKUP($B476,'Round 7'!$F$2:$H$361,3,false),1)="a","L",""))),"")</f>
        <v>L</v>
      </c>
      <c r="K476" s="68" t="str">
        <f>iferror(iferror(if(LEFT(VLOOKUP($B476,'Round 8'!$B$2:$H$361,7,false),1)="A","W",if(LEFT(VLOOKUP($B476,'Round 8'!$B$2:$H$361,7,false),1)="B","L","")),if(LEFT(VLOOKUP($B476,'Round 8'!$F$2:$H$361,3,false),1)="b","W",if(LEFT(VLOOKUP($B476,'Round 8'!$F$2:$H$361,3,false),1)="a","L",""))),"")</f>
        <v/>
      </c>
      <c r="L476" s="68" t="str">
        <f>iferror(iferror(if(LEFT(VLOOKUP($B476,'Round 9'!$B$2:$H$361,7,false),1)="A","W",if(LEFT(VLOOKUP($B476,'Round 9'!$B$2:$H$361,7,false),1)="B","L","")),if(LEFT(VLOOKUP($B476,'Round 9'!$F$2:$H$361,3,false),1)="b","W",if(LEFT(VLOOKUP($B476,'Round 9'!$F$2:$H$361,3,false),1)="a","L",""))),"")</f>
        <v/>
      </c>
      <c r="M476" s="68" t="str">
        <f>iferror(iferror(if(LEFT(VLOOKUP($B476,'Round 10'!$B$2:$H$362,7,false),1)="A","W",if(LEFT(VLOOKUP($B476,'Round 10'!$B$2:$H$362,7,false),1)="B","L","")),if(LEFT(VLOOKUP($B476,'Round 10'!$F$2:$H$362,3,false),1)="b","W",if(LEFT(VLOOKUP($B476,'Round 10'!$F$2:$H$362,3,false),1)="a","L",""))),"")</f>
        <v/>
      </c>
      <c r="N476" s="62" t="s">
        <v>1006</v>
      </c>
    </row>
    <row r="477">
      <c r="A477" s="63">
        <v>476.0</v>
      </c>
      <c r="B477" s="64" t="s">
        <v>1007</v>
      </c>
      <c r="C477" s="65" t="str">
        <f t="shared" si="1"/>
        <v>4 - 3</v>
      </c>
      <c r="D477" s="67" t="str">
        <f>iferror(if(LEFT(VLOOKUP($B477,'Round 1'!$B$2:$H$361,7,false),1)="A","W",if(LEFT(VLOOKUP($B477,'Round 1'!$B$2:$H$361,7,false),1)="B","L","")),if(LEFT(VLOOKUP($B477,'Round 1'!$F$2:$H$361,3,false),1)="b","W",if(LEFT(VLOOKUP($B477,'Round 1'!$F$2:$H$361,3,false),1)="a","L","")))</f>
        <v>L</v>
      </c>
      <c r="E477" s="67" t="str">
        <f>iferror(if(LEFT(VLOOKUP($B477,'Round 2'!$C$2:$J$361,8,false),1)="A","W",if(LEFT(VLOOKUP($B477,'Round 2'!$C$2:$J$361,8,false),1)="B","L","")),if(LEFT(VLOOKUP($B477,'Round 2'!$G$2:$J$361,4,false),1)="b","W",if(LEFT(VLOOKUP($B477,'Round 2'!$G$2:$J$361,4,false),1)="a","L","")))</f>
        <v>W</v>
      </c>
      <c r="F477" s="67" t="str">
        <f>iferror(if(LEFT(VLOOKUP($B477,'Round 3'!$B$2:$H$361,7,false),1)="A","W",if(LEFT(VLOOKUP($B477,'Round 3'!$B$2:$H$361,7,false),1)="B","L","")),if(LEFT(VLOOKUP($B477,'Round 3'!$F$2:$H$361,3,false),1)="b","W",if(LEFT(VLOOKUP($B477,'Round 3'!$F$2:$H$361,3,false),1)="a","L","")))</f>
        <v>W</v>
      </c>
      <c r="G477" s="67" t="str">
        <f>iferror(if(LEFT(VLOOKUP($B477,'Round 4'!$B$2:$H$361,7,false),1)="A","W",if(LEFT(VLOOKUP($B477,'Round 4'!$B$2:$H$361,7,false),1)="B","L","")),if(LEFT(VLOOKUP($B477,'Round 4'!$F$2:$H$361,3,false),1)="b","W",if(LEFT(VLOOKUP($B477,'Round 4'!$F$2:$H$361,3,false),1)="a","L","")))</f>
        <v>W</v>
      </c>
      <c r="H477" s="67" t="str">
        <f>iferror(if(LEFT(VLOOKUP($B477,'Round 5'!$B$2:$H$361,7,false),1)="A","W",if(LEFT(VLOOKUP($B477,'Round 5'!$B$2:$H$361,7,false),1)="B","L","")),if(LEFT(VLOOKUP($B477,'Round 5'!$F$2:$H$361,3,false),1)="b","W",if(LEFT(VLOOKUP($B477,'Round 5'!$F$2:$H$361,3,false),1)="a","L","")))</f>
        <v>L</v>
      </c>
      <c r="I477" s="67" t="str">
        <f>iferror(if(LEFT(VLOOKUP($B477,'Round 6'!$B$2:$H$361,7,false),1)="A","W",if(LEFT(VLOOKUP($B477,'Round 6'!$B$2:$H$361,7,false),1)="B","L","")),if(LEFT(VLOOKUP($B477,'Round 6'!$F$2:$H$361,3,false),1)="b","W",if(LEFT(VLOOKUP($B477,'Round 6'!$F$2:$H$361,3,false),1)="a","L","")))</f>
        <v>W</v>
      </c>
      <c r="J477" s="67" t="str">
        <f>iferror(iferror(if(LEFT(VLOOKUP($B477,'Round 7'!$B$2:$H$361,7,false),1)="A","W",if(LEFT(VLOOKUP($B477,'Round 7'!$B$2:$H$361,7,false),1)="B","L","")),if(LEFT(VLOOKUP($B477,'Round 7'!$F$2:$H$361,3,false),1)="b","W",if(LEFT(VLOOKUP($B477,'Round 7'!$F$2:$H$361,3,false),1)="a","L",""))),"")</f>
        <v>L</v>
      </c>
      <c r="K477" s="68" t="str">
        <f>iferror(iferror(if(LEFT(VLOOKUP($B477,'Round 8'!$B$2:$H$361,7,false),1)="A","W",if(LEFT(VLOOKUP($B477,'Round 8'!$B$2:$H$361,7,false),1)="B","L","")),if(LEFT(VLOOKUP($B477,'Round 8'!$F$2:$H$361,3,false),1)="b","W",if(LEFT(VLOOKUP($B477,'Round 8'!$F$2:$H$361,3,false),1)="a","L",""))),"")</f>
        <v/>
      </c>
      <c r="L477" s="68" t="str">
        <f>iferror(iferror(if(LEFT(VLOOKUP($B477,'Round 9'!$B$2:$H$361,7,false),1)="A","W",if(LEFT(VLOOKUP($B477,'Round 9'!$B$2:$H$361,7,false),1)="B","L","")),if(LEFT(VLOOKUP($B477,'Round 9'!$F$2:$H$361,3,false),1)="b","W",if(LEFT(VLOOKUP($B477,'Round 9'!$F$2:$H$361,3,false),1)="a","L",""))),"")</f>
        <v/>
      </c>
      <c r="M477" s="68" t="str">
        <f>iferror(iferror(if(LEFT(VLOOKUP($B477,'Round 10'!$B$2:$H$362,7,false),1)="A","W",if(LEFT(VLOOKUP($B477,'Round 10'!$B$2:$H$362,7,false),1)="B","L","")),if(LEFT(VLOOKUP($B477,'Round 10'!$F$2:$H$362,3,false),1)="b","W",if(LEFT(VLOOKUP($B477,'Round 10'!$F$2:$H$362,3,false),1)="a","L",""))),"")</f>
        <v/>
      </c>
      <c r="N477" s="62" t="s">
        <v>1008</v>
      </c>
    </row>
    <row r="478">
      <c r="A478" s="63">
        <v>477.0</v>
      </c>
      <c r="B478" s="64" t="s">
        <v>1009</v>
      </c>
      <c r="C478" s="65" t="str">
        <f t="shared" si="1"/>
        <v>0 - 3</v>
      </c>
      <c r="D478" s="67" t="str">
        <f>iferror(if(LEFT(VLOOKUP($B478,'Round 1'!$B$2:$H$361,7,false),1)="A","W",if(LEFT(VLOOKUP($B478,'Round 1'!$B$2:$H$361,7,false),1)="B","L","")),if(LEFT(VLOOKUP($B478,'Round 1'!$F$2:$H$361,3,false),1)="b","W",if(LEFT(VLOOKUP($B478,'Round 1'!$F$2:$H$361,3,false),1)="a","L","")))</f>
        <v>L</v>
      </c>
      <c r="E478" s="67" t="str">
        <f>iferror(if(LEFT(VLOOKUP($B478,'Round 2'!$C$2:$J$361,8,false),1)="A","W",if(LEFT(VLOOKUP($B478,'Round 2'!$C$2:$J$361,8,false),1)="B","L","")),if(LEFT(VLOOKUP($B478,'Round 2'!$G$2:$J$361,4,false),1)="b","W",if(LEFT(VLOOKUP($B478,'Round 2'!$G$2:$J$361,4,false),1)="a","L","")))</f>
        <v>L</v>
      </c>
      <c r="F478" s="67" t="str">
        <f>iferror(if(LEFT(VLOOKUP($B478,'Round 3'!$B$2:$H$361,7,false),1)="A","W",if(LEFT(VLOOKUP($B478,'Round 3'!$B$2:$H$361,7,false),1)="B","L","")),if(LEFT(VLOOKUP($B478,'Round 3'!$F$2:$H$361,3,false),1)="b","W",if(LEFT(VLOOKUP($B478,'Round 3'!$F$2:$H$361,3,false),1)="a","L","")))</f>
        <v>L</v>
      </c>
      <c r="G478" s="67"/>
      <c r="H478" s="67"/>
      <c r="I478" s="67"/>
      <c r="J478" s="67" t="str">
        <f>iferror(iferror(if(LEFT(VLOOKUP($B478,'Round 7'!$B$2:$H$361,7,false),1)="A","W",if(LEFT(VLOOKUP($B478,'Round 7'!$B$2:$H$361,7,false),1)="B","L","")),if(LEFT(VLOOKUP($B478,'Round 7'!$F$2:$H$361,3,false),1)="b","W",if(LEFT(VLOOKUP($B478,'Round 7'!$F$2:$H$361,3,false),1)="a","L",""))),"")</f>
        <v/>
      </c>
      <c r="K478" s="68" t="str">
        <f>iferror(iferror(if(LEFT(VLOOKUP($B478,'Round 8'!$B$2:$H$361,7,false),1)="A","W",if(LEFT(VLOOKUP($B478,'Round 8'!$B$2:$H$361,7,false),1)="B","L","")),if(LEFT(VLOOKUP($B478,'Round 8'!$F$2:$H$361,3,false),1)="b","W",if(LEFT(VLOOKUP($B478,'Round 8'!$F$2:$H$361,3,false),1)="a","L",""))),"")</f>
        <v/>
      </c>
      <c r="L478" s="68" t="str">
        <f>iferror(iferror(if(LEFT(VLOOKUP($B478,'Round 9'!$B$2:$H$361,7,false),1)="A","W",if(LEFT(VLOOKUP($B478,'Round 9'!$B$2:$H$361,7,false),1)="B","L","")),if(LEFT(VLOOKUP($B478,'Round 9'!$F$2:$H$361,3,false),1)="b","W",if(LEFT(VLOOKUP($B478,'Round 9'!$F$2:$H$361,3,false),1)="a","L",""))),"")</f>
        <v/>
      </c>
      <c r="M478" s="68" t="str">
        <f>iferror(iferror(if(LEFT(VLOOKUP($B478,'Round 10'!$B$2:$H$362,7,false),1)="A","W",if(LEFT(VLOOKUP($B478,'Round 10'!$B$2:$H$362,7,false),1)="B","L","")),if(LEFT(VLOOKUP($B478,'Round 10'!$F$2:$H$362,3,false),1)="b","W",if(LEFT(VLOOKUP($B478,'Round 10'!$F$2:$H$362,3,false),1)="a","L",""))),"")</f>
        <v/>
      </c>
      <c r="N478" s="62" t="s">
        <v>1010</v>
      </c>
    </row>
    <row r="479">
      <c r="A479" s="63">
        <v>478.0</v>
      </c>
      <c r="B479" s="64" t="s">
        <v>1011</v>
      </c>
      <c r="C479" s="65" t="str">
        <f t="shared" si="1"/>
        <v>0 - 3</v>
      </c>
      <c r="D479" s="67" t="str">
        <f>iferror(if(LEFT(VLOOKUP($B479,'Round 1'!$B$2:$H$361,7,false),1)="A","W",if(LEFT(VLOOKUP($B479,'Round 1'!$B$2:$H$361,7,false),1)="B","L","")),if(LEFT(VLOOKUP($B479,'Round 1'!$F$2:$H$361,3,false),1)="b","W",if(LEFT(VLOOKUP($B479,'Round 1'!$F$2:$H$361,3,false),1)="a","L","")))</f>
        <v>L</v>
      </c>
      <c r="E479" s="67" t="str">
        <f>iferror(if(LEFT(VLOOKUP($B479,'Round 2'!$C$2:$J$361,8,false),1)="A","W",if(LEFT(VLOOKUP($B479,'Round 2'!$C$2:$J$361,8,false),1)="B","L","")),if(LEFT(VLOOKUP($B479,'Round 2'!$G$2:$J$361,4,false),1)="b","W",if(LEFT(VLOOKUP($B479,'Round 2'!$G$2:$J$361,4,false),1)="a","L","")))</f>
        <v>L</v>
      </c>
      <c r="F479" s="67" t="str">
        <f>iferror(if(LEFT(VLOOKUP($B479,'Round 3'!$B$2:$H$361,7,false),1)="A","W",if(LEFT(VLOOKUP($B479,'Round 3'!$B$2:$H$361,7,false),1)="B","L","")),if(LEFT(VLOOKUP($B479,'Round 3'!$F$2:$H$361,3,false),1)="b","W",if(LEFT(VLOOKUP($B479,'Round 3'!$F$2:$H$361,3,false),1)="a","L","")))</f>
        <v>L</v>
      </c>
      <c r="G479" s="67"/>
      <c r="H479" s="67"/>
      <c r="I479" s="67"/>
      <c r="J479" s="67" t="str">
        <f>iferror(iferror(if(LEFT(VLOOKUP($B479,'Round 7'!$B$2:$H$361,7,false),1)="A","W",if(LEFT(VLOOKUP($B479,'Round 7'!$B$2:$H$361,7,false),1)="B","L","")),if(LEFT(VLOOKUP($B479,'Round 7'!$F$2:$H$361,3,false),1)="b","W",if(LEFT(VLOOKUP($B479,'Round 7'!$F$2:$H$361,3,false),1)="a","L",""))),"")</f>
        <v/>
      </c>
      <c r="K479" s="68" t="str">
        <f>iferror(iferror(if(LEFT(VLOOKUP($B479,'Round 8'!$B$2:$H$361,7,false),1)="A","W",if(LEFT(VLOOKUP($B479,'Round 8'!$B$2:$H$361,7,false),1)="B","L","")),if(LEFT(VLOOKUP($B479,'Round 8'!$F$2:$H$361,3,false),1)="b","W",if(LEFT(VLOOKUP($B479,'Round 8'!$F$2:$H$361,3,false),1)="a","L",""))),"")</f>
        <v/>
      </c>
      <c r="L479" s="68" t="str">
        <f>iferror(iferror(if(LEFT(VLOOKUP($B479,'Round 9'!$B$2:$H$361,7,false),1)="A","W",if(LEFT(VLOOKUP($B479,'Round 9'!$B$2:$H$361,7,false),1)="B","L","")),if(LEFT(VLOOKUP($B479,'Round 9'!$F$2:$H$361,3,false),1)="b","W",if(LEFT(VLOOKUP($B479,'Round 9'!$F$2:$H$361,3,false),1)="a","L",""))),"")</f>
        <v/>
      </c>
      <c r="M479" s="68" t="str">
        <f>iferror(iferror(if(LEFT(VLOOKUP($B479,'Round 10'!$B$2:$H$362,7,false),1)="A","W",if(LEFT(VLOOKUP($B479,'Round 10'!$B$2:$H$362,7,false),1)="B","L","")),if(LEFT(VLOOKUP($B479,'Round 10'!$F$2:$H$362,3,false),1)="b","W",if(LEFT(VLOOKUP($B479,'Round 10'!$F$2:$H$362,3,false),1)="a","L",""))),"")</f>
        <v/>
      </c>
      <c r="N479" s="62" t="s">
        <v>1012</v>
      </c>
    </row>
    <row r="480">
      <c r="A480" s="63">
        <v>479.0</v>
      </c>
      <c r="B480" s="64" t="s">
        <v>1013</v>
      </c>
      <c r="C480" s="65" t="str">
        <f t="shared" si="1"/>
        <v>3 - 3</v>
      </c>
      <c r="D480" s="67" t="str">
        <f>iferror(if(LEFT(VLOOKUP($B480,'Round 1'!$B$2:$H$361,7,false),1)="A","W",if(LEFT(VLOOKUP($B480,'Round 1'!$B$2:$H$361,7,false),1)="B","L","")),if(LEFT(VLOOKUP($B480,'Round 1'!$F$2:$H$361,3,false),1)="b","W",if(LEFT(VLOOKUP($B480,'Round 1'!$F$2:$H$361,3,false),1)="a","L","")))</f>
        <v>W</v>
      </c>
      <c r="E480" s="67" t="str">
        <f>iferror(if(LEFT(VLOOKUP($B480,'Round 2'!$C$2:$J$361,8,false),1)="A","W",if(LEFT(VLOOKUP($B480,'Round 2'!$C$2:$J$361,8,false),1)="B","L","")),if(LEFT(VLOOKUP($B480,'Round 2'!$G$2:$J$361,4,false),1)="b","W",if(LEFT(VLOOKUP($B480,'Round 2'!$G$2:$J$361,4,false),1)="a","L","")))</f>
        <v>W</v>
      </c>
      <c r="F480" s="67" t="str">
        <f>iferror(if(LEFT(VLOOKUP($B480,'Round 3'!$B$2:$H$361,7,false),1)="A","W",if(LEFT(VLOOKUP($B480,'Round 3'!$B$2:$H$361,7,false),1)="B","L","")),if(LEFT(VLOOKUP($B480,'Round 3'!$F$2:$H$361,3,false),1)="b","W",if(LEFT(VLOOKUP($B480,'Round 3'!$F$2:$H$361,3,false),1)="a","L","")))</f>
        <v>W</v>
      </c>
      <c r="G480" s="67" t="str">
        <f>iferror(if(LEFT(VLOOKUP($B480,'Round 4'!$B$2:$H$361,7,false),1)="A","W",if(LEFT(VLOOKUP($B480,'Round 4'!$B$2:$H$361,7,false),1)="B","L","")),if(LEFT(VLOOKUP($B480,'Round 4'!$F$2:$H$361,3,false),1)="b","W",if(LEFT(VLOOKUP($B480,'Round 4'!$F$2:$H$361,3,false),1)="a","L","")))</f>
        <v>L</v>
      </c>
      <c r="H480" s="67" t="str">
        <f>iferror(if(LEFT(VLOOKUP($B480,'Round 5'!$B$2:$H$361,7,false),1)="A","W",if(LEFT(VLOOKUP($B480,'Round 5'!$B$2:$H$361,7,false),1)="B","L","")),if(LEFT(VLOOKUP($B480,'Round 5'!$F$2:$H$361,3,false),1)="b","W",if(LEFT(VLOOKUP($B480,'Round 5'!$F$2:$H$361,3,false),1)="a","L","")))</f>
        <v>L</v>
      </c>
      <c r="I480" s="67" t="str">
        <f>iferror(if(LEFT(VLOOKUP($B480,'Round 6'!$B$2:$H$361,7,false),1)="A","W",if(LEFT(VLOOKUP($B480,'Round 6'!$B$2:$H$361,7,false),1)="B","L","")),if(LEFT(VLOOKUP($B480,'Round 6'!$F$2:$H$361,3,false),1)="b","W",if(LEFT(VLOOKUP($B480,'Round 6'!$F$2:$H$361,3,false),1)="a","L","")))</f>
        <v>L</v>
      </c>
      <c r="J480" s="67" t="str">
        <f>iferror(iferror(if(LEFT(VLOOKUP($B480,'Round 7'!$B$2:$H$361,7,false),1)="A","W",if(LEFT(VLOOKUP($B480,'Round 7'!$B$2:$H$361,7,false),1)="B","L","")),if(LEFT(VLOOKUP($B480,'Round 7'!$F$2:$H$361,3,false),1)="b","W",if(LEFT(VLOOKUP($B480,'Round 7'!$F$2:$H$361,3,false),1)="a","L",""))),"")</f>
        <v/>
      </c>
      <c r="K480" s="68" t="str">
        <f>iferror(iferror(if(LEFT(VLOOKUP($B480,'Round 8'!$B$2:$H$361,7,false),1)="A","W",if(LEFT(VLOOKUP($B480,'Round 8'!$B$2:$H$361,7,false),1)="B","L","")),if(LEFT(VLOOKUP($B480,'Round 8'!$F$2:$H$361,3,false),1)="b","W",if(LEFT(VLOOKUP($B480,'Round 8'!$F$2:$H$361,3,false),1)="a","L",""))),"")</f>
        <v/>
      </c>
      <c r="L480" s="68" t="str">
        <f>iferror(iferror(if(LEFT(VLOOKUP($B480,'Round 9'!$B$2:$H$361,7,false),1)="A","W",if(LEFT(VLOOKUP($B480,'Round 9'!$B$2:$H$361,7,false),1)="B","L","")),if(LEFT(VLOOKUP($B480,'Round 9'!$F$2:$H$361,3,false),1)="b","W",if(LEFT(VLOOKUP($B480,'Round 9'!$F$2:$H$361,3,false),1)="a","L",""))),"")</f>
        <v/>
      </c>
      <c r="M480" s="68" t="str">
        <f>iferror(iferror(if(LEFT(VLOOKUP($B480,'Round 10'!$B$2:$H$362,7,false),1)="A","W",if(LEFT(VLOOKUP($B480,'Round 10'!$B$2:$H$362,7,false),1)="B","L","")),if(LEFT(VLOOKUP($B480,'Round 10'!$F$2:$H$362,3,false),1)="b","W",if(LEFT(VLOOKUP($B480,'Round 10'!$F$2:$H$362,3,false),1)="a","L",""))),"")</f>
        <v/>
      </c>
      <c r="N480" s="62" t="s">
        <v>1014</v>
      </c>
    </row>
    <row r="481">
      <c r="A481" s="63">
        <v>480.0</v>
      </c>
      <c r="B481" s="64" t="s">
        <v>1015</v>
      </c>
      <c r="C481" s="65" t="str">
        <f t="shared" si="1"/>
        <v>4 - 3</v>
      </c>
      <c r="D481" s="67" t="str">
        <f>iferror(if(LEFT(VLOOKUP($B481,'Round 1'!$B$2:$H$361,7,false),1)="A","W",if(LEFT(VLOOKUP($B481,'Round 1'!$B$2:$H$361,7,false),1)="B","L","")),if(LEFT(VLOOKUP($B481,'Round 1'!$F$2:$H$361,3,false),1)="b","W",if(LEFT(VLOOKUP($B481,'Round 1'!$F$2:$H$361,3,false),1)="a","L","")))</f>
        <v>W</v>
      </c>
      <c r="E481" s="67" t="str">
        <f>iferror(if(LEFT(VLOOKUP($B481,'Round 2'!$C$2:$J$361,8,false),1)="A","W",if(LEFT(VLOOKUP($B481,'Round 2'!$C$2:$J$361,8,false),1)="B","L","")),if(LEFT(VLOOKUP($B481,'Round 2'!$G$2:$J$361,4,false),1)="b","W",if(LEFT(VLOOKUP($B481,'Round 2'!$G$2:$J$361,4,false),1)="a","L","")))</f>
        <v>W</v>
      </c>
      <c r="F481" s="67" t="str">
        <f>iferror(if(LEFT(VLOOKUP($B481,'Round 3'!$B$2:$H$361,7,false),1)="A","W",if(LEFT(VLOOKUP($B481,'Round 3'!$B$2:$H$361,7,false),1)="B","L","")),if(LEFT(VLOOKUP($B481,'Round 3'!$F$2:$H$361,3,false),1)="b","W",if(LEFT(VLOOKUP($B481,'Round 3'!$F$2:$H$361,3,false),1)="a","L","")))</f>
        <v>W</v>
      </c>
      <c r="G481" s="67" t="str">
        <f>iferror(if(LEFT(VLOOKUP($B481,'Round 4'!$B$2:$H$361,7,false),1)="A","W",if(LEFT(VLOOKUP($B481,'Round 4'!$B$2:$H$361,7,false),1)="B","L","")),if(LEFT(VLOOKUP($B481,'Round 4'!$F$2:$H$361,3,false),1)="b","W",if(LEFT(VLOOKUP($B481,'Round 4'!$F$2:$H$361,3,false),1)="a","L","")))</f>
        <v>W</v>
      </c>
      <c r="H481" s="67" t="str">
        <f>iferror(if(LEFT(VLOOKUP($B481,'Round 5'!$B$2:$H$361,7,false),1)="A","W",if(LEFT(VLOOKUP($B481,'Round 5'!$B$2:$H$361,7,false),1)="B","L","")),if(LEFT(VLOOKUP($B481,'Round 5'!$F$2:$H$361,3,false),1)="b","W",if(LEFT(VLOOKUP($B481,'Round 5'!$F$2:$H$361,3,false),1)="a","L","")))</f>
        <v>L</v>
      </c>
      <c r="I481" s="67" t="str">
        <f>iferror(if(LEFT(VLOOKUP($B481,'Round 6'!$B$2:$H$361,7,false),1)="A","W",if(LEFT(VLOOKUP($B481,'Round 6'!$B$2:$H$361,7,false),1)="B","L","")),if(LEFT(VLOOKUP($B481,'Round 6'!$F$2:$H$361,3,false),1)="b","W",if(LEFT(VLOOKUP($B481,'Round 6'!$F$2:$H$361,3,false),1)="a","L","")))</f>
        <v>L</v>
      </c>
      <c r="J481" s="67" t="str">
        <f>iferror(iferror(if(LEFT(VLOOKUP($B481,'Round 7'!$B$2:$H$361,7,false),1)="A","W",if(LEFT(VLOOKUP($B481,'Round 7'!$B$2:$H$361,7,false),1)="B","L","")),if(LEFT(VLOOKUP($B481,'Round 7'!$F$2:$H$361,3,false),1)="b","W",if(LEFT(VLOOKUP($B481,'Round 7'!$F$2:$H$361,3,false),1)="a","L",""))),"")</f>
        <v>L</v>
      </c>
      <c r="K481" s="68" t="str">
        <f>iferror(iferror(if(LEFT(VLOOKUP($B481,'Round 8'!$B$2:$H$361,7,false),1)="A","W",if(LEFT(VLOOKUP($B481,'Round 8'!$B$2:$H$361,7,false),1)="B","L","")),if(LEFT(VLOOKUP($B481,'Round 8'!$F$2:$H$361,3,false),1)="b","W",if(LEFT(VLOOKUP($B481,'Round 8'!$F$2:$H$361,3,false),1)="a","L",""))),"")</f>
        <v/>
      </c>
      <c r="L481" s="68" t="str">
        <f>iferror(iferror(if(LEFT(VLOOKUP($B481,'Round 9'!$B$2:$H$361,7,false),1)="A","W",if(LEFT(VLOOKUP($B481,'Round 9'!$B$2:$H$361,7,false),1)="B","L","")),if(LEFT(VLOOKUP($B481,'Round 9'!$F$2:$H$361,3,false),1)="b","W",if(LEFT(VLOOKUP($B481,'Round 9'!$F$2:$H$361,3,false),1)="a","L",""))),"")</f>
        <v/>
      </c>
      <c r="M481" s="68" t="str">
        <f>iferror(iferror(if(LEFT(VLOOKUP($B481,'Round 10'!$B$2:$H$362,7,false),1)="A","W",if(LEFT(VLOOKUP($B481,'Round 10'!$B$2:$H$362,7,false),1)="B","L","")),if(LEFT(VLOOKUP($B481,'Round 10'!$F$2:$H$362,3,false),1)="b","W",if(LEFT(VLOOKUP($B481,'Round 10'!$F$2:$H$362,3,false),1)="a","L",""))),"")</f>
        <v/>
      </c>
      <c r="N481" s="62" t="s">
        <v>1016</v>
      </c>
    </row>
    <row r="482">
      <c r="A482" s="63">
        <v>481.0</v>
      </c>
      <c r="B482" s="64" t="s">
        <v>1017</v>
      </c>
      <c r="C482" s="65" t="str">
        <f t="shared" si="1"/>
        <v>3 - 3</v>
      </c>
      <c r="D482" s="67" t="str">
        <f>iferror(if(LEFT(VLOOKUP($B482,'Round 1'!$B$2:$H$361,7,false),1)="A","W",if(LEFT(VLOOKUP($B482,'Round 1'!$B$2:$H$361,7,false),1)="B","L","")),if(LEFT(VLOOKUP($B482,'Round 1'!$F$2:$H$361,3,false),1)="b","W",if(LEFT(VLOOKUP($B482,'Round 1'!$F$2:$H$361,3,false),1)="a","L","")))</f>
        <v>L</v>
      </c>
      <c r="E482" s="67" t="str">
        <f>iferror(if(LEFT(VLOOKUP($B482,'Round 2'!$C$2:$J$361,8,false),1)="A","W",if(LEFT(VLOOKUP($B482,'Round 2'!$C$2:$J$361,8,false),1)="B","L","")),if(LEFT(VLOOKUP($B482,'Round 2'!$G$2:$J$361,4,false),1)="b","W",if(LEFT(VLOOKUP($B482,'Round 2'!$G$2:$J$361,4,false),1)="a","L","")))</f>
        <v>W</v>
      </c>
      <c r="F482" s="67" t="str">
        <f>iferror(if(LEFT(VLOOKUP($B482,'Round 3'!$B$2:$H$361,7,false),1)="A","W",if(LEFT(VLOOKUP($B482,'Round 3'!$B$2:$H$361,7,false),1)="B","L","")),if(LEFT(VLOOKUP($B482,'Round 3'!$F$2:$H$361,3,false),1)="b","W",if(LEFT(VLOOKUP($B482,'Round 3'!$F$2:$H$361,3,false),1)="a","L","")))</f>
        <v>L</v>
      </c>
      <c r="G482" s="67" t="str">
        <f>iferror(if(LEFT(VLOOKUP($B482,'Round 4'!$B$2:$H$361,7,false),1)="A","W",if(LEFT(VLOOKUP($B482,'Round 4'!$B$2:$H$361,7,false),1)="B","L","")),if(LEFT(VLOOKUP($B482,'Round 4'!$F$2:$H$361,3,false),1)="b","W",if(LEFT(VLOOKUP($B482,'Round 4'!$F$2:$H$361,3,false),1)="a","L","")))</f>
        <v>W</v>
      </c>
      <c r="H482" s="67" t="str">
        <f>iferror(if(LEFT(VLOOKUP($B482,'Round 5'!$B$2:$H$361,7,false),1)="A","W",if(LEFT(VLOOKUP($B482,'Round 5'!$B$2:$H$361,7,false),1)="B","L","")),if(LEFT(VLOOKUP($B482,'Round 5'!$F$2:$H$361,3,false),1)="b","W",if(LEFT(VLOOKUP($B482,'Round 5'!$F$2:$H$361,3,false),1)="a","L","")))</f>
        <v>W</v>
      </c>
      <c r="I482" s="67" t="str">
        <f>iferror(if(LEFT(VLOOKUP($B482,'Round 6'!$B$2:$H$361,7,false),1)="A","W",if(LEFT(VLOOKUP($B482,'Round 6'!$B$2:$H$361,7,false),1)="B","L","")),if(LEFT(VLOOKUP($B482,'Round 6'!$F$2:$H$361,3,false),1)="b","W",if(LEFT(VLOOKUP($B482,'Round 6'!$F$2:$H$361,3,false),1)="a","L","")))</f>
        <v>L</v>
      </c>
      <c r="J482" s="67" t="str">
        <f>iferror(iferror(if(LEFT(VLOOKUP($B482,'Round 7'!$B$2:$H$361,7,false),1)="A","W",if(LEFT(VLOOKUP($B482,'Round 7'!$B$2:$H$361,7,false),1)="B","L","")),if(LEFT(VLOOKUP($B482,'Round 7'!$F$2:$H$361,3,false),1)="b","W",if(LEFT(VLOOKUP($B482,'Round 7'!$F$2:$H$361,3,false),1)="a","L",""))),"")</f>
        <v/>
      </c>
      <c r="K482" s="68" t="str">
        <f>iferror(iferror(if(LEFT(VLOOKUP($B482,'Round 8'!$B$2:$H$361,7,false),1)="A","W",if(LEFT(VLOOKUP($B482,'Round 8'!$B$2:$H$361,7,false),1)="B","L","")),if(LEFT(VLOOKUP($B482,'Round 8'!$F$2:$H$361,3,false),1)="b","W",if(LEFT(VLOOKUP($B482,'Round 8'!$F$2:$H$361,3,false),1)="a","L",""))),"")</f>
        <v/>
      </c>
      <c r="L482" s="68" t="str">
        <f>iferror(iferror(if(LEFT(VLOOKUP($B482,'Round 9'!$B$2:$H$361,7,false),1)="A","W",if(LEFT(VLOOKUP($B482,'Round 9'!$B$2:$H$361,7,false),1)="B","L","")),if(LEFT(VLOOKUP($B482,'Round 9'!$F$2:$H$361,3,false),1)="b","W",if(LEFT(VLOOKUP($B482,'Round 9'!$F$2:$H$361,3,false),1)="a","L",""))),"")</f>
        <v/>
      </c>
      <c r="M482" s="68" t="str">
        <f>iferror(iferror(if(LEFT(VLOOKUP($B482,'Round 10'!$B$2:$H$362,7,false),1)="A","W",if(LEFT(VLOOKUP($B482,'Round 10'!$B$2:$H$362,7,false),1)="B","L","")),if(LEFT(VLOOKUP($B482,'Round 10'!$F$2:$H$362,3,false),1)="b","W",if(LEFT(VLOOKUP($B482,'Round 10'!$F$2:$H$362,3,false),1)="a","L",""))),"")</f>
        <v/>
      </c>
      <c r="N482" s="62" t="s">
        <v>1018</v>
      </c>
    </row>
    <row r="483">
      <c r="A483" s="63">
        <v>482.0</v>
      </c>
      <c r="B483" s="64" t="s">
        <v>1019</v>
      </c>
      <c r="C483" s="65" t="str">
        <f t="shared" si="1"/>
        <v>3 - 3</v>
      </c>
      <c r="D483" s="67" t="str">
        <f>iferror(if(LEFT(VLOOKUP($B483,'Round 1'!$B$2:$H$361,7,false),1)="A","W",if(LEFT(VLOOKUP($B483,'Round 1'!$B$2:$H$361,7,false),1)="B","L","")),if(LEFT(VLOOKUP($B483,'Round 1'!$F$2:$H$361,3,false),1)="b","W",if(LEFT(VLOOKUP($B483,'Round 1'!$F$2:$H$361,3,false),1)="a","L","")))</f>
        <v>L</v>
      </c>
      <c r="E483" s="67" t="str">
        <f>iferror(if(LEFT(VLOOKUP($B483,'Round 2'!$C$2:$J$361,8,false),1)="A","W",if(LEFT(VLOOKUP($B483,'Round 2'!$C$2:$J$361,8,false),1)="B","L","")),if(LEFT(VLOOKUP($B483,'Round 2'!$G$2:$J$361,4,false),1)="b","W",if(LEFT(VLOOKUP($B483,'Round 2'!$G$2:$J$361,4,false),1)="a","L","")))</f>
        <v>W</v>
      </c>
      <c r="F483" s="67" t="str">
        <f>iferror(if(LEFT(VLOOKUP($B483,'Round 3'!$B$2:$H$361,7,false),1)="A","W",if(LEFT(VLOOKUP($B483,'Round 3'!$B$2:$H$361,7,false),1)="B","L","")),if(LEFT(VLOOKUP($B483,'Round 3'!$F$2:$H$361,3,false),1)="b","W",if(LEFT(VLOOKUP($B483,'Round 3'!$F$2:$H$361,3,false),1)="a","L","")))</f>
        <v>W</v>
      </c>
      <c r="G483" s="67" t="str">
        <f>iferror(if(LEFT(VLOOKUP($B483,'Round 4'!$B$2:$H$361,7,false),1)="A","W",if(LEFT(VLOOKUP($B483,'Round 4'!$B$2:$H$361,7,false),1)="B","L","")),if(LEFT(VLOOKUP($B483,'Round 4'!$F$2:$H$361,3,false),1)="b","W",if(LEFT(VLOOKUP($B483,'Round 4'!$F$2:$H$361,3,false),1)="a","L","")))</f>
        <v>W</v>
      </c>
      <c r="H483" s="67" t="str">
        <f>iferror(if(LEFT(VLOOKUP($B483,'Round 5'!$B$2:$H$361,7,false),1)="A","W",if(LEFT(VLOOKUP($B483,'Round 5'!$B$2:$H$361,7,false),1)="B","L","")),if(LEFT(VLOOKUP($B483,'Round 5'!$F$2:$H$361,3,false),1)="b","W",if(LEFT(VLOOKUP($B483,'Round 5'!$F$2:$H$361,3,false),1)="a","L","")))</f>
        <v>L</v>
      </c>
      <c r="I483" s="67" t="str">
        <f>iferror(if(LEFT(VLOOKUP($B483,'Round 6'!$B$2:$H$361,7,false),1)="A","W",if(LEFT(VLOOKUP($B483,'Round 6'!$B$2:$H$361,7,false),1)="B","L","")),if(LEFT(VLOOKUP($B483,'Round 6'!$F$2:$H$361,3,false),1)="b","W",if(LEFT(VLOOKUP($B483,'Round 6'!$F$2:$H$361,3,false),1)="a","L","")))</f>
        <v>L</v>
      </c>
      <c r="J483" s="67" t="str">
        <f>iferror(iferror(if(LEFT(VLOOKUP($B483,'Round 7'!$B$2:$H$361,7,false),1)="A","W",if(LEFT(VLOOKUP($B483,'Round 7'!$B$2:$H$361,7,false),1)="B","L","")),if(LEFT(VLOOKUP($B483,'Round 7'!$F$2:$H$361,3,false),1)="b","W",if(LEFT(VLOOKUP($B483,'Round 7'!$F$2:$H$361,3,false),1)="a","L",""))),"")</f>
        <v/>
      </c>
      <c r="K483" s="68" t="str">
        <f>iferror(iferror(if(LEFT(VLOOKUP($B483,'Round 8'!$B$2:$H$361,7,false),1)="A","W",if(LEFT(VLOOKUP($B483,'Round 8'!$B$2:$H$361,7,false),1)="B","L","")),if(LEFT(VLOOKUP($B483,'Round 8'!$F$2:$H$361,3,false),1)="b","W",if(LEFT(VLOOKUP($B483,'Round 8'!$F$2:$H$361,3,false),1)="a","L",""))),"")</f>
        <v/>
      </c>
      <c r="L483" s="68" t="str">
        <f>iferror(iferror(if(LEFT(VLOOKUP($B483,'Round 9'!$B$2:$H$361,7,false),1)="A","W",if(LEFT(VLOOKUP($B483,'Round 9'!$B$2:$H$361,7,false),1)="B","L","")),if(LEFT(VLOOKUP($B483,'Round 9'!$F$2:$H$361,3,false),1)="b","W",if(LEFT(VLOOKUP($B483,'Round 9'!$F$2:$H$361,3,false),1)="a","L",""))),"")</f>
        <v/>
      </c>
      <c r="M483" s="68" t="str">
        <f>iferror(iferror(if(LEFT(VLOOKUP($B483,'Round 10'!$B$2:$H$362,7,false),1)="A","W",if(LEFT(VLOOKUP($B483,'Round 10'!$B$2:$H$362,7,false),1)="B","L","")),if(LEFT(VLOOKUP($B483,'Round 10'!$F$2:$H$362,3,false),1)="b","W",if(LEFT(VLOOKUP($B483,'Round 10'!$F$2:$H$362,3,false),1)="a","L",""))),"")</f>
        <v/>
      </c>
      <c r="N483" s="62" t="s">
        <v>1020</v>
      </c>
    </row>
    <row r="484">
      <c r="A484" s="63">
        <v>483.0</v>
      </c>
      <c r="B484" s="64" t="s">
        <v>1021</v>
      </c>
      <c r="C484" s="65" t="str">
        <f t="shared" si="1"/>
        <v>1 - 3</v>
      </c>
      <c r="D484" s="67" t="str">
        <f>iferror(if(LEFT(VLOOKUP($B484,'Round 1'!$B$2:$H$361,7,false),1)="A","W",if(LEFT(VLOOKUP($B484,'Round 1'!$B$2:$H$361,7,false),1)="B","L","")),if(LEFT(VLOOKUP($B484,'Round 1'!$F$2:$H$361,3,false),1)="b","W",if(LEFT(VLOOKUP($B484,'Round 1'!$F$2:$H$361,3,false),1)="a","L","")))</f>
        <v>L</v>
      </c>
      <c r="E484" s="67" t="str">
        <f>iferror(if(LEFT(VLOOKUP($B484,'Round 2'!$C$2:$J$361,8,false),1)="A","W",if(LEFT(VLOOKUP($B484,'Round 2'!$C$2:$J$361,8,false),1)="B","L","")),if(LEFT(VLOOKUP($B484,'Round 2'!$G$2:$J$361,4,false),1)="b","W",if(LEFT(VLOOKUP($B484,'Round 2'!$G$2:$J$361,4,false),1)="a","L","")))</f>
        <v>W</v>
      </c>
      <c r="F484" s="67" t="str">
        <f>iferror(if(LEFT(VLOOKUP($B484,'Round 3'!$B$2:$H$361,7,false),1)="A","W",if(LEFT(VLOOKUP($B484,'Round 3'!$B$2:$H$361,7,false),1)="B","L","")),if(LEFT(VLOOKUP($B484,'Round 3'!$F$2:$H$361,3,false),1)="b","W",if(LEFT(VLOOKUP($B484,'Round 3'!$F$2:$H$361,3,false),1)="a","L","")))</f>
        <v>L</v>
      </c>
      <c r="G484" s="67" t="str">
        <f>iferror(if(LEFT(VLOOKUP($B484,'Round 4'!$B$2:$H$361,7,false),1)="A","W",if(LEFT(VLOOKUP($B484,'Round 4'!$B$2:$H$361,7,false),1)="B","L","")),if(LEFT(VLOOKUP($B484,'Round 4'!$F$2:$H$361,3,false),1)="b","W",if(LEFT(VLOOKUP($B484,'Round 4'!$F$2:$H$361,3,false),1)="a","L","")))</f>
        <v>L</v>
      </c>
      <c r="H484" s="67"/>
      <c r="I484" s="67"/>
      <c r="J484" s="67" t="str">
        <f>iferror(iferror(if(LEFT(VLOOKUP($B484,'Round 7'!$B$2:$H$361,7,false),1)="A","W",if(LEFT(VLOOKUP($B484,'Round 7'!$B$2:$H$361,7,false),1)="B","L","")),if(LEFT(VLOOKUP($B484,'Round 7'!$F$2:$H$361,3,false),1)="b","W",if(LEFT(VLOOKUP($B484,'Round 7'!$F$2:$H$361,3,false),1)="a","L",""))),"")</f>
        <v/>
      </c>
      <c r="K484" s="68" t="str">
        <f>iferror(iferror(if(LEFT(VLOOKUP($B484,'Round 8'!$B$2:$H$361,7,false),1)="A","W",if(LEFT(VLOOKUP($B484,'Round 8'!$B$2:$H$361,7,false),1)="B","L","")),if(LEFT(VLOOKUP($B484,'Round 8'!$F$2:$H$361,3,false),1)="b","W",if(LEFT(VLOOKUP($B484,'Round 8'!$F$2:$H$361,3,false),1)="a","L",""))),"")</f>
        <v/>
      </c>
      <c r="L484" s="68" t="str">
        <f>iferror(iferror(if(LEFT(VLOOKUP($B484,'Round 9'!$B$2:$H$361,7,false),1)="A","W",if(LEFT(VLOOKUP($B484,'Round 9'!$B$2:$H$361,7,false),1)="B","L","")),if(LEFT(VLOOKUP($B484,'Round 9'!$F$2:$H$361,3,false),1)="b","W",if(LEFT(VLOOKUP($B484,'Round 9'!$F$2:$H$361,3,false),1)="a","L",""))),"")</f>
        <v/>
      </c>
      <c r="M484" s="68" t="str">
        <f>iferror(iferror(if(LEFT(VLOOKUP($B484,'Round 10'!$B$2:$H$362,7,false),1)="A","W",if(LEFT(VLOOKUP($B484,'Round 10'!$B$2:$H$362,7,false),1)="B","L","")),if(LEFT(VLOOKUP($B484,'Round 10'!$F$2:$H$362,3,false),1)="b","W",if(LEFT(VLOOKUP($B484,'Round 10'!$F$2:$H$362,3,false),1)="a","L",""))),"")</f>
        <v/>
      </c>
      <c r="N484" s="62" t="s">
        <v>1022</v>
      </c>
    </row>
    <row r="485">
      <c r="A485" s="63">
        <v>484.0</v>
      </c>
      <c r="B485" s="71" t="s">
        <v>1023</v>
      </c>
      <c r="C485" s="65" t="str">
        <f t="shared" si="1"/>
        <v>2 - 3</v>
      </c>
      <c r="D485" s="67" t="str">
        <f>iferror(if(LEFT(VLOOKUP($B485,'Round 1'!$B$2:$H$361,7,false),1)="A","W",if(LEFT(VLOOKUP($B485,'Round 1'!$B$2:$H$361,7,false),1)="B","L","")),if(LEFT(VLOOKUP($B485,'Round 1'!$F$2:$H$361,3,false),1)="b","W",if(LEFT(VLOOKUP($B485,'Round 1'!$F$2:$H$361,3,false),1)="a","L","")))</f>
        <v>W</v>
      </c>
      <c r="E485" s="67" t="str">
        <f>iferror(if(LEFT(VLOOKUP($B485,'Round 2'!$C$2:$J$361,8,false),1)="A","W",if(LEFT(VLOOKUP($B485,'Round 2'!$C$2:$J$361,8,false),1)="B","L","")),if(LEFT(VLOOKUP($B485,'Round 2'!$G$2:$J$361,4,false),1)="b","W",if(LEFT(VLOOKUP($B485,'Round 2'!$G$2:$J$361,4,false),1)="a","L","")))</f>
        <v>L</v>
      </c>
      <c r="F485" s="67" t="str">
        <f>iferror(if(LEFT(VLOOKUP($B485,'Round 3'!$B$2:$H$361,7,false),1)="A","W",if(LEFT(VLOOKUP($B485,'Round 3'!$B$2:$H$361,7,false),1)="B","L","")),if(LEFT(VLOOKUP($B485,'Round 3'!$F$2:$H$361,3,false),1)="b","W",if(LEFT(VLOOKUP($B485,'Round 3'!$F$2:$H$361,3,false),1)="a","L","")))</f>
        <v>W</v>
      </c>
      <c r="G485" s="67" t="str">
        <f>iferror(if(LEFT(VLOOKUP($B485,'Round 4'!$B$2:$H$361,7,false),1)="A","W",if(LEFT(VLOOKUP($B485,'Round 4'!$B$2:$H$361,7,false),1)="B","L","")),if(LEFT(VLOOKUP($B485,'Round 4'!$F$2:$H$361,3,false),1)="b","W",if(LEFT(VLOOKUP($B485,'Round 4'!$F$2:$H$361,3,false),1)="a","L","")))</f>
        <v>L</v>
      </c>
      <c r="H485" s="67" t="str">
        <f>iferror(if(LEFT(VLOOKUP($B485,'Round 5'!$B$2:$H$361,7,false),1)="A","W",if(LEFT(VLOOKUP($B485,'Round 5'!$B$2:$H$361,7,false),1)="B","L","")),if(LEFT(VLOOKUP($B485,'Round 5'!$F$2:$H$361,3,false),1)="b","W",if(LEFT(VLOOKUP($B485,'Round 5'!$F$2:$H$361,3,false),1)="a","L","")))</f>
        <v>L</v>
      </c>
      <c r="I485" s="67"/>
      <c r="J485" s="67" t="str">
        <f>iferror(iferror(if(LEFT(VLOOKUP($B485,'Round 7'!$B$2:$H$361,7,false),1)="A","W",if(LEFT(VLOOKUP($B485,'Round 7'!$B$2:$H$361,7,false),1)="B","L","")),if(LEFT(VLOOKUP($B485,'Round 7'!$F$2:$H$361,3,false),1)="b","W",if(LEFT(VLOOKUP($B485,'Round 7'!$F$2:$H$361,3,false),1)="a","L",""))),"")</f>
        <v/>
      </c>
      <c r="K485" s="68" t="str">
        <f>iferror(iferror(if(LEFT(VLOOKUP($B485,'Round 8'!$B$2:$H$361,7,false),1)="A","W",if(LEFT(VLOOKUP($B485,'Round 8'!$B$2:$H$361,7,false),1)="B","L","")),if(LEFT(VLOOKUP($B485,'Round 8'!$F$2:$H$361,3,false),1)="b","W",if(LEFT(VLOOKUP($B485,'Round 8'!$F$2:$H$361,3,false),1)="a","L",""))),"")</f>
        <v/>
      </c>
      <c r="L485" s="68" t="str">
        <f>iferror(iferror(if(LEFT(VLOOKUP($B485,'Round 9'!$B$2:$H$361,7,false),1)="A","W",if(LEFT(VLOOKUP($B485,'Round 9'!$B$2:$H$361,7,false),1)="B","L","")),if(LEFT(VLOOKUP($B485,'Round 9'!$F$2:$H$361,3,false),1)="b","W",if(LEFT(VLOOKUP($B485,'Round 9'!$F$2:$H$361,3,false),1)="a","L",""))),"")</f>
        <v/>
      </c>
      <c r="M485" s="68" t="str">
        <f>iferror(iferror(if(LEFT(VLOOKUP($B485,'Round 10'!$B$2:$H$362,7,false),1)="A","W",if(LEFT(VLOOKUP($B485,'Round 10'!$B$2:$H$362,7,false),1)="B","L","")),if(LEFT(VLOOKUP($B485,'Round 10'!$F$2:$H$362,3,false),1)="b","W",if(LEFT(VLOOKUP($B485,'Round 10'!$F$2:$H$362,3,false),1)="a","L",""))),"")</f>
        <v/>
      </c>
      <c r="N485" s="62" t="s">
        <v>1024</v>
      </c>
    </row>
    <row r="486">
      <c r="A486" s="63">
        <v>485.0</v>
      </c>
      <c r="B486" s="64" t="s">
        <v>1025</v>
      </c>
      <c r="C486" s="65" t="str">
        <f t="shared" si="1"/>
        <v>1 - 3</v>
      </c>
      <c r="D486" s="67" t="str">
        <f>iferror(if(LEFT(VLOOKUP($B486,'Round 1'!$B$2:$H$361,7,false),1)="A","W",if(LEFT(VLOOKUP($B486,'Round 1'!$B$2:$H$361,7,false),1)="B","L","")),if(LEFT(VLOOKUP($B486,'Round 1'!$F$2:$H$361,3,false),1)="b","W",if(LEFT(VLOOKUP($B486,'Round 1'!$F$2:$H$361,3,false),1)="a","L","")))</f>
        <v>L</v>
      </c>
      <c r="E486" s="67" t="str">
        <f>iferror(if(LEFT(VLOOKUP($B486,'Round 2'!$C$2:$J$361,8,false),1)="A","W",if(LEFT(VLOOKUP($B486,'Round 2'!$C$2:$J$361,8,false),1)="B","L","")),if(LEFT(VLOOKUP($B486,'Round 2'!$G$2:$J$361,4,false),1)="b","W",if(LEFT(VLOOKUP($B486,'Round 2'!$G$2:$J$361,4,false),1)="a","L","")))</f>
        <v>W</v>
      </c>
      <c r="F486" s="67" t="str">
        <f>iferror(if(LEFT(VLOOKUP($B486,'Round 3'!$B$2:$H$361,7,false),1)="A","W",if(LEFT(VLOOKUP($B486,'Round 3'!$B$2:$H$361,7,false),1)="B","L","")),if(LEFT(VLOOKUP($B486,'Round 3'!$F$2:$H$361,3,false),1)="b","W",if(LEFT(VLOOKUP($B486,'Round 3'!$F$2:$H$361,3,false),1)="a","L","")))</f>
        <v>L</v>
      </c>
      <c r="G486" s="67" t="str">
        <f>iferror(if(LEFT(VLOOKUP($B486,'Round 4'!$B$2:$H$361,7,false),1)="A","W",if(LEFT(VLOOKUP($B486,'Round 4'!$B$2:$H$361,7,false),1)="B","L","")),if(LEFT(VLOOKUP($B486,'Round 4'!$F$2:$H$361,3,false),1)="b","W",if(LEFT(VLOOKUP($B486,'Round 4'!$F$2:$H$361,3,false),1)="a","L","")))</f>
        <v>L</v>
      </c>
      <c r="H486" s="67"/>
      <c r="I486" s="67"/>
      <c r="J486" s="67" t="str">
        <f>iferror(iferror(if(LEFT(VLOOKUP($B486,'Round 7'!$B$2:$H$361,7,false),1)="A","W",if(LEFT(VLOOKUP($B486,'Round 7'!$B$2:$H$361,7,false),1)="B","L","")),if(LEFT(VLOOKUP($B486,'Round 7'!$F$2:$H$361,3,false),1)="b","W",if(LEFT(VLOOKUP($B486,'Round 7'!$F$2:$H$361,3,false),1)="a","L",""))),"")</f>
        <v/>
      </c>
      <c r="K486" s="68" t="str">
        <f>iferror(iferror(if(LEFT(VLOOKUP($B486,'Round 8'!$B$2:$H$361,7,false),1)="A","W",if(LEFT(VLOOKUP($B486,'Round 8'!$B$2:$H$361,7,false),1)="B","L","")),if(LEFT(VLOOKUP($B486,'Round 8'!$F$2:$H$361,3,false),1)="b","W",if(LEFT(VLOOKUP($B486,'Round 8'!$F$2:$H$361,3,false),1)="a","L",""))),"")</f>
        <v/>
      </c>
      <c r="L486" s="68" t="str">
        <f>iferror(iferror(if(LEFT(VLOOKUP($B486,'Round 9'!$B$2:$H$361,7,false),1)="A","W",if(LEFT(VLOOKUP($B486,'Round 9'!$B$2:$H$361,7,false),1)="B","L","")),if(LEFT(VLOOKUP($B486,'Round 9'!$F$2:$H$361,3,false),1)="b","W",if(LEFT(VLOOKUP($B486,'Round 9'!$F$2:$H$361,3,false),1)="a","L",""))),"")</f>
        <v/>
      </c>
      <c r="M486" s="68" t="str">
        <f>iferror(iferror(if(LEFT(VLOOKUP($B486,'Round 10'!$B$2:$H$362,7,false),1)="A","W",if(LEFT(VLOOKUP($B486,'Round 10'!$B$2:$H$362,7,false),1)="B","L","")),if(LEFT(VLOOKUP($B486,'Round 10'!$F$2:$H$362,3,false),1)="b","W",if(LEFT(VLOOKUP($B486,'Round 10'!$F$2:$H$362,3,false),1)="a","L",""))),"")</f>
        <v/>
      </c>
      <c r="N486" s="62" t="s">
        <v>1026</v>
      </c>
    </row>
    <row r="487">
      <c r="A487" s="63">
        <v>486.0</v>
      </c>
      <c r="B487" s="64" t="s">
        <v>1027</v>
      </c>
      <c r="C487" s="65" t="str">
        <f t="shared" si="1"/>
        <v>6 - 3</v>
      </c>
      <c r="D487" s="67" t="str">
        <f>iferror(if(LEFT(VLOOKUP($B487,'Round 1'!$B$2:$H$361,7,false),1)="A","W",if(LEFT(VLOOKUP($B487,'Round 1'!$B$2:$H$361,7,false),1)="B","L","")),if(LEFT(VLOOKUP($B487,'Round 1'!$F$2:$H$361,3,false),1)="b","W",if(LEFT(VLOOKUP($B487,'Round 1'!$F$2:$H$361,3,false),1)="a","L","")))</f>
        <v>W</v>
      </c>
      <c r="E487" s="67" t="str">
        <f>iferror(if(LEFT(VLOOKUP($B487,'Round 2'!$C$2:$J$361,8,false),1)="A","W",if(LEFT(VLOOKUP($B487,'Round 2'!$C$2:$J$361,8,false),1)="B","L","")),if(LEFT(VLOOKUP($B487,'Round 2'!$G$2:$J$361,4,false),1)="b","W",if(LEFT(VLOOKUP($B487,'Round 2'!$G$2:$J$361,4,false),1)="a","L","")))</f>
        <v>W</v>
      </c>
      <c r="F487" s="67" t="str">
        <f>iferror(if(LEFT(VLOOKUP($B487,'Round 3'!$B$2:$H$361,7,false),1)="A","W",if(LEFT(VLOOKUP($B487,'Round 3'!$B$2:$H$361,7,false),1)="B","L","")),if(LEFT(VLOOKUP($B487,'Round 3'!$F$2:$H$361,3,false),1)="b","W",if(LEFT(VLOOKUP($B487,'Round 3'!$F$2:$H$361,3,false),1)="a","L","")))</f>
        <v>W</v>
      </c>
      <c r="G487" s="67" t="str">
        <f>iferror(if(LEFT(VLOOKUP($B487,'Round 4'!$B$2:$H$361,7,false),1)="A","W",if(LEFT(VLOOKUP($B487,'Round 4'!$B$2:$H$361,7,false),1)="B","L","")),if(LEFT(VLOOKUP($B487,'Round 4'!$F$2:$H$361,3,false),1)="b","W",if(LEFT(VLOOKUP($B487,'Round 4'!$F$2:$H$361,3,false),1)="a","L","")))</f>
        <v>L</v>
      </c>
      <c r="H487" s="67" t="str">
        <f>iferror(if(LEFT(VLOOKUP($B487,'Round 5'!$B$2:$H$361,7,false),1)="A","W",if(LEFT(VLOOKUP($B487,'Round 5'!$B$2:$H$361,7,false),1)="B","L","")),if(LEFT(VLOOKUP($B487,'Round 5'!$F$2:$H$361,3,false),1)="b","W",if(LEFT(VLOOKUP($B487,'Round 5'!$F$2:$H$361,3,false),1)="a","L","")))</f>
        <v>W</v>
      </c>
      <c r="I487" s="67" t="str">
        <f>iferror(if(LEFT(VLOOKUP($B487,'Round 6'!$B$2:$H$361,7,false),1)="A","W",if(LEFT(VLOOKUP($B487,'Round 6'!$B$2:$H$361,7,false),1)="B","L","")),if(LEFT(VLOOKUP($B487,'Round 6'!$F$2:$H$361,3,false),1)="b","W",if(LEFT(VLOOKUP($B487,'Round 6'!$F$2:$H$361,3,false),1)="a","L","")))</f>
        <v>L</v>
      </c>
      <c r="J487" s="67" t="str">
        <f>iferror(iferror(if(LEFT(VLOOKUP($B487,'Round 7'!$B$2:$H$361,7,false),1)="A","W",if(LEFT(VLOOKUP($B487,'Round 7'!$B$2:$H$361,7,false),1)="B","L","")),if(LEFT(VLOOKUP($B487,'Round 7'!$F$2:$H$361,3,false),1)="b","W",if(LEFT(VLOOKUP($B487,'Round 7'!$F$2:$H$361,3,false),1)="a","L",""))),"")</f>
        <v>W</v>
      </c>
      <c r="K487" s="68" t="str">
        <f>iferror(iferror(if(LEFT(VLOOKUP($B487,'Round 8'!$B$2:$H$361,7,false),1)="A","W",if(LEFT(VLOOKUP($B487,'Round 8'!$B$2:$H$361,7,false),1)="B","L","")),if(LEFT(VLOOKUP($B487,'Round 8'!$F$2:$H$361,3,false),1)="b","W",if(LEFT(VLOOKUP($B487,'Round 8'!$F$2:$H$361,3,false),1)="a","L",""))),"")</f>
        <v>W</v>
      </c>
      <c r="L487" s="68" t="str">
        <f>iferror(iferror(if(LEFT(VLOOKUP($B487,'Round 9'!$B$2:$H$361,7,false),1)="A","W",if(LEFT(VLOOKUP($B487,'Round 9'!$B$2:$H$361,7,false),1)="B","L","")),if(LEFT(VLOOKUP($B487,'Round 9'!$F$2:$H$361,3,false),1)="b","W",if(LEFT(VLOOKUP($B487,'Round 9'!$F$2:$H$361,3,false),1)="a","L",""))),"")</f>
        <v>L</v>
      </c>
      <c r="M487" s="68" t="str">
        <f>iferror(iferror(if(LEFT(VLOOKUP($B487,'Round 10'!$B$2:$H$362,7,false),1)="A","W",if(LEFT(VLOOKUP($B487,'Round 10'!$B$2:$H$362,7,false),1)="B","L","")),if(LEFT(VLOOKUP($B487,'Round 10'!$F$2:$H$362,3,false),1)="b","W",if(LEFT(VLOOKUP($B487,'Round 10'!$F$2:$H$362,3,false),1)="a","L",""))),"")</f>
        <v/>
      </c>
      <c r="N487" s="62" t="s">
        <v>1028</v>
      </c>
    </row>
    <row r="488">
      <c r="A488" s="63">
        <v>487.0</v>
      </c>
      <c r="B488" s="64" t="s">
        <v>1029</v>
      </c>
      <c r="C488" s="65" t="str">
        <f t="shared" si="1"/>
        <v>6 - 3</v>
      </c>
      <c r="D488" s="67" t="str">
        <f>iferror(if(LEFT(VLOOKUP($B488,'Round 1'!$B$2:$H$361,7,false),1)="A","W",if(LEFT(VLOOKUP($B488,'Round 1'!$B$2:$H$361,7,false),1)="B","L","")),if(LEFT(VLOOKUP($B488,'Round 1'!$F$2:$H$361,3,false),1)="b","W",if(LEFT(VLOOKUP($B488,'Round 1'!$F$2:$H$361,3,false),1)="a","L","")))</f>
        <v>W</v>
      </c>
      <c r="E488" s="67" t="str">
        <f>iferror(if(LEFT(VLOOKUP($B488,'Round 2'!$C$2:$J$361,8,false),1)="A","W",if(LEFT(VLOOKUP($B488,'Round 2'!$C$2:$J$361,8,false),1)="B","L","")),if(LEFT(VLOOKUP($B488,'Round 2'!$G$2:$J$361,4,false),1)="b","W",if(LEFT(VLOOKUP($B488,'Round 2'!$G$2:$J$361,4,false),1)="a","L","")))</f>
        <v>W</v>
      </c>
      <c r="F488" s="67" t="str">
        <f>iferror(if(LEFT(VLOOKUP($B488,'Round 3'!$B$2:$H$361,7,false),1)="A","W",if(LEFT(VLOOKUP($B488,'Round 3'!$B$2:$H$361,7,false),1)="B","L","")),if(LEFT(VLOOKUP($B488,'Round 3'!$F$2:$H$361,3,false),1)="b","W",if(LEFT(VLOOKUP($B488,'Round 3'!$F$2:$H$361,3,false),1)="a","L","")))</f>
        <v>L</v>
      </c>
      <c r="G488" s="67" t="str">
        <f>iferror(if(LEFT(VLOOKUP($B488,'Round 4'!$B$2:$H$361,7,false),1)="A","W",if(LEFT(VLOOKUP($B488,'Round 4'!$B$2:$H$361,7,false),1)="B","L","")),if(LEFT(VLOOKUP($B488,'Round 4'!$F$2:$H$361,3,false),1)="b","W",if(LEFT(VLOOKUP($B488,'Round 4'!$F$2:$H$361,3,false),1)="a","L","")))</f>
        <v>L</v>
      </c>
      <c r="H488" s="67" t="str">
        <f>iferror(if(LEFT(VLOOKUP($B488,'Round 5'!$B$2:$H$361,7,false),1)="A","W",if(LEFT(VLOOKUP($B488,'Round 5'!$B$2:$H$361,7,false),1)="B","L","")),if(LEFT(VLOOKUP($B488,'Round 5'!$F$2:$H$361,3,false),1)="b","W",if(LEFT(VLOOKUP($B488,'Round 5'!$F$2:$H$361,3,false),1)="a","L","")))</f>
        <v>W</v>
      </c>
      <c r="I488" s="67" t="str">
        <f>iferror(if(LEFT(VLOOKUP($B488,'Round 6'!$B$2:$H$361,7,false),1)="A","W",if(LEFT(VLOOKUP($B488,'Round 6'!$B$2:$H$361,7,false),1)="B","L","")),if(LEFT(VLOOKUP($B488,'Round 6'!$F$2:$H$361,3,false),1)="b","W",if(LEFT(VLOOKUP($B488,'Round 6'!$F$2:$H$361,3,false),1)="a","L","")))</f>
        <v>W</v>
      </c>
      <c r="J488" s="67" t="str">
        <f>iferror(iferror(if(LEFT(VLOOKUP($B488,'Round 7'!$B$2:$H$361,7,false),1)="A","W",if(LEFT(VLOOKUP($B488,'Round 7'!$B$2:$H$361,7,false),1)="B","L","")),if(LEFT(VLOOKUP($B488,'Round 7'!$F$2:$H$361,3,false),1)="b","W",if(LEFT(VLOOKUP($B488,'Round 7'!$F$2:$H$361,3,false),1)="a","L",""))),"")</f>
        <v>W</v>
      </c>
      <c r="K488" s="68" t="str">
        <f>iferror(iferror(if(LEFT(VLOOKUP($B488,'Round 8'!$B$2:$H$361,7,false),1)="A","W",if(LEFT(VLOOKUP($B488,'Round 8'!$B$2:$H$361,7,false),1)="B","L","")),if(LEFT(VLOOKUP($B488,'Round 8'!$F$2:$H$361,3,false),1)="b","W",if(LEFT(VLOOKUP($B488,'Round 8'!$F$2:$H$361,3,false),1)="a","L",""))),"")</f>
        <v>W</v>
      </c>
      <c r="L488" s="68" t="str">
        <f>iferror(iferror(if(LEFT(VLOOKUP($B488,'Round 9'!$B$2:$H$361,7,false),1)="A","W",if(LEFT(VLOOKUP($B488,'Round 9'!$B$2:$H$361,7,false),1)="B","L","")),if(LEFT(VLOOKUP($B488,'Round 9'!$F$2:$H$361,3,false),1)="b","W",if(LEFT(VLOOKUP($B488,'Round 9'!$F$2:$H$361,3,false),1)="a","L",""))),"")</f>
        <v>L</v>
      </c>
      <c r="M488" s="68" t="str">
        <f>iferror(iferror(if(LEFT(VLOOKUP($B488,'Round 10'!$B$2:$H$362,7,false),1)="A","W",if(LEFT(VLOOKUP($B488,'Round 10'!$B$2:$H$362,7,false),1)="B","L","")),if(LEFT(VLOOKUP($B488,'Round 10'!$F$2:$H$362,3,false),1)="b","W",if(LEFT(VLOOKUP($B488,'Round 10'!$F$2:$H$362,3,false),1)="a","L",""))),"")</f>
        <v/>
      </c>
      <c r="N488" s="62" t="s">
        <v>1030</v>
      </c>
    </row>
    <row r="489">
      <c r="A489" s="63">
        <v>488.0</v>
      </c>
      <c r="B489" s="64" t="s">
        <v>1031</v>
      </c>
      <c r="C489" s="65" t="str">
        <f t="shared" si="1"/>
        <v>0 - 3</v>
      </c>
      <c r="D489" s="67" t="str">
        <f>iferror(if(LEFT(VLOOKUP($B489,'Round 1'!$B$2:$H$361,7,false),1)="A","W",if(LEFT(VLOOKUP($B489,'Round 1'!$B$2:$H$361,7,false),1)="B","L","")),if(LEFT(VLOOKUP($B489,'Round 1'!$F$2:$H$361,3,false),1)="b","W",if(LEFT(VLOOKUP($B489,'Round 1'!$F$2:$H$361,3,false),1)="a","L","")))</f>
        <v>L</v>
      </c>
      <c r="E489" s="67" t="str">
        <f>iferror(if(LEFT(VLOOKUP($B489,'Round 2'!$C$2:$J$361,8,false),1)="A","W",if(LEFT(VLOOKUP($B489,'Round 2'!$C$2:$J$361,8,false),1)="B","L","")),if(LEFT(VLOOKUP($B489,'Round 2'!$G$2:$J$361,4,false),1)="b","W",if(LEFT(VLOOKUP($B489,'Round 2'!$G$2:$J$361,4,false),1)="a","L","")))</f>
        <v>L</v>
      </c>
      <c r="F489" s="67" t="str">
        <f>iferror(if(LEFT(VLOOKUP($B489,'Round 3'!$B$2:$H$361,7,false),1)="A","W",if(LEFT(VLOOKUP($B489,'Round 3'!$B$2:$H$361,7,false),1)="B","L","")),if(LEFT(VLOOKUP($B489,'Round 3'!$F$2:$H$361,3,false),1)="b","W",if(LEFT(VLOOKUP($B489,'Round 3'!$F$2:$H$361,3,false),1)="a","L","")))</f>
        <v>L</v>
      </c>
      <c r="G489" s="67"/>
      <c r="H489" s="67"/>
      <c r="I489" s="67"/>
      <c r="J489" s="67" t="str">
        <f>iferror(iferror(if(LEFT(VLOOKUP($B489,'Round 7'!$B$2:$H$361,7,false),1)="A","W",if(LEFT(VLOOKUP($B489,'Round 7'!$B$2:$H$361,7,false),1)="B","L","")),if(LEFT(VLOOKUP($B489,'Round 7'!$F$2:$H$361,3,false),1)="b","W",if(LEFT(VLOOKUP($B489,'Round 7'!$F$2:$H$361,3,false),1)="a","L",""))),"")</f>
        <v/>
      </c>
      <c r="K489" s="68" t="str">
        <f>iferror(iferror(if(LEFT(VLOOKUP($B489,'Round 8'!$B$2:$H$361,7,false),1)="A","W",if(LEFT(VLOOKUP($B489,'Round 8'!$B$2:$H$361,7,false),1)="B","L","")),if(LEFT(VLOOKUP($B489,'Round 8'!$F$2:$H$361,3,false),1)="b","W",if(LEFT(VLOOKUP($B489,'Round 8'!$F$2:$H$361,3,false),1)="a","L",""))),"")</f>
        <v/>
      </c>
      <c r="L489" s="68" t="str">
        <f>iferror(iferror(if(LEFT(VLOOKUP($B489,'Round 9'!$B$2:$H$361,7,false),1)="A","W",if(LEFT(VLOOKUP($B489,'Round 9'!$B$2:$H$361,7,false),1)="B","L","")),if(LEFT(VLOOKUP($B489,'Round 9'!$F$2:$H$361,3,false),1)="b","W",if(LEFT(VLOOKUP($B489,'Round 9'!$F$2:$H$361,3,false),1)="a","L",""))),"")</f>
        <v/>
      </c>
      <c r="M489" s="68" t="str">
        <f>iferror(iferror(if(LEFT(VLOOKUP($B489,'Round 10'!$B$2:$H$362,7,false),1)="A","W",if(LEFT(VLOOKUP($B489,'Round 10'!$B$2:$H$362,7,false),1)="B","L","")),if(LEFT(VLOOKUP($B489,'Round 10'!$F$2:$H$362,3,false),1)="b","W",if(LEFT(VLOOKUP($B489,'Round 10'!$F$2:$H$362,3,false),1)="a","L",""))),"")</f>
        <v/>
      </c>
      <c r="N489" s="62" t="s">
        <v>1032</v>
      </c>
    </row>
    <row r="490">
      <c r="A490" s="63">
        <v>489.0</v>
      </c>
      <c r="B490" s="64" t="s">
        <v>1033</v>
      </c>
      <c r="C490" s="65" t="str">
        <f t="shared" si="1"/>
        <v>1 - 3</v>
      </c>
      <c r="D490" s="67" t="str">
        <f>iferror(if(LEFT(VLOOKUP($B490,'Round 1'!$B$2:$H$361,7,false),1)="A","W",if(LEFT(VLOOKUP($B490,'Round 1'!$B$2:$H$361,7,false),1)="B","L","")),if(LEFT(VLOOKUP($B490,'Round 1'!$F$2:$H$361,3,false),1)="b","W",if(LEFT(VLOOKUP($B490,'Round 1'!$F$2:$H$361,3,false),1)="a","L","")))</f>
        <v>W</v>
      </c>
      <c r="E490" s="67" t="str">
        <f>iferror(if(LEFT(VLOOKUP($B490,'Round 2'!$C$2:$J$361,8,false),1)="A","W",if(LEFT(VLOOKUP($B490,'Round 2'!$C$2:$J$361,8,false),1)="B","L","")),if(LEFT(VLOOKUP($B490,'Round 2'!$G$2:$J$361,4,false),1)="b","W",if(LEFT(VLOOKUP($B490,'Round 2'!$G$2:$J$361,4,false),1)="a","L","")))</f>
        <v>L</v>
      </c>
      <c r="F490" s="67" t="str">
        <f>iferror(if(LEFT(VLOOKUP($B490,'Round 3'!$B$2:$H$361,7,false),1)="A","W",if(LEFT(VLOOKUP($B490,'Round 3'!$B$2:$H$361,7,false),1)="B","L","")),if(LEFT(VLOOKUP($B490,'Round 3'!$F$2:$H$361,3,false),1)="b","W",if(LEFT(VLOOKUP($B490,'Round 3'!$F$2:$H$361,3,false),1)="a","L","")))</f>
        <v>L</v>
      </c>
      <c r="G490" s="67" t="str">
        <f>iferror(if(LEFT(VLOOKUP($B490,'Round 4'!$B$2:$H$361,7,false),1)="A","W",if(LEFT(VLOOKUP($B490,'Round 4'!$B$2:$H$361,7,false),1)="B","L","")),if(LEFT(VLOOKUP($B490,'Round 4'!$F$2:$H$361,3,false),1)="b","W",if(LEFT(VLOOKUP($B490,'Round 4'!$F$2:$H$361,3,false),1)="a","L","")))</f>
        <v>L</v>
      </c>
      <c r="H490" s="67"/>
      <c r="I490" s="67"/>
      <c r="J490" s="67" t="str">
        <f>iferror(iferror(if(LEFT(VLOOKUP($B490,'Round 7'!$B$2:$H$361,7,false),1)="A","W",if(LEFT(VLOOKUP($B490,'Round 7'!$B$2:$H$361,7,false),1)="B","L","")),if(LEFT(VLOOKUP($B490,'Round 7'!$F$2:$H$361,3,false),1)="b","W",if(LEFT(VLOOKUP($B490,'Round 7'!$F$2:$H$361,3,false),1)="a","L",""))),"")</f>
        <v/>
      </c>
      <c r="K490" s="68" t="str">
        <f>iferror(iferror(if(LEFT(VLOOKUP($B490,'Round 8'!$B$2:$H$361,7,false),1)="A","W",if(LEFT(VLOOKUP($B490,'Round 8'!$B$2:$H$361,7,false),1)="B","L","")),if(LEFT(VLOOKUP($B490,'Round 8'!$F$2:$H$361,3,false),1)="b","W",if(LEFT(VLOOKUP($B490,'Round 8'!$F$2:$H$361,3,false),1)="a","L",""))),"")</f>
        <v/>
      </c>
      <c r="L490" s="68" t="str">
        <f>iferror(iferror(if(LEFT(VLOOKUP($B490,'Round 9'!$B$2:$H$361,7,false),1)="A","W",if(LEFT(VLOOKUP($B490,'Round 9'!$B$2:$H$361,7,false),1)="B","L","")),if(LEFT(VLOOKUP($B490,'Round 9'!$F$2:$H$361,3,false),1)="b","W",if(LEFT(VLOOKUP($B490,'Round 9'!$F$2:$H$361,3,false),1)="a","L",""))),"")</f>
        <v/>
      </c>
      <c r="M490" s="68" t="str">
        <f>iferror(iferror(if(LEFT(VLOOKUP($B490,'Round 10'!$B$2:$H$362,7,false),1)="A","W",if(LEFT(VLOOKUP($B490,'Round 10'!$B$2:$H$362,7,false),1)="B","L","")),if(LEFT(VLOOKUP($B490,'Round 10'!$F$2:$H$362,3,false),1)="b","W",if(LEFT(VLOOKUP($B490,'Round 10'!$F$2:$H$362,3,false),1)="a","L",""))),"")</f>
        <v/>
      </c>
      <c r="N490" s="62" t="s">
        <v>1034</v>
      </c>
    </row>
    <row r="491">
      <c r="A491" s="63">
        <v>490.0</v>
      </c>
      <c r="B491" s="64" t="s">
        <v>1035</v>
      </c>
      <c r="C491" s="65" t="str">
        <f t="shared" si="1"/>
        <v>1 - 3</v>
      </c>
      <c r="D491" s="67" t="str">
        <f>iferror(if(LEFT(VLOOKUP($B491,'Round 1'!$B$2:$H$361,7,false),1)="A","W",if(LEFT(VLOOKUP($B491,'Round 1'!$B$2:$H$361,7,false),1)="B","L","")),if(LEFT(VLOOKUP($B491,'Round 1'!$F$2:$H$361,3,false),1)="b","W",if(LEFT(VLOOKUP($B491,'Round 1'!$F$2:$H$361,3,false),1)="a","L","")))</f>
        <v>W</v>
      </c>
      <c r="E491" s="67" t="str">
        <f>iferror(if(LEFT(VLOOKUP($B491,'Round 2'!$C$2:$J$361,8,false),1)="A","W",if(LEFT(VLOOKUP($B491,'Round 2'!$C$2:$J$361,8,false),1)="B","L","")),if(LEFT(VLOOKUP($B491,'Round 2'!$G$2:$J$361,4,false),1)="b","W",if(LEFT(VLOOKUP($B491,'Round 2'!$G$2:$J$361,4,false),1)="a","L","")))</f>
        <v>L</v>
      </c>
      <c r="F491" s="67" t="str">
        <f>iferror(if(LEFT(VLOOKUP($B491,'Round 3'!$B$2:$H$361,7,false),1)="A","W",if(LEFT(VLOOKUP($B491,'Round 3'!$B$2:$H$361,7,false),1)="B","L","")),if(LEFT(VLOOKUP($B491,'Round 3'!$F$2:$H$361,3,false),1)="b","W",if(LEFT(VLOOKUP($B491,'Round 3'!$F$2:$H$361,3,false),1)="a","L","")))</f>
        <v>L</v>
      </c>
      <c r="G491" s="67" t="str">
        <f>iferror(if(LEFT(VLOOKUP($B491,'Round 4'!$B$2:$H$361,7,false),1)="A","W",if(LEFT(VLOOKUP($B491,'Round 4'!$B$2:$H$361,7,false),1)="B","L","")),if(LEFT(VLOOKUP($B491,'Round 4'!$F$2:$H$361,3,false),1)="b","W",if(LEFT(VLOOKUP($B491,'Round 4'!$F$2:$H$361,3,false),1)="a","L","")))</f>
        <v>L</v>
      </c>
      <c r="H491" s="67"/>
      <c r="I491" s="67"/>
      <c r="J491" s="67" t="str">
        <f>iferror(iferror(if(LEFT(VLOOKUP($B491,'Round 7'!$B$2:$H$361,7,false),1)="A","W",if(LEFT(VLOOKUP($B491,'Round 7'!$B$2:$H$361,7,false),1)="B","L","")),if(LEFT(VLOOKUP($B491,'Round 7'!$F$2:$H$361,3,false),1)="b","W",if(LEFT(VLOOKUP($B491,'Round 7'!$F$2:$H$361,3,false),1)="a","L",""))),"")</f>
        <v/>
      </c>
      <c r="K491" s="68" t="str">
        <f>iferror(iferror(if(LEFT(VLOOKUP($B491,'Round 8'!$B$2:$H$361,7,false),1)="A","W",if(LEFT(VLOOKUP($B491,'Round 8'!$B$2:$H$361,7,false),1)="B","L","")),if(LEFT(VLOOKUP($B491,'Round 8'!$F$2:$H$361,3,false),1)="b","W",if(LEFT(VLOOKUP($B491,'Round 8'!$F$2:$H$361,3,false),1)="a","L",""))),"")</f>
        <v/>
      </c>
      <c r="L491" s="68" t="str">
        <f>iferror(iferror(if(LEFT(VLOOKUP($B491,'Round 9'!$B$2:$H$361,7,false),1)="A","W",if(LEFT(VLOOKUP($B491,'Round 9'!$B$2:$H$361,7,false),1)="B","L","")),if(LEFT(VLOOKUP($B491,'Round 9'!$F$2:$H$361,3,false),1)="b","W",if(LEFT(VLOOKUP($B491,'Round 9'!$F$2:$H$361,3,false),1)="a","L",""))),"")</f>
        <v/>
      </c>
      <c r="M491" s="68" t="str">
        <f>iferror(iferror(if(LEFT(VLOOKUP($B491,'Round 10'!$B$2:$H$362,7,false),1)="A","W",if(LEFT(VLOOKUP($B491,'Round 10'!$B$2:$H$362,7,false),1)="B","L","")),if(LEFT(VLOOKUP($B491,'Round 10'!$F$2:$H$362,3,false),1)="b","W",if(LEFT(VLOOKUP($B491,'Round 10'!$F$2:$H$362,3,false),1)="a","L",""))),"")</f>
        <v/>
      </c>
      <c r="N491" s="62" t="s">
        <v>1036</v>
      </c>
    </row>
    <row r="492">
      <c r="A492" s="63">
        <v>491.0</v>
      </c>
      <c r="B492" s="64" t="s">
        <v>1037</v>
      </c>
      <c r="C492" s="65" t="str">
        <f t="shared" si="1"/>
        <v>0 - 3</v>
      </c>
      <c r="D492" s="67" t="str">
        <f>iferror(if(LEFT(VLOOKUP($B492,'Round 1'!$B$2:$H$361,7,false),1)="A","W",if(LEFT(VLOOKUP($B492,'Round 1'!$B$2:$H$361,7,false),1)="B","L","")),if(LEFT(VLOOKUP($B492,'Round 1'!$F$2:$H$361,3,false),1)="b","W",if(LEFT(VLOOKUP($B492,'Round 1'!$F$2:$H$361,3,false),1)="a","L","")))</f>
        <v>L</v>
      </c>
      <c r="E492" s="67" t="str">
        <f>iferror(if(LEFT(VLOOKUP($B492,'Round 2'!$C$2:$J$361,8,false),1)="A","W",if(LEFT(VLOOKUP($B492,'Round 2'!$C$2:$J$361,8,false),1)="B","L","")),if(LEFT(VLOOKUP($B492,'Round 2'!$G$2:$J$361,4,false),1)="b","W",if(LEFT(VLOOKUP($B492,'Round 2'!$G$2:$J$361,4,false),1)="a","L","")))</f>
        <v>L</v>
      </c>
      <c r="F492" s="67" t="str">
        <f>iferror(if(LEFT(VLOOKUP($B492,'Round 3'!$B$2:$H$361,7,false),1)="A","W",if(LEFT(VLOOKUP($B492,'Round 3'!$B$2:$H$361,7,false),1)="B","L","")),if(LEFT(VLOOKUP($B492,'Round 3'!$F$2:$H$361,3,false),1)="b","W",if(LEFT(VLOOKUP($B492,'Round 3'!$F$2:$H$361,3,false),1)="a","L","")))</f>
        <v>L</v>
      </c>
      <c r="G492" s="67"/>
      <c r="H492" s="67"/>
      <c r="I492" s="67"/>
      <c r="J492" s="67" t="str">
        <f>iferror(iferror(if(LEFT(VLOOKUP($B492,'Round 7'!$B$2:$H$361,7,false),1)="A","W",if(LEFT(VLOOKUP($B492,'Round 7'!$B$2:$H$361,7,false),1)="B","L","")),if(LEFT(VLOOKUP($B492,'Round 7'!$F$2:$H$361,3,false),1)="b","W",if(LEFT(VLOOKUP($B492,'Round 7'!$F$2:$H$361,3,false),1)="a","L",""))),"")</f>
        <v/>
      </c>
      <c r="K492" s="68" t="str">
        <f>iferror(iferror(if(LEFT(VLOOKUP($B492,'Round 8'!$B$2:$H$361,7,false),1)="A","W",if(LEFT(VLOOKUP($B492,'Round 8'!$B$2:$H$361,7,false),1)="B","L","")),if(LEFT(VLOOKUP($B492,'Round 8'!$F$2:$H$361,3,false),1)="b","W",if(LEFT(VLOOKUP($B492,'Round 8'!$F$2:$H$361,3,false),1)="a","L",""))),"")</f>
        <v/>
      </c>
      <c r="L492" s="68" t="str">
        <f>iferror(iferror(if(LEFT(VLOOKUP($B492,'Round 9'!$B$2:$H$361,7,false),1)="A","W",if(LEFT(VLOOKUP($B492,'Round 9'!$B$2:$H$361,7,false),1)="B","L","")),if(LEFT(VLOOKUP($B492,'Round 9'!$F$2:$H$361,3,false),1)="b","W",if(LEFT(VLOOKUP($B492,'Round 9'!$F$2:$H$361,3,false),1)="a","L",""))),"")</f>
        <v/>
      </c>
      <c r="M492" s="68" t="str">
        <f>iferror(iferror(if(LEFT(VLOOKUP($B492,'Round 10'!$B$2:$H$362,7,false),1)="A","W",if(LEFT(VLOOKUP($B492,'Round 10'!$B$2:$H$362,7,false),1)="B","L","")),if(LEFT(VLOOKUP($B492,'Round 10'!$F$2:$H$362,3,false),1)="b","W",if(LEFT(VLOOKUP($B492,'Round 10'!$F$2:$H$362,3,false),1)="a","L",""))),"")</f>
        <v/>
      </c>
      <c r="N492" s="72" t="s">
        <v>144</v>
      </c>
    </row>
    <row r="493">
      <c r="A493" s="63">
        <v>492.0</v>
      </c>
      <c r="B493" s="64" t="s">
        <v>1038</v>
      </c>
      <c r="C493" s="65" t="str">
        <f t="shared" si="1"/>
        <v>2 - 3</v>
      </c>
      <c r="D493" s="67" t="str">
        <f>iferror(if(LEFT(VLOOKUP($B493,'Round 1'!$B$2:$H$361,7,false),1)="A","W",if(LEFT(VLOOKUP($B493,'Round 1'!$B$2:$H$361,7,false),1)="B","L","")),if(LEFT(VLOOKUP($B493,'Round 1'!$F$2:$H$361,3,false),1)="b","W",if(LEFT(VLOOKUP($B493,'Round 1'!$F$2:$H$361,3,false),1)="a","L","")))</f>
        <v>W</v>
      </c>
      <c r="E493" s="67" t="str">
        <f>iferror(if(LEFT(VLOOKUP($B493,'Round 2'!$C$2:$J$361,8,false),1)="A","W",if(LEFT(VLOOKUP($B493,'Round 2'!$C$2:$J$361,8,false),1)="B","L","")),if(LEFT(VLOOKUP($B493,'Round 2'!$G$2:$J$361,4,false),1)="b","W",if(LEFT(VLOOKUP($B493,'Round 2'!$G$2:$J$361,4,false),1)="a","L","")))</f>
        <v>L</v>
      </c>
      <c r="F493" s="67" t="str">
        <f>iferror(if(LEFT(VLOOKUP($B493,'Round 3'!$B$2:$H$361,7,false),1)="A","W",if(LEFT(VLOOKUP($B493,'Round 3'!$B$2:$H$361,7,false),1)="B","L","")),if(LEFT(VLOOKUP($B493,'Round 3'!$F$2:$H$361,3,false),1)="b","W",if(LEFT(VLOOKUP($B493,'Round 3'!$F$2:$H$361,3,false),1)="a","L","")))</f>
        <v>W</v>
      </c>
      <c r="G493" s="67" t="str">
        <f>iferror(if(LEFT(VLOOKUP($B493,'Round 4'!$B$2:$H$361,7,false),1)="A","W",if(LEFT(VLOOKUP($B493,'Round 4'!$B$2:$H$361,7,false),1)="B","L","")),if(LEFT(VLOOKUP($B493,'Round 4'!$F$2:$H$361,3,false),1)="b","W",if(LEFT(VLOOKUP($B493,'Round 4'!$F$2:$H$361,3,false),1)="a","L","")))</f>
        <v>L</v>
      </c>
      <c r="H493" s="67" t="str">
        <f>iferror(if(LEFT(VLOOKUP($B493,'Round 5'!$B$2:$H$361,7,false),1)="A","W",if(LEFT(VLOOKUP($B493,'Round 5'!$B$2:$H$361,7,false),1)="B","L","")),if(LEFT(VLOOKUP($B493,'Round 5'!$F$2:$H$361,3,false),1)="b","W",if(LEFT(VLOOKUP($B493,'Round 5'!$F$2:$H$361,3,false),1)="a","L","")))</f>
        <v>L</v>
      </c>
      <c r="I493" s="67"/>
      <c r="J493" s="67" t="str">
        <f>iferror(iferror(if(LEFT(VLOOKUP($B493,'Round 7'!$B$2:$H$361,7,false),1)="A","W",if(LEFT(VLOOKUP($B493,'Round 7'!$B$2:$H$361,7,false),1)="B","L","")),if(LEFT(VLOOKUP($B493,'Round 7'!$F$2:$H$361,3,false),1)="b","W",if(LEFT(VLOOKUP($B493,'Round 7'!$F$2:$H$361,3,false),1)="a","L",""))),"")</f>
        <v/>
      </c>
      <c r="K493" s="68" t="str">
        <f>iferror(iferror(if(LEFT(VLOOKUP($B493,'Round 8'!$B$2:$H$361,7,false),1)="A","W",if(LEFT(VLOOKUP($B493,'Round 8'!$B$2:$H$361,7,false),1)="B","L","")),if(LEFT(VLOOKUP($B493,'Round 8'!$F$2:$H$361,3,false),1)="b","W",if(LEFT(VLOOKUP($B493,'Round 8'!$F$2:$H$361,3,false),1)="a","L",""))),"")</f>
        <v/>
      </c>
      <c r="L493" s="68" t="str">
        <f>iferror(iferror(if(LEFT(VLOOKUP($B493,'Round 9'!$B$2:$H$361,7,false),1)="A","W",if(LEFT(VLOOKUP($B493,'Round 9'!$B$2:$H$361,7,false),1)="B","L","")),if(LEFT(VLOOKUP($B493,'Round 9'!$F$2:$H$361,3,false),1)="b","W",if(LEFT(VLOOKUP($B493,'Round 9'!$F$2:$H$361,3,false),1)="a","L",""))),"")</f>
        <v/>
      </c>
      <c r="M493" s="68" t="str">
        <f>iferror(iferror(if(LEFT(VLOOKUP($B493,'Round 10'!$B$2:$H$362,7,false),1)="A","W",if(LEFT(VLOOKUP($B493,'Round 10'!$B$2:$H$362,7,false),1)="B","L","")),if(LEFT(VLOOKUP($B493,'Round 10'!$F$2:$H$362,3,false),1)="b","W",if(LEFT(VLOOKUP($B493,'Round 10'!$F$2:$H$362,3,false),1)="a","L",""))),"")</f>
        <v/>
      </c>
      <c r="N493" s="62" t="s">
        <v>1039</v>
      </c>
    </row>
    <row r="494">
      <c r="A494" s="63">
        <v>493.0</v>
      </c>
      <c r="B494" s="64" t="s">
        <v>1040</v>
      </c>
      <c r="C494" s="65" t="str">
        <f t="shared" si="1"/>
        <v>2 - 3</v>
      </c>
      <c r="D494" s="67" t="str">
        <f>iferror(if(LEFT(VLOOKUP($B494,'Round 1'!$B$2:$H$361,7,false),1)="A","W",if(LEFT(VLOOKUP($B494,'Round 1'!$B$2:$H$361,7,false),1)="B","L","")),if(LEFT(VLOOKUP($B494,'Round 1'!$F$2:$H$361,3,false),1)="b","W",if(LEFT(VLOOKUP($B494,'Round 1'!$F$2:$H$361,3,false),1)="a","L","")))</f>
        <v>L</v>
      </c>
      <c r="E494" s="67" t="str">
        <f>iferror(if(LEFT(VLOOKUP($B494,'Round 2'!$C$2:$J$361,8,false),1)="A","W",if(LEFT(VLOOKUP($B494,'Round 2'!$C$2:$J$361,8,false),1)="B","L","")),if(LEFT(VLOOKUP($B494,'Round 2'!$G$2:$J$361,4,false),1)="b","W",if(LEFT(VLOOKUP($B494,'Round 2'!$G$2:$J$361,4,false),1)="a","L","")))</f>
        <v>L</v>
      </c>
      <c r="F494" s="67" t="str">
        <f>iferror(if(LEFT(VLOOKUP($B494,'Round 3'!$B$2:$H$361,7,false),1)="A","W",if(LEFT(VLOOKUP($B494,'Round 3'!$B$2:$H$361,7,false),1)="B","L","")),if(LEFT(VLOOKUP($B494,'Round 3'!$F$2:$H$361,3,false),1)="b","W",if(LEFT(VLOOKUP($B494,'Round 3'!$F$2:$H$361,3,false),1)="a","L","")))</f>
        <v>W</v>
      </c>
      <c r="G494" s="67" t="str">
        <f>iferror(if(LEFT(VLOOKUP($B494,'Round 4'!$B$2:$H$361,7,false),1)="A","W",if(LEFT(VLOOKUP($B494,'Round 4'!$B$2:$H$361,7,false),1)="B","L","")),if(LEFT(VLOOKUP($B494,'Round 4'!$F$2:$H$361,3,false),1)="b","W",if(LEFT(VLOOKUP($B494,'Round 4'!$F$2:$H$361,3,false),1)="a","L","")))</f>
        <v>W</v>
      </c>
      <c r="H494" s="67" t="str">
        <f>iferror(if(LEFT(VLOOKUP($B494,'Round 5'!$B$2:$H$361,7,false),1)="A","W",if(LEFT(VLOOKUP($B494,'Round 5'!$B$2:$H$361,7,false),1)="B","L","")),if(LEFT(VLOOKUP($B494,'Round 5'!$F$2:$H$361,3,false),1)="b","W",if(LEFT(VLOOKUP($B494,'Round 5'!$F$2:$H$361,3,false),1)="a","L","")))</f>
        <v>L</v>
      </c>
      <c r="I494" s="67"/>
      <c r="J494" s="67" t="str">
        <f>iferror(iferror(if(LEFT(VLOOKUP($B494,'Round 7'!$B$2:$H$361,7,false),1)="A","W",if(LEFT(VLOOKUP($B494,'Round 7'!$B$2:$H$361,7,false),1)="B","L","")),if(LEFT(VLOOKUP($B494,'Round 7'!$F$2:$H$361,3,false),1)="b","W",if(LEFT(VLOOKUP($B494,'Round 7'!$F$2:$H$361,3,false),1)="a","L",""))),"")</f>
        <v/>
      </c>
      <c r="K494" s="68" t="str">
        <f>iferror(iferror(if(LEFT(VLOOKUP($B494,'Round 8'!$B$2:$H$361,7,false),1)="A","W",if(LEFT(VLOOKUP($B494,'Round 8'!$B$2:$H$361,7,false),1)="B","L","")),if(LEFT(VLOOKUP($B494,'Round 8'!$F$2:$H$361,3,false),1)="b","W",if(LEFT(VLOOKUP($B494,'Round 8'!$F$2:$H$361,3,false),1)="a","L",""))),"")</f>
        <v/>
      </c>
      <c r="L494" s="68" t="str">
        <f>iferror(iferror(if(LEFT(VLOOKUP($B494,'Round 9'!$B$2:$H$361,7,false),1)="A","W",if(LEFT(VLOOKUP($B494,'Round 9'!$B$2:$H$361,7,false),1)="B","L","")),if(LEFT(VLOOKUP($B494,'Round 9'!$F$2:$H$361,3,false),1)="b","W",if(LEFT(VLOOKUP($B494,'Round 9'!$F$2:$H$361,3,false),1)="a","L",""))),"")</f>
        <v/>
      </c>
      <c r="M494" s="68" t="str">
        <f>iferror(iferror(if(LEFT(VLOOKUP($B494,'Round 10'!$B$2:$H$362,7,false),1)="A","W",if(LEFT(VLOOKUP($B494,'Round 10'!$B$2:$H$362,7,false),1)="B","L","")),if(LEFT(VLOOKUP($B494,'Round 10'!$F$2:$H$362,3,false),1)="b","W",if(LEFT(VLOOKUP($B494,'Round 10'!$F$2:$H$362,3,false),1)="a","L",""))),"")</f>
        <v/>
      </c>
      <c r="N494" s="62" t="s">
        <v>1041</v>
      </c>
    </row>
    <row r="495">
      <c r="A495" s="63">
        <v>494.0</v>
      </c>
      <c r="B495" s="64" t="s">
        <v>1042</v>
      </c>
      <c r="C495" s="65" t="str">
        <f t="shared" si="1"/>
        <v>1 - 3</v>
      </c>
      <c r="D495" s="67" t="str">
        <f>iferror(if(LEFT(VLOOKUP($B495,'Round 1'!$B$2:$H$361,7,false),1)="A","W",if(LEFT(VLOOKUP($B495,'Round 1'!$B$2:$H$361,7,false),1)="B","L","")),if(LEFT(VLOOKUP($B495,'Round 1'!$F$2:$H$361,3,false),1)="b","W",if(LEFT(VLOOKUP($B495,'Round 1'!$F$2:$H$361,3,false),1)="a","L","")))</f>
        <v>W</v>
      </c>
      <c r="E495" s="67" t="str">
        <f>iferror(if(LEFT(VLOOKUP($B495,'Round 2'!$C$2:$J$361,8,false),1)="A","W",if(LEFT(VLOOKUP($B495,'Round 2'!$C$2:$J$361,8,false),1)="B","L","")),if(LEFT(VLOOKUP($B495,'Round 2'!$G$2:$J$361,4,false),1)="b","W",if(LEFT(VLOOKUP($B495,'Round 2'!$G$2:$J$361,4,false),1)="a","L","")))</f>
        <v>L</v>
      </c>
      <c r="F495" s="67" t="str">
        <f>iferror(if(LEFT(VLOOKUP($B495,'Round 3'!$B$2:$H$361,7,false),1)="A","W",if(LEFT(VLOOKUP($B495,'Round 3'!$B$2:$H$361,7,false),1)="B","L","")),if(LEFT(VLOOKUP($B495,'Round 3'!$F$2:$H$361,3,false),1)="b","W",if(LEFT(VLOOKUP($B495,'Round 3'!$F$2:$H$361,3,false),1)="a","L","")))</f>
        <v>L</v>
      </c>
      <c r="G495" s="67" t="str">
        <f>iferror(if(LEFT(VLOOKUP($B495,'Round 4'!$B$2:$H$361,7,false),1)="A","W",if(LEFT(VLOOKUP($B495,'Round 4'!$B$2:$H$361,7,false),1)="B","L","")),if(LEFT(VLOOKUP($B495,'Round 4'!$F$2:$H$361,3,false),1)="b","W",if(LEFT(VLOOKUP($B495,'Round 4'!$F$2:$H$361,3,false),1)="a","L","")))</f>
        <v>L</v>
      </c>
      <c r="H495" s="67"/>
      <c r="I495" s="67"/>
      <c r="J495" s="67" t="str">
        <f>iferror(iferror(if(LEFT(VLOOKUP($B495,'Round 7'!$B$2:$H$361,7,false),1)="A","W",if(LEFT(VLOOKUP($B495,'Round 7'!$B$2:$H$361,7,false),1)="B","L","")),if(LEFT(VLOOKUP($B495,'Round 7'!$F$2:$H$361,3,false),1)="b","W",if(LEFT(VLOOKUP($B495,'Round 7'!$F$2:$H$361,3,false),1)="a","L",""))),"")</f>
        <v/>
      </c>
      <c r="K495" s="68" t="str">
        <f>iferror(iferror(if(LEFT(VLOOKUP($B495,'Round 8'!$B$2:$H$361,7,false),1)="A","W",if(LEFT(VLOOKUP($B495,'Round 8'!$B$2:$H$361,7,false),1)="B","L","")),if(LEFT(VLOOKUP($B495,'Round 8'!$F$2:$H$361,3,false),1)="b","W",if(LEFT(VLOOKUP($B495,'Round 8'!$F$2:$H$361,3,false),1)="a","L",""))),"")</f>
        <v/>
      </c>
      <c r="L495" s="68" t="str">
        <f>iferror(iferror(if(LEFT(VLOOKUP($B495,'Round 9'!$B$2:$H$361,7,false),1)="A","W",if(LEFT(VLOOKUP($B495,'Round 9'!$B$2:$H$361,7,false),1)="B","L","")),if(LEFT(VLOOKUP($B495,'Round 9'!$F$2:$H$361,3,false),1)="b","W",if(LEFT(VLOOKUP($B495,'Round 9'!$F$2:$H$361,3,false),1)="a","L",""))),"")</f>
        <v/>
      </c>
      <c r="M495" s="68" t="str">
        <f>iferror(iferror(if(LEFT(VLOOKUP($B495,'Round 10'!$B$2:$H$362,7,false),1)="A","W",if(LEFT(VLOOKUP($B495,'Round 10'!$B$2:$H$362,7,false),1)="B","L","")),if(LEFT(VLOOKUP($B495,'Round 10'!$F$2:$H$362,3,false),1)="b","W",if(LEFT(VLOOKUP($B495,'Round 10'!$F$2:$H$362,3,false),1)="a","L",""))),"")</f>
        <v/>
      </c>
      <c r="N495" s="62" t="s">
        <v>1043</v>
      </c>
    </row>
    <row r="496">
      <c r="A496" s="63">
        <v>495.0</v>
      </c>
      <c r="B496" s="64" t="s">
        <v>1044</v>
      </c>
      <c r="C496" s="65" t="str">
        <f t="shared" si="1"/>
        <v>2 - 3</v>
      </c>
      <c r="D496" s="67" t="str">
        <f>iferror(if(LEFT(VLOOKUP($B496,'Round 1'!$B$2:$H$361,7,false),1)="A","W",if(LEFT(VLOOKUP($B496,'Round 1'!$B$2:$H$361,7,false),1)="B","L","")),if(LEFT(VLOOKUP($B496,'Round 1'!$F$2:$H$361,3,false),1)="b","W",if(LEFT(VLOOKUP($B496,'Round 1'!$F$2:$H$361,3,false),1)="a","L","")))</f>
        <v>W</v>
      </c>
      <c r="E496" s="67" t="str">
        <f>iferror(if(LEFT(VLOOKUP($B496,'Round 2'!$C$2:$J$361,8,false),1)="A","W",if(LEFT(VLOOKUP($B496,'Round 2'!$C$2:$J$361,8,false),1)="B","L","")),if(LEFT(VLOOKUP($B496,'Round 2'!$G$2:$J$361,4,false),1)="b","W",if(LEFT(VLOOKUP($B496,'Round 2'!$G$2:$J$361,4,false),1)="a","L","")))</f>
        <v>L</v>
      </c>
      <c r="F496" s="67" t="str">
        <f>iferror(if(LEFT(VLOOKUP($B496,'Round 3'!$B$2:$H$361,7,false),1)="A","W",if(LEFT(VLOOKUP($B496,'Round 3'!$B$2:$H$361,7,false),1)="B","L","")),if(LEFT(VLOOKUP($B496,'Round 3'!$F$2:$H$361,3,false),1)="b","W",if(LEFT(VLOOKUP($B496,'Round 3'!$F$2:$H$361,3,false),1)="a","L","")))</f>
        <v>W</v>
      </c>
      <c r="G496" s="67" t="str">
        <f>iferror(if(LEFT(VLOOKUP($B496,'Round 4'!$B$2:$H$361,7,false),1)="A","W",if(LEFT(VLOOKUP($B496,'Round 4'!$B$2:$H$361,7,false),1)="B","L","")),if(LEFT(VLOOKUP($B496,'Round 4'!$F$2:$H$361,3,false),1)="b","W",if(LEFT(VLOOKUP($B496,'Round 4'!$F$2:$H$361,3,false),1)="a","L","")))</f>
        <v>L</v>
      </c>
      <c r="H496" s="67" t="str">
        <f>iferror(if(LEFT(VLOOKUP($B496,'Round 5'!$B$2:$H$361,7,false),1)="A","W",if(LEFT(VLOOKUP($B496,'Round 5'!$B$2:$H$361,7,false),1)="B","L","")),if(LEFT(VLOOKUP($B496,'Round 5'!$F$2:$H$361,3,false),1)="b","W",if(LEFT(VLOOKUP($B496,'Round 5'!$F$2:$H$361,3,false),1)="a","L","")))</f>
        <v>L</v>
      </c>
      <c r="I496" s="67"/>
      <c r="J496" s="67" t="str">
        <f>iferror(iferror(if(LEFT(VLOOKUP($B496,'Round 7'!$B$2:$H$361,7,false),1)="A","W",if(LEFT(VLOOKUP($B496,'Round 7'!$B$2:$H$361,7,false),1)="B","L","")),if(LEFT(VLOOKUP($B496,'Round 7'!$F$2:$H$361,3,false),1)="b","W",if(LEFT(VLOOKUP($B496,'Round 7'!$F$2:$H$361,3,false),1)="a","L",""))),"")</f>
        <v/>
      </c>
      <c r="K496" s="68" t="str">
        <f>iferror(iferror(if(LEFT(VLOOKUP($B496,'Round 8'!$B$2:$H$361,7,false),1)="A","W",if(LEFT(VLOOKUP($B496,'Round 8'!$B$2:$H$361,7,false),1)="B","L","")),if(LEFT(VLOOKUP($B496,'Round 8'!$F$2:$H$361,3,false),1)="b","W",if(LEFT(VLOOKUP($B496,'Round 8'!$F$2:$H$361,3,false),1)="a","L",""))),"")</f>
        <v/>
      </c>
      <c r="L496" s="68" t="str">
        <f>iferror(iferror(if(LEFT(VLOOKUP($B496,'Round 9'!$B$2:$H$361,7,false),1)="A","W",if(LEFT(VLOOKUP($B496,'Round 9'!$B$2:$H$361,7,false),1)="B","L","")),if(LEFT(VLOOKUP($B496,'Round 9'!$F$2:$H$361,3,false),1)="b","W",if(LEFT(VLOOKUP($B496,'Round 9'!$F$2:$H$361,3,false),1)="a","L",""))),"")</f>
        <v/>
      </c>
      <c r="M496" s="68" t="str">
        <f>iferror(iferror(if(LEFT(VLOOKUP($B496,'Round 10'!$B$2:$H$362,7,false),1)="A","W",if(LEFT(VLOOKUP($B496,'Round 10'!$B$2:$H$362,7,false),1)="B","L","")),if(LEFT(VLOOKUP($B496,'Round 10'!$F$2:$H$362,3,false),1)="b","W",if(LEFT(VLOOKUP($B496,'Round 10'!$F$2:$H$362,3,false),1)="a","L",""))),"")</f>
        <v/>
      </c>
      <c r="N496" s="62" t="s">
        <v>1045</v>
      </c>
    </row>
    <row r="497">
      <c r="A497" s="63">
        <v>496.0</v>
      </c>
      <c r="B497" s="64" t="s">
        <v>1046</v>
      </c>
      <c r="C497" s="65" t="str">
        <f t="shared" si="1"/>
        <v>0 - 3</v>
      </c>
      <c r="D497" s="67" t="str">
        <f>iferror(if(LEFT(VLOOKUP($B497,'Round 1'!$B$2:$H$361,7,false),1)="A","W",if(LEFT(VLOOKUP($B497,'Round 1'!$B$2:$H$361,7,false),1)="B","L","")),if(LEFT(VLOOKUP($B497,'Round 1'!$F$2:$H$361,3,false),1)="b","W",if(LEFT(VLOOKUP($B497,'Round 1'!$F$2:$H$361,3,false),1)="a","L","")))</f>
        <v>L</v>
      </c>
      <c r="E497" s="67" t="str">
        <f>iferror(if(LEFT(VLOOKUP($B497,'Round 2'!$C$2:$J$361,8,false),1)="A","W",if(LEFT(VLOOKUP($B497,'Round 2'!$C$2:$J$361,8,false),1)="B","L","")),if(LEFT(VLOOKUP($B497,'Round 2'!$G$2:$J$361,4,false),1)="b","W",if(LEFT(VLOOKUP($B497,'Round 2'!$G$2:$J$361,4,false),1)="a","L","")))</f>
        <v>L</v>
      </c>
      <c r="F497" s="67" t="str">
        <f>iferror(if(LEFT(VLOOKUP($B497,'Round 3'!$B$2:$H$361,7,false),1)="A","W",if(LEFT(VLOOKUP($B497,'Round 3'!$B$2:$H$361,7,false),1)="B","L","")),if(LEFT(VLOOKUP($B497,'Round 3'!$F$2:$H$361,3,false),1)="b","W",if(LEFT(VLOOKUP($B497,'Round 3'!$F$2:$H$361,3,false),1)="a","L","")))</f>
        <v>L</v>
      </c>
      <c r="G497" s="67"/>
      <c r="H497" s="67"/>
      <c r="I497" s="67"/>
      <c r="J497" s="67" t="str">
        <f>iferror(iferror(if(LEFT(VLOOKUP($B497,'Round 7'!$B$2:$H$361,7,false),1)="A","W",if(LEFT(VLOOKUP($B497,'Round 7'!$B$2:$H$361,7,false),1)="B","L","")),if(LEFT(VLOOKUP($B497,'Round 7'!$F$2:$H$361,3,false),1)="b","W",if(LEFT(VLOOKUP($B497,'Round 7'!$F$2:$H$361,3,false),1)="a","L",""))),"")</f>
        <v/>
      </c>
      <c r="K497" s="68" t="str">
        <f>iferror(iferror(if(LEFT(VLOOKUP($B497,'Round 8'!$B$2:$H$361,7,false),1)="A","W",if(LEFT(VLOOKUP($B497,'Round 8'!$B$2:$H$361,7,false),1)="B","L","")),if(LEFT(VLOOKUP($B497,'Round 8'!$F$2:$H$361,3,false),1)="b","W",if(LEFT(VLOOKUP($B497,'Round 8'!$F$2:$H$361,3,false),1)="a","L",""))),"")</f>
        <v/>
      </c>
      <c r="L497" s="68" t="str">
        <f>iferror(iferror(if(LEFT(VLOOKUP($B497,'Round 9'!$B$2:$H$361,7,false),1)="A","W",if(LEFT(VLOOKUP($B497,'Round 9'!$B$2:$H$361,7,false),1)="B","L","")),if(LEFT(VLOOKUP($B497,'Round 9'!$F$2:$H$361,3,false),1)="b","W",if(LEFT(VLOOKUP($B497,'Round 9'!$F$2:$H$361,3,false),1)="a","L",""))),"")</f>
        <v/>
      </c>
      <c r="M497" s="68" t="str">
        <f>iferror(iferror(if(LEFT(VLOOKUP($B497,'Round 10'!$B$2:$H$362,7,false),1)="A","W",if(LEFT(VLOOKUP($B497,'Round 10'!$B$2:$H$362,7,false),1)="B","L","")),if(LEFT(VLOOKUP($B497,'Round 10'!$F$2:$H$362,3,false),1)="b","W",if(LEFT(VLOOKUP($B497,'Round 10'!$F$2:$H$362,3,false),1)="a","L",""))),"")</f>
        <v/>
      </c>
      <c r="N497" s="62" t="s">
        <v>1047</v>
      </c>
    </row>
    <row r="498">
      <c r="A498" s="63">
        <v>497.0</v>
      </c>
      <c r="B498" s="64" t="s">
        <v>1048</v>
      </c>
      <c r="C498" s="65" t="str">
        <f t="shared" si="1"/>
        <v>2 - 3</v>
      </c>
      <c r="D498" s="67" t="str">
        <f>iferror(if(LEFT(VLOOKUP($B498,'Round 1'!$B$2:$H$361,7,false),1)="A","W",if(LEFT(VLOOKUP($B498,'Round 1'!$B$2:$H$361,7,false),1)="B","L","")),if(LEFT(VLOOKUP($B498,'Round 1'!$F$2:$H$361,3,false),1)="b","W",if(LEFT(VLOOKUP($B498,'Round 1'!$F$2:$H$361,3,false),1)="a","L","")))</f>
        <v>L</v>
      </c>
      <c r="E498" s="67" t="str">
        <f>iferror(if(LEFT(VLOOKUP($B498,'Round 2'!$C$2:$J$361,8,false),1)="A","W",if(LEFT(VLOOKUP($B498,'Round 2'!$C$2:$J$361,8,false),1)="B","L","")),if(LEFT(VLOOKUP($B498,'Round 2'!$G$2:$J$361,4,false),1)="b","W",if(LEFT(VLOOKUP($B498,'Round 2'!$G$2:$J$361,4,false),1)="a","L","")))</f>
        <v>L</v>
      </c>
      <c r="F498" s="67" t="str">
        <f>iferror(if(LEFT(VLOOKUP($B498,'Round 3'!$B$2:$H$361,7,false),1)="A","W",if(LEFT(VLOOKUP($B498,'Round 3'!$B$2:$H$361,7,false),1)="B","L","")),if(LEFT(VLOOKUP($B498,'Round 3'!$F$2:$H$361,3,false),1)="b","W",if(LEFT(VLOOKUP($B498,'Round 3'!$F$2:$H$361,3,false),1)="a","L","")))</f>
        <v>W</v>
      </c>
      <c r="G498" s="67" t="str">
        <f>iferror(if(LEFT(VLOOKUP($B498,'Round 4'!$B$2:$H$361,7,false),1)="A","W",if(LEFT(VLOOKUP($B498,'Round 4'!$B$2:$H$361,7,false),1)="B","L","")),if(LEFT(VLOOKUP($B498,'Round 4'!$F$2:$H$361,3,false),1)="b","W",if(LEFT(VLOOKUP($B498,'Round 4'!$F$2:$H$361,3,false),1)="a","L","")))</f>
        <v>W</v>
      </c>
      <c r="H498" s="67" t="str">
        <f>iferror(if(LEFT(VLOOKUP($B498,'Round 5'!$B$2:$H$361,7,false),1)="A","W",if(LEFT(VLOOKUP($B498,'Round 5'!$B$2:$H$361,7,false),1)="B","L","")),if(LEFT(VLOOKUP($B498,'Round 5'!$F$2:$H$361,3,false),1)="b","W",if(LEFT(VLOOKUP($B498,'Round 5'!$F$2:$H$361,3,false),1)="a","L","")))</f>
        <v>L</v>
      </c>
      <c r="I498" s="67"/>
      <c r="J498" s="67" t="str">
        <f>iferror(iferror(if(LEFT(VLOOKUP($B498,'Round 7'!$B$2:$H$361,7,false),1)="A","W",if(LEFT(VLOOKUP($B498,'Round 7'!$B$2:$H$361,7,false),1)="B","L","")),if(LEFT(VLOOKUP($B498,'Round 7'!$F$2:$H$361,3,false),1)="b","W",if(LEFT(VLOOKUP($B498,'Round 7'!$F$2:$H$361,3,false),1)="a","L",""))),"")</f>
        <v/>
      </c>
      <c r="K498" s="68" t="str">
        <f>iferror(iferror(if(LEFT(VLOOKUP($B498,'Round 8'!$B$2:$H$361,7,false),1)="A","W",if(LEFT(VLOOKUP($B498,'Round 8'!$B$2:$H$361,7,false),1)="B","L","")),if(LEFT(VLOOKUP($B498,'Round 8'!$F$2:$H$361,3,false),1)="b","W",if(LEFT(VLOOKUP($B498,'Round 8'!$F$2:$H$361,3,false),1)="a","L",""))),"")</f>
        <v/>
      </c>
      <c r="L498" s="68" t="str">
        <f>iferror(iferror(if(LEFT(VLOOKUP($B498,'Round 9'!$B$2:$H$361,7,false),1)="A","W",if(LEFT(VLOOKUP($B498,'Round 9'!$B$2:$H$361,7,false),1)="B","L","")),if(LEFT(VLOOKUP($B498,'Round 9'!$F$2:$H$361,3,false),1)="b","W",if(LEFT(VLOOKUP($B498,'Round 9'!$F$2:$H$361,3,false),1)="a","L",""))),"")</f>
        <v/>
      </c>
      <c r="M498" s="68" t="str">
        <f>iferror(iferror(if(LEFT(VLOOKUP($B498,'Round 10'!$B$2:$H$362,7,false),1)="A","W",if(LEFT(VLOOKUP($B498,'Round 10'!$B$2:$H$362,7,false),1)="B","L","")),if(LEFT(VLOOKUP($B498,'Round 10'!$F$2:$H$362,3,false),1)="b","W",if(LEFT(VLOOKUP($B498,'Round 10'!$F$2:$H$362,3,false),1)="a","L",""))),"")</f>
        <v/>
      </c>
      <c r="N498" s="62" t="s">
        <v>1049</v>
      </c>
    </row>
    <row r="499">
      <c r="A499" s="63">
        <v>498.0</v>
      </c>
      <c r="B499" s="64" t="s">
        <v>1050</v>
      </c>
      <c r="C499" s="65" t="str">
        <f t="shared" si="1"/>
        <v>3 - 3</v>
      </c>
      <c r="D499" s="67" t="str">
        <f>iferror(if(LEFT(VLOOKUP($B499,'Round 1'!$B$2:$H$361,7,false),1)="A","W",if(LEFT(VLOOKUP($B499,'Round 1'!$B$2:$H$361,7,false),1)="B","L","")),if(LEFT(VLOOKUP($B499,'Round 1'!$F$2:$H$361,3,false),1)="b","W",if(LEFT(VLOOKUP($B499,'Round 1'!$F$2:$H$361,3,false),1)="a","L","")))</f>
        <v>W</v>
      </c>
      <c r="E499" s="67" t="str">
        <f>iferror(if(LEFT(VLOOKUP($B499,'Round 2'!$C$2:$J$361,8,false),1)="A","W",if(LEFT(VLOOKUP($B499,'Round 2'!$C$2:$J$361,8,false),1)="B","L","")),if(LEFT(VLOOKUP($B499,'Round 2'!$G$2:$J$361,4,false),1)="b","W",if(LEFT(VLOOKUP($B499,'Round 2'!$G$2:$J$361,4,false),1)="a","L","")))</f>
        <v>W</v>
      </c>
      <c r="F499" s="67" t="str">
        <f>iferror(if(LEFT(VLOOKUP($B499,'Round 3'!$B$2:$H$361,7,false),1)="A","W",if(LEFT(VLOOKUP($B499,'Round 3'!$B$2:$H$361,7,false),1)="B","L","")),if(LEFT(VLOOKUP($B499,'Round 3'!$F$2:$H$361,3,false),1)="b","W",if(LEFT(VLOOKUP($B499,'Round 3'!$F$2:$H$361,3,false),1)="a","L","")))</f>
        <v>L</v>
      </c>
      <c r="G499" s="67" t="str">
        <f>iferror(if(LEFT(VLOOKUP($B499,'Round 4'!$B$2:$H$361,7,false),1)="A","W",if(LEFT(VLOOKUP($B499,'Round 4'!$B$2:$H$361,7,false),1)="B","L","")),if(LEFT(VLOOKUP($B499,'Round 4'!$F$2:$H$361,3,false),1)="b","W",if(LEFT(VLOOKUP($B499,'Round 4'!$F$2:$H$361,3,false),1)="a","L","")))</f>
        <v>L</v>
      </c>
      <c r="H499" s="67" t="str">
        <f>iferror(if(LEFT(VLOOKUP($B499,'Round 5'!$B$2:$H$361,7,false),1)="A","W",if(LEFT(VLOOKUP($B499,'Round 5'!$B$2:$H$361,7,false),1)="B","L","")),if(LEFT(VLOOKUP($B499,'Round 5'!$F$2:$H$361,3,false),1)="b","W",if(LEFT(VLOOKUP($B499,'Round 5'!$F$2:$H$361,3,false),1)="a","L","")))</f>
        <v>W</v>
      </c>
      <c r="I499" s="67" t="str">
        <f>iferror(if(LEFT(VLOOKUP($B499,'Round 6'!$B$2:$H$361,7,false),1)="A","W",if(LEFT(VLOOKUP($B499,'Round 6'!$B$2:$H$361,7,false),1)="B","L","")),if(LEFT(VLOOKUP($B499,'Round 6'!$F$2:$H$361,3,false),1)="b","W",if(LEFT(VLOOKUP($B499,'Round 6'!$F$2:$H$361,3,false),1)="a","L","")))</f>
        <v>L</v>
      </c>
      <c r="J499" s="67" t="str">
        <f>iferror(iferror(if(LEFT(VLOOKUP($B499,'Round 7'!$B$2:$H$361,7,false),1)="A","W",if(LEFT(VLOOKUP($B499,'Round 7'!$B$2:$H$361,7,false),1)="B","L","")),if(LEFT(VLOOKUP($B499,'Round 7'!$F$2:$H$361,3,false),1)="b","W",if(LEFT(VLOOKUP($B499,'Round 7'!$F$2:$H$361,3,false),1)="a","L",""))),"")</f>
        <v/>
      </c>
      <c r="K499" s="68" t="str">
        <f>iferror(iferror(if(LEFT(VLOOKUP($B499,'Round 8'!$B$2:$H$361,7,false),1)="A","W",if(LEFT(VLOOKUP($B499,'Round 8'!$B$2:$H$361,7,false),1)="B","L","")),if(LEFT(VLOOKUP($B499,'Round 8'!$F$2:$H$361,3,false),1)="b","W",if(LEFT(VLOOKUP($B499,'Round 8'!$F$2:$H$361,3,false),1)="a","L",""))),"")</f>
        <v/>
      </c>
      <c r="L499" s="68" t="str">
        <f>iferror(iferror(if(LEFT(VLOOKUP($B499,'Round 9'!$B$2:$H$361,7,false),1)="A","W",if(LEFT(VLOOKUP($B499,'Round 9'!$B$2:$H$361,7,false),1)="B","L","")),if(LEFT(VLOOKUP($B499,'Round 9'!$F$2:$H$361,3,false),1)="b","W",if(LEFT(VLOOKUP($B499,'Round 9'!$F$2:$H$361,3,false),1)="a","L",""))),"")</f>
        <v/>
      </c>
      <c r="M499" s="68" t="str">
        <f>iferror(iferror(if(LEFT(VLOOKUP($B499,'Round 10'!$B$2:$H$362,7,false),1)="A","W",if(LEFT(VLOOKUP($B499,'Round 10'!$B$2:$H$362,7,false),1)="B","L","")),if(LEFT(VLOOKUP($B499,'Round 10'!$F$2:$H$362,3,false),1)="b","W",if(LEFT(VLOOKUP($B499,'Round 10'!$F$2:$H$362,3,false),1)="a","L",""))),"")</f>
        <v/>
      </c>
      <c r="N499" s="62" t="s">
        <v>1051</v>
      </c>
    </row>
    <row r="500">
      <c r="A500" s="63">
        <v>499.0</v>
      </c>
      <c r="B500" s="64" t="s">
        <v>1052</v>
      </c>
      <c r="C500" s="65" t="str">
        <f t="shared" si="1"/>
        <v>2 - 3</v>
      </c>
      <c r="D500" s="67" t="str">
        <f>iferror(if(LEFT(VLOOKUP($B500,'Round 1'!$B$2:$H$361,7,false),1)="A","W",if(LEFT(VLOOKUP($B500,'Round 1'!$B$2:$H$361,7,false),1)="B","L","")),if(LEFT(VLOOKUP($B500,'Round 1'!$F$2:$H$361,3,false),1)="b","W",if(LEFT(VLOOKUP($B500,'Round 1'!$F$2:$H$361,3,false),1)="a","L","")))</f>
        <v>W</v>
      </c>
      <c r="E500" s="67" t="str">
        <f>iferror(if(LEFT(VLOOKUP($B500,'Round 2'!$C$2:$J$361,8,false),1)="A","W",if(LEFT(VLOOKUP($B500,'Round 2'!$C$2:$J$361,8,false),1)="B","L","")),if(LEFT(VLOOKUP($B500,'Round 2'!$G$2:$J$361,4,false),1)="b","W",if(LEFT(VLOOKUP($B500,'Round 2'!$G$2:$J$361,4,false),1)="a","L","")))</f>
        <v>L</v>
      </c>
      <c r="F500" s="67" t="str">
        <f>iferror(if(LEFT(VLOOKUP($B500,'Round 3'!$B$2:$H$361,7,false),1)="A","W",if(LEFT(VLOOKUP($B500,'Round 3'!$B$2:$H$361,7,false),1)="B","L","")),if(LEFT(VLOOKUP($B500,'Round 3'!$F$2:$H$361,3,false),1)="b","W",if(LEFT(VLOOKUP($B500,'Round 3'!$F$2:$H$361,3,false),1)="a","L","")))</f>
        <v>W</v>
      </c>
      <c r="G500" s="67" t="str">
        <f>iferror(if(LEFT(VLOOKUP($B500,'Round 4'!$B$2:$H$361,7,false),1)="A","W",if(LEFT(VLOOKUP($B500,'Round 4'!$B$2:$H$361,7,false),1)="B","L","")),if(LEFT(VLOOKUP($B500,'Round 4'!$F$2:$H$361,3,false),1)="b","W",if(LEFT(VLOOKUP($B500,'Round 4'!$F$2:$H$361,3,false),1)="a","L","")))</f>
        <v>L</v>
      </c>
      <c r="H500" s="67" t="str">
        <f>iferror(if(LEFT(VLOOKUP($B500,'Round 5'!$B$2:$H$361,7,false),1)="A","W",if(LEFT(VLOOKUP($B500,'Round 5'!$B$2:$H$361,7,false),1)="B","L","")),if(LEFT(VLOOKUP($B500,'Round 5'!$F$2:$H$361,3,false),1)="b","W",if(LEFT(VLOOKUP($B500,'Round 5'!$F$2:$H$361,3,false),1)="a","L","")))</f>
        <v>L</v>
      </c>
      <c r="I500" s="67"/>
      <c r="J500" s="67" t="str">
        <f>iferror(iferror(if(LEFT(VLOOKUP($B500,'Round 7'!$B$2:$H$361,7,false),1)="A","W",if(LEFT(VLOOKUP($B500,'Round 7'!$B$2:$H$361,7,false),1)="B","L","")),if(LEFT(VLOOKUP($B500,'Round 7'!$F$2:$H$361,3,false),1)="b","W",if(LEFT(VLOOKUP($B500,'Round 7'!$F$2:$H$361,3,false),1)="a","L",""))),"")</f>
        <v/>
      </c>
      <c r="K500" s="68" t="str">
        <f>iferror(iferror(if(LEFT(VLOOKUP($B500,'Round 8'!$B$2:$H$361,7,false),1)="A","W",if(LEFT(VLOOKUP($B500,'Round 8'!$B$2:$H$361,7,false),1)="B","L","")),if(LEFT(VLOOKUP($B500,'Round 8'!$F$2:$H$361,3,false),1)="b","W",if(LEFT(VLOOKUP($B500,'Round 8'!$F$2:$H$361,3,false),1)="a","L",""))),"")</f>
        <v/>
      </c>
      <c r="L500" s="68" t="str">
        <f>iferror(iferror(if(LEFT(VLOOKUP($B500,'Round 9'!$B$2:$H$361,7,false),1)="A","W",if(LEFT(VLOOKUP($B500,'Round 9'!$B$2:$H$361,7,false),1)="B","L","")),if(LEFT(VLOOKUP($B500,'Round 9'!$F$2:$H$361,3,false),1)="b","W",if(LEFT(VLOOKUP($B500,'Round 9'!$F$2:$H$361,3,false),1)="a","L",""))),"")</f>
        <v/>
      </c>
      <c r="M500" s="68" t="str">
        <f>iferror(iferror(if(LEFT(VLOOKUP($B500,'Round 10'!$B$2:$H$362,7,false),1)="A","W",if(LEFT(VLOOKUP($B500,'Round 10'!$B$2:$H$362,7,false),1)="B","L","")),if(LEFT(VLOOKUP($B500,'Round 10'!$F$2:$H$362,3,false),1)="b","W",if(LEFT(VLOOKUP($B500,'Round 10'!$F$2:$H$362,3,false),1)="a","L",""))),"")</f>
        <v/>
      </c>
      <c r="N500" s="62" t="s">
        <v>1053</v>
      </c>
    </row>
    <row r="501">
      <c r="A501" s="63">
        <v>500.0</v>
      </c>
      <c r="B501" s="64" t="s">
        <v>1054</v>
      </c>
      <c r="C501" s="65" t="str">
        <f t="shared" si="1"/>
        <v>4 - 3</v>
      </c>
      <c r="D501" s="67" t="str">
        <f>iferror(if(LEFT(VLOOKUP($B501,'Round 1'!$B$2:$H$361,7,false),1)="A","W",if(LEFT(VLOOKUP($B501,'Round 1'!$B$2:$H$361,7,false),1)="B","L","")),if(LEFT(VLOOKUP($B501,'Round 1'!$F$2:$H$361,3,false),1)="b","W",if(LEFT(VLOOKUP($B501,'Round 1'!$F$2:$H$361,3,false),1)="a","L","")))</f>
        <v>W</v>
      </c>
      <c r="E501" s="67" t="str">
        <f>iferror(if(LEFT(VLOOKUP($B501,'Round 2'!$C$2:$J$361,8,false),1)="A","W",if(LEFT(VLOOKUP($B501,'Round 2'!$C$2:$J$361,8,false),1)="B","L","")),if(LEFT(VLOOKUP($B501,'Round 2'!$G$2:$J$361,4,false),1)="b","W",if(LEFT(VLOOKUP($B501,'Round 2'!$G$2:$J$361,4,false),1)="a","L","")))</f>
        <v>W</v>
      </c>
      <c r="F501" s="67" t="str">
        <f>iferror(if(LEFT(VLOOKUP($B501,'Round 3'!$B$2:$H$361,7,false),1)="A","W",if(LEFT(VLOOKUP($B501,'Round 3'!$B$2:$H$361,7,false),1)="B","L","")),if(LEFT(VLOOKUP($B501,'Round 3'!$F$2:$H$361,3,false),1)="b","W",if(LEFT(VLOOKUP($B501,'Round 3'!$F$2:$H$361,3,false),1)="a","L","")))</f>
        <v>L</v>
      </c>
      <c r="G501" s="67" t="str">
        <f>iferror(if(LEFT(VLOOKUP($B501,'Round 4'!$B$2:$H$361,7,false),1)="A","W",if(LEFT(VLOOKUP($B501,'Round 4'!$B$2:$H$361,7,false),1)="B","L","")),if(LEFT(VLOOKUP($B501,'Round 4'!$F$2:$H$361,3,false),1)="b","W",if(LEFT(VLOOKUP($B501,'Round 4'!$F$2:$H$361,3,false),1)="a","L","")))</f>
        <v>W</v>
      </c>
      <c r="H501" s="67" t="str">
        <f>iferror(if(LEFT(VLOOKUP($B501,'Round 5'!$B$2:$H$361,7,false),1)="A","W",if(LEFT(VLOOKUP($B501,'Round 5'!$B$2:$H$361,7,false),1)="B","L","")),if(LEFT(VLOOKUP($B501,'Round 5'!$F$2:$H$361,3,false),1)="b","W",if(LEFT(VLOOKUP($B501,'Round 5'!$F$2:$H$361,3,false),1)="a","L","")))</f>
        <v>W</v>
      </c>
      <c r="I501" s="67" t="str">
        <f>iferror(if(LEFT(VLOOKUP($B501,'Round 6'!$B$2:$H$361,7,false),1)="A","W",if(LEFT(VLOOKUP($B501,'Round 6'!$B$2:$H$361,7,false),1)="B","L","")),if(LEFT(VLOOKUP($B501,'Round 6'!$F$2:$H$361,3,false),1)="b","W",if(LEFT(VLOOKUP($B501,'Round 6'!$F$2:$H$361,3,false),1)="a","L","")))</f>
        <v>L</v>
      </c>
      <c r="J501" s="67" t="str">
        <f>iferror(iferror(if(LEFT(VLOOKUP($B501,'Round 7'!$B$2:$H$361,7,false),1)="A","W",if(LEFT(VLOOKUP($B501,'Round 7'!$B$2:$H$361,7,false),1)="B","L","")),if(LEFT(VLOOKUP($B501,'Round 7'!$F$2:$H$361,3,false),1)="b","W",if(LEFT(VLOOKUP($B501,'Round 7'!$F$2:$H$361,3,false),1)="a","L",""))),"")</f>
        <v>L</v>
      </c>
      <c r="K501" s="68" t="str">
        <f>iferror(iferror(if(LEFT(VLOOKUP($B501,'Round 8'!$B$2:$H$361,7,false),1)="A","W",if(LEFT(VLOOKUP($B501,'Round 8'!$B$2:$H$361,7,false),1)="B","L","")),if(LEFT(VLOOKUP($B501,'Round 8'!$F$2:$H$361,3,false),1)="b","W",if(LEFT(VLOOKUP($B501,'Round 8'!$F$2:$H$361,3,false),1)="a","L",""))),"")</f>
        <v/>
      </c>
      <c r="L501" s="68" t="str">
        <f>iferror(iferror(if(LEFT(VLOOKUP($B501,'Round 9'!$B$2:$H$361,7,false),1)="A","W",if(LEFT(VLOOKUP($B501,'Round 9'!$B$2:$H$361,7,false),1)="B","L","")),if(LEFT(VLOOKUP($B501,'Round 9'!$F$2:$H$361,3,false),1)="b","W",if(LEFT(VLOOKUP($B501,'Round 9'!$F$2:$H$361,3,false),1)="a","L",""))),"")</f>
        <v/>
      </c>
      <c r="M501" s="68" t="str">
        <f>iferror(iferror(if(LEFT(VLOOKUP($B501,'Round 10'!$B$2:$H$362,7,false),1)="A","W",if(LEFT(VLOOKUP($B501,'Round 10'!$B$2:$H$362,7,false),1)="B","L","")),if(LEFT(VLOOKUP($B501,'Round 10'!$F$2:$H$362,3,false),1)="b","W",if(LEFT(VLOOKUP($B501,'Round 10'!$F$2:$H$362,3,false),1)="a","L",""))),"")</f>
        <v/>
      </c>
      <c r="N501" s="62" t="s">
        <v>1055</v>
      </c>
    </row>
    <row r="502">
      <c r="A502" s="63">
        <v>501.0</v>
      </c>
      <c r="B502" s="64" t="s">
        <v>1056</v>
      </c>
      <c r="C502" s="65" t="str">
        <f t="shared" si="1"/>
        <v>1 - 3</v>
      </c>
      <c r="D502" s="67" t="str">
        <f>iferror(if(LEFT(VLOOKUP($B502,'Round 1'!$B$2:$H$361,7,false),1)="A","W",if(LEFT(VLOOKUP($B502,'Round 1'!$B$2:$H$361,7,false),1)="B","L","")),if(LEFT(VLOOKUP($B502,'Round 1'!$F$2:$H$361,3,false),1)="b","W",if(LEFT(VLOOKUP($B502,'Round 1'!$F$2:$H$361,3,false),1)="a","L","")))</f>
        <v>W</v>
      </c>
      <c r="E502" s="67" t="str">
        <f>iferror(if(LEFT(VLOOKUP($B502,'Round 2'!$C$2:$J$361,8,false),1)="A","W",if(LEFT(VLOOKUP($B502,'Round 2'!$C$2:$J$361,8,false),1)="B","L","")),if(LEFT(VLOOKUP($B502,'Round 2'!$G$2:$J$361,4,false),1)="b","W",if(LEFT(VLOOKUP($B502,'Round 2'!$G$2:$J$361,4,false),1)="a","L","")))</f>
        <v>L</v>
      </c>
      <c r="F502" s="67" t="str">
        <f>iferror(if(LEFT(VLOOKUP($B502,'Round 3'!$B$2:$H$361,7,false),1)="A","W",if(LEFT(VLOOKUP($B502,'Round 3'!$B$2:$H$361,7,false),1)="B","L","")),if(LEFT(VLOOKUP($B502,'Round 3'!$F$2:$H$361,3,false),1)="b","W",if(LEFT(VLOOKUP($B502,'Round 3'!$F$2:$H$361,3,false),1)="a","L","")))</f>
        <v>L</v>
      </c>
      <c r="G502" s="67" t="str">
        <f>iferror(if(LEFT(VLOOKUP($B502,'Round 4'!$B$2:$H$361,7,false),1)="A","W",if(LEFT(VLOOKUP($B502,'Round 4'!$B$2:$H$361,7,false),1)="B","L","")),if(LEFT(VLOOKUP($B502,'Round 4'!$F$2:$H$361,3,false),1)="b","W",if(LEFT(VLOOKUP($B502,'Round 4'!$F$2:$H$361,3,false),1)="a","L","")))</f>
        <v>L</v>
      </c>
      <c r="H502" s="67"/>
      <c r="I502" s="67"/>
      <c r="J502" s="67" t="str">
        <f>iferror(iferror(if(LEFT(VLOOKUP($B502,'Round 7'!$B$2:$H$361,7,false),1)="A","W",if(LEFT(VLOOKUP($B502,'Round 7'!$B$2:$H$361,7,false),1)="B","L","")),if(LEFT(VLOOKUP($B502,'Round 7'!$F$2:$H$361,3,false),1)="b","W",if(LEFT(VLOOKUP($B502,'Round 7'!$F$2:$H$361,3,false),1)="a","L",""))),"")</f>
        <v/>
      </c>
      <c r="K502" s="68" t="str">
        <f>iferror(iferror(if(LEFT(VLOOKUP($B502,'Round 8'!$B$2:$H$361,7,false),1)="A","W",if(LEFT(VLOOKUP($B502,'Round 8'!$B$2:$H$361,7,false),1)="B","L","")),if(LEFT(VLOOKUP($B502,'Round 8'!$F$2:$H$361,3,false),1)="b","W",if(LEFT(VLOOKUP($B502,'Round 8'!$F$2:$H$361,3,false),1)="a","L",""))),"")</f>
        <v/>
      </c>
      <c r="L502" s="68" t="str">
        <f>iferror(iferror(if(LEFT(VLOOKUP($B502,'Round 9'!$B$2:$H$361,7,false),1)="A","W",if(LEFT(VLOOKUP($B502,'Round 9'!$B$2:$H$361,7,false),1)="B","L","")),if(LEFT(VLOOKUP($B502,'Round 9'!$F$2:$H$361,3,false),1)="b","W",if(LEFT(VLOOKUP($B502,'Round 9'!$F$2:$H$361,3,false),1)="a","L",""))),"")</f>
        <v/>
      </c>
      <c r="M502" s="68" t="str">
        <f>iferror(iferror(if(LEFT(VLOOKUP($B502,'Round 10'!$B$2:$H$362,7,false),1)="A","W",if(LEFT(VLOOKUP($B502,'Round 10'!$B$2:$H$362,7,false),1)="B","L","")),if(LEFT(VLOOKUP($B502,'Round 10'!$F$2:$H$362,3,false),1)="b","W",if(LEFT(VLOOKUP($B502,'Round 10'!$F$2:$H$362,3,false),1)="a","L",""))),"")</f>
        <v/>
      </c>
      <c r="N502" s="62" t="s">
        <v>1057</v>
      </c>
    </row>
    <row r="503">
      <c r="A503" s="63">
        <v>502.0</v>
      </c>
      <c r="B503" s="64" t="s">
        <v>1058</v>
      </c>
      <c r="C503" s="65" t="str">
        <f t="shared" si="1"/>
        <v>1 - 3</v>
      </c>
      <c r="D503" s="67" t="str">
        <f>iferror(if(LEFT(VLOOKUP($B503,'Round 1'!$B$2:$H$361,7,false),1)="A","W",if(LEFT(VLOOKUP($B503,'Round 1'!$B$2:$H$361,7,false),1)="B","L","")),if(LEFT(VLOOKUP($B503,'Round 1'!$F$2:$H$361,3,false),1)="b","W",if(LEFT(VLOOKUP($B503,'Round 1'!$F$2:$H$361,3,false),1)="a","L","")))</f>
        <v>W</v>
      </c>
      <c r="E503" s="67" t="str">
        <f>iferror(if(LEFT(VLOOKUP($B503,'Round 2'!$C$2:$J$361,8,false),1)="A","W",if(LEFT(VLOOKUP($B503,'Round 2'!$C$2:$J$361,8,false),1)="B","L","")),if(LEFT(VLOOKUP($B503,'Round 2'!$G$2:$J$361,4,false),1)="b","W",if(LEFT(VLOOKUP($B503,'Round 2'!$G$2:$J$361,4,false),1)="a","L","")))</f>
        <v>L</v>
      </c>
      <c r="F503" s="67" t="str">
        <f>iferror(if(LEFT(VLOOKUP($B503,'Round 3'!$B$2:$H$361,7,false),1)="A","W",if(LEFT(VLOOKUP($B503,'Round 3'!$B$2:$H$361,7,false),1)="B","L","")),if(LEFT(VLOOKUP($B503,'Round 3'!$F$2:$H$361,3,false),1)="b","W",if(LEFT(VLOOKUP($B503,'Round 3'!$F$2:$H$361,3,false),1)="a","L","")))</f>
        <v>L</v>
      </c>
      <c r="G503" s="67" t="str">
        <f>iferror(if(LEFT(VLOOKUP($B503,'Round 4'!$B$2:$H$361,7,false),1)="A","W",if(LEFT(VLOOKUP($B503,'Round 4'!$B$2:$H$361,7,false),1)="B","L","")),if(LEFT(VLOOKUP($B503,'Round 4'!$F$2:$H$361,3,false),1)="b","W",if(LEFT(VLOOKUP($B503,'Round 4'!$F$2:$H$361,3,false),1)="a","L","")))</f>
        <v>L</v>
      </c>
      <c r="H503" s="67"/>
      <c r="I503" s="67"/>
      <c r="J503" s="67" t="str">
        <f>iferror(iferror(if(LEFT(VLOOKUP($B503,'Round 7'!$B$2:$H$361,7,false),1)="A","W",if(LEFT(VLOOKUP($B503,'Round 7'!$B$2:$H$361,7,false),1)="B","L","")),if(LEFT(VLOOKUP($B503,'Round 7'!$F$2:$H$361,3,false),1)="b","W",if(LEFT(VLOOKUP($B503,'Round 7'!$F$2:$H$361,3,false),1)="a","L",""))),"")</f>
        <v/>
      </c>
      <c r="K503" s="68" t="str">
        <f>iferror(iferror(if(LEFT(VLOOKUP($B503,'Round 8'!$B$2:$H$361,7,false),1)="A","W",if(LEFT(VLOOKUP($B503,'Round 8'!$B$2:$H$361,7,false),1)="B","L","")),if(LEFT(VLOOKUP($B503,'Round 8'!$F$2:$H$361,3,false),1)="b","W",if(LEFT(VLOOKUP($B503,'Round 8'!$F$2:$H$361,3,false),1)="a","L",""))),"")</f>
        <v/>
      </c>
      <c r="L503" s="68" t="str">
        <f>iferror(iferror(if(LEFT(VLOOKUP($B503,'Round 9'!$B$2:$H$361,7,false),1)="A","W",if(LEFT(VLOOKUP($B503,'Round 9'!$B$2:$H$361,7,false),1)="B","L","")),if(LEFT(VLOOKUP($B503,'Round 9'!$F$2:$H$361,3,false),1)="b","W",if(LEFT(VLOOKUP($B503,'Round 9'!$F$2:$H$361,3,false),1)="a","L",""))),"")</f>
        <v/>
      </c>
      <c r="M503" s="68" t="str">
        <f>iferror(iferror(if(LEFT(VLOOKUP($B503,'Round 10'!$B$2:$H$362,7,false),1)="A","W",if(LEFT(VLOOKUP($B503,'Round 10'!$B$2:$H$362,7,false),1)="B","L","")),if(LEFT(VLOOKUP($B503,'Round 10'!$F$2:$H$362,3,false),1)="b","W",if(LEFT(VLOOKUP($B503,'Round 10'!$F$2:$H$362,3,false),1)="a","L",""))),"")</f>
        <v/>
      </c>
      <c r="N503" s="62" t="s">
        <v>1059</v>
      </c>
    </row>
    <row r="504">
      <c r="A504" s="63">
        <v>503.0</v>
      </c>
      <c r="B504" s="64" t="s">
        <v>1060</v>
      </c>
      <c r="C504" s="65" t="str">
        <f t="shared" si="1"/>
        <v>2 - 3</v>
      </c>
      <c r="D504" s="67" t="str">
        <f>iferror(if(LEFT(VLOOKUP($B504,'Round 1'!$B$2:$H$361,7,false),1)="A","W",if(LEFT(VLOOKUP($B504,'Round 1'!$B$2:$H$361,7,false),1)="B","L","")),if(LEFT(VLOOKUP($B504,'Round 1'!$F$2:$H$361,3,false),1)="b","W",if(LEFT(VLOOKUP($B504,'Round 1'!$F$2:$H$361,3,false),1)="a","L","")))</f>
        <v>L</v>
      </c>
      <c r="E504" s="67" t="str">
        <f>iferror(if(LEFT(VLOOKUP($B504,'Round 2'!$C$2:$J$361,8,false),1)="A","W",if(LEFT(VLOOKUP($B504,'Round 2'!$C$2:$J$361,8,false),1)="B","L","")),if(LEFT(VLOOKUP($B504,'Round 2'!$G$2:$J$361,4,false),1)="b","W",if(LEFT(VLOOKUP($B504,'Round 2'!$G$2:$J$361,4,false),1)="a","L","")))</f>
        <v>W</v>
      </c>
      <c r="F504" s="67" t="str">
        <f>iferror(if(LEFT(VLOOKUP($B504,'Round 3'!$B$2:$H$361,7,false),1)="A","W",if(LEFT(VLOOKUP($B504,'Round 3'!$B$2:$H$361,7,false),1)="B","L","")),if(LEFT(VLOOKUP($B504,'Round 3'!$F$2:$H$361,3,false),1)="b","W",if(LEFT(VLOOKUP($B504,'Round 3'!$F$2:$H$361,3,false),1)="a","L","")))</f>
        <v>W</v>
      </c>
      <c r="G504" s="67" t="str">
        <f>iferror(if(LEFT(VLOOKUP($B504,'Round 4'!$B$2:$H$361,7,false),1)="A","W",if(LEFT(VLOOKUP($B504,'Round 4'!$B$2:$H$361,7,false),1)="B","L","")),if(LEFT(VLOOKUP($B504,'Round 4'!$F$2:$H$361,3,false),1)="b","W",if(LEFT(VLOOKUP($B504,'Round 4'!$F$2:$H$361,3,false),1)="a","L","")))</f>
        <v>L</v>
      </c>
      <c r="H504" s="67" t="str">
        <f>iferror(if(LEFT(VLOOKUP($B504,'Round 5'!$B$2:$H$361,7,false),1)="A","W",if(LEFT(VLOOKUP($B504,'Round 5'!$B$2:$H$361,7,false),1)="B","L","")),if(LEFT(VLOOKUP($B504,'Round 5'!$F$2:$H$361,3,false),1)="b","W",if(LEFT(VLOOKUP($B504,'Round 5'!$F$2:$H$361,3,false),1)="a","L","")))</f>
        <v>L</v>
      </c>
      <c r="I504" s="67"/>
      <c r="J504" s="67" t="str">
        <f>iferror(iferror(if(LEFT(VLOOKUP($B504,'Round 7'!$B$2:$H$361,7,false),1)="A","W",if(LEFT(VLOOKUP($B504,'Round 7'!$B$2:$H$361,7,false),1)="B","L","")),if(LEFT(VLOOKUP($B504,'Round 7'!$F$2:$H$361,3,false),1)="b","W",if(LEFT(VLOOKUP($B504,'Round 7'!$F$2:$H$361,3,false),1)="a","L",""))),"")</f>
        <v/>
      </c>
      <c r="K504" s="68" t="str">
        <f>iferror(iferror(if(LEFT(VLOOKUP($B504,'Round 8'!$B$2:$H$361,7,false),1)="A","W",if(LEFT(VLOOKUP($B504,'Round 8'!$B$2:$H$361,7,false),1)="B","L","")),if(LEFT(VLOOKUP($B504,'Round 8'!$F$2:$H$361,3,false),1)="b","W",if(LEFT(VLOOKUP($B504,'Round 8'!$F$2:$H$361,3,false),1)="a","L",""))),"")</f>
        <v/>
      </c>
      <c r="L504" s="68" t="str">
        <f>iferror(iferror(if(LEFT(VLOOKUP($B504,'Round 9'!$B$2:$H$361,7,false),1)="A","W",if(LEFT(VLOOKUP($B504,'Round 9'!$B$2:$H$361,7,false),1)="B","L","")),if(LEFT(VLOOKUP($B504,'Round 9'!$F$2:$H$361,3,false),1)="b","W",if(LEFT(VLOOKUP($B504,'Round 9'!$F$2:$H$361,3,false),1)="a","L",""))),"")</f>
        <v/>
      </c>
      <c r="M504" s="68" t="str">
        <f>iferror(iferror(if(LEFT(VLOOKUP($B504,'Round 10'!$B$2:$H$362,7,false),1)="A","W",if(LEFT(VLOOKUP($B504,'Round 10'!$B$2:$H$362,7,false),1)="B","L","")),if(LEFT(VLOOKUP($B504,'Round 10'!$F$2:$H$362,3,false),1)="b","W",if(LEFT(VLOOKUP($B504,'Round 10'!$F$2:$H$362,3,false),1)="a","L",""))),"")</f>
        <v/>
      </c>
      <c r="N504" s="62" t="s">
        <v>1061</v>
      </c>
    </row>
    <row r="505">
      <c r="A505" s="63">
        <v>504.0</v>
      </c>
      <c r="B505" s="64" t="s">
        <v>1062</v>
      </c>
      <c r="C505" s="65" t="str">
        <f t="shared" si="1"/>
        <v>6 - 3</v>
      </c>
      <c r="D505" s="67" t="str">
        <f>iferror(if(LEFT(VLOOKUP($B505,'Round 1'!$B$2:$H$361,7,false),1)="A","W",if(LEFT(VLOOKUP($B505,'Round 1'!$B$2:$H$361,7,false),1)="B","L","")),if(LEFT(VLOOKUP($B505,'Round 1'!$F$2:$H$361,3,false),1)="b","W",if(LEFT(VLOOKUP($B505,'Round 1'!$F$2:$H$361,3,false),1)="a","L","")))</f>
        <v>W</v>
      </c>
      <c r="E505" s="67" t="str">
        <f>iferror(if(LEFT(VLOOKUP($B505,'Round 2'!$C$2:$J$361,8,false),1)="A","W",if(LEFT(VLOOKUP($B505,'Round 2'!$C$2:$J$361,8,false),1)="B","L","")),if(LEFT(VLOOKUP($B505,'Round 2'!$G$2:$J$361,4,false),1)="b","W",if(LEFT(VLOOKUP($B505,'Round 2'!$G$2:$J$361,4,false),1)="a","L","")))</f>
        <v>L</v>
      </c>
      <c r="F505" s="67" t="str">
        <f>iferror(if(LEFT(VLOOKUP($B505,'Round 3'!$B$2:$H$361,7,false),1)="A","W",if(LEFT(VLOOKUP($B505,'Round 3'!$B$2:$H$361,7,false),1)="B","L","")),if(LEFT(VLOOKUP($B505,'Round 3'!$F$2:$H$361,3,false),1)="b","W",if(LEFT(VLOOKUP($B505,'Round 3'!$F$2:$H$361,3,false),1)="a","L","")))</f>
        <v>W</v>
      </c>
      <c r="G505" s="67" t="str">
        <f>iferror(if(LEFT(VLOOKUP($B505,'Round 4'!$B$2:$H$361,7,false),1)="A","W",if(LEFT(VLOOKUP($B505,'Round 4'!$B$2:$H$361,7,false),1)="B","L","")),if(LEFT(VLOOKUP($B505,'Round 4'!$F$2:$H$361,3,false),1)="b","W",if(LEFT(VLOOKUP($B505,'Round 4'!$F$2:$H$361,3,false),1)="a","L","")))</f>
        <v>W</v>
      </c>
      <c r="H505" s="67" t="str">
        <f>iferror(if(LEFT(VLOOKUP($B505,'Round 5'!$B$2:$H$361,7,false),1)="A","W",if(LEFT(VLOOKUP($B505,'Round 5'!$B$2:$H$361,7,false),1)="B","L","")),if(LEFT(VLOOKUP($B505,'Round 5'!$F$2:$H$361,3,false),1)="b","W",if(LEFT(VLOOKUP($B505,'Round 5'!$F$2:$H$361,3,false),1)="a","L","")))</f>
        <v>W</v>
      </c>
      <c r="I505" s="67" t="str">
        <f>iferror(if(LEFT(VLOOKUP($B505,'Round 6'!$B$2:$H$361,7,false),1)="A","W",if(LEFT(VLOOKUP($B505,'Round 6'!$B$2:$H$361,7,false),1)="B","L","")),if(LEFT(VLOOKUP($B505,'Round 6'!$F$2:$H$361,3,false),1)="b","W",if(LEFT(VLOOKUP($B505,'Round 6'!$F$2:$H$361,3,false),1)="a","L","")))</f>
        <v>L</v>
      </c>
      <c r="J505" s="67" t="str">
        <f>iferror(iferror(if(LEFT(VLOOKUP($B505,'Round 7'!$B$2:$H$361,7,false),1)="A","W",if(LEFT(VLOOKUP($B505,'Round 7'!$B$2:$H$361,7,false),1)="B","L","")),if(LEFT(VLOOKUP($B505,'Round 7'!$F$2:$H$361,3,false),1)="b","W",if(LEFT(VLOOKUP($B505,'Round 7'!$F$2:$H$361,3,false),1)="a","L",""))),"")</f>
        <v>W</v>
      </c>
      <c r="K505" s="68" t="str">
        <f>iferror(iferror(if(LEFT(VLOOKUP($B505,'Round 8'!$B$2:$H$361,7,false),1)="A","W",if(LEFT(VLOOKUP($B505,'Round 8'!$B$2:$H$361,7,false),1)="B","L","")),if(LEFT(VLOOKUP($B505,'Round 8'!$F$2:$H$361,3,false),1)="b","W",if(LEFT(VLOOKUP($B505,'Round 8'!$F$2:$H$361,3,false),1)="a","L",""))),"")</f>
        <v>W</v>
      </c>
      <c r="L505" s="68" t="str">
        <f>iferror(iferror(if(LEFT(VLOOKUP($B505,'Round 9'!$B$2:$H$361,7,false),1)="A","W",if(LEFT(VLOOKUP($B505,'Round 9'!$B$2:$H$361,7,false),1)="B","L","")),if(LEFT(VLOOKUP($B505,'Round 9'!$F$2:$H$361,3,false),1)="b","W",if(LEFT(VLOOKUP($B505,'Round 9'!$F$2:$H$361,3,false),1)="a","L",""))),"")</f>
        <v>L</v>
      </c>
      <c r="M505" s="68" t="str">
        <f>iferror(iferror(if(LEFT(VLOOKUP($B505,'Round 10'!$B$2:$H$362,7,false),1)="A","W",if(LEFT(VLOOKUP($B505,'Round 10'!$B$2:$H$362,7,false),1)="B","L","")),if(LEFT(VLOOKUP($B505,'Round 10'!$F$2:$H$362,3,false),1)="b","W",if(LEFT(VLOOKUP($B505,'Round 10'!$F$2:$H$362,3,false),1)="a","L",""))),"")</f>
        <v/>
      </c>
      <c r="N505" s="62" t="s">
        <v>1063</v>
      </c>
    </row>
    <row r="506">
      <c r="A506" s="63">
        <v>505.0</v>
      </c>
      <c r="B506" s="64" t="s">
        <v>1064</v>
      </c>
      <c r="C506" s="65" t="str">
        <f t="shared" si="1"/>
        <v>1 - 3</v>
      </c>
      <c r="D506" s="67" t="str">
        <f>iferror(if(LEFT(VLOOKUP($B506,'Round 1'!$B$2:$H$361,7,false),1)="A","W",if(LEFT(VLOOKUP($B506,'Round 1'!$B$2:$H$361,7,false),1)="B","L","")),if(LEFT(VLOOKUP($B506,'Round 1'!$F$2:$H$361,3,false),1)="b","W",if(LEFT(VLOOKUP($B506,'Round 1'!$F$2:$H$361,3,false),1)="a","L","")))</f>
        <v>W</v>
      </c>
      <c r="E506" s="67" t="str">
        <f>iferror(if(LEFT(VLOOKUP($B506,'Round 2'!$C$2:$J$361,8,false),1)="A","W",if(LEFT(VLOOKUP($B506,'Round 2'!$C$2:$J$361,8,false),1)="B","L","")),if(LEFT(VLOOKUP($B506,'Round 2'!$G$2:$J$361,4,false),1)="b","W",if(LEFT(VLOOKUP($B506,'Round 2'!$G$2:$J$361,4,false),1)="a","L","")))</f>
        <v>L</v>
      </c>
      <c r="F506" s="67" t="str">
        <f>iferror(if(LEFT(VLOOKUP($B506,'Round 3'!$B$2:$H$361,7,false),1)="A","W",if(LEFT(VLOOKUP($B506,'Round 3'!$B$2:$H$361,7,false),1)="B","L","")),if(LEFT(VLOOKUP($B506,'Round 3'!$F$2:$H$361,3,false),1)="b","W",if(LEFT(VLOOKUP($B506,'Round 3'!$F$2:$H$361,3,false),1)="a","L","")))</f>
        <v>L</v>
      </c>
      <c r="G506" s="67" t="str">
        <f>iferror(if(LEFT(VLOOKUP($B506,'Round 4'!$B$2:$H$361,7,false),1)="A","W",if(LEFT(VLOOKUP($B506,'Round 4'!$B$2:$H$361,7,false),1)="B","L","")),if(LEFT(VLOOKUP($B506,'Round 4'!$F$2:$H$361,3,false),1)="b","W",if(LEFT(VLOOKUP($B506,'Round 4'!$F$2:$H$361,3,false),1)="a","L","")))</f>
        <v>L</v>
      </c>
      <c r="H506" s="67"/>
      <c r="I506" s="67"/>
      <c r="J506" s="67" t="str">
        <f>iferror(iferror(if(LEFT(VLOOKUP($B506,'Round 7'!$B$2:$H$361,7,false),1)="A","W",if(LEFT(VLOOKUP($B506,'Round 7'!$B$2:$H$361,7,false),1)="B","L","")),if(LEFT(VLOOKUP($B506,'Round 7'!$F$2:$H$361,3,false),1)="b","W",if(LEFT(VLOOKUP($B506,'Round 7'!$F$2:$H$361,3,false),1)="a","L",""))),"")</f>
        <v/>
      </c>
      <c r="K506" s="68" t="str">
        <f>iferror(iferror(if(LEFT(VLOOKUP($B506,'Round 8'!$B$2:$H$361,7,false),1)="A","W",if(LEFT(VLOOKUP($B506,'Round 8'!$B$2:$H$361,7,false),1)="B","L","")),if(LEFT(VLOOKUP($B506,'Round 8'!$F$2:$H$361,3,false),1)="b","W",if(LEFT(VLOOKUP($B506,'Round 8'!$F$2:$H$361,3,false),1)="a","L",""))),"")</f>
        <v/>
      </c>
      <c r="L506" s="68" t="str">
        <f>iferror(iferror(if(LEFT(VLOOKUP($B506,'Round 9'!$B$2:$H$361,7,false),1)="A","W",if(LEFT(VLOOKUP($B506,'Round 9'!$B$2:$H$361,7,false),1)="B","L","")),if(LEFT(VLOOKUP($B506,'Round 9'!$F$2:$H$361,3,false),1)="b","W",if(LEFT(VLOOKUP($B506,'Round 9'!$F$2:$H$361,3,false),1)="a","L",""))),"")</f>
        <v/>
      </c>
      <c r="M506" s="68" t="str">
        <f>iferror(iferror(if(LEFT(VLOOKUP($B506,'Round 10'!$B$2:$H$362,7,false),1)="A","W",if(LEFT(VLOOKUP($B506,'Round 10'!$B$2:$H$362,7,false),1)="B","L","")),if(LEFT(VLOOKUP($B506,'Round 10'!$F$2:$H$362,3,false),1)="b","W",if(LEFT(VLOOKUP($B506,'Round 10'!$F$2:$H$362,3,false),1)="a","L",""))),"")</f>
        <v/>
      </c>
      <c r="N506" s="62" t="s">
        <v>1065</v>
      </c>
    </row>
    <row r="507">
      <c r="A507" s="63">
        <v>506.0</v>
      </c>
      <c r="B507" s="64" t="s">
        <v>1066</v>
      </c>
      <c r="C507" s="65" t="str">
        <f t="shared" si="1"/>
        <v>1 - 3</v>
      </c>
      <c r="D507" s="67" t="str">
        <f>iferror(if(LEFT(VLOOKUP($B507,'Round 1'!$B$2:$H$361,7,false),1)="A","W",if(LEFT(VLOOKUP($B507,'Round 1'!$B$2:$H$361,7,false),1)="B","L","")),if(LEFT(VLOOKUP($B507,'Round 1'!$F$2:$H$361,3,false),1)="b","W",if(LEFT(VLOOKUP($B507,'Round 1'!$F$2:$H$361,3,false),1)="a","L","")))</f>
        <v>L</v>
      </c>
      <c r="E507" s="67" t="str">
        <f>iferror(if(LEFT(VLOOKUP($B507,'Round 2'!$C$2:$J$361,8,false),1)="A","W",if(LEFT(VLOOKUP($B507,'Round 2'!$C$2:$J$361,8,false),1)="B","L","")),if(LEFT(VLOOKUP($B507,'Round 2'!$G$2:$J$361,4,false),1)="b","W",if(LEFT(VLOOKUP($B507,'Round 2'!$G$2:$J$361,4,false),1)="a","L","")))</f>
        <v>L</v>
      </c>
      <c r="F507" s="67" t="str">
        <f>iferror(if(LEFT(VLOOKUP($B507,'Round 3'!$B$2:$H$361,7,false),1)="A","W",if(LEFT(VLOOKUP($B507,'Round 3'!$B$2:$H$361,7,false),1)="B","L","")),if(LEFT(VLOOKUP($B507,'Round 3'!$F$2:$H$361,3,false),1)="b","W",if(LEFT(VLOOKUP($B507,'Round 3'!$F$2:$H$361,3,false),1)="a","L","")))</f>
        <v>W</v>
      </c>
      <c r="G507" s="67" t="str">
        <f>iferror(if(LEFT(VLOOKUP($B507,'Round 4'!$B$2:$H$361,7,false),1)="A","W",if(LEFT(VLOOKUP($B507,'Round 4'!$B$2:$H$361,7,false),1)="B","L","")),if(LEFT(VLOOKUP($B507,'Round 4'!$F$2:$H$361,3,false),1)="b","W",if(LEFT(VLOOKUP($B507,'Round 4'!$F$2:$H$361,3,false),1)="a","L","")))</f>
        <v>L</v>
      </c>
      <c r="H507" s="67"/>
      <c r="I507" s="67"/>
      <c r="J507" s="67" t="str">
        <f>iferror(iferror(if(LEFT(VLOOKUP($B507,'Round 7'!$B$2:$H$361,7,false),1)="A","W",if(LEFT(VLOOKUP($B507,'Round 7'!$B$2:$H$361,7,false),1)="B","L","")),if(LEFT(VLOOKUP($B507,'Round 7'!$F$2:$H$361,3,false),1)="b","W",if(LEFT(VLOOKUP($B507,'Round 7'!$F$2:$H$361,3,false),1)="a","L",""))),"")</f>
        <v/>
      </c>
      <c r="K507" s="68" t="str">
        <f>iferror(iferror(if(LEFT(VLOOKUP($B507,'Round 8'!$B$2:$H$361,7,false),1)="A","W",if(LEFT(VLOOKUP($B507,'Round 8'!$B$2:$H$361,7,false),1)="B","L","")),if(LEFT(VLOOKUP($B507,'Round 8'!$F$2:$H$361,3,false),1)="b","W",if(LEFT(VLOOKUP($B507,'Round 8'!$F$2:$H$361,3,false),1)="a","L",""))),"")</f>
        <v/>
      </c>
      <c r="L507" s="68" t="str">
        <f>iferror(iferror(if(LEFT(VLOOKUP($B507,'Round 9'!$B$2:$H$361,7,false),1)="A","W",if(LEFT(VLOOKUP($B507,'Round 9'!$B$2:$H$361,7,false),1)="B","L","")),if(LEFT(VLOOKUP($B507,'Round 9'!$F$2:$H$361,3,false),1)="b","W",if(LEFT(VLOOKUP($B507,'Round 9'!$F$2:$H$361,3,false),1)="a","L",""))),"")</f>
        <v/>
      </c>
      <c r="M507" s="68" t="str">
        <f>iferror(iferror(if(LEFT(VLOOKUP($B507,'Round 10'!$B$2:$H$362,7,false),1)="A","W",if(LEFT(VLOOKUP($B507,'Round 10'!$B$2:$H$362,7,false),1)="B","L","")),if(LEFT(VLOOKUP($B507,'Round 10'!$F$2:$H$362,3,false),1)="b","W",if(LEFT(VLOOKUP($B507,'Round 10'!$F$2:$H$362,3,false),1)="a","L",""))),"")</f>
        <v/>
      </c>
      <c r="N507" s="62" t="s">
        <v>1067</v>
      </c>
    </row>
    <row r="508">
      <c r="A508" s="63">
        <v>507.0</v>
      </c>
      <c r="B508" s="64" t="s">
        <v>1068</v>
      </c>
      <c r="C508" s="65" t="str">
        <f t="shared" si="1"/>
        <v>4 - 3</v>
      </c>
      <c r="D508" s="67" t="str">
        <f>iferror(if(LEFT(VLOOKUP($B508,'Round 1'!$B$2:$H$361,7,false),1)="A","W",if(LEFT(VLOOKUP($B508,'Round 1'!$B$2:$H$361,7,false),1)="B","L","")),if(LEFT(VLOOKUP($B508,'Round 1'!$F$2:$H$361,3,false),1)="b","W",if(LEFT(VLOOKUP($B508,'Round 1'!$F$2:$H$361,3,false),1)="a","L","")))</f>
        <v>L</v>
      </c>
      <c r="E508" s="67" t="str">
        <f>iferror(if(LEFT(VLOOKUP($B508,'Round 2'!$C$2:$J$361,8,false),1)="A","W",if(LEFT(VLOOKUP($B508,'Round 2'!$C$2:$J$361,8,false),1)="B","L","")),if(LEFT(VLOOKUP($B508,'Round 2'!$G$2:$J$361,4,false),1)="b","W",if(LEFT(VLOOKUP($B508,'Round 2'!$G$2:$J$361,4,false),1)="a","L","")))</f>
        <v>W</v>
      </c>
      <c r="F508" s="67" t="str">
        <f>iferror(if(LEFT(VLOOKUP($B508,'Round 3'!$B$2:$H$361,7,false),1)="A","W",if(LEFT(VLOOKUP($B508,'Round 3'!$B$2:$H$361,7,false),1)="B","L","")),if(LEFT(VLOOKUP($B508,'Round 3'!$F$2:$H$361,3,false),1)="b","W",if(LEFT(VLOOKUP($B508,'Round 3'!$F$2:$H$361,3,false),1)="a","L","")))</f>
        <v>W</v>
      </c>
      <c r="G508" s="67" t="str">
        <f>iferror(if(LEFT(VLOOKUP($B508,'Round 4'!$B$2:$H$361,7,false),1)="A","W",if(LEFT(VLOOKUP($B508,'Round 4'!$B$2:$H$361,7,false),1)="B","L","")),if(LEFT(VLOOKUP($B508,'Round 4'!$F$2:$H$361,3,false),1)="b","W",if(LEFT(VLOOKUP($B508,'Round 4'!$F$2:$H$361,3,false),1)="a","L","")))</f>
        <v>W</v>
      </c>
      <c r="H508" s="67" t="str">
        <f>iferror(if(LEFT(VLOOKUP($B508,'Round 5'!$B$2:$H$361,7,false),1)="A","W",if(LEFT(VLOOKUP($B508,'Round 5'!$B$2:$H$361,7,false),1)="B","L","")),if(LEFT(VLOOKUP($B508,'Round 5'!$F$2:$H$361,3,false),1)="b","W",if(LEFT(VLOOKUP($B508,'Round 5'!$F$2:$H$361,3,false),1)="a","L","")))</f>
        <v>W</v>
      </c>
      <c r="I508" s="67" t="str">
        <f>iferror(if(LEFT(VLOOKUP($B508,'Round 6'!$B$2:$H$361,7,false),1)="A","W",if(LEFT(VLOOKUP($B508,'Round 6'!$B$2:$H$361,7,false),1)="B","L","")),if(LEFT(VLOOKUP($B508,'Round 6'!$F$2:$H$361,3,false),1)="b","W",if(LEFT(VLOOKUP($B508,'Round 6'!$F$2:$H$361,3,false),1)="a","L","")))</f>
        <v>L</v>
      </c>
      <c r="J508" s="67" t="str">
        <f>iferror(iferror(if(LEFT(VLOOKUP($B508,'Round 7'!$B$2:$H$361,7,false),1)="A","W",if(LEFT(VLOOKUP($B508,'Round 7'!$B$2:$H$361,7,false),1)="B","L","")),if(LEFT(VLOOKUP($B508,'Round 7'!$F$2:$H$361,3,false),1)="b","W",if(LEFT(VLOOKUP($B508,'Round 7'!$F$2:$H$361,3,false),1)="a","L",""))),"")</f>
        <v>L</v>
      </c>
      <c r="K508" s="68" t="str">
        <f>iferror(iferror(if(LEFT(VLOOKUP($B508,'Round 8'!$B$2:$H$361,7,false),1)="A","W",if(LEFT(VLOOKUP($B508,'Round 8'!$B$2:$H$361,7,false),1)="B","L","")),if(LEFT(VLOOKUP($B508,'Round 8'!$F$2:$H$361,3,false),1)="b","W",if(LEFT(VLOOKUP($B508,'Round 8'!$F$2:$H$361,3,false),1)="a","L",""))),"")</f>
        <v/>
      </c>
      <c r="L508" s="68" t="str">
        <f>iferror(iferror(if(LEFT(VLOOKUP($B508,'Round 9'!$B$2:$H$361,7,false),1)="A","W",if(LEFT(VLOOKUP($B508,'Round 9'!$B$2:$H$361,7,false),1)="B","L","")),if(LEFT(VLOOKUP($B508,'Round 9'!$F$2:$H$361,3,false),1)="b","W",if(LEFT(VLOOKUP($B508,'Round 9'!$F$2:$H$361,3,false),1)="a","L",""))),"")</f>
        <v/>
      </c>
      <c r="M508" s="68" t="str">
        <f>iferror(iferror(if(LEFT(VLOOKUP($B508,'Round 10'!$B$2:$H$362,7,false),1)="A","W",if(LEFT(VLOOKUP($B508,'Round 10'!$B$2:$H$362,7,false),1)="B","L","")),if(LEFT(VLOOKUP($B508,'Round 10'!$F$2:$H$362,3,false),1)="b","W",if(LEFT(VLOOKUP($B508,'Round 10'!$F$2:$H$362,3,false),1)="a","L",""))),"")</f>
        <v/>
      </c>
      <c r="N508" s="62" t="s">
        <v>1069</v>
      </c>
    </row>
    <row r="509">
      <c r="A509" s="63">
        <v>508.0</v>
      </c>
      <c r="B509" s="64" t="s">
        <v>1070</v>
      </c>
      <c r="C509" s="65" t="str">
        <f t="shared" si="1"/>
        <v>1 - 3</v>
      </c>
      <c r="D509" s="67" t="str">
        <f>iferror(if(LEFT(VLOOKUP($B509,'Round 1'!$B$2:$H$361,7,false),1)="A","W",if(LEFT(VLOOKUP($B509,'Round 1'!$B$2:$H$361,7,false),1)="B","L","")),if(LEFT(VLOOKUP($B509,'Round 1'!$F$2:$H$361,3,false),1)="b","W",if(LEFT(VLOOKUP($B509,'Round 1'!$F$2:$H$361,3,false),1)="a","L","")))</f>
        <v>W</v>
      </c>
      <c r="E509" s="67" t="str">
        <f>iferror(if(LEFT(VLOOKUP($B509,'Round 2'!$C$2:$J$361,8,false),1)="A","W",if(LEFT(VLOOKUP($B509,'Round 2'!$C$2:$J$361,8,false),1)="B","L","")),if(LEFT(VLOOKUP($B509,'Round 2'!$G$2:$J$361,4,false),1)="b","W",if(LEFT(VLOOKUP($B509,'Round 2'!$G$2:$J$361,4,false),1)="a","L","")))</f>
        <v>L</v>
      </c>
      <c r="F509" s="67" t="str">
        <f>iferror(if(LEFT(VLOOKUP($B509,'Round 3'!$B$2:$H$361,7,false),1)="A","W",if(LEFT(VLOOKUP($B509,'Round 3'!$B$2:$H$361,7,false),1)="B","L","")),if(LEFT(VLOOKUP($B509,'Round 3'!$F$2:$H$361,3,false),1)="b","W",if(LEFT(VLOOKUP($B509,'Round 3'!$F$2:$H$361,3,false),1)="a","L","")))</f>
        <v>L</v>
      </c>
      <c r="G509" s="67" t="str">
        <f>iferror(if(LEFT(VLOOKUP($B509,'Round 4'!$B$2:$H$361,7,false),1)="A","W",if(LEFT(VLOOKUP($B509,'Round 4'!$B$2:$H$361,7,false),1)="B","L","")),if(LEFT(VLOOKUP($B509,'Round 4'!$F$2:$H$361,3,false),1)="b","W",if(LEFT(VLOOKUP($B509,'Round 4'!$F$2:$H$361,3,false),1)="a","L","")))</f>
        <v>L</v>
      </c>
      <c r="H509" s="67"/>
      <c r="I509" s="67"/>
      <c r="J509" s="67" t="str">
        <f>iferror(iferror(if(LEFT(VLOOKUP($B509,'Round 7'!$B$2:$H$361,7,false),1)="A","W",if(LEFT(VLOOKUP($B509,'Round 7'!$B$2:$H$361,7,false),1)="B","L","")),if(LEFT(VLOOKUP($B509,'Round 7'!$F$2:$H$361,3,false),1)="b","W",if(LEFT(VLOOKUP($B509,'Round 7'!$F$2:$H$361,3,false),1)="a","L",""))),"")</f>
        <v/>
      </c>
      <c r="K509" s="68" t="str">
        <f>iferror(iferror(if(LEFT(VLOOKUP($B509,'Round 8'!$B$2:$H$361,7,false),1)="A","W",if(LEFT(VLOOKUP($B509,'Round 8'!$B$2:$H$361,7,false),1)="B","L","")),if(LEFT(VLOOKUP($B509,'Round 8'!$F$2:$H$361,3,false),1)="b","W",if(LEFT(VLOOKUP($B509,'Round 8'!$F$2:$H$361,3,false),1)="a","L",""))),"")</f>
        <v/>
      </c>
      <c r="L509" s="68" t="str">
        <f>iferror(iferror(if(LEFT(VLOOKUP($B509,'Round 9'!$B$2:$H$361,7,false),1)="A","W",if(LEFT(VLOOKUP($B509,'Round 9'!$B$2:$H$361,7,false),1)="B","L","")),if(LEFT(VLOOKUP($B509,'Round 9'!$F$2:$H$361,3,false),1)="b","W",if(LEFT(VLOOKUP($B509,'Round 9'!$F$2:$H$361,3,false),1)="a","L",""))),"")</f>
        <v/>
      </c>
      <c r="M509" s="68" t="str">
        <f>iferror(iferror(if(LEFT(VLOOKUP($B509,'Round 10'!$B$2:$H$362,7,false),1)="A","W",if(LEFT(VLOOKUP($B509,'Round 10'!$B$2:$H$362,7,false),1)="B","L","")),if(LEFT(VLOOKUP($B509,'Round 10'!$F$2:$H$362,3,false),1)="b","W",if(LEFT(VLOOKUP($B509,'Round 10'!$F$2:$H$362,3,false),1)="a","L",""))),"")</f>
        <v/>
      </c>
      <c r="N509" s="62" t="s">
        <v>1071</v>
      </c>
    </row>
    <row r="510">
      <c r="A510" s="63">
        <v>509.0</v>
      </c>
      <c r="B510" s="64" t="s">
        <v>1072</v>
      </c>
      <c r="C510" s="65" t="str">
        <f t="shared" si="1"/>
        <v>0 - 3</v>
      </c>
      <c r="D510" s="67" t="str">
        <f>iferror(if(LEFT(VLOOKUP($B510,'Round 1'!$B$2:$H$361,7,false),1)="A","W",if(LEFT(VLOOKUP($B510,'Round 1'!$B$2:$H$361,7,false),1)="B","L","")),if(LEFT(VLOOKUP($B510,'Round 1'!$F$2:$H$361,3,false),1)="b","W",if(LEFT(VLOOKUP($B510,'Round 1'!$F$2:$H$361,3,false),1)="a","L","")))</f>
        <v>L</v>
      </c>
      <c r="E510" s="67" t="str">
        <f>iferror(if(LEFT(VLOOKUP($B510,'Round 2'!$C$2:$J$361,8,false),1)="A","W",if(LEFT(VLOOKUP($B510,'Round 2'!$C$2:$J$361,8,false),1)="B","L","")),if(LEFT(VLOOKUP($B510,'Round 2'!$G$2:$J$361,4,false),1)="b","W",if(LEFT(VLOOKUP($B510,'Round 2'!$G$2:$J$361,4,false),1)="a","L","")))</f>
        <v>L</v>
      </c>
      <c r="F510" s="67" t="str">
        <f>iferror(if(LEFT(VLOOKUP($B510,'Round 3'!$B$2:$H$361,7,false),1)="A","W",if(LEFT(VLOOKUP($B510,'Round 3'!$B$2:$H$361,7,false),1)="B","L","")),if(LEFT(VLOOKUP($B510,'Round 3'!$F$2:$H$361,3,false),1)="b","W",if(LEFT(VLOOKUP($B510,'Round 3'!$F$2:$H$361,3,false),1)="a","L","")))</f>
        <v>L</v>
      </c>
      <c r="G510" s="67"/>
      <c r="H510" s="67"/>
      <c r="I510" s="67"/>
      <c r="J510" s="67" t="str">
        <f>iferror(iferror(if(LEFT(VLOOKUP($B510,'Round 7'!$B$2:$H$361,7,false),1)="A","W",if(LEFT(VLOOKUP($B510,'Round 7'!$B$2:$H$361,7,false),1)="B","L","")),if(LEFT(VLOOKUP($B510,'Round 7'!$F$2:$H$361,3,false),1)="b","W",if(LEFT(VLOOKUP($B510,'Round 7'!$F$2:$H$361,3,false),1)="a","L",""))),"")</f>
        <v/>
      </c>
      <c r="K510" s="68" t="str">
        <f>iferror(iferror(if(LEFT(VLOOKUP($B510,'Round 8'!$B$2:$H$361,7,false),1)="A","W",if(LEFT(VLOOKUP($B510,'Round 8'!$B$2:$H$361,7,false),1)="B","L","")),if(LEFT(VLOOKUP($B510,'Round 8'!$F$2:$H$361,3,false),1)="b","W",if(LEFT(VLOOKUP($B510,'Round 8'!$F$2:$H$361,3,false),1)="a","L",""))),"")</f>
        <v/>
      </c>
      <c r="L510" s="68" t="str">
        <f>iferror(iferror(if(LEFT(VLOOKUP($B510,'Round 9'!$B$2:$H$361,7,false),1)="A","W",if(LEFT(VLOOKUP($B510,'Round 9'!$B$2:$H$361,7,false),1)="B","L","")),if(LEFT(VLOOKUP($B510,'Round 9'!$F$2:$H$361,3,false),1)="b","W",if(LEFT(VLOOKUP($B510,'Round 9'!$F$2:$H$361,3,false),1)="a","L",""))),"")</f>
        <v/>
      </c>
      <c r="M510" s="68" t="str">
        <f>iferror(iferror(if(LEFT(VLOOKUP($B510,'Round 10'!$B$2:$H$362,7,false),1)="A","W",if(LEFT(VLOOKUP($B510,'Round 10'!$B$2:$H$362,7,false),1)="B","L","")),if(LEFT(VLOOKUP($B510,'Round 10'!$F$2:$H$362,3,false),1)="b","W",if(LEFT(VLOOKUP($B510,'Round 10'!$F$2:$H$362,3,false),1)="a","L",""))),"")</f>
        <v/>
      </c>
      <c r="N510" s="72" t="s">
        <v>144</v>
      </c>
    </row>
    <row r="511">
      <c r="A511" s="63">
        <v>510.0</v>
      </c>
      <c r="B511" s="64" t="s">
        <v>1073</v>
      </c>
      <c r="C511" s="65" t="str">
        <f t="shared" si="1"/>
        <v>3 - 3</v>
      </c>
      <c r="D511" s="67" t="str">
        <f>iferror(if(LEFT(VLOOKUP($B511,'Round 1'!$B$2:$H$361,7,false),1)="A","W",if(LEFT(VLOOKUP($B511,'Round 1'!$B$2:$H$361,7,false),1)="B","L","")),if(LEFT(VLOOKUP($B511,'Round 1'!$F$2:$H$361,3,false),1)="b","W",if(LEFT(VLOOKUP($B511,'Round 1'!$F$2:$H$361,3,false),1)="a","L","")))</f>
        <v>L</v>
      </c>
      <c r="E511" s="67" t="str">
        <f>iferror(if(LEFT(VLOOKUP($B511,'Round 2'!$C$2:$J$361,8,false),1)="A","W",if(LEFT(VLOOKUP($B511,'Round 2'!$C$2:$J$361,8,false),1)="B","L","")),if(LEFT(VLOOKUP($B511,'Round 2'!$G$2:$J$361,4,false),1)="b","W",if(LEFT(VLOOKUP($B511,'Round 2'!$G$2:$J$361,4,false),1)="a","L","")))</f>
        <v>W</v>
      </c>
      <c r="F511" s="67" t="str">
        <f>iferror(if(LEFT(VLOOKUP($B511,'Round 3'!$B$2:$H$361,7,false),1)="A","W",if(LEFT(VLOOKUP($B511,'Round 3'!$B$2:$H$361,7,false),1)="B","L","")),if(LEFT(VLOOKUP($B511,'Round 3'!$F$2:$H$361,3,false),1)="b","W",if(LEFT(VLOOKUP($B511,'Round 3'!$F$2:$H$361,3,false),1)="a","L","")))</f>
        <v>L</v>
      </c>
      <c r="G511" s="67" t="str">
        <f>iferror(if(LEFT(VLOOKUP($B511,'Round 4'!$B$2:$H$361,7,false),1)="A","W",if(LEFT(VLOOKUP($B511,'Round 4'!$B$2:$H$361,7,false),1)="B","L","")),if(LEFT(VLOOKUP($B511,'Round 4'!$F$2:$H$361,3,false),1)="b","W",if(LEFT(VLOOKUP($B511,'Round 4'!$F$2:$H$361,3,false),1)="a","L","")))</f>
        <v>W</v>
      </c>
      <c r="H511" s="67" t="str">
        <f>iferror(if(LEFT(VLOOKUP($B511,'Round 5'!$B$2:$H$361,7,false),1)="A","W",if(LEFT(VLOOKUP($B511,'Round 5'!$B$2:$H$361,7,false),1)="B","L","")),if(LEFT(VLOOKUP($B511,'Round 5'!$F$2:$H$361,3,false),1)="b","W",if(LEFT(VLOOKUP($B511,'Round 5'!$F$2:$H$361,3,false),1)="a","L","")))</f>
        <v>W</v>
      </c>
      <c r="I511" s="67" t="str">
        <f>iferror(if(LEFT(VLOOKUP($B511,'Round 6'!$B$2:$H$361,7,false),1)="A","W",if(LEFT(VLOOKUP($B511,'Round 6'!$B$2:$H$361,7,false),1)="B","L","")),if(LEFT(VLOOKUP($B511,'Round 6'!$F$2:$H$361,3,false),1)="b","W",if(LEFT(VLOOKUP($B511,'Round 6'!$F$2:$H$361,3,false),1)="a","L","")))</f>
        <v>L</v>
      </c>
      <c r="J511" s="67" t="str">
        <f>iferror(iferror(if(LEFT(VLOOKUP($B511,'Round 7'!$B$2:$H$361,7,false),1)="A","W",if(LEFT(VLOOKUP($B511,'Round 7'!$B$2:$H$361,7,false),1)="B","L","")),if(LEFT(VLOOKUP($B511,'Round 7'!$F$2:$H$361,3,false),1)="b","W",if(LEFT(VLOOKUP($B511,'Round 7'!$F$2:$H$361,3,false),1)="a","L",""))),"")</f>
        <v/>
      </c>
      <c r="K511" s="68" t="str">
        <f>iferror(iferror(if(LEFT(VLOOKUP($B511,'Round 8'!$B$2:$H$361,7,false),1)="A","W",if(LEFT(VLOOKUP($B511,'Round 8'!$B$2:$H$361,7,false),1)="B","L","")),if(LEFT(VLOOKUP($B511,'Round 8'!$F$2:$H$361,3,false),1)="b","W",if(LEFT(VLOOKUP($B511,'Round 8'!$F$2:$H$361,3,false),1)="a","L",""))),"")</f>
        <v/>
      </c>
      <c r="L511" s="68" t="str">
        <f>iferror(iferror(if(LEFT(VLOOKUP($B511,'Round 9'!$B$2:$H$361,7,false),1)="A","W",if(LEFT(VLOOKUP($B511,'Round 9'!$B$2:$H$361,7,false),1)="B","L","")),if(LEFT(VLOOKUP($B511,'Round 9'!$F$2:$H$361,3,false),1)="b","W",if(LEFT(VLOOKUP($B511,'Round 9'!$F$2:$H$361,3,false),1)="a","L",""))),"")</f>
        <v/>
      </c>
      <c r="M511" s="68" t="str">
        <f>iferror(iferror(if(LEFT(VLOOKUP($B511,'Round 10'!$B$2:$H$362,7,false),1)="A","W",if(LEFT(VLOOKUP($B511,'Round 10'!$B$2:$H$362,7,false),1)="B","L","")),if(LEFT(VLOOKUP($B511,'Round 10'!$F$2:$H$362,3,false),1)="b","W",if(LEFT(VLOOKUP($B511,'Round 10'!$F$2:$H$362,3,false),1)="a","L",""))),"")</f>
        <v/>
      </c>
      <c r="N511" s="62" t="s">
        <v>1074</v>
      </c>
    </row>
    <row r="512">
      <c r="A512" s="63">
        <v>511.0</v>
      </c>
      <c r="B512" s="64" t="s">
        <v>1075</v>
      </c>
      <c r="C512" s="65" t="str">
        <f t="shared" si="1"/>
        <v>1 - 3</v>
      </c>
      <c r="D512" s="67" t="str">
        <f>iferror(if(LEFT(VLOOKUP($B512,'Round 1'!$B$2:$H$361,7,false),1)="A","W",if(LEFT(VLOOKUP($B512,'Round 1'!$B$2:$H$361,7,false),1)="B","L","")),if(LEFT(VLOOKUP($B512,'Round 1'!$F$2:$H$361,3,false),1)="b","W",if(LEFT(VLOOKUP($B512,'Round 1'!$F$2:$H$361,3,false),1)="a","L","")))</f>
        <v>L</v>
      </c>
      <c r="E512" s="67" t="str">
        <f>iferror(if(LEFT(VLOOKUP($B512,'Round 2'!$C$2:$J$361,8,false),1)="A","W",if(LEFT(VLOOKUP($B512,'Round 2'!$C$2:$J$361,8,false),1)="B","L","")),if(LEFT(VLOOKUP($B512,'Round 2'!$G$2:$J$361,4,false),1)="b","W",if(LEFT(VLOOKUP($B512,'Round 2'!$G$2:$J$361,4,false),1)="a","L","")))</f>
        <v>W</v>
      </c>
      <c r="F512" s="67" t="str">
        <f>iferror(if(LEFT(VLOOKUP($B512,'Round 3'!$B$2:$H$361,7,false),1)="A","W",if(LEFT(VLOOKUP($B512,'Round 3'!$B$2:$H$361,7,false),1)="B","L","")),if(LEFT(VLOOKUP($B512,'Round 3'!$F$2:$H$361,3,false),1)="b","W",if(LEFT(VLOOKUP($B512,'Round 3'!$F$2:$H$361,3,false),1)="a","L","")))</f>
        <v>L</v>
      </c>
      <c r="G512" s="67" t="str">
        <f>iferror(if(LEFT(VLOOKUP($B512,'Round 4'!$B$2:$H$361,7,false),1)="A","W",if(LEFT(VLOOKUP($B512,'Round 4'!$B$2:$H$361,7,false),1)="B","L","")),if(LEFT(VLOOKUP($B512,'Round 4'!$F$2:$H$361,3,false),1)="b","W",if(LEFT(VLOOKUP($B512,'Round 4'!$F$2:$H$361,3,false),1)="a","L","")))</f>
        <v>L</v>
      </c>
      <c r="H512" s="67"/>
      <c r="I512" s="67"/>
      <c r="J512" s="67" t="str">
        <f>iferror(iferror(if(LEFT(VLOOKUP($B512,'Round 7'!$B$2:$H$361,7,false),1)="A","W",if(LEFT(VLOOKUP($B512,'Round 7'!$B$2:$H$361,7,false),1)="B","L","")),if(LEFT(VLOOKUP($B512,'Round 7'!$F$2:$H$361,3,false),1)="b","W",if(LEFT(VLOOKUP($B512,'Round 7'!$F$2:$H$361,3,false),1)="a","L",""))),"")</f>
        <v/>
      </c>
      <c r="K512" s="68" t="str">
        <f>iferror(iferror(if(LEFT(VLOOKUP($B512,'Round 8'!$B$2:$H$361,7,false),1)="A","W",if(LEFT(VLOOKUP($B512,'Round 8'!$B$2:$H$361,7,false),1)="B","L","")),if(LEFT(VLOOKUP($B512,'Round 8'!$F$2:$H$361,3,false),1)="b","W",if(LEFT(VLOOKUP($B512,'Round 8'!$F$2:$H$361,3,false),1)="a","L",""))),"")</f>
        <v/>
      </c>
      <c r="L512" s="68" t="str">
        <f>iferror(iferror(if(LEFT(VLOOKUP($B512,'Round 9'!$B$2:$H$361,7,false),1)="A","W",if(LEFT(VLOOKUP($B512,'Round 9'!$B$2:$H$361,7,false),1)="B","L","")),if(LEFT(VLOOKUP($B512,'Round 9'!$F$2:$H$361,3,false),1)="b","W",if(LEFT(VLOOKUP($B512,'Round 9'!$F$2:$H$361,3,false),1)="a","L",""))),"")</f>
        <v/>
      </c>
      <c r="M512" s="68" t="str">
        <f>iferror(iferror(if(LEFT(VLOOKUP($B512,'Round 10'!$B$2:$H$362,7,false),1)="A","W",if(LEFT(VLOOKUP($B512,'Round 10'!$B$2:$H$362,7,false),1)="B","L","")),if(LEFT(VLOOKUP($B512,'Round 10'!$F$2:$H$362,3,false),1)="b","W",if(LEFT(VLOOKUP($B512,'Round 10'!$F$2:$H$362,3,false),1)="a","L",""))),"")</f>
        <v/>
      </c>
      <c r="N512" s="62" t="s">
        <v>1076</v>
      </c>
    </row>
    <row r="513">
      <c r="A513" s="63">
        <v>512.0</v>
      </c>
      <c r="B513" s="64" t="s">
        <v>1077</v>
      </c>
      <c r="C513" s="65" t="str">
        <f t="shared" si="1"/>
        <v>5 - 3</v>
      </c>
      <c r="D513" s="67" t="str">
        <f>iferror(if(LEFT(VLOOKUP($B513,'Round 1'!$B$2:$H$361,7,false),1)="A","W",if(LEFT(VLOOKUP($B513,'Round 1'!$B$2:$H$361,7,false),1)="B","L","")),if(LEFT(VLOOKUP($B513,'Round 1'!$F$2:$H$361,3,false),1)="b","W",if(LEFT(VLOOKUP($B513,'Round 1'!$F$2:$H$361,3,false),1)="a","L","")))</f>
        <v>L</v>
      </c>
      <c r="E513" s="67" t="str">
        <f>iferror(if(LEFT(VLOOKUP($B513,'Round 2'!$C$2:$J$361,8,false),1)="A","W",if(LEFT(VLOOKUP($B513,'Round 2'!$C$2:$J$361,8,false),1)="B","L","")),if(LEFT(VLOOKUP($B513,'Round 2'!$G$2:$J$361,4,false),1)="b","W",if(LEFT(VLOOKUP($B513,'Round 2'!$G$2:$J$361,4,false),1)="a","L","")))</f>
        <v>L</v>
      </c>
      <c r="F513" s="67" t="str">
        <f>iferror(if(LEFT(VLOOKUP($B513,'Round 3'!$B$2:$H$361,7,false),1)="A","W",if(LEFT(VLOOKUP($B513,'Round 3'!$B$2:$H$361,7,false),1)="B","L","")),if(LEFT(VLOOKUP($B513,'Round 3'!$F$2:$H$361,3,false),1)="b","W",if(LEFT(VLOOKUP($B513,'Round 3'!$F$2:$H$361,3,false),1)="a","L","")))</f>
        <v>W</v>
      </c>
      <c r="G513" s="67" t="str">
        <f>iferror(if(LEFT(VLOOKUP($B513,'Round 4'!$B$2:$H$361,7,false),1)="A","W",if(LEFT(VLOOKUP($B513,'Round 4'!$B$2:$H$361,7,false),1)="B","L","")),if(LEFT(VLOOKUP($B513,'Round 4'!$F$2:$H$361,3,false),1)="b","W",if(LEFT(VLOOKUP($B513,'Round 4'!$F$2:$H$361,3,false),1)="a","L","")))</f>
        <v>W</v>
      </c>
      <c r="H513" s="67" t="str">
        <f>iferror(if(LEFT(VLOOKUP($B513,'Round 5'!$B$2:$H$361,7,false),1)="A","W",if(LEFT(VLOOKUP($B513,'Round 5'!$B$2:$H$361,7,false),1)="B","L","")),if(LEFT(VLOOKUP($B513,'Round 5'!$F$2:$H$361,3,false),1)="b","W",if(LEFT(VLOOKUP($B513,'Round 5'!$F$2:$H$361,3,false),1)="a","L","")))</f>
        <v>W</v>
      </c>
      <c r="I513" s="67" t="str">
        <f>iferror(if(LEFT(VLOOKUP($B513,'Round 6'!$B$2:$H$361,7,false),1)="A","W",if(LEFT(VLOOKUP($B513,'Round 6'!$B$2:$H$361,7,false),1)="B","L","")),if(LEFT(VLOOKUP($B513,'Round 6'!$F$2:$H$361,3,false),1)="b","W",if(LEFT(VLOOKUP($B513,'Round 6'!$F$2:$H$361,3,false),1)="a","L","")))</f>
        <v>W</v>
      </c>
      <c r="J513" s="67" t="str">
        <f>iferror(iferror(if(LEFT(VLOOKUP($B513,'Round 7'!$B$2:$H$361,7,false),1)="A","W",if(LEFT(VLOOKUP($B513,'Round 7'!$B$2:$H$361,7,false),1)="B","L","")),if(LEFT(VLOOKUP($B513,'Round 7'!$F$2:$H$361,3,false),1)="b","W",if(LEFT(VLOOKUP($B513,'Round 7'!$F$2:$H$361,3,false),1)="a","L",""))),"")</f>
        <v>W</v>
      </c>
      <c r="K513" s="68" t="str">
        <f>iferror(iferror(if(LEFT(VLOOKUP($B513,'Round 8'!$B$2:$H$361,7,false),1)="A","W",if(LEFT(VLOOKUP($B513,'Round 8'!$B$2:$H$361,7,false),1)="B","L","")),if(LEFT(VLOOKUP($B513,'Round 8'!$F$2:$H$361,3,false),1)="b","W",if(LEFT(VLOOKUP($B513,'Round 8'!$F$2:$H$361,3,false),1)="a","L",""))),"")</f>
        <v>L</v>
      </c>
      <c r="L513" s="68" t="str">
        <f>iferror(iferror(if(LEFT(VLOOKUP($B513,'Round 9'!$B$2:$H$361,7,false),1)="A","W",if(LEFT(VLOOKUP($B513,'Round 9'!$B$2:$H$361,7,false),1)="B","L","")),if(LEFT(VLOOKUP($B513,'Round 9'!$F$2:$H$361,3,false),1)="b","W",if(LEFT(VLOOKUP($B513,'Round 9'!$F$2:$H$361,3,false),1)="a","L",""))),"")</f>
        <v/>
      </c>
      <c r="M513" s="68" t="str">
        <f>iferror(iferror(if(LEFT(VLOOKUP($B513,'Round 10'!$B$2:$H$362,7,false),1)="A","W",if(LEFT(VLOOKUP($B513,'Round 10'!$B$2:$H$362,7,false),1)="B","L","")),if(LEFT(VLOOKUP($B513,'Round 10'!$F$2:$H$362,3,false),1)="b","W",if(LEFT(VLOOKUP($B513,'Round 10'!$F$2:$H$362,3,false),1)="a","L",""))),"")</f>
        <v/>
      </c>
      <c r="N513" s="62" t="s">
        <v>1078</v>
      </c>
    </row>
    <row r="514">
      <c r="A514" s="63">
        <v>513.0</v>
      </c>
      <c r="B514" s="64" t="s">
        <v>1079</v>
      </c>
      <c r="C514" s="65" t="str">
        <f t="shared" si="1"/>
        <v>4 - 3</v>
      </c>
      <c r="D514" s="67" t="str">
        <f>iferror(if(LEFT(VLOOKUP($B514,'Round 1'!$B$2:$H$361,7,false),1)="A","W",if(LEFT(VLOOKUP($B514,'Round 1'!$B$2:$H$361,7,false),1)="B","L","")),if(LEFT(VLOOKUP($B514,'Round 1'!$F$2:$H$361,3,false),1)="b","W",if(LEFT(VLOOKUP($B514,'Round 1'!$F$2:$H$361,3,false),1)="a","L","")))</f>
        <v>W</v>
      </c>
      <c r="E514" s="67" t="str">
        <f>iferror(if(LEFT(VLOOKUP($B514,'Round 2'!$C$2:$J$361,8,false),1)="A","W",if(LEFT(VLOOKUP($B514,'Round 2'!$C$2:$J$361,8,false),1)="B","L","")),if(LEFT(VLOOKUP($B514,'Round 2'!$G$2:$J$361,4,false),1)="b","W",if(LEFT(VLOOKUP($B514,'Round 2'!$G$2:$J$361,4,false),1)="a","L","")))</f>
        <v>L</v>
      </c>
      <c r="F514" s="67" t="str">
        <f>iferror(if(LEFT(VLOOKUP($B514,'Round 3'!$B$2:$H$361,7,false),1)="A","W",if(LEFT(VLOOKUP($B514,'Round 3'!$B$2:$H$361,7,false),1)="B","L","")),if(LEFT(VLOOKUP($B514,'Round 3'!$F$2:$H$361,3,false),1)="b","W",if(LEFT(VLOOKUP($B514,'Round 3'!$F$2:$H$361,3,false),1)="a","L","")))</f>
        <v>W</v>
      </c>
      <c r="G514" s="67" t="str">
        <f>iferror(if(LEFT(VLOOKUP($B514,'Round 4'!$B$2:$H$361,7,false),1)="A","W",if(LEFT(VLOOKUP($B514,'Round 4'!$B$2:$H$361,7,false),1)="B","L","")),if(LEFT(VLOOKUP($B514,'Round 4'!$F$2:$H$361,3,false),1)="b","W",if(LEFT(VLOOKUP($B514,'Round 4'!$F$2:$H$361,3,false),1)="a","L","")))</f>
        <v>W</v>
      </c>
      <c r="H514" s="67" t="str">
        <f>iferror(if(LEFT(VLOOKUP($B514,'Round 5'!$B$2:$H$361,7,false),1)="A","W",if(LEFT(VLOOKUP($B514,'Round 5'!$B$2:$H$361,7,false),1)="B","L","")),if(LEFT(VLOOKUP($B514,'Round 5'!$F$2:$H$361,3,false),1)="b","W",if(LEFT(VLOOKUP($B514,'Round 5'!$F$2:$H$361,3,false),1)="a","L","")))</f>
        <v>L</v>
      </c>
      <c r="I514" s="67" t="str">
        <f>iferror(if(LEFT(VLOOKUP($B514,'Round 6'!$B$2:$H$361,7,false),1)="A","W",if(LEFT(VLOOKUP($B514,'Round 6'!$B$2:$H$361,7,false),1)="B","L","")),if(LEFT(VLOOKUP($B514,'Round 6'!$F$2:$H$361,3,false),1)="b","W",if(LEFT(VLOOKUP($B514,'Round 6'!$F$2:$H$361,3,false),1)="a","L","")))</f>
        <v>W</v>
      </c>
      <c r="J514" s="67" t="str">
        <f>iferror(iferror(if(LEFT(VLOOKUP($B514,'Round 7'!$B$2:$H$361,7,false),1)="A","W",if(LEFT(VLOOKUP($B514,'Round 7'!$B$2:$H$361,7,false),1)="B","L","")),if(LEFT(VLOOKUP($B514,'Round 7'!$F$2:$H$361,3,false),1)="b","W",if(LEFT(VLOOKUP($B514,'Round 7'!$F$2:$H$361,3,false),1)="a","L",""))),"")</f>
        <v>L</v>
      </c>
      <c r="K514" s="68" t="str">
        <f>iferror(iferror(if(LEFT(VLOOKUP($B514,'Round 8'!$B$2:$H$361,7,false),1)="A","W",if(LEFT(VLOOKUP($B514,'Round 8'!$B$2:$H$361,7,false),1)="B","L","")),if(LEFT(VLOOKUP($B514,'Round 8'!$F$2:$H$361,3,false),1)="b","W",if(LEFT(VLOOKUP($B514,'Round 8'!$F$2:$H$361,3,false),1)="a","L",""))),"")</f>
        <v/>
      </c>
      <c r="L514" s="68" t="str">
        <f>iferror(iferror(if(LEFT(VLOOKUP($B514,'Round 9'!$B$2:$H$361,7,false),1)="A","W",if(LEFT(VLOOKUP($B514,'Round 9'!$B$2:$H$361,7,false),1)="B","L","")),if(LEFT(VLOOKUP($B514,'Round 9'!$F$2:$H$361,3,false),1)="b","W",if(LEFT(VLOOKUP($B514,'Round 9'!$F$2:$H$361,3,false),1)="a","L",""))),"")</f>
        <v/>
      </c>
      <c r="M514" s="68" t="str">
        <f>iferror(iferror(if(LEFT(VLOOKUP($B514,'Round 10'!$B$2:$H$362,7,false),1)="A","W",if(LEFT(VLOOKUP($B514,'Round 10'!$B$2:$H$362,7,false),1)="B","L","")),if(LEFT(VLOOKUP($B514,'Round 10'!$F$2:$H$362,3,false),1)="b","W",if(LEFT(VLOOKUP($B514,'Round 10'!$F$2:$H$362,3,false),1)="a","L",""))),"")</f>
        <v/>
      </c>
      <c r="N514" s="62" t="s">
        <v>1080</v>
      </c>
    </row>
    <row r="515">
      <c r="A515" s="63">
        <v>514.0</v>
      </c>
      <c r="B515" s="64" t="s">
        <v>1081</v>
      </c>
      <c r="C515" s="65" t="str">
        <f t="shared" si="1"/>
        <v>2 - 3</v>
      </c>
      <c r="D515" s="67" t="str">
        <f>iferror(if(LEFT(VLOOKUP($B515,'Round 1'!$B$2:$H$361,7,false),1)="A","W",if(LEFT(VLOOKUP($B515,'Round 1'!$B$2:$H$361,7,false),1)="B","L","")),if(LEFT(VLOOKUP($B515,'Round 1'!$F$2:$H$361,3,false),1)="b","W",if(LEFT(VLOOKUP($B515,'Round 1'!$F$2:$H$361,3,false),1)="a","L","")))</f>
        <v>W</v>
      </c>
      <c r="E515" s="67" t="str">
        <f>iferror(if(LEFT(VLOOKUP($B515,'Round 2'!$C$2:$J$361,8,false),1)="A","W",if(LEFT(VLOOKUP($B515,'Round 2'!$C$2:$J$361,8,false),1)="B","L","")),if(LEFT(VLOOKUP($B515,'Round 2'!$G$2:$J$361,4,false),1)="b","W",if(LEFT(VLOOKUP($B515,'Round 2'!$G$2:$J$361,4,false),1)="a","L","")))</f>
        <v>L</v>
      </c>
      <c r="F515" s="67" t="str">
        <f>iferror(if(LEFT(VLOOKUP($B515,'Round 3'!$B$2:$H$361,7,false),1)="A","W",if(LEFT(VLOOKUP($B515,'Round 3'!$B$2:$H$361,7,false),1)="B","L","")),if(LEFT(VLOOKUP($B515,'Round 3'!$F$2:$H$361,3,false),1)="b","W",if(LEFT(VLOOKUP($B515,'Round 3'!$F$2:$H$361,3,false),1)="a","L","")))</f>
        <v>L</v>
      </c>
      <c r="G515" s="67" t="str">
        <f>iferror(if(LEFT(VLOOKUP($B515,'Round 4'!$B$2:$H$361,7,false),1)="A","W",if(LEFT(VLOOKUP($B515,'Round 4'!$B$2:$H$361,7,false),1)="B","L","")),if(LEFT(VLOOKUP($B515,'Round 4'!$F$2:$H$361,3,false),1)="b","W",if(LEFT(VLOOKUP($B515,'Round 4'!$F$2:$H$361,3,false),1)="a","L","")))</f>
        <v>W</v>
      </c>
      <c r="H515" s="67" t="str">
        <f>iferror(if(LEFT(VLOOKUP($B515,'Round 5'!$B$2:$H$361,7,false),1)="A","W",if(LEFT(VLOOKUP($B515,'Round 5'!$B$2:$H$361,7,false),1)="B","L","")),if(LEFT(VLOOKUP($B515,'Round 5'!$F$2:$H$361,3,false),1)="b","W",if(LEFT(VLOOKUP($B515,'Round 5'!$F$2:$H$361,3,false),1)="a","L","")))</f>
        <v>L</v>
      </c>
      <c r="I515" s="67"/>
      <c r="J515" s="67" t="str">
        <f>iferror(iferror(if(LEFT(VLOOKUP($B515,'Round 7'!$B$2:$H$361,7,false),1)="A","W",if(LEFT(VLOOKUP($B515,'Round 7'!$B$2:$H$361,7,false),1)="B","L","")),if(LEFT(VLOOKUP($B515,'Round 7'!$F$2:$H$361,3,false),1)="b","W",if(LEFT(VLOOKUP($B515,'Round 7'!$F$2:$H$361,3,false),1)="a","L",""))),"")</f>
        <v/>
      </c>
      <c r="K515" s="68" t="str">
        <f>iferror(iferror(if(LEFT(VLOOKUP($B515,'Round 8'!$B$2:$H$361,7,false),1)="A","W",if(LEFT(VLOOKUP($B515,'Round 8'!$B$2:$H$361,7,false),1)="B","L","")),if(LEFT(VLOOKUP($B515,'Round 8'!$F$2:$H$361,3,false),1)="b","W",if(LEFT(VLOOKUP($B515,'Round 8'!$F$2:$H$361,3,false),1)="a","L",""))),"")</f>
        <v/>
      </c>
      <c r="L515" s="68" t="str">
        <f>iferror(iferror(if(LEFT(VLOOKUP($B515,'Round 9'!$B$2:$H$361,7,false),1)="A","W",if(LEFT(VLOOKUP($B515,'Round 9'!$B$2:$H$361,7,false),1)="B","L","")),if(LEFT(VLOOKUP($B515,'Round 9'!$F$2:$H$361,3,false),1)="b","W",if(LEFT(VLOOKUP($B515,'Round 9'!$F$2:$H$361,3,false),1)="a","L",""))),"")</f>
        <v/>
      </c>
      <c r="M515" s="68" t="str">
        <f>iferror(iferror(if(LEFT(VLOOKUP($B515,'Round 10'!$B$2:$H$362,7,false),1)="A","W",if(LEFT(VLOOKUP($B515,'Round 10'!$B$2:$H$362,7,false),1)="B","L","")),if(LEFT(VLOOKUP($B515,'Round 10'!$F$2:$H$362,3,false),1)="b","W",if(LEFT(VLOOKUP($B515,'Round 10'!$F$2:$H$362,3,false),1)="a","L",""))),"")</f>
        <v/>
      </c>
      <c r="N515" s="62" t="s">
        <v>1082</v>
      </c>
    </row>
    <row r="516">
      <c r="A516" s="63">
        <v>515.0</v>
      </c>
      <c r="B516" s="64" t="s">
        <v>1083</v>
      </c>
      <c r="C516" s="65" t="str">
        <f t="shared" si="1"/>
        <v>4 - 3</v>
      </c>
      <c r="D516" s="67" t="str">
        <f>iferror(if(LEFT(VLOOKUP($B516,'Round 1'!$B$2:$H$361,7,false),1)="A","W",if(LEFT(VLOOKUP($B516,'Round 1'!$B$2:$H$361,7,false),1)="B","L","")),if(LEFT(VLOOKUP($B516,'Round 1'!$F$2:$H$361,3,false),1)="b","W",if(LEFT(VLOOKUP($B516,'Round 1'!$F$2:$H$361,3,false),1)="a","L","")))</f>
        <v>W</v>
      </c>
      <c r="E516" s="67" t="str">
        <f>iferror(if(LEFT(VLOOKUP($B516,'Round 2'!$C$2:$J$361,8,false),1)="A","W",if(LEFT(VLOOKUP($B516,'Round 2'!$C$2:$J$361,8,false),1)="B","L","")),if(LEFT(VLOOKUP($B516,'Round 2'!$G$2:$J$361,4,false),1)="b","W",if(LEFT(VLOOKUP($B516,'Round 2'!$G$2:$J$361,4,false),1)="a","L","")))</f>
        <v>W</v>
      </c>
      <c r="F516" s="67" t="str">
        <f>iferror(if(LEFT(VLOOKUP($B516,'Round 3'!$B$2:$H$361,7,false),1)="A","W",if(LEFT(VLOOKUP($B516,'Round 3'!$B$2:$H$361,7,false),1)="B","L","")),if(LEFT(VLOOKUP($B516,'Round 3'!$F$2:$H$361,3,false),1)="b","W",if(LEFT(VLOOKUP($B516,'Round 3'!$F$2:$H$361,3,false),1)="a","L","")))</f>
        <v>W</v>
      </c>
      <c r="G516" s="67" t="str">
        <f>iferror(if(LEFT(VLOOKUP($B516,'Round 4'!$B$2:$H$361,7,false),1)="A","W",if(LEFT(VLOOKUP($B516,'Round 4'!$B$2:$H$361,7,false),1)="B","L","")),if(LEFT(VLOOKUP($B516,'Round 4'!$F$2:$H$361,3,false),1)="b","W",if(LEFT(VLOOKUP($B516,'Round 4'!$F$2:$H$361,3,false),1)="a","L","")))</f>
        <v>L</v>
      </c>
      <c r="H516" s="67" t="str">
        <f>iferror(if(LEFT(VLOOKUP($B516,'Round 5'!$B$2:$H$361,7,false),1)="A","W",if(LEFT(VLOOKUP($B516,'Round 5'!$B$2:$H$361,7,false),1)="B","L","")),if(LEFT(VLOOKUP($B516,'Round 5'!$F$2:$H$361,3,false),1)="b","W",if(LEFT(VLOOKUP($B516,'Round 5'!$F$2:$H$361,3,false),1)="a","L","")))</f>
        <v>L</v>
      </c>
      <c r="I516" s="67" t="str">
        <f>iferror(if(LEFT(VLOOKUP($B516,'Round 6'!$B$2:$H$361,7,false),1)="A","W",if(LEFT(VLOOKUP($B516,'Round 6'!$B$2:$H$361,7,false),1)="B","L","")),if(LEFT(VLOOKUP($B516,'Round 6'!$F$2:$H$361,3,false),1)="b","W",if(LEFT(VLOOKUP($B516,'Round 6'!$F$2:$H$361,3,false),1)="a","L","")))</f>
        <v>W</v>
      </c>
      <c r="J516" s="67" t="str">
        <f>iferror(iferror(if(LEFT(VLOOKUP($B516,'Round 7'!$B$2:$H$361,7,false),1)="A","W",if(LEFT(VLOOKUP($B516,'Round 7'!$B$2:$H$361,7,false),1)="B","L","")),if(LEFT(VLOOKUP($B516,'Round 7'!$F$2:$H$361,3,false),1)="b","W",if(LEFT(VLOOKUP($B516,'Round 7'!$F$2:$H$361,3,false),1)="a","L",""))),"")</f>
        <v>L</v>
      </c>
      <c r="K516" s="68" t="str">
        <f>iferror(iferror(if(LEFT(VLOOKUP($B516,'Round 8'!$B$2:$H$361,7,false),1)="A","W",if(LEFT(VLOOKUP($B516,'Round 8'!$B$2:$H$361,7,false),1)="B","L","")),if(LEFT(VLOOKUP($B516,'Round 8'!$F$2:$H$361,3,false),1)="b","W",if(LEFT(VLOOKUP($B516,'Round 8'!$F$2:$H$361,3,false),1)="a","L",""))),"")</f>
        <v/>
      </c>
      <c r="L516" s="68" t="str">
        <f>iferror(iferror(if(LEFT(VLOOKUP($B516,'Round 9'!$B$2:$H$361,7,false),1)="A","W",if(LEFT(VLOOKUP($B516,'Round 9'!$B$2:$H$361,7,false),1)="B","L","")),if(LEFT(VLOOKUP($B516,'Round 9'!$F$2:$H$361,3,false),1)="b","W",if(LEFT(VLOOKUP($B516,'Round 9'!$F$2:$H$361,3,false),1)="a","L",""))),"")</f>
        <v/>
      </c>
      <c r="M516" s="68" t="str">
        <f>iferror(iferror(if(LEFT(VLOOKUP($B516,'Round 10'!$B$2:$H$362,7,false),1)="A","W",if(LEFT(VLOOKUP($B516,'Round 10'!$B$2:$H$362,7,false),1)="B","L","")),if(LEFT(VLOOKUP($B516,'Round 10'!$F$2:$H$362,3,false),1)="b","W",if(LEFT(VLOOKUP($B516,'Round 10'!$F$2:$H$362,3,false),1)="a","L",""))),"")</f>
        <v/>
      </c>
      <c r="N516" s="62" t="s">
        <v>1084</v>
      </c>
    </row>
    <row r="517">
      <c r="A517" s="63">
        <v>516.0</v>
      </c>
      <c r="B517" s="64" t="s">
        <v>1085</v>
      </c>
      <c r="C517" s="65" t="str">
        <f t="shared" si="1"/>
        <v>0 - 3</v>
      </c>
      <c r="D517" s="67" t="str">
        <f>iferror(if(LEFT(VLOOKUP($B517,'Round 1'!$B$2:$H$361,7,false),1)="A","W",if(LEFT(VLOOKUP($B517,'Round 1'!$B$2:$H$361,7,false),1)="B","L","")),if(LEFT(VLOOKUP($B517,'Round 1'!$F$2:$H$361,3,false),1)="b","W",if(LEFT(VLOOKUP($B517,'Round 1'!$F$2:$H$361,3,false),1)="a","L","")))</f>
        <v>L</v>
      </c>
      <c r="E517" s="67" t="str">
        <f>iferror(if(LEFT(VLOOKUP($B517,'Round 2'!$C$2:$J$361,8,false),1)="A","W",if(LEFT(VLOOKUP($B517,'Round 2'!$C$2:$J$361,8,false),1)="B","L","")),if(LEFT(VLOOKUP($B517,'Round 2'!$G$2:$J$361,4,false),1)="b","W",if(LEFT(VLOOKUP($B517,'Round 2'!$G$2:$J$361,4,false),1)="a","L","")))</f>
        <v>L</v>
      </c>
      <c r="F517" s="67" t="str">
        <f>iferror(if(LEFT(VLOOKUP($B517,'Round 3'!$B$2:$H$361,7,false),1)="A","W",if(LEFT(VLOOKUP($B517,'Round 3'!$B$2:$H$361,7,false),1)="B","L","")),if(LEFT(VLOOKUP($B517,'Round 3'!$F$2:$H$361,3,false),1)="b","W",if(LEFT(VLOOKUP($B517,'Round 3'!$F$2:$H$361,3,false),1)="a","L","")))</f>
        <v>L</v>
      </c>
      <c r="G517" s="67"/>
      <c r="H517" s="67"/>
      <c r="I517" s="67"/>
      <c r="J517" s="67" t="str">
        <f>iferror(iferror(if(LEFT(VLOOKUP($B517,'Round 7'!$B$2:$H$361,7,false),1)="A","W",if(LEFT(VLOOKUP($B517,'Round 7'!$B$2:$H$361,7,false),1)="B","L","")),if(LEFT(VLOOKUP($B517,'Round 7'!$F$2:$H$361,3,false),1)="b","W",if(LEFT(VLOOKUP($B517,'Round 7'!$F$2:$H$361,3,false),1)="a","L",""))),"")</f>
        <v/>
      </c>
      <c r="K517" s="68" t="str">
        <f>iferror(iferror(if(LEFT(VLOOKUP($B517,'Round 8'!$B$2:$H$361,7,false),1)="A","W",if(LEFT(VLOOKUP($B517,'Round 8'!$B$2:$H$361,7,false),1)="B","L","")),if(LEFT(VLOOKUP($B517,'Round 8'!$F$2:$H$361,3,false),1)="b","W",if(LEFT(VLOOKUP($B517,'Round 8'!$F$2:$H$361,3,false),1)="a","L",""))),"")</f>
        <v/>
      </c>
      <c r="L517" s="68" t="str">
        <f>iferror(iferror(if(LEFT(VLOOKUP($B517,'Round 9'!$B$2:$H$361,7,false),1)="A","W",if(LEFT(VLOOKUP($B517,'Round 9'!$B$2:$H$361,7,false),1)="B","L","")),if(LEFT(VLOOKUP($B517,'Round 9'!$F$2:$H$361,3,false),1)="b","W",if(LEFT(VLOOKUP($B517,'Round 9'!$F$2:$H$361,3,false),1)="a","L",""))),"")</f>
        <v/>
      </c>
      <c r="M517" s="68" t="str">
        <f>iferror(iferror(if(LEFT(VLOOKUP($B517,'Round 10'!$B$2:$H$362,7,false),1)="A","W",if(LEFT(VLOOKUP($B517,'Round 10'!$B$2:$H$362,7,false),1)="B","L","")),if(LEFT(VLOOKUP($B517,'Round 10'!$F$2:$H$362,3,false),1)="b","W",if(LEFT(VLOOKUP($B517,'Round 10'!$F$2:$H$362,3,false),1)="a","L",""))),"")</f>
        <v/>
      </c>
      <c r="N517" s="62" t="s">
        <v>1086</v>
      </c>
    </row>
    <row r="518">
      <c r="A518" s="63">
        <v>517.0</v>
      </c>
      <c r="B518" s="64" t="s">
        <v>1087</v>
      </c>
      <c r="C518" s="65" t="str">
        <f t="shared" si="1"/>
        <v>7 - 2</v>
      </c>
      <c r="D518" s="67" t="str">
        <f>iferror(if(LEFT(VLOOKUP($B518,'Round 1'!$B$2:$H$361,7,false),1)="A","W",if(LEFT(VLOOKUP($B518,'Round 1'!$B$2:$H$361,7,false),1)="B","L","")),if(LEFT(VLOOKUP($B518,'Round 1'!$F$2:$H$361,3,false),1)="b","W",if(LEFT(VLOOKUP($B518,'Round 1'!$F$2:$H$361,3,false),1)="a","L","")))</f>
        <v>W</v>
      </c>
      <c r="E518" s="67" t="str">
        <f>iferror(if(LEFT(VLOOKUP($B518,'Round 2'!$C$2:$J$361,8,false),1)="A","W",if(LEFT(VLOOKUP($B518,'Round 2'!$C$2:$J$361,8,false),1)="B","L","")),if(LEFT(VLOOKUP($B518,'Round 2'!$G$2:$J$361,4,false),1)="b","W",if(LEFT(VLOOKUP($B518,'Round 2'!$G$2:$J$361,4,false),1)="a","L","")))</f>
        <v>W</v>
      </c>
      <c r="F518" s="67" t="str">
        <f>iferror(if(LEFT(VLOOKUP($B518,'Round 3'!$B$2:$H$361,7,false),1)="A","W",if(LEFT(VLOOKUP($B518,'Round 3'!$B$2:$H$361,7,false),1)="B","L","")),if(LEFT(VLOOKUP($B518,'Round 3'!$F$2:$H$361,3,false),1)="b","W",if(LEFT(VLOOKUP($B518,'Round 3'!$F$2:$H$361,3,false),1)="a","L","")))</f>
        <v>W</v>
      </c>
      <c r="G518" s="67" t="str">
        <f>iferror(if(LEFT(VLOOKUP($B518,'Round 4'!$B$2:$H$361,7,false),1)="A","W",if(LEFT(VLOOKUP($B518,'Round 4'!$B$2:$H$361,7,false),1)="B","L","")),if(LEFT(VLOOKUP($B518,'Round 4'!$F$2:$H$361,3,false),1)="b","W",if(LEFT(VLOOKUP($B518,'Round 4'!$F$2:$H$361,3,false),1)="a","L","")))</f>
        <v>W</v>
      </c>
      <c r="H518" s="67" t="str">
        <f>iferror(if(LEFT(VLOOKUP($B518,'Round 5'!$B$2:$H$361,7,false),1)="A","W",if(LEFT(VLOOKUP($B518,'Round 5'!$B$2:$H$361,7,false),1)="B","L","")),if(LEFT(VLOOKUP($B518,'Round 5'!$F$2:$H$361,3,false),1)="b","W",if(LEFT(VLOOKUP($B518,'Round 5'!$F$2:$H$361,3,false),1)="a","L","")))</f>
        <v>W</v>
      </c>
      <c r="I518" s="67" t="str">
        <f>iferror(if(LEFT(VLOOKUP($B518,'Round 6'!$B$2:$H$361,7,false),1)="A","W",if(LEFT(VLOOKUP($B518,'Round 6'!$B$2:$H$361,7,false),1)="B","L","")),if(LEFT(VLOOKUP($B518,'Round 6'!$F$2:$H$361,3,false),1)="b","W",if(LEFT(VLOOKUP($B518,'Round 6'!$F$2:$H$361,3,false),1)="a","L","")))</f>
        <v>L</v>
      </c>
      <c r="J518" s="67" t="str">
        <f>iferror(iferror(if(LEFT(VLOOKUP($B518,'Round 7'!$B$2:$H$361,7,false),1)="A","W",if(LEFT(VLOOKUP($B518,'Round 7'!$B$2:$H$361,7,false),1)="B","L","")),if(LEFT(VLOOKUP($B518,'Round 7'!$F$2:$H$361,3,false),1)="b","W",if(LEFT(VLOOKUP($B518,'Round 7'!$F$2:$H$361,3,false),1)="a","L",""))),"")</f>
        <v>L</v>
      </c>
      <c r="K518" s="68" t="str">
        <f>iferror(iferror(if(LEFT(VLOOKUP($B518,'Round 8'!$B$2:$H$361,7,false),1)="A","W",if(LEFT(VLOOKUP($B518,'Round 8'!$B$2:$H$361,7,false),1)="B","L","")),if(LEFT(VLOOKUP($B518,'Round 8'!$F$2:$H$361,3,false),1)="b","W",if(LEFT(VLOOKUP($B518,'Round 8'!$F$2:$H$361,3,false),1)="a","L",""))),"")</f>
        <v>W</v>
      </c>
      <c r="L518" s="68" t="str">
        <f>iferror(iferror(if(LEFT(VLOOKUP($B518,'Round 9'!$B$2:$H$361,7,false),1)="A","W",if(LEFT(VLOOKUP($B518,'Round 9'!$B$2:$H$361,7,false),1)="B","L","")),if(LEFT(VLOOKUP($B518,'Round 9'!$F$2:$H$361,3,false),1)="b","W",if(LEFT(VLOOKUP($B518,'Round 9'!$F$2:$H$361,3,false),1)="a","L",""))),"")</f>
        <v>W</v>
      </c>
      <c r="M518" s="68" t="str">
        <f>iferror(iferror(if(LEFT(VLOOKUP($B518,'Round 10'!$B$2:$H$362,7,false),1)="A","W",if(LEFT(VLOOKUP($B518,'Round 10'!$B$2:$H$362,7,false),1)="B","L","")),if(LEFT(VLOOKUP($B518,'Round 10'!$F$2:$H$362,3,false),1)="b","W",if(LEFT(VLOOKUP($B518,'Round 10'!$F$2:$H$362,3,false),1)="a","L",""))),"")</f>
        <v/>
      </c>
      <c r="N518" s="62" t="s">
        <v>1088</v>
      </c>
    </row>
    <row r="519">
      <c r="A519" s="63">
        <v>518.0</v>
      </c>
      <c r="B519" s="64" t="s">
        <v>1089</v>
      </c>
      <c r="C519" s="65" t="str">
        <f t="shared" si="1"/>
        <v>3 - 3</v>
      </c>
      <c r="D519" s="67" t="str">
        <f>iferror(if(LEFT(VLOOKUP($B519,'Round 1'!$B$2:$H$361,7,false),1)="A","W",if(LEFT(VLOOKUP($B519,'Round 1'!$B$2:$H$361,7,false),1)="B","L","")),if(LEFT(VLOOKUP($B519,'Round 1'!$F$2:$H$361,3,false),1)="b","W",if(LEFT(VLOOKUP($B519,'Round 1'!$F$2:$H$361,3,false),1)="a","L","")))</f>
        <v>L</v>
      </c>
      <c r="E519" s="67" t="str">
        <f>iferror(if(LEFT(VLOOKUP($B519,'Round 2'!$C$2:$J$361,8,false),1)="A","W",if(LEFT(VLOOKUP($B519,'Round 2'!$C$2:$J$361,8,false),1)="B","L","")),if(LEFT(VLOOKUP($B519,'Round 2'!$G$2:$J$361,4,false),1)="b","W",if(LEFT(VLOOKUP($B519,'Round 2'!$G$2:$J$361,4,false),1)="a","L","")))</f>
        <v>W</v>
      </c>
      <c r="F519" s="67" t="str">
        <f>iferror(if(LEFT(VLOOKUP($B519,'Round 3'!$B$2:$H$361,7,false),1)="A","W",if(LEFT(VLOOKUP($B519,'Round 3'!$B$2:$H$361,7,false),1)="B","L","")),if(LEFT(VLOOKUP($B519,'Round 3'!$F$2:$H$361,3,false),1)="b","W",if(LEFT(VLOOKUP($B519,'Round 3'!$F$2:$H$361,3,false),1)="a","L","")))</f>
        <v>L</v>
      </c>
      <c r="G519" s="67" t="str">
        <f>iferror(if(LEFT(VLOOKUP($B519,'Round 4'!$B$2:$H$361,7,false),1)="A","W",if(LEFT(VLOOKUP($B519,'Round 4'!$B$2:$H$361,7,false),1)="B","L","")),if(LEFT(VLOOKUP($B519,'Round 4'!$F$2:$H$361,3,false),1)="b","W",if(LEFT(VLOOKUP($B519,'Round 4'!$F$2:$H$361,3,false),1)="a","L","")))</f>
        <v>W</v>
      </c>
      <c r="H519" s="67" t="str">
        <f>iferror(if(LEFT(VLOOKUP($B519,'Round 5'!$B$2:$H$361,7,false),1)="A","W",if(LEFT(VLOOKUP($B519,'Round 5'!$B$2:$H$361,7,false),1)="B","L","")),if(LEFT(VLOOKUP($B519,'Round 5'!$F$2:$H$361,3,false),1)="b","W",if(LEFT(VLOOKUP($B519,'Round 5'!$F$2:$H$361,3,false),1)="a","L","")))</f>
        <v>W</v>
      </c>
      <c r="I519" s="67" t="str">
        <f>iferror(if(LEFT(VLOOKUP($B519,'Round 6'!$B$2:$H$361,7,false),1)="A","W",if(LEFT(VLOOKUP($B519,'Round 6'!$B$2:$H$361,7,false),1)="B","L","")),if(LEFT(VLOOKUP($B519,'Round 6'!$F$2:$H$361,3,false),1)="b","W",if(LEFT(VLOOKUP($B519,'Round 6'!$F$2:$H$361,3,false),1)="a","L","")))</f>
        <v>L</v>
      </c>
      <c r="J519" s="67" t="str">
        <f>iferror(iferror(if(LEFT(VLOOKUP($B519,'Round 7'!$B$2:$H$361,7,false),1)="A","W",if(LEFT(VLOOKUP($B519,'Round 7'!$B$2:$H$361,7,false),1)="B","L","")),if(LEFT(VLOOKUP($B519,'Round 7'!$F$2:$H$361,3,false),1)="b","W",if(LEFT(VLOOKUP($B519,'Round 7'!$F$2:$H$361,3,false),1)="a","L",""))),"")</f>
        <v/>
      </c>
      <c r="K519" s="68" t="str">
        <f>iferror(iferror(if(LEFT(VLOOKUP($B519,'Round 8'!$B$2:$H$361,7,false),1)="A","W",if(LEFT(VLOOKUP($B519,'Round 8'!$B$2:$H$361,7,false),1)="B","L","")),if(LEFT(VLOOKUP($B519,'Round 8'!$F$2:$H$361,3,false),1)="b","W",if(LEFT(VLOOKUP($B519,'Round 8'!$F$2:$H$361,3,false),1)="a","L",""))),"")</f>
        <v/>
      </c>
      <c r="L519" s="68" t="str">
        <f>iferror(iferror(if(LEFT(VLOOKUP($B519,'Round 9'!$B$2:$H$361,7,false),1)="A","W",if(LEFT(VLOOKUP($B519,'Round 9'!$B$2:$H$361,7,false),1)="B","L","")),if(LEFT(VLOOKUP($B519,'Round 9'!$F$2:$H$361,3,false),1)="b","W",if(LEFT(VLOOKUP($B519,'Round 9'!$F$2:$H$361,3,false),1)="a","L",""))),"")</f>
        <v/>
      </c>
      <c r="M519" s="68" t="str">
        <f>iferror(iferror(if(LEFT(VLOOKUP($B519,'Round 10'!$B$2:$H$362,7,false),1)="A","W",if(LEFT(VLOOKUP($B519,'Round 10'!$B$2:$H$362,7,false),1)="B","L","")),if(LEFT(VLOOKUP($B519,'Round 10'!$F$2:$H$362,3,false),1)="b","W",if(LEFT(VLOOKUP($B519,'Round 10'!$F$2:$H$362,3,false),1)="a","L",""))),"")</f>
        <v/>
      </c>
      <c r="N519" s="62" t="s">
        <v>1090</v>
      </c>
    </row>
    <row r="520">
      <c r="A520" s="63">
        <v>519.0</v>
      </c>
      <c r="B520" s="64" t="s">
        <v>1091</v>
      </c>
      <c r="C520" s="65" t="str">
        <f t="shared" si="1"/>
        <v>5 - 3</v>
      </c>
      <c r="D520" s="67" t="str">
        <f>iferror(if(LEFT(VLOOKUP($B520,'Round 1'!$B$2:$H$361,7,false),1)="A","W",if(LEFT(VLOOKUP($B520,'Round 1'!$B$2:$H$361,7,false),1)="B","L","")),if(LEFT(VLOOKUP($B520,'Round 1'!$F$2:$H$361,3,false),1)="b","W",if(LEFT(VLOOKUP($B520,'Round 1'!$F$2:$H$361,3,false),1)="a","L","")))</f>
        <v>L</v>
      </c>
      <c r="E520" s="67" t="str">
        <f>iferror(if(LEFT(VLOOKUP($B520,'Round 2'!$C$2:$J$361,8,false),1)="A","W",if(LEFT(VLOOKUP($B520,'Round 2'!$C$2:$J$361,8,false),1)="B","L","")),if(LEFT(VLOOKUP($B520,'Round 2'!$G$2:$J$361,4,false),1)="b","W",if(LEFT(VLOOKUP($B520,'Round 2'!$G$2:$J$361,4,false),1)="a","L","")))</f>
        <v>L</v>
      </c>
      <c r="F520" s="67" t="str">
        <f>iferror(if(LEFT(VLOOKUP($B520,'Round 3'!$B$2:$H$361,7,false),1)="A","W",if(LEFT(VLOOKUP($B520,'Round 3'!$B$2:$H$361,7,false),1)="B","L","")),if(LEFT(VLOOKUP($B520,'Round 3'!$F$2:$H$361,3,false),1)="b","W",if(LEFT(VLOOKUP($B520,'Round 3'!$F$2:$H$361,3,false),1)="a","L","")))</f>
        <v>W</v>
      </c>
      <c r="G520" s="67" t="str">
        <f>iferror(if(LEFT(VLOOKUP($B520,'Round 4'!$B$2:$H$361,7,false),1)="A","W",if(LEFT(VLOOKUP($B520,'Round 4'!$B$2:$H$361,7,false),1)="B","L","")),if(LEFT(VLOOKUP($B520,'Round 4'!$F$2:$H$361,3,false),1)="b","W",if(LEFT(VLOOKUP($B520,'Round 4'!$F$2:$H$361,3,false),1)="a","L","")))</f>
        <v>W</v>
      </c>
      <c r="H520" s="67" t="str">
        <f>iferror(if(LEFT(VLOOKUP($B520,'Round 5'!$B$2:$H$361,7,false),1)="A","W",if(LEFT(VLOOKUP($B520,'Round 5'!$B$2:$H$361,7,false),1)="B","L","")),if(LEFT(VLOOKUP($B520,'Round 5'!$F$2:$H$361,3,false),1)="b","W",if(LEFT(VLOOKUP($B520,'Round 5'!$F$2:$H$361,3,false),1)="a","L","")))</f>
        <v>W</v>
      </c>
      <c r="I520" s="67" t="str">
        <f>iferror(if(LEFT(VLOOKUP($B520,'Round 6'!$B$2:$H$361,7,false),1)="A","W",if(LEFT(VLOOKUP($B520,'Round 6'!$B$2:$H$361,7,false),1)="B","L","")),if(LEFT(VLOOKUP($B520,'Round 6'!$F$2:$H$361,3,false),1)="b","W",if(LEFT(VLOOKUP($B520,'Round 6'!$F$2:$H$361,3,false),1)="a","L","")))</f>
        <v>W</v>
      </c>
      <c r="J520" s="67" t="str">
        <f>iferror(iferror(if(LEFT(VLOOKUP($B520,'Round 7'!$B$2:$H$361,7,false),1)="A","W",if(LEFT(VLOOKUP($B520,'Round 7'!$B$2:$H$361,7,false),1)="B","L","")),if(LEFT(VLOOKUP($B520,'Round 7'!$F$2:$H$361,3,false),1)="b","W",if(LEFT(VLOOKUP($B520,'Round 7'!$F$2:$H$361,3,false),1)="a","L",""))),"")</f>
        <v>W</v>
      </c>
      <c r="K520" s="68" t="str">
        <f>iferror(iferror(if(LEFT(VLOOKUP($B520,'Round 8'!$B$2:$H$361,7,false),1)="A","W",if(LEFT(VLOOKUP($B520,'Round 8'!$B$2:$H$361,7,false),1)="B","L","")),if(LEFT(VLOOKUP($B520,'Round 8'!$F$2:$H$361,3,false),1)="b","W",if(LEFT(VLOOKUP($B520,'Round 8'!$F$2:$H$361,3,false),1)="a","L",""))),"")</f>
        <v>L</v>
      </c>
      <c r="L520" s="68" t="str">
        <f>iferror(iferror(if(LEFT(VLOOKUP($B520,'Round 9'!$B$2:$H$361,7,false),1)="A","W",if(LEFT(VLOOKUP($B520,'Round 9'!$B$2:$H$361,7,false),1)="B","L","")),if(LEFT(VLOOKUP($B520,'Round 9'!$F$2:$H$361,3,false),1)="b","W",if(LEFT(VLOOKUP($B520,'Round 9'!$F$2:$H$361,3,false),1)="a","L",""))),"")</f>
        <v/>
      </c>
      <c r="M520" s="68" t="str">
        <f>iferror(iferror(if(LEFT(VLOOKUP($B520,'Round 10'!$B$2:$H$362,7,false),1)="A","W",if(LEFT(VLOOKUP($B520,'Round 10'!$B$2:$H$362,7,false),1)="B","L","")),if(LEFT(VLOOKUP($B520,'Round 10'!$F$2:$H$362,3,false),1)="b","W",if(LEFT(VLOOKUP($B520,'Round 10'!$F$2:$H$362,3,false),1)="a","L",""))),"")</f>
        <v/>
      </c>
      <c r="N520" s="62" t="s">
        <v>1092</v>
      </c>
    </row>
    <row r="521">
      <c r="A521" s="63">
        <v>520.0</v>
      </c>
      <c r="B521" s="64" t="s">
        <v>1093</v>
      </c>
      <c r="C521" s="65" t="str">
        <f t="shared" si="1"/>
        <v>0 - 3</v>
      </c>
      <c r="D521" s="67" t="str">
        <f>iferror(if(LEFT(VLOOKUP($B521,'Round 1'!$B$2:$H$361,7,false),1)="A","W",if(LEFT(VLOOKUP($B521,'Round 1'!$B$2:$H$361,7,false),1)="B","L","")),if(LEFT(VLOOKUP($B521,'Round 1'!$F$2:$H$361,3,false),1)="b","W",if(LEFT(VLOOKUP($B521,'Round 1'!$F$2:$H$361,3,false),1)="a","L","")))</f>
        <v>L</v>
      </c>
      <c r="E521" s="67" t="str">
        <f>iferror(if(LEFT(VLOOKUP($B521,'Round 2'!$C$2:$J$361,8,false),1)="A","W",if(LEFT(VLOOKUP($B521,'Round 2'!$C$2:$J$361,8,false),1)="B","L","")),if(LEFT(VLOOKUP($B521,'Round 2'!$G$2:$J$361,4,false),1)="b","W",if(LEFT(VLOOKUP($B521,'Round 2'!$G$2:$J$361,4,false),1)="a","L","")))</f>
        <v>L</v>
      </c>
      <c r="F521" s="67" t="str">
        <f>iferror(if(LEFT(VLOOKUP($B521,'Round 3'!$B$2:$H$361,7,false),1)="A","W",if(LEFT(VLOOKUP($B521,'Round 3'!$B$2:$H$361,7,false),1)="B","L","")),if(LEFT(VLOOKUP($B521,'Round 3'!$F$2:$H$361,3,false),1)="b","W",if(LEFT(VLOOKUP($B521,'Round 3'!$F$2:$H$361,3,false),1)="a","L","")))</f>
        <v>L</v>
      </c>
      <c r="G521" s="67"/>
      <c r="H521" s="67"/>
      <c r="I521" s="67"/>
      <c r="J521" s="67" t="str">
        <f>iferror(iferror(if(LEFT(VLOOKUP($B521,'Round 7'!$B$2:$H$361,7,false),1)="A","W",if(LEFT(VLOOKUP($B521,'Round 7'!$B$2:$H$361,7,false),1)="B","L","")),if(LEFT(VLOOKUP($B521,'Round 7'!$F$2:$H$361,3,false),1)="b","W",if(LEFT(VLOOKUP($B521,'Round 7'!$F$2:$H$361,3,false),1)="a","L",""))),"")</f>
        <v/>
      </c>
      <c r="K521" s="68" t="str">
        <f>iferror(iferror(if(LEFT(VLOOKUP($B521,'Round 8'!$B$2:$H$361,7,false),1)="A","W",if(LEFT(VLOOKUP($B521,'Round 8'!$B$2:$H$361,7,false),1)="B","L","")),if(LEFT(VLOOKUP($B521,'Round 8'!$F$2:$H$361,3,false),1)="b","W",if(LEFT(VLOOKUP($B521,'Round 8'!$F$2:$H$361,3,false),1)="a","L",""))),"")</f>
        <v/>
      </c>
      <c r="L521" s="68" t="str">
        <f>iferror(iferror(if(LEFT(VLOOKUP($B521,'Round 9'!$B$2:$H$361,7,false),1)="A","W",if(LEFT(VLOOKUP($B521,'Round 9'!$B$2:$H$361,7,false),1)="B","L","")),if(LEFT(VLOOKUP($B521,'Round 9'!$F$2:$H$361,3,false),1)="b","W",if(LEFT(VLOOKUP($B521,'Round 9'!$F$2:$H$361,3,false),1)="a","L",""))),"")</f>
        <v/>
      </c>
      <c r="M521" s="68" t="str">
        <f>iferror(iferror(if(LEFT(VLOOKUP($B521,'Round 10'!$B$2:$H$362,7,false),1)="A","W",if(LEFT(VLOOKUP($B521,'Round 10'!$B$2:$H$362,7,false),1)="B","L","")),if(LEFT(VLOOKUP($B521,'Round 10'!$F$2:$H$362,3,false),1)="b","W",if(LEFT(VLOOKUP($B521,'Round 10'!$F$2:$H$362,3,false),1)="a","L",""))),"")</f>
        <v/>
      </c>
      <c r="N521" s="62" t="s">
        <v>1094</v>
      </c>
    </row>
    <row r="522">
      <c r="A522" s="63">
        <v>521.0</v>
      </c>
      <c r="B522" s="64" t="s">
        <v>1095</v>
      </c>
      <c r="C522" s="65" t="str">
        <f t="shared" si="1"/>
        <v>3 - 3</v>
      </c>
      <c r="D522" s="67" t="str">
        <f>iferror(if(LEFT(VLOOKUP($B522,'Round 1'!$B$2:$H$361,7,false),1)="A","W",if(LEFT(VLOOKUP($B522,'Round 1'!$B$2:$H$361,7,false),1)="B","L","")),if(LEFT(VLOOKUP($B522,'Round 1'!$F$2:$H$361,3,false),1)="b","W",if(LEFT(VLOOKUP($B522,'Round 1'!$F$2:$H$361,3,false),1)="a","L","")))</f>
        <v>L</v>
      </c>
      <c r="E522" s="67" t="str">
        <f>iferror(if(LEFT(VLOOKUP($B522,'Round 2'!$C$2:$J$361,8,false),1)="A","W",if(LEFT(VLOOKUP($B522,'Round 2'!$C$2:$J$361,8,false),1)="B","L","")),if(LEFT(VLOOKUP($B522,'Round 2'!$G$2:$J$361,4,false),1)="b","W",if(LEFT(VLOOKUP($B522,'Round 2'!$G$2:$J$361,4,false),1)="a","L","")))</f>
        <v>W</v>
      </c>
      <c r="F522" s="67" t="str">
        <f>iferror(if(LEFT(VLOOKUP($B522,'Round 3'!$B$2:$H$361,7,false),1)="A","W",if(LEFT(VLOOKUP($B522,'Round 3'!$B$2:$H$361,7,false),1)="B","L","")),if(LEFT(VLOOKUP($B522,'Round 3'!$F$2:$H$361,3,false),1)="b","W",if(LEFT(VLOOKUP($B522,'Round 3'!$F$2:$H$361,3,false),1)="a","L","")))</f>
        <v>W</v>
      </c>
      <c r="G522" s="67" t="str">
        <f>iferror(if(LEFT(VLOOKUP($B522,'Round 4'!$B$2:$H$361,7,false),1)="A","W",if(LEFT(VLOOKUP($B522,'Round 4'!$B$2:$H$361,7,false),1)="B","L","")),if(LEFT(VLOOKUP($B522,'Round 4'!$F$2:$H$361,3,false),1)="b","W",if(LEFT(VLOOKUP($B522,'Round 4'!$F$2:$H$361,3,false),1)="a","L","")))</f>
        <v>L</v>
      </c>
      <c r="H522" s="67" t="str">
        <f>iferror(if(LEFT(VLOOKUP($B522,'Round 5'!$B$2:$H$361,7,false),1)="A","W",if(LEFT(VLOOKUP($B522,'Round 5'!$B$2:$H$361,7,false),1)="B","L","")),if(LEFT(VLOOKUP($B522,'Round 5'!$F$2:$H$361,3,false),1)="b","W",if(LEFT(VLOOKUP($B522,'Round 5'!$F$2:$H$361,3,false),1)="a","L","")))</f>
        <v>W</v>
      </c>
      <c r="I522" s="67" t="str">
        <f>iferror(if(LEFT(VLOOKUP($B522,'Round 6'!$B$2:$H$361,7,false),1)="A","W",if(LEFT(VLOOKUP($B522,'Round 6'!$B$2:$H$361,7,false),1)="B","L","")),if(LEFT(VLOOKUP($B522,'Round 6'!$F$2:$H$361,3,false),1)="b","W",if(LEFT(VLOOKUP($B522,'Round 6'!$F$2:$H$361,3,false),1)="a","L","")))</f>
        <v>L</v>
      </c>
      <c r="J522" s="67" t="str">
        <f>iferror(iferror(if(LEFT(VLOOKUP($B522,'Round 7'!$B$2:$H$361,7,false),1)="A","W",if(LEFT(VLOOKUP($B522,'Round 7'!$B$2:$H$361,7,false),1)="B","L","")),if(LEFT(VLOOKUP($B522,'Round 7'!$F$2:$H$361,3,false),1)="b","W",if(LEFT(VLOOKUP($B522,'Round 7'!$F$2:$H$361,3,false),1)="a","L",""))),"")</f>
        <v/>
      </c>
      <c r="K522" s="68" t="str">
        <f>iferror(iferror(if(LEFT(VLOOKUP($B522,'Round 8'!$B$2:$H$361,7,false),1)="A","W",if(LEFT(VLOOKUP($B522,'Round 8'!$B$2:$H$361,7,false),1)="B","L","")),if(LEFT(VLOOKUP($B522,'Round 8'!$F$2:$H$361,3,false),1)="b","W",if(LEFT(VLOOKUP($B522,'Round 8'!$F$2:$H$361,3,false),1)="a","L",""))),"")</f>
        <v/>
      </c>
      <c r="L522" s="68" t="str">
        <f>iferror(iferror(if(LEFT(VLOOKUP($B522,'Round 9'!$B$2:$H$361,7,false),1)="A","W",if(LEFT(VLOOKUP($B522,'Round 9'!$B$2:$H$361,7,false),1)="B","L","")),if(LEFT(VLOOKUP($B522,'Round 9'!$F$2:$H$361,3,false),1)="b","W",if(LEFT(VLOOKUP($B522,'Round 9'!$F$2:$H$361,3,false),1)="a","L",""))),"")</f>
        <v/>
      </c>
      <c r="M522" s="68" t="str">
        <f>iferror(iferror(if(LEFT(VLOOKUP($B522,'Round 10'!$B$2:$H$362,7,false),1)="A","W",if(LEFT(VLOOKUP($B522,'Round 10'!$B$2:$H$362,7,false),1)="B","L","")),if(LEFT(VLOOKUP($B522,'Round 10'!$F$2:$H$362,3,false),1)="b","W",if(LEFT(VLOOKUP($B522,'Round 10'!$F$2:$H$362,3,false),1)="a","L",""))),"")</f>
        <v/>
      </c>
      <c r="N522" s="62" t="s">
        <v>1096</v>
      </c>
    </row>
    <row r="523">
      <c r="A523" s="63">
        <v>522.0</v>
      </c>
      <c r="B523" s="64" t="s">
        <v>1097</v>
      </c>
      <c r="C523" s="65" t="str">
        <f t="shared" si="1"/>
        <v>3 - 3</v>
      </c>
      <c r="D523" s="67" t="str">
        <f>iferror(if(LEFT(VLOOKUP($B523,'Round 1'!$B$2:$H$361,7,false),1)="A","W",if(LEFT(VLOOKUP($B523,'Round 1'!$B$2:$H$361,7,false),1)="B","L","")),if(LEFT(VLOOKUP($B523,'Round 1'!$F$2:$H$361,3,false),1)="b","W",if(LEFT(VLOOKUP($B523,'Round 1'!$F$2:$H$361,3,false),1)="a","L","")))</f>
        <v>W</v>
      </c>
      <c r="E523" s="67" t="str">
        <f>iferror(if(LEFT(VLOOKUP($B523,'Round 2'!$C$2:$J$361,8,false),1)="A","W",if(LEFT(VLOOKUP($B523,'Round 2'!$C$2:$J$361,8,false),1)="B","L","")),if(LEFT(VLOOKUP($B523,'Round 2'!$G$2:$J$361,4,false),1)="b","W",if(LEFT(VLOOKUP($B523,'Round 2'!$G$2:$J$361,4,false),1)="a","L","")))</f>
        <v>L</v>
      </c>
      <c r="F523" s="67" t="str">
        <f>iferror(if(LEFT(VLOOKUP($B523,'Round 3'!$B$2:$H$361,7,false),1)="A","W",if(LEFT(VLOOKUP($B523,'Round 3'!$B$2:$H$361,7,false),1)="B","L","")),if(LEFT(VLOOKUP($B523,'Round 3'!$F$2:$H$361,3,false),1)="b","W",if(LEFT(VLOOKUP($B523,'Round 3'!$F$2:$H$361,3,false),1)="a","L","")))</f>
        <v>W</v>
      </c>
      <c r="G523" s="67" t="str">
        <f>iferror(if(LEFT(VLOOKUP($B523,'Round 4'!$B$2:$H$361,7,false),1)="A","W",if(LEFT(VLOOKUP($B523,'Round 4'!$B$2:$H$361,7,false),1)="B","L","")),if(LEFT(VLOOKUP($B523,'Round 4'!$F$2:$H$361,3,false),1)="b","W",if(LEFT(VLOOKUP($B523,'Round 4'!$F$2:$H$361,3,false),1)="a","L","")))</f>
        <v>W</v>
      </c>
      <c r="H523" s="67" t="str">
        <f>iferror(if(LEFT(VLOOKUP($B523,'Round 5'!$B$2:$H$361,7,false),1)="A","W",if(LEFT(VLOOKUP($B523,'Round 5'!$B$2:$H$361,7,false),1)="B","L","")),if(LEFT(VLOOKUP($B523,'Round 5'!$F$2:$H$361,3,false),1)="b","W",if(LEFT(VLOOKUP($B523,'Round 5'!$F$2:$H$361,3,false),1)="a","L","")))</f>
        <v>L</v>
      </c>
      <c r="I523" s="67" t="str">
        <f>iferror(if(LEFT(VLOOKUP($B523,'Round 6'!$B$2:$H$361,7,false),1)="A","W",if(LEFT(VLOOKUP($B523,'Round 6'!$B$2:$H$361,7,false),1)="B","L","")),if(LEFT(VLOOKUP($B523,'Round 6'!$F$2:$H$361,3,false),1)="b","W",if(LEFT(VLOOKUP($B523,'Round 6'!$F$2:$H$361,3,false),1)="a","L","")))</f>
        <v>L</v>
      </c>
      <c r="J523" s="67" t="str">
        <f>iferror(iferror(if(LEFT(VLOOKUP($B523,'Round 7'!$B$2:$H$361,7,false),1)="A","W",if(LEFT(VLOOKUP($B523,'Round 7'!$B$2:$H$361,7,false),1)="B","L","")),if(LEFT(VLOOKUP($B523,'Round 7'!$F$2:$H$361,3,false),1)="b","W",if(LEFT(VLOOKUP($B523,'Round 7'!$F$2:$H$361,3,false),1)="a","L",""))),"")</f>
        <v/>
      </c>
      <c r="K523" s="68" t="str">
        <f>iferror(iferror(if(LEFT(VLOOKUP($B523,'Round 8'!$B$2:$H$361,7,false),1)="A","W",if(LEFT(VLOOKUP($B523,'Round 8'!$B$2:$H$361,7,false),1)="B","L","")),if(LEFT(VLOOKUP($B523,'Round 8'!$F$2:$H$361,3,false),1)="b","W",if(LEFT(VLOOKUP($B523,'Round 8'!$F$2:$H$361,3,false),1)="a","L",""))),"")</f>
        <v/>
      </c>
      <c r="L523" s="68" t="str">
        <f>iferror(iferror(if(LEFT(VLOOKUP($B523,'Round 9'!$B$2:$H$361,7,false),1)="A","W",if(LEFT(VLOOKUP($B523,'Round 9'!$B$2:$H$361,7,false),1)="B","L","")),if(LEFT(VLOOKUP($B523,'Round 9'!$F$2:$H$361,3,false),1)="b","W",if(LEFT(VLOOKUP($B523,'Round 9'!$F$2:$H$361,3,false),1)="a","L",""))),"")</f>
        <v/>
      </c>
      <c r="M523" s="68" t="str">
        <f>iferror(iferror(if(LEFT(VLOOKUP($B523,'Round 10'!$B$2:$H$362,7,false),1)="A","W",if(LEFT(VLOOKUP($B523,'Round 10'!$B$2:$H$362,7,false),1)="B","L","")),if(LEFT(VLOOKUP($B523,'Round 10'!$F$2:$H$362,3,false),1)="b","W",if(LEFT(VLOOKUP($B523,'Round 10'!$F$2:$H$362,3,false),1)="a","L",""))),"")</f>
        <v/>
      </c>
      <c r="N523" s="62" t="s">
        <v>1098</v>
      </c>
    </row>
    <row r="524">
      <c r="A524" s="63">
        <v>523.0</v>
      </c>
      <c r="B524" s="64" t="s">
        <v>1099</v>
      </c>
      <c r="C524" s="65" t="str">
        <f t="shared" si="1"/>
        <v>3 - 3</v>
      </c>
      <c r="D524" s="67" t="str">
        <f>iferror(if(LEFT(VLOOKUP($B524,'Round 1'!$B$2:$H$361,7,false),1)="A","W",if(LEFT(VLOOKUP($B524,'Round 1'!$B$2:$H$361,7,false),1)="B","L","")),if(LEFT(VLOOKUP($B524,'Round 1'!$F$2:$H$361,3,false),1)="b","W",if(LEFT(VLOOKUP($B524,'Round 1'!$F$2:$H$361,3,false),1)="a","L","")))</f>
        <v>W</v>
      </c>
      <c r="E524" s="67" t="str">
        <f>iferror(if(LEFT(VLOOKUP($B524,'Round 2'!$C$2:$J$361,8,false),1)="A","W",if(LEFT(VLOOKUP($B524,'Round 2'!$C$2:$J$361,8,false),1)="B","L","")),if(LEFT(VLOOKUP($B524,'Round 2'!$G$2:$J$361,4,false),1)="b","W",if(LEFT(VLOOKUP($B524,'Round 2'!$G$2:$J$361,4,false),1)="a","L","")))</f>
        <v>L</v>
      </c>
      <c r="F524" s="67" t="str">
        <f>iferror(if(LEFT(VLOOKUP($B524,'Round 3'!$B$2:$H$361,7,false),1)="A","W",if(LEFT(VLOOKUP($B524,'Round 3'!$B$2:$H$361,7,false),1)="B","L","")),if(LEFT(VLOOKUP($B524,'Round 3'!$F$2:$H$361,3,false),1)="b","W",if(LEFT(VLOOKUP($B524,'Round 3'!$F$2:$H$361,3,false),1)="a","L","")))</f>
        <v>L</v>
      </c>
      <c r="G524" s="67" t="str">
        <f>iferror(if(LEFT(VLOOKUP($B524,'Round 4'!$B$2:$H$361,7,false),1)="A","W",if(LEFT(VLOOKUP($B524,'Round 4'!$B$2:$H$361,7,false),1)="B","L","")),if(LEFT(VLOOKUP($B524,'Round 4'!$F$2:$H$361,3,false),1)="b","W",if(LEFT(VLOOKUP($B524,'Round 4'!$F$2:$H$361,3,false),1)="a","L","")))</f>
        <v>W</v>
      </c>
      <c r="H524" s="67" t="str">
        <f>iferror(if(LEFT(VLOOKUP($B524,'Round 5'!$B$2:$H$361,7,false),1)="A","W",if(LEFT(VLOOKUP($B524,'Round 5'!$B$2:$H$361,7,false),1)="B","L","")),if(LEFT(VLOOKUP($B524,'Round 5'!$F$2:$H$361,3,false),1)="b","W",if(LEFT(VLOOKUP($B524,'Round 5'!$F$2:$H$361,3,false),1)="a","L","")))</f>
        <v>W</v>
      </c>
      <c r="I524" s="67" t="str">
        <f>iferror(if(LEFT(VLOOKUP($B524,'Round 6'!$B$2:$H$361,7,false),1)="A","W",if(LEFT(VLOOKUP($B524,'Round 6'!$B$2:$H$361,7,false),1)="B","L","")),if(LEFT(VLOOKUP($B524,'Round 6'!$F$2:$H$361,3,false),1)="b","W",if(LEFT(VLOOKUP($B524,'Round 6'!$F$2:$H$361,3,false),1)="a","L","")))</f>
        <v>L</v>
      </c>
      <c r="J524" s="67" t="str">
        <f>iferror(iferror(if(LEFT(VLOOKUP($B524,'Round 7'!$B$2:$H$361,7,false),1)="A","W",if(LEFT(VLOOKUP($B524,'Round 7'!$B$2:$H$361,7,false),1)="B","L","")),if(LEFT(VLOOKUP($B524,'Round 7'!$F$2:$H$361,3,false),1)="b","W",if(LEFT(VLOOKUP($B524,'Round 7'!$F$2:$H$361,3,false),1)="a","L",""))),"")</f>
        <v/>
      </c>
      <c r="K524" s="68" t="str">
        <f>iferror(iferror(if(LEFT(VLOOKUP($B524,'Round 8'!$B$2:$H$361,7,false),1)="A","W",if(LEFT(VLOOKUP($B524,'Round 8'!$B$2:$H$361,7,false),1)="B","L","")),if(LEFT(VLOOKUP($B524,'Round 8'!$F$2:$H$361,3,false),1)="b","W",if(LEFT(VLOOKUP($B524,'Round 8'!$F$2:$H$361,3,false),1)="a","L",""))),"")</f>
        <v/>
      </c>
      <c r="L524" s="68" t="str">
        <f>iferror(iferror(if(LEFT(VLOOKUP($B524,'Round 9'!$B$2:$H$361,7,false),1)="A","W",if(LEFT(VLOOKUP($B524,'Round 9'!$B$2:$H$361,7,false),1)="B","L","")),if(LEFT(VLOOKUP($B524,'Round 9'!$F$2:$H$361,3,false),1)="b","W",if(LEFT(VLOOKUP($B524,'Round 9'!$F$2:$H$361,3,false),1)="a","L",""))),"")</f>
        <v/>
      </c>
      <c r="M524" s="68" t="str">
        <f>iferror(iferror(if(LEFT(VLOOKUP($B524,'Round 10'!$B$2:$H$362,7,false),1)="A","W",if(LEFT(VLOOKUP($B524,'Round 10'!$B$2:$H$362,7,false),1)="B","L","")),if(LEFT(VLOOKUP($B524,'Round 10'!$F$2:$H$362,3,false),1)="b","W",if(LEFT(VLOOKUP($B524,'Round 10'!$F$2:$H$362,3,false),1)="a","L",""))),"")</f>
        <v/>
      </c>
      <c r="N524" s="62" t="s">
        <v>1100</v>
      </c>
    </row>
    <row r="525">
      <c r="A525" s="63">
        <v>524.0</v>
      </c>
      <c r="B525" s="64" t="s">
        <v>1101</v>
      </c>
      <c r="C525" s="65" t="str">
        <f t="shared" si="1"/>
        <v>1 - 3</v>
      </c>
      <c r="D525" s="67" t="str">
        <f>iferror(if(LEFT(VLOOKUP($B525,'Round 1'!$B$2:$H$361,7,false),1)="A","W",if(LEFT(VLOOKUP($B525,'Round 1'!$B$2:$H$361,7,false),1)="B","L","")),if(LEFT(VLOOKUP($B525,'Round 1'!$F$2:$H$361,3,false),1)="b","W",if(LEFT(VLOOKUP($B525,'Round 1'!$F$2:$H$361,3,false),1)="a","L","")))</f>
        <v>L</v>
      </c>
      <c r="E525" s="67" t="str">
        <f>iferror(if(LEFT(VLOOKUP($B525,'Round 2'!$C$2:$J$361,8,false),1)="A","W",if(LEFT(VLOOKUP($B525,'Round 2'!$C$2:$J$361,8,false),1)="B","L","")),if(LEFT(VLOOKUP($B525,'Round 2'!$G$2:$J$361,4,false),1)="b","W",if(LEFT(VLOOKUP($B525,'Round 2'!$G$2:$J$361,4,false),1)="a","L","")))</f>
        <v>L</v>
      </c>
      <c r="F525" s="67" t="str">
        <f>iferror(if(LEFT(VLOOKUP($B525,'Round 3'!$B$2:$H$361,7,false),1)="A","W",if(LEFT(VLOOKUP($B525,'Round 3'!$B$2:$H$361,7,false),1)="B","L","")),if(LEFT(VLOOKUP($B525,'Round 3'!$F$2:$H$361,3,false),1)="b","W",if(LEFT(VLOOKUP($B525,'Round 3'!$F$2:$H$361,3,false),1)="a","L","")))</f>
        <v>W</v>
      </c>
      <c r="G525" s="67" t="str">
        <f>iferror(if(LEFT(VLOOKUP($B525,'Round 4'!$B$2:$H$361,7,false),1)="A","W",if(LEFT(VLOOKUP($B525,'Round 4'!$B$2:$H$361,7,false),1)="B","L","")),if(LEFT(VLOOKUP($B525,'Round 4'!$F$2:$H$361,3,false),1)="b","W",if(LEFT(VLOOKUP($B525,'Round 4'!$F$2:$H$361,3,false),1)="a","L","")))</f>
        <v>L</v>
      </c>
      <c r="H525" s="67"/>
      <c r="I525" s="67"/>
      <c r="J525" s="67" t="str">
        <f>iferror(iferror(if(LEFT(VLOOKUP($B525,'Round 7'!$B$2:$H$361,7,false),1)="A","W",if(LEFT(VLOOKUP($B525,'Round 7'!$B$2:$H$361,7,false),1)="B","L","")),if(LEFT(VLOOKUP($B525,'Round 7'!$F$2:$H$361,3,false),1)="b","W",if(LEFT(VLOOKUP($B525,'Round 7'!$F$2:$H$361,3,false),1)="a","L",""))),"")</f>
        <v/>
      </c>
      <c r="K525" s="68" t="str">
        <f>iferror(iferror(if(LEFT(VLOOKUP($B525,'Round 8'!$B$2:$H$361,7,false),1)="A","W",if(LEFT(VLOOKUP($B525,'Round 8'!$B$2:$H$361,7,false),1)="B","L","")),if(LEFT(VLOOKUP($B525,'Round 8'!$F$2:$H$361,3,false),1)="b","W",if(LEFT(VLOOKUP($B525,'Round 8'!$F$2:$H$361,3,false),1)="a","L",""))),"")</f>
        <v/>
      </c>
      <c r="L525" s="68" t="str">
        <f>iferror(iferror(if(LEFT(VLOOKUP($B525,'Round 9'!$B$2:$H$361,7,false),1)="A","W",if(LEFT(VLOOKUP($B525,'Round 9'!$B$2:$H$361,7,false),1)="B","L","")),if(LEFT(VLOOKUP($B525,'Round 9'!$F$2:$H$361,3,false),1)="b","W",if(LEFT(VLOOKUP($B525,'Round 9'!$F$2:$H$361,3,false),1)="a","L",""))),"")</f>
        <v/>
      </c>
      <c r="M525" s="68" t="str">
        <f>iferror(iferror(if(LEFT(VLOOKUP($B525,'Round 10'!$B$2:$H$362,7,false),1)="A","W",if(LEFT(VLOOKUP($B525,'Round 10'!$B$2:$H$362,7,false),1)="B","L","")),if(LEFT(VLOOKUP($B525,'Round 10'!$F$2:$H$362,3,false),1)="b","W",if(LEFT(VLOOKUP($B525,'Round 10'!$F$2:$H$362,3,false),1)="a","L",""))),"")</f>
        <v/>
      </c>
      <c r="N525" s="62" t="s">
        <v>1102</v>
      </c>
    </row>
    <row r="526">
      <c r="A526" s="63">
        <v>525.0</v>
      </c>
      <c r="B526" s="64" t="s">
        <v>1103</v>
      </c>
      <c r="C526" s="65" t="str">
        <f t="shared" si="1"/>
        <v>5 - 3</v>
      </c>
      <c r="D526" s="67" t="str">
        <f>iferror(if(LEFT(VLOOKUP($B526,'Round 1'!$B$2:$H$361,7,false),1)="A","W",if(LEFT(VLOOKUP($B526,'Round 1'!$B$2:$H$361,7,false),1)="B","L","")),if(LEFT(VLOOKUP($B526,'Round 1'!$F$2:$H$361,3,false),1)="b","W",if(LEFT(VLOOKUP($B526,'Round 1'!$F$2:$H$361,3,false),1)="a","L","")))</f>
        <v>W</v>
      </c>
      <c r="E526" s="67" t="str">
        <f>iferror(if(LEFT(VLOOKUP($B526,'Round 2'!$C$2:$J$361,8,false),1)="A","W",if(LEFT(VLOOKUP($B526,'Round 2'!$C$2:$J$361,8,false),1)="B","L","")),if(LEFT(VLOOKUP($B526,'Round 2'!$G$2:$J$361,4,false),1)="b","W",if(LEFT(VLOOKUP($B526,'Round 2'!$G$2:$J$361,4,false),1)="a","L","")))</f>
        <v>W</v>
      </c>
      <c r="F526" s="67" t="str">
        <f>iferror(if(LEFT(VLOOKUP($B526,'Round 3'!$B$2:$H$361,7,false),1)="A","W",if(LEFT(VLOOKUP($B526,'Round 3'!$B$2:$H$361,7,false),1)="B","L","")),if(LEFT(VLOOKUP($B526,'Round 3'!$F$2:$H$361,3,false),1)="b","W",if(LEFT(VLOOKUP($B526,'Round 3'!$F$2:$H$361,3,false),1)="a","L","")))</f>
        <v>W</v>
      </c>
      <c r="G526" s="67" t="str">
        <f>iferror(if(LEFT(VLOOKUP($B526,'Round 4'!$B$2:$H$361,7,false),1)="A","W",if(LEFT(VLOOKUP($B526,'Round 4'!$B$2:$H$361,7,false),1)="B","L","")),if(LEFT(VLOOKUP($B526,'Round 4'!$F$2:$H$361,3,false),1)="b","W",if(LEFT(VLOOKUP($B526,'Round 4'!$F$2:$H$361,3,false),1)="a","L","")))</f>
        <v>W</v>
      </c>
      <c r="H526" s="67" t="str">
        <f>iferror(if(LEFT(VLOOKUP($B526,'Round 5'!$B$2:$H$361,7,false),1)="A","W",if(LEFT(VLOOKUP($B526,'Round 5'!$B$2:$H$361,7,false),1)="B","L","")),if(LEFT(VLOOKUP($B526,'Round 5'!$F$2:$H$361,3,false),1)="b","W",if(LEFT(VLOOKUP($B526,'Round 5'!$F$2:$H$361,3,false),1)="a","L","")))</f>
        <v>L</v>
      </c>
      <c r="I526" s="67" t="str">
        <f>iferror(if(LEFT(VLOOKUP($B526,'Round 6'!$B$2:$H$361,7,false),1)="A","W",if(LEFT(VLOOKUP($B526,'Round 6'!$B$2:$H$361,7,false),1)="B","L","")),if(LEFT(VLOOKUP($B526,'Round 6'!$F$2:$H$361,3,false),1)="b","W",if(LEFT(VLOOKUP($B526,'Round 6'!$F$2:$H$361,3,false),1)="a","L","")))</f>
        <v>L</v>
      </c>
      <c r="J526" s="67" t="str">
        <f>iferror(iferror(if(LEFT(VLOOKUP($B526,'Round 7'!$B$2:$H$361,7,false),1)="A","W",if(LEFT(VLOOKUP($B526,'Round 7'!$B$2:$H$361,7,false),1)="B","L","")),if(LEFT(VLOOKUP($B526,'Round 7'!$F$2:$H$361,3,false),1)="b","W",if(LEFT(VLOOKUP($B526,'Round 7'!$F$2:$H$361,3,false),1)="a","L",""))),"")</f>
        <v>W</v>
      </c>
      <c r="K526" s="68" t="str">
        <f>iferror(iferror(if(LEFT(VLOOKUP($B526,'Round 8'!$B$2:$H$361,7,false),1)="A","W",if(LEFT(VLOOKUP($B526,'Round 8'!$B$2:$H$361,7,false),1)="B","L","")),if(LEFT(VLOOKUP($B526,'Round 8'!$F$2:$H$361,3,false),1)="b","W",if(LEFT(VLOOKUP($B526,'Round 8'!$F$2:$H$361,3,false),1)="a","L",""))),"")</f>
        <v>L</v>
      </c>
      <c r="L526" s="68" t="str">
        <f>iferror(iferror(if(LEFT(VLOOKUP($B526,'Round 9'!$B$2:$H$361,7,false),1)="A","W",if(LEFT(VLOOKUP($B526,'Round 9'!$B$2:$H$361,7,false),1)="B","L","")),if(LEFT(VLOOKUP($B526,'Round 9'!$F$2:$H$361,3,false),1)="b","W",if(LEFT(VLOOKUP($B526,'Round 9'!$F$2:$H$361,3,false),1)="a","L",""))),"")</f>
        <v/>
      </c>
      <c r="M526" s="68" t="str">
        <f>iferror(iferror(if(LEFT(VLOOKUP($B526,'Round 10'!$B$2:$H$362,7,false),1)="A","W",if(LEFT(VLOOKUP($B526,'Round 10'!$B$2:$H$362,7,false),1)="B","L","")),if(LEFT(VLOOKUP($B526,'Round 10'!$F$2:$H$362,3,false),1)="b","W",if(LEFT(VLOOKUP($B526,'Round 10'!$F$2:$H$362,3,false),1)="a","L",""))),"")</f>
        <v/>
      </c>
      <c r="N526" s="62" t="s">
        <v>1104</v>
      </c>
    </row>
    <row r="527">
      <c r="A527" s="63">
        <v>526.0</v>
      </c>
      <c r="B527" s="64" t="s">
        <v>1105</v>
      </c>
      <c r="C527" s="65" t="str">
        <f t="shared" si="1"/>
        <v>0 - 3</v>
      </c>
      <c r="D527" s="67" t="str">
        <f>iferror(if(LEFT(VLOOKUP($B527,'Round 1'!$B$2:$H$361,7,false),1)="A","W",if(LEFT(VLOOKUP($B527,'Round 1'!$B$2:$H$361,7,false),1)="B","L","")),if(LEFT(VLOOKUP($B527,'Round 1'!$F$2:$H$361,3,false),1)="b","W",if(LEFT(VLOOKUP($B527,'Round 1'!$F$2:$H$361,3,false),1)="a","L","")))</f>
        <v>L</v>
      </c>
      <c r="E527" s="67" t="str">
        <f>iferror(if(LEFT(VLOOKUP($B527,'Round 2'!$C$2:$J$361,8,false),1)="A","W",if(LEFT(VLOOKUP($B527,'Round 2'!$C$2:$J$361,8,false),1)="B","L","")),if(LEFT(VLOOKUP($B527,'Round 2'!$G$2:$J$361,4,false),1)="b","W",if(LEFT(VLOOKUP($B527,'Round 2'!$G$2:$J$361,4,false),1)="a","L","")))</f>
        <v>L</v>
      </c>
      <c r="F527" s="67" t="str">
        <f>iferror(if(LEFT(VLOOKUP($B527,'Round 3'!$B$2:$H$361,7,false),1)="A","W",if(LEFT(VLOOKUP($B527,'Round 3'!$B$2:$H$361,7,false),1)="B","L","")),if(LEFT(VLOOKUP($B527,'Round 3'!$F$2:$H$361,3,false),1)="b","W",if(LEFT(VLOOKUP($B527,'Round 3'!$F$2:$H$361,3,false),1)="a","L","")))</f>
        <v>L</v>
      </c>
      <c r="G527" s="67"/>
      <c r="H527" s="67"/>
      <c r="I527" s="67"/>
      <c r="J527" s="67" t="str">
        <f>iferror(iferror(if(LEFT(VLOOKUP($B527,'Round 7'!$B$2:$H$361,7,false),1)="A","W",if(LEFT(VLOOKUP($B527,'Round 7'!$B$2:$H$361,7,false),1)="B","L","")),if(LEFT(VLOOKUP($B527,'Round 7'!$F$2:$H$361,3,false),1)="b","W",if(LEFT(VLOOKUP($B527,'Round 7'!$F$2:$H$361,3,false),1)="a","L",""))),"")</f>
        <v/>
      </c>
      <c r="K527" s="68" t="str">
        <f>iferror(iferror(if(LEFT(VLOOKUP($B527,'Round 8'!$B$2:$H$361,7,false),1)="A","W",if(LEFT(VLOOKUP($B527,'Round 8'!$B$2:$H$361,7,false),1)="B","L","")),if(LEFT(VLOOKUP($B527,'Round 8'!$F$2:$H$361,3,false),1)="b","W",if(LEFT(VLOOKUP($B527,'Round 8'!$F$2:$H$361,3,false),1)="a","L",""))),"")</f>
        <v/>
      </c>
      <c r="L527" s="68" t="str">
        <f>iferror(iferror(if(LEFT(VLOOKUP($B527,'Round 9'!$B$2:$H$361,7,false),1)="A","W",if(LEFT(VLOOKUP($B527,'Round 9'!$B$2:$H$361,7,false),1)="B","L","")),if(LEFT(VLOOKUP($B527,'Round 9'!$F$2:$H$361,3,false),1)="b","W",if(LEFT(VLOOKUP($B527,'Round 9'!$F$2:$H$361,3,false),1)="a","L",""))),"")</f>
        <v/>
      </c>
      <c r="M527" s="68" t="str">
        <f>iferror(iferror(if(LEFT(VLOOKUP($B527,'Round 10'!$B$2:$H$362,7,false),1)="A","W",if(LEFT(VLOOKUP($B527,'Round 10'!$B$2:$H$362,7,false),1)="B","L","")),if(LEFT(VLOOKUP($B527,'Round 10'!$F$2:$H$362,3,false),1)="b","W",if(LEFT(VLOOKUP($B527,'Round 10'!$F$2:$H$362,3,false),1)="a","L",""))),"")</f>
        <v/>
      </c>
      <c r="N527" s="62" t="s">
        <v>144</v>
      </c>
    </row>
    <row r="528">
      <c r="A528" s="63">
        <v>527.0</v>
      </c>
      <c r="B528" s="64" t="s">
        <v>1106</v>
      </c>
      <c r="C528" s="65" t="str">
        <f t="shared" si="1"/>
        <v>8 - 1</v>
      </c>
      <c r="D528" s="67" t="str">
        <f>iferror(if(LEFT(VLOOKUP($B528,'Round 1'!$B$2:$H$361,7,false),1)="A","W",if(LEFT(VLOOKUP($B528,'Round 1'!$B$2:$H$361,7,false),1)="B","L","")),if(LEFT(VLOOKUP($B528,'Round 1'!$F$2:$H$361,3,false),1)="b","W",if(LEFT(VLOOKUP($B528,'Round 1'!$F$2:$H$361,3,false),1)="a","L","")))</f>
        <v>W</v>
      </c>
      <c r="E528" s="67" t="str">
        <f>iferror(if(LEFT(VLOOKUP($B528,'Round 2'!$C$2:$J$361,8,false),1)="A","W",if(LEFT(VLOOKUP($B528,'Round 2'!$C$2:$J$361,8,false),1)="B","L","")),if(LEFT(VLOOKUP($B528,'Round 2'!$G$2:$J$361,4,false),1)="b","W",if(LEFT(VLOOKUP($B528,'Round 2'!$G$2:$J$361,4,false),1)="a","L","")))</f>
        <v>W</v>
      </c>
      <c r="F528" s="67" t="str">
        <f>iferror(if(LEFT(VLOOKUP($B528,'Round 3'!$B$2:$H$361,7,false),1)="A","W",if(LEFT(VLOOKUP($B528,'Round 3'!$B$2:$H$361,7,false),1)="B","L","")),if(LEFT(VLOOKUP($B528,'Round 3'!$F$2:$H$361,3,false),1)="b","W",if(LEFT(VLOOKUP($B528,'Round 3'!$F$2:$H$361,3,false),1)="a","L","")))</f>
        <v>W</v>
      </c>
      <c r="G528" s="67" t="str">
        <f>iferror(if(LEFT(VLOOKUP($B528,'Round 4'!$B$2:$H$361,7,false),1)="A","W",if(LEFT(VLOOKUP($B528,'Round 4'!$B$2:$H$361,7,false),1)="B","L","")),if(LEFT(VLOOKUP($B528,'Round 4'!$F$2:$H$361,3,false),1)="b","W",if(LEFT(VLOOKUP($B528,'Round 4'!$F$2:$H$361,3,false),1)="a","L","")))</f>
        <v>W</v>
      </c>
      <c r="H528" s="67" t="str">
        <f>iferror(if(LEFT(VLOOKUP($B528,'Round 5'!$B$2:$H$361,7,false),1)="A","W",if(LEFT(VLOOKUP($B528,'Round 5'!$B$2:$H$361,7,false),1)="B","L","")),if(LEFT(VLOOKUP($B528,'Round 5'!$F$2:$H$361,3,false),1)="b","W",if(LEFT(VLOOKUP($B528,'Round 5'!$F$2:$H$361,3,false),1)="a","L","")))</f>
        <v>W</v>
      </c>
      <c r="I528" s="67" t="str">
        <f>iferror(if(LEFT(VLOOKUP($B528,'Round 6'!$B$2:$H$361,7,false),1)="A","W",if(LEFT(VLOOKUP($B528,'Round 6'!$B$2:$H$361,7,false),1)="B","L","")),if(LEFT(VLOOKUP($B528,'Round 6'!$F$2:$H$361,3,false),1)="b","W",if(LEFT(VLOOKUP($B528,'Round 6'!$F$2:$H$361,3,false),1)="a","L","")))</f>
        <v>L</v>
      </c>
      <c r="J528" s="67" t="str">
        <f>iferror(iferror(if(LEFT(VLOOKUP($B528,'Round 7'!$B$2:$H$361,7,false),1)="A","W",if(LEFT(VLOOKUP($B528,'Round 7'!$B$2:$H$361,7,false),1)="B","L","")),if(LEFT(VLOOKUP($B528,'Round 7'!$F$2:$H$361,3,false),1)="b","W",if(LEFT(VLOOKUP($B528,'Round 7'!$F$2:$H$361,3,false),1)="a","L",""))),"")</f>
        <v>W</v>
      </c>
      <c r="K528" s="68" t="str">
        <f>iferror(iferror(if(LEFT(VLOOKUP($B528,'Round 8'!$B$2:$H$361,7,false),1)="A","W",if(LEFT(VLOOKUP($B528,'Round 8'!$B$2:$H$361,7,false),1)="B","L","")),if(LEFT(VLOOKUP($B528,'Round 8'!$F$2:$H$361,3,false),1)="b","W",if(LEFT(VLOOKUP($B528,'Round 8'!$F$2:$H$361,3,false),1)="a","L",""))),"")</f>
        <v>W</v>
      </c>
      <c r="L528" s="68" t="str">
        <f>iferror(iferror(if(LEFT(VLOOKUP($B528,'Round 9'!$B$2:$H$361,7,false),1)="A","W",if(LEFT(VLOOKUP($B528,'Round 9'!$B$2:$H$361,7,false),1)="B","L","")),if(LEFT(VLOOKUP($B528,'Round 9'!$F$2:$H$361,3,false),1)="b","W",if(LEFT(VLOOKUP($B528,'Round 9'!$F$2:$H$361,3,false),1)="a","L",""))),"")</f>
        <v>W</v>
      </c>
      <c r="M528" s="68" t="str">
        <f>iferror(iferror(if(LEFT(VLOOKUP($B528,'Round 10'!$B$2:$H$362,7,false),1)="A","W",if(LEFT(VLOOKUP($B528,'Round 10'!$B$2:$H$362,7,false),1)="B","L","")),if(LEFT(VLOOKUP($B528,'Round 10'!$F$2:$H$362,3,false),1)="b","W",if(LEFT(VLOOKUP($B528,'Round 10'!$F$2:$H$362,3,false),1)="a","L",""))),"")</f>
        <v/>
      </c>
      <c r="N528" s="62" t="s">
        <v>1107</v>
      </c>
    </row>
    <row r="529">
      <c r="A529" s="63">
        <v>528.0</v>
      </c>
      <c r="B529" s="64" t="s">
        <v>1108</v>
      </c>
      <c r="C529" s="65" t="str">
        <f t="shared" si="1"/>
        <v>4 - 3</v>
      </c>
      <c r="D529" s="67" t="str">
        <f>iferror(if(LEFT(VLOOKUP($B529,'Round 1'!$B$2:$H$361,7,false),1)="A","W",if(LEFT(VLOOKUP($B529,'Round 1'!$B$2:$H$361,7,false),1)="B","L","")),if(LEFT(VLOOKUP($B529,'Round 1'!$F$2:$H$361,3,false),1)="b","W",if(LEFT(VLOOKUP($B529,'Round 1'!$F$2:$H$361,3,false),1)="a","L","")))</f>
        <v>W</v>
      </c>
      <c r="E529" s="67" t="str">
        <f>iferror(if(LEFT(VLOOKUP($B529,'Round 2'!$C$2:$J$361,8,false),1)="A","W",if(LEFT(VLOOKUP($B529,'Round 2'!$C$2:$J$361,8,false),1)="B","L","")),if(LEFT(VLOOKUP($B529,'Round 2'!$G$2:$J$361,4,false),1)="b","W",if(LEFT(VLOOKUP($B529,'Round 2'!$G$2:$J$361,4,false),1)="a","L","")))</f>
        <v>L</v>
      </c>
      <c r="F529" s="67" t="str">
        <f>iferror(if(LEFT(VLOOKUP($B529,'Round 3'!$B$2:$H$361,7,false),1)="A","W",if(LEFT(VLOOKUP($B529,'Round 3'!$B$2:$H$361,7,false),1)="B","L","")),if(LEFT(VLOOKUP($B529,'Round 3'!$F$2:$H$361,3,false),1)="b","W",if(LEFT(VLOOKUP($B529,'Round 3'!$F$2:$H$361,3,false),1)="a","L","")))</f>
        <v>L</v>
      </c>
      <c r="G529" s="67" t="str">
        <f>iferror(if(LEFT(VLOOKUP($B529,'Round 4'!$B$2:$H$361,7,false),1)="A","W",if(LEFT(VLOOKUP($B529,'Round 4'!$B$2:$H$361,7,false),1)="B","L","")),if(LEFT(VLOOKUP($B529,'Round 4'!$F$2:$H$361,3,false),1)="b","W",if(LEFT(VLOOKUP($B529,'Round 4'!$F$2:$H$361,3,false),1)="a","L","")))</f>
        <v>W</v>
      </c>
      <c r="H529" s="67" t="str">
        <f>iferror(if(LEFT(VLOOKUP($B529,'Round 5'!$B$2:$H$361,7,false),1)="A","W",if(LEFT(VLOOKUP($B529,'Round 5'!$B$2:$H$361,7,false),1)="B","L","")),if(LEFT(VLOOKUP($B529,'Round 5'!$F$2:$H$361,3,false),1)="b","W",if(LEFT(VLOOKUP($B529,'Round 5'!$F$2:$H$361,3,false),1)="a","L","")))</f>
        <v>W</v>
      </c>
      <c r="I529" s="67" t="str">
        <f>iferror(if(LEFT(VLOOKUP($B529,'Round 6'!$B$2:$H$361,7,false),1)="A","W",if(LEFT(VLOOKUP($B529,'Round 6'!$B$2:$H$361,7,false),1)="B","L","")),if(LEFT(VLOOKUP($B529,'Round 6'!$F$2:$H$361,3,false),1)="b","W",if(LEFT(VLOOKUP($B529,'Round 6'!$F$2:$H$361,3,false),1)="a","L","")))</f>
        <v>W</v>
      </c>
      <c r="J529" s="67" t="str">
        <f>iferror(iferror(if(LEFT(VLOOKUP($B529,'Round 7'!$B$2:$H$361,7,false),1)="A","W",if(LEFT(VLOOKUP($B529,'Round 7'!$B$2:$H$361,7,false),1)="B","L","")),if(LEFT(VLOOKUP($B529,'Round 7'!$F$2:$H$361,3,false),1)="b","W",if(LEFT(VLOOKUP($B529,'Round 7'!$F$2:$H$361,3,false),1)="a","L",""))),"")</f>
        <v>L</v>
      </c>
      <c r="K529" s="68" t="str">
        <f>iferror(iferror(if(LEFT(VLOOKUP($B529,'Round 8'!$B$2:$H$361,7,false),1)="A","W",if(LEFT(VLOOKUP($B529,'Round 8'!$B$2:$H$361,7,false),1)="B","L","")),if(LEFT(VLOOKUP($B529,'Round 8'!$F$2:$H$361,3,false),1)="b","W",if(LEFT(VLOOKUP($B529,'Round 8'!$F$2:$H$361,3,false),1)="a","L",""))),"")</f>
        <v/>
      </c>
      <c r="L529" s="68" t="str">
        <f>iferror(iferror(if(LEFT(VLOOKUP($B529,'Round 9'!$B$2:$H$361,7,false),1)="A","W",if(LEFT(VLOOKUP($B529,'Round 9'!$B$2:$H$361,7,false),1)="B","L","")),if(LEFT(VLOOKUP($B529,'Round 9'!$F$2:$H$361,3,false),1)="b","W",if(LEFT(VLOOKUP($B529,'Round 9'!$F$2:$H$361,3,false),1)="a","L",""))),"")</f>
        <v/>
      </c>
      <c r="M529" s="68" t="str">
        <f>iferror(iferror(if(LEFT(VLOOKUP($B529,'Round 10'!$B$2:$H$362,7,false),1)="A","W",if(LEFT(VLOOKUP($B529,'Round 10'!$B$2:$H$362,7,false),1)="B","L","")),if(LEFT(VLOOKUP($B529,'Round 10'!$F$2:$H$362,3,false),1)="b","W",if(LEFT(VLOOKUP($B529,'Round 10'!$F$2:$H$362,3,false),1)="a","L",""))),"")</f>
        <v/>
      </c>
      <c r="N529" s="62" t="s">
        <v>1109</v>
      </c>
    </row>
    <row r="530">
      <c r="A530" s="63">
        <v>529.0</v>
      </c>
      <c r="B530" s="64" t="s">
        <v>1110</v>
      </c>
      <c r="C530" s="65" t="str">
        <f t="shared" si="1"/>
        <v>1 - 3</v>
      </c>
      <c r="D530" s="67" t="str">
        <f>iferror(if(LEFT(VLOOKUP($B530,'Round 1'!$B$2:$H$361,7,false),1)="A","W",if(LEFT(VLOOKUP($B530,'Round 1'!$B$2:$H$361,7,false),1)="B","L","")),if(LEFT(VLOOKUP($B530,'Round 1'!$F$2:$H$361,3,false),1)="b","W",if(LEFT(VLOOKUP($B530,'Round 1'!$F$2:$H$361,3,false),1)="a","L","")))</f>
        <v>L</v>
      </c>
      <c r="E530" s="67" t="str">
        <f>iferror(if(LEFT(VLOOKUP($B530,'Round 2'!$C$2:$J$361,8,false),1)="A","W",if(LEFT(VLOOKUP($B530,'Round 2'!$C$2:$J$361,8,false),1)="B","L","")),if(LEFT(VLOOKUP($B530,'Round 2'!$G$2:$J$361,4,false),1)="b","W",if(LEFT(VLOOKUP($B530,'Round 2'!$G$2:$J$361,4,false),1)="a","L","")))</f>
        <v>W</v>
      </c>
      <c r="F530" s="67" t="str">
        <f>iferror(if(LEFT(VLOOKUP($B530,'Round 3'!$B$2:$H$361,7,false),1)="A","W",if(LEFT(VLOOKUP($B530,'Round 3'!$B$2:$H$361,7,false),1)="B","L","")),if(LEFT(VLOOKUP($B530,'Round 3'!$F$2:$H$361,3,false),1)="b","W",if(LEFT(VLOOKUP($B530,'Round 3'!$F$2:$H$361,3,false),1)="a","L","")))</f>
        <v>L</v>
      </c>
      <c r="G530" s="67" t="str">
        <f>iferror(if(LEFT(VLOOKUP($B530,'Round 4'!$B$2:$H$361,7,false),1)="A","W",if(LEFT(VLOOKUP($B530,'Round 4'!$B$2:$H$361,7,false),1)="B","L","")),if(LEFT(VLOOKUP($B530,'Round 4'!$F$2:$H$361,3,false),1)="b","W",if(LEFT(VLOOKUP($B530,'Round 4'!$F$2:$H$361,3,false),1)="a","L","")))</f>
        <v>L</v>
      </c>
      <c r="H530" s="67"/>
      <c r="I530" s="67"/>
      <c r="J530" s="67" t="str">
        <f>iferror(iferror(if(LEFT(VLOOKUP($B530,'Round 7'!$B$2:$H$361,7,false),1)="A","W",if(LEFT(VLOOKUP($B530,'Round 7'!$B$2:$H$361,7,false),1)="B","L","")),if(LEFT(VLOOKUP($B530,'Round 7'!$F$2:$H$361,3,false),1)="b","W",if(LEFT(VLOOKUP($B530,'Round 7'!$F$2:$H$361,3,false),1)="a","L",""))),"")</f>
        <v/>
      </c>
      <c r="K530" s="68" t="str">
        <f>iferror(iferror(if(LEFT(VLOOKUP($B530,'Round 8'!$B$2:$H$361,7,false),1)="A","W",if(LEFT(VLOOKUP($B530,'Round 8'!$B$2:$H$361,7,false),1)="B","L","")),if(LEFT(VLOOKUP($B530,'Round 8'!$F$2:$H$361,3,false),1)="b","W",if(LEFT(VLOOKUP($B530,'Round 8'!$F$2:$H$361,3,false),1)="a","L",""))),"")</f>
        <v/>
      </c>
      <c r="L530" s="68" t="str">
        <f>iferror(iferror(if(LEFT(VLOOKUP($B530,'Round 9'!$B$2:$H$361,7,false),1)="A","W",if(LEFT(VLOOKUP($B530,'Round 9'!$B$2:$H$361,7,false),1)="B","L","")),if(LEFT(VLOOKUP($B530,'Round 9'!$F$2:$H$361,3,false),1)="b","W",if(LEFT(VLOOKUP($B530,'Round 9'!$F$2:$H$361,3,false),1)="a","L",""))),"")</f>
        <v/>
      </c>
      <c r="M530" s="68" t="str">
        <f>iferror(iferror(if(LEFT(VLOOKUP($B530,'Round 10'!$B$2:$H$362,7,false),1)="A","W",if(LEFT(VLOOKUP($B530,'Round 10'!$B$2:$H$362,7,false),1)="B","L","")),if(LEFT(VLOOKUP($B530,'Round 10'!$F$2:$H$362,3,false),1)="b","W",if(LEFT(VLOOKUP($B530,'Round 10'!$F$2:$H$362,3,false),1)="a","L",""))),"")</f>
        <v/>
      </c>
      <c r="N530" s="62" t="s">
        <v>1111</v>
      </c>
    </row>
    <row r="531">
      <c r="A531" s="63">
        <v>530.0</v>
      </c>
      <c r="B531" s="64" t="s">
        <v>1112</v>
      </c>
      <c r="C531" s="65" t="str">
        <f t="shared" si="1"/>
        <v>6 - 3</v>
      </c>
      <c r="D531" s="67" t="str">
        <f>iferror(if(LEFT(VLOOKUP($B531,'Round 1'!$B$2:$H$361,7,false),1)="A","W",if(LEFT(VLOOKUP($B531,'Round 1'!$B$2:$H$361,7,false),1)="B","L","")),if(LEFT(VLOOKUP($B531,'Round 1'!$F$2:$H$361,3,false),1)="b","W",if(LEFT(VLOOKUP($B531,'Round 1'!$F$2:$H$361,3,false),1)="a","L","")))</f>
        <v>L</v>
      </c>
      <c r="E531" s="67" t="str">
        <f>iferror(if(LEFT(VLOOKUP($B531,'Round 2'!$C$2:$J$361,8,false),1)="A","W",if(LEFT(VLOOKUP($B531,'Round 2'!$C$2:$J$361,8,false),1)="B","L","")),if(LEFT(VLOOKUP($B531,'Round 2'!$G$2:$J$361,4,false),1)="b","W",if(LEFT(VLOOKUP($B531,'Round 2'!$G$2:$J$361,4,false),1)="a","L","")))</f>
        <v>W</v>
      </c>
      <c r="F531" s="67" t="str">
        <f>iferror(if(LEFT(VLOOKUP($B531,'Round 3'!$B$2:$H$361,7,false),1)="A","W",if(LEFT(VLOOKUP($B531,'Round 3'!$B$2:$H$361,7,false),1)="B","L","")),if(LEFT(VLOOKUP($B531,'Round 3'!$F$2:$H$361,3,false),1)="b","W",if(LEFT(VLOOKUP($B531,'Round 3'!$F$2:$H$361,3,false),1)="a","L","")))</f>
        <v>L</v>
      </c>
      <c r="G531" s="67" t="str">
        <f>iferror(if(LEFT(VLOOKUP($B531,'Round 4'!$B$2:$H$361,7,false),1)="A","W",if(LEFT(VLOOKUP($B531,'Round 4'!$B$2:$H$361,7,false),1)="B","L","")),if(LEFT(VLOOKUP($B531,'Round 4'!$F$2:$H$361,3,false),1)="b","W",if(LEFT(VLOOKUP($B531,'Round 4'!$F$2:$H$361,3,false),1)="a","L","")))</f>
        <v>W</v>
      </c>
      <c r="H531" s="67" t="str">
        <f>iferror(if(LEFT(VLOOKUP($B531,'Round 5'!$B$2:$H$361,7,false),1)="A","W",if(LEFT(VLOOKUP($B531,'Round 5'!$B$2:$H$361,7,false),1)="B","L","")),if(LEFT(VLOOKUP($B531,'Round 5'!$F$2:$H$361,3,false),1)="b","W",if(LEFT(VLOOKUP($B531,'Round 5'!$F$2:$H$361,3,false),1)="a","L","")))</f>
        <v>W</v>
      </c>
      <c r="I531" s="67" t="str">
        <f>iferror(if(LEFT(VLOOKUP($B531,'Round 6'!$B$2:$H$361,7,false),1)="A","W",if(LEFT(VLOOKUP($B531,'Round 6'!$B$2:$H$361,7,false),1)="B","L","")),if(LEFT(VLOOKUP($B531,'Round 6'!$F$2:$H$361,3,false),1)="b","W",if(LEFT(VLOOKUP($B531,'Round 6'!$F$2:$H$361,3,false),1)="a","L","")))</f>
        <v>W</v>
      </c>
      <c r="J531" s="67" t="str">
        <f>iferror(iferror(if(LEFT(VLOOKUP($B531,'Round 7'!$B$2:$H$361,7,false),1)="A","W",if(LEFT(VLOOKUP($B531,'Round 7'!$B$2:$H$361,7,false),1)="B","L","")),if(LEFT(VLOOKUP($B531,'Round 7'!$F$2:$H$361,3,false),1)="b","W",if(LEFT(VLOOKUP($B531,'Round 7'!$F$2:$H$361,3,false),1)="a","L",""))),"")</f>
        <v>W</v>
      </c>
      <c r="K531" s="68" t="str">
        <f>iferror(iferror(if(LEFT(VLOOKUP($B531,'Round 8'!$B$2:$H$361,7,false),1)="A","W",if(LEFT(VLOOKUP($B531,'Round 8'!$B$2:$H$361,7,false),1)="B","L","")),if(LEFT(VLOOKUP($B531,'Round 8'!$F$2:$H$361,3,false),1)="b","W",if(LEFT(VLOOKUP($B531,'Round 8'!$F$2:$H$361,3,false),1)="a","L",""))),"")</f>
        <v>W</v>
      </c>
      <c r="L531" s="68" t="str">
        <f>iferror(iferror(if(LEFT(VLOOKUP($B531,'Round 9'!$B$2:$H$361,7,false),1)="A","W",if(LEFT(VLOOKUP($B531,'Round 9'!$B$2:$H$361,7,false),1)="B","L","")),if(LEFT(VLOOKUP($B531,'Round 9'!$F$2:$H$361,3,false),1)="b","W",if(LEFT(VLOOKUP($B531,'Round 9'!$F$2:$H$361,3,false),1)="a","L",""))),"")</f>
        <v>L</v>
      </c>
      <c r="M531" s="68" t="str">
        <f>iferror(iferror(if(LEFT(VLOOKUP($B531,'Round 10'!$B$2:$H$362,7,false),1)="A","W",if(LEFT(VLOOKUP($B531,'Round 10'!$B$2:$H$362,7,false),1)="B","L","")),if(LEFT(VLOOKUP($B531,'Round 10'!$F$2:$H$362,3,false),1)="b","W",if(LEFT(VLOOKUP($B531,'Round 10'!$F$2:$H$362,3,false),1)="a","L",""))),"")</f>
        <v/>
      </c>
      <c r="N531" s="62" t="s">
        <v>1113</v>
      </c>
    </row>
    <row r="532">
      <c r="A532" s="63">
        <v>531.0</v>
      </c>
      <c r="B532" s="64" t="s">
        <v>1114</v>
      </c>
      <c r="C532" s="65" t="str">
        <f t="shared" si="1"/>
        <v>4 - 3</v>
      </c>
      <c r="D532" s="67" t="str">
        <f>iferror(if(LEFT(VLOOKUP($B532,'Round 1'!$B$2:$H$361,7,false),1)="A","W",if(LEFT(VLOOKUP($B532,'Round 1'!$B$2:$H$361,7,false),1)="B","L","")),if(LEFT(VLOOKUP($B532,'Round 1'!$F$2:$H$361,3,false),1)="b","W",if(LEFT(VLOOKUP($B532,'Round 1'!$F$2:$H$361,3,false),1)="a","L","")))</f>
        <v>L</v>
      </c>
      <c r="E532" s="67" t="str">
        <f>iferror(if(LEFT(VLOOKUP($B532,'Round 2'!$C$2:$J$361,8,false),1)="A","W",if(LEFT(VLOOKUP($B532,'Round 2'!$C$2:$J$361,8,false),1)="B","L","")),if(LEFT(VLOOKUP($B532,'Round 2'!$G$2:$J$361,4,false),1)="b","W",if(LEFT(VLOOKUP($B532,'Round 2'!$G$2:$J$361,4,false),1)="a","L","")))</f>
        <v>W</v>
      </c>
      <c r="F532" s="67" t="str">
        <f>iferror(if(LEFT(VLOOKUP($B532,'Round 3'!$B$2:$H$361,7,false),1)="A","W",if(LEFT(VLOOKUP($B532,'Round 3'!$B$2:$H$361,7,false),1)="B","L","")),if(LEFT(VLOOKUP($B532,'Round 3'!$F$2:$H$361,3,false),1)="b","W",if(LEFT(VLOOKUP($B532,'Round 3'!$F$2:$H$361,3,false),1)="a","L","")))</f>
        <v>W</v>
      </c>
      <c r="G532" s="67" t="str">
        <f>iferror(if(LEFT(VLOOKUP($B532,'Round 4'!$B$2:$H$361,7,false),1)="A","W",if(LEFT(VLOOKUP($B532,'Round 4'!$B$2:$H$361,7,false),1)="B","L","")),if(LEFT(VLOOKUP($B532,'Round 4'!$F$2:$H$361,3,false),1)="b","W",if(LEFT(VLOOKUP($B532,'Round 4'!$F$2:$H$361,3,false),1)="a","L","")))</f>
        <v>L</v>
      </c>
      <c r="H532" s="67" t="str">
        <f>iferror(if(LEFT(VLOOKUP($B532,'Round 5'!$B$2:$H$361,7,false),1)="A","W",if(LEFT(VLOOKUP($B532,'Round 5'!$B$2:$H$361,7,false),1)="B","L","")),if(LEFT(VLOOKUP($B532,'Round 5'!$F$2:$H$361,3,false),1)="b","W",if(LEFT(VLOOKUP($B532,'Round 5'!$F$2:$H$361,3,false),1)="a","L","")))</f>
        <v>W</v>
      </c>
      <c r="I532" s="67" t="str">
        <f>iferror(if(LEFT(VLOOKUP($B532,'Round 6'!$B$2:$H$361,7,false),1)="A","W",if(LEFT(VLOOKUP($B532,'Round 6'!$B$2:$H$361,7,false),1)="B","L","")),if(LEFT(VLOOKUP($B532,'Round 6'!$F$2:$H$361,3,false),1)="b","W",if(LEFT(VLOOKUP($B532,'Round 6'!$F$2:$H$361,3,false),1)="a","L","")))</f>
        <v>W</v>
      </c>
      <c r="J532" s="67" t="str">
        <f>iferror(iferror(if(LEFT(VLOOKUP($B532,'Round 7'!$B$2:$H$361,7,false),1)="A","W",if(LEFT(VLOOKUP($B532,'Round 7'!$B$2:$H$361,7,false),1)="B","L","")),if(LEFT(VLOOKUP($B532,'Round 7'!$F$2:$H$361,3,false),1)="b","W",if(LEFT(VLOOKUP($B532,'Round 7'!$F$2:$H$361,3,false),1)="a","L",""))),"")</f>
        <v>L</v>
      </c>
      <c r="K532" s="68" t="str">
        <f>iferror(iferror(if(LEFT(VLOOKUP($B532,'Round 8'!$B$2:$H$361,7,false),1)="A","W",if(LEFT(VLOOKUP($B532,'Round 8'!$B$2:$H$361,7,false),1)="B","L","")),if(LEFT(VLOOKUP($B532,'Round 8'!$F$2:$H$361,3,false),1)="b","W",if(LEFT(VLOOKUP($B532,'Round 8'!$F$2:$H$361,3,false),1)="a","L",""))),"")</f>
        <v/>
      </c>
      <c r="L532" s="68" t="str">
        <f>iferror(iferror(if(LEFT(VLOOKUP($B532,'Round 9'!$B$2:$H$361,7,false),1)="A","W",if(LEFT(VLOOKUP($B532,'Round 9'!$B$2:$H$361,7,false),1)="B","L","")),if(LEFT(VLOOKUP($B532,'Round 9'!$F$2:$H$361,3,false),1)="b","W",if(LEFT(VLOOKUP($B532,'Round 9'!$F$2:$H$361,3,false),1)="a","L",""))),"")</f>
        <v/>
      </c>
      <c r="M532" s="68" t="str">
        <f>iferror(iferror(if(LEFT(VLOOKUP($B532,'Round 10'!$B$2:$H$362,7,false),1)="A","W",if(LEFT(VLOOKUP($B532,'Round 10'!$B$2:$H$362,7,false),1)="B","L","")),if(LEFT(VLOOKUP($B532,'Round 10'!$F$2:$H$362,3,false),1)="b","W",if(LEFT(VLOOKUP($B532,'Round 10'!$F$2:$H$362,3,false),1)="a","L",""))),"")</f>
        <v/>
      </c>
      <c r="N532" s="62" t="s">
        <v>1115</v>
      </c>
    </row>
    <row r="533">
      <c r="A533" s="63">
        <v>532.0</v>
      </c>
      <c r="B533" s="64" t="s">
        <v>1116</v>
      </c>
      <c r="C533" s="65" t="str">
        <f t="shared" si="1"/>
        <v>4 - 3</v>
      </c>
      <c r="D533" s="67" t="str">
        <f>iferror(if(LEFT(VLOOKUP($B533,'Round 1'!$B$2:$H$361,7,false),1)="A","W",if(LEFT(VLOOKUP($B533,'Round 1'!$B$2:$H$361,7,false),1)="B","L","")),if(LEFT(VLOOKUP($B533,'Round 1'!$F$2:$H$361,3,false),1)="b","W",if(LEFT(VLOOKUP($B533,'Round 1'!$F$2:$H$361,3,false),1)="a","L","")))</f>
        <v>L</v>
      </c>
      <c r="E533" s="67" t="str">
        <f>iferror(if(LEFT(VLOOKUP($B533,'Round 2'!$C$2:$J$361,8,false),1)="A","W",if(LEFT(VLOOKUP($B533,'Round 2'!$C$2:$J$361,8,false),1)="B","L","")),if(LEFT(VLOOKUP($B533,'Round 2'!$G$2:$J$361,4,false),1)="b","W",if(LEFT(VLOOKUP($B533,'Round 2'!$G$2:$J$361,4,false),1)="a","L","")))</f>
        <v>W</v>
      </c>
      <c r="F533" s="67" t="str">
        <f>iferror(if(LEFT(VLOOKUP($B533,'Round 3'!$B$2:$H$361,7,false),1)="A","W",if(LEFT(VLOOKUP($B533,'Round 3'!$B$2:$H$361,7,false),1)="B","L","")),if(LEFT(VLOOKUP($B533,'Round 3'!$F$2:$H$361,3,false),1)="b","W",if(LEFT(VLOOKUP($B533,'Round 3'!$F$2:$H$361,3,false),1)="a","L","")))</f>
        <v>L</v>
      </c>
      <c r="G533" s="67" t="str">
        <f>iferror(if(LEFT(VLOOKUP($B533,'Round 4'!$B$2:$H$361,7,false),1)="A","W",if(LEFT(VLOOKUP($B533,'Round 4'!$B$2:$H$361,7,false),1)="B","L","")),if(LEFT(VLOOKUP($B533,'Round 4'!$F$2:$H$361,3,false),1)="b","W",if(LEFT(VLOOKUP($B533,'Round 4'!$F$2:$H$361,3,false),1)="a","L","")))</f>
        <v>W</v>
      </c>
      <c r="H533" s="67" t="str">
        <f>iferror(if(LEFT(VLOOKUP($B533,'Round 5'!$B$2:$H$361,7,false),1)="A","W",if(LEFT(VLOOKUP($B533,'Round 5'!$B$2:$H$361,7,false),1)="B","L","")),if(LEFT(VLOOKUP($B533,'Round 5'!$F$2:$H$361,3,false),1)="b","W",if(LEFT(VLOOKUP($B533,'Round 5'!$F$2:$H$361,3,false),1)="a","L","")))</f>
        <v>W</v>
      </c>
      <c r="I533" s="67" t="str">
        <f>iferror(if(LEFT(VLOOKUP($B533,'Round 6'!$B$2:$H$361,7,false),1)="A","W",if(LEFT(VLOOKUP($B533,'Round 6'!$B$2:$H$361,7,false),1)="B","L","")),if(LEFT(VLOOKUP($B533,'Round 6'!$F$2:$H$361,3,false),1)="b","W",if(LEFT(VLOOKUP($B533,'Round 6'!$F$2:$H$361,3,false),1)="a","L","")))</f>
        <v>W</v>
      </c>
      <c r="J533" s="67" t="str">
        <f>iferror(iferror(if(LEFT(VLOOKUP($B533,'Round 7'!$B$2:$H$361,7,false),1)="A","W",if(LEFT(VLOOKUP($B533,'Round 7'!$B$2:$H$361,7,false),1)="B","L","")),if(LEFT(VLOOKUP($B533,'Round 7'!$F$2:$H$361,3,false),1)="b","W",if(LEFT(VLOOKUP($B533,'Round 7'!$F$2:$H$361,3,false),1)="a","L",""))),"")</f>
        <v>L</v>
      </c>
      <c r="K533" s="68" t="str">
        <f>iferror(iferror(if(LEFT(VLOOKUP($B533,'Round 8'!$B$2:$H$361,7,false),1)="A","W",if(LEFT(VLOOKUP($B533,'Round 8'!$B$2:$H$361,7,false),1)="B","L","")),if(LEFT(VLOOKUP($B533,'Round 8'!$F$2:$H$361,3,false),1)="b","W",if(LEFT(VLOOKUP($B533,'Round 8'!$F$2:$H$361,3,false),1)="a","L",""))),"")</f>
        <v/>
      </c>
      <c r="L533" s="68" t="str">
        <f>iferror(iferror(if(LEFT(VLOOKUP($B533,'Round 9'!$B$2:$H$361,7,false),1)="A","W",if(LEFT(VLOOKUP($B533,'Round 9'!$B$2:$H$361,7,false),1)="B","L","")),if(LEFT(VLOOKUP($B533,'Round 9'!$F$2:$H$361,3,false),1)="b","W",if(LEFT(VLOOKUP($B533,'Round 9'!$F$2:$H$361,3,false),1)="a","L",""))),"")</f>
        <v/>
      </c>
      <c r="M533" s="68" t="str">
        <f>iferror(iferror(if(LEFT(VLOOKUP($B533,'Round 10'!$B$2:$H$362,7,false),1)="A","W",if(LEFT(VLOOKUP($B533,'Round 10'!$B$2:$H$362,7,false),1)="B","L","")),if(LEFT(VLOOKUP($B533,'Round 10'!$F$2:$H$362,3,false),1)="b","W",if(LEFT(VLOOKUP($B533,'Round 10'!$F$2:$H$362,3,false),1)="a","L",""))),"")</f>
        <v/>
      </c>
      <c r="N533" s="62" t="s">
        <v>1117</v>
      </c>
    </row>
    <row r="534">
      <c r="A534" s="63">
        <v>533.0</v>
      </c>
      <c r="B534" s="64" t="s">
        <v>1118</v>
      </c>
      <c r="C534" s="65" t="str">
        <f t="shared" si="1"/>
        <v>2 - 3</v>
      </c>
      <c r="D534" s="67" t="str">
        <f>iferror(if(LEFT(VLOOKUP($B534,'Round 1'!$B$2:$H$361,7,false),1)="A","W",if(LEFT(VLOOKUP($B534,'Round 1'!$B$2:$H$361,7,false),1)="B","L","")),if(LEFT(VLOOKUP($B534,'Round 1'!$F$2:$H$361,3,false),1)="b","W",if(LEFT(VLOOKUP($B534,'Round 1'!$F$2:$H$361,3,false),1)="a","L","")))</f>
        <v>W</v>
      </c>
      <c r="E534" s="67" t="str">
        <f>iferror(if(LEFT(VLOOKUP($B534,'Round 2'!$C$2:$J$361,8,false),1)="A","W",if(LEFT(VLOOKUP($B534,'Round 2'!$C$2:$J$361,8,false),1)="B","L","")),if(LEFT(VLOOKUP($B534,'Round 2'!$G$2:$J$361,4,false),1)="b","W",if(LEFT(VLOOKUP($B534,'Round 2'!$G$2:$J$361,4,false),1)="a","L","")))</f>
        <v>L</v>
      </c>
      <c r="F534" s="67" t="str">
        <f>iferror(if(LEFT(VLOOKUP($B534,'Round 3'!$B$2:$H$361,7,false),1)="A","W",if(LEFT(VLOOKUP($B534,'Round 3'!$B$2:$H$361,7,false),1)="B","L","")),if(LEFT(VLOOKUP($B534,'Round 3'!$F$2:$H$361,3,false),1)="b","W",if(LEFT(VLOOKUP($B534,'Round 3'!$F$2:$H$361,3,false),1)="a","L","")))</f>
        <v>W</v>
      </c>
      <c r="G534" s="67" t="str">
        <f>iferror(if(LEFT(VLOOKUP($B534,'Round 4'!$B$2:$H$361,7,false),1)="A","W",if(LEFT(VLOOKUP($B534,'Round 4'!$B$2:$H$361,7,false),1)="B","L","")),if(LEFT(VLOOKUP($B534,'Round 4'!$F$2:$H$361,3,false),1)="b","W",if(LEFT(VLOOKUP($B534,'Round 4'!$F$2:$H$361,3,false),1)="a","L","")))</f>
        <v>L</v>
      </c>
      <c r="H534" s="67" t="str">
        <f>iferror(if(LEFT(VLOOKUP($B534,'Round 5'!$B$2:$H$361,7,false),1)="A","W",if(LEFT(VLOOKUP($B534,'Round 5'!$B$2:$H$361,7,false),1)="B","L","")),if(LEFT(VLOOKUP($B534,'Round 5'!$F$2:$H$361,3,false),1)="b","W",if(LEFT(VLOOKUP($B534,'Round 5'!$F$2:$H$361,3,false),1)="a","L","")))</f>
        <v>L</v>
      </c>
      <c r="I534" s="67"/>
      <c r="J534" s="67" t="str">
        <f>iferror(iferror(if(LEFT(VLOOKUP($B534,'Round 7'!$B$2:$H$361,7,false),1)="A","W",if(LEFT(VLOOKUP($B534,'Round 7'!$B$2:$H$361,7,false),1)="B","L","")),if(LEFT(VLOOKUP($B534,'Round 7'!$F$2:$H$361,3,false),1)="b","W",if(LEFT(VLOOKUP($B534,'Round 7'!$F$2:$H$361,3,false),1)="a","L",""))),"")</f>
        <v/>
      </c>
      <c r="K534" s="68" t="str">
        <f>iferror(iferror(if(LEFT(VLOOKUP($B534,'Round 8'!$B$2:$H$361,7,false),1)="A","W",if(LEFT(VLOOKUP($B534,'Round 8'!$B$2:$H$361,7,false),1)="B","L","")),if(LEFT(VLOOKUP($B534,'Round 8'!$F$2:$H$361,3,false),1)="b","W",if(LEFT(VLOOKUP($B534,'Round 8'!$F$2:$H$361,3,false),1)="a","L",""))),"")</f>
        <v/>
      </c>
      <c r="L534" s="68" t="str">
        <f>iferror(iferror(if(LEFT(VLOOKUP($B534,'Round 9'!$B$2:$H$361,7,false),1)="A","W",if(LEFT(VLOOKUP($B534,'Round 9'!$B$2:$H$361,7,false),1)="B","L","")),if(LEFT(VLOOKUP($B534,'Round 9'!$F$2:$H$361,3,false),1)="b","W",if(LEFT(VLOOKUP($B534,'Round 9'!$F$2:$H$361,3,false),1)="a","L",""))),"")</f>
        <v/>
      </c>
      <c r="M534" s="68" t="str">
        <f>iferror(iferror(if(LEFT(VLOOKUP($B534,'Round 10'!$B$2:$H$362,7,false),1)="A","W",if(LEFT(VLOOKUP($B534,'Round 10'!$B$2:$H$362,7,false),1)="B","L","")),if(LEFT(VLOOKUP($B534,'Round 10'!$F$2:$H$362,3,false),1)="b","W",if(LEFT(VLOOKUP($B534,'Round 10'!$F$2:$H$362,3,false),1)="a","L",""))),"")</f>
        <v/>
      </c>
      <c r="N534" s="62" t="s">
        <v>1119</v>
      </c>
    </row>
    <row r="535">
      <c r="A535" s="63">
        <v>534.0</v>
      </c>
      <c r="B535" s="64" t="s">
        <v>1120</v>
      </c>
      <c r="C535" s="65" t="str">
        <f t="shared" si="1"/>
        <v>2 - 3</v>
      </c>
      <c r="D535" s="67" t="str">
        <f>iferror(if(LEFT(VLOOKUP($B535,'Round 1'!$B$2:$H$361,7,false),1)="A","W",if(LEFT(VLOOKUP($B535,'Round 1'!$B$2:$H$361,7,false),1)="B","L","")),if(LEFT(VLOOKUP($B535,'Round 1'!$F$2:$H$361,3,false),1)="b","W",if(LEFT(VLOOKUP($B535,'Round 1'!$F$2:$H$361,3,false),1)="a","L","")))</f>
        <v>W</v>
      </c>
      <c r="E535" s="67" t="str">
        <f>iferror(if(LEFT(VLOOKUP($B535,'Round 2'!$C$2:$J$361,8,false),1)="A","W",if(LEFT(VLOOKUP($B535,'Round 2'!$C$2:$J$361,8,false),1)="B","L","")),if(LEFT(VLOOKUP($B535,'Round 2'!$G$2:$J$361,4,false),1)="b","W",if(LEFT(VLOOKUP($B535,'Round 2'!$G$2:$J$361,4,false),1)="a","L","")))</f>
        <v>W</v>
      </c>
      <c r="F535" s="67" t="str">
        <f>iferror(if(LEFT(VLOOKUP($B535,'Round 3'!$B$2:$H$361,7,false),1)="A","W",if(LEFT(VLOOKUP($B535,'Round 3'!$B$2:$H$361,7,false),1)="B","L","")),if(LEFT(VLOOKUP($B535,'Round 3'!$F$2:$H$361,3,false),1)="b","W",if(LEFT(VLOOKUP($B535,'Round 3'!$F$2:$H$361,3,false),1)="a","L","")))</f>
        <v>L</v>
      </c>
      <c r="G535" s="67" t="str">
        <f>iferror(if(LEFT(VLOOKUP($B535,'Round 4'!$B$2:$H$361,7,false),1)="A","W",if(LEFT(VLOOKUP($B535,'Round 4'!$B$2:$H$361,7,false),1)="B","L","")),if(LEFT(VLOOKUP($B535,'Round 4'!$F$2:$H$361,3,false),1)="b","W",if(LEFT(VLOOKUP($B535,'Round 4'!$F$2:$H$361,3,false),1)="a","L","")))</f>
        <v>L</v>
      </c>
      <c r="H535" s="67" t="str">
        <f>iferror(if(LEFT(VLOOKUP($B535,'Round 5'!$B$2:$H$361,7,false),1)="A","W",if(LEFT(VLOOKUP($B535,'Round 5'!$B$2:$H$361,7,false),1)="B","L","")),if(LEFT(VLOOKUP($B535,'Round 5'!$F$2:$H$361,3,false),1)="b","W",if(LEFT(VLOOKUP($B535,'Round 5'!$F$2:$H$361,3,false),1)="a","L","")))</f>
        <v>L</v>
      </c>
      <c r="I535" s="67"/>
      <c r="J535" s="67" t="str">
        <f>iferror(iferror(if(LEFT(VLOOKUP($B535,'Round 7'!$B$2:$H$361,7,false),1)="A","W",if(LEFT(VLOOKUP($B535,'Round 7'!$B$2:$H$361,7,false),1)="B","L","")),if(LEFT(VLOOKUP($B535,'Round 7'!$F$2:$H$361,3,false),1)="b","W",if(LEFT(VLOOKUP($B535,'Round 7'!$F$2:$H$361,3,false),1)="a","L",""))),"")</f>
        <v/>
      </c>
      <c r="K535" s="68" t="str">
        <f>iferror(iferror(if(LEFT(VLOOKUP($B535,'Round 8'!$B$2:$H$361,7,false),1)="A","W",if(LEFT(VLOOKUP($B535,'Round 8'!$B$2:$H$361,7,false),1)="B","L","")),if(LEFT(VLOOKUP($B535,'Round 8'!$F$2:$H$361,3,false),1)="b","W",if(LEFT(VLOOKUP($B535,'Round 8'!$F$2:$H$361,3,false),1)="a","L",""))),"")</f>
        <v/>
      </c>
      <c r="L535" s="68" t="str">
        <f>iferror(iferror(if(LEFT(VLOOKUP($B535,'Round 9'!$B$2:$H$361,7,false),1)="A","W",if(LEFT(VLOOKUP($B535,'Round 9'!$B$2:$H$361,7,false),1)="B","L","")),if(LEFT(VLOOKUP($B535,'Round 9'!$F$2:$H$361,3,false),1)="b","W",if(LEFT(VLOOKUP($B535,'Round 9'!$F$2:$H$361,3,false),1)="a","L",""))),"")</f>
        <v/>
      </c>
      <c r="M535" s="68" t="str">
        <f>iferror(iferror(if(LEFT(VLOOKUP($B535,'Round 10'!$B$2:$H$362,7,false),1)="A","W",if(LEFT(VLOOKUP($B535,'Round 10'!$B$2:$H$362,7,false),1)="B","L","")),if(LEFT(VLOOKUP($B535,'Round 10'!$F$2:$H$362,3,false),1)="b","W",if(LEFT(VLOOKUP($B535,'Round 10'!$F$2:$H$362,3,false),1)="a","L",""))),"")</f>
        <v/>
      </c>
      <c r="N535" s="62" t="s">
        <v>1121</v>
      </c>
    </row>
    <row r="536">
      <c r="A536" s="63">
        <v>535.0</v>
      </c>
      <c r="B536" s="64" t="s">
        <v>1122</v>
      </c>
      <c r="C536" s="65" t="str">
        <f t="shared" si="1"/>
        <v>6 - 3</v>
      </c>
      <c r="D536" s="67" t="str">
        <f>iferror(if(LEFT(VLOOKUP($B536,'Round 1'!$B$2:$H$361,7,false),1)="A","W",if(LEFT(VLOOKUP($B536,'Round 1'!$B$2:$H$361,7,false),1)="B","L","")),if(LEFT(VLOOKUP($B536,'Round 1'!$F$2:$H$361,3,false),1)="b","W",if(LEFT(VLOOKUP($B536,'Round 1'!$F$2:$H$361,3,false),1)="a","L","")))</f>
        <v>L</v>
      </c>
      <c r="E536" s="67" t="str">
        <f>iferror(if(LEFT(VLOOKUP($B536,'Round 2'!$C$2:$J$361,8,false),1)="A","W",if(LEFT(VLOOKUP($B536,'Round 2'!$C$2:$J$361,8,false),1)="B","L","")),if(LEFT(VLOOKUP($B536,'Round 2'!$G$2:$J$361,4,false),1)="b","W",if(LEFT(VLOOKUP($B536,'Round 2'!$G$2:$J$361,4,false),1)="a","L","")))</f>
        <v>L</v>
      </c>
      <c r="F536" s="67" t="str">
        <f>iferror(if(LEFT(VLOOKUP($B536,'Round 3'!$B$2:$H$361,7,false),1)="A","W",if(LEFT(VLOOKUP($B536,'Round 3'!$B$2:$H$361,7,false),1)="B","L","")),if(LEFT(VLOOKUP($B536,'Round 3'!$F$2:$H$361,3,false),1)="b","W",if(LEFT(VLOOKUP($B536,'Round 3'!$F$2:$H$361,3,false),1)="a","L","")))</f>
        <v>W</v>
      </c>
      <c r="G536" s="67" t="str">
        <f>iferror(if(LEFT(VLOOKUP($B536,'Round 4'!$B$2:$H$361,7,false),1)="A","W",if(LEFT(VLOOKUP($B536,'Round 4'!$B$2:$H$361,7,false),1)="B","L","")),if(LEFT(VLOOKUP($B536,'Round 4'!$F$2:$H$361,3,false),1)="b","W",if(LEFT(VLOOKUP($B536,'Round 4'!$F$2:$H$361,3,false),1)="a","L","")))</f>
        <v>W</v>
      </c>
      <c r="H536" s="67" t="str">
        <f>iferror(if(LEFT(VLOOKUP($B536,'Round 5'!$B$2:$H$361,7,false),1)="A","W",if(LEFT(VLOOKUP($B536,'Round 5'!$B$2:$H$361,7,false),1)="B","L","")),if(LEFT(VLOOKUP($B536,'Round 5'!$F$2:$H$361,3,false),1)="b","W",if(LEFT(VLOOKUP($B536,'Round 5'!$F$2:$H$361,3,false),1)="a","L","")))</f>
        <v>W</v>
      </c>
      <c r="I536" s="67" t="str">
        <f>iferror(if(LEFT(VLOOKUP($B536,'Round 6'!$B$2:$H$361,7,false),1)="A","W",if(LEFT(VLOOKUP($B536,'Round 6'!$B$2:$H$361,7,false),1)="B","L","")),if(LEFT(VLOOKUP($B536,'Round 6'!$F$2:$H$361,3,false),1)="b","W",if(LEFT(VLOOKUP($B536,'Round 6'!$F$2:$H$361,3,false),1)="a","L","")))</f>
        <v>W</v>
      </c>
      <c r="J536" s="67" t="str">
        <f>iferror(iferror(if(LEFT(VLOOKUP($B536,'Round 7'!$B$2:$H$361,7,false),1)="A","W",if(LEFT(VLOOKUP($B536,'Round 7'!$B$2:$H$361,7,false),1)="B","L","")),if(LEFT(VLOOKUP($B536,'Round 7'!$F$2:$H$361,3,false),1)="b","W",if(LEFT(VLOOKUP($B536,'Round 7'!$F$2:$H$361,3,false),1)="a","L",""))),"")</f>
        <v>W</v>
      </c>
      <c r="K536" s="68" t="str">
        <f>iferror(iferror(if(LEFT(VLOOKUP($B536,'Round 8'!$B$2:$H$361,7,false),1)="A","W",if(LEFT(VLOOKUP($B536,'Round 8'!$B$2:$H$361,7,false),1)="B","L","")),if(LEFT(VLOOKUP($B536,'Round 8'!$F$2:$H$361,3,false),1)="b","W",if(LEFT(VLOOKUP($B536,'Round 8'!$F$2:$H$361,3,false),1)="a","L",""))),"")</f>
        <v>W</v>
      </c>
      <c r="L536" s="68" t="str">
        <f>iferror(iferror(if(LEFT(VLOOKUP($B536,'Round 9'!$B$2:$H$361,7,false),1)="A","W",if(LEFT(VLOOKUP($B536,'Round 9'!$B$2:$H$361,7,false),1)="B","L","")),if(LEFT(VLOOKUP($B536,'Round 9'!$F$2:$H$361,3,false),1)="b","W",if(LEFT(VLOOKUP($B536,'Round 9'!$F$2:$H$361,3,false),1)="a","L",""))),"")</f>
        <v>L</v>
      </c>
      <c r="M536" s="68" t="str">
        <f>iferror(iferror(if(LEFT(VLOOKUP($B536,'Round 10'!$B$2:$H$362,7,false),1)="A","W",if(LEFT(VLOOKUP($B536,'Round 10'!$B$2:$H$362,7,false),1)="B","L","")),if(LEFT(VLOOKUP($B536,'Round 10'!$F$2:$H$362,3,false),1)="b","W",if(LEFT(VLOOKUP($B536,'Round 10'!$F$2:$H$362,3,false),1)="a","L",""))),"")</f>
        <v/>
      </c>
      <c r="N536" s="62" t="s">
        <v>1123</v>
      </c>
    </row>
    <row r="537">
      <c r="A537" s="63">
        <v>536.0</v>
      </c>
      <c r="B537" s="64" t="s">
        <v>1124</v>
      </c>
      <c r="C537" s="65" t="str">
        <f t="shared" si="1"/>
        <v>5 - 3</v>
      </c>
      <c r="D537" s="67" t="str">
        <f>iferror(if(LEFT(VLOOKUP($B537,'Round 1'!$B$2:$H$361,7,false),1)="A","W",if(LEFT(VLOOKUP($B537,'Round 1'!$B$2:$H$361,7,false),1)="B","L","")),if(LEFT(VLOOKUP($B537,'Round 1'!$F$2:$H$361,3,false),1)="b","W",if(LEFT(VLOOKUP($B537,'Round 1'!$F$2:$H$361,3,false),1)="a","L","")))</f>
        <v>W</v>
      </c>
      <c r="E537" s="67" t="str">
        <f>iferror(if(LEFT(VLOOKUP($B537,'Round 2'!$C$2:$J$361,8,false),1)="A","W",if(LEFT(VLOOKUP($B537,'Round 2'!$C$2:$J$361,8,false),1)="B","L","")),if(LEFT(VLOOKUP($B537,'Round 2'!$G$2:$J$361,4,false),1)="b","W",if(LEFT(VLOOKUP($B537,'Round 2'!$G$2:$J$361,4,false),1)="a","L","")))</f>
        <v>L</v>
      </c>
      <c r="F537" s="67" t="str">
        <f>iferror(if(LEFT(VLOOKUP($B537,'Round 3'!$B$2:$H$361,7,false),1)="A","W",if(LEFT(VLOOKUP($B537,'Round 3'!$B$2:$H$361,7,false),1)="B","L","")),if(LEFT(VLOOKUP($B537,'Round 3'!$F$2:$H$361,3,false),1)="b","W",if(LEFT(VLOOKUP($B537,'Round 3'!$F$2:$H$361,3,false),1)="a","L","")))</f>
        <v>W</v>
      </c>
      <c r="G537" s="67" t="str">
        <f>iferror(if(LEFT(VLOOKUP($B537,'Round 4'!$B$2:$H$361,7,false),1)="A","W",if(LEFT(VLOOKUP($B537,'Round 4'!$B$2:$H$361,7,false),1)="B","L","")),if(LEFT(VLOOKUP($B537,'Round 4'!$F$2:$H$361,3,false),1)="b","W",if(LEFT(VLOOKUP($B537,'Round 4'!$F$2:$H$361,3,false),1)="a","L","")))</f>
        <v>L</v>
      </c>
      <c r="H537" s="67" t="str">
        <f>iferror(if(LEFT(VLOOKUP($B537,'Round 5'!$B$2:$H$361,7,false),1)="A","W",if(LEFT(VLOOKUP($B537,'Round 5'!$B$2:$H$361,7,false),1)="B","L","")),if(LEFT(VLOOKUP($B537,'Round 5'!$F$2:$H$361,3,false),1)="b","W",if(LEFT(VLOOKUP($B537,'Round 5'!$F$2:$H$361,3,false),1)="a","L","")))</f>
        <v>W</v>
      </c>
      <c r="I537" s="67" t="str">
        <f>iferror(if(LEFT(VLOOKUP($B537,'Round 6'!$B$2:$H$361,7,false),1)="A","W",if(LEFT(VLOOKUP($B537,'Round 6'!$B$2:$H$361,7,false),1)="B","L","")),if(LEFT(VLOOKUP($B537,'Round 6'!$F$2:$H$361,3,false),1)="b","W",if(LEFT(VLOOKUP($B537,'Round 6'!$F$2:$H$361,3,false),1)="a","L","")))</f>
        <v>W</v>
      </c>
      <c r="J537" s="67" t="str">
        <f>iferror(iferror(if(LEFT(VLOOKUP($B537,'Round 7'!$B$2:$H$361,7,false),1)="A","W",if(LEFT(VLOOKUP($B537,'Round 7'!$B$2:$H$361,7,false),1)="B","L","")),if(LEFT(VLOOKUP($B537,'Round 7'!$F$2:$H$361,3,false),1)="b","W",if(LEFT(VLOOKUP($B537,'Round 7'!$F$2:$H$361,3,false),1)="a","L",""))),"")</f>
        <v>W</v>
      </c>
      <c r="K537" s="68" t="str">
        <f>iferror(iferror(if(LEFT(VLOOKUP($B537,'Round 8'!$B$2:$H$361,7,false),1)="A","W",if(LEFT(VLOOKUP($B537,'Round 8'!$B$2:$H$361,7,false),1)="B","L","")),if(LEFT(VLOOKUP($B537,'Round 8'!$F$2:$H$361,3,false),1)="b","W",if(LEFT(VLOOKUP($B537,'Round 8'!$F$2:$H$361,3,false),1)="a","L",""))),"")</f>
        <v>L</v>
      </c>
      <c r="L537" s="68" t="str">
        <f>iferror(iferror(if(LEFT(VLOOKUP($B537,'Round 9'!$B$2:$H$361,7,false),1)="A","W",if(LEFT(VLOOKUP($B537,'Round 9'!$B$2:$H$361,7,false),1)="B","L","")),if(LEFT(VLOOKUP($B537,'Round 9'!$F$2:$H$361,3,false),1)="b","W",if(LEFT(VLOOKUP($B537,'Round 9'!$F$2:$H$361,3,false),1)="a","L",""))),"")</f>
        <v/>
      </c>
      <c r="M537" s="68" t="str">
        <f>iferror(iferror(if(LEFT(VLOOKUP($B537,'Round 10'!$B$2:$H$362,7,false),1)="A","W",if(LEFT(VLOOKUP($B537,'Round 10'!$B$2:$H$362,7,false),1)="B","L","")),if(LEFT(VLOOKUP($B537,'Round 10'!$F$2:$H$362,3,false),1)="b","W",if(LEFT(VLOOKUP($B537,'Round 10'!$F$2:$H$362,3,false),1)="a","L",""))),"")</f>
        <v/>
      </c>
      <c r="N537" s="62" t="s">
        <v>1125</v>
      </c>
    </row>
    <row r="538">
      <c r="A538" s="63">
        <v>537.0</v>
      </c>
      <c r="B538" s="64" t="s">
        <v>1126</v>
      </c>
      <c r="C538" s="65" t="str">
        <f t="shared" si="1"/>
        <v>1 - 3</v>
      </c>
      <c r="D538" s="67" t="str">
        <f>iferror(if(LEFT(VLOOKUP($B538,'Round 1'!$B$2:$H$361,7,false),1)="A","W",if(LEFT(VLOOKUP($B538,'Round 1'!$B$2:$H$361,7,false),1)="B","L","")),if(LEFT(VLOOKUP($B538,'Round 1'!$F$2:$H$361,3,false),1)="b","W",if(LEFT(VLOOKUP($B538,'Round 1'!$F$2:$H$361,3,false),1)="a","L","")))</f>
        <v>L</v>
      </c>
      <c r="E538" s="67" t="str">
        <f>iferror(if(LEFT(VLOOKUP($B538,'Round 2'!$C$2:$J$361,8,false),1)="A","W",if(LEFT(VLOOKUP($B538,'Round 2'!$C$2:$J$361,8,false),1)="B","L","")),if(LEFT(VLOOKUP($B538,'Round 2'!$G$2:$J$361,4,false),1)="b","W",if(LEFT(VLOOKUP($B538,'Round 2'!$G$2:$J$361,4,false),1)="a","L","")))</f>
        <v>L</v>
      </c>
      <c r="F538" s="67" t="str">
        <f>iferror(if(LEFT(VLOOKUP($B538,'Round 3'!$B$2:$H$361,7,false),1)="A","W",if(LEFT(VLOOKUP($B538,'Round 3'!$B$2:$H$361,7,false),1)="B","L","")),if(LEFT(VLOOKUP($B538,'Round 3'!$F$2:$H$361,3,false),1)="b","W",if(LEFT(VLOOKUP($B538,'Round 3'!$F$2:$H$361,3,false),1)="a","L","")))</f>
        <v>W</v>
      </c>
      <c r="G538" s="67" t="str">
        <f>iferror(if(LEFT(VLOOKUP($B538,'Round 4'!$B$2:$H$361,7,false),1)="A","W",if(LEFT(VLOOKUP($B538,'Round 4'!$B$2:$H$361,7,false),1)="B","L","")),if(LEFT(VLOOKUP($B538,'Round 4'!$F$2:$H$361,3,false),1)="b","W",if(LEFT(VLOOKUP($B538,'Round 4'!$F$2:$H$361,3,false),1)="a","L","")))</f>
        <v>L</v>
      </c>
      <c r="H538" s="67"/>
      <c r="I538" s="67"/>
      <c r="J538" s="67" t="str">
        <f>iferror(iferror(if(LEFT(VLOOKUP($B538,'Round 7'!$B$2:$H$361,7,false),1)="A","W",if(LEFT(VLOOKUP($B538,'Round 7'!$B$2:$H$361,7,false),1)="B","L","")),if(LEFT(VLOOKUP($B538,'Round 7'!$F$2:$H$361,3,false),1)="b","W",if(LEFT(VLOOKUP($B538,'Round 7'!$F$2:$H$361,3,false),1)="a","L",""))),"")</f>
        <v/>
      </c>
      <c r="K538" s="68" t="str">
        <f>iferror(iferror(if(LEFT(VLOOKUP($B538,'Round 8'!$B$2:$H$361,7,false),1)="A","W",if(LEFT(VLOOKUP($B538,'Round 8'!$B$2:$H$361,7,false),1)="B","L","")),if(LEFT(VLOOKUP($B538,'Round 8'!$F$2:$H$361,3,false),1)="b","W",if(LEFT(VLOOKUP($B538,'Round 8'!$F$2:$H$361,3,false),1)="a","L",""))),"")</f>
        <v/>
      </c>
      <c r="L538" s="68" t="str">
        <f>iferror(iferror(if(LEFT(VLOOKUP($B538,'Round 9'!$B$2:$H$361,7,false),1)="A","W",if(LEFT(VLOOKUP($B538,'Round 9'!$B$2:$H$361,7,false),1)="B","L","")),if(LEFT(VLOOKUP($B538,'Round 9'!$F$2:$H$361,3,false),1)="b","W",if(LEFT(VLOOKUP($B538,'Round 9'!$F$2:$H$361,3,false),1)="a","L",""))),"")</f>
        <v/>
      </c>
      <c r="M538" s="68" t="str">
        <f>iferror(iferror(if(LEFT(VLOOKUP($B538,'Round 10'!$B$2:$H$362,7,false),1)="A","W",if(LEFT(VLOOKUP($B538,'Round 10'!$B$2:$H$362,7,false),1)="B","L","")),if(LEFT(VLOOKUP($B538,'Round 10'!$F$2:$H$362,3,false),1)="b","W",if(LEFT(VLOOKUP($B538,'Round 10'!$F$2:$H$362,3,false),1)="a","L",""))),"")</f>
        <v/>
      </c>
      <c r="N538" s="62" t="s">
        <v>1127</v>
      </c>
    </row>
    <row r="539">
      <c r="A539" s="63">
        <v>538.0</v>
      </c>
      <c r="B539" s="64" t="s">
        <v>1128</v>
      </c>
      <c r="C539" s="65" t="str">
        <f t="shared" si="1"/>
        <v>2 - 3</v>
      </c>
      <c r="D539" s="67" t="str">
        <f>iferror(if(LEFT(VLOOKUP($B539,'Round 1'!$B$2:$H$361,7,false),1)="A","W",if(LEFT(VLOOKUP($B539,'Round 1'!$B$2:$H$361,7,false),1)="B","L","")),if(LEFT(VLOOKUP($B539,'Round 1'!$F$2:$H$361,3,false),1)="b","W",if(LEFT(VLOOKUP($B539,'Round 1'!$F$2:$H$361,3,false),1)="a","L","")))</f>
        <v>W</v>
      </c>
      <c r="E539" s="67" t="str">
        <f>iferror(if(LEFT(VLOOKUP($B539,'Round 2'!$C$2:$J$361,8,false),1)="A","W",if(LEFT(VLOOKUP($B539,'Round 2'!$C$2:$J$361,8,false),1)="B","L","")),if(LEFT(VLOOKUP($B539,'Round 2'!$G$2:$J$361,4,false),1)="b","W",if(LEFT(VLOOKUP($B539,'Round 2'!$G$2:$J$361,4,false),1)="a","L","")))</f>
        <v>L</v>
      </c>
      <c r="F539" s="67" t="str">
        <f>iferror(if(LEFT(VLOOKUP($B539,'Round 3'!$B$2:$H$361,7,false),1)="A","W",if(LEFT(VLOOKUP($B539,'Round 3'!$B$2:$H$361,7,false),1)="B","L","")),if(LEFT(VLOOKUP($B539,'Round 3'!$F$2:$H$361,3,false),1)="b","W",if(LEFT(VLOOKUP($B539,'Round 3'!$F$2:$H$361,3,false),1)="a","L","")))</f>
        <v>W</v>
      </c>
      <c r="G539" s="67" t="str">
        <f>iferror(if(LEFT(VLOOKUP($B539,'Round 4'!$B$2:$H$361,7,false),1)="A","W",if(LEFT(VLOOKUP($B539,'Round 4'!$B$2:$H$361,7,false),1)="B","L","")),if(LEFT(VLOOKUP($B539,'Round 4'!$F$2:$H$361,3,false),1)="b","W",if(LEFT(VLOOKUP($B539,'Round 4'!$F$2:$H$361,3,false),1)="a","L","")))</f>
        <v>L</v>
      </c>
      <c r="H539" s="67" t="str">
        <f>iferror(if(LEFT(VLOOKUP($B539,'Round 5'!$B$2:$H$361,7,false),1)="A","W",if(LEFT(VLOOKUP($B539,'Round 5'!$B$2:$H$361,7,false),1)="B","L","")),if(LEFT(VLOOKUP($B539,'Round 5'!$F$2:$H$361,3,false),1)="b","W",if(LEFT(VLOOKUP($B539,'Round 5'!$F$2:$H$361,3,false),1)="a","L","")))</f>
        <v>L</v>
      </c>
      <c r="I539" s="67"/>
      <c r="J539" s="67" t="str">
        <f>iferror(iferror(if(LEFT(VLOOKUP($B539,'Round 7'!$B$2:$H$361,7,false),1)="A","W",if(LEFT(VLOOKUP($B539,'Round 7'!$B$2:$H$361,7,false),1)="B","L","")),if(LEFT(VLOOKUP($B539,'Round 7'!$F$2:$H$361,3,false),1)="b","W",if(LEFT(VLOOKUP($B539,'Round 7'!$F$2:$H$361,3,false),1)="a","L",""))),"")</f>
        <v/>
      </c>
      <c r="K539" s="68" t="str">
        <f>iferror(iferror(if(LEFT(VLOOKUP($B539,'Round 8'!$B$2:$H$361,7,false),1)="A","W",if(LEFT(VLOOKUP($B539,'Round 8'!$B$2:$H$361,7,false),1)="B","L","")),if(LEFT(VLOOKUP($B539,'Round 8'!$F$2:$H$361,3,false),1)="b","W",if(LEFT(VLOOKUP($B539,'Round 8'!$F$2:$H$361,3,false),1)="a","L",""))),"")</f>
        <v/>
      </c>
      <c r="L539" s="68" t="str">
        <f>iferror(iferror(if(LEFT(VLOOKUP($B539,'Round 9'!$B$2:$H$361,7,false),1)="A","W",if(LEFT(VLOOKUP($B539,'Round 9'!$B$2:$H$361,7,false),1)="B","L","")),if(LEFT(VLOOKUP($B539,'Round 9'!$F$2:$H$361,3,false),1)="b","W",if(LEFT(VLOOKUP($B539,'Round 9'!$F$2:$H$361,3,false),1)="a","L",""))),"")</f>
        <v/>
      </c>
      <c r="M539" s="68" t="str">
        <f>iferror(iferror(if(LEFT(VLOOKUP($B539,'Round 10'!$B$2:$H$362,7,false),1)="A","W",if(LEFT(VLOOKUP($B539,'Round 10'!$B$2:$H$362,7,false),1)="B","L","")),if(LEFT(VLOOKUP($B539,'Round 10'!$F$2:$H$362,3,false),1)="b","W",if(LEFT(VLOOKUP($B539,'Round 10'!$F$2:$H$362,3,false),1)="a","L",""))),"")</f>
        <v/>
      </c>
      <c r="N539" s="62" t="s">
        <v>1129</v>
      </c>
    </row>
    <row r="540">
      <c r="A540" s="63">
        <v>539.0</v>
      </c>
      <c r="B540" s="64" t="s">
        <v>1130</v>
      </c>
      <c r="C540" s="65" t="str">
        <f t="shared" si="1"/>
        <v>4 - 3</v>
      </c>
      <c r="D540" s="67" t="str">
        <f>iferror(if(LEFT(VLOOKUP($B540,'Round 1'!$B$2:$H$361,7,false),1)="A","W",if(LEFT(VLOOKUP($B540,'Round 1'!$B$2:$H$361,7,false),1)="B","L","")),if(LEFT(VLOOKUP($B540,'Round 1'!$F$2:$H$361,3,false),1)="b","W",if(LEFT(VLOOKUP($B540,'Round 1'!$F$2:$H$361,3,false),1)="a","L","")))</f>
        <v>W</v>
      </c>
      <c r="E540" s="67" t="str">
        <f>iferror(if(LEFT(VLOOKUP($B540,'Round 2'!$C$2:$J$361,8,false),1)="A","W",if(LEFT(VLOOKUP($B540,'Round 2'!$C$2:$J$361,8,false),1)="B","L","")),if(LEFT(VLOOKUP($B540,'Round 2'!$G$2:$J$361,4,false),1)="b","W",if(LEFT(VLOOKUP($B540,'Round 2'!$G$2:$J$361,4,false),1)="a","L","")))</f>
        <v>W</v>
      </c>
      <c r="F540" s="67" t="str">
        <f>iferror(if(LEFT(VLOOKUP($B540,'Round 3'!$B$2:$H$361,7,false),1)="A","W",if(LEFT(VLOOKUP($B540,'Round 3'!$B$2:$H$361,7,false),1)="B","L","")),if(LEFT(VLOOKUP($B540,'Round 3'!$F$2:$H$361,3,false),1)="b","W",if(LEFT(VLOOKUP($B540,'Round 3'!$F$2:$H$361,3,false),1)="a","L","")))</f>
        <v>W</v>
      </c>
      <c r="G540" s="67" t="str">
        <f>iferror(if(LEFT(VLOOKUP($B540,'Round 4'!$B$2:$H$361,7,false),1)="A","W",if(LEFT(VLOOKUP($B540,'Round 4'!$B$2:$H$361,7,false),1)="B","L","")),if(LEFT(VLOOKUP($B540,'Round 4'!$F$2:$H$361,3,false),1)="b","W",if(LEFT(VLOOKUP($B540,'Round 4'!$F$2:$H$361,3,false),1)="a","L","")))</f>
        <v>L</v>
      </c>
      <c r="H540" s="67" t="str">
        <f>iferror(if(LEFT(VLOOKUP($B540,'Round 5'!$B$2:$H$361,7,false),1)="A","W",if(LEFT(VLOOKUP($B540,'Round 5'!$B$2:$H$361,7,false),1)="B","L","")),if(LEFT(VLOOKUP($B540,'Round 5'!$F$2:$H$361,3,false),1)="b","W",if(LEFT(VLOOKUP($B540,'Round 5'!$F$2:$H$361,3,false),1)="a","L","")))</f>
        <v>L</v>
      </c>
      <c r="I540" s="67" t="str">
        <f>iferror(if(LEFT(VLOOKUP($B540,'Round 6'!$B$2:$H$361,7,false),1)="A","W",if(LEFT(VLOOKUP($B540,'Round 6'!$B$2:$H$361,7,false),1)="B","L","")),if(LEFT(VLOOKUP($B540,'Round 6'!$F$2:$H$361,3,false),1)="b","W",if(LEFT(VLOOKUP($B540,'Round 6'!$F$2:$H$361,3,false),1)="a","L","")))</f>
        <v>W</v>
      </c>
      <c r="J540" s="67" t="str">
        <f>iferror(iferror(if(LEFT(VLOOKUP($B540,'Round 7'!$B$2:$H$361,7,false),1)="A","W",if(LEFT(VLOOKUP($B540,'Round 7'!$B$2:$H$361,7,false),1)="B","L","")),if(LEFT(VLOOKUP($B540,'Round 7'!$F$2:$H$361,3,false),1)="b","W",if(LEFT(VLOOKUP($B540,'Round 7'!$F$2:$H$361,3,false),1)="a","L",""))),"")</f>
        <v>L</v>
      </c>
      <c r="K540" s="68" t="str">
        <f>iferror(iferror(if(LEFT(VLOOKUP($B540,'Round 8'!$B$2:$H$361,7,false),1)="A","W",if(LEFT(VLOOKUP($B540,'Round 8'!$B$2:$H$361,7,false),1)="B","L","")),if(LEFT(VLOOKUP($B540,'Round 8'!$F$2:$H$361,3,false),1)="b","W",if(LEFT(VLOOKUP($B540,'Round 8'!$F$2:$H$361,3,false),1)="a","L",""))),"")</f>
        <v/>
      </c>
      <c r="L540" s="68" t="str">
        <f>iferror(iferror(if(LEFT(VLOOKUP($B540,'Round 9'!$B$2:$H$361,7,false),1)="A","W",if(LEFT(VLOOKUP($B540,'Round 9'!$B$2:$H$361,7,false),1)="B","L","")),if(LEFT(VLOOKUP($B540,'Round 9'!$F$2:$H$361,3,false),1)="b","W",if(LEFT(VLOOKUP($B540,'Round 9'!$F$2:$H$361,3,false),1)="a","L",""))),"")</f>
        <v/>
      </c>
      <c r="M540" s="68" t="str">
        <f>iferror(iferror(if(LEFT(VLOOKUP($B540,'Round 10'!$B$2:$H$362,7,false),1)="A","W",if(LEFT(VLOOKUP($B540,'Round 10'!$B$2:$H$362,7,false),1)="B","L","")),if(LEFT(VLOOKUP($B540,'Round 10'!$F$2:$H$362,3,false),1)="b","W",if(LEFT(VLOOKUP($B540,'Round 10'!$F$2:$H$362,3,false),1)="a","L",""))),"")</f>
        <v/>
      </c>
      <c r="N540" s="62" t="s">
        <v>1131</v>
      </c>
    </row>
    <row r="541">
      <c r="A541" s="63">
        <v>540.0</v>
      </c>
      <c r="B541" s="64" t="s">
        <v>1132</v>
      </c>
      <c r="C541" s="65" t="str">
        <f t="shared" si="1"/>
        <v>2 - 3</v>
      </c>
      <c r="D541" s="67" t="str">
        <f>iferror(if(LEFT(VLOOKUP($B541,'Round 1'!$B$2:$H$361,7,false),1)="A","W",if(LEFT(VLOOKUP($B541,'Round 1'!$B$2:$H$361,7,false),1)="B","L","")),if(LEFT(VLOOKUP($B541,'Round 1'!$F$2:$H$361,3,false),1)="b","W",if(LEFT(VLOOKUP($B541,'Round 1'!$F$2:$H$361,3,false),1)="a","L","")))</f>
        <v>W</v>
      </c>
      <c r="E541" s="67" t="str">
        <f>iferror(if(LEFT(VLOOKUP($B541,'Round 2'!$C$2:$J$361,8,false),1)="A","W",if(LEFT(VLOOKUP($B541,'Round 2'!$C$2:$J$361,8,false),1)="B","L","")),if(LEFT(VLOOKUP($B541,'Round 2'!$G$2:$J$361,4,false),1)="b","W",if(LEFT(VLOOKUP($B541,'Round 2'!$G$2:$J$361,4,false),1)="a","L","")))</f>
        <v>W</v>
      </c>
      <c r="F541" s="67" t="str">
        <f>iferror(if(LEFT(VLOOKUP($B541,'Round 3'!$B$2:$H$361,7,false),1)="A","W",if(LEFT(VLOOKUP($B541,'Round 3'!$B$2:$H$361,7,false),1)="B","L","")),if(LEFT(VLOOKUP($B541,'Round 3'!$F$2:$H$361,3,false),1)="b","W",if(LEFT(VLOOKUP($B541,'Round 3'!$F$2:$H$361,3,false),1)="a","L","")))</f>
        <v>L</v>
      </c>
      <c r="G541" s="67" t="str">
        <f>iferror(if(LEFT(VLOOKUP($B541,'Round 4'!$B$2:$H$361,7,false),1)="A","W",if(LEFT(VLOOKUP($B541,'Round 4'!$B$2:$H$361,7,false),1)="B","L","")),if(LEFT(VLOOKUP($B541,'Round 4'!$F$2:$H$361,3,false),1)="b","W",if(LEFT(VLOOKUP($B541,'Round 4'!$F$2:$H$361,3,false),1)="a","L","")))</f>
        <v>L</v>
      </c>
      <c r="H541" s="67" t="str">
        <f>iferror(if(LEFT(VLOOKUP($B541,'Round 5'!$B$2:$H$361,7,false),1)="A","W",if(LEFT(VLOOKUP($B541,'Round 5'!$B$2:$H$361,7,false),1)="B","L","")),if(LEFT(VLOOKUP($B541,'Round 5'!$F$2:$H$361,3,false),1)="b","W",if(LEFT(VLOOKUP($B541,'Round 5'!$F$2:$H$361,3,false),1)="a","L","")))</f>
        <v>L</v>
      </c>
      <c r="I541" s="67"/>
      <c r="J541" s="67" t="str">
        <f>iferror(iferror(if(LEFT(VLOOKUP($B541,'Round 7'!$B$2:$H$361,7,false),1)="A","W",if(LEFT(VLOOKUP($B541,'Round 7'!$B$2:$H$361,7,false),1)="B","L","")),if(LEFT(VLOOKUP($B541,'Round 7'!$F$2:$H$361,3,false),1)="b","W",if(LEFT(VLOOKUP($B541,'Round 7'!$F$2:$H$361,3,false),1)="a","L",""))),"")</f>
        <v/>
      </c>
      <c r="K541" s="68" t="str">
        <f>iferror(iferror(if(LEFT(VLOOKUP($B541,'Round 8'!$B$2:$H$361,7,false),1)="A","W",if(LEFT(VLOOKUP($B541,'Round 8'!$B$2:$H$361,7,false),1)="B","L","")),if(LEFT(VLOOKUP($B541,'Round 8'!$F$2:$H$361,3,false),1)="b","W",if(LEFT(VLOOKUP($B541,'Round 8'!$F$2:$H$361,3,false),1)="a","L",""))),"")</f>
        <v/>
      </c>
      <c r="L541" s="68" t="str">
        <f>iferror(iferror(if(LEFT(VLOOKUP($B541,'Round 9'!$B$2:$H$361,7,false),1)="A","W",if(LEFT(VLOOKUP($B541,'Round 9'!$B$2:$H$361,7,false),1)="B","L","")),if(LEFT(VLOOKUP($B541,'Round 9'!$F$2:$H$361,3,false),1)="b","W",if(LEFT(VLOOKUP($B541,'Round 9'!$F$2:$H$361,3,false),1)="a","L",""))),"")</f>
        <v/>
      </c>
      <c r="M541" s="68" t="str">
        <f>iferror(iferror(if(LEFT(VLOOKUP($B541,'Round 10'!$B$2:$H$362,7,false),1)="A","W",if(LEFT(VLOOKUP($B541,'Round 10'!$B$2:$H$362,7,false),1)="B","L","")),if(LEFT(VLOOKUP($B541,'Round 10'!$F$2:$H$362,3,false),1)="b","W",if(LEFT(VLOOKUP($B541,'Round 10'!$F$2:$H$362,3,false),1)="a","L",""))),"")</f>
        <v/>
      </c>
      <c r="N541" s="62" t="s">
        <v>1133</v>
      </c>
    </row>
    <row r="542">
      <c r="A542" s="63">
        <v>541.0</v>
      </c>
      <c r="B542" s="64" t="s">
        <v>1134</v>
      </c>
      <c r="C542" s="65" t="str">
        <f t="shared" si="1"/>
        <v>5 - 3</v>
      </c>
      <c r="D542" s="67" t="str">
        <f>iferror(if(LEFT(VLOOKUP($B542,'Round 1'!$B$2:$H$361,7,false),1)="A","W",if(LEFT(VLOOKUP($B542,'Round 1'!$B$2:$H$361,7,false),1)="B","L","")),if(LEFT(VLOOKUP($B542,'Round 1'!$F$2:$H$361,3,false),1)="b","W",if(LEFT(VLOOKUP($B542,'Round 1'!$F$2:$H$361,3,false),1)="a","L","")))</f>
        <v>W</v>
      </c>
      <c r="E542" s="67" t="str">
        <f>iferror(if(LEFT(VLOOKUP($B542,'Round 2'!$C$2:$J$361,8,false),1)="A","W",if(LEFT(VLOOKUP($B542,'Round 2'!$C$2:$J$361,8,false),1)="B","L","")),if(LEFT(VLOOKUP($B542,'Round 2'!$G$2:$J$361,4,false),1)="b","W",if(LEFT(VLOOKUP($B542,'Round 2'!$G$2:$J$361,4,false),1)="a","L","")))</f>
        <v>L</v>
      </c>
      <c r="F542" s="67" t="str">
        <f>iferror(if(LEFT(VLOOKUP($B542,'Round 3'!$B$2:$H$361,7,false),1)="A","W",if(LEFT(VLOOKUP($B542,'Round 3'!$B$2:$H$361,7,false),1)="B","L","")),if(LEFT(VLOOKUP($B542,'Round 3'!$F$2:$H$361,3,false),1)="b","W",if(LEFT(VLOOKUP($B542,'Round 3'!$F$2:$H$361,3,false),1)="a","L","")))</f>
        <v>W</v>
      </c>
      <c r="G542" s="67" t="str">
        <f>iferror(if(LEFT(VLOOKUP($B542,'Round 4'!$B$2:$H$361,7,false),1)="A","W",if(LEFT(VLOOKUP($B542,'Round 4'!$B$2:$H$361,7,false),1)="B","L","")),if(LEFT(VLOOKUP($B542,'Round 4'!$F$2:$H$361,3,false),1)="b","W",if(LEFT(VLOOKUP($B542,'Round 4'!$F$2:$H$361,3,false),1)="a","L","")))</f>
        <v>L</v>
      </c>
      <c r="H542" s="67" t="str">
        <f>iferror(if(LEFT(VLOOKUP($B542,'Round 5'!$B$2:$H$361,7,false),1)="A","W",if(LEFT(VLOOKUP($B542,'Round 5'!$B$2:$H$361,7,false),1)="B","L","")),if(LEFT(VLOOKUP($B542,'Round 5'!$F$2:$H$361,3,false),1)="b","W",if(LEFT(VLOOKUP($B542,'Round 5'!$F$2:$H$361,3,false),1)="a","L","")))</f>
        <v>W</v>
      </c>
      <c r="I542" s="67" t="str">
        <f>iferror(if(LEFT(VLOOKUP($B542,'Round 6'!$B$2:$H$361,7,false),1)="A","W",if(LEFT(VLOOKUP($B542,'Round 6'!$B$2:$H$361,7,false),1)="B","L","")),if(LEFT(VLOOKUP($B542,'Round 6'!$F$2:$H$361,3,false),1)="b","W",if(LEFT(VLOOKUP($B542,'Round 6'!$F$2:$H$361,3,false),1)="a","L","")))</f>
        <v>W</v>
      </c>
      <c r="J542" s="67" t="str">
        <f>iferror(iferror(if(LEFT(VLOOKUP($B542,'Round 7'!$B$2:$H$361,7,false),1)="A","W",if(LEFT(VLOOKUP($B542,'Round 7'!$B$2:$H$361,7,false),1)="B","L","")),if(LEFT(VLOOKUP($B542,'Round 7'!$F$2:$H$361,3,false),1)="b","W",if(LEFT(VLOOKUP($B542,'Round 7'!$F$2:$H$361,3,false),1)="a","L",""))),"")</f>
        <v>W</v>
      </c>
      <c r="K542" s="68" t="str">
        <f>iferror(iferror(if(LEFT(VLOOKUP($B542,'Round 8'!$B$2:$H$361,7,false),1)="A","W",if(LEFT(VLOOKUP($B542,'Round 8'!$B$2:$H$361,7,false),1)="B","L","")),if(LEFT(VLOOKUP($B542,'Round 8'!$F$2:$H$361,3,false),1)="b","W",if(LEFT(VLOOKUP($B542,'Round 8'!$F$2:$H$361,3,false),1)="a","L",""))),"")</f>
        <v>L</v>
      </c>
      <c r="L542" s="68" t="str">
        <f>iferror(iferror(if(LEFT(VLOOKUP($B542,'Round 9'!$B$2:$H$361,7,false),1)="A","W",if(LEFT(VLOOKUP($B542,'Round 9'!$B$2:$H$361,7,false),1)="B","L","")),if(LEFT(VLOOKUP($B542,'Round 9'!$F$2:$H$361,3,false),1)="b","W",if(LEFT(VLOOKUP($B542,'Round 9'!$F$2:$H$361,3,false),1)="a","L",""))),"")</f>
        <v/>
      </c>
      <c r="M542" s="68" t="str">
        <f>iferror(iferror(if(LEFT(VLOOKUP($B542,'Round 10'!$B$2:$H$362,7,false),1)="A","W",if(LEFT(VLOOKUP($B542,'Round 10'!$B$2:$H$362,7,false),1)="B","L","")),if(LEFT(VLOOKUP($B542,'Round 10'!$F$2:$H$362,3,false),1)="b","W",if(LEFT(VLOOKUP($B542,'Round 10'!$F$2:$H$362,3,false),1)="a","L",""))),"")</f>
        <v/>
      </c>
      <c r="N542" s="62" t="s">
        <v>1135</v>
      </c>
    </row>
    <row r="543">
      <c r="A543" s="63">
        <v>542.0</v>
      </c>
      <c r="B543" s="64" t="s">
        <v>1136</v>
      </c>
      <c r="C543" s="65" t="str">
        <f t="shared" si="1"/>
        <v>1 - 3</v>
      </c>
      <c r="D543" s="67" t="str">
        <f>iferror(if(LEFT(VLOOKUP($B543,'Round 1'!$B$2:$H$361,7,false),1)="A","W",if(LEFT(VLOOKUP($B543,'Round 1'!$B$2:$H$361,7,false),1)="B","L","")),if(LEFT(VLOOKUP($B543,'Round 1'!$F$2:$H$361,3,false),1)="b","W",if(LEFT(VLOOKUP($B543,'Round 1'!$F$2:$H$361,3,false),1)="a","L","")))</f>
        <v>L</v>
      </c>
      <c r="E543" s="67" t="str">
        <f>iferror(if(LEFT(VLOOKUP($B543,'Round 2'!$C$2:$J$361,8,false),1)="A","W",if(LEFT(VLOOKUP($B543,'Round 2'!$C$2:$J$361,8,false),1)="B","L","")),if(LEFT(VLOOKUP($B543,'Round 2'!$G$2:$J$361,4,false),1)="b","W",if(LEFT(VLOOKUP($B543,'Round 2'!$G$2:$J$361,4,false),1)="a","L","")))</f>
        <v>L</v>
      </c>
      <c r="F543" s="67" t="str">
        <f>iferror(if(LEFT(VLOOKUP($B543,'Round 3'!$B$2:$H$361,7,false),1)="A","W",if(LEFT(VLOOKUP($B543,'Round 3'!$B$2:$H$361,7,false),1)="B","L","")),if(LEFT(VLOOKUP($B543,'Round 3'!$F$2:$H$361,3,false),1)="b","W",if(LEFT(VLOOKUP($B543,'Round 3'!$F$2:$H$361,3,false),1)="a","L","")))</f>
        <v>W</v>
      </c>
      <c r="G543" s="67" t="str">
        <f>iferror(if(LEFT(VLOOKUP($B543,'Round 4'!$B$2:$H$361,7,false),1)="A","W",if(LEFT(VLOOKUP($B543,'Round 4'!$B$2:$H$361,7,false),1)="B","L","")),if(LEFT(VLOOKUP($B543,'Round 4'!$F$2:$H$361,3,false),1)="b","W",if(LEFT(VLOOKUP($B543,'Round 4'!$F$2:$H$361,3,false),1)="a","L","")))</f>
        <v>L</v>
      </c>
      <c r="H543" s="67"/>
      <c r="I543" s="67"/>
      <c r="J543" s="67" t="str">
        <f>iferror(iferror(if(LEFT(VLOOKUP($B543,'Round 7'!$B$2:$H$361,7,false),1)="A","W",if(LEFT(VLOOKUP($B543,'Round 7'!$B$2:$H$361,7,false),1)="B","L","")),if(LEFT(VLOOKUP($B543,'Round 7'!$F$2:$H$361,3,false),1)="b","W",if(LEFT(VLOOKUP($B543,'Round 7'!$F$2:$H$361,3,false),1)="a","L",""))),"")</f>
        <v/>
      </c>
      <c r="K543" s="68" t="str">
        <f>iferror(iferror(if(LEFT(VLOOKUP($B543,'Round 8'!$B$2:$H$361,7,false),1)="A","W",if(LEFT(VLOOKUP($B543,'Round 8'!$B$2:$H$361,7,false),1)="B","L","")),if(LEFT(VLOOKUP($B543,'Round 8'!$F$2:$H$361,3,false),1)="b","W",if(LEFT(VLOOKUP($B543,'Round 8'!$F$2:$H$361,3,false),1)="a","L",""))),"")</f>
        <v/>
      </c>
      <c r="L543" s="68" t="str">
        <f>iferror(iferror(if(LEFT(VLOOKUP($B543,'Round 9'!$B$2:$H$361,7,false),1)="A","W",if(LEFT(VLOOKUP($B543,'Round 9'!$B$2:$H$361,7,false),1)="B","L","")),if(LEFT(VLOOKUP($B543,'Round 9'!$F$2:$H$361,3,false),1)="b","W",if(LEFT(VLOOKUP($B543,'Round 9'!$F$2:$H$361,3,false),1)="a","L",""))),"")</f>
        <v/>
      </c>
      <c r="M543" s="68" t="str">
        <f>iferror(iferror(if(LEFT(VLOOKUP($B543,'Round 10'!$B$2:$H$362,7,false),1)="A","W",if(LEFT(VLOOKUP($B543,'Round 10'!$B$2:$H$362,7,false),1)="B","L","")),if(LEFT(VLOOKUP($B543,'Round 10'!$F$2:$H$362,3,false),1)="b","W",if(LEFT(VLOOKUP($B543,'Round 10'!$F$2:$H$362,3,false),1)="a","L",""))),"")</f>
        <v/>
      </c>
      <c r="N543" s="62" t="s">
        <v>1137</v>
      </c>
    </row>
    <row r="544">
      <c r="A544" s="63">
        <v>543.0</v>
      </c>
      <c r="B544" s="64" t="s">
        <v>1138</v>
      </c>
      <c r="C544" s="65" t="str">
        <f t="shared" si="1"/>
        <v>6 - 3</v>
      </c>
      <c r="D544" s="67" t="str">
        <f>iferror(if(LEFT(VLOOKUP($B544,'Round 1'!$B$2:$H$361,7,false),1)="A","W",if(LEFT(VLOOKUP($B544,'Round 1'!$B$2:$H$361,7,false),1)="B","L","")),if(LEFT(VLOOKUP($B544,'Round 1'!$F$2:$H$361,3,false),1)="b","W",if(LEFT(VLOOKUP($B544,'Round 1'!$F$2:$H$361,3,false),1)="a","L","")))</f>
        <v>W</v>
      </c>
      <c r="E544" s="67" t="str">
        <f>iferror(if(LEFT(VLOOKUP($B544,'Round 2'!$C$2:$J$361,8,false),1)="A","W",if(LEFT(VLOOKUP($B544,'Round 2'!$C$2:$J$361,8,false),1)="B","L","")),if(LEFT(VLOOKUP($B544,'Round 2'!$G$2:$J$361,4,false),1)="b","W",if(LEFT(VLOOKUP($B544,'Round 2'!$G$2:$J$361,4,false),1)="a","L","")))</f>
        <v>W</v>
      </c>
      <c r="F544" s="67" t="str">
        <f>iferror(if(LEFT(VLOOKUP($B544,'Round 3'!$B$2:$H$361,7,false),1)="A","W",if(LEFT(VLOOKUP($B544,'Round 3'!$B$2:$H$361,7,false),1)="B","L","")),if(LEFT(VLOOKUP($B544,'Round 3'!$F$2:$H$361,3,false),1)="b","W",if(LEFT(VLOOKUP($B544,'Round 3'!$F$2:$H$361,3,false),1)="a","L","")))</f>
        <v>L</v>
      </c>
      <c r="G544" s="67" t="str">
        <f>iferror(if(LEFT(VLOOKUP($B544,'Round 4'!$B$2:$H$361,7,false),1)="A","W",if(LEFT(VLOOKUP($B544,'Round 4'!$B$2:$H$361,7,false),1)="B","L","")),if(LEFT(VLOOKUP($B544,'Round 4'!$F$2:$H$361,3,false),1)="b","W",if(LEFT(VLOOKUP($B544,'Round 4'!$F$2:$H$361,3,false),1)="a","L","")))</f>
        <v>W</v>
      </c>
      <c r="H544" s="67" t="str">
        <f>iferror(if(LEFT(VLOOKUP($B544,'Round 5'!$B$2:$H$361,7,false),1)="A","W",if(LEFT(VLOOKUP($B544,'Round 5'!$B$2:$H$361,7,false),1)="B","L","")),if(LEFT(VLOOKUP($B544,'Round 5'!$F$2:$H$361,3,false),1)="b","W",if(LEFT(VLOOKUP($B544,'Round 5'!$F$2:$H$361,3,false),1)="a","L","")))</f>
        <v>W</v>
      </c>
      <c r="I544" s="67" t="str">
        <f>iferror(if(LEFT(VLOOKUP($B544,'Round 6'!$B$2:$H$361,7,false),1)="A","W",if(LEFT(VLOOKUP($B544,'Round 6'!$B$2:$H$361,7,false),1)="B","L","")),if(LEFT(VLOOKUP($B544,'Round 6'!$F$2:$H$361,3,false),1)="b","W",if(LEFT(VLOOKUP($B544,'Round 6'!$F$2:$H$361,3,false),1)="a","L","")))</f>
        <v>L</v>
      </c>
      <c r="J544" s="67" t="str">
        <f>iferror(iferror(if(LEFT(VLOOKUP($B544,'Round 7'!$B$2:$H$361,7,false),1)="A","W",if(LEFT(VLOOKUP($B544,'Round 7'!$B$2:$H$361,7,false),1)="B","L","")),if(LEFT(VLOOKUP($B544,'Round 7'!$F$2:$H$361,3,false),1)="b","W",if(LEFT(VLOOKUP($B544,'Round 7'!$F$2:$H$361,3,false),1)="a","L",""))),"")</f>
        <v>W</v>
      </c>
      <c r="K544" s="68" t="str">
        <f>iferror(iferror(if(LEFT(VLOOKUP($B544,'Round 8'!$B$2:$H$361,7,false),1)="A","W",if(LEFT(VLOOKUP($B544,'Round 8'!$B$2:$H$361,7,false),1)="B","L","")),if(LEFT(VLOOKUP($B544,'Round 8'!$F$2:$H$361,3,false),1)="b","W",if(LEFT(VLOOKUP($B544,'Round 8'!$F$2:$H$361,3,false),1)="a","L",""))),"")</f>
        <v>W</v>
      </c>
      <c r="L544" s="68" t="str">
        <f>iferror(iferror(if(LEFT(VLOOKUP($B544,'Round 9'!$B$2:$H$361,7,false),1)="A","W",if(LEFT(VLOOKUP($B544,'Round 9'!$B$2:$H$361,7,false),1)="B","L","")),if(LEFT(VLOOKUP($B544,'Round 9'!$F$2:$H$361,3,false),1)="b","W",if(LEFT(VLOOKUP($B544,'Round 9'!$F$2:$H$361,3,false),1)="a","L",""))),"")</f>
        <v>L</v>
      </c>
      <c r="M544" s="68" t="str">
        <f>iferror(iferror(if(LEFT(VLOOKUP($B544,'Round 10'!$B$2:$H$362,7,false),1)="A","W",if(LEFT(VLOOKUP($B544,'Round 10'!$B$2:$H$362,7,false),1)="B","L","")),if(LEFT(VLOOKUP($B544,'Round 10'!$F$2:$H$362,3,false),1)="b","W",if(LEFT(VLOOKUP($B544,'Round 10'!$F$2:$H$362,3,false),1)="a","L",""))),"")</f>
        <v/>
      </c>
      <c r="N544" s="62" t="s">
        <v>1139</v>
      </c>
    </row>
    <row r="545">
      <c r="A545" s="63">
        <v>544.0</v>
      </c>
      <c r="B545" s="64" t="s">
        <v>1140</v>
      </c>
      <c r="C545" s="65" t="str">
        <f t="shared" si="1"/>
        <v>3 - 3</v>
      </c>
      <c r="D545" s="67" t="str">
        <f>iferror(if(LEFT(VLOOKUP($B545,'Round 1'!$B$2:$H$361,7,false),1)="A","W",if(LEFT(VLOOKUP($B545,'Round 1'!$B$2:$H$361,7,false),1)="B","L","")),if(LEFT(VLOOKUP($B545,'Round 1'!$F$2:$H$361,3,false),1)="b","W",if(LEFT(VLOOKUP($B545,'Round 1'!$F$2:$H$361,3,false),1)="a","L","")))</f>
        <v>L</v>
      </c>
      <c r="E545" s="67" t="str">
        <f>iferror(if(LEFT(VLOOKUP($B545,'Round 2'!$C$2:$J$361,8,false),1)="A","W",if(LEFT(VLOOKUP($B545,'Round 2'!$C$2:$J$361,8,false),1)="B","L","")),if(LEFT(VLOOKUP($B545,'Round 2'!$G$2:$J$361,4,false),1)="b","W",if(LEFT(VLOOKUP($B545,'Round 2'!$G$2:$J$361,4,false),1)="a","L","")))</f>
        <v>L</v>
      </c>
      <c r="F545" s="67" t="str">
        <f>iferror(if(LEFT(VLOOKUP($B545,'Round 3'!$B$2:$H$361,7,false),1)="A","W",if(LEFT(VLOOKUP($B545,'Round 3'!$B$2:$H$361,7,false),1)="B","L","")),if(LEFT(VLOOKUP($B545,'Round 3'!$F$2:$H$361,3,false),1)="b","W",if(LEFT(VLOOKUP($B545,'Round 3'!$F$2:$H$361,3,false),1)="a","L","")))</f>
        <v>W</v>
      </c>
      <c r="G545" s="67" t="str">
        <f>iferror(if(LEFT(VLOOKUP($B545,'Round 4'!$B$2:$H$361,7,false),1)="A","W",if(LEFT(VLOOKUP($B545,'Round 4'!$B$2:$H$361,7,false),1)="B","L","")),if(LEFT(VLOOKUP($B545,'Round 4'!$F$2:$H$361,3,false),1)="b","W",if(LEFT(VLOOKUP($B545,'Round 4'!$F$2:$H$361,3,false),1)="a","L","")))</f>
        <v>W</v>
      </c>
      <c r="H545" s="67" t="str">
        <f>iferror(if(LEFT(VLOOKUP($B545,'Round 5'!$B$2:$H$361,7,false),1)="A","W",if(LEFT(VLOOKUP($B545,'Round 5'!$B$2:$H$361,7,false),1)="B","L","")),if(LEFT(VLOOKUP($B545,'Round 5'!$F$2:$H$361,3,false),1)="b","W",if(LEFT(VLOOKUP($B545,'Round 5'!$F$2:$H$361,3,false),1)="a","L","")))</f>
        <v>W</v>
      </c>
      <c r="I545" s="67" t="str">
        <f>iferror(if(LEFT(VLOOKUP($B545,'Round 6'!$B$2:$H$361,7,false),1)="A","W",if(LEFT(VLOOKUP($B545,'Round 6'!$B$2:$H$361,7,false),1)="B","L","")),if(LEFT(VLOOKUP($B545,'Round 6'!$F$2:$H$361,3,false),1)="b","W",if(LEFT(VLOOKUP($B545,'Round 6'!$F$2:$H$361,3,false),1)="a","L","")))</f>
        <v>L</v>
      </c>
      <c r="J545" s="67" t="str">
        <f>iferror(iferror(if(LEFT(VLOOKUP($B545,'Round 7'!$B$2:$H$361,7,false),1)="A","W",if(LEFT(VLOOKUP($B545,'Round 7'!$B$2:$H$361,7,false),1)="B","L","")),if(LEFT(VLOOKUP($B545,'Round 7'!$F$2:$H$361,3,false),1)="b","W",if(LEFT(VLOOKUP($B545,'Round 7'!$F$2:$H$361,3,false),1)="a","L",""))),"")</f>
        <v/>
      </c>
      <c r="K545" s="68" t="str">
        <f>iferror(iferror(if(LEFT(VLOOKUP($B545,'Round 8'!$B$2:$H$361,7,false),1)="A","W",if(LEFT(VLOOKUP($B545,'Round 8'!$B$2:$H$361,7,false),1)="B","L","")),if(LEFT(VLOOKUP($B545,'Round 8'!$F$2:$H$361,3,false),1)="b","W",if(LEFT(VLOOKUP($B545,'Round 8'!$F$2:$H$361,3,false),1)="a","L",""))),"")</f>
        <v/>
      </c>
      <c r="L545" s="68" t="str">
        <f>iferror(iferror(if(LEFT(VLOOKUP($B545,'Round 9'!$B$2:$H$361,7,false),1)="A","W",if(LEFT(VLOOKUP($B545,'Round 9'!$B$2:$H$361,7,false),1)="B","L","")),if(LEFT(VLOOKUP($B545,'Round 9'!$F$2:$H$361,3,false),1)="b","W",if(LEFT(VLOOKUP($B545,'Round 9'!$F$2:$H$361,3,false),1)="a","L",""))),"")</f>
        <v/>
      </c>
      <c r="M545" s="68" t="str">
        <f>iferror(iferror(if(LEFT(VLOOKUP($B545,'Round 10'!$B$2:$H$362,7,false),1)="A","W",if(LEFT(VLOOKUP($B545,'Round 10'!$B$2:$H$362,7,false),1)="B","L","")),if(LEFT(VLOOKUP($B545,'Round 10'!$F$2:$H$362,3,false),1)="b","W",if(LEFT(VLOOKUP($B545,'Round 10'!$F$2:$H$362,3,false),1)="a","L",""))),"")</f>
        <v/>
      </c>
      <c r="N545" s="62" t="s">
        <v>1141</v>
      </c>
    </row>
    <row r="546">
      <c r="A546" s="63">
        <v>545.0</v>
      </c>
      <c r="B546" s="64" t="s">
        <v>1142</v>
      </c>
      <c r="C546" s="65" t="str">
        <f t="shared" si="1"/>
        <v>1 - 3</v>
      </c>
      <c r="D546" s="67" t="str">
        <f>iferror(if(LEFT(VLOOKUP($B546,'Round 1'!$B$2:$H$361,7,false),1)="A","W",if(LEFT(VLOOKUP($B546,'Round 1'!$B$2:$H$361,7,false),1)="B","L","")),if(LEFT(VLOOKUP($B546,'Round 1'!$F$2:$H$361,3,false),1)="b","W",if(LEFT(VLOOKUP($B546,'Round 1'!$F$2:$H$361,3,false),1)="a","L","")))</f>
        <v>L</v>
      </c>
      <c r="E546" s="67" t="str">
        <f>iferror(if(LEFT(VLOOKUP($B546,'Round 2'!$C$2:$J$361,8,false),1)="A","W",if(LEFT(VLOOKUP($B546,'Round 2'!$C$2:$J$361,8,false),1)="B","L","")),if(LEFT(VLOOKUP($B546,'Round 2'!$G$2:$J$361,4,false),1)="b","W",if(LEFT(VLOOKUP($B546,'Round 2'!$G$2:$J$361,4,false),1)="a","L","")))</f>
        <v>W</v>
      </c>
      <c r="F546" s="67" t="str">
        <f>iferror(if(LEFT(VLOOKUP($B546,'Round 3'!$B$2:$H$361,7,false),1)="A","W",if(LEFT(VLOOKUP($B546,'Round 3'!$B$2:$H$361,7,false),1)="B","L","")),if(LEFT(VLOOKUP($B546,'Round 3'!$F$2:$H$361,3,false),1)="b","W",if(LEFT(VLOOKUP($B546,'Round 3'!$F$2:$H$361,3,false),1)="a","L","")))</f>
        <v>L</v>
      </c>
      <c r="G546" s="67" t="str">
        <f>iferror(if(LEFT(VLOOKUP($B546,'Round 4'!$B$2:$H$361,7,false),1)="A","W",if(LEFT(VLOOKUP($B546,'Round 4'!$B$2:$H$361,7,false),1)="B","L","")),if(LEFT(VLOOKUP($B546,'Round 4'!$F$2:$H$361,3,false),1)="b","W",if(LEFT(VLOOKUP($B546,'Round 4'!$F$2:$H$361,3,false),1)="a","L","")))</f>
        <v>L</v>
      </c>
      <c r="H546" s="67"/>
      <c r="I546" s="67"/>
      <c r="J546" s="67" t="str">
        <f>iferror(iferror(if(LEFT(VLOOKUP($B546,'Round 7'!$B$2:$H$361,7,false),1)="A","W",if(LEFT(VLOOKUP($B546,'Round 7'!$B$2:$H$361,7,false),1)="B","L","")),if(LEFT(VLOOKUP($B546,'Round 7'!$F$2:$H$361,3,false),1)="b","W",if(LEFT(VLOOKUP($B546,'Round 7'!$F$2:$H$361,3,false),1)="a","L",""))),"")</f>
        <v/>
      </c>
      <c r="K546" s="68" t="str">
        <f>iferror(iferror(if(LEFT(VLOOKUP($B546,'Round 8'!$B$2:$H$361,7,false),1)="A","W",if(LEFT(VLOOKUP($B546,'Round 8'!$B$2:$H$361,7,false),1)="B","L","")),if(LEFT(VLOOKUP($B546,'Round 8'!$F$2:$H$361,3,false),1)="b","W",if(LEFT(VLOOKUP($B546,'Round 8'!$F$2:$H$361,3,false),1)="a","L",""))),"")</f>
        <v/>
      </c>
      <c r="L546" s="68" t="str">
        <f>iferror(iferror(if(LEFT(VLOOKUP($B546,'Round 9'!$B$2:$H$361,7,false),1)="A","W",if(LEFT(VLOOKUP($B546,'Round 9'!$B$2:$H$361,7,false),1)="B","L","")),if(LEFT(VLOOKUP($B546,'Round 9'!$F$2:$H$361,3,false),1)="b","W",if(LEFT(VLOOKUP($B546,'Round 9'!$F$2:$H$361,3,false),1)="a","L",""))),"")</f>
        <v/>
      </c>
      <c r="M546" s="68" t="str">
        <f>iferror(iferror(if(LEFT(VLOOKUP($B546,'Round 10'!$B$2:$H$362,7,false),1)="A","W",if(LEFT(VLOOKUP($B546,'Round 10'!$B$2:$H$362,7,false),1)="B","L","")),if(LEFT(VLOOKUP($B546,'Round 10'!$F$2:$H$362,3,false),1)="b","W",if(LEFT(VLOOKUP($B546,'Round 10'!$F$2:$H$362,3,false),1)="a","L",""))),"")</f>
        <v/>
      </c>
      <c r="N546" s="62" t="s">
        <v>1143</v>
      </c>
    </row>
    <row r="547">
      <c r="A547" s="63">
        <v>546.0</v>
      </c>
      <c r="B547" s="64" t="s">
        <v>1144</v>
      </c>
      <c r="C547" s="65" t="str">
        <f t="shared" si="1"/>
        <v>1 - 3</v>
      </c>
      <c r="D547" s="67" t="str">
        <f>iferror(if(LEFT(VLOOKUP($B547,'Round 1'!$B$2:$H$361,7,false),1)="A","W",if(LEFT(VLOOKUP($B547,'Round 1'!$B$2:$H$361,7,false),1)="B","L","")),if(LEFT(VLOOKUP($B547,'Round 1'!$F$2:$H$361,3,false),1)="b","W",if(LEFT(VLOOKUP($B547,'Round 1'!$F$2:$H$361,3,false),1)="a","L","")))</f>
        <v>L</v>
      </c>
      <c r="E547" s="67" t="str">
        <f>iferror(if(LEFT(VLOOKUP($B547,'Round 2'!$C$2:$J$361,8,false),1)="A","W",if(LEFT(VLOOKUP($B547,'Round 2'!$C$2:$J$361,8,false),1)="B","L","")),if(LEFT(VLOOKUP($B547,'Round 2'!$G$2:$J$361,4,false),1)="b","W",if(LEFT(VLOOKUP($B547,'Round 2'!$G$2:$J$361,4,false),1)="a","L","")))</f>
        <v>W</v>
      </c>
      <c r="F547" s="67" t="str">
        <f>iferror(if(LEFT(VLOOKUP($B547,'Round 3'!$B$2:$H$361,7,false),1)="A","W",if(LEFT(VLOOKUP($B547,'Round 3'!$B$2:$H$361,7,false),1)="B","L","")),if(LEFT(VLOOKUP($B547,'Round 3'!$F$2:$H$361,3,false),1)="b","W",if(LEFT(VLOOKUP($B547,'Round 3'!$F$2:$H$361,3,false),1)="a","L","")))</f>
        <v>L</v>
      </c>
      <c r="G547" s="67" t="str">
        <f>iferror(if(LEFT(VLOOKUP($B547,'Round 4'!$B$2:$H$361,7,false),1)="A","W",if(LEFT(VLOOKUP($B547,'Round 4'!$B$2:$H$361,7,false),1)="B","L","")),if(LEFT(VLOOKUP($B547,'Round 4'!$F$2:$H$361,3,false),1)="b","W",if(LEFT(VLOOKUP($B547,'Round 4'!$F$2:$H$361,3,false),1)="a","L","")))</f>
        <v>L</v>
      </c>
      <c r="H547" s="67"/>
      <c r="I547" s="67"/>
      <c r="J547" s="67" t="str">
        <f>iferror(iferror(if(LEFT(VLOOKUP($B547,'Round 7'!$B$2:$H$361,7,false),1)="A","W",if(LEFT(VLOOKUP($B547,'Round 7'!$B$2:$H$361,7,false),1)="B","L","")),if(LEFT(VLOOKUP($B547,'Round 7'!$F$2:$H$361,3,false),1)="b","W",if(LEFT(VLOOKUP($B547,'Round 7'!$F$2:$H$361,3,false),1)="a","L",""))),"")</f>
        <v/>
      </c>
      <c r="K547" s="68" t="str">
        <f>iferror(iferror(if(LEFT(VLOOKUP($B547,'Round 8'!$B$2:$H$361,7,false),1)="A","W",if(LEFT(VLOOKUP($B547,'Round 8'!$B$2:$H$361,7,false),1)="B","L","")),if(LEFT(VLOOKUP($B547,'Round 8'!$F$2:$H$361,3,false),1)="b","W",if(LEFT(VLOOKUP($B547,'Round 8'!$F$2:$H$361,3,false),1)="a","L",""))),"")</f>
        <v/>
      </c>
      <c r="L547" s="68" t="str">
        <f>iferror(iferror(if(LEFT(VLOOKUP($B547,'Round 9'!$B$2:$H$361,7,false),1)="A","W",if(LEFT(VLOOKUP($B547,'Round 9'!$B$2:$H$361,7,false),1)="B","L","")),if(LEFT(VLOOKUP($B547,'Round 9'!$F$2:$H$361,3,false),1)="b","W",if(LEFT(VLOOKUP($B547,'Round 9'!$F$2:$H$361,3,false),1)="a","L",""))),"")</f>
        <v/>
      </c>
      <c r="M547" s="68" t="str">
        <f>iferror(iferror(if(LEFT(VLOOKUP($B547,'Round 10'!$B$2:$H$362,7,false),1)="A","W",if(LEFT(VLOOKUP($B547,'Round 10'!$B$2:$H$362,7,false),1)="B","L","")),if(LEFT(VLOOKUP($B547,'Round 10'!$F$2:$H$362,3,false),1)="b","W",if(LEFT(VLOOKUP($B547,'Round 10'!$F$2:$H$362,3,false),1)="a","L",""))),"")</f>
        <v/>
      </c>
      <c r="N547" s="62" t="s">
        <v>1145</v>
      </c>
    </row>
    <row r="548">
      <c r="A548" s="63">
        <v>547.0</v>
      </c>
      <c r="B548" s="64" t="s">
        <v>1146</v>
      </c>
      <c r="C548" s="65" t="str">
        <f t="shared" si="1"/>
        <v>7 - 2</v>
      </c>
      <c r="D548" s="67" t="str">
        <f>iferror(if(LEFT(VLOOKUP($B548,'Round 1'!$B$2:$H$361,7,false),1)="A","W",if(LEFT(VLOOKUP($B548,'Round 1'!$B$2:$H$361,7,false),1)="B","L","")),if(LEFT(VLOOKUP($B548,'Round 1'!$F$2:$H$361,3,false),1)="b","W",if(LEFT(VLOOKUP($B548,'Round 1'!$F$2:$H$361,3,false),1)="a","L","")))</f>
        <v>W</v>
      </c>
      <c r="E548" s="67" t="str">
        <f>iferror(if(LEFT(VLOOKUP($B548,'Round 2'!$C$2:$J$361,8,false),1)="A","W",if(LEFT(VLOOKUP($B548,'Round 2'!$C$2:$J$361,8,false),1)="B","L","")),if(LEFT(VLOOKUP($B548,'Round 2'!$G$2:$J$361,4,false),1)="b","W",if(LEFT(VLOOKUP($B548,'Round 2'!$G$2:$J$361,4,false),1)="a","L","")))</f>
        <v>W</v>
      </c>
      <c r="F548" s="67" t="str">
        <f>iferror(if(LEFT(VLOOKUP($B548,'Round 3'!$B$2:$H$361,7,false),1)="A","W",if(LEFT(VLOOKUP($B548,'Round 3'!$B$2:$H$361,7,false),1)="B","L","")),if(LEFT(VLOOKUP($B548,'Round 3'!$F$2:$H$361,3,false),1)="b","W",if(LEFT(VLOOKUP($B548,'Round 3'!$F$2:$H$361,3,false),1)="a","L","")))</f>
        <v>W</v>
      </c>
      <c r="G548" s="67" t="str">
        <f>iferror(if(LEFT(VLOOKUP($B548,'Round 4'!$B$2:$H$361,7,false),1)="A","W",if(LEFT(VLOOKUP($B548,'Round 4'!$B$2:$H$361,7,false),1)="B","L","")),if(LEFT(VLOOKUP($B548,'Round 4'!$F$2:$H$361,3,false),1)="b","W",if(LEFT(VLOOKUP($B548,'Round 4'!$F$2:$H$361,3,false),1)="a","L","")))</f>
        <v>L</v>
      </c>
      <c r="H548" s="67" t="str">
        <f>iferror(if(LEFT(VLOOKUP($B548,'Round 5'!$B$2:$H$361,7,false),1)="A","W",if(LEFT(VLOOKUP($B548,'Round 5'!$B$2:$H$361,7,false),1)="B","L","")),if(LEFT(VLOOKUP($B548,'Round 5'!$F$2:$H$361,3,false),1)="b","W",if(LEFT(VLOOKUP($B548,'Round 5'!$F$2:$H$361,3,false),1)="a","L","")))</f>
        <v>W</v>
      </c>
      <c r="I548" s="67" t="str">
        <f>iferror(if(LEFT(VLOOKUP($B548,'Round 6'!$B$2:$H$361,7,false),1)="A","W",if(LEFT(VLOOKUP($B548,'Round 6'!$B$2:$H$361,7,false),1)="B","L","")),if(LEFT(VLOOKUP($B548,'Round 6'!$F$2:$H$361,3,false),1)="b","W",if(LEFT(VLOOKUP($B548,'Round 6'!$F$2:$H$361,3,false),1)="a","L","")))</f>
        <v>L</v>
      </c>
      <c r="J548" s="67" t="str">
        <f>iferror(iferror(if(LEFT(VLOOKUP($B548,'Round 7'!$B$2:$H$361,7,false),1)="A","W",if(LEFT(VLOOKUP($B548,'Round 7'!$B$2:$H$361,7,false),1)="B","L","")),if(LEFT(VLOOKUP($B548,'Round 7'!$F$2:$H$361,3,false),1)="b","W",if(LEFT(VLOOKUP($B548,'Round 7'!$F$2:$H$361,3,false),1)="a","L",""))),"")</f>
        <v>W</v>
      </c>
      <c r="K548" s="68" t="str">
        <f>iferror(iferror(if(LEFT(VLOOKUP($B548,'Round 8'!$B$2:$H$361,7,false),1)="A","W",if(LEFT(VLOOKUP($B548,'Round 8'!$B$2:$H$361,7,false),1)="B","L","")),if(LEFT(VLOOKUP($B548,'Round 8'!$F$2:$H$361,3,false),1)="b","W",if(LEFT(VLOOKUP($B548,'Round 8'!$F$2:$H$361,3,false),1)="a","L",""))),"")</f>
        <v>W</v>
      </c>
      <c r="L548" s="68" t="str">
        <f>iferror(iferror(if(LEFT(VLOOKUP($B548,'Round 9'!$B$2:$H$361,7,false),1)="A","W",if(LEFT(VLOOKUP($B548,'Round 9'!$B$2:$H$361,7,false),1)="B","L","")),if(LEFT(VLOOKUP($B548,'Round 9'!$F$2:$H$361,3,false),1)="b","W",if(LEFT(VLOOKUP($B548,'Round 9'!$F$2:$H$361,3,false),1)="a","L",""))),"")</f>
        <v>W</v>
      </c>
      <c r="M548" s="68" t="str">
        <f>iferror(iferror(if(LEFT(VLOOKUP($B548,'Round 10'!$B$2:$H$362,7,false),1)="A","W",if(LEFT(VLOOKUP($B548,'Round 10'!$B$2:$H$362,7,false),1)="B","L","")),if(LEFT(VLOOKUP($B548,'Round 10'!$F$2:$H$362,3,false),1)="b","W",if(LEFT(VLOOKUP($B548,'Round 10'!$F$2:$H$362,3,false),1)="a","L",""))),"")</f>
        <v/>
      </c>
      <c r="N548" s="62" t="s">
        <v>1147</v>
      </c>
    </row>
    <row r="549">
      <c r="A549" s="63">
        <v>548.0</v>
      </c>
      <c r="B549" s="64" t="s">
        <v>1148</v>
      </c>
      <c r="C549" s="65" t="str">
        <f t="shared" si="1"/>
        <v>2 - 3</v>
      </c>
      <c r="D549" s="67" t="str">
        <f>iferror(if(LEFT(VLOOKUP($B549,'Round 1'!$B$2:$H$361,7,false),1)="A","W",if(LEFT(VLOOKUP($B549,'Round 1'!$B$2:$H$361,7,false),1)="B","L","")),if(LEFT(VLOOKUP($B549,'Round 1'!$F$2:$H$361,3,false),1)="b","W",if(LEFT(VLOOKUP($B549,'Round 1'!$F$2:$H$361,3,false),1)="a","L","")))</f>
        <v>W</v>
      </c>
      <c r="E549" s="67" t="str">
        <f>iferror(if(LEFT(VLOOKUP($B549,'Round 2'!$C$2:$J$361,8,false),1)="A","W",if(LEFT(VLOOKUP($B549,'Round 2'!$C$2:$J$361,8,false),1)="B","L","")),if(LEFT(VLOOKUP($B549,'Round 2'!$G$2:$J$361,4,false),1)="b","W",if(LEFT(VLOOKUP($B549,'Round 2'!$G$2:$J$361,4,false),1)="a","L","")))</f>
        <v>W</v>
      </c>
      <c r="F549" s="67" t="str">
        <f>iferror(if(LEFT(VLOOKUP($B549,'Round 3'!$B$2:$H$361,7,false),1)="A","W",if(LEFT(VLOOKUP($B549,'Round 3'!$B$2:$H$361,7,false),1)="B","L","")),if(LEFT(VLOOKUP($B549,'Round 3'!$F$2:$H$361,3,false),1)="b","W",if(LEFT(VLOOKUP($B549,'Round 3'!$F$2:$H$361,3,false),1)="a","L","")))</f>
        <v>L</v>
      </c>
      <c r="G549" s="67" t="str">
        <f>iferror(if(LEFT(VLOOKUP($B549,'Round 4'!$B$2:$H$361,7,false),1)="A","W",if(LEFT(VLOOKUP($B549,'Round 4'!$B$2:$H$361,7,false),1)="B","L","")),if(LEFT(VLOOKUP($B549,'Round 4'!$F$2:$H$361,3,false),1)="b","W",if(LEFT(VLOOKUP($B549,'Round 4'!$F$2:$H$361,3,false),1)="a","L","")))</f>
        <v>L</v>
      </c>
      <c r="H549" s="67" t="str">
        <f>iferror(if(LEFT(VLOOKUP($B549,'Round 5'!$B$2:$H$361,7,false),1)="A","W",if(LEFT(VLOOKUP($B549,'Round 5'!$B$2:$H$361,7,false),1)="B","L","")),if(LEFT(VLOOKUP($B549,'Round 5'!$F$2:$H$361,3,false),1)="b","W",if(LEFT(VLOOKUP($B549,'Round 5'!$F$2:$H$361,3,false),1)="a","L","")))</f>
        <v>L</v>
      </c>
      <c r="I549" s="67"/>
      <c r="J549" s="67" t="str">
        <f>iferror(iferror(if(LEFT(VLOOKUP($B549,'Round 7'!$B$2:$H$361,7,false),1)="A","W",if(LEFT(VLOOKUP($B549,'Round 7'!$B$2:$H$361,7,false),1)="B","L","")),if(LEFT(VLOOKUP($B549,'Round 7'!$F$2:$H$361,3,false),1)="b","W",if(LEFT(VLOOKUP($B549,'Round 7'!$F$2:$H$361,3,false),1)="a","L",""))),"")</f>
        <v/>
      </c>
      <c r="K549" s="68" t="str">
        <f>iferror(iferror(if(LEFT(VLOOKUP($B549,'Round 8'!$B$2:$H$361,7,false),1)="A","W",if(LEFT(VLOOKUP($B549,'Round 8'!$B$2:$H$361,7,false),1)="B","L","")),if(LEFT(VLOOKUP($B549,'Round 8'!$F$2:$H$361,3,false),1)="b","W",if(LEFT(VLOOKUP($B549,'Round 8'!$F$2:$H$361,3,false),1)="a","L",""))),"")</f>
        <v/>
      </c>
      <c r="L549" s="68" t="str">
        <f>iferror(iferror(if(LEFT(VLOOKUP($B549,'Round 9'!$B$2:$H$361,7,false),1)="A","W",if(LEFT(VLOOKUP($B549,'Round 9'!$B$2:$H$361,7,false),1)="B","L","")),if(LEFT(VLOOKUP($B549,'Round 9'!$F$2:$H$361,3,false),1)="b","W",if(LEFT(VLOOKUP($B549,'Round 9'!$F$2:$H$361,3,false),1)="a","L",""))),"")</f>
        <v/>
      </c>
      <c r="M549" s="68" t="str">
        <f>iferror(iferror(if(LEFT(VLOOKUP($B549,'Round 10'!$B$2:$H$362,7,false),1)="A","W",if(LEFT(VLOOKUP($B549,'Round 10'!$B$2:$H$362,7,false),1)="B","L","")),if(LEFT(VLOOKUP($B549,'Round 10'!$F$2:$H$362,3,false),1)="b","W",if(LEFT(VLOOKUP($B549,'Round 10'!$F$2:$H$362,3,false),1)="a","L",""))),"")</f>
        <v/>
      </c>
      <c r="N549" s="62" t="s">
        <v>1149</v>
      </c>
    </row>
    <row r="550">
      <c r="A550" s="63">
        <v>549.0</v>
      </c>
      <c r="B550" s="64" t="s">
        <v>1150</v>
      </c>
      <c r="C550" s="65" t="str">
        <f t="shared" si="1"/>
        <v>0 - 3</v>
      </c>
      <c r="D550" s="67" t="str">
        <f>iferror(if(LEFT(VLOOKUP($B550,'Round 1'!$B$2:$H$361,7,false),1)="A","W",if(LEFT(VLOOKUP($B550,'Round 1'!$B$2:$H$361,7,false),1)="B","L","")),if(LEFT(VLOOKUP($B550,'Round 1'!$F$2:$H$361,3,false),1)="b","W",if(LEFT(VLOOKUP($B550,'Round 1'!$F$2:$H$361,3,false),1)="a","L","")))</f>
        <v>L</v>
      </c>
      <c r="E550" s="67" t="str">
        <f>iferror(if(LEFT(VLOOKUP($B550,'Round 2'!$C$2:$J$361,8,false),1)="A","W",if(LEFT(VLOOKUP($B550,'Round 2'!$C$2:$J$361,8,false),1)="B","L","")),if(LEFT(VLOOKUP($B550,'Round 2'!$G$2:$J$361,4,false),1)="b","W",if(LEFT(VLOOKUP($B550,'Round 2'!$G$2:$J$361,4,false),1)="a","L","")))</f>
        <v>L</v>
      </c>
      <c r="F550" s="67" t="str">
        <f>iferror(if(LEFT(VLOOKUP($B550,'Round 3'!$B$2:$H$361,7,false),1)="A","W",if(LEFT(VLOOKUP($B550,'Round 3'!$B$2:$H$361,7,false),1)="B","L","")),if(LEFT(VLOOKUP($B550,'Round 3'!$F$2:$H$361,3,false),1)="b","W",if(LEFT(VLOOKUP($B550,'Round 3'!$F$2:$H$361,3,false),1)="a","L","")))</f>
        <v>L</v>
      </c>
      <c r="G550" s="67"/>
      <c r="H550" s="67"/>
      <c r="I550" s="67"/>
      <c r="J550" s="67" t="str">
        <f>iferror(iferror(if(LEFT(VLOOKUP($B550,'Round 7'!$B$2:$H$361,7,false),1)="A","W",if(LEFT(VLOOKUP($B550,'Round 7'!$B$2:$H$361,7,false),1)="B","L","")),if(LEFT(VLOOKUP($B550,'Round 7'!$F$2:$H$361,3,false),1)="b","W",if(LEFT(VLOOKUP($B550,'Round 7'!$F$2:$H$361,3,false),1)="a","L",""))),"")</f>
        <v/>
      </c>
      <c r="K550" s="68" t="str">
        <f>iferror(iferror(if(LEFT(VLOOKUP($B550,'Round 8'!$B$2:$H$361,7,false),1)="A","W",if(LEFT(VLOOKUP($B550,'Round 8'!$B$2:$H$361,7,false),1)="B","L","")),if(LEFT(VLOOKUP($B550,'Round 8'!$F$2:$H$361,3,false),1)="b","W",if(LEFT(VLOOKUP($B550,'Round 8'!$F$2:$H$361,3,false),1)="a","L",""))),"")</f>
        <v/>
      </c>
      <c r="L550" s="68" t="str">
        <f>iferror(iferror(if(LEFT(VLOOKUP($B550,'Round 9'!$B$2:$H$361,7,false),1)="A","W",if(LEFT(VLOOKUP($B550,'Round 9'!$B$2:$H$361,7,false),1)="B","L","")),if(LEFT(VLOOKUP($B550,'Round 9'!$F$2:$H$361,3,false),1)="b","W",if(LEFT(VLOOKUP($B550,'Round 9'!$F$2:$H$361,3,false),1)="a","L",""))),"")</f>
        <v/>
      </c>
      <c r="M550" s="68" t="str">
        <f>iferror(iferror(if(LEFT(VLOOKUP($B550,'Round 10'!$B$2:$H$362,7,false),1)="A","W",if(LEFT(VLOOKUP($B550,'Round 10'!$B$2:$H$362,7,false),1)="B","L","")),if(LEFT(VLOOKUP($B550,'Round 10'!$F$2:$H$362,3,false),1)="b","W",if(LEFT(VLOOKUP($B550,'Round 10'!$F$2:$H$362,3,false),1)="a","L",""))),"")</f>
        <v/>
      </c>
      <c r="N550" s="62" t="s">
        <v>1151</v>
      </c>
    </row>
    <row r="551">
      <c r="A551" s="63">
        <v>550.0</v>
      </c>
      <c r="B551" s="64" t="s">
        <v>1152</v>
      </c>
      <c r="C551" s="65" t="str">
        <f t="shared" si="1"/>
        <v>6 - 3</v>
      </c>
      <c r="D551" s="67" t="str">
        <f>iferror(if(LEFT(VLOOKUP($B551,'Round 1'!$B$2:$H$361,7,false),1)="A","W",if(LEFT(VLOOKUP($B551,'Round 1'!$B$2:$H$361,7,false),1)="B","L","")),if(LEFT(VLOOKUP($B551,'Round 1'!$F$2:$H$361,3,false),1)="b","W",if(LEFT(VLOOKUP($B551,'Round 1'!$F$2:$H$361,3,false),1)="a","L","")))</f>
        <v>W</v>
      </c>
      <c r="E551" s="67" t="str">
        <f>iferror(if(LEFT(VLOOKUP($B551,'Round 2'!$C$2:$J$361,8,false),1)="A","W",if(LEFT(VLOOKUP($B551,'Round 2'!$C$2:$J$361,8,false),1)="B","L","")),if(LEFT(VLOOKUP($B551,'Round 2'!$G$2:$J$361,4,false),1)="b","W",if(LEFT(VLOOKUP($B551,'Round 2'!$G$2:$J$361,4,false),1)="a","L","")))</f>
        <v>W</v>
      </c>
      <c r="F551" s="67" t="str">
        <f>iferror(if(LEFT(VLOOKUP($B551,'Round 3'!$B$2:$H$361,7,false),1)="A","W",if(LEFT(VLOOKUP($B551,'Round 3'!$B$2:$H$361,7,false),1)="B","L","")),if(LEFT(VLOOKUP($B551,'Round 3'!$F$2:$H$361,3,false),1)="b","W",if(LEFT(VLOOKUP($B551,'Round 3'!$F$2:$H$361,3,false),1)="a","L","")))</f>
        <v>W</v>
      </c>
      <c r="G551" s="67" t="str">
        <f>iferror(if(LEFT(VLOOKUP($B551,'Round 4'!$B$2:$H$361,7,false),1)="A","W",if(LEFT(VLOOKUP($B551,'Round 4'!$B$2:$H$361,7,false),1)="B","L","")),if(LEFT(VLOOKUP($B551,'Round 4'!$F$2:$H$361,3,false),1)="b","W",if(LEFT(VLOOKUP($B551,'Round 4'!$F$2:$H$361,3,false),1)="a","L","")))</f>
        <v>W</v>
      </c>
      <c r="H551" s="67" t="str">
        <f>iferror(if(LEFT(VLOOKUP($B551,'Round 5'!$B$2:$H$361,7,false),1)="A","W",if(LEFT(VLOOKUP($B551,'Round 5'!$B$2:$H$361,7,false),1)="B","L","")),if(LEFT(VLOOKUP($B551,'Round 5'!$F$2:$H$361,3,false),1)="b","W",if(LEFT(VLOOKUP($B551,'Round 5'!$F$2:$H$361,3,false),1)="a","L","")))</f>
        <v>W</v>
      </c>
      <c r="I551" s="67" t="str">
        <f>iferror(if(LEFT(VLOOKUP($B551,'Round 6'!$B$2:$H$361,7,false),1)="A","W",if(LEFT(VLOOKUP($B551,'Round 6'!$B$2:$H$361,7,false),1)="B","L","")),if(LEFT(VLOOKUP($B551,'Round 6'!$F$2:$H$361,3,false),1)="b","W",if(LEFT(VLOOKUP($B551,'Round 6'!$F$2:$H$361,3,false),1)="a","L","")))</f>
        <v>L</v>
      </c>
      <c r="J551" s="67" t="str">
        <f>iferror(iferror(if(LEFT(VLOOKUP($B551,'Round 7'!$B$2:$H$361,7,false),1)="A","W",if(LEFT(VLOOKUP($B551,'Round 7'!$B$2:$H$361,7,false),1)="B","L","")),if(LEFT(VLOOKUP($B551,'Round 7'!$F$2:$H$361,3,false),1)="b","W",if(LEFT(VLOOKUP($B551,'Round 7'!$F$2:$H$361,3,false),1)="a","L",""))),"")</f>
        <v>W</v>
      </c>
      <c r="K551" s="68" t="str">
        <f>iferror(iferror(if(LEFT(VLOOKUP($B551,'Round 8'!$B$2:$H$361,7,false),1)="A","W",if(LEFT(VLOOKUP($B551,'Round 8'!$B$2:$H$361,7,false),1)="B","L","")),if(LEFT(VLOOKUP($B551,'Round 8'!$F$2:$H$361,3,false),1)="b","W",if(LEFT(VLOOKUP($B551,'Round 8'!$F$2:$H$361,3,false),1)="a","L",""))),"")</f>
        <v>L</v>
      </c>
      <c r="L551" s="68" t="str">
        <f>iferror(iferror(if(LEFT(VLOOKUP($B551,'Round 9'!$B$2:$H$361,7,false),1)="A","W",if(LEFT(VLOOKUP($B551,'Round 9'!$B$2:$H$361,7,false),1)="B","L","")),if(LEFT(VLOOKUP($B551,'Round 9'!$F$2:$H$361,3,false),1)="b","W",if(LEFT(VLOOKUP($B551,'Round 9'!$F$2:$H$361,3,false),1)="a","L",""))),"")</f>
        <v>L</v>
      </c>
      <c r="M551" s="68" t="str">
        <f>iferror(iferror(if(LEFT(VLOOKUP($B551,'Round 10'!$B$2:$H$362,7,false),1)="A","W",if(LEFT(VLOOKUP($B551,'Round 10'!$B$2:$H$362,7,false),1)="B","L","")),if(LEFT(VLOOKUP($B551,'Round 10'!$F$2:$H$362,3,false),1)="b","W",if(LEFT(VLOOKUP($B551,'Round 10'!$F$2:$H$362,3,false),1)="a","L",""))),"")</f>
        <v/>
      </c>
      <c r="N551" s="62" t="s">
        <v>1153</v>
      </c>
    </row>
    <row r="552">
      <c r="A552" s="63">
        <v>551.0</v>
      </c>
      <c r="B552" s="64" t="s">
        <v>1154</v>
      </c>
      <c r="C552" s="65" t="str">
        <f t="shared" si="1"/>
        <v>1 - 3</v>
      </c>
      <c r="D552" s="67" t="str">
        <f>iferror(if(LEFT(VLOOKUP($B552,'Round 1'!$B$2:$H$361,7,false),1)="A","W",if(LEFT(VLOOKUP($B552,'Round 1'!$B$2:$H$361,7,false),1)="B","L","")),if(LEFT(VLOOKUP($B552,'Round 1'!$F$2:$H$361,3,false),1)="b","W",if(LEFT(VLOOKUP($B552,'Round 1'!$F$2:$H$361,3,false),1)="a","L","")))</f>
        <v>L</v>
      </c>
      <c r="E552" s="67" t="str">
        <f>iferror(if(LEFT(VLOOKUP($B552,'Round 2'!$C$2:$J$361,8,false),1)="A","W",if(LEFT(VLOOKUP($B552,'Round 2'!$C$2:$J$361,8,false),1)="B","L","")),if(LEFT(VLOOKUP($B552,'Round 2'!$G$2:$J$361,4,false),1)="b","W",if(LEFT(VLOOKUP($B552,'Round 2'!$G$2:$J$361,4,false),1)="a","L","")))</f>
        <v>L</v>
      </c>
      <c r="F552" s="67" t="str">
        <f>iferror(if(LEFT(VLOOKUP($B552,'Round 3'!$B$2:$H$361,7,false),1)="A","W",if(LEFT(VLOOKUP($B552,'Round 3'!$B$2:$H$361,7,false),1)="B","L","")),if(LEFT(VLOOKUP($B552,'Round 3'!$F$2:$H$361,3,false),1)="b","W",if(LEFT(VLOOKUP($B552,'Round 3'!$F$2:$H$361,3,false),1)="a","L","")))</f>
        <v>W</v>
      </c>
      <c r="G552" s="67" t="str">
        <f>iferror(if(LEFT(VLOOKUP($B552,'Round 4'!$B$2:$H$361,7,false),1)="A","W",if(LEFT(VLOOKUP($B552,'Round 4'!$B$2:$H$361,7,false),1)="B","L","")),if(LEFT(VLOOKUP($B552,'Round 4'!$F$2:$H$361,3,false),1)="b","W",if(LEFT(VLOOKUP($B552,'Round 4'!$F$2:$H$361,3,false),1)="a","L","")))</f>
        <v>L</v>
      </c>
      <c r="H552" s="67"/>
      <c r="I552" s="67"/>
      <c r="J552" s="67" t="str">
        <f>iferror(iferror(if(LEFT(VLOOKUP($B552,'Round 7'!$B$2:$H$361,7,false),1)="A","W",if(LEFT(VLOOKUP($B552,'Round 7'!$B$2:$H$361,7,false),1)="B","L","")),if(LEFT(VLOOKUP($B552,'Round 7'!$F$2:$H$361,3,false),1)="b","W",if(LEFT(VLOOKUP($B552,'Round 7'!$F$2:$H$361,3,false),1)="a","L",""))),"")</f>
        <v/>
      </c>
      <c r="K552" s="68" t="str">
        <f>iferror(iferror(if(LEFT(VLOOKUP($B552,'Round 8'!$B$2:$H$361,7,false),1)="A","W",if(LEFT(VLOOKUP($B552,'Round 8'!$B$2:$H$361,7,false),1)="B","L","")),if(LEFT(VLOOKUP($B552,'Round 8'!$F$2:$H$361,3,false),1)="b","W",if(LEFT(VLOOKUP($B552,'Round 8'!$F$2:$H$361,3,false),1)="a","L",""))),"")</f>
        <v/>
      </c>
      <c r="L552" s="68" t="str">
        <f>iferror(iferror(if(LEFT(VLOOKUP($B552,'Round 9'!$B$2:$H$361,7,false),1)="A","W",if(LEFT(VLOOKUP($B552,'Round 9'!$B$2:$H$361,7,false),1)="B","L","")),if(LEFT(VLOOKUP($B552,'Round 9'!$F$2:$H$361,3,false),1)="b","W",if(LEFT(VLOOKUP($B552,'Round 9'!$F$2:$H$361,3,false),1)="a","L",""))),"")</f>
        <v/>
      </c>
      <c r="M552" s="68" t="str">
        <f>iferror(iferror(if(LEFT(VLOOKUP($B552,'Round 10'!$B$2:$H$362,7,false),1)="A","W",if(LEFT(VLOOKUP($B552,'Round 10'!$B$2:$H$362,7,false),1)="B","L","")),if(LEFT(VLOOKUP($B552,'Round 10'!$F$2:$H$362,3,false),1)="b","W",if(LEFT(VLOOKUP($B552,'Round 10'!$F$2:$H$362,3,false),1)="a","L",""))),"")</f>
        <v/>
      </c>
      <c r="N552" s="62" t="s">
        <v>1155</v>
      </c>
    </row>
    <row r="553">
      <c r="A553" s="63">
        <v>552.0</v>
      </c>
      <c r="B553" s="64" t="s">
        <v>1156</v>
      </c>
      <c r="C553" s="65" t="str">
        <f t="shared" si="1"/>
        <v>2 - 3</v>
      </c>
      <c r="D553" s="67" t="str">
        <f>iferror(if(LEFT(VLOOKUP($B553,'Round 1'!$B$2:$H$361,7,false),1)="A","W",if(LEFT(VLOOKUP($B553,'Round 1'!$B$2:$H$361,7,false),1)="B","L","")),if(LEFT(VLOOKUP($B553,'Round 1'!$F$2:$H$361,3,false),1)="b","W",if(LEFT(VLOOKUP($B553,'Round 1'!$F$2:$H$361,3,false),1)="a","L","")))</f>
        <v>W</v>
      </c>
      <c r="E553" s="67" t="str">
        <f>iferror(if(LEFT(VLOOKUP($B553,'Round 2'!$C$2:$J$361,8,false),1)="A","W",if(LEFT(VLOOKUP($B553,'Round 2'!$C$2:$J$361,8,false),1)="B","L","")),if(LEFT(VLOOKUP($B553,'Round 2'!$G$2:$J$361,4,false),1)="b","W",if(LEFT(VLOOKUP($B553,'Round 2'!$G$2:$J$361,4,false),1)="a","L","")))</f>
        <v>W</v>
      </c>
      <c r="F553" s="67" t="str">
        <f>iferror(if(LEFT(VLOOKUP($B553,'Round 3'!$B$2:$H$361,7,false),1)="A","W",if(LEFT(VLOOKUP($B553,'Round 3'!$B$2:$H$361,7,false),1)="B","L","")),if(LEFT(VLOOKUP($B553,'Round 3'!$F$2:$H$361,3,false),1)="b","W",if(LEFT(VLOOKUP($B553,'Round 3'!$F$2:$H$361,3,false),1)="a","L","")))</f>
        <v>L</v>
      </c>
      <c r="G553" s="67" t="str">
        <f>iferror(if(LEFT(VLOOKUP($B553,'Round 4'!$B$2:$H$361,7,false),1)="A","W",if(LEFT(VLOOKUP($B553,'Round 4'!$B$2:$H$361,7,false),1)="B","L","")),if(LEFT(VLOOKUP($B553,'Round 4'!$F$2:$H$361,3,false),1)="b","W",if(LEFT(VLOOKUP($B553,'Round 4'!$F$2:$H$361,3,false),1)="a","L","")))</f>
        <v>L</v>
      </c>
      <c r="H553" s="67" t="str">
        <f>iferror(if(LEFT(VLOOKUP($B553,'Round 5'!$B$2:$H$361,7,false),1)="A","W",if(LEFT(VLOOKUP($B553,'Round 5'!$B$2:$H$361,7,false),1)="B","L","")),if(LEFT(VLOOKUP($B553,'Round 5'!$F$2:$H$361,3,false),1)="b","W",if(LEFT(VLOOKUP($B553,'Round 5'!$F$2:$H$361,3,false),1)="a","L","")))</f>
        <v>L</v>
      </c>
      <c r="I553" s="67"/>
      <c r="J553" s="67" t="str">
        <f>iferror(iferror(if(LEFT(VLOOKUP($B553,'Round 7'!$B$2:$H$361,7,false),1)="A","W",if(LEFT(VLOOKUP($B553,'Round 7'!$B$2:$H$361,7,false),1)="B","L","")),if(LEFT(VLOOKUP($B553,'Round 7'!$F$2:$H$361,3,false),1)="b","W",if(LEFT(VLOOKUP($B553,'Round 7'!$F$2:$H$361,3,false),1)="a","L",""))),"")</f>
        <v/>
      </c>
      <c r="K553" s="68" t="str">
        <f>iferror(iferror(if(LEFT(VLOOKUP($B553,'Round 8'!$B$2:$H$361,7,false),1)="A","W",if(LEFT(VLOOKUP($B553,'Round 8'!$B$2:$H$361,7,false),1)="B","L","")),if(LEFT(VLOOKUP($B553,'Round 8'!$F$2:$H$361,3,false),1)="b","W",if(LEFT(VLOOKUP($B553,'Round 8'!$F$2:$H$361,3,false),1)="a","L",""))),"")</f>
        <v/>
      </c>
      <c r="L553" s="68" t="str">
        <f>iferror(iferror(if(LEFT(VLOOKUP($B553,'Round 9'!$B$2:$H$361,7,false),1)="A","W",if(LEFT(VLOOKUP($B553,'Round 9'!$B$2:$H$361,7,false),1)="B","L","")),if(LEFT(VLOOKUP($B553,'Round 9'!$F$2:$H$361,3,false),1)="b","W",if(LEFT(VLOOKUP($B553,'Round 9'!$F$2:$H$361,3,false),1)="a","L",""))),"")</f>
        <v/>
      </c>
      <c r="M553" s="68" t="str">
        <f>iferror(iferror(if(LEFT(VLOOKUP($B553,'Round 10'!$B$2:$H$362,7,false),1)="A","W",if(LEFT(VLOOKUP($B553,'Round 10'!$B$2:$H$362,7,false),1)="B","L","")),if(LEFT(VLOOKUP($B553,'Round 10'!$F$2:$H$362,3,false),1)="b","W",if(LEFT(VLOOKUP($B553,'Round 10'!$F$2:$H$362,3,false),1)="a","L",""))),"")</f>
        <v/>
      </c>
      <c r="N553" s="62" t="s">
        <v>1157</v>
      </c>
    </row>
    <row r="554">
      <c r="A554" s="63">
        <v>553.0</v>
      </c>
      <c r="B554" s="64" t="s">
        <v>1158</v>
      </c>
      <c r="C554" s="65" t="str">
        <f t="shared" si="1"/>
        <v>0 - 3</v>
      </c>
      <c r="D554" s="67" t="str">
        <f>iferror(if(LEFT(VLOOKUP($B554,'Round 1'!$B$2:$H$361,7,false),1)="A","W",if(LEFT(VLOOKUP($B554,'Round 1'!$B$2:$H$361,7,false),1)="B","L","")),if(LEFT(VLOOKUP($B554,'Round 1'!$F$2:$H$361,3,false),1)="b","W",if(LEFT(VLOOKUP($B554,'Round 1'!$F$2:$H$361,3,false),1)="a","L","")))</f>
        <v>L</v>
      </c>
      <c r="E554" s="67" t="str">
        <f>iferror(if(LEFT(VLOOKUP($B554,'Round 2'!$C$2:$J$361,8,false),1)="A","W",if(LEFT(VLOOKUP($B554,'Round 2'!$C$2:$J$361,8,false),1)="B","L","")),if(LEFT(VLOOKUP($B554,'Round 2'!$G$2:$J$361,4,false),1)="b","W",if(LEFT(VLOOKUP($B554,'Round 2'!$G$2:$J$361,4,false),1)="a","L","")))</f>
        <v>L</v>
      </c>
      <c r="F554" s="67" t="str">
        <f>iferror(if(LEFT(VLOOKUP($B554,'Round 3'!$B$2:$H$361,7,false),1)="A","W",if(LEFT(VLOOKUP($B554,'Round 3'!$B$2:$H$361,7,false),1)="B","L","")),if(LEFT(VLOOKUP($B554,'Round 3'!$F$2:$H$361,3,false),1)="b","W",if(LEFT(VLOOKUP($B554,'Round 3'!$F$2:$H$361,3,false),1)="a","L","")))</f>
        <v>L</v>
      </c>
      <c r="G554" s="67"/>
      <c r="H554" s="67"/>
      <c r="I554" s="67"/>
      <c r="J554" s="67" t="str">
        <f>iferror(iferror(if(LEFT(VLOOKUP($B554,'Round 7'!$B$2:$H$361,7,false),1)="A","W",if(LEFT(VLOOKUP($B554,'Round 7'!$B$2:$H$361,7,false),1)="B","L","")),if(LEFT(VLOOKUP($B554,'Round 7'!$F$2:$H$361,3,false),1)="b","W",if(LEFT(VLOOKUP($B554,'Round 7'!$F$2:$H$361,3,false),1)="a","L",""))),"")</f>
        <v/>
      </c>
      <c r="K554" s="68" t="str">
        <f>iferror(iferror(if(LEFT(VLOOKUP($B554,'Round 8'!$B$2:$H$361,7,false),1)="A","W",if(LEFT(VLOOKUP($B554,'Round 8'!$B$2:$H$361,7,false),1)="B","L","")),if(LEFT(VLOOKUP($B554,'Round 8'!$F$2:$H$361,3,false),1)="b","W",if(LEFT(VLOOKUP($B554,'Round 8'!$F$2:$H$361,3,false),1)="a","L",""))),"")</f>
        <v/>
      </c>
      <c r="L554" s="68" t="str">
        <f>iferror(iferror(if(LEFT(VLOOKUP($B554,'Round 9'!$B$2:$H$361,7,false),1)="A","W",if(LEFT(VLOOKUP($B554,'Round 9'!$B$2:$H$361,7,false),1)="B","L","")),if(LEFT(VLOOKUP($B554,'Round 9'!$F$2:$H$361,3,false),1)="b","W",if(LEFT(VLOOKUP($B554,'Round 9'!$F$2:$H$361,3,false),1)="a","L",""))),"")</f>
        <v/>
      </c>
      <c r="M554" s="68" t="str">
        <f>iferror(iferror(if(LEFT(VLOOKUP($B554,'Round 10'!$B$2:$H$362,7,false),1)="A","W",if(LEFT(VLOOKUP($B554,'Round 10'!$B$2:$H$362,7,false),1)="B","L","")),if(LEFT(VLOOKUP($B554,'Round 10'!$F$2:$H$362,3,false),1)="b","W",if(LEFT(VLOOKUP($B554,'Round 10'!$F$2:$H$362,3,false),1)="a","L",""))),"")</f>
        <v/>
      </c>
      <c r="N554" s="62" t="s">
        <v>1159</v>
      </c>
    </row>
    <row r="555">
      <c r="A555" s="63">
        <v>554.0</v>
      </c>
      <c r="B555" s="64" t="s">
        <v>1160</v>
      </c>
      <c r="C555" s="65" t="str">
        <f t="shared" si="1"/>
        <v>1 - 3</v>
      </c>
      <c r="D555" s="67" t="str">
        <f>iferror(if(LEFT(VLOOKUP($B555,'Round 1'!$B$2:$H$361,7,false),1)="A","W",if(LEFT(VLOOKUP($B555,'Round 1'!$B$2:$H$361,7,false),1)="B","L","")),if(LEFT(VLOOKUP($B555,'Round 1'!$F$2:$H$361,3,false),1)="b","W",if(LEFT(VLOOKUP($B555,'Round 1'!$F$2:$H$361,3,false),1)="a","L","")))</f>
        <v>W</v>
      </c>
      <c r="E555" s="67" t="str">
        <f>iferror(if(LEFT(VLOOKUP($B555,'Round 2'!$C$2:$J$361,8,false),1)="A","W",if(LEFT(VLOOKUP($B555,'Round 2'!$C$2:$J$361,8,false),1)="B","L","")),if(LEFT(VLOOKUP($B555,'Round 2'!$G$2:$J$361,4,false),1)="b","W",if(LEFT(VLOOKUP($B555,'Round 2'!$G$2:$J$361,4,false),1)="a","L","")))</f>
        <v>L</v>
      </c>
      <c r="F555" s="67" t="str">
        <f>iferror(if(LEFT(VLOOKUP($B555,'Round 3'!$B$2:$H$361,7,false),1)="A","W",if(LEFT(VLOOKUP($B555,'Round 3'!$B$2:$H$361,7,false),1)="B","L","")),if(LEFT(VLOOKUP($B555,'Round 3'!$F$2:$H$361,3,false),1)="b","W",if(LEFT(VLOOKUP($B555,'Round 3'!$F$2:$H$361,3,false),1)="a","L","")))</f>
        <v>L</v>
      </c>
      <c r="G555" s="67" t="str">
        <f>iferror(if(LEFT(VLOOKUP($B555,'Round 4'!$B$2:$H$361,7,false),1)="A","W",if(LEFT(VLOOKUP($B555,'Round 4'!$B$2:$H$361,7,false),1)="B","L","")),if(LEFT(VLOOKUP($B555,'Round 4'!$F$2:$H$361,3,false),1)="b","W",if(LEFT(VLOOKUP($B555,'Round 4'!$F$2:$H$361,3,false),1)="a","L","")))</f>
        <v>L</v>
      </c>
      <c r="H555" s="67"/>
      <c r="I555" s="67"/>
      <c r="J555" s="67" t="str">
        <f>iferror(iferror(if(LEFT(VLOOKUP($B555,'Round 7'!$B$2:$H$361,7,false),1)="A","W",if(LEFT(VLOOKUP($B555,'Round 7'!$B$2:$H$361,7,false),1)="B","L","")),if(LEFT(VLOOKUP($B555,'Round 7'!$F$2:$H$361,3,false),1)="b","W",if(LEFT(VLOOKUP($B555,'Round 7'!$F$2:$H$361,3,false),1)="a","L",""))),"")</f>
        <v/>
      </c>
      <c r="K555" s="68" t="str">
        <f>iferror(iferror(if(LEFT(VLOOKUP($B555,'Round 8'!$B$2:$H$361,7,false),1)="A","W",if(LEFT(VLOOKUP($B555,'Round 8'!$B$2:$H$361,7,false),1)="B","L","")),if(LEFT(VLOOKUP($B555,'Round 8'!$F$2:$H$361,3,false),1)="b","W",if(LEFT(VLOOKUP($B555,'Round 8'!$F$2:$H$361,3,false),1)="a","L",""))),"")</f>
        <v/>
      </c>
      <c r="L555" s="68" t="str">
        <f>iferror(iferror(if(LEFT(VLOOKUP($B555,'Round 9'!$B$2:$H$361,7,false),1)="A","W",if(LEFT(VLOOKUP($B555,'Round 9'!$B$2:$H$361,7,false),1)="B","L","")),if(LEFT(VLOOKUP($B555,'Round 9'!$F$2:$H$361,3,false),1)="b","W",if(LEFT(VLOOKUP($B555,'Round 9'!$F$2:$H$361,3,false),1)="a","L",""))),"")</f>
        <v/>
      </c>
      <c r="M555" s="68" t="str">
        <f>iferror(iferror(if(LEFT(VLOOKUP($B555,'Round 10'!$B$2:$H$362,7,false),1)="A","W",if(LEFT(VLOOKUP($B555,'Round 10'!$B$2:$H$362,7,false),1)="B","L","")),if(LEFT(VLOOKUP($B555,'Round 10'!$F$2:$H$362,3,false),1)="b","W",if(LEFT(VLOOKUP($B555,'Round 10'!$F$2:$H$362,3,false),1)="a","L",""))),"")</f>
        <v/>
      </c>
      <c r="N555" s="62" t="s">
        <v>1161</v>
      </c>
    </row>
    <row r="556">
      <c r="A556" s="63">
        <v>555.0</v>
      </c>
      <c r="B556" s="64" t="s">
        <v>1162</v>
      </c>
      <c r="C556" s="65" t="str">
        <f t="shared" si="1"/>
        <v>6 - 3</v>
      </c>
      <c r="D556" s="67" t="str">
        <f>iferror(if(LEFT(VLOOKUP($B556,'Round 1'!$B$2:$H$361,7,false),1)="A","W",if(LEFT(VLOOKUP($B556,'Round 1'!$B$2:$H$361,7,false),1)="B","L","")),if(LEFT(VLOOKUP($B556,'Round 1'!$F$2:$H$361,3,false),1)="b","W",if(LEFT(VLOOKUP($B556,'Round 1'!$F$2:$H$361,3,false),1)="a","L","")))</f>
        <v>W</v>
      </c>
      <c r="E556" s="67" t="str">
        <f>iferror(if(LEFT(VLOOKUP($B556,'Round 2'!$C$2:$J$361,8,false),1)="A","W",if(LEFT(VLOOKUP($B556,'Round 2'!$C$2:$J$361,8,false),1)="B","L","")),if(LEFT(VLOOKUP($B556,'Round 2'!$G$2:$J$361,4,false),1)="b","W",if(LEFT(VLOOKUP($B556,'Round 2'!$G$2:$J$361,4,false),1)="a","L","")))</f>
        <v>W</v>
      </c>
      <c r="F556" s="67" t="str">
        <f>iferror(if(LEFT(VLOOKUP($B556,'Round 3'!$B$2:$H$361,7,false),1)="A","W",if(LEFT(VLOOKUP($B556,'Round 3'!$B$2:$H$361,7,false),1)="B","L","")),if(LEFT(VLOOKUP($B556,'Round 3'!$F$2:$H$361,3,false),1)="b","W",if(LEFT(VLOOKUP($B556,'Round 3'!$F$2:$H$361,3,false),1)="a","L","")))</f>
        <v>W</v>
      </c>
      <c r="G556" s="67" t="str">
        <f>iferror(if(LEFT(VLOOKUP($B556,'Round 4'!$B$2:$H$361,7,false),1)="A","W",if(LEFT(VLOOKUP($B556,'Round 4'!$B$2:$H$361,7,false),1)="B","L","")),if(LEFT(VLOOKUP($B556,'Round 4'!$F$2:$H$361,3,false),1)="b","W",if(LEFT(VLOOKUP($B556,'Round 4'!$F$2:$H$361,3,false),1)="a","L","")))</f>
        <v>W</v>
      </c>
      <c r="H556" s="67" t="str">
        <f>iferror(if(LEFT(VLOOKUP($B556,'Round 5'!$B$2:$H$361,7,false),1)="A","W",if(LEFT(VLOOKUP($B556,'Round 5'!$B$2:$H$361,7,false),1)="B","L","")),if(LEFT(VLOOKUP($B556,'Round 5'!$F$2:$H$361,3,false),1)="b","W",if(LEFT(VLOOKUP($B556,'Round 5'!$F$2:$H$361,3,false),1)="a","L","")))</f>
        <v>L</v>
      </c>
      <c r="I556" s="67" t="str">
        <f>iferror(if(LEFT(VLOOKUP($B556,'Round 6'!$B$2:$H$361,7,false),1)="A","W",if(LEFT(VLOOKUP($B556,'Round 6'!$B$2:$H$361,7,false),1)="B","L","")),if(LEFT(VLOOKUP($B556,'Round 6'!$F$2:$H$361,3,false),1)="b","W",if(LEFT(VLOOKUP($B556,'Round 6'!$F$2:$H$361,3,false),1)="a","L","")))</f>
        <v>W</v>
      </c>
      <c r="J556" s="67" t="str">
        <f>iferror(iferror(if(LEFT(VLOOKUP($B556,'Round 7'!$B$2:$H$361,7,false),1)="A","W",if(LEFT(VLOOKUP($B556,'Round 7'!$B$2:$H$361,7,false),1)="B","L","")),if(LEFT(VLOOKUP($B556,'Round 7'!$F$2:$H$361,3,false),1)="b","W",if(LEFT(VLOOKUP($B556,'Round 7'!$F$2:$H$361,3,false),1)="a","L",""))),"")</f>
        <v>L</v>
      </c>
      <c r="K556" s="68" t="str">
        <f>iferror(iferror(if(LEFT(VLOOKUP($B556,'Round 8'!$B$2:$H$361,7,false),1)="A","W",if(LEFT(VLOOKUP($B556,'Round 8'!$B$2:$H$361,7,false),1)="B","L","")),if(LEFT(VLOOKUP($B556,'Round 8'!$F$2:$H$361,3,false),1)="b","W",if(LEFT(VLOOKUP($B556,'Round 8'!$F$2:$H$361,3,false),1)="a","L",""))),"")</f>
        <v>W</v>
      </c>
      <c r="L556" s="68" t="str">
        <f>iferror(iferror(if(LEFT(VLOOKUP($B556,'Round 9'!$B$2:$H$361,7,false),1)="A","W",if(LEFT(VLOOKUP($B556,'Round 9'!$B$2:$H$361,7,false),1)="B","L","")),if(LEFT(VLOOKUP($B556,'Round 9'!$F$2:$H$361,3,false),1)="b","W",if(LEFT(VLOOKUP($B556,'Round 9'!$F$2:$H$361,3,false),1)="a","L",""))),"")</f>
        <v>L</v>
      </c>
      <c r="M556" s="68" t="str">
        <f>iferror(iferror(if(LEFT(VLOOKUP($B556,'Round 10'!$B$2:$H$362,7,false),1)="A","W",if(LEFT(VLOOKUP($B556,'Round 10'!$B$2:$H$362,7,false),1)="B","L","")),if(LEFT(VLOOKUP($B556,'Round 10'!$F$2:$H$362,3,false),1)="b","W",if(LEFT(VLOOKUP($B556,'Round 10'!$F$2:$H$362,3,false),1)="a","L",""))),"")</f>
        <v/>
      </c>
      <c r="N556" s="62" t="s">
        <v>1163</v>
      </c>
    </row>
    <row r="557">
      <c r="A557" s="63">
        <v>556.0</v>
      </c>
      <c r="B557" s="64" t="s">
        <v>1164</v>
      </c>
      <c r="C557" s="65" t="str">
        <f t="shared" si="1"/>
        <v>3 - 3</v>
      </c>
      <c r="D557" s="67" t="str">
        <f>iferror(if(LEFT(VLOOKUP($B557,'Round 1'!$B$2:$H$361,7,false),1)="A","W",if(LEFT(VLOOKUP($B557,'Round 1'!$B$2:$H$361,7,false),1)="B","L","")),if(LEFT(VLOOKUP($B557,'Round 1'!$F$2:$H$361,3,false),1)="b","W",if(LEFT(VLOOKUP($B557,'Round 1'!$F$2:$H$361,3,false),1)="a","L","")))</f>
        <v>L</v>
      </c>
      <c r="E557" s="67" t="str">
        <f>iferror(if(LEFT(VLOOKUP($B557,'Round 2'!$C$2:$J$361,8,false),1)="A","W",if(LEFT(VLOOKUP($B557,'Round 2'!$C$2:$J$361,8,false),1)="B","L","")),if(LEFT(VLOOKUP($B557,'Round 2'!$G$2:$J$361,4,false),1)="b","W",if(LEFT(VLOOKUP($B557,'Round 2'!$G$2:$J$361,4,false),1)="a","L","")))</f>
        <v>W</v>
      </c>
      <c r="F557" s="67" t="str">
        <f>iferror(if(LEFT(VLOOKUP($B557,'Round 3'!$B$2:$H$361,7,false),1)="A","W",if(LEFT(VLOOKUP($B557,'Round 3'!$B$2:$H$361,7,false),1)="B","L","")),if(LEFT(VLOOKUP($B557,'Round 3'!$F$2:$H$361,3,false),1)="b","W",if(LEFT(VLOOKUP($B557,'Round 3'!$F$2:$H$361,3,false),1)="a","L","")))</f>
        <v>L</v>
      </c>
      <c r="G557" s="67" t="str">
        <f>iferror(if(LEFT(VLOOKUP($B557,'Round 4'!$B$2:$H$361,7,false),1)="A","W",if(LEFT(VLOOKUP($B557,'Round 4'!$B$2:$H$361,7,false),1)="B","L","")),if(LEFT(VLOOKUP($B557,'Round 4'!$F$2:$H$361,3,false),1)="b","W",if(LEFT(VLOOKUP($B557,'Round 4'!$F$2:$H$361,3,false),1)="a","L","")))</f>
        <v>W</v>
      </c>
      <c r="H557" s="67" t="str">
        <f>iferror(if(LEFT(VLOOKUP($B557,'Round 5'!$B$2:$H$361,7,false),1)="A","W",if(LEFT(VLOOKUP($B557,'Round 5'!$B$2:$H$361,7,false),1)="B","L","")),if(LEFT(VLOOKUP($B557,'Round 5'!$F$2:$H$361,3,false),1)="b","W",if(LEFT(VLOOKUP($B557,'Round 5'!$F$2:$H$361,3,false),1)="a","L","")))</f>
        <v>W</v>
      </c>
      <c r="I557" s="67" t="str">
        <f>iferror(if(LEFT(VLOOKUP($B557,'Round 6'!$B$2:$H$361,7,false),1)="A","W",if(LEFT(VLOOKUP($B557,'Round 6'!$B$2:$H$361,7,false),1)="B","L","")),if(LEFT(VLOOKUP($B557,'Round 6'!$F$2:$H$361,3,false),1)="b","W",if(LEFT(VLOOKUP($B557,'Round 6'!$F$2:$H$361,3,false),1)="a","L","")))</f>
        <v>L</v>
      </c>
      <c r="J557" s="67" t="str">
        <f>iferror(iferror(if(LEFT(VLOOKUP($B557,'Round 7'!$B$2:$H$361,7,false),1)="A","W",if(LEFT(VLOOKUP($B557,'Round 7'!$B$2:$H$361,7,false),1)="B","L","")),if(LEFT(VLOOKUP($B557,'Round 7'!$F$2:$H$361,3,false),1)="b","W",if(LEFT(VLOOKUP($B557,'Round 7'!$F$2:$H$361,3,false),1)="a","L",""))),"")</f>
        <v/>
      </c>
      <c r="K557" s="68" t="str">
        <f>iferror(iferror(if(LEFT(VLOOKUP($B557,'Round 8'!$B$2:$H$361,7,false),1)="A","W",if(LEFT(VLOOKUP($B557,'Round 8'!$B$2:$H$361,7,false),1)="B","L","")),if(LEFT(VLOOKUP($B557,'Round 8'!$F$2:$H$361,3,false),1)="b","W",if(LEFT(VLOOKUP($B557,'Round 8'!$F$2:$H$361,3,false),1)="a","L",""))),"")</f>
        <v/>
      </c>
      <c r="L557" s="68" t="str">
        <f>iferror(iferror(if(LEFT(VLOOKUP($B557,'Round 9'!$B$2:$H$361,7,false),1)="A","W",if(LEFT(VLOOKUP($B557,'Round 9'!$B$2:$H$361,7,false),1)="B","L","")),if(LEFT(VLOOKUP($B557,'Round 9'!$F$2:$H$361,3,false),1)="b","W",if(LEFT(VLOOKUP($B557,'Round 9'!$F$2:$H$361,3,false),1)="a","L",""))),"")</f>
        <v/>
      </c>
      <c r="M557" s="68" t="str">
        <f>iferror(iferror(if(LEFT(VLOOKUP($B557,'Round 10'!$B$2:$H$362,7,false),1)="A","W",if(LEFT(VLOOKUP($B557,'Round 10'!$B$2:$H$362,7,false),1)="B","L","")),if(LEFT(VLOOKUP($B557,'Round 10'!$F$2:$H$362,3,false),1)="b","W",if(LEFT(VLOOKUP($B557,'Round 10'!$F$2:$H$362,3,false),1)="a","L",""))),"")</f>
        <v/>
      </c>
      <c r="N557" s="62" t="s">
        <v>1165</v>
      </c>
    </row>
    <row r="558">
      <c r="A558" s="63">
        <v>557.0</v>
      </c>
      <c r="B558" s="64" t="s">
        <v>1166</v>
      </c>
      <c r="C558" s="65" t="str">
        <f t="shared" si="1"/>
        <v>6 - 3</v>
      </c>
      <c r="D558" s="67" t="str">
        <f>iferror(if(LEFT(VLOOKUP($B558,'Round 1'!$B$2:$H$361,7,false),1)="A","W",if(LEFT(VLOOKUP($B558,'Round 1'!$B$2:$H$361,7,false),1)="B","L","")),if(LEFT(VLOOKUP($B558,'Round 1'!$F$2:$H$361,3,false),1)="b","W",if(LEFT(VLOOKUP($B558,'Round 1'!$F$2:$H$361,3,false),1)="a","L","")))</f>
        <v>W</v>
      </c>
      <c r="E558" s="67" t="str">
        <f>iferror(if(LEFT(VLOOKUP($B558,'Round 2'!$C$2:$J$361,8,false),1)="A","W",if(LEFT(VLOOKUP($B558,'Round 2'!$C$2:$J$361,8,false),1)="B","L","")),if(LEFT(VLOOKUP($B558,'Round 2'!$G$2:$J$361,4,false),1)="b","W",if(LEFT(VLOOKUP($B558,'Round 2'!$G$2:$J$361,4,false),1)="a","L","")))</f>
        <v>W</v>
      </c>
      <c r="F558" s="67" t="str">
        <f>iferror(if(LEFT(VLOOKUP($B558,'Round 3'!$B$2:$H$361,7,false),1)="A","W",if(LEFT(VLOOKUP($B558,'Round 3'!$B$2:$H$361,7,false),1)="B","L","")),if(LEFT(VLOOKUP($B558,'Round 3'!$F$2:$H$361,3,false),1)="b","W",if(LEFT(VLOOKUP($B558,'Round 3'!$F$2:$H$361,3,false),1)="a","L","")))</f>
        <v>W</v>
      </c>
      <c r="G558" s="67" t="str">
        <f>iferror(if(LEFT(VLOOKUP($B558,'Round 4'!$B$2:$H$361,7,false),1)="A","W",if(LEFT(VLOOKUP($B558,'Round 4'!$B$2:$H$361,7,false),1)="B","L","")),if(LEFT(VLOOKUP($B558,'Round 4'!$F$2:$H$361,3,false),1)="b","W",if(LEFT(VLOOKUP($B558,'Round 4'!$F$2:$H$361,3,false),1)="a","L","")))</f>
        <v>L</v>
      </c>
      <c r="H558" s="67" t="str">
        <f>iferror(if(LEFT(VLOOKUP($B558,'Round 5'!$B$2:$H$361,7,false),1)="A","W",if(LEFT(VLOOKUP($B558,'Round 5'!$B$2:$H$361,7,false),1)="B","L","")),if(LEFT(VLOOKUP($B558,'Round 5'!$F$2:$H$361,3,false),1)="b","W",if(LEFT(VLOOKUP($B558,'Round 5'!$F$2:$H$361,3,false),1)="a","L","")))</f>
        <v>L</v>
      </c>
      <c r="I558" s="67" t="str">
        <f>iferror(if(LEFT(VLOOKUP($B558,'Round 6'!$B$2:$H$361,7,false),1)="A","W",if(LEFT(VLOOKUP($B558,'Round 6'!$B$2:$H$361,7,false),1)="B","L","")),if(LEFT(VLOOKUP($B558,'Round 6'!$F$2:$H$361,3,false),1)="b","W",if(LEFT(VLOOKUP($B558,'Round 6'!$F$2:$H$361,3,false),1)="a","L","")))</f>
        <v>W</v>
      </c>
      <c r="J558" s="67" t="str">
        <f>iferror(iferror(if(LEFT(VLOOKUP($B558,'Round 7'!$B$2:$H$361,7,false),1)="A","W",if(LEFT(VLOOKUP($B558,'Round 7'!$B$2:$H$361,7,false),1)="B","L","")),if(LEFT(VLOOKUP($B558,'Round 7'!$F$2:$H$361,3,false),1)="b","W",if(LEFT(VLOOKUP($B558,'Round 7'!$F$2:$H$361,3,false),1)="a","L",""))),"")</f>
        <v>W</v>
      </c>
      <c r="K558" s="68" t="str">
        <f>iferror(iferror(if(LEFT(VLOOKUP($B558,'Round 8'!$B$2:$H$361,7,false),1)="A","W",if(LEFT(VLOOKUP($B558,'Round 8'!$B$2:$H$361,7,false),1)="B","L","")),if(LEFT(VLOOKUP($B558,'Round 8'!$F$2:$H$361,3,false),1)="b","W",if(LEFT(VLOOKUP($B558,'Round 8'!$F$2:$H$361,3,false),1)="a","L",""))),"")</f>
        <v>W</v>
      </c>
      <c r="L558" s="68" t="str">
        <f>iferror(iferror(if(LEFT(VLOOKUP($B558,'Round 9'!$B$2:$H$361,7,false),1)="A","W",if(LEFT(VLOOKUP($B558,'Round 9'!$B$2:$H$361,7,false),1)="B","L","")),if(LEFT(VLOOKUP($B558,'Round 9'!$F$2:$H$361,3,false),1)="b","W",if(LEFT(VLOOKUP($B558,'Round 9'!$F$2:$H$361,3,false),1)="a","L",""))),"")</f>
        <v>L</v>
      </c>
      <c r="M558" s="68" t="str">
        <f>iferror(iferror(if(LEFT(VLOOKUP($B558,'Round 10'!$B$2:$H$362,7,false),1)="A","W",if(LEFT(VLOOKUP($B558,'Round 10'!$B$2:$H$362,7,false),1)="B","L","")),if(LEFT(VLOOKUP($B558,'Round 10'!$F$2:$H$362,3,false),1)="b","W",if(LEFT(VLOOKUP($B558,'Round 10'!$F$2:$H$362,3,false),1)="a","L",""))),"")</f>
        <v/>
      </c>
      <c r="N558" s="62" t="s">
        <v>1167</v>
      </c>
    </row>
    <row r="559">
      <c r="A559" s="63">
        <v>558.0</v>
      </c>
      <c r="B559" s="64" t="s">
        <v>1168</v>
      </c>
      <c r="C559" s="65" t="str">
        <f t="shared" si="1"/>
        <v>5 - 3</v>
      </c>
      <c r="D559" s="67" t="str">
        <f>iferror(if(LEFT(VLOOKUP($B559,'Round 1'!$B$2:$H$361,7,false),1)="A","W",if(LEFT(VLOOKUP($B559,'Round 1'!$B$2:$H$361,7,false),1)="B","L","")),if(LEFT(VLOOKUP($B559,'Round 1'!$F$2:$H$361,3,false),1)="b","W",if(LEFT(VLOOKUP($B559,'Round 1'!$F$2:$H$361,3,false),1)="a","L","")))</f>
        <v>W</v>
      </c>
      <c r="E559" s="67" t="str">
        <f>iferror(if(LEFT(VLOOKUP($B559,'Round 2'!$C$2:$J$361,8,false),1)="A","W",if(LEFT(VLOOKUP($B559,'Round 2'!$C$2:$J$361,8,false),1)="B","L","")),if(LEFT(VLOOKUP($B559,'Round 2'!$G$2:$J$361,4,false),1)="b","W",if(LEFT(VLOOKUP($B559,'Round 2'!$G$2:$J$361,4,false),1)="a","L","")))</f>
        <v>W</v>
      </c>
      <c r="F559" s="67" t="str">
        <f>iferror(if(LEFT(VLOOKUP($B559,'Round 3'!$B$2:$H$361,7,false),1)="A","W",if(LEFT(VLOOKUP($B559,'Round 3'!$B$2:$H$361,7,false),1)="B","L","")),if(LEFT(VLOOKUP($B559,'Round 3'!$F$2:$H$361,3,false),1)="b","W",if(LEFT(VLOOKUP($B559,'Round 3'!$F$2:$H$361,3,false),1)="a","L","")))</f>
        <v>W</v>
      </c>
      <c r="G559" s="67" t="str">
        <f>iferror(if(LEFT(VLOOKUP($B559,'Round 4'!$B$2:$H$361,7,false),1)="A","W",if(LEFT(VLOOKUP($B559,'Round 4'!$B$2:$H$361,7,false),1)="B","L","")),if(LEFT(VLOOKUP($B559,'Round 4'!$F$2:$H$361,3,false),1)="b","W",if(LEFT(VLOOKUP($B559,'Round 4'!$F$2:$H$361,3,false),1)="a","L","")))</f>
        <v>W</v>
      </c>
      <c r="H559" s="67" t="str">
        <f>iferror(if(LEFT(VLOOKUP($B559,'Round 5'!$B$2:$H$361,7,false),1)="A","W",if(LEFT(VLOOKUP($B559,'Round 5'!$B$2:$H$361,7,false),1)="B","L","")),if(LEFT(VLOOKUP($B559,'Round 5'!$F$2:$H$361,3,false),1)="b","W",if(LEFT(VLOOKUP($B559,'Round 5'!$F$2:$H$361,3,false),1)="a","L","")))</f>
        <v>L</v>
      </c>
      <c r="I559" s="67" t="str">
        <f>iferror(if(LEFT(VLOOKUP($B559,'Round 6'!$B$2:$H$361,7,false),1)="A","W",if(LEFT(VLOOKUP($B559,'Round 6'!$B$2:$H$361,7,false),1)="B","L","")),if(LEFT(VLOOKUP($B559,'Round 6'!$F$2:$H$361,3,false),1)="b","W",if(LEFT(VLOOKUP($B559,'Round 6'!$F$2:$H$361,3,false),1)="a","L","")))</f>
        <v>W</v>
      </c>
      <c r="J559" s="67" t="str">
        <f>iferror(iferror(if(LEFT(VLOOKUP($B559,'Round 7'!$B$2:$H$361,7,false),1)="A","W",if(LEFT(VLOOKUP($B559,'Round 7'!$B$2:$H$361,7,false),1)="B","L","")),if(LEFT(VLOOKUP($B559,'Round 7'!$F$2:$H$361,3,false),1)="b","W",if(LEFT(VLOOKUP($B559,'Round 7'!$F$2:$H$361,3,false),1)="a","L",""))),"")</f>
        <v>L</v>
      </c>
      <c r="K559" s="68" t="str">
        <f>iferror(iferror(if(LEFT(VLOOKUP($B559,'Round 8'!$B$2:$H$361,7,false),1)="A","W",if(LEFT(VLOOKUP($B559,'Round 8'!$B$2:$H$361,7,false),1)="B","L","")),if(LEFT(VLOOKUP($B559,'Round 8'!$F$2:$H$361,3,false),1)="b","W",if(LEFT(VLOOKUP($B559,'Round 8'!$F$2:$H$361,3,false),1)="a","L",""))),"")</f>
        <v>L</v>
      </c>
      <c r="L559" s="68" t="str">
        <f>iferror(iferror(if(LEFT(VLOOKUP($B559,'Round 9'!$B$2:$H$361,7,false),1)="A","W",if(LEFT(VLOOKUP($B559,'Round 9'!$B$2:$H$361,7,false),1)="B","L","")),if(LEFT(VLOOKUP($B559,'Round 9'!$F$2:$H$361,3,false),1)="b","W",if(LEFT(VLOOKUP($B559,'Round 9'!$F$2:$H$361,3,false),1)="a","L",""))),"")</f>
        <v/>
      </c>
      <c r="M559" s="68" t="str">
        <f>iferror(iferror(if(LEFT(VLOOKUP($B559,'Round 10'!$B$2:$H$362,7,false),1)="A","W",if(LEFT(VLOOKUP($B559,'Round 10'!$B$2:$H$362,7,false),1)="B","L","")),if(LEFT(VLOOKUP($B559,'Round 10'!$F$2:$H$362,3,false),1)="b","W",if(LEFT(VLOOKUP($B559,'Round 10'!$F$2:$H$362,3,false),1)="a","L",""))),"")</f>
        <v/>
      </c>
      <c r="N559" s="62" t="s">
        <v>1169</v>
      </c>
    </row>
    <row r="560">
      <c r="A560" s="63">
        <v>559.0</v>
      </c>
      <c r="B560" s="64" t="s">
        <v>1170</v>
      </c>
      <c r="C560" s="65" t="str">
        <f t="shared" si="1"/>
        <v>2 - 3</v>
      </c>
      <c r="D560" s="67" t="str">
        <f>iferror(if(LEFT(VLOOKUP($B560,'Round 1'!$B$2:$H$361,7,false),1)="A","W",if(LEFT(VLOOKUP($B560,'Round 1'!$B$2:$H$361,7,false),1)="B","L","")),if(LEFT(VLOOKUP($B560,'Round 1'!$F$2:$H$361,3,false),1)="b","W",if(LEFT(VLOOKUP($B560,'Round 1'!$F$2:$H$361,3,false),1)="a","L","")))</f>
        <v>W</v>
      </c>
      <c r="E560" s="67" t="str">
        <f>iferror(if(LEFT(VLOOKUP($B560,'Round 2'!$C$2:$J$361,8,false),1)="A","W",if(LEFT(VLOOKUP($B560,'Round 2'!$C$2:$J$361,8,false),1)="B","L","")),if(LEFT(VLOOKUP($B560,'Round 2'!$G$2:$J$361,4,false),1)="b","W",if(LEFT(VLOOKUP($B560,'Round 2'!$G$2:$J$361,4,false),1)="a","L","")))</f>
        <v>L</v>
      </c>
      <c r="F560" s="67" t="str">
        <f>iferror(if(LEFT(VLOOKUP($B560,'Round 3'!$B$2:$H$361,7,false),1)="A","W",if(LEFT(VLOOKUP($B560,'Round 3'!$B$2:$H$361,7,false),1)="B","L","")),if(LEFT(VLOOKUP($B560,'Round 3'!$F$2:$H$361,3,false),1)="b","W",if(LEFT(VLOOKUP($B560,'Round 3'!$F$2:$H$361,3,false),1)="a","L","")))</f>
        <v>L</v>
      </c>
      <c r="G560" s="67" t="str">
        <f>iferror(if(LEFT(VLOOKUP($B560,'Round 4'!$B$2:$H$361,7,false),1)="A","W",if(LEFT(VLOOKUP($B560,'Round 4'!$B$2:$H$361,7,false),1)="B","L","")),if(LEFT(VLOOKUP($B560,'Round 4'!$F$2:$H$361,3,false),1)="b","W",if(LEFT(VLOOKUP($B560,'Round 4'!$F$2:$H$361,3,false),1)="a","L","")))</f>
        <v>W</v>
      </c>
      <c r="H560" s="67" t="str">
        <f>iferror(if(LEFT(VLOOKUP($B560,'Round 5'!$B$2:$H$361,7,false),1)="A","W",if(LEFT(VLOOKUP($B560,'Round 5'!$B$2:$H$361,7,false),1)="B","L","")),if(LEFT(VLOOKUP($B560,'Round 5'!$F$2:$H$361,3,false),1)="b","W",if(LEFT(VLOOKUP($B560,'Round 5'!$F$2:$H$361,3,false),1)="a","L","")))</f>
        <v>L</v>
      </c>
      <c r="I560" s="67"/>
      <c r="J560" s="67" t="str">
        <f>iferror(iferror(if(LEFT(VLOOKUP($B560,'Round 7'!$B$2:$H$361,7,false),1)="A","W",if(LEFT(VLOOKUP($B560,'Round 7'!$B$2:$H$361,7,false),1)="B","L","")),if(LEFT(VLOOKUP($B560,'Round 7'!$F$2:$H$361,3,false),1)="b","W",if(LEFT(VLOOKUP($B560,'Round 7'!$F$2:$H$361,3,false),1)="a","L",""))),"")</f>
        <v/>
      </c>
      <c r="K560" s="68" t="str">
        <f>iferror(iferror(if(LEFT(VLOOKUP($B560,'Round 8'!$B$2:$H$361,7,false),1)="A","W",if(LEFT(VLOOKUP($B560,'Round 8'!$B$2:$H$361,7,false),1)="B","L","")),if(LEFT(VLOOKUP($B560,'Round 8'!$F$2:$H$361,3,false),1)="b","W",if(LEFT(VLOOKUP($B560,'Round 8'!$F$2:$H$361,3,false),1)="a","L",""))),"")</f>
        <v/>
      </c>
      <c r="L560" s="68" t="str">
        <f>iferror(iferror(if(LEFT(VLOOKUP($B560,'Round 9'!$B$2:$H$361,7,false),1)="A","W",if(LEFT(VLOOKUP($B560,'Round 9'!$B$2:$H$361,7,false),1)="B","L","")),if(LEFT(VLOOKUP($B560,'Round 9'!$F$2:$H$361,3,false),1)="b","W",if(LEFT(VLOOKUP($B560,'Round 9'!$F$2:$H$361,3,false),1)="a","L",""))),"")</f>
        <v/>
      </c>
      <c r="M560" s="68" t="str">
        <f>iferror(iferror(if(LEFT(VLOOKUP($B560,'Round 10'!$B$2:$H$362,7,false),1)="A","W",if(LEFT(VLOOKUP($B560,'Round 10'!$B$2:$H$362,7,false),1)="B","L","")),if(LEFT(VLOOKUP($B560,'Round 10'!$F$2:$H$362,3,false),1)="b","W",if(LEFT(VLOOKUP($B560,'Round 10'!$F$2:$H$362,3,false),1)="a","L",""))),"")</f>
        <v/>
      </c>
      <c r="N560" s="62" t="s">
        <v>1171</v>
      </c>
    </row>
    <row r="561">
      <c r="A561" s="63">
        <v>560.0</v>
      </c>
      <c r="B561" s="64" t="s">
        <v>1172</v>
      </c>
      <c r="C561" s="65" t="str">
        <f t="shared" si="1"/>
        <v>2 - 3</v>
      </c>
      <c r="D561" s="67" t="str">
        <f>iferror(if(LEFT(VLOOKUP($B561,'Round 1'!$B$2:$H$361,7,false),1)="A","W",if(LEFT(VLOOKUP($B561,'Round 1'!$B$2:$H$361,7,false),1)="B","L","")),if(LEFT(VLOOKUP($B561,'Round 1'!$F$2:$H$361,3,false),1)="b","W",if(LEFT(VLOOKUP($B561,'Round 1'!$F$2:$H$361,3,false),1)="a","L","")))</f>
        <v>W</v>
      </c>
      <c r="E561" s="67" t="str">
        <f>iferror(if(LEFT(VLOOKUP($B561,'Round 2'!$C$2:$J$361,8,false),1)="A","W",if(LEFT(VLOOKUP($B561,'Round 2'!$C$2:$J$361,8,false),1)="B","L","")),if(LEFT(VLOOKUP($B561,'Round 2'!$G$2:$J$361,4,false),1)="b","W",if(LEFT(VLOOKUP($B561,'Round 2'!$G$2:$J$361,4,false),1)="a","L","")))</f>
        <v>L</v>
      </c>
      <c r="F561" s="67" t="str">
        <f>iferror(if(LEFT(VLOOKUP($B561,'Round 3'!$B$2:$H$361,7,false),1)="A","W",if(LEFT(VLOOKUP($B561,'Round 3'!$B$2:$H$361,7,false),1)="B","L","")),if(LEFT(VLOOKUP($B561,'Round 3'!$F$2:$H$361,3,false),1)="b","W",if(LEFT(VLOOKUP($B561,'Round 3'!$F$2:$H$361,3,false),1)="a","L","")))</f>
        <v>W</v>
      </c>
      <c r="G561" s="67" t="str">
        <f>iferror(if(LEFT(VLOOKUP($B561,'Round 4'!$B$2:$H$361,7,false),1)="A","W",if(LEFT(VLOOKUP($B561,'Round 4'!$B$2:$H$361,7,false),1)="B","L","")),if(LEFT(VLOOKUP($B561,'Round 4'!$F$2:$H$361,3,false),1)="b","W",if(LEFT(VLOOKUP($B561,'Round 4'!$F$2:$H$361,3,false),1)="a","L","")))</f>
        <v>L</v>
      </c>
      <c r="H561" s="67" t="str">
        <f>iferror(if(LEFT(VLOOKUP($B561,'Round 5'!$B$2:$H$361,7,false),1)="A","W",if(LEFT(VLOOKUP($B561,'Round 5'!$B$2:$H$361,7,false),1)="B","L","")),if(LEFT(VLOOKUP($B561,'Round 5'!$F$2:$H$361,3,false),1)="b","W",if(LEFT(VLOOKUP($B561,'Round 5'!$F$2:$H$361,3,false),1)="a","L","")))</f>
        <v>L</v>
      </c>
      <c r="I561" s="67"/>
      <c r="J561" s="67" t="str">
        <f>iferror(iferror(if(LEFT(VLOOKUP($B561,'Round 7'!$B$2:$H$361,7,false),1)="A","W",if(LEFT(VLOOKUP($B561,'Round 7'!$B$2:$H$361,7,false),1)="B","L","")),if(LEFT(VLOOKUP($B561,'Round 7'!$F$2:$H$361,3,false),1)="b","W",if(LEFT(VLOOKUP($B561,'Round 7'!$F$2:$H$361,3,false),1)="a","L",""))),"")</f>
        <v/>
      </c>
      <c r="K561" s="68" t="str">
        <f>iferror(iferror(if(LEFT(VLOOKUP($B561,'Round 8'!$B$2:$H$361,7,false),1)="A","W",if(LEFT(VLOOKUP($B561,'Round 8'!$B$2:$H$361,7,false),1)="B","L","")),if(LEFT(VLOOKUP($B561,'Round 8'!$F$2:$H$361,3,false),1)="b","W",if(LEFT(VLOOKUP($B561,'Round 8'!$F$2:$H$361,3,false),1)="a","L",""))),"")</f>
        <v/>
      </c>
      <c r="L561" s="68" t="str">
        <f>iferror(iferror(if(LEFT(VLOOKUP($B561,'Round 9'!$B$2:$H$361,7,false),1)="A","W",if(LEFT(VLOOKUP($B561,'Round 9'!$B$2:$H$361,7,false),1)="B","L","")),if(LEFT(VLOOKUP($B561,'Round 9'!$F$2:$H$361,3,false),1)="b","W",if(LEFT(VLOOKUP($B561,'Round 9'!$F$2:$H$361,3,false),1)="a","L",""))),"")</f>
        <v/>
      </c>
      <c r="M561" s="68" t="str">
        <f>iferror(iferror(if(LEFT(VLOOKUP($B561,'Round 10'!$B$2:$H$362,7,false),1)="A","W",if(LEFT(VLOOKUP($B561,'Round 10'!$B$2:$H$362,7,false),1)="B","L","")),if(LEFT(VLOOKUP($B561,'Round 10'!$F$2:$H$362,3,false),1)="b","W",if(LEFT(VLOOKUP($B561,'Round 10'!$F$2:$H$362,3,false),1)="a","L",""))),"")</f>
        <v/>
      </c>
      <c r="N561" s="62" t="s">
        <v>1173</v>
      </c>
    </row>
    <row r="562">
      <c r="A562" s="63">
        <v>561.0</v>
      </c>
      <c r="B562" s="73" t="s">
        <v>1174</v>
      </c>
      <c r="C562" s="65" t="str">
        <f t="shared" si="1"/>
        <v>2 - 3</v>
      </c>
      <c r="D562" s="67" t="str">
        <f>iferror(if(LEFT(VLOOKUP($B562,'Round 1'!$B$2:$H$361,7,false),1)="A","W",if(LEFT(VLOOKUP($B562,'Round 1'!$B$2:$H$361,7,false),1)="B","L","")),if(LEFT(VLOOKUP($B562,'Round 1'!$F$2:$H$361,3,false),1)="b","W",if(LEFT(VLOOKUP($B562,'Round 1'!$F$2:$H$361,3,false),1)="a","L","")))</f>
        <v>L</v>
      </c>
      <c r="E562" s="67" t="str">
        <f>iferror(if(LEFT(VLOOKUP($B562,'Round 2'!$C$2:$J$361,8,false),1)="A","W",if(LEFT(VLOOKUP($B562,'Round 2'!$C$2:$J$361,8,false),1)="B","L","")),if(LEFT(VLOOKUP($B562,'Round 2'!$G$2:$J$361,4,false),1)="b","W",if(LEFT(VLOOKUP($B562,'Round 2'!$G$2:$J$361,4,false),1)="a","L","")))</f>
        <v>W</v>
      </c>
      <c r="F562" s="67" t="str">
        <f>iferror(if(LEFT(VLOOKUP($B562,'Round 3'!$B$2:$H$361,7,false),1)="A","W",if(LEFT(VLOOKUP($B562,'Round 3'!$B$2:$H$361,7,false),1)="B","L","")),if(LEFT(VLOOKUP($B562,'Round 3'!$F$2:$H$361,3,false),1)="b","W",if(LEFT(VLOOKUP($B562,'Round 3'!$F$2:$H$361,3,false),1)="a","L","")))</f>
        <v>L</v>
      </c>
      <c r="G562" s="67" t="str">
        <f>iferror(if(LEFT(VLOOKUP($B562,'Round 4'!$B$2:$H$361,7,false),1)="A","W",if(LEFT(VLOOKUP($B562,'Round 4'!$B$2:$H$361,7,false),1)="B","L","")),if(LEFT(VLOOKUP($B562,'Round 4'!$F$2:$H$361,3,false),1)="b","W",if(LEFT(VLOOKUP($B562,'Round 4'!$F$2:$H$361,3,false),1)="a","L","")))</f>
        <v>W</v>
      </c>
      <c r="H562" s="67" t="str">
        <f>iferror(if(LEFT(VLOOKUP($B562,'Round 5'!$B$2:$H$361,7,false),1)="A","W",if(LEFT(VLOOKUP($B562,'Round 5'!$B$2:$H$361,7,false),1)="B","L","")),if(LEFT(VLOOKUP($B562,'Round 5'!$F$2:$H$361,3,false),1)="b","W",if(LEFT(VLOOKUP($B562,'Round 5'!$F$2:$H$361,3,false),1)="a","L","")))</f>
        <v>L</v>
      </c>
      <c r="I562" s="67"/>
      <c r="J562" s="67" t="str">
        <f>iferror(iferror(if(LEFT(VLOOKUP($B562,'Round 7'!$B$2:$H$361,7,false),1)="A","W",if(LEFT(VLOOKUP($B562,'Round 7'!$B$2:$H$361,7,false),1)="B","L","")),if(LEFT(VLOOKUP($B562,'Round 7'!$F$2:$H$361,3,false),1)="b","W",if(LEFT(VLOOKUP($B562,'Round 7'!$F$2:$H$361,3,false),1)="a","L",""))),"")</f>
        <v/>
      </c>
      <c r="K562" s="68" t="str">
        <f>iferror(iferror(if(LEFT(VLOOKUP($B562,'Round 8'!$B$2:$H$361,7,false),1)="A","W",if(LEFT(VLOOKUP($B562,'Round 8'!$B$2:$H$361,7,false),1)="B","L","")),if(LEFT(VLOOKUP($B562,'Round 8'!$F$2:$H$361,3,false),1)="b","W",if(LEFT(VLOOKUP($B562,'Round 8'!$F$2:$H$361,3,false),1)="a","L",""))),"")</f>
        <v/>
      </c>
      <c r="L562" s="68" t="str">
        <f>iferror(iferror(if(LEFT(VLOOKUP($B562,'Round 9'!$B$2:$H$361,7,false),1)="A","W",if(LEFT(VLOOKUP($B562,'Round 9'!$B$2:$H$361,7,false),1)="B","L","")),if(LEFT(VLOOKUP($B562,'Round 9'!$F$2:$H$361,3,false),1)="b","W",if(LEFT(VLOOKUP($B562,'Round 9'!$F$2:$H$361,3,false),1)="a","L",""))),"")</f>
        <v/>
      </c>
      <c r="M562" s="68" t="str">
        <f>iferror(iferror(if(LEFT(VLOOKUP($B562,'Round 10'!$B$2:$H$362,7,false),1)="A","W",if(LEFT(VLOOKUP($B562,'Round 10'!$B$2:$H$362,7,false),1)="B","L","")),if(LEFT(VLOOKUP($B562,'Round 10'!$F$2:$H$362,3,false),1)="b","W",if(LEFT(VLOOKUP($B562,'Round 10'!$F$2:$H$362,3,false),1)="a","L",""))),"")</f>
        <v/>
      </c>
      <c r="N562" s="62" t="s">
        <v>1175</v>
      </c>
    </row>
    <row r="563">
      <c r="A563" s="63">
        <v>562.0</v>
      </c>
      <c r="B563" s="64" t="s">
        <v>1176</v>
      </c>
      <c r="C563" s="65" t="str">
        <f t="shared" si="1"/>
        <v>0 - 3</v>
      </c>
      <c r="D563" s="67" t="str">
        <f>iferror(if(LEFT(VLOOKUP($B563,'Round 1'!$B$2:$H$361,7,false),1)="A","W",if(LEFT(VLOOKUP($B563,'Round 1'!$B$2:$H$361,7,false),1)="B","L","")),if(LEFT(VLOOKUP($B563,'Round 1'!$F$2:$H$361,3,false),1)="b","W",if(LEFT(VLOOKUP($B563,'Round 1'!$F$2:$H$361,3,false),1)="a","L","")))</f>
        <v>L</v>
      </c>
      <c r="E563" s="67" t="str">
        <f>iferror(if(LEFT(VLOOKUP($B563,'Round 2'!$C$2:$J$361,8,false),1)="A","W",if(LEFT(VLOOKUP($B563,'Round 2'!$C$2:$J$361,8,false),1)="B","L","")),if(LEFT(VLOOKUP($B563,'Round 2'!$G$2:$J$361,4,false),1)="b","W",if(LEFT(VLOOKUP($B563,'Round 2'!$G$2:$J$361,4,false),1)="a","L","")))</f>
        <v>L</v>
      </c>
      <c r="F563" s="67" t="str">
        <f>iferror(if(LEFT(VLOOKUP($B563,'Round 3'!$B$2:$H$361,7,false),1)="A","W",if(LEFT(VLOOKUP($B563,'Round 3'!$B$2:$H$361,7,false),1)="B","L","")),if(LEFT(VLOOKUP($B563,'Round 3'!$F$2:$H$361,3,false),1)="b","W",if(LEFT(VLOOKUP($B563,'Round 3'!$F$2:$H$361,3,false),1)="a","L","")))</f>
        <v>L</v>
      </c>
      <c r="G563" s="67"/>
      <c r="H563" s="67"/>
      <c r="I563" s="67"/>
      <c r="J563" s="67" t="str">
        <f>iferror(iferror(if(LEFT(VLOOKUP($B563,'Round 7'!$B$2:$H$361,7,false),1)="A","W",if(LEFT(VLOOKUP($B563,'Round 7'!$B$2:$H$361,7,false),1)="B","L","")),if(LEFT(VLOOKUP($B563,'Round 7'!$F$2:$H$361,3,false),1)="b","W",if(LEFT(VLOOKUP($B563,'Round 7'!$F$2:$H$361,3,false),1)="a","L",""))),"")</f>
        <v/>
      </c>
      <c r="K563" s="68" t="str">
        <f>iferror(iferror(if(LEFT(VLOOKUP($B563,'Round 8'!$B$2:$H$361,7,false),1)="A","W",if(LEFT(VLOOKUP($B563,'Round 8'!$B$2:$H$361,7,false),1)="B","L","")),if(LEFT(VLOOKUP($B563,'Round 8'!$F$2:$H$361,3,false),1)="b","W",if(LEFT(VLOOKUP($B563,'Round 8'!$F$2:$H$361,3,false),1)="a","L",""))),"")</f>
        <v/>
      </c>
      <c r="L563" s="68" t="str">
        <f>iferror(iferror(if(LEFT(VLOOKUP($B563,'Round 9'!$B$2:$H$361,7,false),1)="A","W",if(LEFT(VLOOKUP($B563,'Round 9'!$B$2:$H$361,7,false),1)="B","L","")),if(LEFT(VLOOKUP($B563,'Round 9'!$F$2:$H$361,3,false),1)="b","W",if(LEFT(VLOOKUP($B563,'Round 9'!$F$2:$H$361,3,false),1)="a","L",""))),"")</f>
        <v/>
      </c>
      <c r="M563" s="68" t="str">
        <f>iferror(iferror(if(LEFT(VLOOKUP($B563,'Round 10'!$B$2:$H$362,7,false),1)="A","W",if(LEFT(VLOOKUP($B563,'Round 10'!$B$2:$H$362,7,false),1)="B","L","")),if(LEFT(VLOOKUP($B563,'Round 10'!$F$2:$H$362,3,false),1)="b","W",if(LEFT(VLOOKUP($B563,'Round 10'!$F$2:$H$362,3,false),1)="a","L",""))),"")</f>
        <v/>
      </c>
      <c r="N563" s="62" t="s">
        <v>144</v>
      </c>
    </row>
    <row r="564">
      <c r="A564" s="63">
        <v>563.0</v>
      </c>
      <c r="B564" s="64" t="s">
        <v>1177</v>
      </c>
      <c r="C564" s="65" t="str">
        <f t="shared" si="1"/>
        <v>6 - 3</v>
      </c>
      <c r="D564" s="67" t="str">
        <f>iferror(if(LEFT(VLOOKUP($B564,'Round 1'!$B$2:$H$361,7,false),1)="A","W",if(LEFT(VLOOKUP($B564,'Round 1'!$B$2:$H$361,7,false),1)="B","L","")),if(LEFT(VLOOKUP($B564,'Round 1'!$F$2:$H$361,3,false),1)="b","W",if(LEFT(VLOOKUP($B564,'Round 1'!$F$2:$H$361,3,false),1)="a","L","")))</f>
        <v>W</v>
      </c>
      <c r="E564" s="67" t="str">
        <f>iferror(if(LEFT(VLOOKUP($B564,'Round 2'!$C$2:$J$361,8,false),1)="A","W",if(LEFT(VLOOKUP($B564,'Round 2'!$C$2:$J$361,8,false),1)="B","L","")),if(LEFT(VLOOKUP($B564,'Round 2'!$G$2:$J$361,4,false),1)="b","W",if(LEFT(VLOOKUP($B564,'Round 2'!$G$2:$J$361,4,false),1)="a","L","")))</f>
        <v>W</v>
      </c>
      <c r="F564" s="67" t="str">
        <f>iferror(if(LEFT(VLOOKUP($B564,'Round 3'!$B$2:$H$361,7,false),1)="A","W",if(LEFT(VLOOKUP($B564,'Round 3'!$B$2:$H$361,7,false),1)="B","L","")),if(LEFT(VLOOKUP($B564,'Round 3'!$F$2:$H$361,3,false),1)="b","W",if(LEFT(VLOOKUP($B564,'Round 3'!$F$2:$H$361,3,false),1)="a","L","")))</f>
        <v>L</v>
      </c>
      <c r="G564" s="67" t="str">
        <f>iferror(if(LEFT(VLOOKUP($B564,'Round 4'!$B$2:$H$361,7,false),1)="A","W",if(LEFT(VLOOKUP($B564,'Round 4'!$B$2:$H$361,7,false),1)="B","L","")),if(LEFT(VLOOKUP($B564,'Round 4'!$F$2:$H$361,3,false),1)="b","W",if(LEFT(VLOOKUP($B564,'Round 4'!$F$2:$H$361,3,false),1)="a","L","")))</f>
        <v>L</v>
      </c>
      <c r="H564" s="67" t="str">
        <f>iferror(if(LEFT(VLOOKUP($B564,'Round 5'!$B$2:$H$361,7,false),1)="A","W",if(LEFT(VLOOKUP($B564,'Round 5'!$B$2:$H$361,7,false),1)="B","L","")),if(LEFT(VLOOKUP($B564,'Round 5'!$F$2:$H$361,3,false),1)="b","W",if(LEFT(VLOOKUP($B564,'Round 5'!$F$2:$H$361,3,false),1)="a","L","")))</f>
        <v>W</v>
      </c>
      <c r="I564" s="67" t="str">
        <f>iferror(if(LEFT(VLOOKUP($B564,'Round 6'!$B$2:$H$361,7,false),1)="A","W",if(LEFT(VLOOKUP($B564,'Round 6'!$B$2:$H$361,7,false),1)="B","L","")),if(LEFT(VLOOKUP($B564,'Round 6'!$F$2:$H$361,3,false),1)="b","W",if(LEFT(VLOOKUP($B564,'Round 6'!$F$2:$H$361,3,false),1)="a","L","")))</f>
        <v>W</v>
      </c>
      <c r="J564" s="67" t="str">
        <f>iferror(iferror(if(LEFT(VLOOKUP($B564,'Round 7'!$B$2:$H$361,7,false),1)="A","W",if(LEFT(VLOOKUP($B564,'Round 7'!$B$2:$H$361,7,false),1)="B","L","")),if(LEFT(VLOOKUP($B564,'Round 7'!$F$2:$H$361,3,false),1)="b","W",if(LEFT(VLOOKUP($B564,'Round 7'!$F$2:$H$361,3,false),1)="a","L",""))),"")</f>
        <v>W</v>
      </c>
      <c r="K564" s="68" t="str">
        <f>iferror(iferror(if(LEFT(VLOOKUP($B564,'Round 8'!$B$2:$H$361,7,false),1)="A","W",if(LEFT(VLOOKUP($B564,'Round 8'!$B$2:$H$361,7,false),1)="B","L","")),if(LEFT(VLOOKUP($B564,'Round 8'!$F$2:$H$361,3,false),1)="b","W",if(LEFT(VLOOKUP($B564,'Round 8'!$F$2:$H$361,3,false),1)="a","L",""))),"")</f>
        <v>W</v>
      </c>
      <c r="L564" s="68" t="str">
        <f>iferror(iferror(if(LEFT(VLOOKUP($B564,'Round 9'!$B$2:$H$361,7,false),1)="A","W",if(LEFT(VLOOKUP($B564,'Round 9'!$B$2:$H$361,7,false),1)="B","L","")),if(LEFT(VLOOKUP($B564,'Round 9'!$F$2:$H$361,3,false),1)="b","W",if(LEFT(VLOOKUP($B564,'Round 9'!$F$2:$H$361,3,false),1)="a","L",""))),"")</f>
        <v>L</v>
      </c>
      <c r="M564" s="68" t="str">
        <f>iferror(iferror(if(LEFT(VLOOKUP($B564,'Round 10'!$B$2:$H$362,7,false),1)="A","W",if(LEFT(VLOOKUP($B564,'Round 10'!$B$2:$H$362,7,false),1)="B","L","")),if(LEFT(VLOOKUP($B564,'Round 10'!$F$2:$H$362,3,false),1)="b","W",if(LEFT(VLOOKUP($B564,'Round 10'!$F$2:$H$362,3,false),1)="a","L",""))),"")</f>
        <v/>
      </c>
      <c r="N564" s="62" t="s">
        <v>1178</v>
      </c>
    </row>
    <row r="565">
      <c r="A565" s="63">
        <v>564.0</v>
      </c>
      <c r="B565" s="64" t="s">
        <v>1179</v>
      </c>
      <c r="C565" s="65" t="str">
        <f t="shared" si="1"/>
        <v>4 - 3</v>
      </c>
      <c r="D565" s="67" t="str">
        <f>iferror(if(LEFT(VLOOKUP($B565,'Round 1'!$B$2:$H$361,7,false),1)="A","W",if(LEFT(VLOOKUP($B565,'Round 1'!$B$2:$H$361,7,false),1)="B","L","")),if(LEFT(VLOOKUP($B565,'Round 1'!$F$2:$H$361,3,false),1)="b","W",if(LEFT(VLOOKUP($B565,'Round 1'!$F$2:$H$361,3,false),1)="a","L","")))</f>
        <v>W</v>
      </c>
      <c r="E565" s="67" t="str">
        <f>iferror(if(LEFT(VLOOKUP($B565,'Round 2'!$C$2:$J$361,8,false),1)="A","W",if(LEFT(VLOOKUP($B565,'Round 2'!$C$2:$J$361,8,false),1)="B","L","")),if(LEFT(VLOOKUP($B565,'Round 2'!$G$2:$J$361,4,false),1)="b","W",if(LEFT(VLOOKUP($B565,'Round 2'!$G$2:$J$361,4,false),1)="a","L","")))</f>
        <v>W</v>
      </c>
      <c r="F565" s="67" t="str">
        <f>iferror(if(LEFT(VLOOKUP($B565,'Round 3'!$B$2:$H$361,7,false),1)="A","W",if(LEFT(VLOOKUP($B565,'Round 3'!$B$2:$H$361,7,false),1)="B","L","")),if(LEFT(VLOOKUP($B565,'Round 3'!$F$2:$H$361,3,false),1)="b","W",if(LEFT(VLOOKUP($B565,'Round 3'!$F$2:$H$361,3,false),1)="a","L","")))</f>
        <v>L</v>
      </c>
      <c r="G565" s="67" t="str">
        <f>iferror(if(LEFT(VLOOKUP($B565,'Round 4'!$B$2:$H$361,7,false),1)="A","W",if(LEFT(VLOOKUP($B565,'Round 4'!$B$2:$H$361,7,false),1)="B","L","")),if(LEFT(VLOOKUP($B565,'Round 4'!$F$2:$H$361,3,false),1)="b","W",if(LEFT(VLOOKUP($B565,'Round 4'!$F$2:$H$361,3,false),1)="a","L","")))</f>
        <v>W</v>
      </c>
      <c r="H565" s="67" t="str">
        <f>iferror(if(LEFT(VLOOKUP($B565,'Round 5'!$B$2:$H$361,7,false),1)="A","W",if(LEFT(VLOOKUP($B565,'Round 5'!$B$2:$H$361,7,false),1)="B","L","")),if(LEFT(VLOOKUP($B565,'Round 5'!$F$2:$H$361,3,false),1)="b","W",if(LEFT(VLOOKUP($B565,'Round 5'!$F$2:$H$361,3,false),1)="a","L","")))</f>
        <v>W</v>
      </c>
      <c r="I565" s="67" t="str">
        <f>iferror(if(LEFT(VLOOKUP($B565,'Round 6'!$B$2:$H$361,7,false),1)="A","W",if(LEFT(VLOOKUP($B565,'Round 6'!$B$2:$H$361,7,false),1)="B","L","")),if(LEFT(VLOOKUP($B565,'Round 6'!$F$2:$H$361,3,false),1)="b","W",if(LEFT(VLOOKUP($B565,'Round 6'!$F$2:$H$361,3,false),1)="a","L","")))</f>
        <v>L</v>
      </c>
      <c r="J565" s="67" t="str">
        <f>iferror(iferror(if(LEFT(VLOOKUP($B565,'Round 7'!$B$2:$H$361,7,false),1)="A","W",if(LEFT(VLOOKUP($B565,'Round 7'!$B$2:$H$361,7,false),1)="B","L","")),if(LEFT(VLOOKUP($B565,'Round 7'!$F$2:$H$361,3,false),1)="b","W",if(LEFT(VLOOKUP($B565,'Round 7'!$F$2:$H$361,3,false),1)="a","L",""))),"")</f>
        <v>L</v>
      </c>
      <c r="K565" s="68" t="str">
        <f>iferror(iferror(if(LEFT(VLOOKUP($B565,'Round 8'!$B$2:$H$361,7,false),1)="A","W",if(LEFT(VLOOKUP($B565,'Round 8'!$B$2:$H$361,7,false),1)="B","L","")),if(LEFT(VLOOKUP($B565,'Round 8'!$F$2:$H$361,3,false),1)="b","W",if(LEFT(VLOOKUP($B565,'Round 8'!$F$2:$H$361,3,false),1)="a","L",""))),"")</f>
        <v/>
      </c>
      <c r="L565" s="68" t="str">
        <f>iferror(iferror(if(LEFT(VLOOKUP($B565,'Round 9'!$B$2:$H$361,7,false),1)="A","W",if(LEFT(VLOOKUP($B565,'Round 9'!$B$2:$H$361,7,false),1)="B","L","")),if(LEFT(VLOOKUP($B565,'Round 9'!$F$2:$H$361,3,false),1)="b","W",if(LEFT(VLOOKUP($B565,'Round 9'!$F$2:$H$361,3,false),1)="a","L",""))),"")</f>
        <v/>
      </c>
      <c r="M565" s="68" t="str">
        <f>iferror(iferror(if(LEFT(VLOOKUP($B565,'Round 10'!$B$2:$H$362,7,false),1)="A","W",if(LEFT(VLOOKUP($B565,'Round 10'!$B$2:$H$362,7,false),1)="B","L","")),if(LEFT(VLOOKUP($B565,'Round 10'!$F$2:$H$362,3,false),1)="b","W",if(LEFT(VLOOKUP($B565,'Round 10'!$F$2:$H$362,3,false),1)="a","L",""))),"")</f>
        <v/>
      </c>
      <c r="N565" s="62" t="s">
        <v>1180</v>
      </c>
    </row>
    <row r="566">
      <c r="A566" s="63">
        <v>565.0</v>
      </c>
      <c r="B566" s="64" t="s">
        <v>1181</v>
      </c>
      <c r="C566" s="65" t="str">
        <f t="shared" si="1"/>
        <v>0 - 3</v>
      </c>
      <c r="D566" s="67" t="str">
        <f>iferror(if(LEFT(VLOOKUP($B566,'Round 1'!$B$2:$H$361,7,false),1)="A","W",if(LEFT(VLOOKUP($B566,'Round 1'!$B$2:$H$361,7,false),1)="B","L","")),if(LEFT(VLOOKUP($B566,'Round 1'!$F$2:$H$361,3,false),1)="b","W",if(LEFT(VLOOKUP($B566,'Round 1'!$F$2:$H$361,3,false),1)="a","L","")))</f>
        <v>L</v>
      </c>
      <c r="E566" s="67" t="str">
        <f>iferror(if(LEFT(VLOOKUP($B566,'Round 2'!$C$2:$J$361,8,false),1)="A","W",if(LEFT(VLOOKUP($B566,'Round 2'!$C$2:$J$361,8,false),1)="B","L","")),if(LEFT(VLOOKUP($B566,'Round 2'!$G$2:$J$361,4,false),1)="b","W",if(LEFT(VLOOKUP($B566,'Round 2'!$G$2:$J$361,4,false),1)="a","L","")))</f>
        <v>L</v>
      </c>
      <c r="F566" s="67" t="str">
        <f>iferror(if(LEFT(VLOOKUP($B566,'Round 3'!$B$2:$H$361,7,false),1)="A","W",if(LEFT(VLOOKUP($B566,'Round 3'!$B$2:$H$361,7,false),1)="B","L","")),if(LEFT(VLOOKUP($B566,'Round 3'!$F$2:$H$361,3,false),1)="b","W",if(LEFT(VLOOKUP($B566,'Round 3'!$F$2:$H$361,3,false),1)="a","L","")))</f>
        <v>L</v>
      </c>
      <c r="G566" s="67"/>
      <c r="H566" s="67"/>
      <c r="I566" s="67"/>
      <c r="J566" s="67" t="str">
        <f>iferror(iferror(if(LEFT(VLOOKUP($B566,'Round 7'!$B$2:$H$361,7,false),1)="A","W",if(LEFT(VLOOKUP($B566,'Round 7'!$B$2:$H$361,7,false),1)="B","L","")),if(LEFT(VLOOKUP($B566,'Round 7'!$F$2:$H$361,3,false),1)="b","W",if(LEFT(VLOOKUP($B566,'Round 7'!$F$2:$H$361,3,false),1)="a","L",""))),"")</f>
        <v/>
      </c>
      <c r="K566" s="68" t="str">
        <f>iferror(iferror(if(LEFT(VLOOKUP($B566,'Round 8'!$B$2:$H$361,7,false),1)="A","W",if(LEFT(VLOOKUP($B566,'Round 8'!$B$2:$H$361,7,false),1)="B","L","")),if(LEFT(VLOOKUP($B566,'Round 8'!$F$2:$H$361,3,false),1)="b","W",if(LEFT(VLOOKUP($B566,'Round 8'!$F$2:$H$361,3,false),1)="a","L",""))),"")</f>
        <v/>
      </c>
      <c r="L566" s="68" t="str">
        <f>iferror(iferror(if(LEFT(VLOOKUP($B566,'Round 9'!$B$2:$H$361,7,false),1)="A","W",if(LEFT(VLOOKUP($B566,'Round 9'!$B$2:$H$361,7,false),1)="B","L","")),if(LEFT(VLOOKUP($B566,'Round 9'!$F$2:$H$361,3,false),1)="b","W",if(LEFT(VLOOKUP($B566,'Round 9'!$F$2:$H$361,3,false),1)="a","L",""))),"")</f>
        <v/>
      </c>
      <c r="M566" s="68" t="str">
        <f>iferror(iferror(if(LEFT(VLOOKUP($B566,'Round 10'!$B$2:$H$362,7,false),1)="A","W",if(LEFT(VLOOKUP($B566,'Round 10'!$B$2:$H$362,7,false),1)="B","L","")),if(LEFT(VLOOKUP($B566,'Round 10'!$F$2:$H$362,3,false),1)="b","W",if(LEFT(VLOOKUP($B566,'Round 10'!$F$2:$H$362,3,false),1)="a","L",""))),"")</f>
        <v/>
      </c>
      <c r="N566" s="72" t="s">
        <v>144</v>
      </c>
    </row>
    <row r="567">
      <c r="A567" s="63">
        <v>566.0</v>
      </c>
      <c r="B567" s="64" t="s">
        <v>1182</v>
      </c>
      <c r="C567" s="65" t="str">
        <f t="shared" si="1"/>
        <v>5 - 3</v>
      </c>
      <c r="D567" s="67" t="str">
        <f>iferror(if(LEFT(VLOOKUP($B567,'Round 1'!$B$2:$H$361,7,false),1)="A","W",if(LEFT(VLOOKUP($B567,'Round 1'!$B$2:$H$361,7,false),1)="B","L","")),if(LEFT(VLOOKUP($B567,'Round 1'!$F$2:$H$361,3,false),1)="b","W",if(LEFT(VLOOKUP($B567,'Round 1'!$F$2:$H$361,3,false),1)="a","L","")))</f>
        <v>L</v>
      </c>
      <c r="E567" s="67" t="str">
        <f>iferror(if(LEFT(VLOOKUP($B567,'Round 2'!$C$2:$J$361,8,false),1)="A","W",if(LEFT(VLOOKUP($B567,'Round 2'!$C$2:$J$361,8,false),1)="B","L","")),if(LEFT(VLOOKUP($B567,'Round 2'!$G$2:$J$361,4,false),1)="b","W",if(LEFT(VLOOKUP($B567,'Round 2'!$G$2:$J$361,4,false),1)="a","L","")))</f>
        <v>W</v>
      </c>
      <c r="F567" s="67" t="str">
        <f>iferror(if(LEFT(VLOOKUP($B567,'Round 3'!$B$2:$H$361,7,false),1)="A","W",if(LEFT(VLOOKUP($B567,'Round 3'!$B$2:$H$361,7,false),1)="B","L","")),if(LEFT(VLOOKUP($B567,'Round 3'!$F$2:$H$361,3,false),1)="b","W",if(LEFT(VLOOKUP($B567,'Round 3'!$F$2:$H$361,3,false),1)="a","L","")))</f>
        <v>W</v>
      </c>
      <c r="G567" s="67" t="str">
        <f>iferror(if(LEFT(VLOOKUP($B567,'Round 4'!$B$2:$H$361,7,false),1)="A","W",if(LEFT(VLOOKUP($B567,'Round 4'!$B$2:$H$361,7,false),1)="B","L","")),if(LEFT(VLOOKUP($B567,'Round 4'!$F$2:$H$361,3,false),1)="b","W",if(LEFT(VLOOKUP($B567,'Round 4'!$F$2:$H$361,3,false),1)="a","L","")))</f>
        <v>W</v>
      </c>
      <c r="H567" s="67" t="str">
        <f>iferror(if(LEFT(VLOOKUP($B567,'Round 5'!$B$2:$H$361,7,false),1)="A","W",if(LEFT(VLOOKUP($B567,'Round 5'!$B$2:$H$361,7,false),1)="B","L","")),if(LEFT(VLOOKUP($B567,'Round 5'!$F$2:$H$361,3,false),1)="b","W",if(LEFT(VLOOKUP($B567,'Round 5'!$F$2:$H$361,3,false),1)="a","L","")))</f>
        <v>L</v>
      </c>
      <c r="I567" s="67" t="str">
        <f>iferror(if(LEFT(VLOOKUP($B567,'Round 6'!$B$2:$H$361,7,false),1)="A","W",if(LEFT(VLOOKUP($B567,'Round 6'!$B$2:$H$361,7,false),1)="B","L","")),if(LEFT(VLOOKUP($B567,'Round 6'!$F$2:$H$361,3,false),1)="b","W",if(LEFT(VLOOKUP($B567,'Round 6'!$F$2:$H$361,3,false),1)="a","L","")))</f>
        <v>W</v>
      </c>
      <c r="J567" s="67" t="str">
        <f>iferror(iferror(if(LEFT(VLOOKUP($B567,'Round 7'!$B$2:$H$361,7,false),1)="A","W",if(LEFT(VLOOKUP($B567,'Round 7'!$B$2:$H$361,7,false),1)="B","L","")),if(LEFT(VLOOKUP($B567,'Round 7'!$F$2:$H$361,3,false),1)="b","W",if(LEFT(VLOOKUP($B567,'Round 7'!$F$2:$H$361,3,false),1)="a","L",""))),"")</f>
        <v>W</v>
      </c>
      <c r="K567" s="68" t="str">
        <f>iferror(iferror(if(LEFT(VLOOKUP($B567,'Round 8'!$B$2:$H$361,7,false),1)="A","W",if(LEFT(VLOOKUP($B567,'Round 8'!$B$2:$H$361,7,false),1)="B","L","")),if(LEFT(VLOOKUP($B567,'Round 8'!$F$2:$H$361,3,false),1)="b","W",if(LEFT(VLOOKUP($B567,'Round 8'!$F$2:$H$361,3,false),1)="a","L",""))),"")</f>
        <v>L</v>
      </c>
      <c r="L567" s="68" t="str">
        <f>iferror(iferror(if(LEFT(VLOOKUP($B567,'Round 9'!$B$2:$H$361,7,false),1)="A","W",if(LEFT(VLOOKUP($B567,'Round 9'!$B$2:$H$361,7,false),1)="B","L","")),if(LEFT(VLOOKUP($B567,'Round 9'!$F$2:$H$361,3,false),1)="b","W",if(LEFT(VLOOKUP($B567,'Round 9'!$F$2:$H$361,3,false),1)="a","L",""))),"")</f>
        <v/>
      </c>
      <c r="M567" s="68" t="str">
        <f>iferror(iferror(if(LEFT(VLOOKUP($B567,'Round 10'!$B$2:$H$362,7,false),1)="A","W",if(LEFT(VLOOKUP($B567,'Round 10'!$B$2:$H$362,7,false),1)="B","L","")),if(LEFT(VLOOKUP($B567,'Round 10'!$F$2:$H$362,3,false),1)="b","W",if(LEFT(VLOOKUP($B567,'Round 10'!$F$2:$H$362,3,false),1)="a","L",""))),"")</f>
        <v/>
      </c>
      <c r="N567" s="62" t="s">
        <v>1183</v>
      </c>
    </row>
    <row r="568">
      <c r="A568" s="63">
        <v>567.0</v>
      </c>
      <c r="B568" s="64" t="s">
        <v>1184</v>
      </c>
      <c r="C568" s="65" t="str">
        <f t="shared" si="1"/>
        <v>6 - 3</v>
      </c>
      <c r="D568" s="67" t="str">
        <f>iferror(if(LEFT(VLOOKUP($B568,'Round 1'!$B$2:$H$361,7,false),1)="A","W",if(LEFT(VLOOKUP($B568,'Round 1'!$B$2:$H$361,7,false),1)="B","L","")),if(LEFT(VLOOKUP($B568,'Round 1'!$F$2:$H$361,3,false),1)="b","W",if(LEFT(VLOOKUP($B568,'Round 1'!$F$2:$H$361,3,false),1)="a","L","")))</f>
        <v>W</v>
      </c>
      <c r="E568" s="67" t="str">
        <f>iferror(if(LEFT(VLOOKUP($B568,'Round 2'!$C$2:$J$361,8,false),1)="A","W",if(LEFT(VLOOKUP($B568,'Round 2'!$C$2:$J$361,8,false),1)="B","L","")),if(LEFT(VLOOKUP($B568,'Round 2'!$G$2:$J$361,4,false),1)="b","W",if(LEFT(VLOOKUP($B568,'Round 2'!$G$2:$J$361,4,false),1)="a","L","")))</f>
        <v>L</v>
      </c>
      <c r="F568" s="67" t="str">
        <f>iferror(if(LEFT(VLOOKUP($B568,'Round 3'!$B$2:$H$361,7,false),1)="A","W",if(LEFT(VLOOKUP($B568,'Round 3'!$B$2:$H$361,7,false),1)="B","L","")),if(LEFT(VLOOKUP($B568,'Round 3'!$F$2:$H$361,3,false),1)="b","W",if(LEFT(VLOOKUP($B568,'Round 3'!$F$2:$H$361,3,false),1)="a","L","")))</f>
        <v>W</v>
      </c>
      <c r="G568" s="67" t="str">
        <f>iferror(if(LEFT(VLOOKUP($B568,'Round 4'!$B$2:$H$361,7,false),1)="A","W",if(LEFT(VLOOKUP($B568,'Round 4'!$B$2:$H$361,7,false),1)="B","L","")),if(LEFT(VLOOKUP($B568,'Round 4'!$F$2:$H$361,3,false),1)="b","W",if(LEFT(VLOOKUP($B568,'Round 4'!$F$2:$H$361,3,false),1)="a","L","")))</f>
        <v>W</v>
      </c>
      <c r="H568" s="67" t="str">
        <f>iferror(if(LEFT(VLOOKUP($B568,'Round 5'!$B$2:$H$361,7,false),1)="A","W",if(LEFT(VLOOKUP($B568,'Round 5'!$B$2:$H$361,7,false),1)="B","L","")),if(LEFT(VLOOKUP($B568,'Round 5'!$F$2:$H$361,3,false),1)="b","W",if(LEFT(VLOOKUP($B568,'Round 5'!$F$2:$H$361,3,false),1)="a","L","")))</f>
        <v>W</v>
      </c>
      <c r="I568" s="67" t="str">
        <f>iferror(if(LEFT(VLOOKUP($B568,'Round 6'!$B$2:$H$361,7,false),1)="A","W",if(LEFT(VLOOKUP($B568,'Round 6'!$B$2:$H$361,7,false),1)="B","L","")),if(LEFT(VLOOKUP($B568,'Round 6'!$F$2:$H$361,3,false),1)="b","W",if(LEFT(VLOOKUP($B568,'Round 6'!$F$2:$H$361,3,false),1)="a","L","")))</f>
        <v>W</v>
      </c>
      <c r="J568" s="67" t="str">
        <f>iferror(iferror(if(LEFT(VLOOKUP($B568,'Round 7'!$B$2:$H$361,7,false),1)="A","W",if(LEFT(VLOOKUP($B568,'Round 7'!$B$2:$H$361,7,false),1)="B","L","")),if(LEFT(VLOOKUP($B568,'Round 7'!$F$2:$H$361,3,false),1)="b","W",if(LEFT(VLOOKUP($B568,'Round 7'!$F$2:$H$361,3,false),1)="a","L",""))),"")</f>
        <v>L</v>
      </c>
      <c r="K568" s="68" t="str">
        <f>iferror(iferror(if(LEFT(VLOOKUP($B568,'Round 8'!$B$2:$H$361,7,false),1)="A","W",if(LEFT(VLOOKUP($B568,'Round 8'!$B$2:$H$361,7,false),1)="B","L","")),if(LEFT(VLOOKUP($B568,'Round 8'!$F$2:$H$361,3,false),1)="b","W",if(LEFT(VLOOKUP($B568,'Round 8'!$F$2:$H$361,3,false),1)="a","L",""))),"")</f>
        <v>W</v>
      </c>
      <c r="L568" s="68" t="str">
        <f>iferror(iferror(if(LEFT(VLOOKUP($B568,'Round 9'!$B$2:$H$361,7,false),1)="A","W",if(LEFT(VLOOKUP($B568,'Round 9'!$B$2:$H$361,7,false),1)="B","L","")),if(LEFT(VLOOKUP($B568,'Round 9'!$F$2:$H$361,3,false),1)="b","W",if(LEFT(VLOOKUP($B568,'Round 9'!$F$2:$H$361,3,false),1)="a","L",""))),"")</f>
        <v>L</v>
      </c>
      <c r="M568" s="68" t="str">
        <f>iferror(iferror(if(LEFT(VLOOKUP($B568,'Round 10'!$B$2:$H$362,7,false),1)="A","W",if(LEFT(VLOOKUP($B568,'Round 10'!$B$2:$H$362,7,false),1)="B","L","")),if(LEFT(VLOOKUP($B568,'Round 10'!$F$2:$H$362,3,false),1)="b","W",if(LEFT(VLOOKUP($B568,'Round 10'!$F$2:$H$362,3,false),1)="a","L",""))),"")</f>
        <v/>
      </c>
      <c r="N568" s="62" t="s">
        <v>1185</v>
      </c>
    </row>
    <row r="569">
      <c r="A569" s="63">
        <v>568.0</v>
      </c>
      <c r="B569" s="64" t="s">
        <v>1186</v>
      </c>
      <c r="C569" s="65" t="str">
        <f t="shared" si="1"/>
        <v>6 - 3</v>
      </c>
      <c r="D569" s="67" t="str">
        <f>iferror(if(LEFT(VLOOKUP($B569,'Round 1'!$B$2:$H$361,7,false),1)="A","W",if(LEFT(VLOOKUP($B569,'Round 1'!$B$2:$H$361,7,false),1)="B","L","")),if(LEFT(VLOOKUP($B569,'Round 1'!$F$2:$H$361,3,false),1)="b","W",if(LEFT(VLOOKUP($B569,'Round 1'!$F$2:$H$361,3,false),1)="a","L","")))</f>
        <v>W</v>
      </c>
      <c r="E569" s="67" t="str">
        <f>iferror(if(LEFT(VLOOKUP($B569,'Round 2'!$C$2:$J$361,8,false),1)="A","W",if(LEFT(VLOOKUP($B569,'Round 2'!$C$2:$J$361,8,false),1)="B","L","")),if(LEFT(VLOOKUP($B569,'Round 2'!$G$2:$J$361,4,false),1)="b","W",if(LEFT(VLOOKUP($B569,'Round 2'!$G$2:$J$361,4,false),1)="a","L","")))</f>
        <v>W</v>
      </c>
      <c r="F569" s="67" t="str">
        <f>iferror(if(LEFT(VLOOKUP($B569,'Round 3'!$B$2:$H$361,7,false),1)="A","W",if(LEFT(VLOOKUP($B569,'Round 3'!$B$2:$H$361,7,false),1)="B","L","")),if(LEFT(VLOOKUP($B569,'Round 3'!$F$2:$H$361,3,false),1)="b","W",if(LEFT(VLOOKUP($B569,'Round 3'!$F$2:$H$361,3,false),1)="a","L","")))</f>
        <v>L</v>
      </c>
      <c r="G569" s="67" t="str">
        <f>iferror(if(LEFT(VLOOKUP($B569,'Round 4'!$B$2:$H$361,7,false),1)="A","W",if(LEFT(VLOOKUP($B569,'Round 4'!$B$2:$H$361,7,false),1)="B","L","")),if(LEFT(VLOOKUP($B569,'Round 4'!$F$2:$H$361,3,false),1)="b","W",if(LEFT(VLOOKUP($B569,'Round 4'!$F$2:$H$361,3,false),1)="a","L","")))</f>
        <v>W</v>
      </c>
      <c r="H569" s="67" t="str">
        <f>iferror(if(LEFT(VLOOKUP($B569,'Round 5'!$B$2:$H$361,7,false),1)="A","W",if(LEFT(VLOOKUP($B569,'Round 5'!$B$2:$H$361,7,false),1)="B","L","")),if(LEFT(VLOOKUP($B569,'Round 5'!$F$2:$H$361,3,false),1)="b","W",if(LEFT(VLOOKUP($B569,'Round 5'!$F$2:$H$361,3,false),1)="a","L","")))</f>
        <v>L</v>
      </c>
      <c r="I569" s="67" t="str">
        <f>iferror(if(LEFT(VLOOKUP($B569,'Round 6'!$B$2:$H$361,7,false),1)="A","W",if(LEFT(VLOOKUP($B569,'Round 6'!$B$2:$H$361,7,false),1)="B","L","")),if(LEFT(VLOOKUP($B569,'Round 6'!$F$2:$H$361,3,false),1)="b","W",if(LEFT(VLOOKUP($B569,'Round 6'!$F$2:$H$361,3,false),1)="a","L","")))</f>
        <v>W</v>
      </c>
      <c r="J569" s="67" t="str">
        <f>iferror(iferror(if(LEFT(VLOOKUP($B569,'Round 7'!$B$2:$H$361,7,false),1)="A","W",if(LEFT(VLOOKUP($B569,'Round 7'!$B$2:$H$361,7,false),1)="B","L","")),if(LEFT(VLOOKUP($B569,'Round 7'!$F$2:$H$361,3,false),1)="b","W",if(LEFT(VLOOKUP($B569,'Round 7'!$F$2:$H$361,3,false),1)="a","L",""))),"")</f>
        <v>W</v>
      </c>
      <c r="K569" s="68" t="str">
        <f>iferror(iferror(if(LEFT(VLOOKUP($B569,'Round 8'!$B$2:$H$361,7,false),1)="A","W",if(LEFT(VLOOKUP($B569,'Round 8'!$B$2:$H$361,7,false),1)="B","L","")),if(LEFT(VLOOKUP($B569,'Round 8'!$F$2:$H$361,3,false),1)="b","W",if(LEFT(VLOOKUP($B569,'Round 8'!$F$2:$H$361,3,false),1)="a","L",""))),"")</f>
        <v>W</v>
      </c>
      <c r="L569" s="68" t="str">
        <f>iferror(iferror(if(LEFT(VLOOKUP($B569,'Round 9'!$B$2:$H$361,7,false),1)="A","W",if(LEFT(VLOOKUP($B569,'Round 9'!$B$2:$H$361,7,false),1)="B","L","")),if(LEFT(VLOOKUP($B569,'Round 9'!$F$2:$H$361,3,false),1)="b","W",if(LEFT(VLOOKUP($B569,'Round 9'!$F$2:$H$361,3,false),1)="a","L",""))),"")</f>
        <v>L</v>
      </c>
      <c r="M569" s="68" t="str">
        <f>iferror(iferror(if(LEFT(VLOOKUP($B569,'Round 10'!$B$2:$H$362,7,false),1)="A","W",if(LEFT(VLOOKUP($B569,'Round 10'!$B$2:$H$362,7,false),1)="B","L","")),if(LEFT(VLOOKUP($B569,'Round 10'!$F$2:$H$362,3,false),1)="b","W",if(LEFT(VLOOKUP($B569,'Round 10'!$F$2:$H$362,3,false),1)="a","L",""))),"")</f>
        <v/>
      </c>
      <c r="N569" s="62" t="s">
        <v>1187</v>
      </c>
    </row>
    <row r="570">
      <c r="A570" s="63">
        <v>569.0</v>
      </c>
      <c r="B570" s="64" t="s">
        <v>1188</v>
      </c>
      <c r="C570" s="65" t="str">
        <f t="shared" si="1"/>
        <v>2 - 3</v>
      </c>
      <c r="D570" s="67" t="str">
        <f>iferror(if(LEFT(VLOOKUP($B570,'Round 1'!$B$2:$H$361,7,false),1)="A","W",if(LEFT(VLOOKUP($B570,'Round 1'!$B$2:$H$361,7,false),1)="B","L","")),if(LEFT(VLOOKUP($B570,'Round 1'!$F$2:$H$361,3,false),1)="b","W",if(LEFT(VLOOKUP($B570,'Round 1'!$F$2:$H$361,3,false),1)="a","L","")))</f>
        <v>W</v>
      </c>
      <c r="E570" s="67" t="str">
        <f>iferror(if(LEFT(VLOOKUP($B570,'Round 2'!$C$2:$J$361,8,false),1)="A","W",if(LEFT(VLOOKUP($B570,'Round 2'!$C$2:$J$361,8,false),1)="B","L","")),if(LEFT(VLOOKUP($B570,'Round 2'!$G$2:$J$361,4,false),1)="b","W",if(LEFT(VLOOKUP($B570,'Round 2'!$G$2:$J$361,4,false),1)="a","L","")))</f>
        <v>L</v>
      </c>
      <c r="F570" s="67" t="str">
        <f>iferror(if(LEFT(VLOOKUP($B570,'Round 3'!$B$2:$H$361,7,false),1)="A","W",if(LEFT(VLOOKUP($B570,'Round 3'!$B$2:$H$361,7,false),1)="B","L","")),if(LEFT(VLOOKUP($B570,'Round 3'!$F$2:$H$361,3,false),1)="b","W",if(LEFT(VLOOKUP($B570,'Round 3'!$F$2:$H$361,3,false),1)="a","L","")))</f>
        <v>L</v>
      </c>
      <c r="G570" s="67" t="str">
        <f>iferror(if(LEFT(VLOOKUP($B570,'Round 4'!$B$2:$H$361,7,false),1)="A","W",if(LEFT(VLOOKUP($B570,'Round 4'!$B$2:$H$361,7,false),1)="B","L","")),if(LEFT(VLOOKUP($B570,'Round 4'!$F$2:$H$361,3,false),1)="b","W",if(LEFT(VLOOKUP($B570,'Round 4'!$F$2:$H$361,3,false),1)="a","L","")))</f>
        <v>W</v>
      </c>
      <c r="H570" s="67" t="str">
        <f>iferror(if(LEFT(VLOOKUP($B570,'Round 5'!$B$2:$H$361,7,false),1)="A","W",if(LEFT(VLOOKUP($B570,'Round 5'!$B$2:$H$361,7,false),1)="B","L","")),if(LEFT(VLOOKUP($B570,'Round 5'!$F$2:$H$361,3,false),1)="b","W",if(LEFT(VLOOKUP($B570,'Round 5'!$F$2:$H$361,3,false),1)="a","L","")))</f>
        <v>L</v>
      </c>
      <c r="I570" s="67"/>
      <c r="J570" s="67" t="str">
        <f>iferror(iferror(if(LEFT(VLOOKUP($B570,'Round 7'!$B$2:$H$361,7,false),1)="A","W",if(LEFT(VLOOKUP($B570,'Round 7'!$B$2:$H$361,7,false),1)="B","L","")),if(LEFT(VLOOKUP($B570,'Round 7'!$F$2:$H$361,3,false),1)="b","W",if(LEFT(VLOOKUP($B570,'Round 7'!$F$2:$H$361,3,false),1)="a","L",""))),"")</f>
        <v/>
      </c>
      <c r="K570" s="68" t="str">
        <f>iferror(iferror(if(LEFT(VLOOKUP($B570,'Round 8'!$B$2:$H$361,7,false),1)="A","W",if(LEFT(VLOOKUP($B570,'Round 8'!$B$2:$H$361,7,false),1)="B","L","")),if(LEFT(VLOOKUP($B570,'Round 8'!$F$2:$H$361,3,false),1)="b","W",if(LEFT(VLOOKUP($B570,'Round 8'!$F$2:$H$361,3,false),1)="a","L",""))),"")</f>
        <v/>
      </c>
      <c r="L570" s="68" t="str">
        <f>iferror(iferror(if(LEFT(VLOOKUP($B570,'Round 9'!$B$2:$H$361,7,false),1)="A","W",if(LEFT(VLOOKUP($B570,'Round 9'!$B$2:$H$361,7,false),1)="B","L","")),if(LEFT(VLOOKUP($B570,'Round 9'!$F$2:$H$361,3,false),1)="b","W",if(LEFT(VLOOKUP($B570,'Round 9'!$F$2:$H$361,3,false),1)="a","L",""))),"")</f>
        <v/>
      </c>
      <c r="M570" s="68" t="str">
        <f>iferror(iferror(if(LEFT(VLOOKUP($B570,'Round 10'!$B$2:$H$362,7,false),1)="A","W",if(LEFT(VLOOKUP($B570,'Round 10'!$B$2:$H$362,7,false),1)="B","L","")),if(LEFT(VLOOKUP($B570,'Round 10'!$F$2:$H$362,3,false),1)="b","W",if(LEFT(VLOOKUP($B570,'Round 10'!$F$2:$H$362,3,false),1)="a","L",""))),"")</f>
        <v/>
      </c>
      <c r="N570" s="62" t="s">
        <v>1189</v>
      </c>
    </row>
    <row r="571">
      <c r="A571" s="63">
        <v>570.0</v>
      </c>
      <c r="B571" s="64" t="s">
        <v>1190</v>
      </c>
      <c r="C571" s="65" t="str">
        <f t="shared" si="1"/>
        <v>2 - 3</v>
      </c>
      <c r="D571" s="67" t="str">
        <f>iferror(if(LEFT(VLOOKUP($B571,'Round 1'!$B$2:$H$361,7,false),1)="A","W",if(LEFT(VLOOKUP($B571,'Round 1'!$B$2:$H$361,7,false),1)="B","L","")),if(LEFT(VLOOKUP($B571,'Round 1'!$F$2:$H$361,3,false),1)="b","W",if(LEFT(VLOOKUP($B571,'Round 1'!$F$2:$H$361,3,false),1)="a","L","")))</f>
        <v>W</v>
      </c>
      <c r="E571" s="67" t="str">
        <f>iferror(if(LEFT(VLOOKUP($B571,'Round 2'!$C$2:$J$361,8,false),1)="A","W",if(LEFT(VLOOKUP($B571,'Round 2'!$C$2:$J$361,8,false),1)="B","L","")),if(LEFT(VLOOKUP($B571,'Round 2'!$G$2:$J$361,4,false),1)="b","W",if(LEFT(VLOOKUP($B571,'Round 2'!$G$2:$J$361,4,false),1)="a","L","")))</f>
        <v>L</v>
      </c>
      <c r="F571" s="67" t="str">
        <f>iferror(if(LEFT(VLOOKUP($B571,'Round 3'!$B$2:$H$361,7,false),1)="A","W",if(LEFT(VLOOKUP($B571,'Round 3'!$B$2:$H$361,7,false),1)="B","L","")),if(LEFT(VLOOKUP($B571,'Round 3'!$F$2:$H$361,3,false),1)="b","W",if(LEFT(VLOOKUP($B571,'Round 3'!$F$2:$H$361,3,false),1)="a","L","")))</f>
        <v>L</v>
      </c>
      <c r="G571" s="67" t="str">
        <f>iferror(if(LEFT(VLOOKUP($B571,'Round 4'!$B$2:$H$361,7,false),1)="A","W",if(LEFT(VLOOKUP($B571,'Round 4'!$B$2:$H$361,7,false),1)="B","L","")),if(LEFT(VLOOKUP($B571,'Round 4'!$F$2:$H$361,3,false),1)="b","W",if(LEFT(VLOOKUP($B571,'Round 4'!$F$2:$H$361,3,false),1)="a","L","")))</f>
        <v>W</v>
      </c>
      <c r="H571" s="67" t="str">
        <f>iferror(if(LEFT(VLOOKUP($B571,'Round 5'!$B$2:$H$361,7,false),1)="A","W",if(LEFT(VLOOKUP($B571,'Round 5'!$B$2:$H$361,7,false),1)="B","L","")),if(LEFT(VLOOKUP($B571,'Round 5'!$F$2:$H$361,3,false),1)="b","W",if(LEFT(VLOOKUP($B571,'Round 5'!$F$2:$H$361,3,false),1)="a","L","")))</f>
        <v>L</v>
      </c>
      <c r="I571" s="67"/>
      <c r="J571" s="67" t="str">
        <f>iferror(iferror(if(LEFT(VLOOKUP($B571,'Round 7'!$B$2:$H$361,7,false),1)="A","W",if(LEFT(VLOOKUP($B571,'Round 7'!$B$2:$H$361,7,false),1)="B","L","")),if(LEFT(VLOOKUP($B571,'Round 7'!$F$2:$H$361,3,false),1)="b","W",if(LEFT(VLOOKUP($B571,'Round 7'!$F$2:$H$361,3,false),1)="a","L",""))),"")</f>
        <v/>
      </c>
      <c r="K571" s="68" t="str">
        <f>iferror(iferror(if(LEFT(VLOOKUP($B571,'Round 8'!$B$2:$H$361,7,false),1)="A","W",if(LEFT(VLOOKUP($B571,'Round 8'!$B$2:$H$361,7,false),1)="B","L","")),if(LEFT(VLOOKUP($B571,'Round 8'!$F$2:$H$361,3,false),1)="b","W",if(LEFT(VLOOKUP($B571,'Round 8'!$F$2:$H$361,3,false),1)="a","L",""))),"")</f>
        <v/>
      </c>
      <c r="L571" s="68" t="str">
        <f>iferror(iferror(if(LEFT(VLOOKUP($B571,'Round 9'!$B$2:$H$361,7,false),1)="A","W",if(LEFT(VLOOKUP($B571,'Round 9'!$B$2:$H$361,7,false),1)="B","L","")),if(LEFT(VLOOKUP($B571,'Round 9'!$F$2:$H$361,3,false),1)="b","W",if(LEFT(VLOOKUP($B571,'Round 9'!$F$2:$H$361,3,false),1)="a","L",""))),"")</f>
        <v/>
      </c>
      <c r="M571" s="68" t="str">
        <f>iferror(iferror(if(LEFT(VLOOKUP($B571,'Round 10'!$B$2:$H$362,7,false),1)="A","W",if(LEFT(VLOOKUP($B571,'Round 10'!$B$2:$H$362,7,false),1)="B","L","")),if(LEFT(VLOOKUP($B571,'Round 10'!$F$2:$H$362,3,false),1)="b","W",if(LEFT(VLOOKUP($B571,'Round 10'!$F$2:$H$362,3,false),1)="a","L",""))),"")</f>
        <v/>
      </c>
      <c r="N571" s="62" t="s">
        <v>1191</v>
      </c>
    </row>
    <row r="572">
      <c r="A572" s="63">
        <v>571.0</v>
      </c>
      <c r="B572" s="64" t="s">
        <v>1192</v>
      </c>
      <c r="C572" s="65" t="str">
        <f t="shared" si="1"/>
        <v>3 - 3</v>
      </c>
      <c r="D572" s="67" t="str">
        <f>iferror(if(LEFT(VLOOKUP($B572,'Round 1'!$B$2:$H$361,7,false),1)="A","W",if(LEFT(VLOOKUP($B572,'Round 1'!$B$2:$H$361,7,false),1)="B","L","")),if(LEFT(VLOOKUP($B572,'Round 1'!$F$2:$H$361,3,false),1)="b","W",if(LEFT(VLOOKUP($B572,'Round 1'!$F$2:$H$361,3,false),1)="a","L","")))</f>
        <v>L</v>
      </c>
      <c r="E572" s="67" t="str">
        <f>iferror(if(LEFT(VLOOKUP($B572,'Round 2'!$C$2:$J$361,8,false),1)="A","W",if(LEFT(VLOOKUP($B572,'Round 2'!$C$2:$J$361,8,false),1)="B","L","")),if(LEFT(VLOOKUP($B572,'Round 2'!$G$2:$J$361,4,false),1)="b","W",if(LEFT(VLOOKUP($B572,'Round 2'!$G$2:$J$361,4,false),1)="a","L","")))</f>
        <v>W</v>
      </c>
      <c r="F572" s="67" t="str">
        <f>iferror(if(LEFT(VLOOKUP($B572,'Round 3'!$B$2:$H$361,7,false),1)="A","W",if(LEFT(VLOOKUP($B572,'Round 3'!$B$2:$H$361,7,false),1)="B","L","")),if(LEFT(VLOOKUP($B572,'Round 3'!$F$2:$H$361,3,false),1)="b","W",if(LEFT(VLOOKUP($B572,'Round 3'!$F$2:$H$361,3,false),1)="a","L","")))</f>
        <v>W</v>
      </c>
      <c r="G572" s="67" t="str">
        <f>iferror(if(LEFT(VLOOKUP($B572,'Round 4'!$B$2:$H$361,7,false),1)="A","W",if(LEFT(VLOOKUP($B572,'Round 4'!$B$2:$H$361,7,false),1)="B","L","")),if(LEFT(VLOOKUP($B572,'Round 4'!$F$2:$H$361,3,false),1)="b","W",if(LEFT(VLOOKUP($B572,'Round 4'!$F$2:$H$361,3,false),1)="a","L","")))</f>
        <v>L</v>
      </c>
      <c r="H572" s="67" t="str">
        <f>iferror(if(LEFT(VLOOKUP($B572,'Round 5'!$B$2:$H$361,7,false),1)="A","W",if(LEFT(VLOOKUP($B572,'Round 5'!$B$2:$H$361,7,false),1)="B","L","")),if(LEFT(VLOOKUP($B572,'Round 5'!$F$2:$H$361,3,false),1)="b","W",if(LEFT(VLOOKUP($B572,'Round 5'!$F$2:$H$361,3,false),1)="a","L","")))</f>
        <v>W</v>
      </c>
      <c r="I572" s="67" t="str">
        <f>iferror(if(LEFT(VLOOKUP($B572,'Round 6'!$B$2:$H$361,7,false),1)="A","W",if(LEFT(VLOOKUP($B572,'Round 6'!$B$2:$H$361,7,false),1)="B","L","")),if(LEFT(VLOOKUP($B572,'Round 6'!$F$2:$H$361,3,false),1)="b","W",if(LEFT(VLOOKUP($B572,'Round 6'!$F$2:$H$361,3,false),1)="a","L","")))</f>
        <v>L</v>
      </c>
      <c r="J572" s="67" t="str">
        <f>iferror(iferror(if(LEFT(VLOOKUP($B572,'Round 7'!$B$2:$H$361,7,false),1)="A","W",if(LEFT(VLOOKUP($B572,'Round 7'!$B$2:$H$361,7,false),1)="B","L","")),if(LEFT(VLOOKUP($B572,'Round 7'!$F$2:$H$361,3,false),1)="b","W",if(LEFT(VLOOKUP($B572,'Round 7'!$F$2:$H$361,3,false),1)="a","L",""))),"")</f>
        <v/>
      </c>
      <c r="K572" s="68" t="str">
        <f>iferror(iferror(if(LEFT(VLOOKUP($B572,'Round 8'!$B$2:$H$361,7,false),1)="A","W",if(LEFT(VLOOKUP($B572,'Round 8'!$B$2:$H$361,7,false),1)="B","L","")),if(LEFT(VLOOKUP($B572,'Round 8'!$F$2:$H$361,3,false),1)="b","W",if(LEFT(VLOOKUP($B572,'Round 8'!$F$2:$H$361,3,false),1)="a","L",""))),"")</f>
        <v/>
      </c>
      <c r="L572" s="68" t="str">
        <f>iferror(iferror(if(LEFT(VLOOKUP($B572,'Round 9'!$B$2:$H$361,7,false),1)="A","W",if(LEFT(VLOOKUP($B572,'Round 9'!$B$2:$H$361,7,false),1)="B","L","")),if(LEFT(VLOOKUP($B572,'Round 9'!$F$2:$H$361,3,false),1)="b","W",if(LEFT(VLOOKUP($B572,'Round 9'!$F$2:$H$361,3,false),1)="a","L",""))),"")</f>
        <v/>
      </c>
      <c r="M572" s="68" t="str">
        <f>iferror(iferror(if(LEFT(VLOOKUP($B572,'Round 10'!$B$2:$H$362,7,false),1)="A","W",if(LEFT(VLOOKUP($B572,'Round 10'!$B$2:$H$362,7,false),1)="B","L","")),if(LEFT(VLOOKUP($B572,'Round 10'!$F$2:$H$362,3,false),1)="b","W",if(LEFT(VLOOKUP($B572,'Round 10'!$F$2:$H$362,3,false),1)="a","L",""))),"")</f>
        <v/>
      </c>
      <c r="N572" s="62" t="s">
        <v>1193</v>
      </c>
    </row>
    <row r="573">
      <c r="A573" s="63">
        <v>572.0</v>
      </c>
      <c r="B573" s="64" t="s">
        <v>1194</v>
      </c>
      <c r="C573" s="65" t="str">
        <f t="shared" si="1"/>
        <v>2 - 3</v>
      </c>
      <c r="D573" s="67" t="str">
        <f>iferror(if(LEFT(VLOOKUP($B573,'Round 1'!$B$2:$H$361,7,false),1)="A","W",if(LEFT(VLOOKUP($B573,'Round 1'!$B$2:$H$361,7,false),1)="B","L","")),if(LEFT(VLOOKUP($B573,'Round 1'!$F$2:$H$361,3,false),1)="b","W",if(LEFT(VLOOKUP($B573,'Round 1'!$F$2:$H$361,3,false),1)="a","L","")))</f>
        <v>L</v>
      </c>
      <c r="E573" s="67" t="str">
        <f>iferror(if(LEFT(VLOOKUP($B573,'Round 2'!$C$2:$J$361,8,false),1)="A","W",if(LEFT(VLOOKUP($B573,'Round 2'!$C$2:$J$361,8,false),1)="B","L","")),if(LEFT(VLOOKUP($B573,'Round 2'!$G$2:$J$361,4,false),1)="b","W",if(LEFT(VLOOKUP($B573,'Round 2'!$G$2:$J$361,4,false),1)="a","L","")))</f>
        <v>W</v>
      </c>
      <c r="F573" s="67" t="str">
        <f>iferror(if(LEFT(VLOOKUP($B573,'Round 3'!$B$2:$H$361,7,false),1)="A","W",if(LEFT(VLOOKUP($B573,'Round 3'!$B$2:$H$361,7,false),1)="B","L","")),if(LEFT(VLOOKUP($B573,'Round 3'!$F$2:$H$361,3,false),1)="b","W",if(LEFT(VLOOKUP($B573,'Round 3'!$F$2:$H$361,3,false),1)="a","L","")))</f>
        <v>L</v>
      </c>
      <c r="G573" s="67" t="str">
        <f>iferror(if(LEFT(VLOOKUP($B573,'Round 4'!$B$2:$H$361,7,false),1)="A","W",if(LEFT(VLOOKUP($B573,'Round 4'!$B$2:$H$361,7,false),1)="B","L","")),if(LEFT(VLOOKUP($B573,'Round 4'!$F$2:$H$361,3,false),1)="b","W",if(LEFT(VLOOKUP($B573,'Round 4'!$F$2:$H$361,3,false),1)="a","L","")))</f>
        <v>W</v>
      </c>
      <c r="H573" s="67" t="str">
        <f>iferror(if(LEFT(VLOOKUP($B573,'Round 5'!$B$2:$H$361,7,false),1)="A","W",if(LEFT(VLOOKUP($B573,'Round 5'!$B$2:$H$361,7,false),1)="B","L","")),if(LEFT(VLOOKUP($B573,'Round 5'!$F$2:$H$361,3,false),1)="b","W",if(LEFT(VLOOKUP($B573,'Round 5'!$F$2:$H$361,3,false),1)="a","L","")))</f>
        <v>L</v>
      </c>
      <c r="I573" s="67"/>
      <c r="J573" s="67" t="str">
        <f>iferror(iferror(if(LEFT(VLOOKUP($B573,'Round 7'!$B$2:$H$361,7,false),1)="A","W",if(LEFT(VLOOKUP($B573,'Round 7'!$B$2:$H$361,7,false),1)="B","L","")),if(LEFT(VLOOKUP($B573,'Round 7'!$F$2:$H$361,3,false),1)="b","W",if(LEFT(VLOOKUP($B573,'Round 7'!$F$2:$H$361,3,false),1)="a","L",""))),"")</f>
        <v/>
      </c>
      <c r="K573" s="68" t="str">
        <f>iferror(iferror(if(LEFT(VLOOKUP($B573,'Round 8'!$B$2:$H$361,7,false),1)="A","W",if(LEFT(VLOOKUP($B573,'Round 8'!$B$2:$H$361,7,false),1)="B","L","")),if(LEFT(VLOOKUP($B573,'Round 8'!$F$2:$H$361,3,false),1)="b","W",if(LEFT(VLOOKUP($B573,'Round 8'!$F$2:$H$361,3,false),1)="a","L",""))),"")</f>
        <v/>
      </c>
      <c r="L573" s="68" t="str">
        <f>iferror(iferror(if(LEFT(VLOOKUP($B573,'Round 9'!$B$2:$H$361,7,false),1)="A","W",if(LEFT(VLOOKUP($B573,'Round 9'!$B$2:$H$361,7,false),1)="B","L","")),if(LEFT(VLOOKUP($B573,'Round 9'!$F$2:$H$361,3,false),1)="b","W",if(LEFT(VLOOKUP($B573,'Round 9'!$F$2:$H$361,3,false),1)="a","L",""))),"")</f>
        <v/>
      </c>
      <c r="M573" s="68" t="str">
        <f>iferror(iferror(if(LEFT(VLOOKUP($B573,'Round 10'!$B$2:$H$362,7,false),1)="A","W",if(LEFT(VLOOKUP($B573,'Round 10'!$B$2:$H$362,7,false),1)="B","L","")),if(LEFT(VLOOKUP($B573,'Round 10'!$F$2:$H$362,3,false),1)="b","W",if(LEFT(VLOOKUP($B573,'Round 10'!$F$2:$H$362,3,false),1)="a","L",""))),"")</f>
        <v/>
      </c>
      <c r="N573" s="62" t="s">
        <v>1195</v>
      </c>
    </row>
    <row r="574">
      <c r="A574" s="63">
        <v>573.0</v>
      </c>
      <c r="B574" s="64" t="s">
        <v>1196</v>
      </c>
      <c r="C574" s="65" t="str">
        <f t="shared" si="1"/>
        <v>5 - 3</v>
      </c>
      <c r="D574" s="67" t="str">
        <f>iferror(if(LEFT(VLOOKUP($B574,'Round 1'!$B$2:$H$361,7,false),1)="A","W",if(LEFT(VLOOKUP($B574,'Round 1'!$B$2:$H$361,7,false),1)="B","L","")),if(LEFT(VLOOKUP($B574,'Round 1'!$F$2:$H$361,3,false),1)="b","W",if(LEFT(VLOOKUP($B574,'Round 1'!$F$2:$H$361,3,false),1)="a","L","")))</f>
        <v>L</v>
      </c>
      <c r="E574" s="67" t="str">
        <f>iferror(if(LEFT(VLOOKUP($B574,'Round 2'!$C$2:$J$361,8,false),1)="A","W",if(LEFT(VLOOKUP($B574,'Round 2'!$C$2:$J$361,8,false),1)="B","L","")),if(LEFT(VLOOKUP($B574,'Round 2'!$G$2:$J$361,4,false),1)="b","W",if(LEFT(VLOOKUP($B574,'Round 2'!$G$2:$J$361,4,false),1)="a","L","")))</f>
        <v>W</v>
      </c>
      <c r="F574" s="67" t="str">
        <f>iferror(if(LEFT(VLOOKUP($B574,'Round 3'!$B$2:$H$361,7,false),1)="A","W",if(LEFT(VLOOKUP($B574,'Round 3'!$B$2:$H$361,7,false),1)="B","L","")),if(LEFT(VLOOKUP($B574,'Round 3'!$F$2:$H$361,3,false),1)="b","W",if(LEFT(VLOOKUP($B574,'Round 3'!$F$2:$H$361,3,false),1)="a","L","")))</f>
        <v>L</v>
      </c>
      <c r="G574" s="67" t="str">
        <f>iferror(if(LEFT(VLOOKUP($B574,'Round 4'!$B$2:$H$361,7,false),1)="A","W",if(LEFT(VLOOKUP($B574,'Round 4'!$B$2:$H$361,7,false),1)="B","L","")),if(LEFT(VLOOKUP($B574,'Round 4'!$F$2:$H$361,3,false),1)="b","W",if(LEFT(VLOOKUP($B574,'Round 4'!$F$2:$H$361,3,false),1)="a","L","")))</f>
        <v>W</v>
      </c>
      <c r="H574" s="67" t="str">
        <f>iferror(if(LEFT(VLOOKUP($B574,'Round 5'!$B$2:$H$361,7,false),1)="A","W",if(LEFT(VLOOKUP($B574,'Round 5'!$B$2:$H$361,7,false),1)="B","L","")),if(LEFT(VLOOKUP($B574,'Round 5'!$F$2:$H$361,3,false),1)="b","W",if(LEFT(VLOOKUP($B574,'Round 5'!$F$2:$H$361,3,false),1)="a","L","")))</f>
        <v>W</v>
      </c>
      <c r="I574" s="67" t="str">
        <f>iferror(if(LEFT(VLOOKUP($B574,'Round 6'!$B$2:$H$361,7,false),1)="A","W",if(LEFT(VLOOKUP($B574,'Round 6'!$B$2:$H$361,7,false),1)="B","L","")),if(LEFT(VLOOKUP($B574,'Round 6'!$F$2:$H$361,3,false),1)="b","W",if(LEFT(VLOOKUP($B574,'Round 6'!$F$2:$H$361,3,false),1)="a","L","")))</f>
        <v>W</v>
      </c>
      <c r="J574" s="67" t="str">
        <f>iferror(iferror(if(LEFT(VLOOKUP($B574,'Round 7'!$B$2:$H$361,7,false),1)="A","W",if(LEFT(VLOOKUP($B574,'Round 7'!$B$2:$H$361,7,false),1)="B","L","")),if(LEFT(VLOOKUP($B574,'Round 7'!$F$2:$H$361,3,false),1)="b","W",if(LEFT(VLOOKUP($B574,'Round 7'!$F$2:$H$361,3,false),1)="a","L",""))),"")</f>
        <v>W</v>
      </c>
      <c r="K574" s="68" t="str">
        <f>iferror(iferror(if(LEFT(VLOOKUP($B574,'Round 8'!$B$2:$H$361,7,false),1)="A","W",if(LEFT(VLOOKUP($B574,'Round 8'!$B$2:$H$361,7,false),1)="B","L","")),if(LEFT(VLOOKUP($B574,'Round 8'!$F$2:$H$361,3,false),1)="b","W",if(LEFT(VLOOKUP($B574,'Round 8'!$F$2:$H$361,3,false),1)="a","L",""))),"")</f>
        <v>L</v>
      </c>
      <c r="L574" s="68" t="str">
        <f>iferror(iferror(if(LEFT(VLOOKUP($B574,'Round 9'!$B$2:$H$361,7,false),1)="A","W",if(LEFT(VLOOKUP($B574,'Round 9'!$B$2:$H$361,7,false),1)="B","L","")),if(LEFT(VLOOKUP($B574,'Round 9'!$F$2:$H$361,3,false),1)="b","W",if(LEFT(VLOOKUP($B574,'Round 9'!$F$2:$H$361,3,false),1)="a","L",""))),"")</f>
        <v/>
      </c>
      <c r="M574" s="68" t="str">
        <f>iferror(iferror(if(LEFT(VLOOKUP($B574,'Round 10'!$B$2:$H$362,7,false),1)="A","W",if(LEFT(VLOOKUP($B574,'Round 10'!$B$2:$H$362,7,false),1)="B","L","")),if(LEFT(VLOOKUP($B574,'Round 10'!$F$2:$H$362,3,false),1)="b","W",if(LEFT(VLOOKUP($B574,'Round 10'!$F$2:$H$362,3,false),1)="a","L",""))),"")</f>
        <v/>
      </c>
      <c r="N574" s="62" t="s">
        <v>1197</v>
      </c>
    </row>
    <row r="575">
      <c r="A575" s="63">
        <v>574.0</v>
      </c>
      <c r="B575" s="64" t="s">
        <v>1198</v>
      </c>
      <c r="C575" s="65" t="str">
        <f t="shared" si="1"/>
        <v>3 - 3</v>
      </c>
      <c r="D575" s="67" t="str">
        <f>iferror(if(LEFT(VLOOKUP($B575,'Round 1'!$B$2:$H$361,7,false),1)="A","W",if(LEFT(VLOOKUP($B575,'Round 1'!$B$2:$H$361,7,false),1)="B","L","")),if(LEFT(VLOOKUP($B575,'Round 1'!$F$2:$H$361,3,false),1)="b","W",if(LEFT(VLOOKUP($B575,'Round 1'!$F$2:$H$361,3,false),1)="a","L","")))</f>
        <v>L</v>
      </c>
      <c r="E575" s="67" t="str">
        <f>iferror(if(LEFT(VLOOKUP($B575,'Round 2'!$C$2:$J$361,8,false),1)="A","W",if(LEFT(VLOOKUP($B575,'Round 2'!$C$2:$J$361,8,false),1)="B","L","")),if(LEFT(VLOOKUP($B575,'Round 2'!$G$2:$J$361,4,false),1)="b","W",if(LEFT(VLOOKUP($B575,'Round 2'!$G$2:$J$361,4,false),1)="a","L","")))</f>
        <v>W</v>
      </c>
      <c r="F575" s="67" t="str">
        <f>iferror(if(LEFT(VLOOKUP($B575,'Round 3'!$B$2:$H$361,7,false),1)="A","W",if(LEFT(VLOOKUP($B575,'Round 3'!$B$2:$H$361,7,false),1)="B","L","")),if(LEFT(VLOOKUP($B575,'Round 3'!$F$2:$H$361,3,false),1)="b","W",if(LEFT(VLOOKUP($B575,'Round 3'!$F$2:$H$361,3,false),1)="a","L","")))</f>
        <v>W</v>
      </c>
      <c r="G575" s="67" t="str">
        <f>iferror(if(LEFT(VLOOKUP($B575,'Round 4'!$B$2:$H$361,7,false),1)="A","W",if(LEFT(VLOOKUP($B575,'Round 4'!$B$2:$H$361,7,false),1)="B","L","")),if(LEFT(VLOOKUP($B575,'Round 4'!$F$2:$H$361,3,false),1)="b","W",if(LEFT(VLOOKUP($B575,'Round 4'!$F$2:$H$361,3,false),1)="a","L","")))</f>
        <v>L</v>
      </c>
      <c r="H575" s="67" t="str">
        <f>iferror(if(LEFT(VLOOKUP($B575,'Round 5'!$B$2:$H$361,7,false),1)="A","W",if(LEFT(VLOOKUP($B575,'Round 5'!$B$2:$H$361,7,false),1)="B","L","")),if(LEFT(VLOOKUP($B575,'Round 5'!$F$2:$H$361,3,false),1)="b","W",if(LEFT(VLOOKUP($B575,'Round 5'!$F$2:$H$361,3,false),1)="a","L","")))</f>
        <v>W</v>
      </c>
      <c r="I575" s="67" t="str">
        <f>iferror(if(LEFT(VLOOKUP($B575,'Round 6'!$B$2:$H$361,7,false),1)="A","W",if(LEFT(VLOOKUP($B575,'Round 6'!$B$2:$H$361,7,false),1)="B","L","")),if(LEFT(VLOOKUP($B575,'Round 6'!$F$2:$H$361,3,false),1)="b","W",if(LEFT(VLOOKUP($B575,'Round 6'!$F$2:$H$361,3,false),1)="a","L","")))</f>
        <v>L</v>
      </c>
      <c r="J575" s="67" t="str">
        <f>iferror(iferror(if(LEFT(VLOOKUP($B575,'Round 7'!$B$2:$H$361,7,false),1)="A","W",if(LEFT(VLOOKUP($B575,'Round 7'!$B$2:$H$361,7,false),1)="B","L","")),if(LEFT(VLOOKUP($B575,'Round 7'!$F$2:$H$361,3,false),1)="b","W",if(LEFT(VLOOKUP($B575,'Round 7'!$F$2:$H$361,3,false),1)="a","L",""))),"")</f>
        <v/>
      </c>
      <c r="K575" s="68" t="str">
        <f>iferror(iferror(if(LEFT(VLOOKUP($B575,'Round 8'!$B$2:$H$361,7,false),1)="A","W",if(LEFT(VLOOKUP($B575,'Round 8'!$B$2:$H$361,7,false),1)="B","L","")),if(LEFT(VLOOKUP($B575,'Round 8'!$F$2:$H$361,3,false),1)="b","W",if(LEFT(VLOOKUP($B575,'Round 8'!$F$2:$H$361,3,false),1)="a","L",""))),"")</f>
        <v/>
      </c>
      <c r="L575" s="68" t="str">
        <f>iferror(iferror(if(LEFT(VLOOKUP($B575,'Round 9'!$B$2:$H$361,7,false),1)="A","W",if(LEFT(VLOOKUP($B575,'Round 9'!$B$2:$H$361,7,false),1)="B","L","")),if(LEFT(VLOOKUP($B575,'Round 9'!$F$2:$H$361,3,false),1)="b","W",if(LEFT(VLOOKUP($B575,'Round 9'!$F$2:$H$361,3,false),1)="a","L",""))),"")</f>
        <v/>
      </c>
      <c r="M575" s="68" t="str">
        <f>iferror(iferror(if(LEFT(VLOOKUP($B575,'Round 10'!$B$2:$H$362,7,false),1)="A","W",if(LEFT(VLOOKUP($B575,'Round 10'!$B$2:$H$362,7,false),1)="B","L","")),if(LEFT(VLOOKUP($B575,'Round 10'!$F$2:$H$362,3,false),1)="b","W",if(LEFT(VLOOKUP($B575,'Round 10'!$F$2:$H$362,3,false),1)="a","L",""))),"")</f>
        <v/>
      </c>
      <c r="N575" s="62" t="s">
        <v>1199</v>
      </c>
    </row>
    <row r="576">
      <c r="A576" s="63">
        <v>575.0</v>
      </c>
      <c r="B576" s="64" t="s">
        <v>1200</v>
      </c>
      <c r="C576" s="65" t="str">
        <f t="shared" si="1"/>
        <v>1 - 3</v>
      </c>
      <c r="D576" s="67" t="str">
        <f>iferror(if(LEFT(VLOOKUP($B576,'Round 1'!$B$2:$H$361,7,false),1)="A","W",if(LEFT(VLOOKUP($B576,'Round 1'!$B$2:$H$361,7,false),1)="B","L","")),if(LEFT(VLOOKUP($B576,'Round 1'!$F$2:$H$361,3,false),1)="b","W",if(LEFT(VLOOKUP($B576,'Round 1'!$F$2:$H$361,3,false),1)="a","L","")))</f>
        <v>L</v>
      </c>
      <c r="E576" s="67" t="str">
        <f>iferror(if(LEFT(VLOOKUP($B576,'Round 2'!$C$2:$J$361,8,false),1)="A","W",if(LEFT(VLOOKUP($B576,'Round 2'!$C$2:$J$361,8,false),1)="B","L","")),if(LEFT(VLOOKUP($B576,'Round 2'!$G$2:$J$361,4,false),1)="b","W",if(LEFT(VLOOKUP($B576,'Round 2'!$G$2:$J$361,4,false),1)="a","L","")))</f>
        <v>L</v>
      </c>
      <c r="F576" s="67" t="str">
        <f>iferror(if(LEFT(VLOOKUP($B576,'Round 3'!$B$2:$H$361,7,false),1)="A","W",if(LEFT(VLOOKUP($B576,'Round 3'!$B$2:$H$361,7,false),1)="B","L","")),if(LEFT(VLOOKUP($B576,'Round 3'!$F$2:$H$361,3,false),1)="b","W",if(LEFT(VLOOKUP($B576,'Round 3'!$F$2:$H$361,3,false),1)="a","L","")))</f>
        <v>W</v>
      </c>
      <c r="G576" s="67" t="str">
        <f>iferror(if(LEFT(VLOOKUP($B576,'Round 4'!$B$2:$H$361,7,false),1)="A","W",if(LEFT(VLOOKUP($B576,'Round 4'!$B$2:$H$361,7,false),1)="B","L","")),if(LEFT(VLOOKUP($B576,'Round 4'!$F$2:$H$361,3,false),1)="b","W",if(LEFT(VLOOKUP($B576,'Round 4'!$F$2:$H$361,3,false),1)="a","L","")))</f>
        <v>L</v>
      </c>
      <c r="H576" s="67"/>
      <c r="I576" s="67"/>
      <c r="J576" s="67" t="str">
        <f>iferror(iferror(if(LEFT(VLOOKUP($B576,'Round 7'!$B$2:$H$361,7,false),1)="A","W",if(LEFT(VLOOKUP($B576,'Round 7'!$B$2:$H$361,7,false),1)="B","L","")),if(LEFT(VLOOKUP($B576,'Round 7'!$F$2:$H$361,3,false),1)="b","W",if(LEFT(VLOOKUP($B576,'Round 7'!$F$2:$H$361,3,false),1)="a","L",""))),"")</f>
        <v/>
      </c>
      <c r="K576" s="68" t="str">
        <f>iferror(iferror(if(LEFT(VLOOKUP($B576,'Round 8'!$B$2:$H$361,7,false),1)="A","W",if(LEFT(VLOOKUP($B576,'Round 8'!$B$2:$H$361,7,false),1)="B","L","")),if(LEFT(VLOOKUP($B576,'Round 8'!$F$2:$H$361,3,false),1)="b","W",if(LEFT(VLOOKUP($B576,'Round 8'!$F$2:$H$361,3,false),1)="a","L",""))),"")</f>
        <v/>
      </c>
      <c r="L576" s="68" t="str">
        <f>iferror(iferror(if(LEFT(VLOOKUP($B576,'Round 9'!$B$2:$H$361,7,false),1)="A","W",if(LEFT(VLOOKUP($B576,'Round 9'!$B$2:$H$361,7,false),1)="B","L","")),if(LEFT(VLOOKUP($B576,'Round 9'!$F$2:$H$361,3,false),1)="b","W",if(LEFT(VLOOKUP($B576,'Round 9'!$F$2:$H$361,3,false),1)="a","L",""))),"")</f>
        <v/>
      </c>
      <c r="M576" s="68" t="str">
        <f>iferror(iferror(if(LEFT(VLOOKUP($B576,'Round 10'!$B$2:$H$362,7,false),1)="A","W",if(LEFT(VLOOKUP($B576,'Round 10'!$B$2:$H$362,7,false),1)="B","L","")),if(LEFT(VLOOKUP($B576,'Round 10'!$F$2:$H$362,3,false),1)="b","W",if(LEFT(VLOOKUP($B576,'Round 10'!$F$2:$H$362,3,false),1)="a","L",""))),"")</f>
        <v/>
      </c>
      <c r="N576" s="62" t="s">
        <v>1201</v>
      </c>
    </row>
    <row r="577">
      <c r="A577" s="63">
        <v>576.0</v>
      </c>
      <c r="B577" s="64" t="s">
        <v>1202</v>
      </c>
      <c r="C577" s="65" t="str">
        <f t="shared" si="1"/>
        <v>5 - 3</v>
      </c>
      <c r="D577" s="67" t="str">
        <f>iferror(if(LEFT(VLOOKUP($B577,'Round 1'!$B$2:$H$361,7,false),1)="A","W",if(LEFT(VLOOKUP($B577,'Round 1'!$B$2:$H$361,7,false),1)="B","L","")),if(LEFT(VLOOKUP($B577,'Round 1'!$F$2:$H$361,3,false),1)="b","W",if(LEFT(VLOOKUP($B577,'Round 1'!$F$2:$H$361,3,false),1)="a","L","")))</f>
        <v>W</v>
      </c>
      <c r="E577" s="67" t="str">
        <f>iferror(if(LEFT(VLOOKUP($B577,'Round 2'!$C$2:$J$361,8,false),1)="A","W",if(LEFT(VLOOKUP($B577,'Round 2'!$C$2:$J$361,8,false),1)="B","L","")),if(LEFT(VLOOKUP($B577,'Round 2'!$G$2:$J$361,4,false),1)="b","W",if(LEFT(VLOOKUP($B577,'Round 2'!$G$2:$J$361,4,false),1)="a","L","")))</f>
        <v>L</v>
      </c>
      <c r="F577" s="67" t="str">
        <f>iferror(if(LEFT(VLOOKUP($B577,'Round 3'!$B$2:$H$361,7,false),1)="A","W",if(LEFT(VLOOKUP($B577,'Round 3'!$B$2:$H$361,7,false),1)="B","L","")),if(LEFT(VLOOKUP($B577,'Round 3'!$F$2:$H$361,3,false),1)="b","W",if(LEFT(VLOOKUP($B577,'Round 3'!$F$2:$H$361,3,false),1)="a","L","")))</f>
        <v>W</v>
      </c>
      <c r="G577" s="67" t="str">
        <f>iferror(if(LEFT(VLOOKUP($B577,'Round 4'!$B$2:$H$361,7,false),1)="A","W",if(LEFT(VLOOKUP($B577,'Round 4'!$B$2:$H$361,7,false),1)="B","L","")),if(LEFT(VLOOKUP($B577,'Round 4'!$F$2:$H$361,3,false),1)="b","W",if(LEFT(VLOOKUP($B577,'Round 4'!$F$2:$H$361,3,false),1)="a","L","")))</f>
        <v>W</v>
      </c>
      <c r="H577" s="67" t="str">
        <f>iferror(if(LEFT(VLOOKUP($B577,'Round 5'!$B$2:$H$361,7,false),1)="A","W",if(LEFT(VLOOKUP($B577,'Round 5'!$B$2:$H$361,7,false),1)="B","L","")),if(LEFT(VLOOKUP($B577,'Round 5'!$F$2:$H$361,3,false),1)="b","W",if(LEFT(VLOOKUP($B577,'Round 5'!$F$2:$H$361,3,false),1)="a","L","")))</f>
        <v>L</v>
      </c>
      <c r="I577" s="67" t="str">
        <f>iferror(if(LEFT(VLOOKUP($B577,'Round 6'!$B$2:$H$361,7,false),1)="A","W",if(LEFT(VLOOKUP($B577,'Round 6'!$B$2:$H$361,7,false),1)="B","L","")),if(LEFT(VLOOKUP($B577,'Round 6'!$F$2:$H$361,3,false),1)="b","W",if(LEFT(VLOOKUP($B577,'Round 6'!$F$2:$H$361,3,false),1)="a","L","")))</f>
        <v>W</v>
      </c>
      <c r="J577" s="67" t="str">
        <f>iferror(iferror(if(LEFT(VLOOKUP($B577,'Round 7'!$B$2:$H$361,7,false),1)="A","W",if(LEFT(VLOOKUP($B577,'Round 7'!$B$2:$H$361,7,false),1)="B","L","")),if(LEFT(VLOOKUP($B577,'Round 7'!$F$2:$H$361,3,false),1)="b","W",if(LEFT(VLOOKUP($B577,'Round 7'!$F$2:$H$361,3,false),1)="a","L",""))),"")</f>
        <v>W</v>
      </c>
      <c r="K577" s="68" t="str">
        <f>iferror(iferror(if(LEFT(VLOOKUP($B577,'Round 8'!$B$2:$H$361,7,false),1)="A","W",if(LEFT(VLOOKUP($B577,'Round 8'!$B$2:$H$361,7,false),1)="B","L","")),if(LEFT(VLOOKUP($B577,'Round 8'!$F$2:$H$361,3,false),1)="b","W",if(LEFT(VLOOKUP($B577,'Round 8'!$F$2:$H$361,3,false),1)="a","L",""))),"")</f>
        <v>L</v>
      </c>
      <c r="L577" s="68" t="str">
        <f>iferror(iferror(if(LEFT(VLOOKUP($B577,'Round 9'!$B$2:$H$361,7,false),1)="A","W",if(LEFT(VLOOKUP($B577,'Round 9'!$B$2:$H$361,7,false),1)="B","L","")),if(LEFT(VLOOKUP($B577,'Round 9'!$F$2:$H$361,3,false),1)="b","W",if(LEFT(VLOOKUP($B577,'Round 9'!$F$2:$H$361,3,false),1)="a","L",""))),"")</f>
        <v/>
      </c>
      <c r="M577" s="68" t="str">
        <f>iferror(iferror(if(LEFT(VLOOKUP($B577,'Round 10'!$B$2:$H$362,7,false),1)="A","W",if(LEFT(VLOOKUP($B577,'Round 10'!$B$2:$H$362,7,false),1)="B","L","")),if(LEFT(VLOOKUP($B577,'Round 10'!$F$2:$H$362,3,false),1)="b","W",if(LEFT(VLOOKUP($B577,'Round 10'!$F$2:$H$362,3,false),1)="a","L",""))),"")</f>
        <v/>
      </c>
      <c r="N577" s="62" t="s">
        <v>1203</v>
      </c>
    </row>
    <row r="578">
      <c r="A578" s="63">
        <v>577.0</v>
      </c>
      <c r="B578" s="64" t="s">
        <v>1204</v>
      </c>
      <c r="C578" s="65" t="str">
        <f t="shared" si="1"/>
        <v>1 - 3</v>
      </c>
      <c r="D578" s="67" t="str">
        <f>iferror(if(LEFT(VLOOKUP($B578,'Round 1'!$B$2:$H$361,7,false),1)="A","W",if(LEFT(VLOOKUP($B578,'Round 1'!$B$2:$H$361,7,false),1)="B","L","")),if(LEFT(VLOOKUP($B578,'Round 1'!$F$2:$H$361,3,false),1)="b","W",if(LEFT(VLOOKUP($B578,'Round 1'!$F$2:$H$361,3,false),1)="a","L","")))</f>
        <v>L</v>
      </c>
      <c r="E578" s="67" t="str">
        <f>iferror(if(LEFT(VLOOKUP($B578,'Round 2'!$C$2:$J$361,8,false),1)="A","W",if(LEFT(VLOOKUP($B578,'Round 2'!$C$2:$J$361,8,false),1)="B","L","")),if(LEFT(VLOOKUP($B578,'Round 2'!$G$2:$J$361,4,false),1)="b","W",if(LEFT(VLOOKUP($B578,'Round 2'!$G$2:$J$361,4,false),1)="a","L","")))</f>
        <v>L</v>
      </c>
      <c r="F578" s="67" t="str">
        <f>iferror(if(LEFT(VLOOKUP($B578,'Round 3'!$B$2:$H$361,7,false),1)="A","W",if(LEFT(VLOOKUP($B578,'Round 3'!$B$2:$H$361,7,false),1)="B","L","")),if(LEFT(VLOOKUP($B578,'Round 3'!$F$2:$H$361,3,false),1)="b","W",if(LEFT(VLOOKUP($B578,'Round 3'!$F$2:$H$361,3,false),1)="a","L","")))</f>
        <v>W</v>
      </c>
      <c r="G578" s="67" t="str">
        <f>iferror(if(LEFT(VLOOKUP($B578,'Round 4'!$B$2:$H$361,7,false),1)="A","W",if(LEFT(VLOOKUP($B578,'Round 4'!$B$2:$H$361,7,false),1)="B","L","")),if(LEFT(VLOOKUP($B578,'Round 4'!$F$2:$H$361,3,false),1)="b","W",if(LEFT(VLOOKUP($B578,'Round 4'!$F$2:$H$361,3,false),1)="a","L","")))</f>
        <v>L</v>
      </c>
      <c r="H578" s="67"/>
      <c r="I578" s="67"/>
      <c r="J578" s="67" t="str">
        <f>iferror(iferror(if(LEFT(VLOOKUP($B578,'Round 7'!$B$2:$H$361,7,false),1)="A","W",if(LEFT(VLOOKUP($B578,'Round 7'!$B$2:$H$361,7,false),1)="B","L","")),if(LEFT(VLOOKUP($B578,'Round 7'!$F$2:$H$361,3,false),1)="b","W",if(LEFT(VLOOKUP($B578,'Round 7'!$F$2:$H$361,3,false),1)="a","L",""))),"")</f>
        <v/>
      </c>
      <c r="K578" s="68" t="str">
        <f>iferror(iferror(if(LEFT(VLOOKUP($B578,'Round 8'!$B$2:$H$361,7,false),1)="A","W",if(LEFT(VLOOKUP($B578,'Round 8'!$B$2:$H$361,7,false),1)="B","L","")),if(LEFT(VLOOKUP($B578,'Round 8'!$F$2:$H$361,3,false),1)="b","W",if(LEFT(VLOOKUP($B578,'Round 8'!$F$2:$H$361,3,false),1)="a","L",""))),"")</f>
        <v/>
      </c>
      <c r="L578" s="68" t="str">
        <f>iferror(iferror(if(LEFT(VLOOKUP($B578,'Round 9'!$B$2:$H$361,7,false),1)="A","W",if(LEFT(VLOOKUP($B578,'Round 9'!$B$2:$H$361,7,false),1)="B","L","")),if(LEFT(VLOOKUP($B578,'Round 9'!$F$2:$H$361,3,false),1)="b","W",if(LEFT(VLOOKUP($B578,'Round 9'!$F$2:$H$361,3,false),1)="a","L",""))),"")</f>
        <v/>
      </c>
      <c r="M578" s="68" t="str">
        <f>iferror(iferror(if(LEFT(VLOOKUP($B578,'Round 10'!$B$2:$H$362,7,false),1)="A","W",if(LEFT(VLOOKUP($B578,'Round 10'!$B$2:$H$362,7,false),1)="B","L","")),if(LEFT(VLOOKUP($B578,'Round 10'!$F$2:$H$362,3,false),1)="b","W",if(LEFT(VLOOKUP($B578,'Round 10'!$F$2:$H$362,3,false),1)="a","L",""))),"")</f>
        <v/>
      </c>
      <c r="N578" s="62" t="s">
        <v>1205</v>
      </c>
    </row>
    <row r="579">
      <c r="A579" s="63">
        <v>578.0</v>
      </c>
      <c r="B579" s="64" t="s">
        <v>1206</v>
      </c>
      <c r="C579" s="65" t="str">
        <f t="shared" si="1"/>
        <v>4 - 3</v>
      </c>
      <c r="D579" s="67" t="str">
        <f>iferror(if(LEFT(VLOOKUP($B579,'Round 1'!$B$2:$H$361,7,false),1)="A","W",if(LEFT(VLOOKUP($B579,'Round 1'!$B$2:$H$361,7,false),1)="B","L","")),if(LEFT(VLOOKUP($B579,'Round 1'!$F$2:$H$361,3,false),1)="b","W",if(LEFT(VLOOKUP($B579,'Round 1'!$F$2:$H$361,3,false),1)="a","L","")))</f>
        <v>W</v>
      </c>
      <c r="E579" s="67" t="str">
        <f>iferror(if(LEFT(VLOOKUP($B579,'Round 2'!$C$2:$J$361,8,false),1)="A","W",if(LEFT(VLOOKUP($B579,'Round 2'!$C$2:$J$361,8,false),1)="B","L","")),if(LEFT(VLOOKUP($B579,'Round 2'!$G$2:$J$361,4,false),1)="b","W",if(LEFT(VLOOKUP($B579,'Round 2'!$G$2:$J$361,4,false),1)="a","L","")))</f>
        <v>L</v>
      </c>
      <c r="F579" s="67" t="str">
        <f>iferror(if(LEFT(VLOOKUP($B579,'Round 3'!$B$2:$H$361,7,false),1)="A","W",if(LEFT(VLOOKUP($B579,'Round 3'!$B$2:$H$361,7,false),1)="B","L","")),if(LEFT(VLOOKUP($B579,'Round 3'!$F$2:$H$361,3,false),1)="b","W",if(LEFT(VLOOKUP($B579,'Round 3'!$F$2:$H$361,3,false),1)="a","L","")))</f>
        <v>W</v>
      </c>
      <c r="G579" s="67" t="str">
        <f>iferror(if(LEFT(VLOOKUP($B579,'Round 4'!$B$2:$H$361,7,false),1)="A","W",if(LEFT(VLOOKUP($B579,'Round 4'!$B$2:$H$361,7,false),1)="B","L","")),if(LEFT(VLOOKUP($B579,'Round 4'!$F$2:$H$361,3,false),1)="b","W",if(LEFT(VLOOKUP($B579,'Round 4'!$F$2:$H$361,3,false),1)="a","L","")))</f>
        <v>W</v>
      </c>
      <c r="H579" s="67" t="str">
        <f>iferror(if(LEFT(VLOOKUP($B579,'Round 5'!$B$2:$H$361,7,false),1)="A","W",if(LEFT(VLOOKUP($B579,'Round 5'!$B$2:$H$361,7,false),1)="B","L","")),if(LEFT(VLOOKUP($B579,'Round 5'!$F$2:$H$361,3,false),1)="b","W",if(LEFT(VLOOKUP($B579,'Round 5'!$F$2:$H$361,3,false),1)="a","L","")))</f>
        <v>L</v>
      </c>
      <c r="I579" s="67" t="str">
        <f>iferror(if(LEFT(VLOOKUP($B579,'Round 6'!$B$2:$H$361,7,false),1)="A","W",if(LEFT(VLOOKUP($B579,'Round 6'!$B$2:$H$361,7,false),1)="B","L","")),if(LEFT(VLOOKUP($B579,'Round 6'!$F$2:$H$361,3,false),1)="b","W",if(LEFT(VLOOKUP($B579,'Round 6'!$F$2:$H$361,3,false),1)="a","L","")))</f>
        <v>W</v>
      </c>
      <c r="J579" s="67" t="str">
        <f>iferror(iferror(if(LEFT(VLOOKUP($B579,'Round 7'!$B$2:$H$361,7,false),1)="A","W",if(LEFT(VLOOKUP($B579,'Round 7'!$B$2:$H$361,7,false),1)="B","L","")),if(LEFT(VLOOKUP($B579,'Round 7'!$F$2:$H$361,3,false),1)="b","W",if(LEFT(VLOOKUP($B579,'Round 7'!$F$2:$H$361,3,false),1)="a","L",""))),"")</f>
        <v>L</v>
      </c>
      <c r="K579" s="68" t="str">
        <f>iferror(iferror(if(LEFT(VLOOKUP($B579,'Round 8'!$B$2:$H$361,7,false),1)="A","W",if(LEFT(VLOOKUP($B579,'Round 8'!$B$2:$H$361,7,false),1)="B","L","")),if(LEFT(VLOOKUP($B579,'Round 8'!$F$2:$H$361,3,false),1)="b","W",if(LEFT(VLOOKUP($B579,'Round 8'!$F$2:$H$361,3,false),1)="a","L",""))),"")</f>
        <v/>
      </c>
      <c r="L579" s="68" t="str">
        <f>iferror(iferror(if(LEFT(VLOOKUP($B579,'Round 9'!$B$2:$H$361,7,false),1)="A","W",if(LEFT(VLOOKUP($B579,'Round 9'!$B$2:$H$361,7,false),1)="B","L","")),if(LEFT(VLOOKUP($B579,'Round 9'!$F$2:$H$361,3,false),1)="b","W",if(LEFT(VLOOKUP($B579,'Round 9'!$F$2:$H$361,3,false),1)="a","L",""))),"")</f>
        <v/>
      </c>
      <c r="M579" s="68" t="str">
        <f>iferror(iferror(if(LEFT(VLOOKUP($B579,'Round 10'!$B$2:$H$362,7,false),1)="A","W",if(LEFT(VLOOKUP($B579,'Round 10'!$B$2:$H$362,7,false),1)="B","L","")),if(LEFT(VLOOKUP($B579,'Round 10'!$F$2:$H$362,3,false),1)="b","W",if(LEFT(VLOOKUP($B579,'Round 10'!$F$2:$H$362,3,false),1)="a","L",""))),"")</f>
        <v/>
      </c>
      <c r="N579" s="62" t="s">
        <v>1207</v>
      </c>
    </row>
    <row r="580">
      <c r="A580" s="63">
        <v>579.0</v>
      </c>
      <c r="B580" s="64" t="s">
        <v>1208</v>
      </c>
      <c r="C580" s="65" t="str">
        <f t="shared" si="1"/>
        <v>3 - 3</v>
      </c>
      <c r="D580" s="67" t="str">
        <f>iferror(if(LEFT(VLOOKUP($B580,'Round 1'!$B$2:$H$361,7,false),1)="A","W",if(LEFT(VLOOKUP($B580,'Round 1'!$B$2:$H$361,7,false),1)="B","L","")),if(LEFT(VLOOKUP($B580,'Round 1'!$F$2:$H$361,3,false),1)="b","W",if(LEFT(VLOOKUP($B580,'Round 1'!$F$2:$H$361,3,false),1)="a","L","")))</f>
        <v>L</v>
      </c>
      <c r="E580" s="67" t="str">
        <f>iferror(if(LEFT(VLOOKUP($B580,'Round 2'!$C$2:$J$361,8,false),1)="A","W",if(LEFT(VLOOKUP($B580,'Round 2'!$C$2:$J$361,8,false),1)="B","L","")),if(LEFT(VLOOKUP($B580,'Round 2'!$G$2:$J$361,4,false),1)="b","W",if(LEFT(VLOOKUP($B580,'Round 2'!$G$2:$J$361,4,false),1)="a","L","")))</f>
        <v>W</v>
      </c>
      <c r="F580" s="67" t="str">
        <f>iferror(if(LEFT(VLOOKUP($B580,'Round 3'!$B$2:$H$361,7,false),1)="A","W",if(LEFT(VLOOKUP($B580,'Round 3'!$B$2:$H$361,7,false),1)="B","L","")),if(LEFT(VLOOKUP($B580,'Round 3'!$F$2:$H$361,3,false),1)="b","W",if(LEFT(VLOOKUP($B580,'Round 3'!$F$2:$H$361,3,false),1)="a","L","")))</f>
        <v>L</v>
      </c>
      <c r="G580" s="67" t="str">
        <f>iferror(if(LEFT(VLOOKUP($B580,'Round 4'!$B$2:$H$361,7,false),1)="A","W",if(LEFT(VLOOKUP($B580,'Round 4'!$B$2:$H$361,7,false),1)="B","L","")),if(LEFT(VLOOKUP($B580,'Round 4'!$F$2:$H$361,3,false),1)="b","W",if(LEFT(VLOOKUP($B580,'Round 4'!$F$2:$H$361,3,false),1)="a","L","")))</f>
        <v>W</v>
      </c>
      <c r="H580" s="67" t="str">
        <f>iferror(if(LEFT(VLOOKUP($B580,'Round 5'!$B$2:$H$361,7,false),1)="A","W",if(LEFT(VLOOKUP($B580,'Round 5'!$B$2:$H$361,7,false),1)="B","L","")),if(LEFT(VLOOKUP($B580,'Round 5'!$F$2:$H$361,3,false),1)="b","W",if(LEFT(VLOOKUP($B580,'Round 5'!$F$2:$H$361,3,false),1)="a","L","")))</f>
        <v>W</v>
      </c>
      <c r="I580" s="67" t="str">
        <f>iferror(if(LEFT(VLOOKUP($B580,'Round 6'!$B$2:$H$361,7,false),1)="A","W",if(LEFT(VLOOKUP($B580,'Round 6'!$B$2:$H$361,7,false),1)="B","L","")),if(LEFT(VLOOKUP($B580,'Round 6'!$F$2:$H$361,3,false),1)="b","W",if(LEFT(VLOOKUP($B580,'Round 6'!$F$2:$H$361,3,false),1)="a","L","")))</f>
        <v>L</v>
      </c>
      <c r="J580" s="67" t="str">
        <f>iferror(iferror(if(LEFT(VLOOKUP($B580,'Round 7'!$B$2:$H$361,7,false),1)="A","W",if(LEFT(VLOOKUP($B580,'Round 7'!$B$2:$H$361,7,false),1)="B","L","")),if(LEFT(VLOOKUP($B580,'Round 7'!$F$2:$H$361,3,false),1)="b","W",if(LEFT(VLOOKUP($B580,'Round 7'!$F$2:$H$361,3,false),1)="a","L",""))),"")</f>
        <v/>
      </c>
      <c r="K580" s="68" t="str">
        <f>iferror(iferror(if(LEFT(VLOOKUP($B580,'Round 8'!$B$2:$H$361,7,false),1)="A","W",if(LEFT(VLOOKUP($B580,'Round 8'!$B$2:$H$361,7,false),1)="B","L","")),if(LEFT(VLOOKUP($B580,'Round 8'!$F$2:$H$361,3,false),1)="b","W",if(LEFT(VLOOKUP($B580,'Round 8'!$F$2:$H$361,3,false),1)="a","L",""))),"")</f>
        <v/>
      </c>
      <c r="L580" s="68" t="str">
        <f>iferror(iferror(if(LEFT(VLOOKUP($B580,'Round 9'!$B$2:$H$361,7,false),1)="A","W",if(LEFT(VLOOKUP($B580,'Round 9'!$B$2:$H$361,7,false),1)="B","L","")),if(LEFT(VLOOKUP($B580,'Round 9'!$F$2:$H$361,3,false),1)="b","W",if(LEFT(VLOOKUP($B580,'Round 9'!$F$2:$H$361,3,false),1)="a","L",""))),"")</f>
        <v/>
      </c>
      <c r="M580" s="68" t="str">
        <f>iferror(iferror(if(LEFT(VLOOKUP($B580,'Round 10'!$B$2:$H$362,7,false),1)="A","W",if(LEFT(VLOOKUP($B580,'Round 10'!$B$2:$H$362,7,false),1)="B","L","")),if(LEFT(VLOOKUP($B580,'Round 10'!$F$2:$H$362,3,false),1)="b","W",if(LEFT(VLOOKUP($B580,'Round 10'!$F$2:$H$362,3,false),1)="a","L",""))),"")</f>
        <v/>
      </c>
      <c r="N580" s="62" t="s">
        <v>1209</v>
      </c>
    </row>
    <row r="581">
      <c r="A581" s="63">
        <v>580.0</v>
      </c>
      <c r="B581" s="64" t="s">
        <v>1210</v>
      </c>
      <c r="C581" s="65" t="str">
        <f t="shared" si="1"/>
        <v>1 - 3</v>
      </c>
      <c r="D581" s="67" t="str">
        <f>iferror(if(LEFT(VLOOKUP($B581,'Round 1'!$B$2:$H$361,7,false),1)="A","W",if(LEFT(VLOOKUP($B581,'Round 1'!$B$2:$H$361,7,false),1)="B","L","")),if(LEFT(VLOOKUP($B581,'Round 1'!$F$2:$H$361,3,false),1)="b","W",if(LEFT(VLOOKUP($B581,'Round 1'!$F$2:$H$361,3,false),1)="a","L","")))</f>
        <v>W</v>
      </c>
      <c r="E581" s="67" t="str">
        <f>iferror(if(LEFT(VLOOKUP($B581,'Round 2'!$C$2:$J$361,8,false),1)="A","W",if(LEFT(VLOOKUP($B581,'Round 2'!$C$2:$J$361,8,false),1)="B","L","")),if(LEFT(VLOOKUP($B581,'Round 2'!$G$2:$J$361,4,false),1)="b","W",if(LEFT(VLOOKUP($B581,'Round 2'!$G$2:$J$361,4,false),1)="a","L","")))</f>
        <v>L</v>
      </c>
      <c r="F581" s="67" t="str">
        <f>iferror(if(LEFT(VLOOKUP($B581,'Round 3'!$B$2:$H$361,7,false),1)="A","W",if(LEFT(VLOOKUP($B581,'Round 3'!$B$2:$H$361,7,false),1)="B","L","")),if(LEFT(VLOOKUP($B581,'Round 3'!$F$2:$H$361,3,false),1)="b","W",if(LEFT(VLOOKUP($B581,'Round 3'!$F$2:$H$361,3,false),1)="a","L","")))</f>
        <v>L</v>
      </c>
      <c r="G581" s="67" t="str">
        <f>iferror(if(LEFT(VLOOKUP($B581,'Round 4'!$B$2:$H$361,7,false),1)="A","W",if(LEFT(VLOOKUP($B581,'Round 4'!$B$2:$H$361,7,false),1)="B","L","")),if(LEFT(VLOOKUP($B581,'Round 4'!$F$2:$H$361,3,false),1)="b","W",if(LEFT(VLOOKUP($B581,'Round 4'!$F$2:$H$361,3,false),1)="a","L","")))</f>
        <v>L</v>
      </c>
      <c r="H581" s="67"/>
      <c r="I581" s="67"/>
      <c r="J581" s="67" t="str">
        <f>iferror(iferror(if(LEFT(VLOOKUP($B581,'Round 7'!$B$2:$H$361,7,false),1)="A","W",if(LEFT(VLOOKUP($B581,'Round 7'!$B$2:$H$361,7,false),1)="B","L","")),if(LEFT(VLOOKUP($B581,'Round 7'!$F$2:$H$361,3,false),1)="b","W",if(LEFT(VLOOKUP($B581,'Round 7'!$F$2:$H$361,3,false),1)="a","L",""))),"")</f>
        <v/>
      </c>
      <c r="K581" s="68" t="str">
        <f>iferror(iferror(if(LEFT(VLOOKUP($B581,'Round 8'!$B$2:$H$361,7,false),1)="A","W",if(LEFT(VLOOKUP($B581,'Round 8'!$B$2:$H$361,7,false),1)="B","L","")),if(LEFT(VLOOKUP($B581,'Round 8'!$F$2:$H$361,3,false),1)="b","W",if(LEFT(VLOOKUP($B581,'Round 8'!$F$2:$H$361,3,false),1)="a","L",""))),"")</f>
        <v/>
      </c>
      <c r="L581" s="68" t="str">
        <f>iferror(iferror(if(LEFT(VLOOKUP($B581,'Round 9'!$B$2:$H$361,7,false),1)="A","W",if(LEFT(VLOOKUP($B581,'Round 9'!$B$2:$H$361,7,false),1)="B","L","")),if(LEFT(VLOOKUP($B581,'Round 9'!$F$2:$H$361,3,false),1)="b","W",if(LEFT(VLOOKUP($B581,'Round 9'!$F$2:$H$361,3,false),1)="a","L",""))),"")</f>
        <v/>
      </c>
      <c r="M581" s="68" t="str">
        <f>iferror(iferror(if(LEFT(VLOOKUP($B581,'Round 10'!$B$2:$H$362,7,false),1)="A","W",if(LEFT(VLOOKUP($B581,'Round 10'!$B$2:$H$362,7,false),1)="B","L","")),if(LEFT(VLOOKUP($B581,'Round 10'!$F$2:$H$362,3,false),1)="b","W",if(LEFT(VLOOKUP($B581,'Round 10'!$F$2:$H$362,3,false),1)="a","L",""))),"")</f>
        <v/>
      </c>
      <c r="N581" s="62" t="s">
        <v>1211</v>
      </c>
    </row>
    <row r="582">
      <c r="A582" s="63">
        <v>581.0</v>
      </c>
      <c r="B582" s="64" t="s">
        <v>1212</v>
      </c>
      <c r="C582" s="65" t="str">
        <f t="shared" si="1"/>
        <v>2 - 3</v>
      </c>
      <c r="D582" s="67" t="str">
        <f>iferror(if(LEFT(VLOOKUP($B582,'Round 1'!$B$2:$H$361,7,false),1)="A","W",if(LEFT(VLOOKUP($B582,'Round 1'!$B$2:$H$361,7,false),1)="B","L","")),if(LEFT(VLOOKUP($B582,'Round 1'!$F$2:$H$361,3,false),1)="b","W",if(LEFT(VLOOKUP($B582,'Round 1'!$F$2:$H$361,3,false),1)="a","L","")))</f>
        <v>W</v>
      </c>
      <c r="E582" s="67" t="str">
        <f>iferror(if(LEFT(VLOOKUP($B582,'Round 2'!$C$2:$J$361,8,false),1)="A","W",if(LEFT(VLOOKUP($B582,'Round 2'!$C$2:$J$361,8,false),1)="B","L","")),if(LEFT(VLOOKUP($B582,'Round 2'!$G$2:$J$361,4,false),1)="b","W",if(LEFT(VLOOKUP($B582,'Round 2'!$G$2:$J$361,4,false),1)="a","L","")))</f>
        <v>W</v>
      </c>
      <c r="F582" s="67" t="str">
        <f>iferror(if(LEFT(VLOOKUP($B582,'Round 3'!$B$2:$H$361,7,false),1)="A","W",if(LEFT(VLOOKUP($B582,'Round 3'!$B$2:$H$361,7,false),1)="B","L","")),if(LEFT(VLOOKUP($B582,'Round 3'!$F$2:$H$361,3,false),1)="b","W",if(LEFT(VLOOKUP($B582,'Round 3'!$F$2:$H$361,3,false),1)="a","L","")))</f>
        <v>L</v>
      </c>
      <c r="G582" s="67" t="str">
        <f>iferror(if(LEFT(VLOOKUP($B582,'Round 4'!$B$2:$H$361,7,false),1)="A","W",if(LEFT(VLOOKUP($B582,'Round 4'!$B$2:$H$361,7,false),1)="B","L","")),if(LEFT(VLOOKUP($B582,'Round 4'!$F$2:$H$361,3,false),1)="b","W",if(LEFT(VLOOKUP($B582,'Round 4'!$F$2:$H$361,3,false),1)="a","L","")))</f>
        <v>L</v>
      </c>
      <c r="H582" s="67" t="str">
        <f>iferror(if(LEFT(VLOOKUP($B582,'Round 5'!$B$2:$H$361,7,false),1)="A","W",if(LEFT(VLOOKUP($B582,'Round 5'!$B$2:$H$361,7,false),1)="B","L","")),if(LEFT(VLOOKUP($B582,'Round 5'!$F$2:$H$361,3,false),1)="b","W",if(LEFT(VLOOKUP($B582,'Round 5'!$F$2:$H$361,3,false),1)="a","L","")))</f>
        <v>L</v>
      </c>
      <c r="I582" s="67"/>
      <c r="J582" s="67" t="str">
        <f>iferror(iferror(if(LEFT(VLOOKUP($B582,'Round 7'!$B$2:$H$361,7,false),1)="A","W",if(LEFT(VLOOKUP($B582,'Round 7'!$B$2:$H$361,7,false),1)="B","L","")),if(LEFT(VLOOKUP($B582,'Round 7'!$F$2:$H$361,3,false),1)="b","W",if(LEFT(VLOOKUP($B582,'Round 7'!$F$2:$H$361,3,false),1)="a","L",""))),"")</f>
        <v/>
      </c>
      <c r="K582" s="68" t="str">
        <f>iferror(iferror(if(LEFT(VLOOKUP($B582,'Round 8'!$B$2:$H$361,7,false),1)="A","W",if(LEFT(VLOOKUP($B582,'Round 8'!$B$2:$H$361,7,false),1)="B","L","")),if(LEFT(VLOOKUP($B582,'Round 8'!$F$2:$H$361,3,false),1)="b","W",if(LEFT(VLOOKUP($B582,'Round 8'!$F$2:$H$361,3,false),1)="a","L",""))),"")</f>
        <v/>
      </c>
      <c r="L582" s="68" t="str">
        <f>iferror(iferror(if(LEFT(VLOOKUP($B582,'Round 9'!$B$2:$H$361,7,false),1)="A","W",if(LEFT(VLOOKUP($B582,'Round 9'!$B$2:$H$361,7,false),1)="B","L","")),if(LEFT(VLOOKUP($B582,'Round 9'!$F$2:$H$361,3,false),1)="b","W",if(LEFT(VLOOKUP($B582,'Round 9'!$F$2:$H$361,3,false),1)="a","L",""))),"")</f>
        <v/>
      </c>
      <c r="M582" s="68" t="str">
        <f>iferror(iferror(if(LEFT(VLOOKUP($B582,'Round 10'!$B$2:$H$362,7,false),1)="A","W",if(LEFT(VLOOKUP($B582,'Round 10'!$B$2:$H$362,7,false),1)="B","L","")),if(LEFT(VLOOKUP($B582,'Round 10'!$F$2:$H$362,3,false),1)="b","W",if(LEFT(VLOOKUP($B582,'Round 10'!$F$2:$H$362,3,false),1)="a","L",""))),"")</f>
        <v/>
      </c>
      <c r="N582" s="62" t="s">
        <v>1213</v>
      </c>
    </row>
    <row r="583">
      <c r="A583" s="63">
        <v>582.0</v>
      </c>
      <c r="B583" s="64" t="s">
        <v>1214</v>
      </c>
      <c r="C583" s="65" t="str">
        <f t="shared" si="1"/>
        <v>2 - 3</v>
      </c>
      <c r="D583" s="67" t="str">
        <f>iferror(if(LEFT(VLOOKUP($B583,'Round 1'!$B$2:$H$361,7,false),1)="A","W",if(LEFT(VLOOKUP($B583,'Round 1'!$B$2:$H$361,7,false),1)="B","L","")),if(LEFT(VLOOKUP($B583,'Round 1'!$F$2:$H$361,3,false),1)="b","W",if(LEFT(VLOOKUP($B583,'Round 1'!$F$2:$H$361,3,false),1)="a","L","")))</f>
        <v>L</v>
      </c>
      <c r="E583" s="67" t="str">
        <f>iferror(if(LEFT(VLOOKUP($B583,'Round 2'!$C$2:$J$361,8,false),1)="A","W",if(LEFT(VLOOKUP($B583,'Round 2'!$C$2:$J$361,8,false),1)="B","L","")),if(LEFT(VLOOKUP($B583,'Round 2'!$G$2:$J$361,4,false),1)="b","W",if(LEFT(VLOOKUP($B583,'Round 2'!$G$2:$J$361,4,false),1)="a","L","")))</f>
        <v>W</v>
      </c>
      <c r="F583" s="67" t="str">
        <f>iferror(if(LEFT(VLOOKUP($B583,'Round 3'!$B$2:$H$361,7,false),1)="A","W",if(LEFT(VLOOKUP($B583,'Round 3'!$B$2:$H$361,7,false),1)="B","L","")),if(LEFT(VLOOKUP($B583,'Round 3'!$F$2:$H$361,3,false),1)="b","W",if(LEFT(VLOOKUP($B583,'Round 3'!$F$2:$H$361,3,false),1)="a","L","")))</f>
        <v>W</v>
      </c>
      <c r="G583" s="67" t="str">
        <f>iferror(if(LEFT(VLOOKUP($B583,'Round 4'!$B$2:$H$361,7,false),1)="A","W",if(LEFT(VLOOKUP($B583,'Round 4'!$B$2:$H$361,7,false),1)="B","L","")),if(LEFT(VLOOKUP($B583,'Round 4'!$F$2:$H$361,3,false),1)="b","W",if(LEFT(VLOOKUP($B583,'Round 4'!$F$2:$H$361,3,false),1)="a","L","")))</f>
        <v>L</v>
      </c>
      <c r="H583" s="67" t="str">
        <f>iferror(if(LEFT(VLOOKUP($B583,'Round 5'!$B$2:$H$361,7,false),1)="A","W",if(LEFT(VLOOKUP($B583,'Round 5'!$B$2:$H$361,7,false),1)="B","L","")),if(LEFT(VLOOKUP($B583,'Round 5'!$F$2:$H$361,3,false),1)="b","W",if(LEFT(VLOOKUP($B583,'Round 5'!$F$2:$H$361,3,false),1)="a","L","")))</f>
        <v>L</v>
      </c>
      <c r="I583" s="67"/>
      <c r="J583" s="67" t="str">
        <f>iferror(iferror(if(LEFT(VLOOKUP($B583,'Round 7'!$B$2:$H$361,7,false),1)="A","W",if(LEFT(VLOOKUP($B583,'Round 7'!$B$2:$H$361,7,false),1)="B","L","")),if(LEFT(VLOOKUP($B583,'Round 7'!$F$2:$H$361,3,false),1)="b","W",if(LEFT(VLOOKUP($B583,'Round 7'!$F$2:$H$361,3,false),1)="a","L",""))),"")</f>
        <v/>
      </c>
      <c r="K583" s="68" t="str">
        <f>iferror(iferror(if(LEFT(VLOOKUP($B583,'Round 8'!$B$2:$H$361,7,false),1)="A","W",if(LEFT(VLOOKUP($B583,'Round 8'!$B$2:$H$361,7,false),1)="B","L","")),if(LEFT(VLOOKUP($B583,'Round 8'!$F$2:$H$361,3,false),1)="b","W",if(LEFT(VLOOKUP($B583,'Round 8'!$F$2:$H$361,3,false),1)="a","L",""))),"")</f>
        <v/>
      </c>
      <c r="L583" s="68" t="str">
        <f>iferror(iferror(if(LEFT(VLOOKUP($B583,'Round 9'!$B$2:$H$361,7,false),1)="A","W",if(LEFT(VLOOKUP($B583,'Round 9'!$B$2:$H$361,7,false),1)="B","L","")),if(LEFT(VLOOKUP($B583,'Round 9'!$F$2:$H$361,3,false),1)="b","W",if(LEFT(VLOOKUP($B583,'Round 9'!$F$2:$H$361,3,false),1)="a","L",""))),"")</f>
        <v/>
      </c>
      <c r="M583" s="68" t="str">
        <f>iferror(iferror(if(LEFT(VLOOKUP($B583,'Round 10'!$B$2:$H$362,7,false),1)="A","W",if(LEFT(VLOOKUP($B583,'Round 10'!$B$2:$H$362,7,false),1)="B","L","")),if(LEFT(VLOOKUP($B583,'Round 10'!$F$2:$H$362,3,false),1)="b","W",if(LEFT(VLOOKUP($B583,'Round 10'!$F$2:$H$362,3,false),1)="a","L",""))),"")</f>
        <v/>
      </c>
      <c r="N583" s="62" t="s">
        <v>1215</v>
      </c>
    </row>
    <row r="584">
      <c r="A584" s="63">
        <v>583.0</v>
      </c>
      <c r="B584" s="64" t="s">
        <v>1216</v>
      </c>
      <c r="C584" s="65" t="str">
        <f t="shared" si="1"/>
        <v>2 - 3</v>
      </c>
      <c r="D584" s="67" t="str">
        <f>iferror(if(LEFT(VLOOKUP($B584,'Round 1'!$B$2:$H$361,7,false),1)="A","W",if(LEFT(VLOOKUP($B584,'Round 1'!$B$2:$H$361,7,false),1)="B","L","")),if(LEFT(VLOOKUP($B584,'Round 1'!$F$2:$H$361,3,false),1)="b","W",if(LEFT(VLOOKUP($B584,'Round 1'!$F$2:$H$361,3,false),1)="a","L","")))</f>
        <v>L</v>
      </c>
      <c r="E584" s="67" t="str">
        <f>iferror(if(LEFT(VLOOKUP($B584,'Round 2'!$C$2:$J$361,8,false),1)="A","W",if(LEFT(VLOOKUP($B584,'Round 2'!$C$2:$J$361,8,false),1)="B","L","")),if(LEFT(VLOOKUP($B584,'Round 2'!$G$2:$J$361,4,false),1)="b","W",if(LEFT(VLOOKUP($B584,'Round 2'!$G$2:$J$361,4,false),1)="a","L","")))</f>
        <v>L</v>
      </c>
      <c r="F584" s="67" t="str">
        <f>iferror(if(LEFT(VLOOKUP($B584,'Round 3'!$B$2:$H$361,7,false),1)="A","W",if(LEFT(VLOOKUP($B584,'Round 3'!$B$2:$H$361,7,false),1)="B","L","")),if(LEFT(VLOOKUP($B584,'Round 3'!$F$2:$H$361,3,false),1)="b","W",if(LEFT(VLOOKUP($B584,'Round 3'!$F$2:$H$361,3,false),1)="a","L","")))</f>
        <v>W</v>
      </c>
      <c r="G584" s="67" t="str">
        <f>iferror(if(LEFT(VLOOKUP($B584,'Round 4'!$B$2:$H$361,7,false),1)="A","W",if(LEFT(VLOOKUP($B584,'Round 4'!$B$2:$H$361,7,false),1)="B","L","")),if(LEFT(VLOOKUP($B584,'Round 4'!$F$2:$H$361,3,false),1)="b","W",if(LEFT(VLOOKUP($B584,'Round 4'!$F$2:$H$361,3,false),1)="a","L","")))</f>
        <v>W</v>
      </c>
      <c r="H584" s="67" t="str">
        <f>iferror(if(LEFT(VLOOKUP($B584,'Round 5'!$B$2:$H$361,7,false),1)="A","W",if(LEFT(VLOOKUP($B584,'Round 5'!$B$2:$H$361,7,false),1)="B","L","")),if(LEFT(VLOOKUP($B584,'Round 5'!$F$2:$H$361,3,false),1)="b","W",if(LEFT(VLOOKUP($B584,'Round 5'!$F$2:$H$361,3,false),1)="a","L","")))</f>
        <v>L</v>
      </c>
      <c r="I584" s="67"/>
      <c r="J584" s="67" t="str">
        <f>iferror(iferror(if(LEFT(VLOOKUP($B584,'Round 7'!$B$2:$H$361,7,false),1)="A","W",if(LEFT(VLOOKUP($B584,'Round 7'!$B$2:$H$361,7,false),1)="B","L","")),if(LEFT(VLOOKUP($B584,'Round 7'!$F$2:$H$361,3,false),1)="b","W",if(LEFT(VLOOKUP($B584,'Round 7'!$F$2:$H$361,3,false),1)="a","L",""))),"")</f>
        <v/>
      </c>
      <c r="K584" s="68" t="str">
        <f>iferror(iferror(if(LEFT(VLOOKUP($B584,'Round 8'!$B$2:$H$361,7,false),1)="A","W",if(LEFT(VLOOKUP($B584,'Round 8'!$B$2:$H$361,7,false),1)="B","L","")),if(LEFT(VLOOKUP($B584,'Round 8'!$F$2:$H$361,3,false),1)="b","W",if(LEFT(VLOOKUP($B584,'Round 8'!$F$2:$H$361,3,false),1)="a","L",""))),"")</f>
        <v/>
      </c>
      <c r="L584" s="68" t="str">
        <f>iferror(iferror(if(LEFT(VLOOKUP($B584,'Round 9'!$B$2:$H$361,7,false),1)="A","W",if(LEFT(VLOOKUP($B584,'Round 9'!$B$2:$H$361,7,false),1)="B","L","")),if(LEFT(VLOOKUP($B584,'Round 9'!$F$2:$H$361,3,false),1)="b","W",if(LEFT(VLOOKUP($B584,'Round 9'!$F$2:$H$361,3,false),1)="a","L",""))),"")</f>
        <v/>
      </c>
      <c r="M584" s="68" t="str">
        <f>iferror(iferror(if(LEFT(VLOOKUP($B584,'Round 10'!$B$2:$H$362,7,false),1)="A","W",if(LEFT(VLOOKUP($B584,'Round 10'!$B$2:$H$362,7,false),1)="B","L","")),if(LEFT(VLOOKUP($B584,'Round 10'!$F$2:$H$362,3,false),1)="b","W",if(LEFT(VLOOKUP($B584,'Round 10'!$F$2:$H$362,3,false),1)="a","L",""))),"")</f>
        <v/>
      </c>
      <c r="N584" s="62" t="s">
        <v>1217</v>
      </c>
    </row>
    <row r="585">
      <c r="A585" s="63">
        <v>584.0</v>
      </c>
      <c r="B585" s="64" t="s">
        <v>1218</v>
      </c>
      <c r="C585" s="65" t="str">
        <f t="shared" si="1"/>
        <v>3 - 3</v>
      </c>
      <c r="D585" s="67" t="str">
        <f>iferror(if(LEFT(VLOOKUP($B585,'Round 1'!$B$2:$H$361,7,false),1)="A","W",if(LEFT(VLOOKUP($B585,'Round 1'!$B$2:$H$361,7,false),1)="B","L","")),if(LEFT(VLOOKUP($B585,'Round 1'!$F$2:$H$361,3,false),1)="b","W",if(LEFT(VLOOKUP($B585,'Round 1'!$F$2:$H$361,3,false),1)="a","L","")))</f>
        <v>W</v>
      </c>
      <c r="E585" s="67" t="str">
        <f>iferror(if(LEFT(VLOOKUP($B585,'Round 2'!$C$2:$J$361,8,false),1)="A","W",if(LEFT(VLOOKUP($B585,'Round 2'!$C$2:$J$361,8,false),1)="B","L","")),if(LEFT(VLOOKUP($B585,'Round 2'!$G$2:$J$361,4,false),1)="b","W",if(LEFT(VLOOKUP($B585,'Round 2'!$G$2:$J$361,4,false),1)="a","L","")))</f>
        <v>L</v>
      </c>
      <c r="F585" s="67" t="str">
        <f>iferror(if(LEFT(VLOOKUP($B585,'Round 3'!$B$2:$H$361,7,false),1)="A","W",if(LEFT(VLOOKUP($B585,'Round 3'!$B$2:$H$361,7,false),1)="B","L","")),if(LEFT(VLOOKUP($B585,'Round 3'!$F$2:$H$361,3,false),1)="b","W",if(LEFT(VLOOKUP($B585,'Round 3'!$F$2:$H$361,3,false),1)="a","L","")))</f>
        <v>L</v>
      </c>
      <c r="G585" s="67" t="str">
        <f>iferror(if(LEFT(VLOOKUP($B585,'Round 4'!$B$2:$H$361,7,false),1)="A","W",if(LEFT(VLOOKUP($B585,'Round 4'!$B$2:$H$361,7,false),1)="B","L","")),if(LEFT(VLOOKUP($B585,'Round 4'!$F$2:$H$361,3,false),1)="b","W",if(LEFT(VLOOKUP($B585,'Round 4'!$F$2:$H$361,3,false),1)="a","L","")))</f>
        <v>W</v>
      </c>
      <c r="H585" s="67" t="str">
        <f>iferror(if(LEFT(VLOOKUP($B585,'Round 5'!$B$2:$H$361,7,false),1)="A","W",if(LEFT(VLOOKUP($B585,'Round 5'!$B$2:$H$361,7,false),1)="B","L","")),if(LEFT(VLOOKUP($B585,'Round 5'!$F$2:$H$361,3,false),1)="b","W",if(LEFT(VLOOKUP($B585,'Round 5'!$F$2:$H$361,3,false),1)="a","L","")))</f>
        <v>W</v>
      </c>
      <c r="I585" s="67" t="str">
        <f>iferror(if(LEFT(VLOOKUP($B585,'Round 6'!$B$2:$H$361,7,false),1)="A","W",if(LEFT(VLOOKUP($B585,'Round 6'!$B$2:$H$361,7,false),1)="B","L","")),if(LEFT(VLOOKUP($B585,'Round 6'!$F$2:$H$361,3,false),1)="b","W",if(LEFT(VLOOKUP($B585,'Round 6'!$F$2:$H$361,3,false),1)="a","L","")))</f>
        <v>L</v>
      </c>
      <c r="J585" s="67" t="str">
        <f>iferror(iferror(if(LEFT(VLOOKUP($B585,'Round 7'!$B$2:$H$361,7,false),1)="A","W",if(LEFT(VLOOKUP($B585,'Round 7'!$B$2:$H$361,7,false),1)="B","L","")),if(LEFT(VLOOKUP($B585,'Round 7'!$F$2:$H$361,3,false),1)="b","W",if(LEFT(VLOOKUP($B585,'Round 7'!$F$2:$H$361,3,false),1)="a","L",""))),"")</f>
        <v/>
      </c>
      <c r="K585" s="68" t="str">
        <f>iferror(iferror(if(LEFT(VLOOKUP($B585,'Round 8'!$B$2:$H$361,7,false),1)="A","W",if(LEFT(VLOOKUP($B585,'Round 8'!$B$2:$H$361,7,false),1)="B","L","")),if(LEFT(VLOOKUP($B585,'Round 8'!$F$2:$H$361,3,false),1)="b","W",if(LEFT(VLOOKUP($B585,'Round 8'!$F$2:$H$361,3,false),1)="a","L",""))),"")</f>
        <v/>
      </c>
      <c r="L585" s="68" t="str">
        <f>iferror(iferror(if(LEFT(VLOOKUP($B585,'Round 9'!$B$2:$H$361,7,false),1)="A","W",if(LEFT(VLOOKUP($B585,'Round 9'!$B$2:$H$361,7,false),1)="B","L","")),if(LEFT(VLOOKUP($B585,'Round 9'!$F$2:$H$361,3,false),1)="b","W",if(LEFT(VLOOKUP($B585,'Round 9'!$F$2:$H$361,3,false),1)="a","L",""))),"")</f>
        <v/>
      </c>
      <c r="M585" s="68" t="str">
        <f>iferror(iferror(if(LEFT(VLOOKUP($B585,'Round 10'!$B$2:$H$362,7,false),1)="A","W",if(LEFT(VLOOKUP($B585,'Round 10'!$B$2:$H$362,7,false),1)="B","L","")),if(LEFT(VLOOKUP($B585,'Round 10'!$F$2:$H$362,3,false),1)="b","W",if(LEFT(VLOOKUP($B585,'Round 10'!$F$2:$H$362,3,false),1)="a","L",""))),"")</f>
        <v/>
      </c>
      <c r="N585" s="62" t="s">
        <v>1219</v>
      </c>
    </row>
    <row r="586">
      <c r="A586" s="63">
        <v>585.0</v>
      </c>
      <c r="B586" s="64" t="s">
        <v>1220</v>
      </c>
      <c r="C586" s="65" t="str">
        <f t="shared" si="1"/>
        <v>3 - 3</v>
      </c>
      <c r="D586" s="67" t="str">
        <f>iferror(if(LEFT(VLOOKUP($B586,'Round 1'!$B$2:$H$361,7,false),1)="A","W",if(LEFT(VLOOKUP($B586,'Round 1'!$B$2:$H$361,7,false),1)="B","L","")),if(LEFT(VLOOKUP($B586,'Round 1'!$F$2:$H$361,3,false),1)="b","W",if(LEFT(VLOOKUP($B586,'Round 1'!$F$2:$H$361,3,false),1)="a","L","")))</f>
        <v>W</v>
      </c>
      <c r="E586" s="67" t="str">
        <f>iferror(if(LEFT(VLOOKUP($B586,'Round 2'!$C$2:$J$361,8,false),1)="A","W",if(LEFT(VLOOKUP($B586,'Round 2'!$C$2:$J$361,8,false),1)="B","L","")),if(LEFT(VLOOKUP($B586,'Round 2'!$G$2:$J$361,4,false),1)="b","W",if(LEFT(VLOOKUP($B586,'Round 2'!$G$2:$J$361,4,false),1)="a","L","")))</f>
        <v>W</v>
      </c>
      <c r="F586" s="67" t="str">
        <f>iferror(if(LEFT(VLOOKUP($B586,'Round 3'!$B$2:$H$361,7,false),1)="A","W",if(LEFT(VLOOKUP($B586,'Round 3'!$B$2:$H$361,7,false),1)="B","L","")),if(LEFT(VLOOKUP($B586,'Round 3'!$F$2:$H$361,3,false),1)="b","W",if(LEFT(VLOOKUP($B586,'Round 3'!$F$2:$H$361,3,false),1)="a","L","")))</f>
        <v>L</v>
      </c>
      <c r="G586" s="67" t="str">
        <f>iferror(if(LEFT(VLOOKUP($B586,'Round 4'!$B$2:$H$361,7,false),1)="A","W",if(LEFT(VLOOKUP($B586,'Round 4'!$B$2:$H$361,7,false),1)="B","L","")),if(LEFT(VLOOKUP($B586,'Round 4'!$F$2:$H$361,3,false),1)="b","W",if(LEFT(VLOOKUP($B586,'Round 4'!$F$2:$H$361,3,false),1)="a","L","")))</f>
        <v>W</v>
      </c>
      <c r="H586" s="67" t="str">
        <f>iferror(if(LEFT(VLOOKUP($B586,'Round 5'!$B$2:$H$361,7,false),1)="A","W",if(LEFT(VLOOKUP($B586,'Round 5'!$B$2:$H$361,7,false),1)="B","L","")),if(LEFT(VLOOKUP($B586,'Round 5'!$F$2:$H$361,3,false),1)="b","W",if(LEFT(VLOOKUP($B586,'Round 5'!$F$2:$H$361,3,false),1)="a","L","")))</f>
        <v>L</v>
      </c>
      <c r="I586" s="67" t="str">
        <f>iferror(if(LEFT(VLOOKUP($B586,'Round 6'!$B$2:$H$361,7,false),1)="A","W",if(LEFT(VLOOKUP($B586,'Round 6'!$B$2:$H$361,7,false),1)="B","L","")),if(LEFT(VLOOKUP($B586,'Round 6'!$F$2:$H$361,3,false),1)="b","W",if(LEFT(VLOOKUP($B586,'Round 6'!$F$2:$H$361,3,false),1)="a","L","")))</f>
        <v>L</v>
      </c>
      <c r="J586" s="67" t="str">
        <f>iferror(iferror(if(LEFT(VLOOKUP($B586,'Round 7'!$B$2:$H$361,7,false),1)="A","W",if(LEFT(VLOOKUP($B586,'Round 7'!$B$2:$H$361,7,false),1)="B","L","")),if(LEFT(VLOOKUP($B586,'Round 7'!$F$2:$H$361,3,false),1)="b","W",if(LEFT(VLOOKUP($B586,'Round 7'!$F$2:$H$361,3,false),1)="a","L",""))),"")</f>
        <v/>
      </c>
      <c r="K586" s="68" t="str">
        <f>iferror(iferror(if(LEFT(VLOOKUP($B586,'Round 8'!$B$2:$H$361,7,false),1)="A","W",if(LEFT(VLOOKUP($B586,'Round 8'!$B$2:$H$361,7,false),1)="B","L","")),if(LEFT(VLOOKUP($B586,'Round 8'!$F$2:$H$361,3,false),1)="b","W",if(LEFT(VLOOKUP($B586,'Round 8'!$F$2:$H$361,3,false),1)="a","L",""))),"")</f>
        <v/>
      </c>
      <c r="L586" s="68" t="str">
        <f>iferror(iferror(if(LEFT(VLOOKUP($B586,'Round 9'!$B$2:$H$361,7,false),1)="A","W",if(LEFT(VLOOKUP($B586,'Round 9'!$B$2:$H$361,7,false),1)="B","L","")),if(LEFT(VLOOKUP($B586,'Round 9'!$F$2:$H$361,3,false),1)="b","W",if(LEFT(VLOOKUP($B586,'Round 9'!$F$2:$H$361,3,false),1)="a","L",""))),"")</f>
        <v/>
      </c>
      <c r="M586" s="68" t="str">
        <f>iferror(iferror(if(LEFT(VLOOKUP($B586,'Round 10'!$B$2:$H$362,7,false),1)="A","W",if(LEFT(VLOOKUP($B586,'Round 10'!$B$2:$H$362,7,false),1)="B","L","")),if(LEFT(VLOOKUP($B586,'Round 10'!$F$2:$H$362,3,false),1)="b","W",if(LEFT(VLOOKUP($B586,'Round 10'!$F$2:$H$362,3,false),1)="a","L",""))),"")</f>
        <v/>
      </c>
      <c r="N586" s="62" t="s">
        <v>1221</v>
      </c>
    </row>
    <row r="587">
      <c r="A587" s="63">
        <v>586.0</v>
      </c>
      <c r="B587" s="64" t="s">
        <v>1222</v>
      </c>
      <c r="C587" s="65" t="str">
        <f t="shared" si="1"/>
        <v>5 - 3</v>
      </c>
      <c r="D587" s="67" t="str">
        <f>iferror(if(LEFT(VLOOKUP($B587,'Round 1'!$B$2:$H$361,7,false),1)="A","W",if(LEFT(VLOOKUP($B587,'Round 1'!$B$2:$H$361,7,false),1)="B","L","")),if(LEFT(VLOOKUP($B587,'Round 1'!$F$2:$H$361,3,false),1)="b","W",if(LEFT(VLOOKUP($B587,'Round 1'!$F$2:$H$361,3,false),1)="a","L","")))</f>
        <v>W</v>
      </c>
      <c r="E587" s="67" t="str">
        <f>iferror(if(LEFT(VLOOKUP($B587,'Round 2'!$C$2:$J$361,8,false),1)="A","W",if(LEFT(VLOOKUP($B587,'Round 2'!$C$2:$J$361,8,false),1)="B","L","")),if(LEFT(VLOOKUP($B587,'Round 2'!$G$2:$J$361,4,false),1)="b","W",if(LEFT(VLOOKUP($B587,'Round 2'!$G$2:$J$361,4,false),1)="a","L","")))</f>
        <v>W</v>
      </c>
      <c r="F587" s="67" t="str">
        <f>iferror(if(LEFT(VLOOKUP($B587,'Round 3'!$B$2:$H$361,7,false),1)="A","W",if(LEFT(VLOOKUP($B587,'Round 3'!$B$2:$H$361,7,false),1)="B","L","")),if(LEFT(VLOOKUP($B587,'Round 3'!$F$2:$H$361,3,false),1)="b","W",if(LEFT(VLOOKUP($B587,'Round 3'!$F$2:$H$361,3,false),1)="a","L","")))</f>
        <v>L</v>
      </c>
      <c r="G587" s="67" t="str">
        <f>iferror(if(LEFT(VLOOKUP($B587,'Round 4'!$B$2:$H$361,7,false),1)="A","W",if(LEFT(VLOOKUP($B587,'Round 4'!$B$2:$H$361,7,false),1)="B","L","")),if(LEFT(VLOOKUP($B587,'Round 4'!$F$2:$H$361,3,false),1)="b","W",if(LEFT(VLOOKUP($B587,'Round 4'!$F$2:$H$361,3,false),1)="a","L","")))</f>
        <v>W</v>
      </c>
      <c r="H587" s="67" t="str">
        <f>iferror(if(LEFT(VLOOKUP($B587,'Round 5'!$B$2:$H$361,7,false),1)="A","W",if(LEFT(VLOOKUP($B587,'Round 5'!$B$2:$H$361,7,false),1)="B","L","")),if(LEFT(VLOOKUP($B587,'Round 5'!$F$2:$H$361,3,false),1)="b","W",if(LEFT(VLOOKUP($B587,'Round 5'!$F$2:$H$361,3,false),1)="a","L","")))</f>
        <v>L</v>
      </c>
      <c r="I587" s="67" t="str">
        <f>iferror(if(LEFT(VLOOKUP($B587,'Round 6'!$B$2:$H$361,7,false),1)="A","W",if(LEFT(VLOOKUP($B587,'Round 6'!$B$2:$H$361,7,false),1)="B","L","")),if(LEFT(VLOOKUP($B587,'Round 6'!$F$2:$H$361,3,false),1)="b","W",if(LEFT(VLOOKUP($B587,'Round 6'!$F$2:$H$361,3,false),1)="a","L","")))</f>
        <v>W</v>
      </c>
      <c r="J587" s="67" t="str">
        <f>iferror(iferror(if(LEFT(VLOOKUP($B587,'Round 7'!$B$2:$H$361,7,false),1)="A","W",if(LEFT(VLOOKUP($B587,'Round 7'!$B$2:$H$361,7,false),1)="B","L","")),if(LEFT(VLOOKUP($B587,'Round 7'!$F$2:$H$361,3,false),1)="b","W",if(LEFT(VLOOKUP($B587,'Round 7'!$F$2:$H$361,3,false),1)="a","L",""))),"")</f>
        <v>W</v>
      </c>
      <c r="K587" s="68" t="str">
        <f>iferror(iferror(if(LEFT(VLOOKUP($B587,'Round 8'!$B$2:$H$361,7,false),1)="A","W",if(LEFT(VLOOKUP($B587,'Round 8'!$B$2:$H$361,7,false),1)="B","L","")),if(LEFT(VLOOKUP($B587,'Round 8'!$F$2:$H$361,3,false),1)="b","W",if(LEFT(VLOOKUP($B587,'Round 8'!$F$2:$H$361,3,false),1)="a","L",""))),"")</f>
        <v>L</v>
      </c>
      <c r="L587" s="68" t="str">
        <f>iferror(iferror(if(LEFT(VLOOKUP($B587,'Round 9'!$B$2:$H$361,7,false),1)="A","W",if(LEFT(VLOOKUP($B587,'Round 9'!$B$2:$H$361,7,false),1)="B","L","")),if(LEFT(VLOOKUP($B587,'Round 9'!$F$2:$H$361,3,false),1)="b","W",if(LEFT(VLOOKUP($B587,'Round 9'!$F$2:$H$361,3,false),1)="a","L",""))),"")</f>
        <v/>
      </c>
      <c r="M587" s="68" t="str">
        <f>iferror(iferror(if(LEFT(VLOOKUP($B587,'Round 10'!$B$2:$H$362,7,false),1)="A","W",if(LEFT(VLOOKUP($B587,'Round 10'!$B$2:$H$362,7,false),1)="B","L","")),if(LEFT(VLOOKUP($B587,'Round 10'!$F$2:$H$362,3,false),1)="b","W",if(LEFT(VLOOKUP($B587,'Round 10'!$F$2:$H$362,3,false),1)="a","L",""))),"")</f>
        <v/>
      </c>
      <c r="N587" s="62" t="s">
        <v>1223</v>
      </c>
    </row>
    <row r="588">
      <c r="A588" s="63">
        <v>587.0</v>
      </c>
      <c r="B588" s="64" t="s">
        <v>1224</v>
      </c>
      <c r="C588" s="65" t="str">
        <f t="shared" si="1"/>
        <v>3 - 3</v>
      </c>
      <c r="D588" s="67" t="str">
        <f>iferror(if(LEFT(VLOOKUP($B588,'Round 1'!$B$2:$H$361,7,false),1)="A","W",if(LEFT(VLOOKUP($B588,'Round 1'!$B$2:$H$361,7,false),1)="B","L","")),if(LEFT(VLOOKUP($B588,'Round 1'!$F$2:$H$361,3,false),1)="b","W",if(LEFT(VLOOKUP($B588,'Round 1'!$F$2:$H$361,3,false),1)="a","L","")))</f>
        <v>W</v>
      </c>
      <c r="E588" s="67" t="str">
        <f>iferror(if(LEFT(VLOOKUP($B588,'Round 2'!$C$2:$J$361,8,false),1)="A","W",if(LEFT(VLOOKUP($B588,'Round 2'!$C$2:$J$361,8,false),1)="B","L","")),if(LEFT(VLOOKUP($B588,'Round 2'!$G$2:$J$361,4,false),1)="b","W",if(LEFT(VLOOKUP($B588,'Round 2'!$G$2:$J$361,4,false),1)="a","L","")))</f>
        <v>W</v>
      </c>
      <c r="F588" s="67" t="str">
        <f>iferror(if(LEFT(VLOOKUP($B588,'Round 3'!$B$2:$H$361,7,false),1)="A","W",if(LEFT(VLOOKUP($B588,'Round 3'!$B$2:$H$361,7,false),1)="B","L","")),if(LEFT(VLOOKUP($B588,'Round 3'!$F$2:$H$361,3,false),1)="b","W",if(LEFT(VLOOKUP($B588,'Round 3'!$F$2:$H$361,3,false),1)="a","L","")))</f>
        <v>L</v>
      </c>
      <c r="G588" s="67" t="str">
        <f>iferror(if(LEFT(VLOOKUP($B588,'Round 4'!$B$2:$H$361,7,false),1)="A","W",if(LEFT(VLOOKUP($B588,'Round 4'!$B$2:$H$361,7,false),1)="B","L","")),if(LEFT(VLOOKUP($B588,'Round 4'!$F$2:$H$361,3,false),1)="b","W",if(LEFT(VLOOKUP($B588,'Round 4'!$F$2:$H$361,3,false),1)="a","L","")))</f>
        <v>L</v>
      </c>
      <c r="H588" s="67" t="str">
        <f>iferror(if(LEFT(VLOOKUP($B588,'Round 5'!$B$2:$H$361,7,false),1)="A","W",if(LEFT(VLOOKUP($B588,'Round 5'!$B$2:$H$361,7,false),1)="B","L","")),if(LEFT(VLOOKUP($B588,'Round 5'!$F$2:$H$361,3,false),1)="b","W",if(LEFT(VLOOKUP($B588,'Round 5'!$F$2:$H$361,3,false),1)="a","L","")))</f>
        <v>W</v>
      </c>
      <c r="I588" s="67" t="str">
        <f>iferror(if(LEFT(VLOOKUP($B588,'Round 6'!$B$2:$H$361,7,false),1)="A","W",if(LEFT(VLOOKUP($B588,'Round 6'!$B$2:$H$361,7,false),1)="B","L","")),if(LEFT(VLOOKUP($B588,'Round 6'!$F$2:$H$361,3,false),1)="b","W",if(LEFT(VLOOKUP($B588,'Round 6'!$F$2:$H$361,3,false),1)="a","L","")))</f>
        <v>L</v>
      </c>
      <c r="J588" s="67" t="str">
        <f>iferror(iferror(if(LEFT(VLOOKUP($B588,'Round 7'!$B$2:$H$361,7,false),1)="A","W",if(LEFT(VLOOKUP($B588,'Round 7'!$B$2:$H$361,7,false),1)="B","L","")),if(LEFT(VLOOKUP($B588,'Round 7'!$F$2:$H$361,3,false),1)="b","W",if(LEFT(VLOOKUP($B588,'Round 7'!$F$2:$H$361,3,false),1)="a","L",""))),"")</f>
        <v/>
      </c>
      <c r="K588" s="68" t="str">
        <f>iferror(iferror(if(LEFT(VLOOKUP($B588,'Round 8'!$B$2:$H$361,7,false),1)="A","W",if(LEFT(VLOOKUP($B588,'Round 8'!$B$2:$H$361,7,false),1)="B","L","")),if(LEFT(VLOOKUP($B588,'Round 8'!$F$2:$H$361,3,false),1)="b","W",if(LEFT(VLOOKUP($B588,'Round 8'!$F$2:$H$361,3,false),1)="a","L",""))),"")</f>
        <v/>
      </c>
      <c r="L588" s="68" t="str">
        <f>iferror(iferror(if(LEFT(VLOOKUP($B588,'Round 9'!$B$2:$H$361,7,false),1)="A","W",if(LEFT(VLOOKUP($B588,'Round 9'!$B$2:$H$361,7,false),1)="B","L","")),if(LEFT(VLOOKUP($B588,'Round 9'!$F$2:$H$361,3,false),1)="b","W",if(LEFT(VLOOKUP($B588,'Round 9'!$F$2:$H$361,3,false),1)="a","L",""))),"")</f>
        <v/>
      </c>
      <c r="M588" s="68" t="str">
        <f>iferror(iferror(if(LEFT(VLOOKUP($B588,'Round 10'!$B$2:$H$362,7,false),1)="A","W",if(LEFT(VLOOKUP($B588,'Round 10'!$B$2:$H$362,7,false),1)="B","L","")),if(LEFT(VLOOKUP($B588,'Round 10'!$F$2:$H$362,3,false),1)="b","W",if(LEFT(VLOOKUP($B588,'Round 10'!$F$2:$H$362,3,false),1)="a","L",""))),"")</f>
        <v/>
      </c>
      <c r="N588" s="62" t="s">
        <v>1225</v>
      </c>
    </row>
    <row r="589">
      <c r="A589" s="63">
        <v>588.0</v>
      </c>
      <c r="B589" s="64" t="s">
        <v>1226</v>
      </c>
      <c r="C589" s="65" t="str">
        <f t="shared" si="1"/>
        <v>6 - 3</v>
      </c>
      <c r="D589" s="67" t="str">
        <f>iferror(if(LEFT(VLOOKUP($B589,'Round 1'!$B$2:$H$361,7,false),1)="A","W",if(LEFT(VLOOKUP($B589,'Round 1'!$B$2:$H$361,7,false),1)="B","L","")),if(LEFT(VLOOKUP($B589,'Round 1'!$F$2:$H$361,3,false),1)="b","W",if(LEFT(VLOOKUP($B589,'Round 1'!$F$2:$H$361,3,false),1)="a","L","")))</f>
        <v>W</v>
      </c>
      <c r="E589" s="67" t="str">
        <f>iferror(if(LEFT(VLOOKUP($B589,'Round 2'!$C$2:$J$361,8,false),1)="A","W",if(LEFT(VLOOKUP($B589,'Round 2'!$C$2:$J$361,8,false),1)="B","L","")),if(LEFT(VLOOKUP($B589,'Round 2'!$G$2:$J$361,4,false),1)="b","W",if(LEFT(VLOOKUP($B589,'Round 2'!$G$2:$J$361,4,false),1)="a","L","")))</f>
        <v>L</v>
      </c>
      <c r="F589" s="67" t="str">
        <f>iferror(if(LEFT(VLOOKUP($B589,'Round 3'!$B$2:$H$361,7,false),1)="A","W",if(LEFT(VLOOKUP($B589,'Round 3'!$B$2:$H$361,7,false),1)="B","L","")),if(LEFT(VLOOKUP($B589,'Round 3'!$F$2:$H$361,3,false),1)="b","W",if(LEFT(VLOOKUP($B589,'Round 3'!$F$2:$H$361,3,false),1)="a","L","")))</f>
        <v>W</v>
      </c>
      <c r="G589" s="67" t="str">
        <f>iferror(if(LEFT(VLOOKUP($B589,'Round 4'!$B$2:$H$361,7,false),1)="A","W",if(LEFT(VLOOKUP($B589,'Round 4'!$B$2:$H$361,7,false),1)="B","L","")),if(LEFT(VLOOKUP($B589,'Round 4'!$F$2:$H$361,3,false),1)="b","W",if(LEFT(VLOOKUP($B589,'Round 4'!$F$2:$H$361,3,false),1)="a","L","")))</f>
        <v>W</v>
      </c>
      <c r="H589" s="67" t="str">
        <f>iferror(if(LEFT(VLOOKUP($B589,'Round 5'!$B$2:$H$361,7,false),1)="A","W",if(LEFT(VLOOKUP($B589,'Round 5'!$B$2:$H$361,7,false),1)="B","L","")),if(LEFT(VLOOKUP($B589,'Round 5'!$F$2:$H$361,3,false),1)="b","W",if(LEFT(VLOOKUP($B589,'Round 5'!$F$2:$H$361,3,false),1)="a","L","")))</f>
        <v>W</v>
      </c>
      <c r="I589" s="67" t="str">
        <f>iferror(if(LEFT(VLOOKUP($B589,'Round 6'!$B$2:$H$361,7,false),1)="A","W",if(LEFT(VLOOKUP($B589,'Round 6'!$B$2:$H$361,7,false),1)="B","L","")),if(LEFT(VLOOKUP($B589,'Round 6'!$F$2:$H$361,3,false),1)="b","W",if(LEFT(VLOOKUP($B589,'Round 6'!$F$2:$H$361,3,false),1)="a","L","")))</f>
        <v>W</v>
      </c>
      <c r="J589" s="67" t="str">
        <f>iferror(iferror(if(LEFT(VLOOKUP($B589,'Round 7'!$B$2:$H$361,7,false),1)="A","W",if(LEFT(VLOOKUP($B589,'Round 7'!$B$2:$H$361,7,false),1)="B","L","")),if(LEFT(VLOOKUP($B589,'Round 7'!$F$2:$H$361,3,false),1)="b","W",if(LEFT(VLOOKUP($B589,'Round 7'!$F$2:$H$361,3,false),1)="a","L",""))),"")</f>
        <v>L</v>
      </c>
      <c r="K589" s="68" t="str">
        <f>iferror(iferror(if(LEFT(VLOOKUP($B589,'Round 8'!$B$2:$H$361,7,false),1)="A","W",if(LEFT(VLOOKUP($B589,'Round 8'!$B$2:$H$361,7,false),1)="B","L","")),if(LEFT(VLOOKUP($B589,'Round 8'!$F$2:$H$361,3,false),1)="b","W",if(LEFT(VLOOKUP($B589,'Round 8'!$F$2:$H$361,3,false),1)="a","L",""))),"")</f>
        <v>W</v>
      </c>
      <c r="L589" s="68" t="str">
        <f>iferror(iferror(if(LEFT(VLOOKUP($B589,'Round 9'!$B$2:$H$361,7,false),1)="A","W",if(LEFT(VLOOKUP($B589,'Round 9'!$B$2:$H$361,7,false),1)="B","L","")),if(LEFT(VLOOKUP($B589,'Round 9'!$F$2:$H$361,3,false),1)="b","W",if(LEFT(VLOOKUP($B589,'Round 9'!$F$2:$H$361,3,false),1)="a","L",""))),"")</f>
        <v>L</v>
      </c>
      <c r="M589" s="68" t="str">
        <f>iferror(iferror(if(LEFT(VLOOKUP($B589,'Round 10'!$B$2:$H$362,7,false),1)="A","W",if(LEFT(VLOOKUP($B589,'Round 10'!$B$2:$H$362,7,false),1)="B","L","")),if(LEFT(VLOOKUP($B589,'Round 10'!$F$2:$H$362,3,false),1)="b","W",if(LEFT(VLOOKUP($B589,'Round 10'!$F$2:$H$362,3,false),1)="a","L",""))),"")</f>
        <v/>
      </c>
      <c r="N589" s="62" t="s">
        <v>1227</v>
      </c>
    </row>
    <row r="590">
      <c r="A590" s="63">
        <v>589.0</v>
      </c>
      <c r="B590" s="64" t="s">
        <v>1228</v>
      </c>
      <c r="C590" s="65" t="str">
        <f t="shared" si="1"/>
        <v>0 - 3</v>
      </c>
      <c r="D590" s="67" t="str">
        <f>iferror(if(LEFT(VLOOKUP($B590,'Round 1'!$B$2:$H$361,7,false),1)="A","W",if(LEFT(VLOOKUP($B590,'Round 1'!$B$2:$H$361,7,false),1)="B","L","")),if(LEFT(VLOOKUP($B590,'Round 1'!$F$2:$H$361,3,false),1)="b","W",if(LEFT(VLOOKUP($B590,'Round 1'!$F$2:$H$361,3,false),1)="a","L","")))</f>
        <v>L</v>
      </c>
      <c r="E590" s="67" t="str">
        <f>iferror(if(LEFT(VLOOKUP($B590,'Round 2'!$C$2:$J$361,8,false),1)="A","W",if(LEFT(VLOOKUP($B590,'Round 2'!$C$2:$J$361,8,false),1)="B","L","")),if(LEFT(VLOOKUP($B590,'Round 2'!$G$2:$J$361,4,false),1)="b","W",if(LEFT(VLOOKUP($B590,'Round 2'!$G$2:$J$361,4,false),1)="a","L","")))</f>
        <v>L</v>
      </c>
      <c r="F590" s="67" t="str">
        <f>iferror(if(LEFT(VLOOKUP($B590,'Round 3'!$B$2:$H$361,7,false),1)="A","W",if(LEFT(VLOOKUP($B590,'Round 3'!$B$2:$H$361,7,false),1)="B","L","")),if(LEFT(VLOOKUP($B590,'Round 3'!$F$2:$H$361,3,false),1)="b","W",if(LEFT(VLOOKUP($B590,'Round 3'!$F$2:$H$361,3,false),1)="a","L","")))</f>
        <v>L</v>
      </c>
      <c r="G590" s="67"/>
      <c r="H590" s="67"/>
      <c r="I590" s="67"/>
      <c r="J590" s="67" t="str">
        <f>iferror(iferror(if(LEFT(VLOOKUP($B590,'Round 7'!$B$2:$H$361,7,false),1)="A","W",if(LEFT(VLOOKUP($B590,'Round 7'!$B$2:$H$361,7,false),1)="B","L","")),if(LEFT(VLOOKUP($B590,'Round 7'!$F$2:$H$361,3,false),1)="b","W",if(LEFT(VLOOKUP($B590,'Round 7'!$F$2:$H$361,3,false),1)="a","L",""))),"")</f>
        <v/>
      </c>
      <c r="K590" s="68" t="str">
        <f>iferror(iferror(if(LEFT(VLOOKUP($B590,'Round 8'!$B$2:$H$361,7,false),1)="A","W",if(LEFT(VLOOKUP($B590,'Round 8'!$B$2:$H$361,7,false),1)="B","L","")),if(LEFT(VLOOKUP($B590,'Round 8'!$F$2:$H$361,3,false),1)="b","W",if(LEFT(VLOOKUP($B590,'Round 8'!$F$2:$H$361,3,false),1)="a","L",""))),"")</f>
        <v/>
      </c>
      <c r="L590" s="68" t="str">
        <f>iferror(iferror(if(LEFT(VLOOKUP($B590,'Round 9'!$B$2:$H$361,7,false),1)="A","W",if(LEFT(VLOOKUP($B590,'Round 9'!$B$2:$H$361,7,false),1)="B","L","")),if(LEFT(VLOOKUP($B590,'Round 9'!$F$2:$H$361,3,false),1)="b","W",if(LEFT(VLOOKUP($B590,'Round 9'!$F$2:$H$361,3,false),1)="a","L",""))),"")</f>
        <v/>
      </c>
      <c r="M590" s="68" t="str">
        <f>iferror(iferror(if(LEFT(VLOOKUP($B590,'Round 10'!$B$2:$H$362,7,false),1)="A","W",if(LEFT(VLOOKUP($B590,'Round 10'!$B$2:$H$362,7,false),1)="B","L","")),if(LEFT(VLOOKUP($B590,'Round 10'!$F$2:$H$362,3,false),1)="b","W",if(LEFT(VLOOKUP($B590,'Round 10'!$F$2:$H$362,3,false),1)="a","L",""))),"")</f>
        <v/>
      </c>
      <c r="N590" s="62" t="s">
        <v>1229</v>
      </c>
    </row>
    <row r="591">
      <c r="A591" s="63">
        <v>590.0</v>
      </c>
      <c r="B591" s="64" t="s">
        <v>1230</v>
      </c>
      <c r="C591" s="65" t="str">
        <f t="shared" si="1"/>
        <v>1 - 3</v>
      </c>
      <c r="D591" s="67" t="str">
        <f>iferror(if(LEFT(VLOOKUP($B591,'Round 1'!$B$2:$H$361,7,false),1)="A","W",if(LEFT(VLOOKUP($B591,'Round 1'!$B$2:$H$361,7,false),1)="B","L","")),if(LEFT(VLOOKUP($B591,'Round 1'!$F$2:$H$361,3,false),1)="b","W",if(LEFT(VLOOKUP($B591,'Round 1'!$F$2:$H$361,3,false),1)="a","L","")))</f>
        <v>L</v>
      </c>
      <c r="E591" s="67" t="str">
        <f>iferror(if(LEFT(VLOOKUP($B591,'Round 2'!$C$2:$J$361,8,false),1)="A","W",if(LEFT(VLOOKUP($B591,'Round 2'!$C$2:$J$361,8,false),1)="B","L","")),if(LEFT(VLOOKUP($B591,'Round 2'!$G$2:$J$361,4,false),1)="b","W",if(LEFT(VLOOKUP($B591,'Round 2'!$G$2:$J$361,4,false),1)="a","L","")))</f>
        <v>L</v>
      </c>
      <c r="F591" s="67" t="str">
        <f>iferror(if(LEFT(VLOOKUP($B591,'Round 3'!$B$2:$H$361,7,false),1)="A","W",if(LEFT(VLOOKUP($B591,'Round 3'!$B$2:$H$361,7,false),1)="B","L","")),if(LEFT(VLOOKUP($B591,'Round 3'!$F$2:$H$361,3,false),1)="b","W",if(LEFT(VLOOKUP($B591,'Round 3'!$F$2:$H$361,3,false),1)="a","L","")))</f>
        <v>W</v>
      </c>
      <c r="G591" s="67" t="str">
        <f>iferror(if(LEFT(VLOOKUP($B591,'Round 4'!$B$2:$H$361,7,false),1)="A","W",if(LEFT(VLOOKUP($B591,'Round 4'!$B$2:$H$361,7,false),1)="B","L","")),if(LEFT(VLOOKUP($B591,'Round 4'!$F$2:$H$361,3,false),1)="b","W",if(LEFT(VLOOKUP($B591,'Round 4'!$F$2:$H$361,3,false),1)="a","L","")))</f>
        <v>L</v>
      </c>
      <c r="H591" s="67"/>
      <c r="I591" s="67"/>
      <c r="J591" s="67" t="str">
        <f>iferror(iferror(if(LEFT(VLOOKUP($B591,'Round 7'!$B$2:$H$361,7,false),1)="A","W",if(LEFT(VLOOKUP($B591,'Round 7'!$B$2:$H$361,7,false),1)="B","L","")),if(LEFT(VLOOKUP($B591,'Round 7'!$F$2:$H$361,3,false),1)="b","W",if(LEFT(VLOOKUP($B591,'Round 7'!$F$2:$H$361,3,false),1)="a","L",""))),"")</f>
        <v/>
      </c>
      <c r="K591" s="68" t="str">
        <f>iferror(iferror(if(LEFT(VLOOKUP($B591,'Round 8'!$B$2:$H$361,7,false),1)="A","W",if(LEFT(VLOOKUP($B591,'Round 8'!$B$2:$H$361,7,false),1)="B","L","")),if(LEFT(VLOOKUP($B591,'Round 8'!$F$2:$H$361,3,false),1)="b","W",if(LEFT(VLOOKUP($B591,'Round 8'!$F$2:$H$361,3,false),1)="a","L",""))),"")</f>
        <v/>
      </c>
      <c r="L591" s="68" t="str">
        <f>iferror(iferror(if(LEFT(VLOOKUP($B591,'Round 9'!$B$2:$H$361,7,false),1)="A","W",if(LEFT(VLOOKUP($B591,'Round 9'!$B$2:$H$361,7,false),1)="B","L","")),if(LEFT(VLOOKUP($B591,'Round 9'!$F$2:$H$361,3,false),1)="b","W",if(LEFT(VLOOKUP($B591,'Round 9'!$F$2:$H$361,3,false),1)="a","L",""))),"")</f>
        <v/>
      </c>
      <c r="M591" s="68" t="str">
        <f>iferror(iferror(if(LEFT(VLOOKUP($B591,'Round 10'!$B$2:$H$362,7,false),1)="A","W",if(LEFT(VLOOKUP($B591,'Round 10'!$B$2:$H$362,7,false),1)="B","L","")),if(LEFT(VLOOKUP($B591,'Round 10'!$F$2:$H$362,3,false),1)="b","W",if(LEFT(VLOOKUP($B591,'Round 10'!$F$2:$H$362,3,false),1)="a","L",""))),"")</f>
        <v/>
      </c>
      <c r="N591" s="62" t="s">
        <v>1231</v>
      </c>
    </row>
    <row r="592">
      <c r="A592" s="63">
        <v>591.0</v>
      </c>
      <c r="B592" s="64" t="s">
        <v>1232</v>
      </c>
      <c r="C592" s="65" t="str">
        <f t="shared" si="1"/>
        <v>2 - 3</v>
      </c>
      <c r="D592" s="67" t="str">
        <f>iferror(if(LEFT(VLOOKUP($B592,'Round 1'!$B$2:$H$361,7,false),1)="A","W",if(LEFT(VLOOKUP($B592,'Round 1'!$B$2:$H$361,7,false),1)="B","L","")),if(LEFT(VLOOKUP($B592,'Round 1'!$F$2:$H$361,3,false),1)="b","W",if(LEFT(VLOOKUP($B592,'Round 1'!$F$2:$H$361,3,false),1)="a","L","")))</f>
        <v>W</v>
      </c>
      <c r="E592" s="67" t="str">
        <f>iferror(if(LEFT(VLOOKUP($B592,'Round 2'!$C$2:$J$361,8,false),1)="A","W",if(LEFT(VLOOKUP($B592,'Round 2'!$C$2:$J$361,8,false),1)="B","L","")),if(LEFT(VLOOKUP($B592,'Round 2'!$G$2:$J$361,4,false),1)="b","W",if(LEFT(VLOOKUP($B592,'Round 2'!$G$2:$J$361,4,false),1)="a","L","")))</f>
        <v>L</v>
      </c>
      <c r="F592" s="67" t="str">
        <f>iferror(if(LEFT(VLOOKUP($B592,'Round 3'!$B$2:$H$361,7,false),1)="A","W",if(LEFT(VLOOKUP($B592,'Round 3'!$B$2:$H$361,7,false),1)="B","L","")),if(LEFT(VLOOKUP($B592,'Round 3'!$F$2:$H$361,3,false),1)="b","W",if(LEFT(VLOOKUP($B592,'Round 3'!$F$2:$H$361,3,false),1)="a","L","")))</f>
        <v>L</v>
      </c>
      <c r="G592" s="67" t="str">
        <f>iferror(if(LEFT(VLOOKUP($B592,'Round 4'!$B$2:$H$361,7,false),1)="A","W",if(LEFT(VLOOKUP($B592,'Round 4'!$B$2:$H$361,7,false),1)="B","L","")),if(LEFT(VLOOKUP($B592,'Round 4'!$F$2:$H$361,3,false),1)="b","W",if(LEFT(VLOOKUP($B592,'Round 4'!$F$2:$H$361,3,false),1)="a","L","")))</f>
        <v>W</v>
      </c>
      <c r="H592" s="67" t="str">
        <f>iferror(if(LEFT(VLOOKUP($B592,'Round 5'!$B$2:$H$361,7,false),1)="A","W",if(LEFT(VLOOKUP($B592,'Round 5'!$B$2:$H$361,7,false),1)="B","L","")),if(LEFT(VLOOKUP($B592,'Round 5'!$F$2:$H$361,3,false),1)="b","W",if(LEFT(VLOOKUP($B592,'Round 5'!$F$2:$H$361,3,false),1)="a","L","")))</f>
        <v>L</v>
      </c>
      <c r="I592" s="67"/>
      <c r="J592" s="67" t="str">
        <f>iferror(iferror(if(LEFT(VLOOKUP($B592,'Round 7'!$B$2:$H$361,7,false),1)="A","W",if(LEFT(VLOOKUP($B592,'Round 7'!$B$2:$H$361,7,false),1)="B","L","")),if(LEFT(VLOOKUP($B592,'Round 7'!$F$2:$H$361,3,false),1)="b","W",if(LEFT(VLOOKUP($B592,'Round 7'!$F$2:$H$361,3,false),1)="a","L",""))),"")</f>
        <v/>
      </c>
      <c r="K592" s="68" t="str">
        <f>iferror(iferror(if(LEFT(VLOOKUP($B592,'Round 8'!$B$2:$H$361,7,false),1)="A","W",if(LEFT(VLOOKUP($B592,'Round 8'!$B$2:$H$361,7,false),1)="B","L","")),if(LEFT(VLOOKUP($B592,'Round 8'!$F$2:$H$361,3,false),1)="b","W",if(LEFT(VLOOKUP($B592,'Round 8'!$F$2:$H$361,3,false),1)="a","L",""))),"")</f>
        <v/>
      </c>
      <c r="L592" s="68" t="str">
        <f>iferror(iferror(if(LEFT(VLOOKUP($B592,'Round 9'!$B$2:$H$361,7,false),1)="A","W",if(LEFT(VLOOKUP($B592,'Round 9'!$B$2:$H$361,7,false),1)="B","L","")),if(LEFT(VLOOKUP($B592,'Round 9'!$F$2:$H$361,3,false),1)="b","W",if(LEFT(VLOOKUP($B592,'Round 9'!$F$2:$H$361,3,false),1)="a","L",""))),"")</f>
        <v/>
      </c>
      <c r="M592" s="68" t="str">
        <f>iferror(iferror(if(LEFT(VLOOKUP($B592,'Round 10'!$B$2:$H$362,7,false),1)="A","W",if(LEFT(VLOOKUP($B592,'Round 10'!$B$2:$H$362,7,false),1)="B","L","")),if(LEFT(VLOOKUP($B592,'Round 10'!$F$2:$H$362,3,false),1)="b","W",if(LEFT(VLOOKUP($B592,'Round 10'!$F$2:$H$362,3,false),1)="a","L",""))),"")</f>
        <v/>
      </c>
      <c r="N592" s="62" t="s">
        <v>1233</v>
      </c>
    </row>
    <row r="593">
      <c r="A593" s="63">
        <v>592.0</v>
      </c>
      <c r="B593" s="64" t="s">
        <v>1234</v>
      </c>
      <c r="C593" s="65" t="str">
        <f t="shared" si="1"/>
        <v>0 - 3</v>
      </c>
      <c r="D593" s="67" t="str">
        <f>iferror(if(LEFT(VLOOKUP($B593,'Round 1'!$B$2:$H$361,7,false),1)="A","W",if(LEFT(VLOOKUP($B593,'Round 1'!$B$2:$H$361,7,false),1)="B","L","")),if(LEFT(VLOOKUP($B593,'Round 1'!$F$2:$H$361,3,false),1)="b","W",if(LEFT(VLOOKUP($B593,'Round 1'!$F$2:$H$361,3,false),1)="a","L","")))</f>
        <v>L</v>
      </c>
      <c r="E593" s="67" t="str">
        <f>iferror(if(LEFT(VLOOKUP($B593,'Round 2'!$C$2:$J$361,8,false),1)="A","W",if(LEFT(VLOOKUP($B593,'Round 2'!$C$2:$J$361,8,false),1)="B","L","")),if(LEFT(VLOOKUP($B593,'Round 2'!$G$2:$J$361,4,false),1)="b","W",if(LEFT(VLOOKUP($B593,'Round 2'!$G$2:$J$361,4,false),1)="a","L","")))</f>
        <v>L</v>
      </c>
      <c r="F593" s="67" t="str">
        <f>iferror(if(LEFT(VLOOKUP($B593,'Round 3'!$B$2:$H$361,7,false),1)="A","W",if(LEFT(VLOOKUP($B593,'Round 3'!$B$2:$H$361,7,false),1)="B","L","")),if(LEFT(VLOOKUP($B593,'Round 3'!$F$2:$H$361,3,false),1)="b","W",if(LEFT(VLOOKUP($B593,'Round 3'!$F$2:$H$361,3,false),1)="a","L","")))</f>
        <v>L</v>
      </c>
      <c r="G593" s="67"/>
      <c r="H593" s="67"/>
      <c r="I593" s="67"/>
      <c r="J593" s="67" t="str">
        <f>iferror(iferror(if(LEFT(VLOOKUP($B593,'Round 7'!$B$2:$H$361,7,false),1)="A","W",if(LEFT(VLOOKUP($B593,'Round 7'!$B$2:$H$361,7,false),1)="B","L","")),if(LEFT(VLOOKUP($B593,'Round 7'!$F$2:$H$361,3,false),1)="b","W",if(LEFT(VLOOKUP($B593,'Round 7'!$F$2:$H$361,3,false),1)="a","L",""))),"")</f>
        <v/>
      </c>
      <c r="K593" s="68" t="str">
        <f>iferror(iferror(if(LEFT(VLOOKUP($B593,'Round 8'!$B$2:$H$361,7,false),1)="A","W",if(LEFT(VLOOKUP($B593,'Round 8'!$B$2:$H$361,7,false),1)="B","L","")),if(LEFT(VLOOKUP($B593,'Round 8'!$F$2:$H$361,3,false),1)="b","W",if(LEFT(VLOOKUP($B593,'Round 8'!$F$2:$H$361,3,false),1)="a","L",""))),"")</f>
        <v/>
      </c>
      <c r="L593" s="68" t="str">
        <f>iferror(iferror(if(LEFT(VLOOKUP($B593,'Round 9'!$B$2:$H$361,7,false),1)="A","W",if(LEFT(VLOOKUP($B593,'Round 9'!$B$2:$H$361,7,false),1)="B","L","")),if(LEFT(VLOOKUP($B593,'Round 9'!$F$2:$H$361,3,false),1)="b","W",if(LEFT(VLOOKUP($B593,'Round 9'!$F$2:$H$361,3,false),1)="a","L",""))),"")</f>
        <v/>
      </c>
      <c r="M593" s="68" t="str">
        <f>iferror(iferror(if(LEFT(VLOOKUP($B593,'Round 10'!$B$2:$H$362,7,false),1)="A","W",if(LEFT(VLOOKUP($B593,'Round 10'!$B$2:$H$362,7,false),1)="B","L","")),if(LEFT(VLOOKUP($B593,'Round 10'!$F$2:$H$362,3,false),1)="b","W",if(LEFT(VLOOKUP($B593,'Round 10'!$F$2:$H$362,3,false),1)="a","L",""))),"")</f>
        <v/>
      </c>
      <c r="N593" s="62" t="s">
        <v>1235</v>
      </c>
    </row>
    <row r="594">
      <c r="A594" s="63">
        <v>593.0</v>
      </c>
      <c r="B594" s="64" t="s">
        <v>1236</v>
      </c>
      <c r="C594" s="65" t="str">
        <f t="shared" si="1"/>
        <v>4 - 3</v>
      </c>
      <c r="D594" s="67" t="str">
        <f>iferror(if(LEFT(VLOOKUP($B594,'Round 1'!$B$2:$H$361,7,false),1)="A","W",if(LEFT(VLOOKUP($B594,'Round 1'!$B$2:$H$361,7,false),1)="B","L","")),if(LEFT(VLOOKUP($B594,'Round 1'!$F$2:$H$361,3,false),1)="b","W",if(LEFT(VLOOKUP($B594,'Round 1'!$F$2:$H$361,3,false),1)="a","L","")))</f>
        <v>W</v>
      </c>
      <c r="E594" s="67" t="str">
        <f>iferror(if(LEFT(VLOOKUP($B594,'Round 2'!$C$2:$J$361,8,false),1)="A","W",if(LEFT(VLOOKUP($B594,'Round 2'!$C$2:$J$361,8,false),1)="B","L","")),if(LEFT(VLOOKUP($B594,'Round 2'!$G$2:$J$361,4,false),1)="b","W",if(LEFT(VLOOKUP($B594,'Round 2'!$G$2:$J$361,4,false),1)="a","L","")))</f>
        <v>W</v>
      </c>
      <c r="F594" s="67" t="str">
        <f>iferror(if(LEFT(VLOOKUP($B594,'Round 3'!$B$2:$H$361,7,false),1)="A","W",if(LEFT(VLOOKUP($B594,'Round 3'!$B$2:$H$361,7,false),1)="B","L","")),if(LEFT(VLOOKUP($B594,'Round 3'!$F$2:$H$361,3,false),1)="b","W",if(LEFT(VLOOKUP($B594,'Round 3'!$F$2:$H$361,3,false),1)="a","L","")))</f>
        <v>L</v>
      </c>
      <c r="G594" s="67" t="str">
        <f>iferror(if(LEFT(VLOOKUP($B594,'Round 4'!$B$2:$H$361,7,false),1)="A","W",if(LEFT(VLOOKUP($B594,'Round 4'!$B$2:$H$361,7,false),1)="B","L","")),if(LEFT(VLOOKUP($B594,'Round 4'!$F$2:$H$361,3,false),1)="b","W",if(LEFT(VLOOKUP($B594,'Round 4'!$F$2:$H$361,3,false),1)="a","L","")))</f>
        <v>W</v>
      </c>
      <c r="H594" s="67" t="str">
        <f>iferror(if(LEFT(VLOOKUP($B594,'Round 5'!$B$2:$H$361,7,false),1)="A","W",if(LEFT(VLOOKUP($B594,'Round 5'!$B$2:$H$361,7,false),1)="B","L","")),if(LEFT(VLOOKUP($B594,'Round 5'!$F$2:$H$361,3,false),1)="b","W",if(LEFT(VLOOKUP($B594,'Round 5'!$F$2:$H$361,3,false),1)="a","L","")))</f>
        <v>W</v>
      </c>
      <c r="I594" s="67" t="str">
        <f>iferror(if(LEFT(VLOOKUP($B594,'Round 6'!$B$2:$H$361,7,false),1)="A","W",if(LEFT(VLOOKUP($B594,'Round 6'!$B$2:$H$361,7,false),1)="B","L","")),if(LEFT(VLOOKUP($B594,'Round 6'!$F$2:$H$361,3,false),1)="b","W",if(LEFT(VLOOKUP($B594,'Round 6'!$F$2:$H$361,3,false),1)="a","L","")))</f>
        <v>L</v>
      </c>
      <c r="J594" s="67" t="str">
        <f>iferror(iferror(if(LEFT(VLOOKUP($B594,'Round 7'!$B$2:$H$361,7,false),1)="A","W",if(LEFT(VLOOKUP($B594,'Round 7'!$B$2:$H$361,7,false),1)="B","L","")),if(LEFT(VLOOKUP($B594,'Round 7'!$F$2:$H$361,3,false),1)="b","W",if(LEFT(VLOOKUP($B594,'Round 7'!$F$2:$H$361,3,false),1)="a","L",""))),"")</f>
        <v>L</v>
      </c>
      <c r="K594" s="68" t="str">
        <f>iferror(iferror(if(LEFT(VLOOKUP($B594,'Round 8'!$B$2:$H$361,7,false),1)="A","W",if(LEFT(VLOOKUP($B594,'Round 8'!$B$2:$H$361,7,false),1)="B","L","")),if(LEFT(VLOOKUP($B594,'Round 8'!$F$2:$H$361,3,false),1)="b","W",if(LEFT(VLOOKUP($B594,'Round 8'!$F$2:$H$361,3,false),1)="a","L",""))),"")</f>
        <v/>
      </c>
      <c r="L594" s="68" t="str">
        <f>iferror(iferror(if(LEFT(VLOOKUP($B594,'Round 9'!$B$2:$H$361,7,false),1)="A","W",if(LEFT(VLOOKUP($B594,'Round 9'!$B$2:$H$361,7,false),1)="B","L","")),if(LEFT(VLOOKUP($B594,'Round 9'!$F$2:$H$361,3,false),1)="b","W",if(LEFT(VLOOKUP($B594,'Round 9'!$F$2:$H$361,3,false),1)="a","L",""))),"")</f>
        <v/>
      </c>
      <c r="M594" s="68" t="str">
        <f>iferror(iferror(if(LEFT(VLOOKUP($B594,'Round 10'!$B$2:$H$362,7,false),1)="A","W",if(LEFT(VLOOKUP($B594,'Round 10'!$B$2:$H$362,7,false),1)="B","L","")),if(LEFT(VLOOKUP($B594,'Round 10'!$F$2:$H$362,3,false),1)="b","W",if(LEFT(VLOOKUP($B594,'Round 10'!$F$2:$H$362,3,false),1)="a","L",""))),"")</f>
        <v/>
      </c>
      <c r="N594" s="62" t="s">
        <v>1237</v>
      </c>
    </row>
    <row r="595">
      <c r="A595" s="63">
        <v>594.0</v>
      </c>
      <c r="B595" s="64" t="s">
        <v>1238</v>
      </c>
      <c r="C595" s="65" t="str">
        <f t="shared" si="1"/>
        <v>5 - 3</v>
      </c>
      <c r="D595" s="67" t="str">
        <f>iferror(if(LEFT(VLOOKUP($B595,'Round 1'!$B$2:$H$361,7,false),1)="A","W",if(LEFT(VLOOKUP($B595,'Round 1'!$B$2:$H$361,7,false),1)="B","L","")),if(LEFT(VLOOKUP($B595,'Round 1'!$F$2:$H$361,3,false),1)="b","W",if(LEFT(VLOOKUP($B595,'Round 1'!$F$2:$H$361,3,false),1)="a","L","")))</f>
        <v>W</v>
      </c>
      <c r="E595" s="67" t="str">
        <f>iferror(if(LEFT(VLOOKUP($B595,'Round 2'!$C$2:$J$361,8,false),1)="A","W",if(LEFT(VLOOKUP($B595,'Round 2'!$C$2:$J$361,8,false),1)="B","L","")),if(LEFT(VLOOKUP($B595,'Round 2'!$G$2:$J$361,4,false),1)="b","W",if(LEFT(VLOOKUP($B595,'Round 2'!$G$2:$J$361,4,false),1)="a","L","")))</f>
        <v>L</v>
      </c>
      <c r="F595" s="67" t="str">
        <f>iferror(if(LEFT(VLOOKUP($B595,'Round 3'!$B$2:$H$361,7,false),1)="A","W",if(LEFT(VLOOKUP($B595,'Round 3'!$B$2:$H$361,7,false),1)="B","L","")),if(LEFT(VLOOKUP($B595,'Round 3'!$F$2:$H$361,3,false),1)="b","W",if(LEFT(VLOOKUP($B595,'Round 3'!$F$2:$H$361,3,false),1)="a","L","")))</f>
        <v>W</v>
      </c>
      <c r="G595" s="67" t="str">
        <f>iferror(if(LEFT(VLOOKUP($B595,'Round 4'!$B$2:$H$361,7,false),1)="A","W",if(LEFT(VLOOKUP($B595,'Round 4'!$B$2:$H$361,7,false),1)="B","L","")),if(LEFT(VLOOKUP($B595,'Round 4'!$F$2:$H$361,3,false),1)="b","W",if(LEFT(VLOOKUP($B595,'Round 4'!$F$2:$H$361,3,false),1)="a","L","")))</f>
        <v>W</v>
      </c>
      <c r="H595" s="67" t="str">
        <f>iferror(if(LEFT(VLOOKUP($B595,'Round 5'!$B$2:$H$361,7,false),1)="A","W",if(LEFT(VLOOKUP($B595,'Round 5'!$B$2:$H$361,7,false),1)="B","L","")),if(LEFT(VLOOKUP($B595,'Round 5'!$F$2:$H$361,3,false),1)="b","W",if(LEFT(VLOOKUP($B595,'Round 5'!$F$2:$H$361,3,false),1)="a","L","")))</f>
        <v>W</v>
      </c>
      <c r="I595" s="67" t="str">
        <f>iferror(if(LEFT(VLOOKUP($B595,'Round 6'!$B$2:$H$361,7,false),1)="A","W",if(LEFT(VLOOKUP($B595,'Round 6'!$B$2:$H$361,7,false),1)="B","L","")),if(LEFT(VLOOKUP($B595,'Round 6'!$F$2:$H$361,3,false),1)="b","W",if(LEFT(VLOOKUP($B595,'Round 6'!$F$2:$H$361,3,false),1)="a","L","")))</f>
        <v>L</v>
      </c>
      <c r="J595" s="67" t="str">
        <f>iferror(iferror(if(LEFT(VLOOKUP($B595,'Round 7'!$B$2:$H$361,7,false),1)="A","W",if(LEFT(VLOOKUP($B595,'Round 7'!$B$2:$H$361,7,false),1)="B","L","")),if(LEFT(VLOOKUP($B595,'Round 7'!$F$2:$H$361,3,false),1)="b","W",if(LEFT(VLOOKUP($B595,'Round 7'!$F$2:$H$361,3,false),1)="a","L",""))),"")</f>
        <v>W</v>
      </c>
      <c r="K595" s="68" t="str">
        <f>iferror(iferror(if(LEFT(VLOOKUP($B595,'Round 8'!$B$2:$H$361,7,false),1)="A","W",if(LEFT(VLOOKUP($B595,'Round 8'!$B$2:$H$361,7,false),1)="B","L","")),if(LEFT(VLOOKUP($B595,'Round 8'!$F$2:$H$361,3,false),1)="b","W",if(LEFT(VLOOKUP($B595,'Round 8'!$F$2:$H$361,3,false),1)="a","L",""))),"")</f>
        <v>L</v>
      </c>
      <c r="L595" s="68" t="str">
        <f>iferror(iferror(if(LEFT(VLOOKUP($B595,'Round 9'!$B$2:$H$361,7,false),1)="A","W",if(LEFT(VLOOKUP($B595,'Round 9'!$B$2:$H$361,7,false),1)="B","L","")),if(LEFT(VLOOKUP($B595,'Round 9'!$F$2:$H$361,3,false),1)="b","W",if(LEFT(VLOOKUP($B595,'Round 9'!$F$2:$H$361,3,false),1)="a","L",""))),"")</f>
        <v/>
      </c>
      <c r="M595" s="68" t="str">
        <f>iferror(iferror(if(LEFT(VLOOKUP($B595,'Round 10'!$B$2:$H$362,7,false),1)="A","W",if(LEFT(VLOOKUP($B595,'Round 10'!$B$2:$H$362,7,false),1)="B","L","")),if(LEFT(VLOOKUP($B595,'Round 10'!$F$2:$H$362,3,false),1)="b","W",if(LEFT(VLOOKUP($B595,'Round 10'!$F$2:$H$362,3,false),1)="a","L",""))),"")</f>
        <v/>
      </c>
      <c r="N595" s="62" t="s">
        <v>1239</v>
      </c>
    </row>
    <row r="596">
      <c r="A596" s="63">
        <v>595.0</v>
      </c>
      <c r="B596" s="64" t="s">
        <v>1240</v>
      </c>
      <c r="C596" s="65" t="str">
        <f t="shared" si="1"/>
        <v>6 - 3</v>
      </c>
      <c r="D596" s="67" t="str">
        <f>iferror(if(LEFT(VLOOKUP($B596,'Round 1'!$B$2:$H$361,7,false),1)="A","W",if(LEFT(VLOOKUP($B596,'Round 1'!$B$2:$H$361,7,false),1)="B","L","")),if(LEFT(VLOOKUP($B596,'Round 1'!$F$2:$H$361,3,false),1)="b","W",if(LEFT(VLOOKUP($B596,'Round 1'!$F$2:$H$361,3,false),1)="a","L","")))</f>
        <v>L</v>
      </c>
      <c r="E596" s="67" t="str">
        <f>iferror(if(LEFT(VLOOKUP($B596,'Round 2'!$C$2:$J$361,8,false),1)="A","W",if(LEFT(VLOOKUP($B596,'Round 2'!$C$2:$J$361,8,false),1)="B","L","")),if(LEFT(VLOOKUP($B596,'Round 2'!$G$2:$J$361,4,false),1)="b","W",if(LEFT(VLOOKUP($B596,'Round 2'!$G$2:$J$361,4,false),1)="a","L","")))</f>
        <v>W</v>
      </c>
      <c r="F596" s="67" t="str">
        <f>iferror(if(LEFT(VLOOKUP($B596,'Round 3'!$B$2:$H$361,7,false),1)="A","W",if(LEFT(VLOOKUP($B596,'Round 3'!$B$2:$H$361,7,false),1)="B","L","")),if(LEFT(VLOOKUP($B596,'Round 3'!$F$2:$H$361,3,false),1)="b","W",if(LEFT(VLOOKUP($B596,'Round 3'!$F$2:$H$361,3,false),1)="a","L","")))</f>
        <v>W</v>
      </c>
      <c r="G596" s="67" t="str">
        <f>iferror(if(LEFT(VLOOKUP($B596,'Round 4'!$B$2:$H$361,7,false),1)="A","W",if(LEFT(VLOOKUP($B596,'Round 4'!$B$2:$H$361,7,false),1)="B","L","")),if(LEFT(VLOOKUP($B596,'Round 4'!$F$2:$H$361,3,false),1)="b","W",if(LEFT(VLOOKUP($B596,'Round 4'!$F$2:$H$361,3,false),1)="a","L","")))</f>
        <v>W</v>
      </c>
      <c r="H596" s="67" t="str">
        <f>iferror(if(LEFT(VLOOKUP($B596,'Round 5'!$B$2:$H$361,7,false),1)="A","W",if(LEFT(VLOOKUP($B596,'Round 5'!$B$2:$H$361,7,false),1)="B","L","")),if(LEFT(VLOOKUP($B596,'Round 5'!$F$2:$H$361,3,false),1)="b","W",if(LEFT(VLOOKUP($B596,'Round 5'!$F$2:$H$361,3,false),1)="a","L","")))</f>
        <v>W</v>
      </c>
      <c r="I596" s="67" t="str">
        <f>iferror(if(LEFT(VLOOKUP($B596,'Round 6'!$B$2:$H$361,7,false),1)="A","W",if(LEFT(VLOOKUP($B596,'Round 6'!$B$2:$H$361,7,false),1)="B","L","")),if(LEFT(VLOOKUP($B596,'Round 6'!$F$2:$H$361,3,false),1)="b","W",if(LEFT(VLOOKUP($B596,'Round 6'!$F$2:$H$361,3,false),1)="a","L","")))</f>
        <v>L</v>
      </c>
      <c r="J596" s="67" t="str">
        <f>iferror(iferror(if(LEFT(VLOOKUP($B596,'Round 7'!$B$2:$H$361,7,false),1)="A","W",if(LEFT(VLOOKUP($B596,'Round 7'!$B$2:$H$361,7,false),1)="B","L","")),if(LEFT(VLOOKUP($B596,'Round 7'!$F$2:$H$361,3,false),1)="b","W",if(LEFT(VLOOKUP($B596,'Round 7'!$F$2:$H$361,3,false),1)="a","L",""))),"")</f>
        <v>W</v>
      </c>
      <c r="K596" s="68" t="str">
        <f>iferror(iferror(if(LEFT(VLOOKUP($B596,'Round 8'!$B$2:$H$361,7,false),1)="A","W",if(LEFT(VLOOKUP($B596,'Round 8'!$B$2:$H$361,7,false),1)="B","L","")),if(LEFT(VLOOKUP($B596,'Round 8'!$F$2:$H$361,3,false),1)="b","W",if(LEFT(VLOOKUP($B596,'Round 8'!$F$2:$H$361,3,false),1)="a","L",""))),"")</f>
        <v>W</v>
      </c>
      <c r="L596" s="68" t="str">
        <f>iferror(iferror(if(LEFT(VLOOKUP($B596,'Round 9'!$B$2:$H$361,7,false),1)="A","W",if(LEFT(VLOOKUP($B596,'Round 9'!$B$2:$H$361,7,false),1)="B","L","")),if(LEFT(VLOOKUP($B596,'Round 9'!$F$2:$H$361,3,false),1)="b","W",if(LEFT(VLOOKUP($B596,'Round 9'!$F$2:$H$361,3,false),1)="a","L",""))),"")</f>
        <v>L</v>
      </c>
      <c r="M596" s="68" t="str">
        <f>iferror(iferror(if(LEFT(VLOOKUP($B596,'Round 10'!$B$2:$H$362,7,false),1)="A","W",if(LEFT(VLOOKUP($B596,'Round 10'!$B$2:$H$362,7,false),1)="B","L","")),if(LEFT(VLOOKUP($B596,'Round 10'!$F$2:$H$362,3,false),1)="b","W",if(LEFT(VLOOKUP($B596,'Round 10'!$F$2:$H$362,3,false),1)="a","L",""))),"")</f>
        <v/>
      </c>
      <c r="N596" s="62" t="s">
        <v>1241</v>
      </c>
    </row>
    <row r="597">
      <c r="A597" s="63">
        <v>596.0</v>
      </c>
      <c r="B597" s="64" t="s">
        <v>1242</v>
      </c>
      <c r="C597" s="65" t="str">
        <f t="shared" si="1"/>
        <v>0 - 3</v>
      </c>
      <c r="D597" s="67" t="str">
        <f>iferror(if(LEFT(VLOOKUP($B597,'Round 1'!$B$2:$H$361,7,false),1)="A","W",if(LEFT(VLOOKUP($B597,'Round 1'!$B$2:$H$361,7,false),1)="B","L","")),if(LEFT(VLOOKUP($B597,'Round 1'!$F$2:$H$361,3,false),1)="b","W",if(LEFT(VLOOKUP($B597,'Round 1'!$F$2:$H$361,3,false),1)="a","L","")))</f>
        <v>L</v>
      </c>
      <c r="E597" s="67" t="str">
        <f>iferror(if(LEFT(VLOOKUP($B597,'Round 2'!$C$2:$J$361,8,false),1)="A","W",if(LEFT(VLOOKUP($B597,'Round 2'!$C$2:$J$361,8,false),1)="B","L","")),if(LEFT(VLOOKUP($B597,'Round 2'!$G$2:$J$361,4,false),1)="b","W",if(LEFT(VLOOKUP($B597,'Round 2'!$G$2:$J$361,4,false),1)="a","L","")))</f>
        <v>L</v>
      </c>
      <c r="F597" s="67" t="str">
        <f>iferror(if(LEFT(VLOOKUP($B597,'Round 3'!$B$2:$H$361,7,false),1)="A","W",if(LEFT(VLOOKUP($B597,'Round 3'!$B$2:$H$361,7,false),1)="B","L","")),if(LEFT(VLOOKUP($B597,'Round 3'!$F$2:$H$361,3,false),1)="b","W",if(LEFT(VLOOKUP($B597,'Round 3'!$F$2:$H$361,3,false),1)="a","L","")))</f>
        <v>L</v>
      </c>
      <c r="G597" s="67"/>
      <c r="H597" s="67"/>
      <c r="I597" s="67"/>
      <c r="J597" s="67" t="str">
        <f>iferror(iferror(if(LEFT(VLOOKUP($B597,'Round 7'!$B$2:$H$361,7,false),1)="A","W",if(LEFT(VLOOKUP($B597,'Round 7'!$B$2:$H$361,7,false),1)="B","L","")),if(LEFT(VLOOKUP($B597,'Round 7'!$F$2:$H$361,3,false),1)="b","W",if(LEFT(VLOOKUP($B597,'Round 7'!$F$2:$H$361,3,false),1)="a","L",""))),"")</f>
        <v/>
      </c>
      <c r="K597" s="68" t="str">
        <f>iferror(iferror(if(LEFT(VLOOKUP($B597,'Round 8'!$B$2:$H$361,7,false),1)="A","W",if(LEFT(VLOOKUP($B597,'Round 8'!$B$2:$H$361,7,false),1)="B","L","")),if(LEFT(VLOOKUP($B597,'Round 8'!$F$2:$H$361,3,false),1)="b","W",if(LEFT(VLOOKUP($B597,'Round 8'!$F$2:$H$361,3,false),1)="a","L",""))),"")</f>
        <v/>
      </c>
      <c r="L597" s="68" t="str">
        <f>iferror(iferror(if(LEFT(VLOOKUP($B597,'Round 9'!$B$2:$H$361,7,false),1)="A","W",if(LEFT(VLOOKUP($B597,'Round 9'!$B$2:$H$361,7,false),1)="B","L","")),if(LEFT(VLOOKUP($B597,'Round 9'!$F$2:$H$361,3,false),1)="b","W",if(LEFT(VLOOKUP($B597,'Round 9'!$F$2:$H$361,3,false),1)="a","L",""))),"")</f>
        <v/>
      </c>
      <c r="M597" s="68" t="str">
        <f>iferror(iferror(if(LEFT(VLOOKUP($B597,'Round 10'!$B$2:$H$362,7,false),1)="A","W",if(LEFT(VLOOKUP($B597,'Round 10'!$B$2:$H$362,7,false),1)="B","L","")),if(LEFT(VLOOKUP($B597,'Round 10'!$F$2:$H$362,3,false),1)="b","W",if(LEFT(VLOOKUP($B597,'Round 10'!$F$2:$H$362,3,false),1)="a","L",""))),"")</f>
        <v/>
      </c>
      <c r="N597" s="62" t="s">
        <v>144</v>
      </c>
    </row>
    <row r="598">
      <c r="A598" s="63">
        <v>597.0</v>
      </c>
      <c r="B598" s="64" t="s">
        <v>1243</v>
      </c>
      <c r="C598" s="65" t="str">
        <f t="shared" si="1"/>
        <v>3 - 3</v>
      </c>
      <c r="D598" s="67" t="str">
        <f>iferror(if(LEFT(VLOOKUP($B598,'Round 1'!$B$2:$H$361,7,false),1)="A","W",if(LEFT(VLOOKUP($B598,'Round 1'!$B$2:$H$361,7,false),1)="B","L","")),if(LEFT(VLOOKUP($B598,'Round 1'!$F$2:$H$361,3,false),1)="b","W",if(LEFT(VLOOKUP($B598,'Round 1'!$F$2:$H$361,3,false),1)="a","L","")))</f>
        <v>W</v>
      </c>
      <c r="E598" s="67" t="str">
        <f>iferror(if(LEFT(VLOOKUP($B598,'Round 2'!$C$2:$J$361,8,false),1)="A","W",if(LEFT(VLOOKUP($B598,'Round 2'!$C$2:$J$361,8,false),1)="B","L","")),if(LEFT(VLOOKUP($B598,'Round 2'!$G$2:$J$361,4,false),1)="b","W",if(LEFT(VLOOKUP($B598,'Round 2'!$G$2:$J$361,4,false),1)="a","L","")))</f>
        <v>L</v>
      </c>
      <c r="F598" s="67" t="str">
        <f>iferror(if(LEFT(VLOOKUP($B598,'Round 3'!$B$2:$H$361,7,false),1)="A","W",if(LEFT(VLOOKUP($B598,'Round 3'!$B$2:$H$361,7,false),1)="B","L","")),if(LEFT(VLOOKUP($B598,'Round 3'!$F$2:$H$361,3,false),1)="b","W",if(LEFT(VLOOKUP($B598,'Round 3'!$F$2:$H$361,3,false),1)="a","L","")))</f>
        <v>W</v>
      </c>
      <c r="G598" s="67" t="str">
        <f>iferror(if(LEFT(VLOOKUP($B598,'Round 4'!$B$2:$H$361,7,false),1)="A","W",if(LEFT(VLOOKUP($B598,'Round 4'!$B$2:$H$361,7,false),1)="B","L","")),if(LEFT(VLOOKUP($B598,'Round 4'!$F$2:$H$361,3,false),1)="b","W",if(LEFT(VLOOKUP($B598,'Round 4'!$F$2:$H$361,3,false),1)="a","L","")))</f>
        <v>W</v>
      </c>
      <c r="H598" s="67" t="str">
        <f>iferror(if(LEFT(VLOOKUP($B598,'Round 5'!$B$2:$H$361,7,false),1)="A","W",if(LEFT(VLOOKUP($B598,'Round 5'!$B$2:$H$361,7,false),1)="B","L","")),if(LEFT(VLOOKUP($B598,'Round 5'!$F$2:$H$361,3,false),1)="b","W",if(LEFT(VLOOKUP($B598,'Round 5'!$F$2:$H$361,3,false),1)="a","L","")))</f>
        <v>L</v>
      </c>
      <c r="I598" s="67" t="str">
        <f>iferror(if(LEFT(VLOOKUP($B598,'Round 6'!$B$2:$H$361,7,false),1)="A","W",if(LEFT(VLOOKUP($B598,'Round 6'!$B$2:$H$361,7,false),1)="B","L","")),if(LEFT(VLOOKUP($B598,'Round 6'!$F$2:$H$361,3,false),1)="b","W",if(LEFT(VLOOKUP($B598,'Round 6'!$F$2:$H$361,3,false),1)="a","L","")))</f>
        <v>L</v>
      </c>
      <c r="J598" s="67" t="str">
        <f>iferror(iferror(if(LEFT(VLOOKUP($B598,'Round 7'!$B$2:$H$361,7,false),1)="A","W",if(LEFT(VLOOKUP($B598,'Round 7'!$B$2:$H$361,7,false),1)="B","L","")),if(LEFT(VLOOKUP($B598,'Round 7'!$F$2:$H$361,3,false),1)="b","W",if(LEFT(VLOOKUP($B598,'Round 7'!$F$2:$H$361,3,false),1)="a","L",""))),"")</f>
        <v/>
      </c>
      <c r="K598" s="68" t="str">
        <f>iferror(iferror(if(LEFT(VLOOKUP($B598,'Round 8'!$B$2:$H$361,7,false),1)="A","W",if(LEFT(VLOOKUP($B598,'Round 8'!$B$2:$H$361,7,false),1)="B","L","")),if(LEFT(VLOOKUP($B598,'Round 8'!$F$2:$H$361,3,false),1)="b","W",if(LEFT(VLOOKUP($B598,'Round 8'!$F$2:$H$361,3,false),1)="a","L",""))),"")</f>
        <v/>
      </c>
      <c r="L598" s="68" t="str">
        <f>iferror(iferror(if(LEFT(VLOOKUP($B598,'Round 9'!$B$2:$H$361,7,false),1)="A","W",if(LEFT(VLOOKUP($B598,'Round 9'!$B$2:$H$361,7,false),1)="B","L","")),if(LEFT(VLOOKUP($B598,'Round 9'!$F$2:$H$361,3,false),1)="b","W",if(LEFT(VLOOKUP($B598,'Round 9'!$F$2:$H$361,3,false),1)="a","L",""))),"")</f>
        <v/>
      </c>
      <c r="M598" s="68" t="str">
        <f>iferror(iferror(if(LEFT(VLOOKUP($B598,'Round 10'!$B$2:$H$362,7,false),1)="A","W",if(LEFT(VLOOKUP($B598,'Round 10'!$B$2:$H$362,7,false),1)="B","L","")),if(LEFT(VLOOKUP($B598,'Round 10'!$F$2:$H$362,3,false),1)="b","W",if(LEFT(VLOOKUP($B598,'Round 10'!$F$2:$H$362,3,false),1)="a","L",""))),"")</f>
        <v/>
      </c>
      <c r="N598" s="62" t="s">
        <v>1244</v>
      </c>
    </row>
    <row r="599">
      <c r="A599" s="63">
        <v>598.0</v>
      </c>
      <c r="B599" s="64" t="s">
        <v>1245</v>
      </c>
      <c r="C599" s="65" t="str">
        <f t="shared" si="1"/>
        <v>2 - 3</v>
      </c>
      <c r="D599" s="67" t="str">
        <f>iferror(if(LEFT(VLOOKUP($B599,'Round 1'!$B$2:$H$361,7,false),1)="A","W",if(LEFT(VLOOKUP($B599,'Round 1'!$B$2:$H$361,7,false),1)="B","L","")),if(LEFT(VLOOKUP($B599,'Round 1'!$F$2:$H$361,3,false),1)="b","W",if(LEFT(VLOOKUP($B599,'Round 1'!$F$2:$H$361,3,false),1)="a","L","")))</f>
        <v>L</v>
      </c>
      <c r="E599" s="67" t="str">
        <f>iferror(if(LEFT(VLOOKUP($B599,'Round 2'!$C$2:$J$361,8,false),1)="A","W",if(LEFT(VLOOKUP($B599,'Round 2'!$C$2:$J$361,8,false),1)="B","L","")),if(LEFT(VLOOKUP($B599,'Round 2'!$G$2:$J$361,4,false),1)="b","W",if(LEFT(VLOOKUP($B599,'Round 2'!$G$2:$J$361,4,false),1)="a","L","")))</f>
        <v>W</v>
      </c>
      <c r="F599" s="67" t="str">
        <f>iferror(if(LEFT(VLOOKUP($B599,'Round 3'!$B$2:$H$361,7,false),1)="A","W",if(LEFT(VLOOKUP($B599,'Round 3'!$B$2:$H$361,7,false),1)="B","L","")),if(LEFT(VLOOKUP($B599,'Round 3'!$F$2:$H$361,3,false),1)="b","W",if(LEFT(VLOOKUP($B599,'Round 3'!$F$2:$H$361,3,false),1)="a","L","")))</f>
        <v>W</v>
      </c>
      <c r="G599" s="67" t="str">
        <f>iferror(if(LEFT(VLOOKUP($B599,'Round 4'!$B$2:$H$361,7,false),1)="A","W",if(LEFT(VLOOKUP($B599,'Round 4'!$B$2:$H$361,7,false),1)="B","L","")),if(LEFT(VLOOKUP($B599,'Round 4'!$F$2:$H$361,3,false),1)="b","W",if(LEFT(VLOOKUP($B599,'Round 4'!$F$2:$H$361,3,false),1)="a","L","")))</f>
        <v>L</v>
      </c>
      <c r="H599" s="67" t="str">
        <f>iferror(if(LEFT(VLOOKUP($B599,'Round 5'!$B$2:$H$361,7,false),1)="A","W",if(LEFT(VLOOKUP($B599,'Round 5'!$B$2:$H$361,7,false),1)="B","L","")),if(LEFT(VLOOKUP($B599,'Round 5'!$F$2:$H$361,3,false),1)="b","W",if(LEFT(VLOOKUP($B599,'Round 5'!$F$2:$H$361,3,false),1)="a","L","")))</f>
        <v>L</v>
      </c>
      <c r="I599" s="67"/>
      <c r="J599" s="67" t="str">
        <f>iferror(iferror(if(LEFT(VLOOKUP($B599,'Round 7'!$B$2:$H$361,7,false),1)="A","W",if(LEFT(VLOOKUP($B599,'Round 7'!$B$2:$H$361,7,false),1)="B","L","")),if(LEFT(VLOOKUP($B599,'Round 7'!$F$2:$H$361,3,false),1)="b","W",if(LEFT(VLOOKUP($B599,'Round 7'!$F$2:$H$361,3,false),1)="a","L",""))),"")</f>
        <v/>
      </c>
      <c r="K599" s="68" t="str">
        <f>iferror(iferror(if(LEFT(VLOOKUP($B599,'Round 8'!$B$2:$H$361,7,false),1)="A","W",if(LEFT(VLOOKUP($B599,'Round 8'!$B$2:$H$361,7,false),1)="B","L","")),if(LEFT(VLOOKUP($B599,'Round 8'!$F$2:$H$361,3,false),1)="b","W",if(LEFT(VLOOKUP($B599,'Round 8'!$F$2:$H$361,3,false),1)="a","L",""))),"")</f>
        <v/>
      </c>
      <c r="L599" s="68" t="str">
        <f>iferror(iferror(if(LEFT(VLOOKUP($B599,'Round 9'!$B$2:$H$361,7,false),1)="A","W",if(LEFT(VLOOKUP($B599,'Round 9'!$B$2:$H$361,7,false),1)="B","L","")),if(LEFT(VLOOKUP($B599,'Round 9'!$F$2:$H$361,3,false),1)="b","W",if(LEFT(VLOOKUP($B599,'Round 9'!$F$2:$H$361,3,false),1)="a","L",""))),"")</f>
        <v/>
      </c>
      <c r="M599" s="68" t="str">
        <f>iferror(iferror(if(LEFT(VLOOKUP($B599,'Round 10'!$B$2:$H$362,7,false),1)="A","W",if(LEFT(VLOOKUP($B599,'Round 10'!$B$2:$H$362,7,false),1)="B","L","")),if(LEFT(VLOOKUP($B599,'Round 10'!$F$2:$H$362,3,false),1)="b","W",if(LEFT(VLOOKUP($B599,'Round 10'!$F$2:$H$362,3,false),1)="a","L",""))),"")</f>
        <v/>
      </c>
      <c r="N599" s="62" t="s">
        <v>1246</v>
      </c>
    </row>
    <row r="600">
      <c r="A600" s="63">
        <v>599.0</v>
      </c>
      <c r="B600" s="64" t="s">
        <v>1247</v>
      </c>
      <c r="C600" s="65" t="str">
        <f t="shared" si="1"/>
        <v>7 - 2</v>
      </c>
      <c r="D600" s="67" t="str">
        <f>iferror(if(LEFT(VLOOKUP($B600,'Round 1'!$B$2:$H$361,7,false),1)="A","W",if(LEFT(VLOOKUP($B600,'Round 1'!$B$2:$H$361,7,false),1)="B","L","")),if(LEFT(VLOOKUP($B600,'Round 1'!$F$2:$H$361,3,false),1)="b","W",if(LEFT(VLOOKUP($B600,'Round 1'!$F$2:$H$361,3,false),1)="a","L","")))</f>
        <v>W</v>
      </c>
      <c r="E600" s="67" t="str">
        <f>iferror(if(LEFT(VLOOKUP($B600,'Round 2'!$C$2:$J$361,8,false),1)="A","W",if(LEFT(VLOOKUP($B600,'Round 2'!$C$2:$J$361,8,false),1)="B","L","")),if(LEFT(VLOOKUP($B600,'Round 2'!$G$2:$J$361,4,false),1)="b","W",if(LEFT(VLOOKUP($B600,'Round 2'!$G$2:$J$361,4,false),1)="a","L","")))</f>
        <v>W</v>
      </c>
      <c r="F600" s="67" t="str">
        <f>iferror(if(LEFT(VLOOKUP($B600,'Round 3'!$B$2:$H$361,7,false),1)="A","W",if(LEFT(VLOOKUP($B600,'Round 3'!$B$2:$H$361,7,false),1)="B","L","")),if(LEFT(VLOOKUP($B600,'Round 3'!$F$2:$H$361,3,false),1)="b","W",if(LEFT(VLOOKUP($B600,'Round 3'!$F$2:$H$361,3,false),1)="a","L","")))</f>
        <v>L</v>
      </c>
      <c r="G600" s="67" t="str">
        <f>iferror(if(LEFT(VLOOKUP($B600,'Round 4'!$B$2:$H$361,7,false),1)="A","W",if(LEFT(VLOOKUP($B600,'Round 4'!$B$2:$H$361,7,false),1)="B","L","")),if(LEFT(VLOOKUP($B600,'Round 4'!$F$2:$H$361,3,false),1)="b","W",if(LEFT(VLOOKUP($B600,'Round 4'!$F$2:$H$361,3,false),1)="a","L","")))</f>
        <v>L</v>
      </c>
      <c r="H600" s="67" t="str">
        <f>iferror(if(LEFT(VLOOKUP($B600,'Round 5'!$B$2:$H$361,7,false),1)="A","W",if(LEFT(VLOOKUP($B600,'Round 5'!$B$2:$H$361,7,false),1)="B","L","")),if(LEFT(VLOOKUP($B600,'Round 5'!$F$2:$H$361,3,false),1)="b","W",if(LEFT(VLOOKUP($B600,'Round 5'!$F$2:$H$361,3,false),1)="a","L","")))</f>
        <v>W</v>
      </c>
      <c r="I600" s="67" t="str">
        <f>iferror(if(LEFT(VLOOKUP($B600,'Round 6'!$B$2:$H$361,7,false),1)="A","W",if(LEFT(VLOOKUP($B600,'Round 6'!$B$2:$H$361,7,false),1)="B","L","")),if(LEFT(VLOOKUP($B600,'Round 6'!$F$2:$H$361,3,false),1)="b","W",if(LEFT(VLOOKUP($B600,'Round 6'!$F$2:$H$361,3,false),1)="a","L","")))</f>
        <v>W</v>
      </c>
      <c r="J600" s="67" t="str">
        <f>iferror(iferror(if(LEFT(VLOOKUP($B600,'Round 7'!$B$2:$H$361,7,false),1)="A","W",if(LEFT(VLOOKUP($B600,'Round 7'!$B$2:$H$361,7,false),1)="B","L","")),if(LEFT(VLOOKUP($B600,'Round 7'!$F$2:$H$361,3,false),1)="b","W",if(LEFT(VLOOKUP($B600,'Round 7'!$F$2:$H$361,3,false),1)="a","L",""))),"")</f>
        <v>W</v>
      </c>
      <c r="K600" s="68" t="str">
        <f>iferror(iferror(if(LEFT(VLOOKUP($B600,'Round 8'!$B$2:$H$361,7,false),1)="A","W",if(LEFT(VLOOKUP($B600,'Round 8'!$B$2:$H$361,7,false),1)="B","L","")),if(LEFT(VLOOKUP($B600,'Round 8'!$F$2:$H$361,3,false),1)="b","W",if(LEFT(VLOOKUP($B600,'Round 8'!$F$2:$H$361,3,false),1)="a","L",""))),"")</f>
        <v>W</v>
      </c>
      <c r="L600" s="68" t="str">
        <f>iferror(iferror(if(LEFT(VLOOKUP($B600,'Round 9'!$B$2:$H$361,7,false),1)="A","W",if(LEFT(VLOOKUP($B600,'Round 9'!$B$2:$H$361,7,false),1)="B","L","")),if(LEFT(VLOOKUP($B600,'Round 9'!$F$2:$H$361,3,false),1)="b","W",if(LEFT(VLOOKUP($B600,'Round 9'!$F$2:$H$361,3,false),1)="a","L",""))),"")</f>
        <v>W</v>
      </c>
      <c r="M600" s="68" t="str">
        <f>iferror(iferror(if(LEFT(VLOOKUP($B600,'Round 10'!$B$2:$H$362,7,false),1)="A","W",if(LEFT(VLOOKUP($B600,'Round 10'!$B$2:$H$362,7,false),1)="B","L","")),if(LEFT(VLOOKUP($B600,'Round 10'!$F$2:$H$362,3,false),1)="b","W",if(LEFT(VLOOKUP($B600,'Round 10'!$F$2:$H$362,3,false),1)="a","L",""))),"")</f>
        <v/>
      </c>
      <c r="N600" s="62" t="s">
        <v>1248</v>
      </c>
    </row>
    <row r="601">
      <c r="A601" s="63">
        <v>600.0</v>
      </c>
      <c r="B601" s="64" t="s">
        <v>1249</v>
      </c>
      <c r="C601" s="65" t="str">
        <f t="shared" si="1"/>
        <v>1 - 3</v>
      </c>
      <c r="D601" s="67" t="str">
        <f>iferror(if(LEFT(VLOOKUP($B601,'Round 1'!$B$2:$H$361,7,false),1)="A","W",if(LEFT(VLOOKUP($B601,'Round 1'!$B$2:$H$361,7,false),1)="B","L","")),if(LEFT(VLOOKUP($B601,'Round 1'!$F$2:$H$361,3,false),1)="b","W",if(LEFT(VLOOKUP($B601,'Round 1'!$F$2:$H$361,3,false),1)="a","L","")))</f>
        <v>L</v>
      </c>
      <c r="E601" s="67" t="str">
        <f>iferror(if(LEFT(VLOOKUP($B601,'Round 2'!$C$2:$J$361,8,false),1)="A","W",if(LEFT(VLOOKUP($B601,'Round 2'!$C$2:$J$361,8,false),1)="B","L","")),if(LEFT(VLOOKUP($B601,'Round 2'!$G$2:$J$361,4,false),1)="b","W",if(LEFT(VLOOKUP($B601,'Round 2'!$G$2:$J$361,4,false),1)="a","L","")))</f>
        <v>L</v>
      </c>
      <c r="F601" s="67" t="str">
        <f>iferror(if(LEFT(VLOOKUP($B601,'Round 3'!$B$2:$H$361,7,false),1)="A","W",if(LEFT(VLOOKUP($B601,'Round 3'!$B$2:$H$361,7,false),1)="B","L","")),if(LEFT(VLOOKUP($B601,'Round 3'!$F$2:$H$361,3,false),1)="b","W",if(LEFT(VLOOKUP($B601,'Round 3'!$F$2:$H$361,3,false),1)="a","L","")))</f>
        <v>W</v>
      </c>
      <c r="G601" s="67" t="str">
        <f>iferror(if(LEFT(VLOOKUP($B601,'Round 4'!$B$2:$H$361,7,false),1)="A","W",if(LEFT(VLOOKUP($B601,'Round 4'!$B$2:$H$361,7,false),1)="B","L","")),if(LEFT(VLOOKUP($B601,'Round 4'!$F$2:$H$361,3,false),1)="b","W",if(LEFT(VLOOKUP($B601,'Round 4'!$F$2:$H$361,3,false),1)="a","L","")))</f>
        <v>L</v>
      </c>
      <c r="H601" s="67"/>
      <c r="I601" s="67"/>
      <c r="J601" s="67" t="str">
        <f>iferror(iferror(if(LEFT(VLOOKUP($B601,'Round 7'!$B$2:$H$361,7,false),1)="A","W",if(LEFT(VLOOKUP($B601,'Round 7'!$B$2:$H$361,7,false),1)="B","L","")),if(LEFT(VLOOKUP($B601,'Round 7'!$F$2:$H$361,3,false),1)="b","W",if(LEFT(VLOOKUP($B601,'Round 7'!$F$2:$H$361,3,false),1)="a","L",""))),"")</f>
        <v/>
      </c>
      <c r="K601" s="68" t="str">
        <f>iferror(iferror(if(LEFT(VLOOKUP($B601,'Round 8'!$B$2:$H$361,7,false),1)="A","W",if(LEFT(VLOOKUP($B601,'Round 8'!$B$2:$H$361,7,false),1)="B","L","")),if(LEFT(VLOOKUP($B601,'Round 8'!$F$2:$H$361,3,false),1)="b","W",if(LEFT(VLOOKUP($B601,'Round 8'!$F$2:$H$361,3,false),1)="a","L",""))),"")</f>
        <v/>
      </c>
      <c r="L601" s="68" t="str">
        <f>iferror(iferror(if(LEFT(VLOOKUP($B601,'Round 9'!$B$2:$H$361,7,false),1)="A","W",if(LEFT(VLOOKUP($B601,'Round 9'!$B$2:$H$361,7,false),1)="B","L","")),if(LEFT(VLOOKUP($B601,'Round 9'!$F$2:$H$361,3,false),1)="b","W",if(LEFT(VLOOKUP($B601,'Round 9'!$F$2:$H$361,3,false),1)="a","L",""))),"")</f>
        <v/>
      </c>
      <c r="M601" s="68" t="str">
        <f>iferror(iferror(if(LEFT(VLOOKUP($B601,'Round 10'!$B$2:$H$362,7,false),1)="A","W",if(LEFT(VLOOKUP($B601,'Round 10'!$B$2:$H$362,7,false),1)="B","L","")),if(LEFT(VLOOKUP($B601,'Round 10'!$F$2:$H$362,3,false),1)="b","W",if(LEFT(VLOOKUP($B601,'Round 10'!$F$2:$H$362,3,false),1)="a","L",""))),"")</f>
        <v/>
      </c>
      <c r="N601" s="62" t="s">
        <v>1250</v>
      </c>
    </row>
    <row r="602">
      <c r="A602" s="63">
        <v>601.0</v>
      </c>
      <c r="B602" s="64" t="s">
        <v>1251</v>
      </c>
      <c r="C602" s="65" t="str">
        <f t="shared" si="1"/>
        <v>1 - 3</v>
      </c>
      <c r="D602" s="67" t="str">
        <f>iferror(if(LEFT(VLOOKUP($B602,'Round 1'!$B$2:$H$361,7,false),1)="A","W",if(LEFT(VLOOKUP($B602,'Round 1'!$B$2:$H$361,7,false),1)="B","L","")),if(LEFT(VLOOKUP($B602,'Round 1'!$F$2:$H$361,3,false),1)="b","W",if(LEFT(VLOOKUP($B602,'Round 1'!$F$2:$H$361,3,false),1)="a","L","")))</f>
        <v>W</v>
      </c>
      <c r="E602" s="67" t="str">
        <f>iferror(if(LEFT(VLOOKUP($B602,'Round 2'!$C$2:$J$361,8,false),1)="A","W",if(LEFT(VLOOKUP($B602,'Round 2'!$C$2:$J$361,8,false),1)="B","L","")),if(LEFT(VLOOKUP($B602,'Round 2'!$G$2:$J$361,4,false),1)="b","W",if(LEFT(VLOOKUP($B602,'Round 2'!$G$2:$J$361,4,false),1)="a","L","")))</f>
        <v>L</v>
      </c>
      <c r="F602" s="67" t="str">
        <f>iferror(if(LEFT(VLOOKUP($B602,'Round 3'!$B$2:$H$361,7,false),1)="A","W",if(LEFT(VLOOKUP($B602,'Round 3'!$B$2:$H$361,7,false),1)="B","L","")),if(LEFT(VLOOKUP($B602,'Round 3'!$F$2:$H$361,3,false),1)="b","W",if(LEFT(VLOOKUP($B602,'Round 3'!$F$2:$H$361,3,false),1)="a","L","")))</f>
        <v>L</v>
      </c>
      <c r="G602" s="67" t="str">
        <f>iferror(if(LEFT(VLOOKUP($B602,'Round 4'!$B$2:$H$361,7,false),1)="A","W",if(LEFT(VLOOKUP($B602,'Round 4'!$B$2:$H$361,7,false),1)="B","L","")),if(LEFT(VLOOKUP($B602,'Round 4'!$F$2:$H$361,3,false),1)="b","W",if(LEFT(VLOOKUP($B602,'Round 4'!$F$2:$H$361,3,false),1)="a","L","")))</f>
        <v>L</v>
      </c>
      <c r="H602" s="67"/>
      <c r="I602" s="67"/>
      <c r="J602" s="67" t="str">
        <f>iferror(iferror(if(LEFT(VLOOKUP($B602,'Round 7'!$B$2:$H$361,7,false),1)="A","W",if(LEFT(VLOOKUP($B602,'Round 7'!$B$2:$H$361,7,false),1)="B","L","")),if(LEFT(VLOOKUP($B602,'Round 7'!$F$2:$H$361,3,false),1)="b","W",if(LEFT(VLOOKUP($B602,'Round 7'!$F$2:$H$361,3,false),1)="a","L",""))),"")</f>
        <v/>
      </c>
      <c r="K602" s="68" t="str">
        <f>iferror(iferror(if(LEFT(VLOOKUP($B602,'Round 8'!$B$2:$H$361,7,false),1)="A","W",if(LEFT(VLOOKUP($B602,'Round 8'!$B$2:$H$361,7,false),1)="B","L","")),if(LEFT(VLOOKUP($B602,'Round 8'!$F$2:$H$361,3,false),1)="b","W",if(LEFT(VLOOKUP($B602,'Round 8'!$F$2:$H$361,3,false),1)="a","L",""))),"")</f>
        <v/>
      </c>
      <c r="L602" s="68" t="str">
        <f>iferror(iferror(if(LEFT(VLOOKUP($B602,'Round 9'!$B$2:$H$361,7,false),1)="A","W",if(LEFT(VLOOKUP($B602,'Round 9'!$B$2:$H$361,7,false),1)="B","L","")),if(LEFT(VLOOKUP($B602,'Round 9'!$F$2:$H$361,3,false),1)="b","W",if(LEFT(VLOOKUP($B602,'Round 9'!$F$2:$H$361,3,false),1)="a","L",""))),"")</f>
        <v/>
      </c>
      <c r="M602" s="68" t="str">
        <f>iferror(iferror(if(LEFT(VLOOKUP($B602,'Round 10'!$B$2:$H$362,7,false),1)="A","W",if(LEFT(VLOOKUP($B602,'Round 10'!$B$2:$H$362,7,false),1)="B","L","")),if(LEFT(VLOOKUP($B602,'Round 10'!$F$2:$H$362,3,false),1)="b","W",if(LEFT(VLOOKUP($B602,'Round 10'!$F$2:$H$362,3,false),1)="a","L",""))),"")</f>
        <v/>
      </c>
      <c r="N602" s="62" t="s">
        <v>1252</v>
      </c>
    </row>
    <row r="603">
      <c r="A603" s="63">
        <v>602.0</v>
      </c>
      <c r="B603" s="64" t="s">
        <v>1253</v>
      </c>
      <c r="C603" s="65" t="str">
        <f t="shared" si="1"/>
        <v>3 - 3</v>
      </c>
      <c r="D603" s="67" t="str">
        <f>iferror(if(LEFT(VLOOKUP($B603,'Round 1'!$B$2:$H$361,7,false),1)="A","W",if(LEFT(VLOOKUP($B603,'Round 1'!$B$2:$H$361,7,false),1)="B","L","")),if(LEFT(VLOOKUP($B603,'Round 1'!$F$2:$H$361,3,false),1)="b","W",if(LEFT(VLOOKUP($B603,'Round 1'!$F$2:$H$361,3,false),1)="a","L","")))</f>
        <v>L</v>
      </c>
      <c r="E603" s="67" t="str">
        <f>iferror(if(LEFT(VLOOKUP($B603,'Round 2'!$C$2:$J$361,8,false),1)="A","W",if(LEFT(VLOOKUP($B603,'Round 2'!$C$2:$J$361,8,false),1)="B","L","")),if(LEFT(VLOOKUP($B603,'Round 2'!$G$2:$J$361,4,false),1)="b","W",if(LEFT(VLOOKUP($B603,'Round 2'!$G$2:$J$361,4,false),1)="a","L","")))</f>
        <v>W</v>
      </c>
      <c r="F603" s="67" t="str">
        <f>iferror(if(LEFT(VLOOKUP($B603,'Round 3'!$B$2:$H$361,7,false),1)="A","W",if(LEFT(VLOOKUP($B603,'Round 3'!$B$2:$H$361,7,false),1)="B","L","")),if(LEFT(VLOOKUP($B603,'Round 3'!$F$2:$H$361,3,false),1)="b","W",if(LEFT(VLOOKUP($B603,'Round 3'!$F$2:$H$361,3,false),1)="a","L","")))</f>
        <v>L</v>
      </c>
      <c r="G603" s="67" t="str">
        <f>iferror(if(LEFT(VLOOKUP($B603,'Round 4'!$B$2:$H$361,7,false),1)="A","W",if(LEFT(VLOOKUP($B603,'Round 4'!$B$2:$H$361,7,false),1)="B","L","")),if(LEFT(VLOOKUP($B603,'Round 4'!$F$2:$H$361,3,false),1)="b","W",if(LEFT(VLOOKUP($B603,'Round 4'!$F$2:$H$361,3,false),1)="a","L","")))</f>
        <v>W</v>
      </c>
      <c r="H603" s="67" t="str">
        <f>iferror(if(LEFT(VLOOKUP($B603,'Round 5'!$B$2:$H$361,7,false),1)="A","W",if(LEFT(VLOOKUP($B603,'Round 5'!$B$2:$H$361,7,false),1)="B","L","")),if(LEFT(VLOOKUP($B603,'Round 5'!$F$2:$H$361,3,false),1)="b","W",if(LEFT(VLOOKUP($B603,'Round 5'!$F$2:$H$361,3,false),1)="a","L","")))</f>
        <v>W</v>
      </c>
      <c r="I603" s="67" t="str">
        <f>iferror(if(LEFT(VLOOKUP($B603,'Round 6'!$B$2:$H$361,7,false),1)="A","W",if(LEFT(VLOOKUP($B603,'Round 6'!$B$2:$H$361,7,false),1)="B","L","")),if(LEFT(VLOOKUP($B603,'Round 6'!$F$2:$H$361,3,false),1)="b","W",if(LEFT(VLOOKUP($B603,'Round 6'!$F$2:$H$361,3,false),1)="a","L","")))</f>
        <v>L</v>
      </c>
      <c r="J603" s="67" t="str">
        <f>iferror(iferror(if(LEFT(VLOOKUP($B603,'Round 7'!$B$2:$H$361,7,false),1)="A","W",if(LEFT(VLOOKUP($B603,'Round 7'!$B$2:$H$361,7,false),1)="B","L","")),if(LEFT(VLOOKUP($B603,'Round 7'!$F$2:$H$361,3,false),1)="b","W",if(LEFT(VLOOKUP($B603,'Round 7'!$F$2:$H$361,3,false),1)="a","L",""))),"")</f>
        <v/>
      </c>
      <c r="K603" s="68" t="str">
        <f>iferror(iferror(if(LEFT(VLOOKUP($B603,'Round 8'!$B$2:$H$361,7,false),1)="A","W",if(LEFT(VLOOKUP($B603,'Round 8'!$B$2:$H$361,7,false),1)="B","L","")),if(LEFT(VLOOKUP($B603,'Round 8'!$F$2:$H$361,3,false),1)="b","W",if(LEFT(VLOOKUP($B603,'Round 8'!$F$2:$H$361,3,false),1)="a","L",""))),"")</f>
        <v/>
      </c>
      <c r="L603" s="68" t="str">
        <f>iferror(iferror(if(LEFT(VLOOKUP($B603,'Round 9'!$B$2:$H$361,7,false),1)="A","W",if(LEFT(VLOOKUP($B603,'Round 9'!$B$2:$H$361,7,false),1)="B","L","")),if(LEFT(VLOOKUP($B603,'Round 9'!$F$2:$H$361,3,false),1)="b","W",if(LEFT(VLOOKUP($B603,'Round 9'!$F$2:$H$361,3,false),1)="a","L",""))),"")</f>
        <v/>
      </c>
      <c r="M603" s="68" t="str">
        <f>iferror(iferror(if(LEFT(VLOOKUP($B603,'Round 10'!$B$2:$H$362,7,false),1)="A","W",if(LEFT(VLOOKUP($B603,'Round 10'!$B$2:$H$362,7,false),1)="B","L","")),if(LEFT(VLOOKUP($B603,'Round 10'!$F$2:$H$362,3,false),1)="b","W",if(LEFT(VLOOKUP($B603,'Round 10'!$F$2:$H$362,3,false),1)="a","L",""))),"")</f>
        <v/>
      </c>
      <c r="N603" s="62" t="s">
        <v>1254</v>
      </c>
    </row>
    <row r="604">
      <c r="A604" s="63">
        <v>603.0</v>
      </c>
      <c r="B604" s="64" t="s">
        <v>1255</v>
      </c>
      <c r="C604" s="65" t="str">
        <f t="shared" si="1"/>
        <v>3 - 3</v>
      </c>
      <c r="D604" s="67" t="str">
        <f>iferror(if(LEFT(VLOOKUP($B604,'Round 1'!$B$2:$H$361,7,false),1)="A","W",if(LEFT(VLOOKUP($B604,'Round 1'!$B$2:$H$361,7,false),1)="B","L","")),if(LEFT(VLOOKUP($B604,'Round 1'!$F$2:$H$361,3,false),1)="b","W",if(LEFT(VLOOKUP($B604,'Round 1'!$F$2:$H$361,3,false),1)="a","L","")))</f>
        <v>L</v>
      </c>
      <c r="E604" s="67" t="str">
        <f>iferror(if(LEFT(VLOOKUP($B604,'Round 2'!$C$2:$J$361,8,false),1)="A","W",if(LEFT(VLOOKUP($B604,'Round 2'!$C$2:$J$361,8,false),1)="B","L","")),if(LEFT(VLOOKUP($B604,'Round 2'!$G$2:$J$361,4,false),1)="b","W",if(LEFT(VLOOKUP($B604,'Round 2'!$G$2:$J$361,4,false),1)="a","L","")))</f>
        <v>L</v>
      </c>
      <c r="F604" s="67" t="str">
        <f>iferror(if(LEFT(VLOOKUP($B604,'Round 3'!$B$2:$H$361,7,false),1)="A","W",if(LEFT(VLOOKUP($B604,'Round 3'!$B$2:$H$361,7,false),1)="B","L","")),if(LEFT(VLOOKUP($B604,'Round 3'!$F$2:$H$361,3,false),1)="b","W",if(LEFT(VLOOKUP($B604,'Round 3'!$F$2:$H$361,3,false),1)="a","L","")))</f>
        <v>W</v>
      </c>
      <c r="G604" s="67" t="str">
        <f>iferror(if(LEFT(VLOOKUP($B604,'Round 4'!$B$2:$H$361,7,false),1)="A","W",if(LEFT(VLOOKUP($B604,'Round 4'!$B$2:$H$361,7,false),1)="B","L","")),if(LEFT(VLOOKUP($B604,'Round 4'!$F$2:$H$361,3,false),1)="b","W",if(LEFT(VLOOKUP($B604,'Round 4'!$F$2:$H$361,3,false),1)="a","L","")))</f>
        <v>W</v>
      </c>
      <c r="H604" s="67" t="str">
        <f>iferror(if(LEFT(VLOOKUP($B604,'Round 5'!$B$2:$H$361,7,false),1)="A","W",if(LEFT(VLOOKUP($B604,'Round 5'!$B$2:$H$361,7,false),1)="B","L","")),if(LEFT(VLOOKUP($B604,'Round 5'!$F$2:$H$361,3,false),1)="b","W",if(LEFT(VLOOKUP($B604,'Round 5'!$F$2:$H$361,3,false),1)="a","L","")))</f>
        <v>W</v>
      </c>
      <c r="I604" s="67" t="str">
        <f>iferror(if(LEFT(VLOOKUP($B604,'Round 6'!$B$2:$H$361,7,false),1)="A","W",if(LEFT(VLOOKUP($B604,'Round 6'!$B$2:$H$361,7,false),1)="B","L","")),if(LEFT(VLOOKUP($B604,'Round 6'!$F$2:$H$361,3,false),1)="b","W",if(LEFT(VLOOKUP($B604,'Round 6'!$F$2:$H$361,3,false),1)="a","L","")))</f>
        <v>L</v>
      </c>
      <c r="J604" s="67" t="str">
        <f>iferror(iferror(if(LEFT(VLOOKUP($B604,'Round 7'!$B$2:$H$361,7,false),1)="A","W",if(LEFT(VLOOKUP($B604,'Round 7'!$B$2:$H$361,7,false),1)="B","L","")),if(LEFT(VLOOKUP($B604,'Round 7'!$F$2:$H$361,3,false),1)="b","W",if(LEFT(VLOOKUP($B604,'Round 7'!$F$2:$H$361,3,false),1)="a","L",""))),"")</f>
        <v/>
      </c>
      <c r="K604" s="68" t="str">
        <f>iferror(iferror(if(LEFT(VLOOKUP($B604,'Round 8'!$B$2:$H$361,7,false),1)="A","W",if(LEFT(VLOOKUP($B604,'Round 8'!$B$2:$H$361,7,false),1)="B","L","")),if(LEFT(VLOOKUP($B604,'Round 8'!$F$2:$H$361,3,false),1)="b","W",if(LEFT(VLOOKUP($B604,'Round 8'!$F$2:$H$361,3,false),1)="a","L",""))),"")</f>
        <v/>
      </c>
      <c r="L604" s="68" t="str">
        <f>iferror(iferror(if(LEFT(VLOOKUP($B604,'Round 9'!$B$2:$H$361,7,false),1)="A","W",if(LEFT(VLOOKUP($B604,'Round 9'!$B$2:$H$361,7,false),1)="B","L","")),if(LEFT(VLOOKUP($B604,'Round 9'!$F$2:$H$361,3,false),1)="b","W",if(LEFT(VLOOKUP($B604,'Round 9'!$F$2:$H$361,3,false),1)="a","L",""))),"")</f>
        <v/>
      </c>
      <c r="M604" s="68" t="str">
        <f>iferror(iferror(if(LEFT(VLOOKUP($B604,'Round 10'!$B$2:$H$362,7,false),1)="A","W",if(LEFT(VLOOKUP($B604,'Round 10'!$B$2:$H$362,7,false),1)="B","L","")),if(LEFT(VLOOKUP($B604,'Round 10'!$F$2:$H$362,3,false),1)="b","W",if(LEFT(VLOOKUP($B604,'Round 10'!$F$2:$H$362,3,false),1)="a","L",""))),"")</f>
        <v/>
      </c>
      <c r="N604" s="62" t="s">
        <v>1256</v>
      </c>
    </row>
    <row r="605">
      <c r="A605" s="63">
        <v>604.0</v>
      </c>
      <c r="B605" s="64" t="s">
        <v>1257</v>
      </c>
      <c r="C605" s="65" t="str">
        <f t="shared" si="1"/>
        <v>1 - 3</v>
      </c>
      <c r="D605" s="67" t="str">
        <f>iferror(if(LEFT(VLOOKUP($B605,'Round 1'!$B$2:$H$361,7,false),1)="A","W",if(LEFT(VLOOKUP($B605,'Round 1'!$B$2:$H$361,7,false),1)="B","L","")),if(LEFT(VLOOKUP($B605,'Round 1'!$F$2:$H$361,3,false),1)="b","W",if(LEFT(VLOOKUP($B605,'Round 1'!$F$2:$H$361,3,false),1)="a","L","")))</f>
        <v>L</v>
      </c>
      <c r="E605" s="67" t="str">
        <f>iferror(if(LEFT(VLOOKUP($B605,'Round 2'!$C$2:$J$361,8,false),1)="A","W",if(LEFT(VLOOKUP($B605,'Round 2'!$C$2:$J$361,8,false),1)="B","L","")),if(LEFT(VLOOKUP($B605,'Round 2'!$G$2:$J$361,4,false),1)="b","W",if(LEFT(VLOOKUP($B605,'Round 2'!$G$2:$J$361,4,false),1)="a","L","")))</f>
        <v>W</v>
      </c>
      <c r="F605" s="67" t="str">
        <f>iferror(if(LEFT(VLOOKUP($B605,'Round 3'!$B$2:$H$361,7,false),1)="A","W",if(LEFT(VLOOKUP($B605,'Round 3'!$B$2:$H$361,7,false),1)="B","L","")),if(LEFT(VLOOKUP($B605,'Round 3'!$F$2:$H$361,3,false),1)="b","W",if(LEFT(VLOOKUP($B605,'Round 3'!$F$2:$H$361,3,false),1)="a","L","")))</f>
        <v>L</v>
      </c>
      <c r="G605" s="67" t="str">
        <f>iferror(if(LEFT(VLOOKUP($B605,'Round 4'!$B$2:$H$361,7,false),1)="A","W",if(LEFT(VLOOKUP($B605,'Round 4'!$B$2:$H$361,7,false),1)="B","L","")),if(LEFT(VLOOKUP($B605,'Round 4'!$F$2:$H$361,3,false),1)="b","W",if(LEFT(VLOOKUP($B605,'Round 4'!$F$2:$H$361,3,false),1)="a","L","")))</f>
        <v>L</v>
      </c>
      <c r="H605" s="67"/>
      <c r="I605" s="67"/>
      <c r="J605" s="67" t="str">
        <f>iferror(iferror(if(LEFT(VLOOKUP($B605,'Round 7'!$B$2:$H$361,7,false),1)="A","W",if(LEFT(VLOOKUP($B605,'Round 7'!$B$2:$H$361,7,false),1)="B","L","")),if(LEFT(VLOOKUP($B605,'Round 7'!$F$2:$H$361,3,false),1)="b","W",if(LEFT(VLOOKUP($B605,'Round 7'!$F$2:$H$361,3,false),1)="a","L",""))),"")</f>
        <v/>
      </c>
      <c r="K605" s="68" t="str">
        <f>iferror(iferror(if(LEFT(VLOOKUP($B605,'Round 8'!$B$2:$H$361,7,false),1)="A","W",if(LEFT(VLOOKUP($B605,'Round 8'!$B$2:$H$361,7,false),1)="B","L","")),if(LEFT(VLOOKUP($B605,'Round 8'!$F$2:$H$361,3,false),1)="b","W",if(LEFT(VLOOKUP($B605,'Round 8'!$F$2:$H$361,3,false),1)="a","L",""))),"")</f>
        <v/>
      </c>
      <c r="L605" s="68" t="str">
        <f>iferror(iferror(if(LEFT(VLOOKUP($B605,'Round 9'!$B$2:$H$361,7,false),1)="A","W",if(LEFT(VLOOKUP($B605,'Round 9'!$B$2:$H$361,7,false),1)="B","L","")),if(LEFT(VLOOKUP($B605,'Round 9'!$F$2:$H$361,3,false),1)="b","W",if(LEFT(VLOOKUP($B605,'Round 9'!$F$2:$H$361,3,false),1)="a","L",""))),"")</f>
        <v/>
      </c>
      <c r="M605" s="68" t="str">
        <f>iferror(iferror(if(LEFT(VLOOKUP($B605,'Round 10'!$B$2:$H$362,7,false),1)="A","W",if(LEFT(VLOOKUP($B605,'Round 10'!$B$2:$H$362,7,false),1)="B","L","")),if(LEFT(VLOOKUP($B605,'Round 10'!$F$2:$H$362,3,false),1)="b","W",if(LEFT(VLOOKUP($B605,'Round 10'!$F$2:$H$362,3,false),1)="a","L",""))),"")</f>
        <v/>
      </c>
      <c r="N605" s="62" t="s">
        <v>1258</v>
      </c>
    </row>
    <row r="606">
      <c r="A606" s="63">
        <v>605.0</v>
      </c>
      <c r="B606" s="64" t="s">
        <v>1259</v>
      </c>
      <c r="C606" s="65" t="str">
        <f t="shared" si="1"/>
        <v>1 - 3</v>
      </c>
      <c r="D606" s="67" t="str">
        <f>iferror(if(LEFT(VLOOKUP($B606,'Round 1'!$B$2:$H$361,7,false),1)="A","W",if(LEFT(VLOOKUP($B606,'Round 1'!$B$2:$H$361,7,false),1)="B","L","")),if(LEFT(VLOOKUP($B606,'Round 1'!$F$2:$H$361,3,false),1)="b","W",if(LEFT(VLOOKUP($B606,'Round 1'!$F$2:$H$361,3,false),1)="a","L","")))</f>
        <v>L</v>
      </c>
      <c r="E606" s="67" t="str">
        <f>iferror(if(LEFT(VLOOKUP($B606,'Round 2'!$C$2:$J$361,8,false),1)="A","W",if(LEFT(VLOOKUP($B606,'Round 2'!$C$2:$J$361,8,false),1)="B","L","")),if(LEFT(VLOOKUP($B606,'Round 2'!$G$2:$J$361,4,false),1)="b","W",if(LEFT(VLOOKUP($B606,'Round 2'!$G$2:$J$361,4,false),1)="a","L","")))</f>
        <v>W</v>
      </c>
      <c r="F606" s="67" t="str">
        <f>iferror(if(LEFT(VLOOKUP($B606,'Round 3'!$B$2:$H$361,7,false),1)="A","W",if(LEFT(VLOOKUP($B606,'Round 3'!$B$2:$H$361,7,false),1)="B","L","")),if(LEFT(VLOOKUP($B606,'Round 3'!$F$2:$H$361,3,false),1)="b","W",if(LEFT(VLOOKUP($B606,'Round 3'!$F$2:$H$361,3,false),1)="a","L","")))</f>
        <v>L</v>
      </c>
      <c r="G606" s="67" t="str">
        <f>iferror(if(LEFT(VLOOKUP($B606,'Round 4'!$B$2:$H$361,7,false),1)="A","W",if(LEFT(VLOOKUP($B606,'Round 4'!$B$2:$H$361,7,false),1)="B","L","")),if(LEFT(VLOOKUP($B606,'Round 4'!$F$2:$H$361,3,false),1)="b","W",if(LEFT(VLOOKUP($B606,'Round 4'!$F$2:$H$361,3,false),1)="a","L","")))</f>
        <v>L</v>
      </c>
      <c r="H606" s="67"/>
      <c r="I606" s="67"/>
      <c r="J606" s="67" t="str">
        <f>iferror(iferror(if(LEFT(VLOOKUP($B606,'Round 7'!$B$2:$H$361,7,false),1)="A","W",if(LEFT(VLOOKUP($B606,'Round 7'!$B$2:$H$361,7,false),1)="B","L","")),if(LEFT(VLOOKUP($B606,'Round 7'!$F$2:$H$361,3,false),1)="b","W",if(LEFT(VLOOKUP($B606,'Round 7'!$F$2:$H$361,3,false),1)="a","L",""))),"")</f>
        <v/>
      </c>
      <c r="K606" s="68" t="str">
        <f>iferror(iferror(if(LEFT(VLOOKUP($B606,'Round 8'!$B$2:$H$361,7,false),1)="A","W",if(LEFT(VLOOKUP($B606,'Round 8'!$B$2:$H$361,7,false),1)="B","L","")),if(LEFT(VLOOKUP($B606,'Round 8'!$F$2:$H$361,3,false),1)="b","W",if(LEFT(VLOOKUP($B606,'Round 8'!$F$2:$H$361,3,false),1)="a","L",""))),"")</f>
        <v/>
      </c>
      <c r="L606" s="68" t="str">
        <f>iferror(iferror(if(LEFT(VLOOKUP($B606,'Round 9'!$B$2:$H$361,7,false),1)="A","W",if(LEFT(VLOOKUP($B606,'Round 9'!$B$2:$H$361,7,false),1)="B","L","")),if(LEFT(VLOOKUP($B606,'Round 9'!$F$2:$H$361,3,false),1)="b","W",if(LEFT(VLOOKUP($B606,'Round 9'!$F$2:$H$361,3,false),1)="a","L",""))),"")</f>
        <v/>
      </c>
      <c r="M606" s="68" t="str">
        <f>iferror(iferror(if(LEFT(VLOOKUP($B606,'Round 10'!$B$2:$H$362,7,false),1)="A","W",if(LEFT(VLOOKUP($B606,'Round 10'!$B$2:$H$362,7,false),1)="B","L","")),if(LEFT(VLOOKUP($B606,'Round 10'!$F$2:$H$362,3,false),1)="b","W",if(LEFT(VLOOKUP($B606,'Round 10'!$F$2:$H$362,3,false),1)="a","L",""))),"")</f>
        <v/>
      </c>
      <c r="N606" s="62" t="s">
        <v>1260</v>
      </c>
    </row>
    <row r="607">
      <c r="A607" s="63">
        <v>606.0</v>
      </c>
      <c r="B607" s="64" t="s">
        <v>1261</v>
      </c>
      <c r="C607" s="65" t="str">
        <f t="shared" si="1"/>
        <v>1 - 3</v>
      </c>
      <c r="D607" s="67" t="str">
        <f>iferror(if(LEFT(VLOOKUP($B607,'Round 1'!$B$2:$H$361,7,false),1)="A","W",if(LEFT(VLOOKUP($B607,'Round 1'!$B$2:$H$361,7,false),1)="B","L","")),if(LEFT(VLOOKUP($B607,'Round 1'!$F$2:$H$361,3,false),1)="b","W",if(LEFT(VLOOKUP($B607,'Round 1'!$F$2:$H$361,3,false),1)="a","L","")))</f>
        <v>L</v>
      </c>
      <c r="E607" s="67" t="str">
        <f>iferror(if(LEFT(VLOOKUP($B607,'Round 2'!$C$2:$J$361,8,false),1)="A","W",if(LEFT(VLOOKUP($B607,'Round 2'!$C$2:$J$361,8,false),1)="B","L","")),if(LEFT(VLOOKUP($B607,'Round 2'!$G$2:$J$361,4,false),1)="b","W",if(LEFT(VLOOKUP($B607,'Round 2'!$G$2:$J$361,4,false),1)="a","L","")))</f>
        <v>W</v>
      </c>
      <c r="F607" s="67" t="str">
        <f>iferror(if(LEFT(VLOOKUP($B607,'Round 3'!$B$2:$H$361,7,false),1)="A","W",if(LEFT(VLOOKUP($B607,'Round 3'!$B$2:$H$361,7,false),1)="B","L","")),if(LEFT(VLOOKUP($B607,'Round 3'!$F$2:$H$361,3,false),1)="b","W",if(LEFT(VLOOKUP($B607,'Round 3'!$F$2:$H$361,3,false),1)="a","L","")))</f>
        <v>L</v>
      </c>
      <c r="G607" s="67" t="str">
        <f>iferror(if(LEFT(VLOOKUP($B607,'Round 4'!$B$2:$H$361,7,false),1)="A","W",if(LEFT(VLOOKUP($B607,'Round 4'!$B$2:$H$361,7,false),1)="B","L","")),if(LEFT(VLOOKUP($B607,'Round 4'!$F$2:$H$361,3,false),1)="b","W",if(LEFT(VLOOKUP($B607,'Round 4'!$F$2:$H$361,3,false),1)="a","L","")))</f>
        <v>L</v>
      </c>
      <c r="H607" s="67"/>
      <c r="I607" s="67"/>
      <c r="J607" s="67" t="str">
        <f>iferror(iferror(if(LEFT(VLOOKUP($B607,'Round 7'!$B$2:$H$361,7,false),1)="A","W",if(LEFT(VLOOKUP($B607,'Round 7'!$B$2:$H$361,7,false),1)="B","L","")),if(LEFT(VLOOKUP($B607,'Round 7'!$F$2:$H$361,3,false),1)="b","W",if(LEFT(VLOOKUP($B607,'Round 7'!$F$2:$H$361,3,false),1)="a","L",""))),"")</f>
        <v/>
      </c>
      <c r="K607" s="68" t="str">
        <f>iferror(iferror(if(LEFT(VLOOKUP($B607,'Round 8'!$B$2:$H$361,7,false),1)="A","W",if(LEFT(VLOOKUP($B607,'Round 8'!$B$2:$H$361,7,false),1)="B","L","")),if(LEFT(VLOOKUP($B607,'Round 8'!$F$2:$H$361,3,false),1)="b","W",if(LEFT(VLOOKUP($B607,'Round 8'!$F$2:$H$361,3,false),1)="a","L",""))),"")</f>
        <v/>
      </c>
      <c r="L607" s="68" t="str">
        <f>iferror(iferror(if(LEFT(VLOOKUP($B607,'Round 9'!$B$2:$H$361,7,false),1)="A","W",if(LEFT(VLOOKUP($B607,'Round 9'!$B$2:$H$361,7,false),1)="B","L","")),if(LEFT(VLOOKUP($B607,'Round 9'!$F$2:$H$361,3,false),1)="b","W",if(LEFT(VLOOKUP($B607,'Round 9'!$F$2:$H$361,3,false),1)="a","L",""))),"")</f>
        <v/>
      </c>
      <c r="M607" s="68" t="str">
        <f>iferror(iferror(if(LEFT(VLOOKUP($B607,'Round 10'!$B$2:$H$362,7,false),1)="A","W",if(LEFT(VLOOKUP($B607,'Round 10'!$B$2:$H$362,7,false),1)="B","L","")),if(LEFT(VLOOKUP($B607,'Round 10'!$F$2:$H$362,3,false),1)="b","W",if(LEFT(VLOOKUP($B607,'Round 10'!$F$2:$H$362,3,false),1)="a","L",""))),"")</f>
        <v/>
      </c>
      <c r="N607" s="62" t="s">
        <v>1262</v>
      </c>
    </row>
    <row r="608">
      <c r="A608" s="63">
        <v>607.0</v>
      </c>
      <c r="B608" s="64" t="s">
        <v>1263</v>
      </c>
      <c r="C608" s="65" t="str">
        <f t="shared" si="1"/>
        <v>2 - 3</v>
      </c>
      <c r="D608" s="67" t="str">
        <f>iferror(if(LEFT(VLOOKUP($B608,'Round 1'!$B$2:$H$361,7,false),1)="A","W",if(LEFT(VLOOKUP($B608,'Round 1'!$B$2:$H$361,7,false),1)="B","L","")),if(LEFT(VLOOKUP($B608,'Round 1'!$F$2:$H$361,3,false),1)="b","W",if(LEFT(VLOOKUP($B608,'Round 1'!$F$2:$H$361,3,false),1)="a","L","")))</f>
        <v>L</v>
      </c>
      <c r="E608" s="67" t="str">
        <f>iferror(if(LEFT(VLOOKUP($B608,'Round 2'!$C$2:$J$361,8,false),1)="A","W",if(LEFT(VLOOKUP($B608,'Round 2'!$C$2:$J$361,8,false),1)="B","L","")),if(LEFT(VLOOKUP($B608,'Round 2'!$G$2:$J$361,4,false),1)="b","W",if(LEFT(VLOOKUP($B608,'Round 2'!$G$2:$J$361,4,false),1)="a","L","")))</f>
        <v>W</v>
      </c>
      <c r="F608" s="67" t="str">
        <f>iferror(if(LEFT(VLOOKUP($B608,'Round 3'!$B$2:$H$361,7,false),1)="A","W",if(LEFT(VLOOKUP($B608,'Round 3'!$B$2:$H$361,7,false),1)="B","L","")),if(LEFT(VLOOKUP($B608,'Round 3'!$F$2:$H$361,3,false),1)="b","W",if(LEFT(VLOOKUP($B608,'Round 3'!$F$2:$H$361,3,false),1)="a","L","")))</f>
        <v>W</v>
      </c>
      <c r="G608" s="67" t="str">
        <f>iferror(if(LEFT(VLOOKUP($B608,'Round 4'!$B$2:$H$361,7,false),1)="A","W",if(LEFT(VLOOKUP($B608,'Round 4'!$B$2:$H$361,7,false),1)="B","L","")),if(LEFT(VLOOKUP($B608,'Round 4'!$F$2:$H$361,3,false),1)="b","W",if(LEFT(VLOOKUP($B608,'Round 4'!$F$2:$H$361,3,false),1)="a","L","")))</f>
        <v>L</v>
      </c>
      <c r="H608" s="67" t="str">
        <f>iferror(if(LEFT(VLOOKUP($B608,'Round 5'!$B$2:$H$361,7,false),1)="A","W",if(LEFT(VLOOKUP($B608,'Round 5'!$B$2:$H$361,7,false),1)="B","L","")),if(LEFT(VLOOKUP($B608,'Round 5'!$F$2:$H$361,3,false),1)="b","W",if(LEFT(VLOOKUP($B608,'Round 5'!$F$2:$H$361,3,false),1)="a","L","")))</f>
        <v>L</v>
      </c>
      <c r="I608" s="67"/>
      <c r="J608" s="67" t="str">
        <f>iferror(iferror(if(LEFT(VLOOKUP($B608,'Round 7'!$B$2:$H$361,7,false),1)="A","W",if(LEFT(VLOOKUP($B608,'Round 7'!$B$2:$H$361,7,false),1)="B","L","")),if(LEFT(VLOOKUP($B608,'Round 7'!$F$2:$H$361,3,false),1)="b","W",if(LEFT(VLOOKUP($B608,'Round 7'!$F$2:$H$361,3,false),1)="a","L",""))),"")</f>
        <v/>
      </c>
      <c r="K608" s="68" t="str">
        <f>iferror(iferror(if(LEFT(VLOOKUP($B608,'Round 8'!$B$2:$H$361,7,false),1)="A","W",if(LEFT(VLOOKUP($B608,'Round 8'!$B$2:$H$361,7,false),1)="B","L","")),if(LEFT(VLOOKUP($B608,'Round 8'!$F$2:$H$361,3,false),1)="b","W",if(LEFT(VLOOKUP($B608,'Round 8'!$F$2:$H$361,3,false),1)="a","L",""))),"")</f>
        <v/>
      </c>
      <c r="L608" s="68" t="str">
        <f>iferror(iferror(if(LEFT(VLOOKUP($B608,'Round 9'!$B$2:$H$361,7,false),1)="A","W",if(LEFT(VLOOKUP($B608,'Round 9'!$B$2:$H$361,7,false),1)="B","L","")),if(LEFT(VLOOKUP($B608,'Round 9'!$F$2:$H$361,3,false),1)="b","W",if(LEFT(VLOOKUP($B608,'Round 9'!$F$2:$H$361,3,false),1)="a","L",""))),"")</f>
        <v/>
      </c>
      <c r="M608" s="68" t="str">
        <f>iferror(iferror(if(LEFT(VLOOKUP($B608,'Round 10'!$B$2:$H$362,7,false),1)="A","W",if(LEFT(VLOOKUP($B608,'Round 10'!$B$2:$H$362,7,false),1)="B","L","")),if(LEFT(VLOOKUP($B608,'Round 10'!$F$2:$H$362,3,false),1)="b","W",if(LEFT(VLOOKUP($B608,'Round 10'!$F$2:$H$362,3,false),1)="a","L",""))),"")</f>
        <v/>
      </c>
      <c r="N608" s="62" t="s">
        <v>1264</v>
      </c>
    </row>
    <row r="609">
      <c r="A609" s="63">
        <v>608.0</v>
      </c>
      <c r="B609" s="64" t="s">
        <v>1265</v>
      </c>
      <c r="C609" s="65" t="str">
        <f t="shared" si="1"/>
        <v>3 - 3</v>
      </c>
      <c r="D609" s="67" t="str">
        <f>iferror(if(LEFT(VLOOKUP($B609,'Round 1'!$B$2:$H$361,7,false),1)="A","W",if(LEFT(VLOOKUP($B609,'Round 1'!$B$2:$H$361,7,false),1)="B","L","")),if(LEFT(VLOOKUP($B609,'Round 1'!$F$2:$H$361,3,false),1)="b","W",if(LEFT(VLOOKUP($B609,'Round 1'!$F$2:$H$361,3,false),1)="a","L","")))</f>
        <v>L</v>
      </c>
      <c r="E609" s="67" t="str">
        <f>iferror(if(LEFT(VLOOKUP($B609,'Round 2'!$C$2:$J$361,8,false),1)="A","W",if(LEFT(VLOOKUP($B609,'Round 2'!$C$2:$J$361,8,false),1)="B","L","")),if(LEFT(VLOOKUP($B609,'Round 2'!$G$2:$J$361,4,false),1)="b","W",if(LEFT(VLOOKUP($B609,'Round 2'!$G$2:$J$361,4,false),1)="a","L","")))</f>
        <v>L</v>
      </c>
      <c r="F609" s="67" t="str">
        <f>iferror(if(LEFT(VLOOKUP($B609,'Round 3'!$B$2:$H$361,7,false),1)="A","W",if(LEFT(VLOOKUP($B609,'Round 3'!$B$2:$H$361,7,false),1)="B","L","")),if(LEFT(VLOOKUP($B609,'Round 3'!$F$2:$H$361,3,false),1)="b","W",if(LEFT(VLOOKUP($B609,'Round 3'!$F$2:$H$361,3,false),1)="a","L","")))</f>
        <v>W</v>
      </c>
      <c r="G609" s="67" t="str">
        <f>iferror(if(LEFT(VLOOKUP($B609,'Round 4'!$B$2:$H$361,7,false),1)="A","W",if(LEFT(VLOOKUP($B609,'Round 4'!$B$2:$H$361,7,false),1)="B","L","")),if(LEFT(VLOOKUP($B609,'Round 4'!$F$2:$H$361,3,false),1)="b","W",if(LEFT(VLOOKUP($B609,'Round 4'!$F$2:$H$361,3,false),1)="a","L","")))</f>
        <v>W</v>
      </c>
      <c r="H609" s="67" t="str">
        <f>iferror(if(LEFT(VLOOKUP($B609,'Round 5'!$B$2:$H$361,7,false),1)="A","W",if(LEFT(VLOOKUP($B609,'Round 5'!$B$2:$H$361,7,false),1)="B","L","")),if(LEFT(VLOOKUP($B609,'Round 5'!$F$2:$H$361,3,false),1)="b","W",if(LEFT(VLOOKUP($B609,'Round 5'!$F$2:$H$361,3,false),1)="a","L","")))</f>
        <v>W</v>
      </c>
      <c r="I609" s="67" t="str">
        <f>iferror(if(LEFT(VLOOKUP($B609,'Round 6'!$B$2:$H$361,7,false),1)="A","W",if(LEFT(VLOOKUP($B609,'Round 6'!$B$2:$H$361,7,false),1)="B","L","")),if(LEFT(VLOOKUP($B609,'Round 6'!$F$2:$H$361,3,false),1)="b","W",if(LEFT(VLOOKUP($B609,'Round 6'!$F$2:$H$361,3,false),1)="a","L","")))</f>
        <v>L</v>
      </c>
      <c r="J609" s="67" t="str">
        <f>iferror(iferror(if(LEFT(VLOOKUP($B609,'Round 7'!$B$2:$H$361,7,false),1)="A","W",if(LEFT(VLOOKUP($B609,'Round 7'!$B$2:$H$361,7,false),1)="B","L","")),if(LEFT(VLOOKUP($B609,'Round 7'!$F$2:$H$361,3,false),1)="b","W",if(LEFT(VLOOKUP($B609,'Round 7'!$F$2:$H$361,3,false),1)="a","L",""))),"")</f>
        <v/>
      </c>
      <c r="K609" s="68" t="str">
        <f>iferror(iferror(if(LEFT(VLOOKUP($B609,'Round 8'!$B$2:$H$361,7,false),1)="A","W",if(LEFT(VLOOKUP($B609,'Round 8'!$B$2:$H$361,7,false),1)="B","L","")),if(LEFT(VLOOKUP($B609,'Round 8'!$F$2:$H$361,3,false),1)="b","W",if(LEFT(VLOOKUP($B609,'Round 8'!$F$2:$H$361,3,false),1)="a","L",""))),"")</f>
        <v/>
      </c>
      <c r="L609" s="68" t="str">
        <f>iferror(iferror(if(LEFT(VLOOKUP($B609,'Round 9'!$B$2:$H$361,7,false),1)="A","W",if(LEFT(VLOOKUP($B609,'Round 9'!$B$2:$H$361,7,false),1)="B","L","")),if(LEFT(VLOOKUP($B609,'Round 9'!$F$2:$H$361,3,false),1)="b","W",if(LEFT(VLOOKUP($B609,'Round 9'!$F$2:$H$361,3,false),1)="a","L",""))),"")</f>
        <v/>
      </c>
      <c r="M609" s="68" t="str">
        <f>iferror(iferror(if(LEFT(VLOOKUP($B609,'Round 10'!$B$2:$H$362,7,false),1)="A","W",if(LEFT(VLOOKUP($B609,'Round 10'!$B$2:$H$362,7,false),1)="B","L","")),if(LEFT(VLOOKUP($B609,'Round 10'!$F$2:$H$362,3,false),1)="b","W",if(LEFT(VLOOKUP($B609,'Round 10'!$F$2:$H$362,3,false),1)="a","L",""))),"")</f>
        <v/>
      </c>
      <c r="N609" s="62" t="s">
        <v>1266</v>
      </c>
    </row>
    <row r="610">
      <c r="A610" s="63">
        <v>609.0</v>
      </c>
      <c r="B610" s="64" t="s">
        <v>1267</v>
      </c>
      <c r="C610" s="65" t="str">
        <f t="shared" si="1"/>
        <v>3 - 3</v>
      </c>
      <c r="D610" s="67" t="str">
        <f>iferror(if(LEFT(VLOOKUP($B610,'Round 1'!$B$2:$H$361,7,false),1)="A","W",if(LEFT(VLOOKUP($B610,'Round 1'!$B$2:$H$361,7,false),1)="B","L","")),if(LEFT(VLOOKUP($B610,'Round 1'!$F$2:$H$361,3,false),1)="b","W",if(LEFT(VLOOKUP($B610,'Round 1'!$F$2:$H$361,3,false),1)="a","L","")))</f>
        <v>W</v>
      </c>
      <c r="E610" s="67" t="str">
        <f>iferror(if(LEFT(VLOOKUP($B610,'Round 2'!$C$2:$J$361,8,false),1)="A","W",if(LEFT(VLOOKUP($B610,'Round 2'!$C$2:$J$361,8,false),1)="B","L","")),if(LEFT(VLOOKUP($B610,'Round 2'!$G$2:$J$361,4,false),1)="b","W",if(LEFT(VLOOKUP($B610,'Round 2'!$G$2:$J$361,4,false),1)="a","L","")))</f>
        <v>W</v>
      </c>
      <c r="F610" s="67" t="str">
        <f>iferror(if(LEFT(VLOOKUP($B610,'Round 3'!$B$2:$H$361,7,false),1)="A","W",if(LEFT(VLOOKUP($B610,'Round 3'!$B$2:$H$361,7,false),1)="B","L","")),if(LEFT(VLOOKUP($B610,'Round 3'!$F$2:$H$361,3,false),1)="b","W",if(LEFT(VLOOKUP($B610,'Round 3'!$F$2:$H$361,3,false),1)="a","L","")))</f>
        <v>W</v>
      </c>
      <c r="G610" s="67" t="str">
        <f>iferror(if(LEFT(VLOOKUP($B610,'Round 4'!$B$2:$H$361,7,false),1)="A","W",if(LEFT(VLOOKUP($B610,'Round 4'!$B$2:$H$361,7,false),1)="B","L","")),if(LEFT(VLOOKUP($B610,'Round 4'!$F$2:$H$361,3,false),1)="b","W",if(LEFT(VLOOKUP($B610,'Round 4'!$F$2:$H$361,3,false),1)="a","L","")))</f>
        <v>L</v>
      </c>
      <c r="H610" s="67" t="str">
        <f>iferror(if(LEFT(VLOOKUP($B610,'Round 5'!$B$2:$H$361,7,false),1)="A","W",if(LEFT(VLOOKUP($B610,'Round 5'!$B$2:$H$361,7,false),1)="B","L","")),if(LEFT(VLOOKUP($B610,'Round 5'!$F$2:$H$361,3,false),1)="b","W",if(LEFT(VLOOKUP($B610,'Round 5'!$F$2:$H$361,3,false),1)="a","L","")))</f>
        <v>L</v>
      </c>
      <c r="I610" s="67" t="str">
        <f>iferror(if(LEFT(VLOOKUP($B610,'Round 6'!$B$2:$H$361,7,false),1)="A","W",if(LEFT(VLOOKUP($B610,'Round 6'!$B$2:$H$361,7,false),1)="B","L","")),if(LEFT(VLOOKUP($B610,'Round 6'!$F$2:$H$361,3,false),1)="b","W",if(LEFT(VLOOKUP($B610,'Round 6'!$F$2:$H$361,3,false),1)="a","L","")))</f>
        <v>L</v>
      </c>
      <c r="J610" s="67" t="str">
        <f>iferror(iferror(if(LEFT(VLOOKUP($B610,'Round 7'!$B$2:$H$361,7,false),1)="A","W",if(LEFT(VLOOKUP($B610,'Round 7'!$B$2:$H$361,7,false),1)="B","L","")),if(LEFT(VLOOKUP($B610,'Round 7'!$F$2:$H$361,3,false),1)="b","W",if(LEFT(VLOOKUP($B610,'Round 7'!$F$2:$H$361,3,false),1)="a","L",""))),"")</f>
        <v/>
      </c>
      <c r="K610" s="68" t="str">
        <f>iferror(iferror(if(LEFT(VLOOKUP($B610,'Round 8'!$B$2:$H$361,7,false),1)="A","W",if(LEFT(VLOOKUP($B610,'Round 8'!$B$2:$H$361,7,false),1)="B","L","")),if(LEFT(VLOOKUP($B610,'Round 8'!$F$2:$H$361,3,false),1)="b","W",if(LEFT(VLOOKUP($B610,'Round 8'!$F$2:$H$361,3,false),1)="a","L",""))),"")</f>
        <v/>
      </c>
      <c r="L610" s="68" t="str">
        <f>iferror(iferror(if(LEFT(VLOOKUP($B610,'Round 9'!$B$2:$H$361,7,false),1)="A","W",if(LEFT(VLOOKUP($B610,'Round 9'!$B$2:$H$361,7,false),1)="B","L","")),if(LEFT(VLOOKUP($B610,'Round 9'!$F$2:$H$361,3,false),1)="b","W",if(LEFT(VLOOKUP($B610,'Round 9'!$F$2:$H$361,3,false),1)="a","L",""))),"")</f>
        <v/>
      </c>
      <c r="M610" s="68" t="str">
        <f>iferror(iferror(if(LEFT(VLOOKUP($B610,'Round 10'!$B$2:$H$362,7,false),1)="A","W",if(LEFT(VLOOKUP($B610,'Round 10'!$B$2:$H$362,7,false),1)="B","L","")),if(LEFT(VLOOKUP($B610,'Round 10'!$F$2:$H$362,3,false),1)="b","W",if(LEFT(VLOOKUP($B610,'Round 10'!$F$2:$H$362,3,false),1)="a","L",""))),"")</f>
        <v/>
      </c>
      <c r="N610" s="62" t="s">
        <v>1268</v>
      </c>
    </row>
    <row r="611">
      <c r="A611" s="63">
        <v>610.0</v>
      </c>
      <c r="B611" s="64" t="s">
        <v>1269</v>
      </c>
      <c r="C611" s="65" t="str">
        <f t="shared" si="1"/>
        <v>3 - 3</v>
      </c>
      <c r="D611" s="67" t="str">
        <f>iferror(if(LEFT(VLOOKUP($B611,'Round 1'!$B$2:$H$361,7,false),1)="A","W",if(LEFT(VLOOKUP($B611,'Round 1'!$B$2:$H$361,7,false),1)="B","L","")),if(LEFT(VLOOKUP($B611,'Round 1'!$F$2:$H$361,3,false),1)="b","W",if(LEFT(VLOOKUP($B611,'Round 1'!$F$2:$H$361,3,false),1)="a","L","")))</f>
        <v>W</v>
      </c>
      <c r="E611" s="67" t="str">
        <f>iferror(if(LEFT(VLOOKUP($B611,'Round 2'!$C$2:$J$361,8,false),1)="A","W",if(LEFT(VLOOKUP($B611,'Round 2'!$C$2:$J$361,8,false),1)="B","L","")),if(LEFT(VLOOKUP($B611,'Round 2'!$G$2:$J$361,4,false),1)="b","W",if(LEFT(VLOOKUP($B611,'Round 2'!$G$2:$J$361,4,false),1)="a","L","")))</f>
        <v>L</v>
      </c>
      <c r="F611" s="67" t="str">
        <f>iferror(if(LEFT(VLOOKUP($B611,'Round 3'!$B$2:$H$361,7,false),1)="A","W",if(LEFT(VLOOKUP($B611,'Round 3'!$B$2:$H$361,7,false),1)="B","L","")),if(LEFT(VLOOKUP($B611,'Round 3'!$F$2:$H$361,3,false),1)="b","W",if(LEFT(VLOOKUP($B611,'Round 3'!$F$2:$H$361,3,false),1)="a","L","")))</f>
        <v>W</v>
      </c>
      <c r="G611" s="67" t="str">
        <f>iferror(if(LEFT(VLOOKUP($B611,'Round 4'!$B$2:$H$361,7,false),1)="A","W",if(LEFT(VLOOKUP($B611,'Round 4'!$B$2:$H$361,7,false),1)="B","L","")),if(LEFT(VLOOKUP($B611,'Round 4'!$F$2:$H$361,3,false),1)="b","W",if(LEFT(VLOOKUP($B611,'Round 4'!$F$2:$H$361,3,false),1)="a","L","")))</f>
        <v>L</v>
      </c>
      <c r="H611" s="67" t="str">
        <f>iferror(if(LEFT(VLOOKUP($B611,'Round 5'!$B$2:$H$361,7,false),1)="A","W",if(LEFT(VLOOKUP($B611,'Round 5'!$B$2:$H$361,7,false),1)="B","L","")),if(LEFT(VLOOKUP($B611,'Round 5'!$F$2:$H$361,3,false),1)="b","W",if(LEFT(VLOOKUP($B611,'Round 5'!$F$2:$H$361,3,false),1)="a","L","")))</f>
        <v>W</v>
      </c>
      <c r="I611" s="67" t="str">
        <f>iferror(if(LEFT(VLOOKUP($B611,'Round 6'!$B$2:$H$361,7,false),1)="A","W",if(LEFT(VLOOKUP($B611,'Round 6'!$B$2:$H$361,7,false),1)="B","L","")),if(LEFT(VLOOKUP($B611,'Round 6'!$F$2:$H$361,3,false),1)="b","W",if(LEFT(VLOOKUP($B611,'Round 6'!$F$2:$H$361,3,false),1)="a","L","")))</f>
        <v>L</v>
      </c>
      <c r="J611" s="67" t="str">
        <f>iferror(iferror(if(LEFT(VLOOKUP($B611,'Round 7'!$B$2:$H$361,7,false),1)="A","W",if(LEFT(VLOOKUP($B611,'Round 7'!$B$2:$H$361,7,false),1)="B","L","")),if(LEFT(VLOOKUP($B611,'Round 7'!$F$2:$H$361,3,false),1)="b","W",if(LEFT(VLOOKUP($B611,'Round 7'!$F$2:$H$361,3,false),1)="a","L",""))),"")</f>
        <v/>
      </c>
      <c r="K611" s="68" t="str">
        <f>iferror(iferror(if(LEFT(VLOOKUP($B611,'Round 8'!$B$2:$H$361,7,false),1)="A","W",if(LEFT(VLOOKUP($B611,'Round 8'!$B$2:$H$361,7,false),1)="B","L","")),if(LEFT(VLOOKUP($B611,'Round 8'!$F$2:$H$361,3,false),1)="b","W",if(LEFT(VLOOKUP($B611,'Round 8'!$F$2:$H$361,3,false),1)="a","L",""))),"")</f>
        <v/>
      </c>
      <c r="L611" s="68" t="str">
        <f>iferror(iferror(if(LEFT(VLOOKUP($B611,'Round 9'!$B$2:$H$361,7,false),1)="A","W",if(LEFT(VLOOKUP($B611,'Round 9'!$B$2:$H$361,7,false),1)="B","L","")),if(LEFT(VLOOKUP($B611,'Round 9'!$F$2:$H$361,3,false),1)="b","W",if(LEFT(VLOOKUP($B611,'Round 9'!$F$2:$H$361,3,false),1)="a","L",""))),"")</f>
        <v/>
      </c>
      <c r="M611" s="68" t="str">
        <f>iferror(iferror(if(LEFT(VLOOKUP($B611,'Round 10'!$B$2:$H$362,7,false),1)="A","W",if(LEFT(VLOOKUP($B611,'Round 10'!$B$2:$H$362,7,false),1)="B","L","")),if(LEFT(VLOOKUP($B611,'Round 10'!$F$2:$H$362,3,false),1)="b","W",if(LEFT(VLOOKUP($B611,'Round 10'!$F$2:$H$362,3,false),1)="a","L",""))),"")</f>
        <v/>
      </c>
      <c r="N611" s="62" t="s">
        <v>1270</v>
      </c>
    </row>
    <row r="612">
      <c r="A612" s="63">
        <v>611.0</v>
      </c>
      <c r="B612" s="64" t="s">
        <v>1271</v>
      </c>
      <c r="C612" s="65" t="str">
        <f t="shared" si="1"/>
        <v>3 - 3</v>
      </c>
      <c r="D612" s="67" t="str">
        <f>iferror(if(LEFT(VLOOKUP($B612,'Round 1'!$B$2:$H$361,7,false),1)="A","W",if(LEFT(VLOOKUP($B612,'Round 1'!$B$2:$H$361,7,false),1)="B","L","")),if(LEFT(VLOOKUP($B612,'Round 1'!$F$2:$H$361,3,false),1)="b","W",if(LEFT(VLOOKUP($B612,'Round 1'!$F$2:$H$361,3,false),1)="a","L","")))</f>
        <v>W</v>
      </c>
      <c r="E612" s="67" t="str">
        <f>iferror(if(LEFT(VLOOKUP($B612,'Round 2'!$C$2:$J$361,8,false),1)="A","W",if(LEFT(VLOOKUP($B612,'Round 2'!$C$2:$J$361,8,false),1)="B","L","")),if(LEFT(VLOOKUP($B612,'Round 2'!$G$2:$J$361,4,false),1)="b","W",if(LEFT(VLOOKUP($B612,'Round 2'!$G$2:$J$361,4,false),1)="a","L","")))</f>
        <v>L</v>
      </c>
      <c r="F612" s="67" t="str">
        <f>iferror(if(LEFT(VLOOKUP($B612,'Round 3'!$B$2:$H$361,7,false),1)="A","W",if(LEFT(VLOOKUP($B612,'Round 3'!$B$2:$H$361,7,false),1)="B","L","")),if(LEFT(VLOOKUP($B612,'Round 3'!$F$2:$H$361,3,false),1)="b","W",if(LEFT(VLOOKUP($B612,'Round 3'!$F$2:$H$361,3,false),1)="a","L","")))</f>
        <v>W</v>
      </c>
      <c r="G612" s="67" t="str">
        <f>iferror(if(LEFT(VLOOKUP($B612,'Round 4'!$B$2:$H$361,7,false),1)="A","W",if(LEFT(VLOOKUP($B612,'Round 4'!$B$2:$H$361,7,false),1)="B","L","")),if(LEFT(VLOOKUP($B612,'Round 4'!$F$2:$H$361,3,false),1)="b","W",if(LEFT(VLOOKUP($B612,'Round 4'!$F$2:$H$361,3,false),1)="a","L","")))</f>
        <v>W</v>
      </c>
      <c r="H612" s="67" t="str">
        <f>iferror(if(LEFT(VLOOKUP($B612,'Round 5'!$B$2:$H$361,7,false),1)="A","W",if(LEFT(VLOOKUP($B612,'Round 5'!$B$2:$H$361,7,false),1)="B","L","")),if(LEFT(VLOOKUP($B612,'Round 5'!$F$2:$H$361,3,false),1)="b","W",if(LEFT(VLOOKUP($B612,'Round 5'!$F$2:$H$361,3,false),1)="a","L","")))</f>
        <v>L</v>
      </c>
      <c r="I612" s="67" t="str">
        <f>iferror(if(LEFT(VLOOKUP($B612,'Round 6'!$B$2:$H$361,7,false),1)="A","W",if(LEFT(VLOOKUP($B612,'Round 6'!$B$2:$H$361,7,false),1)="B","L","")),if(LEFT(VLOOKUP($B612,'Round 6'!$F$2:$H$361,3,false),1)="b","W",if(LEFT(VLOOKUP($B612,'Round 6'!$F$2:$H$361,3,false),1)="a","L","")))</f>
        <v>L</v>
      </c>
      <c r="J612" s="67" t="str">
        <f>iferror(iferror(if(LEFT(VLOOKUP($B612,'Round 7'!$B$2:$H$361,7,false),1)="A","W",if(LEFT(VLOOKUP($B612,'Round 7'!$B$2:$H$361,7,false),1)="B","L","")),if(LEFT(VLOOKUP($B612,'Round 7'!$F$2:$H$361,3,false),1)="b","W",if(LEFT(VLOOKUP($B612,'Round 7'!$F$2:$H$361,3,false),1)="a","L",""))),"")</f>
        <v/>
      </c>
      <c r="K612" s="68" t="str">
        <f>iferror(iferror(if(LEFT(VLOOKUP($B612,'Round 8'!$B$2:$H$361,7,false),1)="A","W",if(LEFT(VLOOKUP($B612,'Round 8'!$B$2:$H$361,7,false),1)="B","L","")),if(LEFT(VLOOKUP($B612,'Round 8'!$F$2:$H$361,3,false),1)="b","W",if(LEFT(VLOOKUP($B612,'Round 8'!$F$2:$H$361,3,false),1)="a","L",""))),"")</f>
        <v/>
      </c>
      <c r="L612" s="68" t="str">
        <f>iferror(iferror(if(LEFT(VLOOKUP($B612,'Round 9'!$B$2:$H$361,7,false),1)="A","W",if(LEFT(VLOOKUP($B612,'Round 9'!$B$2:$H$361,7,false),1)="B","L","")),if(LEFT(VLOOKUP($B612,'Round 9'!$F$2:$H$361,3,false),1)="b","W",if(LEFT(VLOOKUP($B612,'Round 9'!$F$2:$H$361,3,false),1)="a","L",""))),"")</f>
        <v/>
      </c>
      <c r="M612" s="68" t="str">
        <f>iferror(iferror(if(LEFT(VLOOKUP($B612,'Round 10'!$B$2:$H$362,7,false),1)="A","W",if(LEFT(VLOOKUP($B612,'Round 10'!$B$2:$H$362,7,false),1)="B","L","")),if(LEFT(VLOOKUP($B612,'Round 10'!$F$2:$H$362,3,false),1)="b","W",if(LEFT(VLOOKUP($B612,'Round 10'!$F$2:$H$362,3,false),1)="a","L",""))),"")</f>
        <v/>
      </c>
      <c r="N612" s="62" t="s">
        <v>1272</v>
      </c>
    </row>
    <row r="613">
      <c r="A613" s="63">
        <v>612.0</v>
      </c>
      <c r="B613" s="64" t="s">
        <v>1273</v>
      </c>
      <c r="C613" s="65" t="str">
        <f t="shared" si="1"/>
        <v>1 - 3</v>
      </c>
      <c r="D613" s="67" t="str">
        <f>iferror(if(LEFT(VLOOKUP($B613,'Round 1'!$B$2:$H$361,7,false),1)="A","W",if(LEFT(VLOOKUP($B613,'Round 1'!$B$2:$H$361,7,false),1)="B","L","")),if(LEFT(VLOOKUP($B613,'Round 1'!$F$2:$H$361,3,false),1)="b","W",if(LEFT(VLOOKUP($B613,'Round 1'!$F$2:$H$361,3,false),1)="a","L","")))</f>
        <v>W</v>
      </c>
      <c r="E613" s="67" t="str">
        <f>iferror(if(LEFT(VLOOKUP($B613,'Round 2'!$C$2:$J$361,8,false),1)="A","W",if(LEFT(VLOOKUP($B613,'Round 2'!$C$2:$J$361,8,false),1)="B","L","")),if(LEFT(VLOOKUP($B613,'Round 2'!$G$2:$J$361,4,false),1)="b","W",if(LEFT(VLOOKUP($B613,'Round 2'!$G$2:$J$361,4,false),1)="a","L","")))</f>
        <v>L</v>
      </c>
      <c r="F613" s="67" t="str">
        <f>iferror(if(LEFT(VLOOKUP($B613,'Round 3'!$B$2:$H$361,7,false),1)="A","W",if(LEFT(VLOOKUP($B613,'Round 3'!$B$2:$H$361,7,false),1)="B","L","")),if(LEFT(VLOOKUP($B613,'Round 3'!$F$2:$H$361,3,false),1)="b","W",if(LEFT(VLOOKUP($B613,'Round 3'!$F$2:$H$361,3,false),1)="a","L","")))</f>
        <v>L</v>
      </c>
      <c r="G613" s="67" t="str">
        <f>iferror(if(LEFT(VLOOKUP($B613,'Round 4'!$B$2:$H$361,7,false),1)="A","W",if(LEFT(VLOOKUP($B613,'Round 4'!$B$2:$H$361,7,false),1)="B","L","")),if(LEFT(VLOOKUP($B613,'Round 4'!$F$2:$H$361,3,false),1)="b","W",if(LEFT(VLOOKUP($B613,'Round 4'!$F$2:$H$361,3,false),1)="a","L","")))</f>
        <v>L</v>
      </c>
      <c r="H613" s="67"/>
      <c r="I613" s="67"/>
      <c r="J613" s="67" t="str">
        <f>iferror(iferror(if(LEFT(VLOOKUP($B613,'Round 7'!$B$2:$H$361,7,false),1)="A","W",if(LEFT(VLOOKUP($B613,'Round 7'!$B$2:$H$361,7,false),1)="B","L","")),if(LEFT(VLOOKUP($B613,'Round 7'!$F$2:$H$361,3,false),1)="b","W",if(LEFT(VLOOKUP($B613,'Round 7'!$F$2:$H$361,3,false),1)="a","L",""))),"")</f>
        <v/>
      </c>
      <c r="K613" s="68" t="str">
        <f>iferror(iferror(if(LEFT(VLOOKUP($B613,'Round 8'!$B$2:$H$361,7,false),1)="A","W",if(LEFT(VLOOKUP($B613,'Round 8'!$B$2:$H$361,7,false),1)="B","L","")),if(LEFT(VLOOKUP($B613,'Round 8'!$F$2:$H$361,3,false),1)="b","W",if(LEFT(VLOOKUP($B613,'Round 8'!$F$2:$H$361,3,false),1)="a","L",""))),"")</f>
        <v/>
      </c>
      <c r="L613" s="68" t="str">
        <f>iferror(iferror(if(LEFT(VLOOKUP($B613,'Round 9'!$B$2:$H$361,7,false),1)="A","W",if(LEFT(VLOOKUP($B613,'Round 9'!$B$2:$H$361,7,false),1)="B","L","")),if(LEFT(VLOOKUP($B613,'Round 9'!$F$2:$H$361,3,false),1)="b","W",if(LEFT(VLOOKUP($B613,'Round 9'!$F$2:$H$361,3,false),1)="a","L",""))),"")</f>
        <v/>
      </c>
      <c r="M613" s="68" t="str">
        <f>iferror(iferror(if(LEFT(VLOOKUP($B613,'Round 10'!$B$2:$H$362,7,false),1)="A","W",if(LEFT(VLOOKUP($B613,'Round 10'!$B$2:$H$362,7,false),1)="B","L","")),if(LEFT(VLOOKUP($B613,'Round 10'!$F$2:$H$362,3,false),1)="b","W",if(LEFT(VLOOKUP($B613,'Round 10'!$F$2:$H$362,3,false),1)="a","L",""))),"")</f>
        <v/>
      </c>
      <c r="N613" s="62" t="s">
        <v>1274</v>
      </c>
    </row>
    <row r="614">
      <c r="A614" s="63">
        <v>613.0</v>
      </c>
      <c r="B614" s="64" t="s">
        <v>1275</v>
      </c>
      <c r="C614" s="65" t="str">
        <f t="shared" si="1"/>
        <v>5 - 3</v>
      </c>
      <c r="D614" s="67" t="str">
        <f>iferror(if(LEFT(VLOOKUP($B614,'Round 1'!$B$2:$H$361,7,false),1)="A","W",if(LEFT(VLOOKUP($B614,'Round 1'!$B$2:$H$361,7,false),1)="B","L","")),if(LEFT(VLOOKUP($B614,'Round 1'!$F$2:$H$361,3,false),1)="b","W",if(LEFT(VLOOKUP($B614,'Round 1'!$F$2:$H$361,3,false),1)="a","L","")))</f>
        <v>L</v>
      </c>
      <c r="E614" s="67" t="str">
        <f>iferror(if(LEFT(VLOOKUP($B614,'Round 2'!$C$2:$J$361,8,false),1)="A","W",if(LEFT(VLOOKUP($B614,'Round 2'!$C$2:$J$361,8,false),1)="B","L","")),if(LEFT(VLOOKUP($B614,'Round 2'!$G$2:$J$361,4,false),1)="b","W",if(LEFT(VLOOKUP($B614,'Round 2'!$G$2:$J$361,4,false),1)="a","L","")))</f>
        <v>W</v>
      </c>
      <c r="F614" s="67" t="str">
        <f>iferror(if(LEFT(VLOOKUP($B614,'Round 3'!$B$2:$H$361,7,false),1)="A","W",if(LEFT(VLOOKUP($B614,'Round 3'!$B$2:$H$361,7,false),1)="B","L","")),if(LEFT(VLOOKUP($B614,'Round 3'!$F$2:$H$361,3,false),1)="b","W",if(LEFT(VLOOKUP($B614,'Round 3'!$F$2:$H$361,3,false),1)="a","L","")))</f>
        <v>W</v>
      </c>
      <c r="G614" s="67" t="str">
        <f>iferror(if(LEFT(VLOOKUP($B614,'Round 4'!$B$2:$H$361,7,false),1)="A","W",if(LEFT(VLOOKUP($B614,'Round 4'!$B$2:$H$361,7,false),1)="B","L","")),if(LEFT(VLOOKUP($B614,'Round 4'!$F$2:$H$361,3,false),1)="b","W",if(LEFT(VLOOKUP($B614,'Round 4'!$F$2:$H$361,3,false),1)="a","L","")))</f>
        <v>W</v>
      </c>
      <c r="H614" s="67" t="str">
        <f>iferror(if(LEFT(VLOOKUP($B614,'Round 5'!$B$2:$H$361,7,false),1)="A","W",if(LEFT(VLOOKUP($B614,'Round 5'!$B$2:$H$361,7,false),1)="B","L","")),if(LEFT(VLOOKUP($B614,'Round 5'!$F$2:$H$361,3,false),1)="b","W",if(LEFT(VLOOKUP($B614,'Round 5'!$F$2:$H$361,3,false),1)="a","L","")))</f>
        <v>L</v>
      </c>
      <c r="I614" s="67" t="str">
        <f>iferror(if(LEFT(VLOOKUP($B614,'Round 6'!$B$2:$H$361,7,false),1)="A","W",if(LEFT(VLOOKUP($B614,'Round 6'!$B$2:$H$361,7,false),1)="B","L","")),if(LEFT(VLOOKUP($B614,'Round 6'!$F$2:$H$361,3,false),1)="b","W",if(LEFT(VLOOKUP($B614,'Round 6'!$F$2:$H$361,3,false),1)="a","L","")))</f>
        <v>W</v>
      </c>
      <c r="J614" s="67" t="str">
        <f>iferror(iferror(if(LEFT(VLOOKUP($B614,'Round 7'!$B$2:$H$361,7,false),1)="A","W",if(LEFT(VLOOKUP($B614,'Round 7'!$B$2:$H$361,7,false),1)="B","L","")),if(LEFT(VLOOKUP($B614,'Round 7'!$F$2:$H$361,3,false),1)="b","W",if(LEFT(VLOOKUP($B614,'Round 7'!$F$2:$H$361,3,false),1)="a","L",""))),"")</f>
        <v>W</v>
      </c>
      <c r="K614" s="68" t="str">
        <f>iferror(iferror(if(LEFT(VLOOKUP($B614,'Round 8'!$B$2:$H$361,7,false),1)="A","W",if(LEFT(VLOOKUP($B614,'Round 8'!$B$2:$H$361,7,false),1)="B","L","")),if(LEFT(VLOOKUP($B614,'Round 8'!$F$2:$H$361,3,false),1)="b","W",if(LEFT(VLOOKUP($B614,'Round 8'!$F$2:$H$361,3,false),1)="a","L",""))),"")</f>
        <v>L</v>
      </c>
      <c r="L614" s="68" t="str">
        <f>iferror(iferror(if(LEFT(VLOOKUP($B614,'Round 9'!$B$2:$H$361,7,false),1)="A","W",if(LEFT(VLOOKUP($B614,'Round 9'!$B$2:$H$361,7,false),1)="B","L","")),if(LEFT(VLOOKUP($B614,'Round 9'!$F$2:$H$361,3,false),1)="b","W",if(LEFT(VLOOKUP($B614,'Round 9'!$F$2:$H$361,3,false),1)="a","L",""))),"")</f>
        <v/>
      </c>
      <c r="M614" s="68" t="str">
        <f>iferror(iferror(if(LEFT(VLOOKUP($B614,'Round 10'!$B$2:$H$362,7,false),1)="A","W",if(LEFT(VLOOKUP($B614,'Round 10'!$B$2:$H$362,7,false),1)="B","L","")),if(LEFT(VLOOKUP($B614,'Round 10'!$F$2:$H$362,3,false),1)="b","W",if(LEFT(VLOOKUP($B614,'Round 10'!$F$2:$H$362,3,false),1)="a","L",""))),"")</f>
        <v/>
      </c>
      <c r="N614" s="62" t="s">
        <v>1276</v>
      </c>
    </row>
    <row r="615">
      <c r="A615" s="63">
        <v>614.0</v>
      </c>
      <c r="B615" s="64" t="s">
        <v>1277</v>
      </c>
      <c r="C615" s="65" t="str">
        <f t="shared" si="1"/>
        <v>3 - 3</v>
      </c>
      <c r="D615" s="67" t="str">
        <f>iferror(if(LEFT(VLOOKUP($B615,'Round 1'!$B$2:$H$361,7,false),1)="A","W",if(LEFT(VLOOKUP($B615,'Round 1'!$B$2:$H$361,7,false),1)="B","L","")),if(LEFT(VLOOKUP($B615,'Round 1'!$F$2:$H$361,3,false),1)="b","W",if(LEFT(VLOOKUP($B615,'Round 1'!$F$2:$H$361,3,false),1)="a","L","")))</f>
        <v>W</v>
      </c>
      <c r="E615" s="67" t="str">
        <f>iferror(if(LEFT(VLOOKUP($B615,'Round 2'!$C$2:$J$361,8,false),1)="A","W",if(LEFT(VLOOKUP($B615,'Round 2'!$C$2:$J$361,8,false),1)="B","L","")),if(LEFT(VLOOKUP($B615,'Round 2'!$G$2:$J$361,4,false),1)="b","W",if(LEFT(VLOOKUP($B615,'Round 2'!$G$2:$J$361,4,false),1)="a","L","")))</f>
        <v>L</v>
      </c>
      <c r="F615" s="67" t="str">
        <f>iferror(if(LEFT(VLOOKUP($B615,'Round 3'!$B$2:$H$361,7,false),1)="A","W",if(LEFT(VLOOKUP($B615,'Round 3'!$B$2:$H$361,7,false),1)="B","L","")),if(LEFT(VLOOKUP($B615,'Round 3'!$F$2:$H$361,3,false),1)="b","W",if(LEFT(VLOOKUP($B615,'Round 3'!$F$2:$H$361,3,false),1)="a","L","")))</f>
        <v>W</v>
      </c>
      <c r="G615" s="67" t="str">
        <f>iferror(if(LEFT(VLOOKUP($B615,'Round 4'!$B$2:$H$361,7,false),1)="A","W",if(LEFT(VLOOKUP($B615,'Round 4'!$B$2:$H$361,7,false),1)="B","L","")),if(LEFT(VLOOKUP($B615,'Round 4'!$F$2:$H$361,3,false),1)="b","W",if(LEFT(VLOOKUP($B615,'Round 4'!$F$2:$H$361,3,false),1)="a","L","")))</f>
        <v>L</v>
      </c>
      <c r="H615" s="67" t="str">
        <f>iferror(if(LEFT(VLOOKUP($B615,'Round 5'!$B$2:$H$361,7,false),1)="A","W",if(LEFT(VLOOKUP($B615,'Round 5'!$B$2:$H$361,7,false),1)="B","L","")),if(LEFT(VLOOKUP($B615,'Round 5'!$F$2:$H$361,3,false),1)="b","W",if(LEFT(VLOOKUP($B615,'Round 5'!$F$2:$H$361,3,false),1)="a","L","")))</f>
        <v>W</v>
      </c>
      <c r="I615" s="67" t="str">
        <f>iferror(if(LEFT(VLOOKUP($B615,'Round 6'!$B$2:$H$361,7,false),1)="A","W",if(LEFT(VLOOKUP($B615,'Round 6'!$B$2:$H$361,7,false),1)="B","L","")),if(LEFT(VLOOKUP($B615,'Round 6'!$F$2:$H$361,3,false),1)="b","W",if(LEFT(VLOOKUP($B615,'Round 6'!$F$2:$H$361,3,false),1)="a","L","")))</f>
        <v>L</v>
      </c>
      <c r="J615" s="67" t="str">
        <f>iferror(iferror(if(LEFT(VLOOKUP($B615,'Round 7'!$B$2:$H$361,7,false),1)="A","W",if(LEFT(VLOOKUP($B615,'Round 7'!$B$2:$H$361,7,false),1)="B","L","")),if(LEFT(VLOOKUP($B615,'Round 7'!$F$2:$H$361,3,false),1)="b","W",if(LEFT(VLOOKUP($B615,'Round 7'!$F$2:$H$361,3,false),1)="a","L",""))),"")</f>
        <v/>
      </c>
      <c r="K615" s="68" t="str">
        <f>iferror(iferror(if(LEFT(VLOOKUP($B615,'Round 8'!$B$2:$H$361,7,false),1)="A","W",if(LEFT(VLOOKUP($B615,'Round 8'!$B$2:$H$361,7,false),1)="B","L","")),if(LEFT(VLOOKUP($B615,'Round 8'!$F$2:$H$361,3,false),1)="b","W",if(LEFT(VLOOKUP($B615,'Round 8'!$F$2:$H$361,3,false),1)="a","L",""))),"")</f>
        <v/>
      </c>
      <c r="L615" s="68" t="str">
        <f>iferror(iferror(if(LEFT(VLOOKUP($B615,'Round 9'!$B$2:$H$361,7,false),1)="A","W",if(LEFT(VLOOKUP($B615,'Round 9'!$B$2:$H$361,7,false),1)="B","L","")),if(LEFT(VLOOKUP($B615,'Round 9'!$F$2:$H$361,3,false),1)="b","W",if(LEFT(VLOOKUP($B615,'Round 9'!$F$2:$H$361,3,false),1)="a","L",""))),"")</f>
        <v/>
      </c>
      <c r="M615" s="68" t="str">
        <f>iferror(iferror(if(LEFT(VLOOKUP($B615,'Round 10'!$B$2:$H$362,7,false),1)="A","W",if(LEFT(VLOOKUP($B615,'Round 10'!$B$2:$H$362,7,false),1)="B","L","")),if(LEFT(VLOOKUP($B615,'Round 10'!$F$2:$H$362,3,false),1)="b","W",if(LEFT(VLOOKUP($B615,'Round 10'!$F$2:$H$362,3,false),1)="a","L",""))),"")</f>
        <v/>
      </c>
      <c r="N615" s="62" t="s">
        <v>1278</v>
      </c>
    </row>
    <row r="616">
      <c r="A616" s="63">
        <v>615.0</v>
      </c>
      <c r="B616" s="64" t="s">
        <v>1279</v>
      </c>
      <c r="C616" s="65" t="str">
        <f t="shared" si="1"/>
        <v>0 - 3</v>
      </c>
      <c r="D616" s="67" t="str">
        <f>iferror(if(LEFT(VLOOKUP($B616,'Round 1'!$B$2:$H$361,7,false),1)="A","W",if(LEFT(VLOOKUP($B616,'Round 1'!$B$2:$H$361,7,false),1)="B","L","")),if(LEFT(VLOOKUP($B616,'Round 1'!$F$2:$H$361,3,false),1)="b","W",if(LEFT(VLOOKUP($B616,'Round 1'!$F$2:$H$361,3,false),1)="a","L","")))</f>
        <v>L</v>
      </c>
      <c r="E616" s="67" t="str">
        <f>iferror(if(LEFT(VLOOKUP($B616,'Round 2'!$C$2:$J$361,8,false),1)="A","W",if(LEFT(VLOOKUP($B616,'Round 2'!$C$2:$J$361,8,false),1)="B","L","")),if(LEFT(VLOOKUP($B616,'Round 2'!$G$2:$J$361,4,false),1)="b","W",if(LEFT(VLOOKUP($B616,'Round 2'!$G$2:$J$361,4,false),1)="a","L","")))</f>
        <v>L</v>
      </c>
      <c r="F616" s="67" t="str">
        <f>iferror(if(LEFT(VLOOKUP($B616,'Round 3'!$B$2:$H$361,7,false),1)="A","W",if(LEFT(VLOOKUP($B616,'Round 3'!$B$2:$H$361,7,false),1)="B","L","")),if(LEFT(VLOOKUP($B616,'Round 3'!$F$2:$H$361,3,false),1)="b","W",if(LEFT(VLOOKUP($B616,'Round 3'!$F$2:$H$361,3,false),1)="a","L","")))</f>
        <v>L</v>
      </c>
      <c r="G616" s="67"/>
      <c r="H616" s="67"/>
      <c r="I616" s="67"/>
      <c r="J616" s="67" t="str">
        <f>iferror(iferror(if(LEFT(VLOOKUP($B616,'Round 7'!$B$2:$H$361,7,false),1)="A","W",if(LEFT(VLOOKUP($B616,'Round 7'!$B$2:$H$361,7,false),1)="B","L","")),if(LEFT(VLOOKUP($B616,'Round 7'!$F$2:$H$361,3,false),1)="b","W",if(LEFT(VLOOKUP($B616,'Round 7'!$F$2:$H$361,3,false),1)="a","L",""))),"")</f>
        <v/>
      </c>
      <c r="K616" s="68" t="str">
        <f>iferror(iferror(if(LEFT(VLOOKUP($B616,'Round 8'!$B$2:$H$361,7,false),1)="A","W",if(LEFT(VLOOKUP($B616,'Round 8'!$B$2:$H$361,7,false),1)="B","L","")),if(LEFT(VLOOKUP($B616,'Round 8'!$F$2:$H$361,3,false),1)="b","W",if(LEFT(VLOOKUP($B616,'Round 8'!$F$2:$H$361,3,false),1)="a","L",""))),"")</f>
        <v/>
      </c>
      <c r="L616" s="68" t="str">
        <f>iferror(iferror(if(LEFT(VLOOKUP($B616,'Round 9'!$B$2:$H$361,7,false),1)="A","W",if(LEFT(VLOOKUP($B616,'Round 9'!$B$2:$H$361,7,false),1)="B","L","")),if(LEFT(VLOOKUP($B616,'Round 9'!$F$2:$H$361,3,false),1)="b","W",if(LEFT(VLOOKUP($B616,'Round 9'!$F$2:$H$361,3,false),1)="a","L",""))),"")</f>
        <v/>
      </c>
      <c r="M616" s="68" t="str">
        <f>iferror(iferror(if(LEFT(VLOOKUP($B616,'Round 10'!$B$2:$H$362,7,false),1)="A","W",if(LEFT(VLOOKUP($B616,'Round 10'!$B$2:$H$362,7,false),1)="B","L","")),if(LEFT(VLOOKUP($B616,'Round 10'!$F$2:$H$362,3,false),1)="b","W",if(LEFT(VLOOKUP($B616,'Round 10'!$F$2:$H$362,3,false),1)="a","L",""))),"")</f>
        <v/>
      </c>
      <c r="N616" s="62" t="s">
        <v>1280</v>
      </c>
    </row>
    <row r="617">
      <c r="A617" s="63">
        <v>616.0</v>
      </c>
      <c r="B617" s="64" t="s">
        <v>1281</v>
      </c>
      <c r="C617" s="65" t="str">
        <f t="shared" si="1"/>
        <v>2 - 3</v>
      </c>
      <c r="D617" s="67" t="str">
        <f>iferror(if(LEFT(VLOOKUP($B617,'Round 1'!$B$2:$H$361,7,false),1)="A","W",if(LEFT(VLOOKUP($B617,'Round 1'!$B$2:$H$361,7,false),1)="B","L","")),if(LEFT(VLOOKUP($B617,'Round 1'!$F$2:$H$361,3,false),1)="b","W",if(LEFT(VLOOKUP($B617,'Round 1'!$F$2:$H$361,3,false),1)="a","L","")))</f>
        <v>W</v>
      </c>
      <c r="E617" s="67" t="str">
        <f>iferror(if(LEFT(VLOOKUP($B617,'Round 2'!$C$2:$J$361,8,false),1)="A","W",if(LEFT(VLOOKUP($B617,'Round 2'!$C$2:$J$361,8,false),1)="B","L","")),if(LEFT(VLOOKUP($B617,'Round 2'!$G$2:$J$361,4,false),1)="b","W",if(LEFT(VLOOKUP($B617,'Round 2'!$G$2:$J$361,4,false),1)="a","L","")))</f>
        <v>W</v>
      </c>
      <c r="F617" s="67" t="str">
        <f>iferror(if(LEFT(VLOOKUP($B617,'Round 3'!$B$2:$H$361,7,false),1)="A","W",if(LEFT(VLOOKUP($B617,'Round 3'!$B$2:$H$361,7,false),1)="B","L","")),if(LEFT(VLOOKUP($B617,'Round 3'!$F$2:$H$361,3,false),1)="b","W",if(LEFT(VLOOKUP($B617,'Round 3'!$F$2:$H$361,3,false),1)="a","L","")))</f>
        <v>L</v>
      </c>
      <c r="G617" s="67" t="str">
        <f>iferror(if(LEFT(VLOOKUP($B617,'Round 4'!$B$2:$H$361,7,false),1)="A","W",if(LEFT(VLOOKUP($B617,'Round 4'!$B$2:$H$361,7,false),1)="B","L","")),if(LEFT(VLOOKUP($B617,'Round 4'!$F$2:$H$361,3,false),1)="b","W",if(LEFT(VLOOKUP($B617,'Round 4'!$F$2:$H$361,3,false),1)="a","L","")))</f>
        <v>L</v>
      </c>
      <c r="H617" s="67" t="str">
        <f>iferror(if(LEFT(VLOOKUP($B617,'Round 5'!$B$2:$H$361,7,false),1)="A","W",if(LEFT(VLOOKUP($B617,'Round 5'!$B$2:$H$361,7,false),1)="B","L","")),if(LEFT(VLOOKUP($B617,'Round 5'!$F$2:$H$361,3,false),1)="b","W",if(LEFT(VLOOKUP($B617,'Round 5'!$F$2:$H$361,3,false),1)="a","L","")))</f>
        <v>L</v>
      </c>
      <c r="I617" s="67"/>
      <c r="J617" s="67" t="str">
        <f>iferror(iferror(if(LEFT(VLOOKUP($B617,'Round 7'!$B$2:$H$361,7,false),1)="A","W",if(LEFT(VLOOKUP($B617,'Round 7'!$B$2:$H$361,7,false),1)="B","L","")),if(LEFT(VLOOKUP($B617,'Round 7'!$F$2:$H$361,3,false),1)="b","W",if(LEFT(VLOOKUP($B617,'Round 7'!$F$2:$H$361,3,false),1)="a","L",""))),"")</f>
        <v/>
      </c>
      <c r="K617" s="68" t="str">
        <f>iferror(iferror(if(LEFT(VLOOKUP($B617,'Round 8'!$B$2:$H$361,7,false),1)="A","W",if(LEFT(VLOOKUP($B617,'Round 8'!$B$2:$H$361,7,false),1)="B","L","")),if(LEFT(VLOOKUP($B617,'Round 8'!$F$2:$H$361,3,false),1)="b","W",if(LEFT(VLOOKUP($B617,'Round 8'!$F$2:$H$361,3,false),1)="a","L",""))),"")</f>
        <v/>
      </c>
      <c r="L617" s="68" t="str">
        <f>iferror(iferror(if(LEFT(VLOOKUP($B617,'Round 9'!$B$2:$H$361,7,false),1)="A","W",if(LEFT(VLOOKUP($B617,'Round 9'!$B$2:$H$361,7,false),1)="B","L","")),if(LEFT(VLOOKUP($B617,'Round 9'!$F$2:$H$361,3,false),1)="b","W",if(LEFT(VLOOKUP($B617,'Round 9'!$F$2:$H$361,3,false),1)="a","L",""))),"")</f>
        <v/>
      </c>
      <c r="M617" s="68" t="str">
        <f>iferror(iferror(if(LEFT(VLOOKUP($B617,'Round 10'!$B$2:$H$362,7,false),1)="A","W",if(LEFT(VLOOKUP($B617,'Round 10'!$B$2:$H$362,7,false),1)="B","L","")),if(LEFT(VLOOKUP($B617,'Round 10'!$F$2:$H$362,3,false),1)="b","W",if(LEFT(VLOOKUP($B617,'Round 10'!$F$2:$H$362,3,false),1)="a","L",""))),"")</f>
        <v/>
      </c>
      <c r="N617" s="62" t="s">
        <v>1282</v>
      </c>
    </row>
    <row r="618">
      <c r="A618" s="63">
        <v>617.0</v>
      </c>
      <c r="B618" s="64" t="s">
        <v>1283</v>
      </c>
      <c r="C618" s="65" t="str">
        <f t="shared" si="1"/>
        <v>2 - 3</v>
      </c>
      <c r="D618" s="67" t="str">
        <f>iferror(if(LEFT(VLOOKUP($B618,'Round 1'!$B$2:$H$361,7,false),1)="A","W",if(LEFT(VLOOKUP($B618,'Round 1'!$B$2:$H$361,7,false),1)="B","L","")),if(LEFT(VLOOKUP($B618,'Round 1'!$F$2:$H$361,3,false),1)="b","W",if(LEFT(VLOOKUP($B618,'Round 1'!$F$2:$H$361,3,false),1)="a","L","")))</f>
        <v>L</v>
      </c>
      <c r="E618" s="67" t="str">
        <f>iferror(if(LEFT(VLOOKUP($B618,'Round 2'!$C$2:$J$361,8,false),1)="A","W",if(LEFT(VLOOKUP($B618,'Round 2'!$C$2:$J$361,8,false),1)="B","L","")),if(LEFT(VLOOKUP($B618,'Round 2'!$G$2:$J$361,4,false),1)="b","W",if(LEFT(VLOOKUP($B618,'Round 2'!$G$2:$J$361,4,false),1)="a","L","")))</f>
        <v>W</v>
      </c>
      <c r="F618" s="67" t="str">
        <f>iferror(if(LEFT(VLOOKUP($B618,'Round 3'!$B$2:$H$361,7,false),1)="A","W",if(LEFT(VLOOKUP($B618,'Round 3'!$B$2:$H$361,7,false),1)="B","L","")),if(LEFT(VLOOKUP($B618,'Round 3'!$F$2:$H$361,3,false),1)="b","W",if(LEFT(VLOOKUP($B618,'Round 3'!$F$2:$H$361,3,false),1)="a","L","")))</f>
        <v>L</v>
      </c>
      <c r="G618" s="67" t="str">
        <f>iferror(if(LEFT(VLOOKUP($B618,'Round 4'!$B$2:$H$361,7,false),1)="A","W",if(LEFT(VLOOKUP($B618,'Round 4'!$B$2:$H$361,7,false),1)="B","L","")),if(LEFT(VLOOKUP($B618,'Round 4'!$F$2:$H$361,3,false),1)="b","W",if(LEFT(VLOOKUP($B618,'Round 4'!$F$2:$H$361,3,false),1)="a","L","")))</f>
        <v>W</v>
      </c>
      <c r="H618" s="67" t="str">
        <f>iferror(if(LEFT(VLOOKUP($B618,'Round 5'!$B$2:$H$361,7,false),1)="A","W",if(LEFT(VLOOKUP($B618,'Round 5'!$B$2:$H$361,7,false),1)="B","L","")),if(LEFT(VLOOKUP($B618,'Round 5'!$F$2:$H$361,3,false),1)="b","W",if(LEFT(VLOOKUP($B618,'Round 5'!$F$2:$H$361,3,false),1)="a","L","")))</f>
        <v>L</v>
      </c>
      <c r="I618" s="67"/>
      <c r="J618" s="67" t="str">
        <f>iferror(iferror(if(LEFT(VLOOKUP($B618,'Round 7'!$B$2:$H$361,7,false),1)="A","W",if(LEFT(VLOOKUP($B618,'Round 7'!$B$2:$H$361,7,false),1)="B","L","")),if(LEFT(VLOOKUP($B618,'Round 7'!$F$2:$H$361,3,false),1)="b","W",if(LEFT(VLOOKUP($B618,'Round 7'!$F$2:$H$361,3,false),1)="a","L",""))),"")</f>
        <v/>
      </c>
      <c r="K618" s="68" t="str">
        <f>iferror(iferror(if(LEFT(VLOOKUP($B618,'Round 8'!$B$2:$H$361,7,false),1)="A","W",if(LEFT(VLOOKUP($B618,'Round 8'!$B$2:$H$361,7,false),1)="B","L","")),if(LEFT(VLOOKUP($B618,'Round 8'!$F$2:$H$361,3,false),1)="b","W",if(LEFT(VLOOKUP($B618,'Round 8'!$F$2:$H$361,3,false),1)="a","L",""))),"")</f>
        <v/>
      </c>
      <c r="L618" s="68" t="str">
        <f>iferror(iferror(if(LEFT(VLOOKUP($B618,'Round 9'!$B$2:$H$361,7,false),1)="A","W",if(LEFT(VLOOKUP($B618,'Round 9'!$B$2:$H$361,7,false),1)="B","L","")),if(LEFT(VLOOKUP($B618,'Round 9'!$F$2:$H$361,3,false),1)="b","W",if(LEFT(VLOOKUP($B618,'Round 9'!$F$2:$H$361,3,false),1)="a","L",""))),"")</f>
        <v/>
      </c>
      <c r="M618" s="68" t="str">
        <f>iferror(iferror(if(LEFT(VLOOKUP($B618,'Round 10'!$B$2:$H$362,7,false),1)="A","W",if(LEFT(VLOOKUP($B618,'Round 10'!$B$2:$H$362,7,false),1)="B","L","")),if(LEFT(VLOOKUP($B618,'Round 10'!$F$2:$H$362,3,false),1)="b","W",if(LEFT(VLOOKUP($B618,'Round 10'!$F$2:$H$362,3,false),1)="a","L",""))),"")</f>
        <v/>
      </c>
      <c r="N618" s="62" t="s">
        <v>1284</v>
      </c>
    </row>
    <row r="619">
      <c r="A619" s="63">
        <v>618.0</v>
      </c>
      <c r="B619" s="64" t="s">
        <v>1285</v>
      </c>
      <c r="C619" s="65" t="str">
        <f t="shared" si="1"/>
        <v>4 - 3</v>
      </c>
      <c r="D619" s="67" t="str">
        <f>iferror(if(LEFT(VLOOKUP($B619,'Round 1'!$B$2:$H$361,7,false),1)="A","W",if(LEFT(VLOOKUP($B619,'Round 1'!$B$2:$H$361,7,false),1)="B","L","")),if(LEFT(VLOOKUP($B619,'Round 1'!$F$2:$H$361,3,false),1)="b","W",if(LEFT(VLOOKUP($B619,'Round 1'!$F$2:$H$361,3,false),1)="a","L","")))</f>
        <v>L</v>
      </c>
      <c r="E619" s="67" t="str">
        <f>iferror(if(LEFT(VLOOKUP($B619,'Round 2'!$C$2:$J$361,8,false),1)="A","W",if(LEFT(VLOOKUP($B619,'Round 2'!$C$2:$J$361,8,false),1)="B","L","")),if(LEFT(VLOOKUP($B619,'Round 2'!$G$2:$J$361,4,false),1)="b","W",if(LEFT(VLOOKUP($B619,'Round 2'!$G$2:$J$361,4,false),1)="a","L","")))</f>
        <v>W</v>
      </c>
      <c r="F619" s="67" t="str">
        <f>iferror(if(LEFT(VLOOKUP($B619,'Round 3'!$B$2:$H$361,7,false),1)="A","W",if(LEFT(VLOOKUP($B619,'Round 3'!$B$2:$H$361,7,false),1)="B","L","")),if(LEFT(VLOOKUP($B619,'Round 3'!$F$2:$H$361,3,false),1)="b","W",if(LEFT(VLOOKUP($B619,'Round 3'!$F$2:$H$361,3,false),1)="a","L","")))</f>
        <v>W</v>
      </c>
      <c r="G619" s="67" t="str">
        <f>iferror(if(LEFT(VLOOKUP($B619,'Round 4'!$B$2:$H$361,7,false),1)="A","W",if(LEFT(VLOOKUP($B619,'Round 4'!$B$2:$H$361,7,false),1)="B","L","")),if(LEFT(VLOOKUP($B619,'Round 4'!$F$2:$H$361,3,false),1)="b","W",if(LEFT(VLOOKUP($B619,'Round 4'!$F$2:$H$361,3,false),1)="a","L","")))</f>
        <v>L</v>
      </c>
      <c r="H619" s="67" t="str">
        <f>iferror(if(LEFT(VLOOKUP($B619,'Round 5'!$B$2:$H$361,7,false),1)="A","W",if(LEFT(VLOOKUP($B619,'Round 5'!$B$2:$H$361,7,false),1)="B","L","")),if(LEFT(VLOOKUP($B619,'Round 5'!$F$2:$H$361,3,false),1)="b","W",if(LEFT(VLOOKUP($B619,'Round 5'!$F$2:$H$361,3,false),1)="a","L","")))</f>
        <v>W</v>
      </c>
      <c r="I619" s="67" t="str">
        <f>iferror(if(LEFT(VLOOKUP($B619,'Round 6'!$B$2:$H$361,7,false),1)="A","W",if(LEFT(VLOOKUP($B619,'Round 6'!$B$2:$H$361,7,false),1)="B","L","")),if(LEFT(VLOOKUP($B619,'Round 6'!$F$2:$H$361,3,false),1)="b","W",if(LEFT(VLOOKUP($B619,'Round 6'!$F$2:$H$361,3,false),1)="a","L","")))</f>
        <v>W</v>
      </c>
      <c r="J619" s="67" t="str">
        <f>iferror(iferror(if(LEFT(VLOOKUP($B619,'Round 7'!$B$2:$H$361,7,false),1)="A","W",if(LEFT(VLOOKUP($B619,'Round 7'!$B$2:$H$361,7,false),1)="B","L","")),if(LEFT(VLOOKUP($B619,'Round 7'!$F$2:$H$361,3,false),1)="b","W",if(LEFT(VLOOKUP($B619,'Round 7'!$F$2:$H$361,3,false),1)="a","L",""))),"")</f>
        <v>L</v>
      </c>
      <c r="K619" s="68" t="str">
        <f>iferror(iferror(if(LEFT(VLOOKUP($B619,'Round 8'!$B$2:$H$361,7,false),1)="A","W",if(LEFT(VLOOKUP($B619,'Round 8'!$B$2:$H$361,7,false),1)="B","L","")),if(LEFT(VLOOKUP($B619,'Round 8'!$F$2:$H$361,3,false),1)="b","W",if(LEFT(VLOOKUP($B619,'Round 8'!$F$2:$H$361,3,false),1)="a","L",""))),"")</f>
        <v/>
      </c>
      <c r="L619" s="68" t="str">
        <f>iferror(iferror(if(LEFT(VLOOKUP($B619,'Round 9'!$B$2:$H$361,7,false),1)="A","W",if(LEFT(VLOOKUP($B619,'Round 9'!$B$2:$H$361,7,false),1)="B","L","")),if(LEFT(VLOOKUP($B619,'Round 9'!$F$2:$H$361,3,false),1)="b","W",if(LEFT(VLOOKUP($B619,'Round 9'!$F$2:$H$361,3,false),1)="a","L",""))),"")</f>
        <v/>
      </c>
      <c r="M619" s="68" t="str">
        <f>iferror(iferror(if(LEFT(VLOOKUP($B619,'Round 10'!$B$2:$H$362,7,false),1)="A","W",if(LEFT(VLOOKUP($B619,'Round 10'!$B$2:$H$362,7,false),1)="B","L","")),if(LEFT(VLOOKUP($B619,'Round 10'!$F$2:$H$362,3,false),1)="b","W",if(LEFT(VLOOKUP($B619,'Round 10'!$F$2:$H$362,3,false),1)="a","L",""))),"")</f>
        <v/>
      </c>
      <c r="N619" s="62" t="s">
        <v>1286</v>
      </c>
    </row>
    <row r="620">
      <c r="A620" s="63">
        <v>619.0</v>
      </c>
      <c r="B620" s="64" t="s">
        <v>1287</v>
      </c>
      <c r="C620" s="65" t="str">
        <f t="shared" si="1"/>
        <v>4 - 3</v>
      </c>
      <c r="D620" s="67" t="str">
        <f>iferror(if(LEFT(VLOOKUP($B620,'Round 1'!$B$2:$H$361,7,false),1)="A","W",if(LEFT(VLOOKUP($B620,'Round 1'!$B$2:$H$361,7,false),1)="B","L","")),if(LEFT(VLOOKUP($B620,'Round 1'!$F$2:$H$361,3,false),1)="b","W",if(LEFT(VLOOKUP($B620,'Round 1'!$F$2:$H$361,3,false),1)="a","L","")))</f>
        <v>L</v>
      </c>
      <c r="E620" s="67" t="str">
        <f>iferror(if(LEFT(VLOOKUP($B620,'Round 2'!$C$2:$J$361,8,false),1)="A","W",if(LEFT(VLOOKUP($B620,'Round 2'!$C$2:$J$361,8,false),1)="B","L","")),if(LEFT(VLOOKUP($B620,'Round 2'!$G$2:$J$361,4,false),1)="b","W",if(LEFT(VLOOKUP($B620,'Round 2'!$G$2:$J$361,4,false),1)="a","L","")))</f>
        <v>L</v>
      </c>
      <c r="F620" s="67" t="str">
        <f>iferror(if(LEFT(VLOOKUP($B620,'Round 3'!$B$2:$H$361,7,false),1)="A","W",if(LEFT(VLOOKUP($B620,'Round 3'!$B$2:$H$361,7,false),1)="B","L","")),if(LEFT(VLOOKUP($B620,'Round 3'!$F$2:$H$361,3,false),1)="b","W",if(LEFT(VLOOKUP($B620,'Round 3'!$F$2:$H$361,3,false),1)="a","L","")))</f>
        <v>W</v>
      </c>
      <c r="G620" s="67" t="str">
        <f>iferror(if(LEFT(VLOOKUP($B620,'Round 4'!$B$2:$H$361,7,false),1)="A","W",if(LEFT(VLOOKUP($B620,'Round 4'!$B$2:$H$361,7,false),1)="B","L","")),if(LEFT(VLOOKUP($B620,'Round 4'!$F$2:$H$361,3,false),1)="b","W",if(LEFT(VLOOKUP($B620,'Round 4'!$F$2:$H$361,3,false),1)="a","L","")))</f>
        <v>W</v>
      </c>
      <c r="H620" s="67" t="str">
        <f>iferror(if(LEFT(VLOOKUP($B620,'Round 5'!$B$2:$H$361,7,false),1)="A","W",if(LEFT(VLOOKUP($B620,'Round 5'!$B$2:$H$361,7,false),1)="B","L","")),if(LEFT(VLOOKUP($B620,'Round 5'!$F$2:$H$361,3,false),1)="b","W",if(LEFT(VLOOKUP($B620,'Round 5'!$F$2:$H$361,3,false),1)="a","L","")))</f>
        <v>W</v>
      </c>
      <c r="I620" s="67" t="str">
        <f>iferror(if(LEFT(VLOOKUP($B620,'Round 6'!$B$2:$H$361,7,false),1)="A","W",if(LEFT(VLOOKUP($B620,'Round 6'!$B$2:$H$361,7,false),1)="B","L","")),if(LEFT(VLOOKUP($B620,'Round 6'!$F$2:$H$361,3,false),1)="b","W",if(LEFT(VLOOKUP($B620,'Round 6'!$F$2:$H$361,3,false),1)="a","L","")))</f>
        <v>W</v>
      </c>
      <c r="J620" s="67" t="str">
        <f>iferror(iferror(if(LEFT(VLOOKUP($B620,'Round 7'!$B$2:$H$361,7,false),1)="A","W",if(LEFT(VLOOKUP($B620,'Round 7'!$B$2:$H$361,7,false),1)="B","L","")),if(LEFT(VLOOKUP($B620,'Round 7'!$F$2:$H$361,3,false),1)="b","W",if(LEFT(VLOOKUP($B620,'Round 7'!$F$2:$H$361,3,false),1)="a","L",""))),"")</f>
        <v>L</v>
      </c>
      <c r="K620" s="68" t="str">
        <f>iferror(iferror(if(LEFT(VLOOKUP($B620,'Round 8'!$B$2:$H$361,7,false),1)="A","W",if(LEFT(VLOOKUP($B620,'Round 8'!$B$2:$H$361,7,false),1)="B","L","")),if(LEFT(VLOOKUP($B620,'Round 8'!$F$2:$H$361,3,false),1)="b","W",if(LEFT(VLOOKUP($B620,'Round 8'!$F$2:$H$361,3,false),1)="a","L",""))),"")</f>
        <v/>
      </c>
      <c r="L620" s="68" t="str">
        <f>iferror(iferror(if(LEFT(VLOOKUP($B620,'Round 9'!$B$2:$H$361,7,false),1)="A","W",if(LEFT(VLOOKUP($B620,'Round 9'!$B$2:$H$361,7,false),1)="B","L","")),if(LEFT(VLOOKUP($B620,'Round 9'!$F$2:$H$361,3,false),1)="b","W",if(LEFT(VLOOKUP($B620,'Round 9'!$F$2:$H$361,3,false),1)="a","L",""))),"")</f>
        <v/>
      </c>
      <c r="M620" s="68" t="str">
        <f>iferror(iferror(if(LEFT(VLOOKUP($B620,'Round 10'!$B$2:$H$362,7,false),1)="A","W",if(LEFT(VLOOKUP($B620,'Round 10'!$B$2:$H$362,7,false),1)="B","L","")),if(LEFT(VLOOKUP($B620,'Round 10'!$F$2:$H$362,3,false),1)="b","W",if(LEFT(VLOOKUP($B620,'Round 10'!$F$2:$H$362,3,false),1)="a","L",""))),"")</f>
        <v/>
      </c>
      <c r="N620" s="62" t="s">
        <v>1288</v>
      </c>
    </row>
    <row r="621">
      <c r="A621" s="63">
        <v>620.0</v>
      </c>
      <c r="B621" s="64" t="s">
        <v>1289</v>
      </c>
      <c r="C621" s="65" t="str">
        <f t="shared" si="1"/>
        <v>0 - 3</v>
      </c>
      <c r="D621" s="67" t="str">
        <f>iferror(if(LEFT(VLOOKUP($B621,'Round 1'!$B$2:$H$361,7,false),1)="A","W",if(LEFT(VLOOKUP($B621,'Round 1'!$B$2:$H$361,7,false),1)="B","L","")),if(LEFT(VLOOKUP($B621,'Round 1'!$F$2:$H$361,3,false),1)="b","W",if(LEFT(VLOOKUP($B621,'Round 1'!$F$2:$H$361,3,false),1)="a","L","")))</f>
        <v>L</v>
      </c>
      <c r="E621" s="67" t="str">
        <f>iferror(if(LEFT(VLOOKUP($B621,'Round 2'!$C$2:$J$361,8,false),1)="A","W",if(LEFT(VLOOKUP($B621,'Round 2'!$C$2:$J$361,8,false),1)="B","L","")),if(LEFT(VLOOKUP($B621,'Round 2'!$G$2:$J$361,4,false),1)="b","W",if(LEFT(VLOOKUP($B621,'Round 2'!$G$2:$J$361,4,false),1)="a","L","")))</f>
        <v>L</v>
      </c>
      <c r="F621" s="67" t="str">
        <f>iferror(if(LEFT(VLOOKUP($B621,'Round 3'!$B$2:$H$361,7,false),1)="A","W",if(LEFT(VLOOKUP($B621,'Round 3'!$B$2:$H$361,7,false),1)="B","L","")),if(LEFT(VLOOKUP($B621,'Round 3'!$F$2:$H$361,3,false),1)="b","W",if(LEFT(VLOOKUP($B621,'Round 3'!$F$2:$H$361,3,false),1)="a","L","")))</f>
        <v>L</v>
      </c>
      <c r="G621" s="67"/>
      <c r="H621" s="67"/>
      <c r="I621" s="67"/>
      <c r="J621" s="67" t="str">
        <f>iferror(iferror(if(LEFT(VLOOKUP($B621,'Round 7'!$B$2:$H$361,7,false),1)="A","W",if(LEFT(VLOOKUP($B621,'Round 7'!$B$2:$H$361,7,false),1)="B","L","")),if(LEFT(VLOOKUP($B621,'Round 7'!$F$2:$H$361,3,false),1)="b","W",if(LEFT(VLOOKUP($B621,'Round 7'!$F$2:$H$361,3,false),1)="a","L",""))),"")</f>
        <v/>
      </c>
      <c r="K621" s="68" t="str">
        <f>iferror(iferror(if(LEFT(VLOOKUP($B621,'Round 8'!$B$2:$H$361,7,false),1)="A","W",if(LEFT(VLOOKUP($B621,'Round 8'!$B$2:$H$361,7,false),1)="B","L","")),if(LEFT(VLOOKUP($B621,'Round 8'!$F$2:$H$361,3,false),1)="b","W",if(LEFT(VLOOKUP($B621,'Round 8'!$F$2:$H$361,3,false),1)="a","L",""))),"")</f>
        <v/>
      </c>
      <c r="L621" s="68" t="str">
        <f>iferror(iferror(if(LEFT(VLOOKUP($B621,'Round 9'!$B$2:$H$361,7,false),1)="A","W",if(LEFT(VLOOKUP($B621,'Round 9'!$B$2:$H$361,7,false),1)="B","L","")),if(LEFT(VLOOKUP($B621,'Round 9'!$F$2:$H$361,3,false),1)="b","W",if(LEFT(VLOOKUP($B621,'Round 9'!$F$2:$H$361,3,false),1)="a","L",""))),"")</f>
        <v/>
      </c>
      <c r="M621" s="68" t="str">
        <f>iferror(iferror(if(LEFT(VLOOKUP($B621,'Round 10'!$B$2:$H$362,7,false),1)="A","W",if(LEFT(VLOOKUP($B621,'Round 10'!$B$2:$H$362,7,false),1)="B","L","")),if(LEFT(VLOOKUP($B621,'Round 10'!$F$2:$H$362,3,false),1)="b","W",if(LEFT(VLOOKUP($B621,'Round 10'!$F$2:$H$362,3,false),1)="a","L",""))),"")</f>
        <v/>
      </c>
      <c r="N621" s="62" t="s">
        <v>1290</v>
      </c>
    </row>
    <row r="622">
      <c r="A622" s="63">
        <v>621.0</v>
      </c>
      <c r="B622" s="64" t="s">
        <v>1291</v>
      </c>
      <c r="C622" s="65" t="str">
        <f t="shared" si="1"/>
        <v>2 - 3</v>
      </c>
      <c r="D622" s="67" t="str">
        <f>iferror(if(LEFT(VLOOKUP($B622,'Round 1'!$B$2:$H$361,7,false),1)="A","W",if(LEFT(VLOOKUP($B622,'Round 1'!$B$2:$H$361,7,false),1)="B","L","")),if(LEFT(VLOOKUP($B622,'Round 1'!$F$2:$H$361,3,false),1)="b","W",if(LEFT(VLOOKUP($B622,'Round 1'!$F$2:$H$361,3,false),1)="a","L","")))</f>
        <v>L</v>
      </c>
      <c r="E622" s="67" t="str">
        <f>iferror(if(LEFT(VLOOKUP($B622,'Round 2'!$C$2:$J$361,8,false),1)="A","W",if(LEFT(VLOOKUP($B622,'Round 2'!$C$2:$J$361,8,false),1)="B","L","")),if(LEFT(VLOOKUP($B622,'Round 2'!$G$2:$J$361,4,false),1)="b","W",if(LEFT(VLOOKUP($B622,'Round 2'!$G$2:$J$361,4,false),1)="a","L","")))</f>
        <v>L</v>
      </c>
      <c r="F622" s="67" t="str">
        <f>iferror(if(LEFT(VLOOKUP($B622,'Round 3'!$B$2:$H$361,7,false),1)="A","W",if(LEFT(VLOOKUP($B622,'Round 3'!$B$2:$H$361,7,false),1)="B","L","")),if(LEFT(VLOOKUP($B622,'Round 3'!$F$2:$H$361,3,false),1)="b","W",if(LEFT(VLOOKUP($B622,'Round 3'!$F$2:$H$361,3,false),1)="a","L","")))</f>
        <v>W</v>
      </c>
      <c r="G622" s="67" t="str">
        <f>iferror(if(LEFT(VLOOKUP($B622,'Round 4'!$B$2:$H$361,7,false),1)="A","W",if(LEFT(VLOOKUP($B622,'Round 4'!$B$2:$H$361,7,false),1)="B","L","")),if(LEFT(VLOOKUP($B622,'Round 4'!$F$2:$H$361,3,false),1)="b","W",if(LEFT(VLOOKUP($B622,'Round 4'!$F$2:$H$361,3,false),1)="a","L","")))</f>
        <v>W</v>
      </c>
      <c r="H622" s="67" t="str">
        <f>iferror(if(LEFT(VLOOKUP($B622,'Round 5'!$B$2:$H$361,7,false),1)="A","W",if(LEFT(VLOOKUP($B622,'Round 5'!$B$2:$H$361,7,false),1)="B","L","")),if(LEFT(VLOOKUP($B622,'Round 5'!$F$2:$H$361,3,false),1)="b","W",if(LEFT(VLOOKUP($B622,'Round 5'!$F$2:$H$361,3,false),1)="a","L","")))</f>
        <v>L</v>
      </c>
      <c r="I622" s="67"/>
      <c r="J622" s="67" t="str">
        <f>iferror(iferror(if(LEFT(VLOOKUP($B622,'Round 7'!$B$2:$H$361,7,false),1)="A","W",if(LEFT(VLOOKUP($B622,'Round 7'!$B$2:$H$361,7,false),1)="B","L","")),if(LEFT(VLOOKUP($B622,'Round 7'!$F$2:$H$361,3,false),1)="b","W",if(LEFT(VLOOKUP($B622,'Round 7'!$F$2:$H$361,3,false),1)="a","L",""))),"")</f>
        <v/>
      </c>
      <c r="K622" s="68" t="str">
        <f>iferror(iferror(if(LEFT(VLOOKUP($B622,'Round 8'!$B$2:$H$361,7,false),1)="A","W",if(LEFT(VLOOKUP($B622,'Round 8'!$B$2:$H$361,7,false),1)="B","L","")),if(LEFT(VLOOKUP($B622,'Round 8'!$F$2:$H$361,3,false),1)="b","W",if(LEFT(VLOOKUP($B622,'Round 8'!$F$2:$H$361,3,false),1)="a","L",""))),"")</f>
        <v/>
      </c>
      <c r="L622" s="68" t="str">
        <f>iferror(iferror(if(LEFT(VLOOKUP($B622,'Round 9'!$B$2:$H$361,7,false),1)="A","W",if(LEFT(VLOOKUP($B622,'Round 9'!$B$2:$H$361,7,false),1)="B","L","")),if(LEFT(VLOOKUP($B622,'Round 9'!$F$2:$H$361,3,false),1)="b","W",if(LEFT(VLOOKUP($B622,'Round 9'!$F$2:$H$361,3,false),1)="a","L",""))),"")</f>
        <v/>
      </c>
      <c r="M622" s="68" t="str">
        <f>iferror(iferror(if(LEFT(VLOOKUP($B622,'Round 10'!$B$2:$H$362,7,false),1)="A","W",if(LEFT(VLOOKUP($B622,'Round 10'!$B$2:$H$362,7,false),1)="B","L","")),if(LEFT(VLOOKUP($B622,'Round 10'!$F$2:$H$362,3,false),1)="b","W",if(LEFT(VLOOKUP($B622,'Round 10'!$F$2:$H$362,3,false),1)="a","L",""))),"")</f>
        <v/>
      </c>
      <c r="N622" s="62" t="s">
        <v>1292</v>
      </c>
    </row>
    <row r="623">
      <c r="A623" s="63">
        <v>622.0</v>
      </c>
      <c r="B623" s="64" t="s">
        <v>1293</v>
      </c>
      <c r="C623" s="65" t="str">
        <f t="shared" si="1"/>
        <v>5 - 3</v>
      </c>
      <c r="D623" s="67" t="str">
        <f>iferror(if(LEFT(VLOOKUP($B623,'Round 1'!$B$2:$H$361,7,false),1)="A","W",if(LEFT(VLOOKUP($B623,'Round 1'!$B$2:$H$361,7,false),1)="B","L","")),if(LEFT(VLOOKUP($B623,'Round 1'!$F$2:$H$361,3,false),1)="b","W",if(LEFT(VLOOKUP($B623,'Round 1'!$F$2:$H$361,3,false),1)="a","L","")))</f>
        <v>L</v>
      </c>
      <c r="E623" s="67" t="str">
        <f>iferror(if(LEFT(VLOOKUP($B623,'Round 2'!$C$2:$J$361,8,false),1)="A","W",if(LEFT(VLOOKUP($B623,'Round 2'!$C$2:$J$361,8,false),1)="B","L","")),if(LEFT(VLOOKUP($B623,'Round 2'!$G$2:$J$361,4,false),1)="b","W",if(LEFT(VLOOKUP($B623,'Round 2'!$G$2:$J$361,4,false),1)="a","L","")))</f>
        <v>W</v>
      </c>
      <c r="F623" s="67" t="str">
        <f>iferror(if(LEFT(VLOOKUP($B623,'Round 3'!$B$2:$H$361,7,false),1)="A","W",if(LEFT(VLOOKUP($B623,'Round 3'!$B$2:$H$361,7,false),1)="B","L","")),if(LEFT(VLOOKUP($B623,'Round 3'!$F$2:$H$361,3,false),1)="b","W",if(LEFT(VLOOKUP($B623,'Round 3'!$F$2:$H$361,3,false),1)="a","L","")))</f>
        <v>W</v>
      </c>
      <c r="G623" s="67" t="str">
        <f>iferror(if(LEFT(VLOOKUP($B623,'Round 4'!$B$2:$H$361,7,false),1)="A","W",if(LEFT(VLOOKUP($B623,'Round 4'!$B$2:$H$361,7,false),1)="B","L","")),if(LEFT(VLOOKUP($B623,'Round 4'!$F$2:$H$361,3,false),1)="b","W",if(LEFT(VLOOKUP($B623,'Round 4'!$F$2:$H$361,3,false),1)="a","L","")))</f>
        <v>W</v>
      </c>
      <c r="H623" s="67" t="str">
        <f>iferror(if(LEFT(VLOOKUP($B623,'Round 5'!$B$2:$H$361,7,false),1)="A","W",if(LEFT(VLOOKUP($B623,'Round 5'!$B$2:$H$361,7,false),1)="B","L","")),if(LEFT(VLOOKUP($B623,'Round 5'!$F$2:$H$361,3,false),1)="b","W",if(LEFT(VLOOKUP($B623,'Round 5'!$F$2:$H$361,3,false),1)="a","L","")))</f>
        <v>W</v>
      </c>
      <c r="I623" s="67" t="str">
        <f>iferror(if(LEFT(VLOOKUP($B623,'Round 6'!$B$2:$H$361,7,false),1)="A","W",if(LEFT(VLOOKUP($B623,'Round 6'!$B$2:$H$361,7,false),1)="B","L","")),if(LEFT(VLOOKUP($B623,'Round 6'!$F$2:$H$361,3,false),1)="b","W",if(LEFT(VLOOKUP($B623,'Round 6'!$F$2:$H$361,3,false),1)="a","L","")))</f>
        <v>W</v>
      </c>
      <c r="J623" s="67" t="str">
        <f>iferror(iferror(if(LEFT(VLOOKUP($B623,'Round 7'!$B$2:$H$361,7,false),1)="A","W",if(LEFT(VLOOKUP($B623,'Round 7'!$B$2:$H$361,7,false),1)="B","L","")),if(LEFT(VLOOKUP($B623,'Round 7'!$F$2:$H$361,3,false),1)="b","W",if(LEFT(VLOOKUP($B623,'Round 7'!$F$2:$H$361,3,false),1)="a","L",""))),"")</f>
        <v>L</v>
      </c>
      <c r="K623" s="68" t="str">
        <f>iferror(iferror(if(LEFT(VLOOKUP($B623,'Round 8'!$B$2:$H$361,7,false),1)="A","W",if(LEFT(VLOOKUP($B623,'Round 8'!$B$2:$H$361,7,false),1)="B","L","")),if(LEFT(VLOOKUP($B623,'Round 8'!$F$2:$H$361,3,false),1)="b","W",if(LEFT(VLOOKUP($B623,'Round 8'!$F$2:$H$361,3,false),1)="a","L",""))),"")</f>
        <v>L</v>
      </c>
      <c r="L623" s="68" t="str">
        <f>iferror(iferror(if(LEFT(VLOOKUP($B623,'Round 9'!$B$2:$H$361,7,false),1)="A","W",if(LEFT(VLOOKUP($B623,'Round 9'!$B$2:$H$361,7,false),1)="B","L","")),if(LEFT(VLOOKUP($B623,'Round 9'!$F$2:$H$361,3,false),1)="b","W",if(LEFT(VLOOKUP($B623,'Round 9'!$F$2:$H$361,3,false),1)="a","L",""))),"")</f>
        <v/>
      </c>
      <c r="M623" s="68" t="str">
        <f>iferror(iferror(if(LEFT(VLOOKUP($B623,'Round 10'!$B$2:$H$362,7,false),1)="A","W",if(LEFT(VLOOKUP($B623,'Round 10'!$B$2:$H$362,7,false),1)="B","L","")),if(LEFT(VLOOKUP($B623,'Round 10'!$F$2:$H$362,3,false),1)="b","W",if(LEFT(VLOOKUP($B623,'Round 10'!$F$2:$H$362,3,false),1)="a","L",""))),"")</f>
        <v/>
      </c>
      <c r="N623" s="62" t="s">
        <v>1294</v>
      </c>
    </row>
    <row r="624">
      <c r="A624" s="63">
        <v>623.0</v>
      </c>
      <c r="B624" s="64" t="s">
        <v>1295</v>
      </c>
      <c r="C624" s="65" t="str">
        <f t="shared" si="1"/>
        <v>3 - 3</v>
      </c>
      <c r="D624" s="67" t="str">
        <f>iferror(if(LEFT(VLOOKUP($B624,'Round 1'!$B$2:$H$361,7,false),1)="A","W",if(LEFT(VLOOKUP($B624,'Round 1'!$B$2:$H$361,7,false),1)="B","L","")),if(LEFT(VLOOKUP($B624,'Round 1'!$F$2:$H$361,3,false),1)="b","W",if(LEFT(VLOOKUP($B624,'Round 1'!$F$2:$H$361,3,false),1)="a","L","")))</f>
        <v>L</v>
      </c>
      <c r="E624" s="67" t="str">
        <f>iferror(if(LEFT(VLOOKUP($B624,'Round 2'!$C$2:$J$361,8,false),1)="A","W",if(LEFT(VLOOKUP($B624,'Round 2'!$C$2:$J$361,8,false),1)="B","L","")),if(LEFT(VLOOKUP($B624,'Round 2'!$G$2:$J$361,4,false),1)="b","W",if(LEFT(VLOOKUP($B624,'Round 2'!$G$2:$J$361,4,false),1)="a","L","")))</f>
        <v>W</v>
      </c>
      <c r="F624" s="67" t="str">
        <f>iferror(if(LEFT(VLOOKUP($B624,'Round 3'!$B$2:$H$361,7,false),1)="A","W",if(LEFT(VLOOKUP($B624,'Round 3'!$B$2:$H$361,7,false),1)="B","L","")),if(LEFT(VLOOKUP($B624,'Round 3'!$F$2:$H$361,3,false),1)="b","W",if(LEFT(VLOOKUP($B624,'Round 3'!$F$2:$H$361,3,false),1)="a","L","")))</f>
        <v>L</v>
      </c>
      <c r="G624" s="67" t="str">
        <f>iferror(if(LEFT(VLOOKUP($B624,'Round 4'!$B$2:$H$361,7,false),1)="A","W",if(LEFT(VLOOKUP($B624,'Round 4'!$B$2:$H$361,7,false),1)="B","L","")),if(LEFT(VLOOKUP($B624,'Round 4'!$F$2:$H$361,3,false),1)="b","W",if(LEFT(VLOOKUP($B624,'Round 4'!$F$2:$H$361,3,false),1)="a","L","")))</f>
        <v>W</v>
      </c>
      <c r="H624" s="67" t="str">
        <f>iferror(if(LEFT(VLOOKUP($B624,'Round 5'!$B$2:$H$361,7,false),1)="A","W",if(LEFT(VLOOKUP($B624,'Round 5'!$B$2:$H$361,7,false),1)="B","L","")),if(LEFT(VLOOKUP($B624,'Round 5'!$F$2:$H$361,3,false),1)="b","W",if(LEFT(VLOOKUP($B624,'Round 5'!$F$2:$H$361,3,false),1)="a","L","")))</f>
        <v>W</v>
      </c>
      <c r="I624" s="67" t="str">
        <f>iferror(if(LEFT(VLOOKUP($B624,'Round 6'!$B$2:$H$361,7,false),1)="A","W",if(LEFT(VLOOKUP($B624,'Round 6'!$B$2:$H$361,7,false),1)="B","L","")),if(LEFT(VLOOKUP($B624,'Round 6'!$F$2:$H$361,3,false),1)="b","W",if(LEFT(VLOOKUP($B624,'Round 6'!$F$2:$H$361,3,false),1)="a","L","")))</f>
        <v>L</v>
      </c>
      <c r="J624" s="67" t="str">
        <f>iferror(iferror(if(LEFT(VLOOKUP($B624,'Round 7'!$B$2:$H$361,7,false),1)="A","W",if(LEFT(VLOOKUP($B624,'Round 7'!$B$2:$H$361,7,false),1)="B","L","")),if(LEFT(VLOOKUP($B624,'Round 7'!$F$2:$H$361,3,false),1)="b","W",if(LEFT(VLOOKUP($B624,'Round 7'!$F$2:$H$361,3,false),1)="a","L",""))),"")</f>
        <v/>
      </c>
      <c r="K624" s="68" t="str">
        <f>iferror(iferror(if(LEFT(VLOOKUP($B624,'Round 8'!$B$2:$H$361,7,false),1)="A","W",if(LEFT(VLOOKUP($B624,'Round 8'!$B$2:$H$361,7,false),1)="B","L","")),if(LEFT(VLOOKUP($B624,'Round 8'!$F$2:$H$361,3,false),1)="b","W",if(LEFT(VLOOKUP($B624,'Round 8'!$F$2:$H$361,3,false),1)="a","L",""))),"")</f>
        <v/>
      </c>
      <c r="L624" s="68" t="str">
        <f>iferror(iferror(if(LEFT(VLOOKUP($B624,'Round 9'!$B$2:$H$361,7,false),1)="A","W",if(LEFT(VLOOKUP($B624,'Round 9'!$B$2:$H$361,7,false),1)="B","L","")),if(LEFT(VLOOKUP($B624,'Round 9'!$F$2:$H$361,3,false),1)="b","W",if(LEFT(VLOOKUP($B624,'Round 9'!$F$2:$H$361,3,false),1)="a","L",""))),"")</f>
        <v/>
      </c>
      <c r="M624" s="68" t="str">
        <f>iferror(iferror(if(LEFT(VLOOKUP($B624,'Round 10'!$B$2:$H$362,7,false),1)="A","W",if(LEFT(VLOOKUP($B624,'Round 10'!$B$2:$H$362,7,false),1)="B","L","")),if(LEFT(VLOOKUP($B624,'Round 10'!$F$2:$H$362,3,false),1)="b","W",if(LEFT(VLOOKUP($B624,'Round 10'!$F$2:$H$362,3,false),1)="a","L",""))),"")</f>
        <v/>
      </c>
      <c r="N624" s="62" t="s">
        <v>1296</v>
      </c>
    </row>
    <row r="625">
      <c r="A625" s="63">
        <v>624.0</v>
      </c>
      <c r="B625" s="64" t="s">
        <v>1297</v>
      </c>
      <c r="C625" s="65" t="str">
        <f t="shared" si="1"/>
        <v>0 - 3</v>
      </c>
      <c r="D625" s="67" t="str">
        <f>iferror(if(LEFT(VLOOKUP($B625,'Round 1'!$B$2:$H$361,7,false),1)="A","W",if(LEFT(VLOOKUP($B625,'Round 1'!$B$2:$H$361,7,false),1)="B","L","")),if(LEFT(VLOOKUP($B625,'Round 1'!$F$2:$H$361,3,false),1)="b","W",if(LEFT(VLOOKUP($B625,'Round 1'!$F$2:$H$361,3,false),1)="a","L","")))</f>
        <v>L</v>
      </c>
      <c r="E625" s="67" t="str">
        <f>iferror(if(LEFT(VLOOKUP($B625,'Round 2'!$C$2:$J$361,8,false),1)="A","W",if(LEFT(VLOOKUP($B625,'Round 2'!$C$2:$J$361,8,false),1)="B","L","")),if(LEFT(VLOOKUP($B625,'Round 2'!$G$2:$J$361,4,false),1)="b","W",if(LEFT(VLOOKUP($B625,'Round 2'!$G$2:$J$361,4,false),1)="a","L","")))</f>
        <v>L</v>
      </c>
      <c r="F625" s="67" t="str">
        <f>iferror(if(LEFT(VLOOKUP($B625,'Round 3'!$B$2:$H$361,7,false),1)="A","W",if(LEFT(VLOOKUP($B625,'Round 3'!$B$2:$H$361,7,false),1)="B","L","")),if(LEFT(VLOOKUP($B625,'Round 3'!$F$2:$H$361,3,false),1)="b","W",if(LEFT(VLOOKUP($B625,'Round 3'!$F$2:$H$361,3,false),1)="a","L","")))</f>
        <v>L</v>
      </c>
      <c r="G625" s="67"/>
      <c r="H625" s="67"/>
      <c r="I625" s="67"/>
      <c r="J625" s="67" t="str">
        <f>iferror(iferror(if(LEFT(VLOOKUP($B625,'Round 7'!$B$2:$H$361,7,false),1)="A","W",if(LEFT(VLOOKUP($B625,'Round 7'!$B$2:$H$361,7,false),1)="B","L","")),if(LEFT(VLOOKUP($B625,'Round 7'!$F$2:$H$361,3,false),1)="b","W",if(LEFT(VLOOKUP($B625,'Round 7'!$F$2:$H$361,3,false),1)="a","L",""))),"")</f>
        <v/>
      </c>
      <c r="K625" s="68" t="str">
        <f>iferror(iferror(if(LEFT(VLOOKUP($B625,'Round 8'!$B$2:$H$361,7,false),1)="A","W",if(LEFT(VLOOKUP($B625,'Round 8'!$B$2:$H$361,7,false),1)="B","L","")),if(LEFT(VLOOKUP($B625,'Round 8'!$F$2:$H$361,3,false),1)="b","W",if(LEFT(VLOOKUP($B625,'Round 8'!$F$2:$H$361,3,false),1)="a","L",""))),"")</f>
        <v/>
      </c>
      <c r="L625" s="68" t="str">
        <f>iferror(iferror(if(LEFT(VLOOKUP($B625,'Round 9'!$B$2:$H$361,7,false),1)="A","W",if(LEFT(VLOOKUP($B625,'Round 9'!$B$2:$H$361,7,false),1)="B","L","")),if(LEFT(VLOOKUP($B625,'Round 9'!$F$2:$H$361,3,false),1)="b","W",if(LEFT(VLOOKUP($B625,'Round 9'!$F$2:$H$361,3,false),1)="a","L",""))),"")</f>
        <v/>
      </c>
      <c r="M625" s="68" t="str">
        <f>iferror(iferror(if(LEFT(VLOOKUP($B625,'Round 10'!$B$2:$H$362,7,false),1)="A","W",if(LEFT(VLOOKUP($B625,'Round 10'!$B$2:$H$362,7,false),1)="B","L","")),if(LEFT(VLOOKUP($B625,'Round 10'!$F$2:$H$362,3,false),1)="b","W",if(LEFT(VLOOKUP($B625,'Round 10'!$F$2:$H$362,3,false),1)="a","L",""))),"")</f>
        <v/>
      </c>
      <c r="N625" s="62" t="s">
        <v>1298</v>
      </c>
    </row>
    <row r="626">
      <c r="A626" s="63">
        <v>625.0</v>
      </c>
      <c r="B626" s="64" t="s">
        <v>1299</v>
      </c>
      <c r="C626" s="65" t="str">
        <f t="shared" si="1"/>
        <v>3 - 3</v>
      </c>
      <c r="D626" s="67" t="str">
        <f>iferror(if(LEFT(VLOOKUP($B626,'Round 1'!$B$2:$H$361,7,false),1)="A","W",if(LEFT(VLOOKUP($B626,'Round 1'!$B$2:$H$361,7,false),1)="B","L","")),if(LEFT(VLOOKUP($B626,'Round 1'!$F$2:$H$361,3,false),1)="b","W",if(LEFT(VLOOKUP($B626,'Round 1'!$F$2:$H$361,3,false),1)="a","L","")))</f>
        <v>L</v>
      </c>
      <c r="E626" s="67" t="str">
        <f>iferror(if(LEFT(VLOOKUP($B626,'Round 2'!$C$2:$J$361,8,false),1)="A","W",if(LEFT(VLOOKUP($B626,'Round 2'!$C$2:$J$361,8,false),1)="B","L","")),if(LEFT(VLOOKUP($B626,'Round 2'!$G$2:$J$361,4,false),1)="b","W",if(LEFT(VLOOKUP($B626,'Round 2'!$G$2:$J$361,4,false),1)="a","L","")))</f>
        <v>W</v>
      </c>
      <c r="F626" s="67" t="str">
        <f>iferror(if(LEFT(VLOOKUP($B626,'Round 3'!$B$2:$H$361,7,false),1)="A","W",if(LEFT(VLOOKUP($B626,'Round 3'!$B$2:$H$361,7,false),1)="B","L","")),if(LEFT(VLOOKUP($B626,'Round 3'!$F$2:$H$361,3,false),1)="b","W",if(LEFT(VLOOKUP($B626,'Round 3'!$F$2:$H$361,3,false),1)="a","L","")))</f>
        <v>L</v>
      </c>
      <c r="G626" s="67" t="str">
        <f>iferror(if(LEFT(VLOOKUP($B626,'Round 4'!$B$2:$H$361,7,false),1)="A","W",if(LEFT(VLOOKUP($B626,'Round 4'!$B$2:$H$361,7,false),1)="B","L","")),if(LEFT(VLOOKUP($B626,'Round 4'!$F$2:$H$361,3,false),1)="b","W",if(LEFT(VLOOKUP($B626,'Round 4'!$F$2:$H$361,3,false),1)="a","L","")))</f>
        <v>W</v>
      </c>
      <c r="H626" s="67" t="str">
        <f>iferror(if(LEFT(VLOOKUP($B626,'Round 5'!$B$2:$H$361,7,false),1)="A","W",if(LEFT(VLOOKUP($B626,'Round 5'!$B$2:$H$361,7,false),1)="B","L","")),if(LEFT(VLOOKUP($B626,'Round 5'!$F$2:$H$361,3,false),1)="b","W",if(LEFT(VLOOKUP($B626,'Round 5'!$F$2:$H$361,3,false),1)="a","L","")))</f>
        <v>W</v>
      </c>
      <c r="I626" s="67" t="str">
        <f>iferror(if(LEFT(VLOOKUP($B626,'Round 6'!$B$2:$H$361,7,false),1)="A","W",if(LEFT(VLOOKUP($B626,'Round 6'!$B$2:$H$361,7,false),1)="B","L","")),if(LEFT(VLOOKUP($B626,'Round 6'!$F$2:$H$361,3,false),1)="b","W",if(LEFT(VLOOKUP($B626,'Round 6'!$F$2:$H$361,3,false),1)="a","L","")))</f>
        <v>L</v>
      </c>
      <c r="J626" s="67" t="str">
        <f>iferror(iferror(if(LEFT(VLOOKUP($B626,'Round 7'!$B$2:$H$361,7,false),1)="A","W",if(LEFT(VLOOKUP($B626,'Round 7'!$B$2:$H$361,7,false),1)="B","L","")),if(LEFT(VLOOKUP($B626,'Round 7'!$F$2:$H$361,3,false),1)="b","W",if(LEFT(VLOOKUP($B626,'Round 7'!$F$2:$H$361,3,false),1)="a","L",""))),"")</f>
        <v/>
      </c>
      <c r="K626" s="68" t="str">
        <f>iferror(iferror(if(LEFT(VLOOKUP($B626,'Round 8'!$B$2:$H$361,7,false),1)="A","W",if(LEFT(VLOOKUP($B626,'Round 8'!$B$2:$H$361,7,false),1)="B","L","")),if(LEFT(VLOOKUP($B626,'Round 8'!$F$2:$H$361,3,false),1)="b","W",if(LEFT(VLOOKUP($B626,'Round 8'!$F$2:$H$361,3,false),1)="a","L",""))),"")</f>
        <v/>
      </c>
      <c r="L626" s="68" t="str">
        <f>iferror(iferror(if(LEFT(VLOOKUP($B626,'Round 9'!$B$2:$H$361,7,false),1)="A","W",if(LEFT(VLOOKUP($B626,'Round 9'!$B$2:$H$361,7,false),1)="B","L","")),if(LEFT(VLOOKUP($B626,'Round 9'!$F$2:$H$361,3,false),1)="b","W",if(LEFT(VLOOKUP($B626,'Round 9'!$F$2:$H$361,3,false),1)="a","L",""))),"")</f>
        <v/>
      </c>
      <c r="M626" s="68" t="str">
        <f>iferror(iferror(if(LEFT(VLOOKUP($B626,'Round 10'!$B$2:$H$362,7,false),1)="A","W",if(LEFT(VLOOKUP($B626,'Round 10'!$B$2:$H$362,7,false),1)="B","L","")),if(LEFT(VLOOKUP($B626,'Round 10'!$F$2:$H$362,3,false),1)="b","W",if(LEFT(VLOOKUP($B626,'Round 10'!$F$2:$H$362,3,false),1)="a","L",""))),"")</f>
        <v/>
      </c>
      <c r="N626" s="62" t="s">
        <v>1300</v>
      </c>
    </row>
    <row r="627">
      <c r="A627" s="63">
        <v>626.0</v>
      </c>
      <c r="B627" s="64" t="s">
        <v>1301</v>
      </c>
      <c r="C627" s="65" t="str">
        <f t="shared" si="1"/>
        <v>3 - 3</v>
      </c>
      <c r="D627" s="67" t="str">
        <f>iferror(if(LEFT(VLOOKUP($B627,'Round 1'!$B$2:$H$361,7,false),1)="A","W",if(LEFT(VLOOKUP($B627,'Round 1'!$B$2:$H$361,7,false),1)="B","L","")),if(LEFT(VLOOKUP($B627,'Round 1'!$F$2:$H$361,3,false),1)="b","W",if(LEFT(VLOOKUP($B627,'Round 1'!$F$2:$H$361,3,false),1)="a","L","")))</f>
        <v>L</v>
      </c>
      <c r="E627" s="67" t="str">
        <f>iferror(if(LEFT(VLOOKUP($B627,'Round 2'!$C$2:$J$361,8,false),1)="A","W",if(LEFT(VLOOKUP($B627,'Round 2'!$C$2:$J$361,8,false),1)="B","L","")),if(LEFT(VLOOKUP($B627,'Round 2'!$G$2:$J$361,4,false),1)="b","W",if(LEFT(VLOOKUP($B627,'Round 2'!$G$2:$J$361,4,false),1)="a","L","")))</f>
        <v>W</v>
      </c>
      <c r="F627" s="67" t="str">
        <f>iferror(if(LEFT(VLOOKUP($B627,'Round 3'!$B$2:$H$361,7,false),1)="A","W",if(LEFT(VLOOKUP($B627,'Round 3'!$B$2:$H$361,7,false),1)="B","L","")),if(LEFT(VLOOKUP($B627,'Round 3'!$F$2:$H$361,3,false),1)="b","W",if(LEFT(VLOOKUP($B627,'Round 3'!$F$2:$H$361,3,false),1)="a","L","")))</f>
        <v>W</v>
      </c>
      <c r="G627" s="67" t="str">
        <f>iferror(if(LEFT(VLOOKUP($B627,'Round 4'!$B$2:$H$361,7,false),1)="A","W",if(LEFT(VLOOKUP($B627,'Round 4'!$B$2:$H$361,7,false),1)="B","L","")),if(LEFT(VLOOKUP($B627,'Round 4'!$F$2:$H$361,3,false),1)="b","W",if(LEFT(VLOOKUP($B627,'Round 4'!$F$2:$H$361,3,false),1)="a","L","")))</f>
        <v>L</v>
      </c>
      <c r="H627" s="67" t="str">
        <f>iferror(if(LEFT(VLOOKUP($B627,'Round 5'!$B$2:$H$361,7,false),1)="A","W",if(LEFT(VLOOKUP($B627,'Round 5'!$B$2:$H$361,7,false),1)="B","L","")),if(LEFT(VLOOKUP($B627,'Round 5'!$F$2:$H$361,3,false),1)="b","W",if(LEFT(VLOOKUP($B627,'Round 5'!$F$2:$H$361,3,false),1)="a","L","")))</f>
        <v>W</v>
      </c>
      <c r="I627" s="67" t="str">
        <f>iferror(if(LEFT(VLOOKUP($B627,'Round 6'!$B$2:$H$361,7,false),1)="A","W",if(LEFT(VLOOKUP($B627,'Round 6'!$B$2:$H$361,7,false),1)="B","L","")),if(LEFT(VLOOKUP($B627,'Round 6'!$F$2:$H$361,3,false),1)="b","W",if(LEFT(VLOOKUP($B627,'Round 6'!$F$2:$H$361,3,false),1)="a","L","")))</f>
        <v>L</v>
      </c>
      <c r="J627" s="67" t="str">
        <f>iferror(iferror(if(LEFT(VLOOKUP($B627,'Round 7'!$B$2:$H$361,7,false),1)="A","W",if(LEFT(VLOOKUP($B627,'Round 7'!$B$2:$H$361,7,false),1)="B","L","")),if(LEFT(VLOOKUP($B627,'Round 7'!$F$2:$H$361,3,false),1)="b","W",if(LEFT(VLOOKUP($B627,'Round 7'!$F$2:$H$361,3,false),1)="a","L",""))),"")</f>
        <v/>
      </c>
      <c r="K627" s="68" t="str">
        <f>iferror(iferror(if(LEFT(VLOOKUP($B627,'Round 8'!$B$2:$H$361,7,false),1)="A","W",if(LEFT(VLOOKUP($B627,'Round 8'!$B$2:$H$361,7,false),1)="B","L","")),if(LEFT(VLOOKUP($B627,'Round 8'!$F$2:$H$361,3,false),1)="b","W",if(LEFT(VLOOKUP($B627,'Round 8'!$F$2:$H$361,3,false),1)="a","L",""))),"")</f>
        <v/>
      </c>
      <c r="L627" s="68" t="str">
        <f>iferror(iferror(if(LEFT(VLOOKUP($B627,'Round 9'!$B$2:$H$361,7,false),1)="A","W",if(LEFT(VLOOKUP($B627,'Round 9'!$B$2:$H$361,7,false),1)="B","L","")),if(LEFT(VLOOKUP($B627,'Round 9'!$F$2:$H$361,3,false),1)="b","W",if(LEFT(VLOOKUP($B627,'Round 9'!$F$2:$H$361,3,false),1)="a","L",""))),"")</f>
        <v/>
      </c>
      <c r="M627" s="68" t="str">
        <f>iferror(iferror(if(LEFT(VLOOKUP($B627,'Round 10'!$B$2:$H$362,7,false),1)="A","W",if(LEFT(VLOOKUP($B627,'Round 10'!$B$2:$H$362,7,false),1)="B","L","")),if(LEFT(VLOOKUP($B627,'Round 10'!$F$2:$H$362,3,false),1)="b","W",if(LEFT(VLOOKUP($B627,'Round 10'!$F$2:$H$362,3,false),1)="a","L",""))),"")</f>
        <v/>
      </c>
      <c r="N627" s="62" t="s">
        <v>1302</v>
      </c>
    </row>
    <row r="628">
      <c r="A628" s="63">
        <v>627.0</v>
      </c>
      <c r="B628" s="64" t="s">
        <v>1303</v>
      </c>
      <c r="C628" s="65" t="str">
        <f t="shared" si="1"/>
        <v>3 - 3</v>
      </c>
      <c r="D628" s="67" t="str">
        <f>iferror(if(LEFT(VLOOKUP($B628,'Round 1'!$B$2:$H$361,7,false),1)="A","W",if(LEFT(VLOOKUP($B628,'Round 1'!$B$2:$H$361,7,false),1)="B","L","")),if(LEFT(VLOOKUP($B628,'Round 1'!$F$2:$H$361,3,false),1)="b","W",if(LEFT(VLOOKUP($B628,'Round 1'!$F$2:$H$361,3,false),1)="a","L","")))</f>
        <v>W</v>
      </c>
      <c r="E628" s="67" t="str">
        <f>iferror(if(LEFT(VLOOKUP($B628,'Round 2'!$C$2:$J$361,8,false),1)="A","W",if(LEFT(VLOOKUP($B628,'Round 2'!$C$2:$J$361,8,false),1)="B","L","")),if(LEFT(VLOOKUP($B628,'Round 2'!$G$2:$J$361,4,false),1)="b","W",if(LEFT(VLOOKUP($B628,'Round 2'!$G$2:$J$361,4,false),1)="a","L","")))</f>
        <v>W</v>
      </c>
      <c r="F628" s="67" t="str">
        <f>iferror(if(LEFT(VLOOKUP($B628,'Round 3'!$B$2:$H$361,7,false),1)="A","W",if(LEFT(VLOOKUP($B628,'Round 3'!$B$2:$H$361,7,false),1)="B","L","")),if(LEFT(VLOOKUP($B628,'Round 3'!$F$2:$H$361,3,false),1)="b","W",if(LEFT(VLOOKUP($B628,'Round 3'!$F$2:$H$361,3,false),1)="a","L","")))</f>
        <v>W</v>
      </c>
      <c r="G628" s="67" t="str">
        <f>iferror(if(LEFT(VLOOKUP($B628,'Round 4'!$B$2:$H$361,7,false),1)="A","W",if(LEFT(VLOOKUP($B628,'Round 4'!$B$2:$H$361,7,false),1)="B","L","")),if(LEFT(VLOOKUP($B628,'Round 4'!$F$2:$H$361,3,false),1)="b","W",if(LEFT(VLOOKUP($B628,'Round 4'!$F$2:$H$361,3,false),1)="a","L","")))</f>
        <v>L</v>
      </c>
      <c r="H628" s="67" t="str">
        <f>iferror(if(LEFT(VLOOKUP($B628,'Round 5'!$B$2:$H$361,7,false),1)="A","W",if(LEFT(VLOOKUP($B628,'Round 5'!$B$2:$H$361,7,false),1)="B","L","")),if(LEFT(VLOOKUP($B628,'Round 5'!$F$2:$H$361,3,false),1)="b","W",if(LEFT(VLOOKUP($B628,'Round 5'!$F$2:$H$361,3,false),1)="a","L","")))</f>
        <v>L</v>
      </c>
      <c r="I628" s="67" t="str">
        <f>iferror(if(LEFT(VLOOKUP($B628,'Round 6'!$B$2:$H$361,7,false),1)="A","W",if(LEFT(VLOOKUP($B628,'Round 6'!$B$2:$H$361,7,false),1)="B","L","")),if(LEFT(VLOOKUP($B628,'Round 6'!$F$2:$H$361,3,false),1)="b","W",if(LEFT(VLOOKUP($B628,'Round 6'!$F$2:$H$361,3,false),1)="a","L","")))</f>
        <v>L</v>
      </c>
      <c r="J628" s="67" t="str">
        <f>iferror(iferror(if(LEFT(VLOOKUP($B628,'Round 7'!$B$2:$H$361,7,false),1)="A","W",if(LEFT(VLOOKUP($B628,'Round 7'!$B$2:$H$361,7,false),1)="B","L","")),if(LEFT(VLOOKUP($B628,'Round 7'!$F$2:$H$361,3,false),1)="b","W",if(LEFT(VLOOKUP($B628,'Round 7'!$F$2:$H$361,3,false),1)="a","L",""))),"")</f>
        <v/>
      </c>
      <c r="K628" s="68" t="str">
        <f>iferror(iferror(if(LEFT(VLOOKUP($B628,'Round 8'!$B$2:$H$361,7,false),1)="A","W",if(LEFT(VLOOKUP($B628,'Round 8'!$B$2:$H$361,7,false),1)="B","L","")),if(LEFT(VLOOKUP($B628,'Round 8'!$F$2:$H$361,3,false),1)="b","W",if(LEFT(VLOOKUP($B628,'Round 8'!$F$2:$H$361,3,false),1)="a","L",""))),"")</f>
        <v/>
      </c>
      <c r="L628" s="68" t="str">
        <f>iferror(iferror(if(LEFT(VLOOKUP($B628,'Round 9'!$B$2:$H$361,7,false),1)="A","W",if(LEFT(VLOOKUP($B628,'Round 9'!$B$2:$H$361,7,false),1)="B","L","")),if(LEFT(VLOOKUP($B628,'Round 9'!$F$2:$H$361,3,false),1)="b","W",if(LEFT(VLOOKUP($B628,'Round 9'!$F$2:$H$361,3,false),1)="a","L",""))),"")</f>
        <v/>
      </c>
      <c r="M628" s="68" t="str">
        <f>iferror(iferror(if(LEFT(VLOOKUP($B628,'Round 10'!$B$2:$H$362,7,false),1)="A","W",if(LEFT(VLOOKUP($B628,'Round 10'!$B$2:$H$362,7,false),1)="B","L","")),if(LEFT(VLOOKUP($B628,'Round 10'!$F$2:$H$362,3,false),1)="b","W",if(LEFT(VLOOKUP($B628,'Round 10'!$F$2:$H$362,3,false),1)="a","L",""))),"")</f>
        <v/>
      </c>
      <c r="N628" s="62" t="s">
        <v>1304</v>
      </c>
    </row>
    <row r="629">
      <c r="A629" s="63">
        <v>628.0</v>
      </c>
      <c r="B629" s="64" t="s">
        <v>1305</v>
      </c>
      <c r="C629" s="65" t="str">
        <f t="shared" si="1"/>
        <v>2 - 4</v>
      </c>
      <c r="D629" s="67" t="str">
        <f>iferror(if(LEFT(VLOOKUP($B629,'Round 1'!$B$2:$H$361,7,false),1)="A","W",if(LEFT(VLOOKUP($B629,'Round 1'!$B$2:$H$361,7,false),1)="B","L","")),if(LEFT(VLOOKUP($B629,'Round 1'!$F$2:$H$361,3,false),1)="b","W",if(LEFT(VLOOKUP($B629,'Round 1'!$F$2:$H$361,3,false),1)="a","L","")))</f>
        <v>L</v>
      </c>
      <c r="E629" s="67" t="str">
        <f>iferror(if(LEFT(VLOOKUP($B629,'Round 2'!$C$2:$J$361,8,false),1)="A","W",if(LEFT(VLOOKUP($B629,'Round 2'!$C$2:$J$361,8,false),1)="B","L","")),if(LEFT(VLOOKUP($B629,'Round 2'!$G$2:$J$361,4,false),1)="b","W",if(LEFT(VLOOKUP($B629,'Round 2'!$G$2:$J$361,4,false),1)="a","L","")))</f>
        <v>L</v>
      </c>
      <c r="F629" s="67" t="str">
        <f>iferror(if(LEFT(VLOOKUP($B629,'Round 3'!$B$2:$H$361,7,false),1)="A","W",if(LEFT(VLOOKUP($B629,'Round 3'!$B$2:$H$361,7,false),1)="B","L","")),if(LEFT(VLOOKUP($B629,'Round 3'!$F$2:$H$361,3,false),1)="b","W",if(LEFT(VLOOKUP($B629,'Round 3'!$F$2:$H$361,3,false),1)="a","L","")))</f>
        <v>L</v>
      </c>
      <c r="G629" s="67" t="str">
        <f>iferror(if(LEFT(VLOOKUP($B629,'Round 4'!$B$2:$H$361,7,false),1)="A","W",if(LEFT(VLOOKUP($B629,'Round 4'!$B$2:$H$361,7,false),1)="B","L","")),if(LEFT(VLOOKUP($B629,'Round 4'!$F$2:$H$361,3,false),1)="b","W",if(LEFT(VLOOKUP($B629,'Round 4'!$F$2:$H$361,3,false),1)="a","L","")))</f>
        <v>W</v>
      </c>
      <c r="H629" s="67" t="str">
        <f>iferror(if(LEFT(VLOOKUP($B629,'Round 5'!$B$2:$H$361,7,false),1)="A","W",if(LEFT(VLOOKUP($B629,'Round 5'!$B$2:$H$361,7,false),1)="B","L","")),if(LEFT(VLOOKUP($B629,'Round 5'!$F$2:$H$361,3,false),1)="b","W",if(LEFT(VLOOKUP($B629,'Round 5'!$F$2:$H$361,3,false),1)="a","L","")))</f>
        <v>W</v>
      </c>
      <c r="I629" s="67" t="str">
        <f>iferror(if(LEFT(VLOOKUP($B629,'Round 6'!$B$2:$H$361,7,false),1)="A","W",if(LEFT(VLOOKUP($B629,'Round 6'!$B$2:$H$361,7,false),1)="B","L","")),if(LEFT(VLOOKUP($B629,'Round 6'!$F$2:$H$361,3,false),1)="b","W",if(LEFT(VLOOKUP($B629,'Round 6'!$F$2:$H$361,3,false),1)="a","L","")))</f>
        <v>L</v>
      </c>
      <c r="J629" s="67" t="str">
        <f>iferror(iferror(if(LEFT(VLOOKUP($B629,'Round 7'!$B$2:$H$361,7,false),1)="A","W",if(LEFT(VLOOKUP($B629,'Round 7'!$B$2:$H$361,7,false),1)="B","L","")),if(LEFT(VLOOKUP($B629,'Round 7'!$F$2:$H$361,3,false),1)="b","W",if(LEFT(VLOOKUP($B629,'Round 7'!$F$2:$H$361,3,false),1)="a","L",""))),"")</f>
        <v/>
      </c>
      <c r="K629" s="68" t="str">
        <f>iferror(iferror(if(LEFT(VLOOKUP($B629,'Round 8'!$B$2:$H$361,7,false),1)="A","W",if(LEFT(VLOOKUP($B629,'Round 8'!$B$2:$H$361,7,false),1)="B","L","")),if(LEFT(VLOOKUP($B629,'Round 8'!$F$2:$H$361,3,false),1)="b","W",if(LEFT(VLOOKUP($B629,'Round 8'!$F$2:$H$361,3,false),1)="a","L",""))),"")</f>
        <v/>
      </c>
      <c r="L629" s="68" t="str">
        <f>iferror(iferror(if(LEFT(VLOOKUP($B629,'Round 9'!$B$2:$H$361,7,false),1)="A","W",if(LEFT(VLOOKUP($B629,'Round 9'!$B$2:$H$361,7,false),1)="B","L","")),if(LEFT(VLOOKUP($B629,'Round 9'!$F$2:$H$361,3,false),1)="b","W",if(LEFT(VLOOKUP($B629,'Round 9'!$F$2:$H$361,3,false),1)="a","L",""))),"")</f>
        <v/>
      </c>
      <c r="M629" s="68" t="str">
        <f>iferror(iferror(if(LEFT(VLOOKUP($B629,'Round 10'!$B$2:$H$362,7,false),1)="A","W",if(LEFT(VLOOKUP($B629,'Round 10'!$B$2:$H$362,7,false),1)="B","L","")),if(LEFT(VLOOKUP($B629,'Round 10'!$F$2:$H$362,3,false),1)="b","W",if(LEFT(VLOOKUP($B629,'Round 10'!$F$2:$H$362,3,false),1)="a","L",""))),"")</f>
        <v/>
      </c>
      <c r="N629" s="62" t="s">
        <v>1306</v>
      </c>
    </row>
    <row r="630">
      <c r="A630" s="63">
        <v>629.0</v>
      </c>
      <c r="B630" s="64" t="s">
        <v>1307</v>
      </c>
      <c r="C630" s="65" t="str">
        <f t="shared" si="1"/>
        <v>0 - 3</v>
      </c>
      <c r="D630" s="67" t="str">
        <f>iferror(if(LEFT(VLOOKUP($B630,'Round 1'!$B$2:$H$361,7,false),1)="A","W",if(LEFT(VLOOKUP($B630,'Round 1'!$B$2:$H$361,7,false),1)="B","L","")),if(LEFT(VLOOKUP($B630,'Round 1'!$F$2:$H$361,3,false),1)="b","W",if(LEFT(VLOOKUP($B630,'Round 1'!$F$2:$H$361,3,false),1)="a","L","")))</f>
        <v>L</v>
      </c>
      <c r="E630" s="67" t="str">
        <f>iferror(if(LEFT(VLOOKUP($B630,'Round 2'!$C$2:$J$361,8,false),1)="A","W",if(LEFT(VLOOKUP($B630,'Round 2'!$C$2:$J$361,8,false),1)="B","L","")),if(LEFT(VLOOKUP($B630,'Round 2'!$G$2:$J$361,4,false),1)="b","W",if(LEFT(VLOOKUP($B630,'Round 2'!$G$2:$J$361,4,false),1)="a","L","")))</f>
        <v>L</v>
      </c>
      <c r="F630" s="67" t="str">
        <f>iferror(if(LEFT(VLOOKUP($B630,'Round 3'!$B$2:$H$361,7,false),1)="A","W",if(LEFT(VLOOKUP($B630,'Round 3'!$B$2:$H$361,7,false),1)="B","L","")),if(LEFT(VLOOKUP($B630,'Round 3'!$F$2:$H$361,3,false),1)="b","W",if(LEFT(VLOOKUP($B630,'Round 3'!$F$2:$H$361,3,false),1)="a","L","")))</f>
        <v>L</v>
      </c>
      <c r="G630" s="67"/>
      <c r="H630" s="67"/>
      <c r="I630" s="67"/>
      <c r="J630" s="67" t="str">
        <f>iferror(iferror(if(LEFT(VLOOKUP($B630,'Round 7'!$B$2:$H$361,7,false),1)="A","W",if(LEFT(VLOOKUP($B630,'Round 7'!$B$2:$H$361,7,false),1)="B","L","")),if(LEFT(VLOOKUP($B630,'Round 7'!$F$2:$H$361,3,false),1)="b","W",if(LEFT(VLOOKUP($B630,'Round 7'!$F$2:$H$361,3,false),1)="a","L",""))),"")</f>
        <v/>
      </c>
      <c r="K630" s="68" t="str">
        <f>iferror(iferror(if(LEFT(VLOOKUP($B630,'Round 8'!$B$2:$H$361,7,false),1)="A","W",if(LEFT(VLOOKUP($B630,'Round 8'!$B$2:$H$361,7,false),1)="B","L","")),if(LEFT(VLOOKUP($B630,'Round 8'!$F$2:$H$361,3,false),1)="b","W",if(LEFT(VLOOKUP($B630,'Round 8'!$F$2:$H$361,3,false),1)="a","L",""))),"")</f>
        <v/>
      </c>
      <c r="L630" s="68" t="str">
        <f>iferror(iferror(if(LEFT(VLOOKUP($B630,'Round 9'!$B$2:$H$361,7,false),1)="A","W",if(LEFT(VLOOKUP($B630,'Round 9'!$B$2:$H$361,7,false),1)="B","L","")),if(LEFT(VLOOKUP($B630,'Round 9'!$F$2:$H$361,3,false),1)="b","W",if(LEFT(VLOOKUP($B630,'Round 9'!$F$2:$H$361,3,false),1)="a","L",""))),"")</f>
        <v/>
      </c>
      <c r="M630" s="68" t="str">
        <f>iferror(iferror(if(LEFT(VLOOKUP($B630,'Round 10'!$B$2:$H$362,7,false),1)="A","W",if(LEFT(VLOOKUP($B630,'Round 10'!$B$2:$H$362,7,false),1)="B","L","")),if(LEFT(VLOOKUP($B630,'Round 10'!$F$2:$H$362,3,false),1)="b","W",if(LEFT(VLOOKUP($B630,'Round 10'!$F$2:$H$362,3,false),1)="a","L",""))),"")</f>
        <v/>
      </c>
      <c r="N630" s="62" t="s">
        <v>1308</v>
      </c>
    </row>
    <row r="631">
      <c r="A631" s="63">
        <v>630.0</v>
      </c>
      <c r="B631" s="64" t="s">
        <v>1309</v>
      </c>
      <c r="C631" s="65" t="str">
        <f t="shared" si="1"/>
        <v>6 - 3</v>
      </c>
      <c r="D631" s="67" t="str">
        <f>iferror(if(LEFT(VLOOKUP($B631,'Round 1'!$B$2:$H$361,7,false),1)="A","W",if(LEFT(VLOOKUP($B631,'Round 1'!$B$2:$H$361,7,false),1)="B","L","")),if(LEFT(VLOOKUP($B631,'Round 1'!$F$2:$H$361,3,false),1)="b","W",if(LEFT(VLOOKUP($B631,'Round 1'!$F$2:$H$361,3,false),1)="a","L","")))</f>
        <v>L</v>
      </c>
      <c r="E631" s="67" t="str">
        <f>iferror(if(LEFT(VLOOKUP($B631,'Round 2'!$C$2:$J$361,8,false),1)="A","W",if(LEFT(VLOOKUP($B631,'Round 2'!$C$2:$J$361,8,false),1)="B","L","")),if(LEFT(VLOOKUP($B631,'Round 2'!$G$2:$J$361,4,false),1)="b","W",if(LEFT(VLOOKUP($B631,'Round 2'!$G$2:$J$361,4,false),1)="a","L","")))</f>
        <v>W</v>
      </c>
      <c r="F631" s="67" t="str">
        <f>iferror(if(LEFT(VLOOKUP($B631,'Round 3'!$B$2:$H$361,7,false),1)="A","W",if(LEFT(VLOOKUP($B631,'Round 3'!$B$2:$H$361,7,false),1)="B","L","")),if(LEFT(VLOOKUP($B631,'Round 3'!$F$2:$H$361,3,false),1)="b","W",if(LEFT(VLOOKUP($B631,'Round 3'!$F$2:$H$361,3,false),1)="a","L","")))</f>
        <v>W</v>
      </c>
      <c r="G631" s="67" t="str">
        <f>iferror(if(LEFT(VLOOKUP($B631,'Round 4'!$B$2:$H$361,7,false),1)="A","W",if(LEFT(VLOOKUP($B631,'Round 4'!$B$2:$H$361,7,false),1)="B","L","")),if(LEFT(VLOOKUP($B631,'Round 4'!$F$2:$H$361,3,false),1)="b","W",if(LEFT(VLOOKUP($B631,'Round 4'!$F$2:$H$361,3,false),1)="a","L","")))</f>
        <v>L</v>
      </c>
      <c r="H631" s="67" t="str">
        <f>iferror(if(LEFT(VLOOKUP($B631,'Round 5'!$B$2:$H$361,7,false),1)="A","W",if(LEFT(VLOOKUP($B631,'Round 5'!$B$2:$H$361,7,false),1)="B","L","")),if(LEFT(VLOOKUP($B631,'Round 5'!$F$2:$H$361,3,false),1)="b","W",if(LEFT(VLOOKUP($B631,'Round 5'!$F$2:$H$361,3,false),1)="a","L","")))</f>
        <v>W</v>
      </c>
      <c r="I631" s="67" t="str">
        <f>iferror(if(LEFT(VLOOKUP($B631,'Round 6'!$B$2:$H$361,7,false),1)="A","W",if(LEFT(VLOOKUP($B631,'Round 6'!$B$2:$H$361,7,false),1)="B","L","")),if(LEFT(VLOOKUP($B631,'Round 6'!$F$2:$H$361,3,false),1)="b","W",if(LEFT(VLOOKUP($B631,'Round 6'!$F$2:$H$361,3,false),1)="a","L","")))</f>
        <v>W</v>
      </c>
      <c r="J631" s="67" t="str">
        <f>iferror(iferror(if(LEFT(VLOOKUP($B631,'Round 7'!$B$2:$H$361,7,false),1)="A","W",if(LEFT(VLOOKUP($B631,'Round 7'!$B$2:$H$361,7,false),1)="B","L","")),if(LEFT(VLOOKUP($B631,'Round 7'!$F$2:$H$361,3,false),1)="b","W",if(LEFT(VLOOKUP($B631,'Round 7'!$F$2:$H$361,3,false),1)="a","L",""))),"")</f>
        <v>W</v>
      </c>
      <c r="K631" s="68" t="str">
        <f>iferror(iferror(if(LEFT(VLOOKUP($B631,'Round 8'!$B$2:$H$361,7,false),1)="A","W",if(LEFT(VLOOKUP($B631,'Round 8'!$B$2:$H$361,7,false),1)="B","L","")),if(LEFT(VLOOKUP($B631,'Round 8'!$F$2:$H$361,3,false),1)="b","W",if(LEFT(VLOOKUP($B631,'Round 8'!$F$2:$H$361,3,false),1)="a","L",""))),"")</f>
        <v>W</v>
      </c>
      <c r="L631" s="68" t="str">
        <f>iferror(iferror(if(LEFT(VLOOKUP($B631,'Round 9'!$B$2:$H$361,7,false),1)="A","W",if(LEFT(VLOOKUP($B631,'Round 9'!$B$2:$H$361,7,false),1)="B","L","")),if(LEFT(VLOOKUP($B631,'Round 9'!$F$2:$H$361,3,false),1)="b","W",if(LEFT(VLOOKUP($B631,'Round 9'!$F$2:$H$361,3,false),1)="a","L",""))),"")</f>
        <v>L</v>
      </c>
      <c r="M631" s="68" t="str">
        <f>iferror(iferror(if(LEFT(VLOOKUP($B631,'Round 10'!$B$2:$H$362,7,false),1)="A","W",if(LEFT(VLOOKUP($B631,'Round 10'!$B$2:$H$362,7,false),1)="B","L","")),if(LEFT(VLOOKUP($B631,'Round 10'!$F$2:$H$362,3,false),1)="b","W",if(LEFT(VLOOKUP($B631,'Round 10'!$F$2:$H$362,3,false),1)="a","L",""))),"")</f>
        <v/>
      </c>
      <c r="N631" s="62" t="s">
        <v>1310</v>
      </c>
    </row>
    <row r="632">
      <c r="A632" s="63">
        <v>631.0</v>
      </c>
      <c r="B632" s="64" t="s">
        <v>1311</v>
      </c>
      <c r="C632" s="65" t="str">
        <f t="shared" si="1"/>
        <v>1 - 3</v>
      </c>
      <c r="D632" s="67" t="str">
        <f>iferror(if(LEFT(VLOOKUP($B632,'Round 1'!$B$2:$H$361,7,false),1)="A","W",if(LEFT(VLOOKUP($B632,'Round 1'!$B$2:$H$361,7,false),1)="B","L","")),if(LEFT(VLOOKUP($B632,'Round 1'!$F$2:$H$361,3,false),1)="b","W",if(LEFT(VLOOKUP($B632,'Round 1'!$F$2:$H$361,3,false),1)="a","L","")))</f>
        <v>W</v>
      </c>
      <c r="E632" s="67" t="str">
        <f>iferror(if(LEFT(VLOOKUP($B632,'Round 2'!$C$2:$J$361,8,false),1)="A","W",if(LEFT(VLOOKUP($B632,'Round 2'!$C$2:$J$361,8,false),1)="B","L","")),if(LEFT(VLOOKUP($B632,'Round 2'!$G$2:$J$361,4,false),1)="b","W",if(LEFT(VLOOKUP($B632,'Round 2'!$G$2:$J$361,4,false),1)="a","L","")))</f>
        <v>L</v>
      </c>
      <c r="F632" s="67" t="str">
        <f>iferror(if(LEFT(VLOOKUP($B632,'Round 3'!$B$2:$H$361,7,false),1)="A","W",if(LEFT(VLOOKUP($B632,'Round 3'!$B$2:$H$361,7,false),1)="B","L","")),if(LEFT(VLOOKUP($B632,'Round 3'!$F$2:$H$361,3,false),1)="b","W",if(LEFT(VLOOKUP($B632,'Round 3'!$F$2:$H$361,3,false),1)="a","L","")))</f>
        <v>L</v>
      </c>
      <c r="G632" s="67" t="str">
        <f>iferror(if(LEFT(VLOOKUP($B632,'Round 4'!$B$2:$H$361,7,false),1)="A","W",if(LEFT(VLOOKUP($B632,'Round 4'!$B$2:$H$361,7,false),1)="B","L","")),if(LEFT(VLOOKUP($B632,'Round 4'!$F$2:$H$361,3,false),1)="b","W",if(LEFT(VLOOKUP($B632,'Round 4'!$F$2:$H$361,3,false),1)="a","L","")))</f>
        <v>L</v>
      </c>
      <c r="H632" s="67"/>
      <c r="I632" s="67"/>
      <c r="J632" s="67" t="str">
        <f>iferror(iferror(if(LEFT(VLOOKUP($B632,'Round 7'!$B$2:$H$361,7,false),1)="A","W",if(LEFT(VLOOKUP($B632,'Round 7'!$B$2:$H$361,7,false),1)="B","L","")),if(LEFT(VLOOKUP($B632,'Round 7'!$F$2:$H$361,3,false),1)="b","W",if(LEFT(VLOOKUP($B632,'Round 7'!$F$2:$H$361,3,false),1)="a","L",""))),"")</f>
        <v/>
      </c>
      <c r="K632" s="68" t="str">
        <f>iferror(iferror(if(LEFT(VLOOKUP($B632,'Round 8'!$B$2:$H$361,7,false),1)="A","W",if(LEFT(VLOOKUP($B632,'Round 8'!$B$2:$H$361,7,false),1)="B","L","")),if(LEFT(VLOOKUP($B632,'Round 8'!$F$2:$H$361,3,false),1)="b","W",if(LEFT(VLOOKUP($B632,'Round 8'!$F$2:$H$361,3,false),1)="a","L",""))),"")</f>
        <v/>
      </c>
      <c r="L632" s="68" t="str">
        <f>iferror(iferror(if(LEFT(VLOOKUP($B632,'Round 9'!$B$2:$H$361,7,false),1)="A","W",if(LEFT(VLOOKUP($B632,'Round 9'!$B$2:$H$361,7,false),1)="B","L","")),if(LEFT(VLOOKUP($B632,'Round 9'!$F$2:$H$361,3,false),1)="b","W",if(LEFT(VLOOKUP($B632,'Round 9'!$F$2:$H$361,3,false),1)="a","L",""))),"")</f>
        <v/>
      </c>
      <c r="M632" s="68" t="str">
        <f>iferror(iferror(if(LEFT(VLOOKUP($B632,'Round 10'!$B$2:$H$362,7,false),1)="A","W",if(LEFT(VLOOKUP($B632,'Round 10'!$B$2:$H$362,7,false),1)="B","L","")),if(LEFT(VLOOKUP($B632,'Round 10'!$F$2:$H$362,3,false),1)="b","W",if(LEFT(VLOOKUP($B632,'Round 10'!$F$2:$H$362,3,false),1)="a","L",""))),"")</f>
        <v/>
      </c>
      <c r="N632" s="62" t="s">
        <v>1312</v>
      </c>
    </row>
    <row r="633">
      <c r="A633" s="63">
        <v>632.0</v>
      </c>
      <c r="B633" s="64" t="s">
        <v>1313</v>
      </c>
      <c r="C633" s="65" t="str">
        <f t="shared" si="1"/>
        <v>0 - 3</v>
      </c>
      <c r="D633" s="67" t="str">
        <f>iferror(if(LEFT(VLOOKUP($B633,'Round 1'!$B$2:$H$361,7,false),1)="A","W",if(LEFT(VLOOKUP($B633,'Round 1'!$B$2:$H$361,7,false),1)="B","L","")),if(LEFT(VLOOKUP($B633,'Round 1'!$F$2:$H$361,3,false),1)="b","W",if(LEFT(VLOOKUP($B633,'Round 1'!$F$2:$H$361,3,false),1)="a","L","")))</f>
        <v>L</v>
      </c>
      <c r="E633" s="67" t="str">
        <f>iferror(if(LEFT(VLOOKUP($B633,'Round 2'!$C$2:$J$361,8,false),1)="A","W",if(LEFT(VLOOKUP($B633,'Round 2'!$C$2:$J$361,8,false),1)="B","L","")),if(LEFT(VLOOKUP($B633,'Round 2'!$G$2:$J$361,4,false),1)="b","W",if(LEFT(VLOOKUP($B633,'Round 2'!$G$2:$J$361,4,false),1)="a","L","")))</f>
        <v>L</v>
      </c>
      <c r="F633" s="67" t="str">
        <f>iferror(if(LEFT(VLOOKUP($B633,'Round 3'!$B$2:$H$361,7,false),1)="A","W",if(LEFT(VLOOKUP($B633,'Round 3'!$B$2:$H$361,7,false),1)="B","L","")),if(LEFT(VLOOKUP($B633,'Round 3'!$F$2:$H$361,3,false),1)="b","W",if(LEFT(VLOOKUP($B633,'Round 3'!$F$2:$H$361,3,false),1)="a","L","")))</f>
        <v>L</v>
      </c>
      <c r="G633" s="67"/>
      <c r="H633" s="67"/>
      <c r="I633" s="67"/>
      <c r="J633" s="67" t="str">
        <f>iferror(iferror(if(LEFT(VLOOKUP($B633,'Round 7'!$B$2:$H$361,7,false),1)="A","W",if(LEFT(VLOOKUP($B633,'Round 7'!$B$2:$H$361,7,false),1)="B","L","")),if(LEFT(VLOOKUP($B633,'Round 7'!$F$2:$H$361,3,false),1)="b","W",if(LEFT(VLOOKUP($B633,'Round 7'!$F$2:$H$361,3,false),1)="a","L",""))),"")</f>
        <v/>
      </c>
      <c r="K633" s="68" t="str">
        <f>iferror(iferror(if(LEFT(VLOOKUP($B633,'Round 8'!$B$2:$H$361,7,false),1)="A","W",if(LEFT(VLOOKUP($B633,'Round 8'!$B$2:$H$361,7,false),1)="B","L","")),if(LEFT(VLOOKUP($B633,'Round 8'!$F$2:$H$361,3,false),1)="b","W",if(LEFT(VLOOKUP($B633,'Round 8'!$F$2:$H$361,3,false),1)="a","L",""))),"")</f>
        <v/>
      </c>
      <c r="L633" s="68" t="str">
        <f>iferror(iferror(if(LEFT(VLOOKUP($B633,'Round 9'!$B$2:$H$361,7,false),1)="A","W",if(LEFT(VLOOKUP($B633,'Round 9'!$B$2:$H$361,7,false),1)="B","L","")),if(LEFT(VLOOKUP($B633,'Round 9'!$F$2:$H$361,3,false),1)="b","W",if(LEFT(VLOOKUP($B633,'Round 9'!$F$2:$H$361,3,false),1)="a","L",""))),"")</f>
        <v/>
      </c>
      <c r="M633" s="68" t="str">
        <f>iferror(iferror(if(LEFT(VLOOKUP($B633,'Round 10'!$B$2:$H$362,7,false),1)="A","W",if(LEFT(VLOOKUP($B633,'Round 10'!$B$2:$H$362,7,false),1)="B","L","")),if(LEFT(VLOOKUP($B633,'Round 10'!$F$2:$H$362,3,false),1)="b","W",if(LEFT(VLOOKUP($B633,'Round 10'!$F$2:$H$362,3,false),1)="a","L",""))),"")</f>
        <v/>
      </c>
      <c r="N633" s="62" t="s">
        <v>1314</v>
      </c>
    </row>
    <row r="634">
      <c r="A634" s="63">
        <v>633.0</v>
      </c>
      <c r="B634" s="64" t="s">
        <v>1315</v>
      </c>
      <c r="C634" s="65" t="str">
        <f t="shared" si="1"/>
        <v>3 - 3</v>
      </c>
      <c r="D634" s="67" t="str">
        <f>iferror(if(LEFT(VLOOKUP($B634,'Round 1'!$B$2:$H$361,7,false),1)="A","W",if(LEFT(VLOOKUP($B634,'Round 1'!$B$2:$H$361,7,false),1)="B","L","")),if(LEFT(VLOOKUP($B634,'Round 1'!$F$2:$H$361,3,false),1)="b","W",if(LEFT(VLOOKUP($B634,'Round 1'!$F$2:$H$361,3,false),1)="a","L","")))</f>
        <v>W</v>
      </c>
      <c r="E634" s="67" t="str">
        <f>iferror(if(LEFT(VLOOKUP($B634,'Round 2'!$C$2:$J$361,8,false),1)="A","W",if(LEFT(VLOOKUP($B634,'Round 2'!$C$2:$J$361,8,false),1)="B","L","")),if(LEFT(VLOOKUP($B634,'Round 2'!$G$2:$J$361,4,false),1)="b","W",if(LEFT(VLOOKUP($B634,'Round 2'!$G$2:$J$361,4,false),1)="a","L","")))</f>
        <v>L</v>
      </c>
      <c r="F634" s="67" t="str">
        <f>iferror(if(LEFT(VLOOKUP($B634,'Round 3'!$B$2:$H$361,7,false),1)="A","W",if(LEFT(VLOOKUP($B634,'Round 3'!$B$2:$H$361,7,false),1)="B","L","")),if(LEFT(VLOOKUP($B634,'Round 3'!$F$2:$H$361,3,false),1)="b","W",if(LEFT(VLOOKUP($B634,'Round 3'!$F$2:$H$361,3,false),1)="a","L","")))</f>
        <v>W</v>
      </c>
      <c r="G634" s="67" t="str">
        <f>iferror(if(LEFT(VLOOKUP($B634,'Round 4'!$B$2:$H$361,7,false),1)="A","W",if(LEFT(VLOOKUP($B634,'Round 4'!$B$2:$H$361,7,false),1)="B","L","")),if(LEFT(VLOOKUP($B634,'Round 4'!$F$2:$H$361,3,false),1)="b","W",if(LEFT(VLOOKUP($B634,'Round 4'!$F$2:$H$361,3,false),1)="a","L","")))</f>
        <v>W</v>
      </c>
      <c r="H634" s="67" t="str">
        <f>iferror(if(LEFT(VLOOKUP($B634,'Round 5'!$B$2:$H$361,7,false),1)="A","W",if(LEFT(VLOOKUP($B634,'Round 5'!$B$2:$H$361,7,false),1)="B","L","")),if(LEFT(VLOOKUP($B634,'Round 5'!$F$2:$H$361,3,false),1)="b","W",if(LEFT(VLOOKUP($B634,'Round 5'!$F$2:$H$361,3,false),1)="a","L","")))</f>
        <v>L</v>
      </c>
      <c r="I634" s="67" t="str">
        <f>iferror(if(LEFT(VLOOKUP($B634,'Round 6'!$B$2:$H$361,7,false),1)="A","W",if(LEFT(VLOOKUP($B634,'Round 6'!$B$2:$H$361,7,false),1)="B","L","")),if(LEFT(VLOOKUP($B634,'Round 6'!$F$2:$H$361,3,false),1)="b","W",if(LEFT(VLOOKUP($B634,'Round 6'!$F$2:$H$361,3,false),1)="a","L","")))</f>
        <v>L</v>
      </c>
      <c r="J634" s="67" t="str">
        <f>iferror(iferror(if(LEFT(VLOOKUP($B634,'Round 7'!$B$2:$H$361,7,false),1)="A","W",if(LEFT(VLOOKUP($B634,'Round 7'!$B$2:$H$361,7,false),1)="B","L","")),if(LEFT(VLOOKUP($B634,'Round 7'!$F$2:$H$361,3,false),1)="b","W",if(LEFT(VLOOKUP($B634,'Round 7'!$F$2:$H$361,3,false),1)="a","L",""))),"")</f>
        <v/>
      </c>
      <c r="K634" s="68" t="str">
        <f>iferror(iferror(if(LEFT(VLOOKUP($B634,'Round 8'!$B$2:$H$361,7,false),1)="A","W",if(LEFT(VLOOKUP($B634,'Round 8'!$B$2:$H$361,7,false),1)="B","L","")),if(LEFT(VLOOKUP($B634,'Round 8'!$F$2:$H$361,3,false),1)="b","W",if(LEFT(VLOOKUP($B634,'Round 8'!$F$2:$H$361,3,false),1)="a","L",""))),"")</f>
        <v/>
      </c>
      <c r="L634" s="68" t="str">
        <f>iferror(iferror(if(LEFT(VLOOKUP($B634,'Round 9'!$B$2:$H$361,7,false),1)="A","W",if(LEFT(VLOOKUP($B634,'Round 9'!$B$2:$H$361,7,false),1)="B","L","")),if(LEFT(VLOOKUP($B634,'Round 9'!$F$2:$H$361,3,false),1)="b","W",if(LEFT(VLOOKUP($B634,'Round 9'!$F$2:$H$361,3,false),1)="a","L",""))),"")</f>
        <v/>
      </c>
      <c r="M634" s="68" t="str">
        <f>iferror(iferror(if(LEFT(VLOOKUP($B634,'Round 10'!$B$2:$H$362,7,false),1)="A","W",if(LEFT(VLOOKUP($B634,'Round 10'!$B$2:$H$362,7,false),1)="B","L","")),if(LEFT(VLOOKUP($B634,'Round 10'!$F$2:$H$362,3,false),1)="b","W",if(LEFT(VLOOKUP($B634,'Round 10'!$F$2:$H$362,3,false),1)="a","L",""))),"")</f>
        <v/>
      </c>
      <c r="N634" s="62" t="s">
        <v>1316</v>
      </c>
    </row>
    <row r="635">
      <c r="A635" s="63">
        <v>634.0</v>
      </c>
      <c r="B635" s="64" t="s">
        <v>1317</v>
      </c>
      <c r="C635" s="65" t="str">
        <f t="shared" si="1"/>
        <v>1 - 3</v>
      </c>
      <c r="D635" s="67" t="str">
        <f>iferror(if(LEFT(VLOOKUP($B635,'Round 1'!$B$2:$H$361,7,false),1)="A","W",if(LEFT(VLOOKUP($B635,'Round 1'!$B$2:$H$361,7,false),1)="B","L","")),if(LEFT(VLOOKUP($B635,'Round 1'!$F$2:$H$361,3,false),1)="b","W",if(LEFT(VLOOKUP($B635,'Round 1'!$F$2:$H$361,3,false),1)="a","L","")))</f>
        <v>L</v>
      </c>
      <c r="E635" s="67" t="str">
        <f>iferror(if(LEFT(VLOOKUP($B635,'Round 2'!$C$2:$J$361,8,false),1)="A","W",if(LEFT(VLOOKUP($B635,'Round 2'!$C$2:$J$361,8,false),1)="B","L","")),if(LEFT(VLOOKUP($B635,'Round 2'!$G$2:$J$361,4,false),1)="b","W",if(LEFT(VLOOKUP($B635,'Round 2'!$G$2:$J$361,4,false),1)="a","L","")))</f>
        <v>L</v>
      </c>
      <c r="F635" s="67" t="str">
        <f>iferror(if(LEFT(VLOOKUP($B635,'Round 3'!$B$2:$H$361,7,false),1)="A","W",if(LEFT(VLOOKUP($B635,'Round 3'!$B$2:$H$361,7,false),1)="B","L","")),if(LEFT(VLOOKUP($B635,'Round 3'!$F$2:$H$361,3,false),1)="b","W",if(LEFT(VLOOKUP($B635,'Round 3'!$F$2:$H$361,3,false),1)="a","L","")))</f>
        <v>W</v>
      </c>
      <c r="G635" s="67" t="str">
        <f>iferror(if(LEFT(VLOOKUP($B635,'Round 4'!$B$2:$H$361,7,false),1)="A","W",if(LEFT(VLOOKUP($B635,'Round 4'!$B$2:$H$361,7,false),1)="B","L","")),if(LEFT(VLOOKUP($B635,'Round 4'!$F$2:$H$361,3,false),1)="b","W",if(LEFT(VLOOKUP($B635,'Round 4'!$F$2:$H$361,3,false),1)="a","L","")))</f>
        <v>L</v>
      </c>
      <c r="H635" s="67"/>
      <c r="I635" s="67"/>
      <c r="J635" s="67" t="str">
        <f>iferror(iferror(if(LEFT(VLOOKUP($B635,'Round 7'!$B$2:$H$361,7,false),1)="A","W",if(LEFT(VLOOKUP($B635,'Round 7'!$B$2:$H$361,7,false),1)="B","L","")),if(LEFT(VLOOKUP($B635,'Round 7'!$F$2:$H$361,3,false),1)="b","W",if(LEFT(VLOOKUP($B635,'Round 7'!$F$2:$H$361,3,false),1)="a","L",""))),"")</f>
        <v/>
      </c>
      <c r="K635" s="68" t="str">
        <f>iferror(iferror(if(LEFT(VLOOKUP($B635,'Round 8'!$B$2:$H$361,7,false),1)="A","W",if(LEFT(VLOOKUP($B635,'Round 8'!$B$2:$H$361,7,false),1)="B","L","")),if(LEFT(VLOOKUP($B635,'Round 8'!$F$2:$H$361,3,false),1)="b","W",if(LEFT(VLOOKUP($B635,'Round 8'!$F$2:$H$361,3,false),1)="a","L",""))),"")</f>
        <v/>
      </c>
      <c r="L635" s="68" t="str">
        <f>iferror(iferror(if(LEFT(VLOOKUP($B635,'Round 9'!$B$2:$H$361,7,false),1)="A","W",if(LEFT(VLOOKUP($B635,'Round 9'!$B$2:$H$361,7,false),1)="B","L","")),if(LEFT(VLOOKUP($B635,'Round 9'!$F$2:$H$361,3,false),1)="b","W",if(LEFT(VLOOKUP($B635,'Round 9'!$F$2:$H$361,3,false),1)="a","L",""))),"")</f>
        <v/>
      </c>
      <c r="M635" s="68" t="str">
        <f>iferror(iferror(if(LEFT(VLOOKUP($B635,'Round 10'!$B$2:$H$362,7,false),1)="A","W",if(LEFT(VLOOKUP($B635,'Round 10'!$B$2:$H$362,7,false),1)="B","L","")),if(LEFT(VLOOKUP($B635,'Round 10'!$F$2:$H$362,3,false),1)="b","W",if(LEFT(VLOOKUP($B635,'Round 10'!$F$2:$H$362,3,false),1)="a","L",""))),"")</f>
        <v/>
      </c>
      <c r="N635" s="62" t="s">
        <v>1318</v>
      </c>
    </row>
    <row r="636">
      <c r="A636" s="63">
        <v>635.0</v>
      </c>
      <c r="B636" s="64" t="s">
        <v>1319</v>
      </c>
      <c r="C636" s="65" t="str">
        <f t="shared" si="1"/>
        <v>5 - 3</v>
      </c>
      <c r="D636" s="67" t="str">
        <f>iferror(if(LEFT(VLOOKUP($B636,'Round 1'!$B$2:$H$361,7,false),1)="A","W",if(LEFT(VLOOKUP($B636,'Round 1'!$B$2:$H$361,7,false),1)="B","L","")),if(LEFT(VLOOKUP($B636,'Round 1'!$F$2:$H$361,3,false),1)="b","W",if(LEFT(VLOOKUP($B636,'Round 1'!$F$2:$H$361,3,false),1)="a","L","")))</f>
        <v>W</v>
      </c>
      <c r="E636" s="67" t="str">
        <f>iferror(if(LEFT(VLOOKUP($B636,'Round 2'!$C$2:$J$361,8,false),1)="A","W",if(LEFT(VLOOKUP($B636,'Round 2'!$C$2:$J$361,8,false),1)="B","L","")),if(LEFT(VLOOKUP($B636,'Round 2'!$G$2:$J$361,4,false),1)="b","W",if(LEFT(VLOOKUP($B636,'Round 2'!$G$2:$J$361,4,false),1)="a","L","")))</f>
        <v>L</v>
      </c>
      <c r="F636" s="67" t="str">
        <f>iferror(if(LEFT(VLOOKUP($B636,'Round 3'!$B$2:$H$361,7,false),1)="A","W",if(LEFT(VLOOKUP($B636,'Round 3'!$B$2:$H$361,7,false),1)="B","L","")),if(LEFT(VLOOKUP($B636,'Round 3'!$F$2:$H$361,3,false),1)="b","W",if(LEFT(VLOOKUP($B636,'Round 3'!$F$2:$H$361,3,false),1)="a","L","")))</f>
        <v>W</v>
      </c>
      <c r="G636" s="67" t="str">
        <f>iferror(if(LEFT(VLOOKUP($B636,'Round 4'!$B$2:$H$361,7,false),1)="A","W",if(LEFT(VLOOKUP($B636,'Round 4'!$B$2:$H$361,7,false),1)="B","L","")),if(LEFT(VLOOKUP($B636,'Round 4'!$F$2:$H$361,3,false),1)="b","W",if(LEFT(VLOOKUP($B636,'Round 4'!$F$2:$H$361,3,false),1)="a","L","")))</f>
        <v>W</v>
      </c>
      <c r="H636" s="67" t="str">
        <f>iferror(if(LEFT(VLOOKUP($B636,'Round 5'!$B$2:$H$361,7,false),1)="A","W",if(LEFT(VLOOKUP($B636,'Round 5'!$B$2:$H$361,7,false),1)="B","L","")),if(LEFT(VLOOKUP($B636,'Round 5'!$F$2:$H$361,3,false),1)="b","W",if(LEFT(VLOOKUP($B636,'Round 5'!$F$2:$H$361,3,false),1)="a","L","")))</f>
        <v>L</v>
      </c>
      <c r="I636" s="67" t="str">
        <f>iferror(if(LEFT(VLOOKUP($B636,'Round 6'!$B$2:$H$361,7,false),1)="A","W",if(LEFT(VLOOKUP($B636,'Round 6'!$B$2:$H$361,7,false),1)="B","L","")),if(LEFT(VLOOKUP($B636,'Round 6'!$F$2:$H$361,3,false),1)="b","W",if(LEFT(VLOOKUP($B636,'Round 6'!$F$2:$H$361,3,false),1)="a","L","")))</f>
        <v>W</v>
      </c>
      <c r="J636" s="67" t="str">
        <f>iferror(iferror(if(LEFT(VLOOKUP($B636,'Round 7'!$B$2:$H$361,7,false),1)="A","W",if(LEFT(VLOOKUP($B636,'Round 7'!$B$2:$H$361,7,false),1)="B","L","")),if(LEFT(VLOOKUP($B636,'Round 7'!$F$2:$H$361,3,false),1)="b","W",if(LEFT(VLOOKUP($B636,'Round 7'!$F$2:$H$361,3,false),1)="a","L",""))),"")</f>
        <v>W</v>
      </c>
      <c r="K636" s="68" t="str">
        <f>iferror(iferror(if(LEFT(VLOOKUP($B636,'Round 8'!$B$2:$H$361,7,false),1)="A","W",if(LEFT(VLOOKUP($B636,'Round 8'!$B$2:$H$361,7,false),1)="B","L","")),if(LEFT(VLOOKUP($B636,'Round 8'!$F$2:$H$361,3,false),1)="b","W",if(LEFT(VLOOKUP($B636,'Round 8'!$F$2:$H$361,3,false),1)="a","L",""))),"")</f>
        <v>L</v>
      </c>
      <c r="L636" s="68" t="str">
        <f>iferror(iferror(if(LEFT(VLOOKUP($B636,'Round 9'!$B$2:$H$361,7,false),1)="A","W",if(LEFT(VLOOKUP($B636,'Round 9'!$B$2:$H$361,7,false),1)="B","L","")),if(LEFT(VLOOKUP($B636,'Round 9'!$F$2:$H$361,3,false),1)="b","W",if(LEFT(VLOOKUP($B636,'Round 9'!$F$2:$H$361,3,false),1)="a","L",""))),"")</f>
        <v/>
      </c>
      <c r="M636" s="68" t="str">
        <f>iferror(iferror(if(LEFT(VLOOKUP($B636,'Round 10'!$B$2:$H$362,7,false),1)="A","W",if(LEFT(VLOOKUP($B636,'Round 10'!$B$2:$H$362,7,false),1)="B","L","")),if(LEFT(VLOOKUP($B636,'Round 10'!$F$2:$H$362,3,false),1)="b","W",if(LEFT(VLOOKUP($B636,'Round 10'!$F$2:$H$362,3,false),1)="a","L",""))),"")</f>
        <v/>
      </c>
      <c r="N636" s="62" t="s">
        <v>1320</v>
      </c>
    </row>
    <row r="637">
      <c r="A637" s="63">
        <v>636.0</v>
      </c>
      <c r="B637" s="64" t="s">
        <v>1321</v>
      </c>
      <c r="C637" s="65" t="str">
        <f t="shared" si="1"/>
        <v>2 - 3</v>
      </c>
      <c r="D637" s="67" t="str">
        <f>iferror(if(LEFT(VLOOKUP($B637,'Round 1'!$B$2:$H$361,7,false),1)="A","W",if(LEFT(VLOOKUP($B637,'Round 1'!$B$2:$H$361,7,false),1)="B","L","")),if(LEFT(VLOOKUP($B637,'Round 1'!$F$2:$H$361,3,false),1)="b","W",if(LEFT(VLOOKUP($B637,'Round 1'!$F$2:$H$361,3,false),1)="a","L","")))</f>
        <v>W</v>
      </c>
      <c r="E637" s="67" t="str">
        <f>iferror(if(LEFT(VLOOKUP($B637,'Round 2'!$C$2:$J$361,8,false),1)="A","W",if(LEFT(VLOOKUP($B637,'Round 2'!$C$2:$J$361,8,false),1)="B","L","")),if(LEFT(VLOOKUP($B637,'Round 2'!$G$2:$J$361,4,false),1)="b","W",if(LEFT(VLOOKUP($B637,'Round 2'!$G$2:$J$361,4,false),1)="a","L","")))</f>
        <v>W</v>
      </c>
      <c r="F637" s="67" t="str">
        <f>iferror(if(LEFT(VLOOKUP($B637,'Round 3'!$B$2:$H$361,7,false),1)="A","W",if(LEFT(VLOOKUP($B637,'Round 3'!$B$2:$H$361,7,false),1)="B","L","")),if(LEFT(VLOOKUP($B637,'Round 3'!$F$2:$H$361,3,false),1)="b","W",if(LEFT(VLOOKUP($B637,'Round 3'!$F$2:$H$361,3,false),1)="a","L","")))</f>
        <v>L</v>
      </c>
      <c r="G637" s="67" t="str">
        <f>iferror(if(LEFT(VLOOKUP($B637,'Round 4'!$B$2:$H$361,7,false),1)="A","W",if(LEFT(VLOOKUP($B637,'Round 4'!$B$2:$H$361,7,false),1)="B","L","")),if(LEFT(VLOOKUP($B637,'Round 4'!$F$2:$H$361,3,false),1)="b","W",if(LEFT(VLOOKUP($B637,'Round 4'!$F$2:$H$361,3,false),1)="a","L","")))</f>
        <v>L</v>
      </c>
      <c r="H637" s="67" t="str">
        <f>iferror(if(LEFT(VLOOKUP($B637,'Round 5'!$B$2:$H$361,7,false),1)="A","W",if(LEFT(VLOOKUP($B637,'Round 5'!$B$2:$H$361,7,false),1)="B","L","")),if(LEFT(VLOOKUP($B637,'Round 5'!$F$2:$H$361,3,false),1)="b","W",if(LEFT(VLOOKUP($B637,'Round 5'!$F$2:$H$361,3,false),1)="a","L","")))</f>
        <v>L</v>
      </c>
      <c r="I637" s="67"/>
      <c r="J637" s="67" t="str">
        <f>iferror(iferror(if(LEFT(VLOOKUP($B637,'Round 7'!$B$2:$H$361,7,false),1)="A","W",if(LEFT(VLOOKUP($B637,'Round 7'!$B$2:$H$361,7,false),1)="B","L","")),if(LEFT(VLOOKUP($B637,'Round 7'!$F$2:$H$361,3,false),1)="b","W",if(LEFT(VLOOKUP($B637,'Round 7'!$F$2:$H$361,3,false),1)="a","L",""))),"")</f>
        <v/>
      </c>
      <c r="K637" s="68" t="str">
        <f>iferror(iferror(if(LEFT(VLOOKUP($B637,'Round 8'!$B$2:$H$361,7,false),1)="A","W",if(LEFT(VLOOKUP($B637,'Round 8'!$B$2:$H$361,7,false),1)="B","L","")),if(LEFT(VLOOKUP($B637,'Round 8'!$F$2:$H$361,3,false),1)="b","W",if(LEFT(VLOOKUP($B637,'Round 8'!$F$2:$H$361,3,false),1)="a","L",""))),"")</f>
        <v/>
      </c>
      <c r="L637" s="68" t="str">
        <f>iferror(iferror(if(LEFT(VLOOKUP($B637,'Round 9'!$B$2:$H$361,7,false),1)="A","W",if(LEFT(VLOOKUP($B637,'Round 9'!$B$2:$H$361,7,false),1)="B","L","")),if(LEFT(VLOOKUP($B637,'Round 9'!$F$2:$H$361,3,false),1)="b","W",if(LEFT(VLOOKUP($B637,'Round 9'!$F$2:$H$361,3,false),1)="a","L",""))),"")</f>
        <v/>
      </c>
      <c r="M637" s="68" t="str">
        <f>iferror(iferror(if(LEFT(VLOOKUP($B637,'Round 10'!$B$2:$H$362,7,false),1)="A","W",if(LEFT(VLOOKUP($B637,'Round 10'!$B$2:$H$362,7,false),1)="B","L","")),if(LEFT(VLOOKUP($B637,'Round 10'!$F$2:$H$362,3,false),1)="b","W",if(LEFT(VLOOKUP($B637,'Round 10'!$F$2:$H$362,3,false),1)="a","L",""))),"")</f>
        <v/>
      </c>
      <c r="N637" s="62" t="s">
        <v>1322</v>
      </c>
    </row>
    <row r="638">
      <c r="A638" s="63">
        <v>637.0</v>
      </c>
      <c r="B638" s="64" t="s">
        <v>1323</v>
      </c>
      <c r="C638" s="65" t="str">
        <f t="shared" si="1"/>
        <v>0 - 3</v>
      </c>
      <c r="D638" s="67" t="str">
        <f>iferror(if(LEFT(VLOOKUP($B638,'Round 1'!$B$2:$H$361,7,false),1)="A","W",if(LEFT(VLOOKUP($B638,'Round 1'!$B$2:$H$361,7,false),1)="B","L","")),if(LEFT(VLOOKUP($B638,'Round 1'!$F$2:$H$361,3,false),1)="b","W",if(LEFT(VLOOKUP($B638,'Round 1'!$F$2:$H$361,3,false),1)="a","L","")))</f>
        <v>L</v>
      </c>
      <c r="E638" s="67" t="str">
        <f>iferror(if(LEFT(VLOOKUP($B638,'Round 2'!$C$2:$J$361,8,false),1)="A","W",if(LEFT(VLOOKUP($B638,'Round 2'!$C$2:$J$361,8,false),1)="B","L","")),if(LEFT(VLOOKUP($B638,'Round 2'!$G$2:$J$361,4,false),1)="b","W",if(LEFT(VLOOKUP($B638,'Round 2'!$G$2:$J$361,4,false),1)="a","L","")))</f>
        <v>L</v>
      </c>
      <c r="F638" s="67" t="str">
        <f>iferror(if(LEFT(VLOOKUP($B638,'Round 3'!$B$2:$H$361,7,false),1)="A","W",if(LEFT(VLOOKUP($B638,'Round 3'!$B$2:$H$361,7,false),1)="B","L","")),if(LEFT(VLOOKUP($B638,'Round 3'!$F$2:$H$361,3,false),1)="b","W",if(LEFT(VLOOKUP($B638,'Round 3'!$F$2:$H$361,3,false),1)="a","L","")))</f>
        <v>L</v>
      </c>
      <c r="G638" s="67"/>
      <c r="H638" s="67"/>
      <c r="I638" s="67"/>
      <c r="J638" s="67" t="str">
        <f>iferror(iferror(if(LEFT(VLOOKUP($B638,'Round 7'!$B$2:$H$361,7,false),1)="A","W",if(LEFT(VLOOKUP($B638,'Round 7'!$B$2:$H$361,7,false),1)="B","L","")),if(LEFT(VLOOKUP($B638,'Round 7'!$F$2:$H$361,3,false),1)="b","W",if(LEFT(VLOOKUP($B638,'Round 7'!$F$2:$H$361,3,false),1)="a","L",""))),"")</f>
        <v/>
      </c>
      <c r="K638" s="68" t="str">
        <f>iferror(iferror(if(LEFT(VLOOKUP($B638,'Round 8'!$B$2:$H$361,7,false),1)="A","W",if(LEFT(VLOOKUP($B638,'Round 8'!$B$2:$H$361,7,false),1)="B","L","")),if(LEFT(VLOOKUP($B638,'Round 8'!$F$2:$H$361,3,false),1)="b","W",if(LEFT(VLOOKUP($B638,'Round 8'!$F$2:$H$361,3,false),1)="a","L",""))),"")</f>
        <v/>
      </c>
      <c r="L638" s="68" t="str">
        <f>iferror(iferror(if(LEFT(VLOOKUP($B638,'Round 9'!$B$2:$H$361,7,false),1)="A","W",if(LEFT(VLOOKUP($B638,'Round 9'!$B$2:$H$361,7,false),1)="B","L","")),if(LEFT(VLOOKUP($B638,'Round 9'!$F$2:$H$361,3,false),1)="b","W",if(LEFT(VLOOKUP($B638,'Round 9'!$F$2:$H$361,3,false),1)="a","L",""))),"")</f>
        <v/>
      </c>
      <c r="M638" s="68" t="str">
        <f>iferror(iferror(if(LEFT(VLOOKUP($B638,'Round 10'!$B$2:$H$362,7,false),1)="A","W",if(LEFT(VLOOKUP($B638,'Round 10'!$B$2:$H$362,7,false),1)="B","L","")),if(LEFT(VLOOKUP($B638,'Round 10'!$F$2:$H$362,3,false),1)="b","W",if(LEFT(VLOOKUP($B638,'Round 10'!$F$2:$H$362,3,false),1)="a","L",""))),"")</f>
        <v/>
      </c>
      <c r="N638" s="62" t="s">
        <v>1324</v>
      </c>
    </row>
    <row r="639">
      <c r="A639" s="63">
        <v>638.0</v>
      </c>
      <c r="B639" s="64" t="s">
        <v>1325</v>
      </c>
      <c r="C639" s="65" t="str">
        <f t="shared" si="1"/>
        <v>4 - 3</v>
      </c>
      <c r="D639" s="67" t="str">
        <f>iferror(if(LEFT(VLOOKUP($B639,'Round 1'!$B$2:$H$361,7,false),1)="A","W",if(LEFT(VLOOKUP($B639,'Round 1'!$B$2:$H$361,7,false),1)="B","L","")),if(LEFT(VLOOKUP($B639,'Round 1'!$F$2:$H$361,3,false),1)="b","W",if(LEFT(VLOOKUP($B639,'Round 1'!$F$2:$H$361,3,false),1)="a","L","")))</f>
        <v>L</v>
      </c>
      <c r="E639" s="67" t="str">
        <f>iferror(if(LEFT(VLOOKUP($B639,'Round 2'!$C$2:$J$361,8,false),1)="A","W",if(LEFT(VLOOKUP($B639,'Round 2'!$C$2:$J$361,8,false),1)="B","L","")),if(LEFT(VLOOKUP($B639,'Round 2'!$G$2:$J$361,4,false),1)="b","W",if(LEFT(VLOOKUP($B639,'Round 2'!$G$2:$J$361,4,false),1)="a","L","")))</f>
        <v>L</v>
      </c>
      <c r="F639" s="67" t="str">
        <f>iferror(if(LEFT(VLOOKUP($B639,'Round 3'!$B$2:$H$361,7,false),1)="A","W",if(LEFT(VLOOKUP($B639,'Round 3'!$B$2:$H$361,7,false),1)="B","L","")),if(LEFT(VLOOKUP($B639,'Round 3'!$F$2:$H$361,3,false),1)="b","W",if(LEFT(VLOOKUP($B639,'Round 3'!$F$2:$H$361,3,false),1)="a","L","")))</f>
        <v>W</v>
      </c>
      <c r="G639" s="67" t="str">
        <f>iferror(if(LEFT(VLOOKUP($B639,'Round 4'!$B$2:$H$361,7,false),1)="A","W",if(LEFT(VLOOKUP($B639,'Round 4'!$B$2:$H$361,7,false),1)="B","L","")),if(LEFT(VLOOKUP($B639,'Round 4'!$F$2:$H$361,3,false),1)="b","W",if(LEFT(VLOOKUP($B639,'Round 4'!$F$2:$H$361,3,false),1)="a","L","")))</f>
        <v>W</v>
      </c>
      <c r="H639" s="67" t="str">
        <f>iferror(if(LEFT(VLOOKUP($B639,'Round 5'!$B$2:$H$361,7,false),1)="A","W",if(LEFT(VLOOKUP($B639,'Round 5'!$B$2:$H$361,7,false),1)="B","L","")),if(LEFT(VLOOKUP($B639,'Round 5'!$F$2:$H$361,3,false),1)="b","W",if(LEFT(VLOOKUP($B639,'Round 5'!$F$2:$H$361,3,false),1)="a","L","")))</f>
        <v>W</v>
      </c>
      <c r="I639" s="67" t="str">
        <f>iferror(if(LEFT(VLOOKUP($B639,'Round 6'!$B$2:$H$361,7,false),1)="A","W",if(LEFT(VLOOKUP($B639,'Round 6'!$B$2:$H$361,7,false),1)="B","L","")),if(LEFT(VLOOKUP($B639,'Round 6'!$F$2:$H$361,3,false),1)="b","W",if(LEFT(VLOOKUP($B639,'Round 6'!$F$2:$H$361,3,false),1)="a","L","")))</f>
        <v>W</v>
      </c>
      <c r="J639" s="67" t="str">
        <f>iferror(iferror(if(LEFT(VLOOKUP($B639,'Round 7'!$B$2:$H$361,7,false),1)="A","W",if(LEFT(VLOOKUP($B639,'Round 7'!$B$2:$H$361,7,false),1)="B","L","")),if(LEFT(VLOOKUP($B639,'Round 7'!$F$2:$H$361,3,false),1)="b","W",if(LEFT(VLOOKUP($B639,'Round 7'!$F$2:$H$361,3,false),1)="a","L",""))),"")</f>
        <v>L</v>
      </c>
      <c r="K639" s="68" t="str">
        <f>iferror(iferror(if(LEFT(VLOOKUP($B639,'Round 8'!$B$2:$H$361,7,false),1)="A","W",if(LEFT(VLOOKUP($B639,'Round 8'!$B$2:$H$361,7,false),1)="B","L","")),if(LEFT(VLOOKUP($B639,'Round 8'!$F$2:$H$361,3,false),1)="b","W",if(LEFT(VLOOKUP($B639,'Round 8'!$F$2:$H$361,3,false),1)="a","L",""))),"")</f>
        <v/>
      </c>
      <c r="L639" s="68" t="str">
        <f>iferror(iferror(if(LEFT(VLOOKUP($B639,'Round 9'!$B$2:$H$361,7,false),1)="A","W",if(LEFT(VLOOKUP($B639,'Round 9'!$B$2:$H$361,7,false),1)="B","L","")),if(LEFT(VLOOKUP($B639,'Round 9'!$F$2:$H$361,3,false),1)="b","W",if(LEFT(VLOOKUP($B639,'Round 9'!$F$2:$H$361,3,false),1)="a","L",""))),"")</f>
        <v/>
      </c>
      <c r="M639" s="68" t="str">
        <f>iferror(iferror(if(LEFT(VLOOKUP($B639,'Round 10'!$B$2:$H$362,7,false),1)="A","W",if(LEFT(VLOOKUP($B639,'Round 10'!$B$2:$H$362,7,false),1)="B","L","")),if(LEFT(VLOOKUP($B639,'Round 10'!$F$2:$H$362,3,false),1)="b","W",if(LEFT(VLOOKUP($B639,'Round 10'!$F$2:$H$362,3,false),1)="a","L",""))),"")</f>
        <v/>
      </c>
      <c r="N639" s="62" t="s">
        <v>1326</v>
      </c>
    </row>
    <row r="640">
      <c r="A640" s="63">
        <v>639.0</v>
      </c>
      <c r="B640" s="64" t="s">
        <v>1327</v>
      </c>
      <c r="C640" s="65" t="str">
        <f t="shared" si="1"/>
        <v>0 - 3</v>
      </c>
      <c r="D640" s="67" t="str">
        <f>iferror(if(LEFT(VLOOKUP($B640,'Round 1'!$B$2:$H$361,7,false),1)="A","W",if(LEFT(VLOOKUP($B640,'Round 1'!$B$2:$H$361,7,false),1)="B","L","")),if(LEFT(VLOOKUP($B640,'Round 1'!$F$2:$H$361,3,false),1)="b","W",if(LEFT(VLOOKUP($B640,'Round 1'!$F$2:$H$361,3,false),1)="a","L","")))</f>
        <v>L</v>
      </c>
      <c r="E640" s="67" t="str">
        <f>iferror(if(LEFT(VLOOKUP($B640,'Round 2'!$C$2:$J$361,8,false),1)="A","W",if(LEFT(VLOOKUP($B640,'Round 2'!$C$2:$J$361,8,false),1)="B","L","")),if(LEFT(VLOOKUP($B640,'Round 2'!$G$2:$J$361,4,false),1)="b","W",if(LEFT(VLOOKUP($B640,'Round 2'!$G$2:$J$361,4,false),1)="a","L","")))</f>
        <v>L</v>
      </c>
      <c r="F640" s="67" t="str">
        <f>iferror(if(LEFT(VLOOKUP($B640,'Round 3'!$B$2:$H$361,7,false),1)="A","W",if(LEFT(VLOOKUP($B640,'Round 3'!$B$2:$H$361,7,false),1)="B","L","")),if(LEFT(VLOOKUP($B640,'Round 3'!$F$2:$H$361,3,false),1)="b","W",if(LEFT(VLOOKUP($B640,'Round 3'!$F$2:$H$361,3,false),1)="a","L","")))</f>
        <v>L</v>
      </c>
      <c r="G640" s="67"/>
      <c r="H640" s="67"/>
      <c r="I640" s="67"/>
      <c r="J640" s="67" t="str">
        <f>iferror(iferror(if(LEFT(VLOOKUP($B640,'Round 7'!$B$2:$H$361,7,false),1)="A","W",if(LEFT(VLOOKUP($B640,'Round 7'!$B$2:$H$361,7,false),1)="B","L","")),if(LEFT(VLOOKUP($B640,'Round 7'!$F$2:$H$361,3,false),1)="b","W",if(LEFT(VLOOKUP($B640,'Round 7'!$F$2:$H$361,3,false),1)="a","L",""))),"")</f>
        <v/>
      </c>
      <c r="K640" s="68" t="str">
        <f>iferror(iferror(if(LEFT(VLOOKUP($B640,'Round 8'!$B$2:$H$361,7,false),1)="A","W",if(LEFT(VLOOKUP($B640,'Round 8'!$B$2:$H$361,7,false),1)="B","L","")),if(LEFT(VLOOKUP($B640,'Round 8'!$F$2:$H$361,3,false),1)="b","W",if(LEFT(VLOOKUP($B640,'Round 8'!$F$2:$H$361,3,false),1)="a","L",""))),"")</f>
        <v/>
      </c>
      <c r="L640" s="68" t="str">
        <f>iferror(iferror(if(LEFT(VLOOKUP($B640,'Round 9'!$B$2:$H$361,7,false),1)="A","W",if(LEFT(VLOOKUP($B640,'Round 9'!$B$2:$H$361,7,false),1)="B","L","")),if(LEFT(VLOOKUP($B640,'Round 9'!$F$2:$H$361,3,false),1)="b","W",if(LEFT(VLOOKUP($B640,'Round 9'!$F$2:$H$361,3,false),1)="a","L",""))),"")</f>
        <v/>
      </c>
      <c r="M640" s="68" t="str">
        <f>iferror(iferror(if(LEFT(VLOOKUP($B640,'Round 10'!$B$2:$H$362,7,false),1)="A","W",if(LEFT(VLOOKUP($B640,'Round 10'!$B$2:$H$362,7,false),1)="B","L","")),if(LEFT(VLOOKUP($B640,'Round 10'!$F$2:$H$362,3,false),1)="b","W",if(LEFT(VLOOKUP($B640,'Round 10'!$F$2:$H$362,3,false),1)="a","L",""))),"")</f>
        <v/>
      </c>
      <c r="N640" s="62" t="s">
        <v>1328</v>
      </c>
    </row>
    <row r="641">
      <c r="A641" s="63">
        <v>640.0</v>
      </c>
      <c r="B641" s="64" t="s">
        <v>1329</v>
      </c>
      <c r="C641" s="65" t="str">
        <f t="shared" si="1"/>
        <v>7 - 2</v>
      </c>
      <c r="D641" s="67" t="str">
        <f>iferror(if(LEFT(VLOOKUP($B641,'Round 1'!$B$2:$H$361,7,false),1)="A","W",if(LEFT(VLOOKUP($B641,'Round 1'!$B$2:$H$361,7,false),1)="B","L","")),if(LEFT(VLOOKUP($B641,'Round 1'!$F$2:$H$361,3,false),1)="b","W",if(LEFT(VLOOKUP($B641,'Round 1'!$F$2:$H$361,3,false),1)="a","L","")))</f>
        <v>W</v>
      </c>
      <c r="E641" s="67" t="str">
        <f>iferror(if(LEFT(VLOOKUP($B641,'Round 2'!$C$2:$J$361,8,false),1)="A","W",if(LEFT(VLOOKUP($B641,'Round 2'!$C$2:$J$361,8,false),1)="B","L","")),if(LEFT(VLOOKUP($B641,'Round 2'!$G$2:$J$361,4,false),1)="b","W",if(LEFT(VLOOKUP($B641,'Round 2'!$G$2:$J$361,4,false),1)="a","L","")))</f>
        <v>W</v>
      </c>
      <c r="F641" s="67" t="str">
        <f>iferror(if(LEFT(VLOOKUP($B641,'Round 3'!$B$2:$H$361,7,false),1)="A","W",if(LEFT(VLOOKUP($B641,'Round 3'!$B$2:$H$361,7,false),1)="B","L","")),if(LEFT(VLOOKUP($B641,'Round 3'!$F$2:$H$361,3,false),1)="b","W",if(LEFT(VLOOKUP($B641,'Round 3'!$F$2:$H$361,3,false),1)="a","L","")))</f>
        <v>L</v>
      </c>
      <c r="G641" s="67" t="str">
        <f>iferror(if(LEFT(VLOOKUP($B641,'Round 4'!$B$2:$H$361,7,false),1)="A","W",if(LEFT(VLOOKUP($B641,'Round 4'!$B$2:$H$361,7,false),1)="B","L","")),if(LEFT(VLOOKUP($B641,'Round 4'!$F$2:$H$361,3,false),1)="b","W",if(LEFT(VLOOKUP($B641,'Round 4'!$F$2:$H$361,3,false),1)="a","L","")))</f>
        <v>W</v>
      </c>
      <c r="H641" s="67" t="str">
        <f>iferror(if(LEFT(VLOOKUP($B641,'Round 5'!$B$2:$H$361,7,false),1)="A","W",if(LEFT(VLOOKUP($B641,'Round 5'!$B$2:$H$361,7,false),1)="B","L","")),if(LEFT(VLOOKUP($B641,'Round 5'!$F$2:$H$361,3,false),1)="b","W",if(LEFT(VLOOKUP($B641,'Round 5'!$F$2:$H$361,3,false),1)="a","L","")))</f>
        <v>W</v>
      </c>
      <c r="I641" s="67" t="str">
        <f>iferror(if(LEFT(VLOOKUP($B641,'Round 6'!$B$2:$H$361,7,false),1)="A","W",if(LEFT(VLOOKUP($B641,'Round 6'!$B$2:$H$361,7,false),1)="B","L","")),if(LEFT(VLOOKUP($B641,'Round 6'!$F$2:$H$361,3,false),1)="b","W",if(LEFT(VLOOKUP($B641,'Round 6'!$F$2:$H$361,3,false),1)="a","L","")))</f>
        <v>L</v>
      </c>
      <c r="J641" s="67" t="str">
        <f>iferror(iferror(if(LEFT(VLOOKUP($B641,'Round 7'!$B$2:$H$361,7,false),1)="A","W",if(LEFT(VLOOKUP($B641,'Round 7'!$B$2:$H$361,7,false),1)="B","L","")),if(LEFT(VLOOKUP($B641,'Round 7'!$F$2:$H$361,3,false),1)="b","W",if(LEFT(VLOOKUP($B641,'Round 7'!$F$2:$H$361,3,false),1)="a","L",""))),"")</f>
        <v>W</v>
      </c>
      <c r="K641" s="68" t="str">
        <f>iferror(iferror(if(LEFT(VLOOKUP($B641,'Round 8'!$B$2:$H$361,7,false),1)="A","W",if(LEFT(VLOOKUP($B641,'Round 8'!$B$2:$H$361,7,false),1)="B","L","")),if(LEFT(VLOOKUP($B641,'Round 8'!$F$2:$H$361,3,false),1)="b","W",if(LEFT(VLOOKUP($B641,'Round 8'!$F$2:$H$361,3,false),1)="a","L",""))),"")</f>
        <v>W</v>
      </c>
      <c r="L641" s="68" t="str">
        <f>iferror(iferror(if(LEFT(VLOOKUP($B641,'Round 9'!$B$2:$H$361,7,false),1)="A","W",if(LEFT(VLOOKUP($B641,'Round 9'!$B$2:$H$361,7,false),1)="B","L","")),if(LEFT(VLOOKUP($B641,'Round 9'!$F$2:$H$361,3,false),1)="b","W",if(LEFT(VLOOKUP($B641,'Round 9'!$F$2:$H$361,3,false),1)="a","L",""))),"")</f>
        <v>W</v>
      </c>
      <c r="M641" s="68" t="str">
        <f>iferror(iferror(if(LEFT(VLOOKUP($B641,'Round 10'!$B$2:$H$362,7,false),1)="A","W",if(LEFT(VLOOKUP($B641,'Round 10'!$B$2:$H$362,7,false),1)="B","L","")),if(LEFT(VLOOKUP($B641,'Round 10'!$F$2:$H$362,3,false),1)="b","W",if(LEFT(VLOOKUP($B641,'Round 10'!$F$2:$H$362,3,false),1)="a","L",""))),"")</f>
        <v/>
      </c>
      <c r="N641" s="62" t="s">
        <v>1330</v>
      </c>
    </row>
    <row r="642">
      <c r="A642" s="63">
        <v>641.0</v>
      </c>
      <c r="B642" s="64" t="s">
        <v>1331</v>
      </c>
      <c r="C642" s="65" t="str">
        <f t="shared" si="1"/>
        <v>1 - 3</v>
      </c>
      <c r="D642" s="67" t="str">
        <f>iferror(if(LEFT(VLOOKUP($B642,'Round 1'!$B$2:$H$361,7,false),1)="A","W",if(LEFT(VLOOKUP($B642,'Round 1'!$B$2:$H$361,7,false),1)="B","L","")),if(LEFT(VLOOKUP($B642,'Round 1'!$F$2:$H$361,3,false),1)="b","W",if(LEFT(VLOOKUP($B642,'Round 1'!$F$2:$H$361,3,false),1)="a","L","")))</f>
        <v>W</v>
      </c>
      <c r="E642" s="67" t="str">
        <f>iferror(if(LEFT(VLOOKUP($B642,'Round 2'!$C$2:$J$361,8,false),1)="A","W",if(LEFT(VLOOKUP($B642,'Round 2'!$C$2:$J$361,8,false),1)="B","L","")),if(LEFT(VLOOKUP($B642,'Round 2'!$G$2:$J$361,4,false),1)="b","W",if(LEFT(VLOOKUP($B642,'Round 2'!$G$2:$J$361,4,false),1)="a","L","")))</f>
        <v>L</v>
      </c>
      <c r="F642" s="67" t="str">
        <f>iferror(if(LEFT(VLOOKUP($B642,'Round 3'!$B$2:$H$361,7,false),1)="A","W",if(LEFT(VLOOKUP($B642,'Round 3'!$B$2:$H$361,7,false),1)="B","L","")),if(LEFT(VLOOKUP($B642,'Round 3'!$F$2:$H$361,3,false),1)="b","W",if(LEFT(VLOOKUP($B642,'Round 3'!$F$2:$H$361,3,false),1)="a","L","")))</f>
        <v>L</v>
      </c>
      <c r="G642" s="67" t="str">
        <f>iferror(if(LEFT(VLOOKUP($B642,'Round 4'!$B$2:$H$361,7,false),1)="A","W",if(LEFT(VLOOKUP($B642,'Round 4'!$B$2:$H$361,7,false),1)="B","L","")),if(LEFT(VLOOKUP($B642,'Round 4'!$F$2:$H$361,3,false),1)="b","W",if(LEFT(VLOOKUP($B642,'Round 4'!$F$2:$H$361,3,false),1)="a","L","")))</f>
        <v>L</v>
      </c>
      <c r="H642" s="67"/>
      <c r="I642" s="67"/>
      <c r="J642" s="67" t="str">
        <f>iferror(iferror(if(LEFT(VLOOKUP($B642,'Round 7'!$B$2:$H$361,7,false),1)="A","W",if(LEFT(VLOOKUP($B642,'Round 7'!$B$2:$H$361,7,false),1)="B","L","")),if(LEFT(VLOOKUP($B642,'Round 7'!$F$2:$H$361,3,false),1)="b","W",if(LEFT(VLOOKUP($B642,'Round 7'!$F$2:$H$361,3,false),1)="a","L",""))),"")</f>
        <v/>
      </c>
      <c r="K642" s="68" t="str">
        <f>iferror(iferror(if(LEFT(VLOOKUP($B642,'Round 8'!$B$2:$H$361,7,false),1)="A","W",if(LEFT(VLOOKUP($B642,'Round 8'!$B$2:$H$361,7,false),1)="B","L","")),if(LEFT(VLOOKUP($B642,'Round 8'!$F$2:$H$361,3,false),1)="b","W",if(LEFT(VLOOKUP($B642,'Round 8'!$F$2:$H$361,3,false),1)="a","L",""))),"")</f>
        <v/>
      </c>
      <c r="L642" s="68" t="str">
        <f>iferror(iferror(if(LEFT(VLOOKUP($B642,'Round 9'!$B$2:$H$361,7,false),1)="A","W",if(LEFT(VLOOKUP($B642,'Round 9'!$B$2:$H$361,7,false),1)="B","L","")),if(LEFT(VLOOKUP($B642,'Round 9'!$F$2:$H$361,3,false),1)="b","W",if(LEFT(VLOOKUP($B642,'Round 9'!$F$2:$H$361,3,false),1)="a","L",""))),"")</f>
        <v/>
      </c>
      <c r="M642" s="68" t="str">
        <f>iferror(iferror(if(LEFT(VLOOKUP($B642,'Round 10'!$B$2:$H$362,7,false),1)="A","W",if(LEFT(VLOOKUP($B642,'Round 10'!$B$2:$H$362,7,false),1)="B","L","")),if(LEFT(VLOOKUP($B642,'Round 10'!$F$2:$H$362,3,false),1)="b","W",if(LEFT(VLOOKUP($B642,'Round 10'!$F$2:$H$362,3,false),1)="a","L",""))),"")</f>
        <v/>
      </c>
      <c r="N642" s="62" t="s">
        <v>1332</v>
      </c>
    </row>
    <row r="643">
      <c r="A643" s="63">
        <v>642.0</v>
      </c>
      <c r="B643" s="64" t="s">
        <v>1333</v>
      </c>
      <c r="C643" s="65" t="str">
        <f t="shared" si="1"/>
        <v>4 - 3</v>
      </c>
      <c r="D643" s="67" t="str">
        <f>iferror(if(LEFT(VLOOKUP($B643,'Round 1'!$B$2:$H$361,7,false),1)="A","W",if(LEFT(VLOOKUP($B643,'Round 1'!$B$2:$H$361,7,false),1)="B","L","")),if(LEFT(VLOOKUP($B643,'Round 1'!$F$2:$H$361,3,false),1)="b","W",if(LEFT(VLOOKUP($B643,'Round 1'!$F$2:$H$361,3,false),1)="a","L","")))</f>
        <v>W</v>
      </c>
      <c r="E643" s="67" t="str">
        <f>iferror(if(LEFT(VLOOKUP($B643,'Round 2'!$C$2:$J$361,8,false),1)="A","W",if(LEFT(VLOOKUP($B643,'Round 2'!$C$2:$J$361,8,false),1)="B","L","")),if(LEFT(VLOOKUP($B643,'Round 2'!$G$2:$J$361,4,false),1)="b","W",if(LEFT(VLOOKUP($B643,'Round 2'!$G$2:$J$361,4,false),1)="a","L","")))</f>
        <v>W</v>
      </c>
      <c r="F643" s="67" t="str">
        <f>iferror(if(LEFT(VLOOKUP($B643,'Round 3'!$B$2:$H$361,7,false),1)="A","W",if(LEFT(VLOOKUP($B643,'Round 3'!$B$2:$H$361,7,false),1)="B","L","")),if(LEFT(VLOOKUP($B643,'Round 3'!$F$2:$H$361,3,false),1)="b","W",if(LEFT(VLOOKUP($B643,'Round 3'!$F$2:$H$361,3,false),1)="a","L","")))</f>
        <v>L</v>
      </c>
      <c r="G643" s="67" t="str">
        <f>iferror(if(LEFT(VLOOKUP($B643,'Round 4'!$B$2:$H$361,7,false),1)="A","W",if(LEFT(VLOOKUP($B643,'Round 4'!$B$2:$H$361,7,false),1)="B","L","")),if(LEFT(VLOOKUP($B643,'Round 4'!$F$2:$H$361,3,false),1)="b","W",if(LEFT(VLOOKUP($B643,'Round 4'!$F$2:$H$361,3,false),1)="a","L","")))</f>
        <v>W</v>
      </c>
      <c r="H643" s="67" t="str">
        <f>iferror(if(LEFT(VLOOKUP($B643,'Round 5'!$B$2:$H$361,7,false),1)="A","W",if(LEFT(VLOOKUP($B643,'Round 5'!$B$2:$H$361,7,false),1)="B","L","")),if(LEFT(VLOOKUP($B643,'Round 5'!$F$2:$H$361,3,false),1)="b","W",if(LEFT(VLOOKUP($B643,'Round 5'!$F$2:$H$361,3,false),1)="a","L","")))</f>
        <v>L</v>
      </c>
      <c r="I643" s="67" t="str">
        <f>iferror(if(LEFT(VLOOKUP($B643,'Round 6'!$B$2:$H$361,7,false),1)="A","W",if(LEFT(VLOOKUP($B643,'Round 6'!$B$2:$H$361,7,false),1)="B","L","")),if(LEFT(VLOOKUP($B643,'Round 6'!$F$2:$H$361,3,false),1)="b","W",if(LEFT(VLOOKUP($B643,'Round 6'!$F$2:$H$361,3,false),1)="a","L","")))</f>
        <v>W</v>
      </c>
      <c r="J643" s="67" t="str">
        <f>iferror(iferror(if(LEFT(VLOOKUP($B643,'Round 7'!$B$2:$H$361,7,false),1)="A","W",if(LEFT(VLOOKUP($B643,'Round 7'!$B$2:$H$361,7,false),1)="B","L","")),if(LEFT(VLOOKUP($B643,'Round 7'!$F$2:$H$361,3,false),1)="b","W",if(LEFT(VLOOKUP($B643,'Round 7'!$F$2:$H$361,3,false),1)="a","L",""))),"")</f>
        <v>L</v>
      </c>
      <c r="K643" s="68" t="str">
        <f>iferror(iferror(if(LEFT(VLOOKUP($B643,'Round 8'!$B$2:$H$361,7,false),1)="A","W",if(LEFT(VLOOKUP($B643,'Round 8'!$B$2:$H$361,7,false),1)="B","L","")),if(LEFT(VLOOKUP($B643,'Round 8'!$F$2:$H$361,3,false),1)="b","W",if(LEFT(VLOOKUP($B643,'Round 8'!$F$2:$H$361,3,false),1)="a","L",""))),"")</f>
        <v/>
      </c>
      <c r="L643" s="68" t="str">
        <f>iferror(iferror(if(LEFT(VLOOKUP($B643,'Round 9'!$B$2:$H$361,7,false),1)="A","W",if(LEFT(VLOOKUP($B643,'Round 9'!$B$2:$H$361,7,false),1)="B","L","")),if(LEFT(VLOOKUP($B643,'Round 9'!$F$2:$H$361,3,false),1)="b","W",if(LEFT(VLOOKUP($B643,'Round 9'!$F$2:$H$361,3,false),1)="a","L",""))),"")</f>
        <v/>
      </c>
      <c r="M643" s="68" t="str">
        <f>iferror(iferror(if(LEFT(VLOOKUP($B643,'Round 10'!$B$2:$H$362,7,false),1)="A","W",if(LEFT(VLOOKUP($B643,'Round 10'!$B$2:$H$362,7,false),1)="B","L","")),if(LEFT(VLOOKUP($B643,'Round 10'!$F$2:$H$362,3,false),1)="b","W",if(LEFT(VLOOKUP($B643,'Round 10'!$F$2:$H$362,3,false),1)="a","L",""))),"")</f>
        <v/>
      </c>
      <c r="N643" s="62" t="s">
        <v>1334</v>
      </c>
    </row>
    <row r="644">
      <c r="A644" s="63">
        <v>643.0</v>
      </c>
      <c r="B644" s="64" t="s">
        <v>1335</v>
      </c>
      <c r="C644" s="65" t="str">
        <f t="shared" si="1"/>
        <v>2 - 3</v>
      </c>
      <c r="D644" s="67" t="str">
        <f>iferror(if(LEFT(VLOOKUP($B644,'Round 1'!$B$2:$H$361,7,false),1)="A","W",if(LEFT(VLOOKUP($B644,'Round 1'!$B$2:$H$361,7,false),1)="B","L","")),if(LEFT(VLOOKUP($B644,'Round 1'!$F$2:$H$361,3,false),1)="b","W",if(LEFT(VLOOKUP($B644,'Round 1'!$F$2:$H$361,3,false),1)="a","L","")))</f>
        <v>L</v>
      </c>
      <c r="E644" s="67" t="str">
        <f>iferror(if(LEFT(VLOOKUP($B644,'Round 2'!$C$2:$J$361,8,false),1)="A","W",if(LEFT(VLOOKUP($B644,'Round 2'!$C$2:$J$361,8,false),1)="B","L","")),if(LEFT(VLOOKUP($B644,'Round 2'!$G$2:$J$361,4,false),1)="b","W",if(LEFT(VLOOKUP($B644,'Round 2'!$G$2:$J$361,4,false),1)="a","L","")))</f>
        <v>W</v>
      </c>
      <c r="F644" s="67" t="str">
        <f>iferror(if(LEFT(VLOOKUP($B644,'Round 3'!$B$2:$H$361,7,false),1)="A","W",if(LEFT(VLOOKUP($B644,'Round 3'!$B$2:$H$361,7,false),1)="B","L","")),if(LEFT(VLOOKUP($B644,'Round 3'!$F$2:$H$361,3,false),1)="b","W",if(LEFT(VLOOKUP($B644,'Round 3'!$F$2:$H$361,3,false),1)="a","L","")))</f>
        <v>L</v>
      </c>
      <c r="G644" s="67" t="str">
        <f>iferror(if(LEFT(VLOOKUP($B644,'Round 4'!$B$2:$H$361,7,false),1)="A","W",if(LEFT(VLOOKUP($B644,'Round 4'!$B$2:$H$361,7,false),1)="B","L","")),if(LEFT(VLOOKUP($B644,'Round 4'!$F$2:$H$361,3,false),1)="b","W",if(LEFT(VLOOKUP($B644,'Round 4'!$F$2:$H$361,3,false),1)="a","L","")))</f>
        <v>W</v>
      </c>
      <c r="H644" s="67" t="str">
        <f>iferror(if(LEFT(VLOOKUP($B644,'Round 5'!$B$2:$H$361,7,false),1)="A","W",if(LEFT(VLOOKUP($B644,'Round 5'!$B$2:$H$361,7,false),1)="B","L","")),if(LEFT(VLOOKUP($B644,'Round 5'!$F$2:$H$361,3,false),1)="b","W",if(LEFT(VLOOKUP($B644,'Round 5'!$F$2:$H$361,3,false),1)="a","L","")))</f>
        <v>L</v>
      </c>
      <c r="I644" s="67"/>
      <c r="J644" s="67" t="str">
        <f>iferror(iferror(if(LEFT(VLOOKUP($B644,'Round 7'!$B$2:$H$361,7,false),1)="A","W",if(LEFT(VLOOKUP($B644,'Round 7'!$B$2:$H$361,7,false),1)="B","L","")),if(LEFT(VLOOKUP($B644,'Round 7'!$F$2:$H$361,3,false),1)="b","W",if(LEFT(VLOOKUP($B644,'Round 7'!$F$2:$H$361,3,false),1)="a","L",""))),"")</f>
        <v/>
      </c>
      <c r="K644" s="68" t="str">
        <f>iferror(iferror(if(LEFT(VLOOKUP($B644,'Round 8'!$B$2:$H$361,7,false),1)="A","W",if(LEFT(VLOOKUP($B644,'Round 8'!$B$2:$H$361,7,false),1)="B","L","")),if(LEFT(VLOOKUP($B644,'Round 8'!$F$2:$H$361,3,false),1)="b","W",if(LEFT(VLOOKUP($B644,'Round 8'!$F$2:$H$361,3,false),1)="a","L",""))),"")</f>
        <v/>
      </c>
      <c r="L644" s="68" t="str">
        <f>iferror(iferror(if(LEFT(VLOOKUP($B644,'Round 9'!$B$2:$H$361,7,false),1)="A","W",if(LEFT(VLOOKUP($B644,'Round 9'!$B$2:$H$361,7,false),1)="B","L","")),if(LEFT(VLOOKUP($B644,'Round 9'!$F$2:$H$361,3,false),1)="b","W",if(LEFT(VLOOKUP($B644,'Round 9'!$F$2:$H$361,3,false),1)="a","L",""))),"")</f>
        <v/>
      </c>
      <c r="M644" s="68" t="str">
        <f>iferror(iferror(if(LEFT(VLOOKUP($B644,'Round 10'!$B$2:$H$362,7,false),1)="A","W",if(LEFT(VLOOKUP($B644,'Round 10'!$B$2:$H$362,7,false),1)="B","L","")),if(LEFT(VLOOKUP($B644,'Round 10'!$F$2:$H$362,3,false),1)="b","W",if(LEFT(VLOOKUP($B644,'Round 10'!$F$2:$H$362,3,false),1)="a","L",""))),"")</f>
        <v/>
      </c>
      <c r="N644" s="62" t="s">
        <v>1336</v>
      </c>
    </row>
    <row r="645">
      <c r="A645" s="63">
        <v>644.0</v>
      </c>
      <c r="B645" s="64" t="s">
        <v>1337</v>
      </c>
      <c r="C645" s="65" t="str">
        <f t="shared" si="1"/>
        <v>2 - 3</v>
      </c>
      <c r="D645" s="67" t="str">
        <f>iferror(if(LEFT(VLOOKUP($B645,'Round 1'!$B$2:$H$361,7,false),1)="A","W",if(LEFT(VLOOKUP($B645,'Round 1'!$B$2:$H$361,7,false),1)="B","L","")),if(LEFT(VLOOKUP($B645,'Round 1'!$F$2:$H$361,3,false),1)="b","W",if(LEFT(VLOOKUP($B645,'Round 1'!$F$2:$H$361,3,false),1)="a","L","")))</f>
        <v>L</v>
      </c>
      <c r="E645" s="67" t="str">
        <f>iferror(if(LEFT(VLOOKUP($B645,'Round 2'!$C$2:$J$361,8,false),1)="A","W",if(LEFT(VLOOKUP($B645,'Round 2'!$C$2:$J$361,8,false),1)="B","L","")),if(LEFT(VLOOKUP($B645,'Round 2'!$G$2:$J$361,4,false),1)="b","W",if(LEFT(VLOOKUP($B645,'Round 2'!$G$2:$J$361,4,false),1)="a","L","")))</f>
        <v>L</v>
      </c>
      <c r="F645" s="67" t="str">
        <f>iferror(if(LEFT(VLOOKUP($B645,'Round 3'!$B$2:$H$361,7,false),1)="A","W",if(LEFT(VLOOKUP($B645,'Round 3'!$B$2:$H$361,7,false),1)="B","L","")),if(LEFT(VLOOKUP($B645,'Round 3'!$F$2:$H$361,3,false),1)="b","W",if(LEFT(VLOOKUP($B645,'Round 3'!$F$2:$H$361,3,false),1)="a","L","")))</f>
        <v>W</v>
      </c>
      <c r="G645" s="67" t="str">
        <f>iferror(if(LEFT(VLOOKUP($B645,'Round 4'!$B$2:$H$361,7,false),1)="A","W",if(LEFT(VLOOKUP($B645,'Round 4'!$B$2:$H$361,7,false),1)="B","L","")),if(LEFT(VLOOKUP($B645,'Round 4'!$F$2:$H$361,3,false),1)="b","W",if(LEFT(VLOOKUP($B645,'Round 4'!$F$2:$H$361,3,false),1)="a","L","")))</f>
        <v>W</v>
      </c>
      <c r="H645" s="67" t="str">
        <f>iferror(if(LEFT(VLOOKUP($B645,'Round 5'!$B$2:$H$361,7,false),1)="A","W",if(LEFT(VLOOKUP($B645,'Round 5'!$B$2:$H$361,7,false),1)="B","L","")),if(LEFT(VLOOKUP($B645,'Round 5'!$F$2:$H$361,3,false),1)="b","W",if(LEFT(VLOOKUP($B645,'Round 5'!$F$2:$H$361,3,false),1)="a","L","")))</f>
        <v>L</v>
      </c>
      <c r="I645" s="67"/>
      <c r="J645" s="67" t="str">
        <f>iferror(iferror(if(LEFT(VLOOKUP($B645,'Round 7'!$B$2:$H$361,7,false),1)="A","W",if(LEFT(VLOOKUP($B645,'Round 7'!$B$2:$H$361,7,false),1)="B","L","")),if(LEFT(VLOOKUP($B645,'Round 7'!$F$2:$H$361,3,false),1)="b","W",if(LEFT(VLOOKUP($B645,'Round 7'!$F$2:$H$361,3,false),1)="a","L",""))),"")</f>
        <v/>
      </c>
      <c r="K645" s="68" t="str">
        <f>iferror(iferror(if(LEFT(VLOOKUP($B645,'Round 8'!$B$2:$H$361,7,false),1)="A","W",if(LEFT(VLOOKUP($B645,'Round 8'!$B$2:$H$361,7,false),1)="B","L","")),if(LEFT(VLOOKUP($B645,'Round 8'!$F$2:$H$361,3,false),1)="b","W",if(LEFT(VLOOKUP($B645,'Round 8'!$F$2:$H$361,3,false),1)="a","L",""))),"")</f>
        <v/>
      </c>
      <c r="L645" s="68" t="str">
        <f>iferror(iferror(if(LEFT(VLOOKUP($B645,'Round 9'!$B$2:$H$361,7,false),1)="A","W",if(LEFT(VLOOKUP($B645,'Round 9'!$B$2:$H$361,7,false),1)="B","L","")),if(LEFT(VLOOKUP($B645,'Round 9'!$F$2:$H$361,3,false),1)="b","W",if(LEFT(VLOOKUP($B645,'Round 9'!$F$2:$H$361,3,false),1)="a","L",""))),"")</f>
        <v/>
      </c>
      <c r="M645" s="68" t="str">
        <f>iferror(iferror(if(LEFT(VLOOKUP($B645,'Round 10'!$B$2:$H$362,7,false),1)="A","W",if(LEFT(VLOOKUP($B645,'Round 10'!$B$2:$H$362,7,false),1)="B","L","")),if(LEFT(VLOOKUP($B645,'Round 10'!$F$2:$H$362,3,false),1)="b","W",if(LEFT(VLOOKUP($B645,'Round 10'!$F$2:$H$362,3,false),1)="a","L",""))),"")</f>
        <v/>
      </c>
      <c r="N645" s="62" t="s">
        <v>1338</v>
      </c>
    </row>
    <row r="646">
      <c r="A646" s="63">
        <v>645.0</v>
      </c>
      <c r="B646" s="64" t="s">
        <v>1339</v>
      </c>
      <c r="C646" s="65" t="str">
        <f t="shared" si="1"/>
        <v>1 - 3</v>
      </c>
      <c r="D646" s="67" t="str">
        <f>iferror(if(LEFT(VLOOKUP($B646,'Round 1'!$B$2:$H$361,7,false),1)="A","W",if(LEFT(VLOOKUP($B646,'Round 1'!$B$2:$H$361,7,false),1)="B","L","")),if(LEFT(VLOOKUP($B646,'Round 1'!$F$2:$H$361,3,false),1)="b","W",if(LEFT(VLOOKUP($B646,'Round 1'!$F$2:$H$361,3,false),1)="a","L","")))</f>
        <v>L</v>
      </c>
      <c r="E646" s="67" t="str">
        <f>iferror(if(LEFT(VLOOKUP($B646,'Round 2'!$C$2:$J$361,8,false),1)="A","W",if(LEFT(VLOOKUP($B646,'Round 2'!$C$2:$J$361,8,false),1)="B","L","")),if(LEFT(VLOOKUP($B646,'Round 2'!$G$2:$J$361,4,false),1)="b","W",if(LEFT(VLOOKUP($B646,'Round 2'!$G$2:$J$361,4,false),1)="a","L","")))</f>
        <v>L</v>
      </c>
      <c r="F646" s="67" t="str">
        <f>iferror(if(LEFT(VLOOKUP($B646,'Round 3'!$B$2:$H$361,7,false),1)="A","W",if(LEFT(VLOOKUP($B646,'Round 3'!$B$2:$H$361,7,false),1)="B","L","")),if(LEFT(VLOOKUP($B646,'Round 3'!$F$2:$H$361,3,false),1)="b","W",if(LEFT(VLOOKUP($B646,'Round 3'!$F$2:$H$361,3,false),1)="a","L","")))</f>
        <v>W</v>
      </c>
      <c r="G646" s="67" t="str">
        <f>iferror(if(LEFT(VLOOKUP($B646,'Round 4'!$B$2:$H$361,7,false),1)="A","W",if(LEFT(VLOOKUP($B646,'Round 4'!$B$2:$H$361,7,false),1)="B","L","")),if(LEFT(VLOOKUP($B646,'Round 4'!$F$2:$H$361,3,false),1)="b","W",if(LEFT(VLOOKUP($B646,'Round 4'!$F$2:$H$361,3,false),1)="a","L","")))</f>
        <v>L</v>
      </c>
      <c r="H646" s="67"/>
      <c r="I646" s="67"/>
      <c r="J646" s="67" t="str">
        <f>iferror(iferror(if(LEFT(VLOOKUP($B646,'Round 7'!$B$2:$H$361,7,false),1)="A","W",if(LEFT(VLOOKUP($B646,'Round 7'!$B$2:$H$361,7,false),1)="B","L","")),if(LEFT(VLOOKUP($B646,'Round 7'!$F$2:$H$361,3,false),1)="b","W",if(LEFT(VLOOKUP($B646,'Round 7'!$F$2:$H$361,3,false),1)="a","L",""))),"")</f>
        <v/>
      </c>
      <c r="K646" s="68" t="str">
        <f>iferror(iferror(if(LEFT(VLOOKUP($B646,'Round 8'!$B$2:$H$361,7,false),1)="A","W",if(LEFT(VLOOKUP($B646,'Round 8'!$B$2:$H$361,7,false),1)="B","L","")),if(LEFT(VLOOKUP($B646,'Round 8'!$F$2:$H$361,3,false),1)="b","W",if(LEFT(VLOOKUP($B646,'Round 8'!$F$2:$H$361,3,false),1)="a","L",""))),"")</f>
        <v/>
      </c>
      <c r="L646" s="68" t="str">
        <f>iferror(iferror(if(LEFT(VLOOKUP($B646,'Round 9'!$B$2:$H$361,7,false),1)="A","W",if(LEFT(VLOOKUP($B646,'Round 9'!$B$2:$H$361,7,false),1)="B","L","")),if(LEFT(VLOOKUP($B646,'Round 9'!$F$2:$H$361,3,false),1)="b","W",if(LEFT(VLOOKUP($B646,'Round 9'!$F$2:$H$361,3,false),1)="a","L",""))),"")</f>
        <v/>
      </c>
      <c r="M646" s="68" t="str">
        <f>iferror(iferror(if(LEFT(VLOOKUP($B646,'Round 10'!$B$2:$H$362,7,false),1)="A","W",if(LEFT(VLOOKUP($B646,'Round 10'!$B$2:$H$362,7,false),1)="B","L","")),if(LEFT(VLOOKUP($B646,'Round 10'!$F$2:$H$362,3,false),1)="b","W",if(LEFT(VLOOKUP($B646,'Round 10'!$F$2:$H$362,3,false),1)="a","L",""))),"")</f>
        <v/>
      </c>
      <c r="N646" s="62" t="s">
        <v>1340</v>
      </c>
    </row>
    <row r="647">
      <c r="A647" s="63">
        <v>646.0</v>
      </c>
      <c r="B647" s="64" t="s">
        <v>1341</v>
      </c>
      <c r="C647" s="65" t="str">
        <f t="shared" si="1"/>
        <v>2 - 3</v>
      </c>
      <c r="D647" s="67" t="str">
        <f>iferror(if(LEFT(VLOOKUP($B647,'Round 1'!$B$2:$H$361,7,false),1)="A","W",if(LEFT(VLOOKUP($B647,'Round 1'!$B$2:$H$361,7,false),1)="B","L","")),if(LEFT(VLOOKUP($B647,'Round 1'!$F$2:$H$361,3,false),1)="b","W",if(LEFT(VLOOKUP($B647,'Round 1'!$F$2:$H$361,3,false),1)="a","L","")))</f>
        <v>L</v>
      </c>
      <c r="E647" s="67" t="str">
        <f>iferror(if(LEFT(VLOOKUP($B647,'Round 2'!$C$2:$J$361,8,false),1)="A","W",if(LEFT(VLOOKUP($B647,'Round 2'!$C$2:$J$361,8,false),1)="B","L","")),if(LEFT(VLOOKUP($B647,'Round 2'!$G$2:$J$361,4,false),1)="b","W",if(LEFT(VLOOKUP($B647,'Round 2'!$G$2:$J$361,4,false),1)="a","L","")))</f>
        <v>W</v>
      </c>
      <c r="F647" s="67" t="str">
        <f>iferror(if(LEFT(VLOOKUP($B647,'Round 3'!$B$2:$H$361,7,false),1)="A","W",if(LEFT(VLOOKUP($B647,'Round 3'!$B$2:$H$361,7,false),1)="B","L","")),if(LEFT(VLOOKUP($B647,'Round 3'!$F$2:$H$361,3,false),1)="b","W",if(LEFT(VLOOKUP($B647,'Round 3'!$F$2:$H$361,3,false),1)="a","L","")))</f>
        <v>L</v>
      </c>
      <c r="G647" s="67" t="str">
        <f>iferror(if(LEFT(VLOOKUP($B647,'Round 4'!$B$2:$H$361,7,false),1)="A","W",if(LEFT(VLOOKUP($B647,'Round 4'!$B$2:$H$361,7,false),1)="B","L","")),if(LEFT(VLOOKUP($B647,'Round 4'!$F$2:$H$361,3,false),1)="b","W",if(LEFT(VLOOKUP($B647,'Round 4'!$F$2:$H$361,3,false),1)="a","L","")))</f>
        <v>W</v>
      </c>
      <c r="H647" s="67" t="str">
        <f>iferror(if(LEFT(VLOOKUP($B647,'Round 5'!$B$2:$H$361,7,false),1)="A","W",if(LEFT(VLOOKUP($B647,'Round 5'!$B$2:$H$361,7,false),1)="B","L","")),if(LEFT(VLOOKUP($B647,'Round 5'!$F$2:$H$361,3,false),1)="b","W",if(LEFT(VLOOKUP($B647,'Round 5'!$F$2:$H$361,3,false),1)="a","L","")))</f>
        <v>L</v>
      </c>
      <c r="I647" s="67"/>
      <c r="J647" s="67" t="str">
        <f>iferror(iferror(if(LEFT(VLOOKUP($B647,'Round 7'!$B$2:$H$361,7,false),1)="A","W",if(LEFT(VLOOKUP($B647,'Round 7'!$B$2:$H$361,7,false),1)="B","L","")),if(LEFT(VLOOKUP($B647,'Round 7'!$F$2:$H$361,3,false),1)="b","W",if(LEFT(VLOOKUP($B647,'Round 7'!$F$2:$H$361,3,false),1)="a","L",""))),"")</f>
        <v/>
      </c>
      <c r="K647" s="68" t="str">
        <f>iferror(iferror(if(LEFT(VLOOKUP($B647,'Round 8'!$B$2:$H$361,7,false),1)="A","W",if(LEFT(VLOOKUP($B647,'Round 8'!$B$2:$H$361,7,false),1)="B","L","")),if(LEFT(VLOOKUP($B647,'Round 8'!$F$2:$H$361,3,false),1)="b","W",if(LEFT(VLOOKUP($B647,'Round 8'!$F$2:$H$361,3,false),1)="a","L",""))),"")</f>
        <v/>
      </c>
      <c r="L647" s="68" t="str">
        <f>iferror(iferror(if(LEFT(VLOOKUP($B647,'Round 9'!$B$2:$H$361,7,false),1)="A","W",if(LEFT(VLOOKUP($B647,'Round 9'!$B$2:$H$361,7,false),1)="B","L","")),if(LEFT(VLOOKUP($B647,'Round 9'!$F$2:$H$361,3,false),1)="b","W",if(LEFT(VLOOKUP($B647,'Round 9'!$F$2:$H$361,3,false),1)="a","L",""))),"")</f>
        <v/>
      </c>
      <c r="M647" s="68" t="str">
        <f>iferror(iferror(if(LEFT(VLOOKUP($B647,'Round 10'!$B$2:$H$362,7,false),1)="A","W",if(LEFT(VLOOKUP($B647,'Round 10'!$B$2:$H$362,7,false),1)="B","L","")),if(LEFT(VLOOKUP($B647,'Round 10'!$F$2:$H$362,3,false),1)="b","W",if(LEFT(VLOOKUP($B647,'Round 10'!$F$2:$H$362,3,false),1)="a","L",""))),"")</f>
        <v/>
      </c>
      <c r="N647" s="62" t="s">
        <v>1342</v>
      </c>
    </row>
    <row r="648">
      <c r="A648" s="63">
        <v>647.0</v>
      </c>
      <c r="B648" s="64" t="s">
        <v>1343</v>
      </c>
      <c r="C648" s="65" t="str">
        <f t="shared" si="1"/>
        <v>3 - 3</v>
      </c>
      <c r="D648" s="67" t="str">
        <f>iferror(if(LEFT(VLOOKUP($B648,'Round 1'!$B$2:$H$361,7,false),1)="A","W",if(LEFT(VLOOKUP($B648,'Round 1'!$B$2:$H$361,7,false),1)="B","L","")),if(LEFT(VLOOKUP($B648,'Round 1'!$F$2:$H$361,3,false),1)="b","W",if(LEFT(VLOOKUP($B648,'Round 1'!$F$2:$H$361,3,false),1)="a","L","")))</f>
        <v>L</v>
      </c>
      <c r="E648" s="67" t="str">
        <f>iferror(if(LEFT(VLOOKUP($B648,'Round 2'!$C$2:$J$361,8,false),1)="A","W",if(LEFT(VLOOKUP($B648,'Round 2'!$C$2:$J$361,8,false),1)="B","L","")),if(LEFT(VLOOKUP($B648,'Round 2'!$G$2:$J$361,4,false),1)="b","W",if(LEFT(VLOOKUP($B648,'Round 2'!$G$2:$J$361,4,false),1)="a","L","")))</f>
        <v>W</v>
      </c>
      <c r="F648" s="67" t="str">
        <f>iferror(if(LEFT(VLOOKUP($B648,'Round 3'!$B$2:$H$361,7,false),1)="A","W",if(LEFT(VLOOKUP($B648,'Round 3'!$B$2:$H$361,7,false),1)="B","L","")),if(LEFT(VLOOKUP($B648,'Round 3'!$F$2:$H$361,3,false),1)="b","W",if(LEFT(VLOOKUP($B648,'Round 3'!$F$2:$H$361,3,false),1)="a","L","")))</f>
        <v>L</v>
      </c>
      <c r="G648" s="67" t="str">
        <f>iferror(if(LEFT(VLOOKUP($B648,'Round 4'!$B$2:$H$361,7,false),1)="A","W",if(LEFT(VLOOKUP($B648,'Round 4'!$B$2:$H$361,7,false),1)="B","L","")),if(LEFT(VLOOKUP($B648,'Round 4'!$F$2:$H$361,3,false),1)="b","W",if(LEFT(VLOOKUP($B648,'Round 4'!$F$2:$H$361,3,false),1)="a","L","")))</f>
        <v>W</v>
      </c>
      <c r="H648" s="67" t="str">
        <f>iferror(if(LEFT(VLOOKUP($B648,'Round 5'!$B$2:$H$361,7,false),1)="A","W",if(LEFT(VLOOKUP($B648,'Round 5'!$B$2:$H$361,7,false),1)="B","L","")),if(LEFT(VLOOKUP($B648,'Round 5'!$F$2:$H$361,3,false),1)="b","W",if(LEFT(VLOOKUP($B648,'Round 5'!$F$2:$H$361,3,false),1)="a","L","")))</f>
        <v>W</v>
      </c>
      <c r="I648" s="67" t="str">
        <f>iferror(if(LEFT(VLOOKUP($B648,'Round 6'!$B$2:$H$361,7,false),1)="A","W",if(LEFT(VLOOKUP($B648,'Round 6'!$B$2:$H$361,7,false),1)="B","L","")),if(LEFT(VLOOKUP($B648,'Round 6'!$F$2:$H$361,3,false),1)="b","W",if(LEFT(VLOOKUP($B648,'Round 6'!$F$2:$H$361,3,false),1)="a","L","")))</f>
        <v>L</v>
      </c>
      <c r="J648" s="67" t="str">
        <f>iferror(iferror(if(LEFT(VLOOKUP($B648,'Round 7'!$B$2:$H$361,7,false),1)="A","W",if(LEFT(VLOOKUP($B648,'Round 7'!$B$2:$H$361,7,false),1)="B","L","")),if(LEFT(VLOOKUP($B648,'Round 7'!$F$2:$H$361,3,false),1)="b","W",if(LEFT(VLOOKUP($B648,'Round 7'!$F$2:$H$361,3,false),1)="a","L",""))),"")</f>
        <v/>
      </c>
      <c r="K648" s="68" t="str">
        <f>iferror(iferror(if(LEFT(VLOOKUP($B648,'Round 8'!$B$2:$H$361,7,false),1)="A","W",if(LEFT(VLOOKUP($B648,'Round 8'!$B$2:$H$361,7,false),1)="B","L","")),if(LEFT(VLOOKUP($B648,'Round 8'!$F$2:$H$361,3,false),1)="b","W",if(LEFT(VLOOKUP($B648,'Round 8'!$F$2:$H$361,3,false),1)="a","L",""))),"")</f>
        <v/>
      </c>
      <c r="L648" s="68" t="str">
        <f>iferror(iferror(if(LEFT(VLOOKUP($B648,'Round 9'!$B$2:$H$361,7,false),1)="A","W",if(LEFT(VLOOKUP($B648,'Round 9'!$B$2:$H$361,7,false),1)="B","L","")),if(LEFT(VLOOKUP($B648,'Round 9'!$F$2:$H$361,3,false),1)="b","W",if(LEFT(VLOOKUP($B648,'Round 9'!$F$2:$H$361,3,false),1)="a","L",""))),"")</f>
        <v/>
      </c>
      <c r="M648" s="68" t="str">
        <f>iferror(iferror(if(LEFT(VLOOKUP($B648,'Round 10'!$B$2:$H$362,7,false),1)="A","W",if(LEFT(VLOOKUP($B648,'Round 10'!$B$2:$H$362,7,false),1)="B","L","")),if(LEFT(VLOOKUP($B648,'Round 10'!$F$2:$H$362,3,false),1)="b","W",if(LEFT(VLOOKUP($B648,'Round 10'!$F$2:$H$362,3,false),1)="a","L",""))),"")</f>
        <v/>
      </c>
      <c r="N648" s="62" t="s">
        <v>1344</v>
      </c>
    </row>
    <row r="649">
      <c r="A649" s="63">
        <v>648.0</v>
      </c>
      <c r="B649" s="64" t="s">
        <v>1345</v>
      </c>
      <c r="C649" s="65" t="str">
        <f t="shared" si="1"/>
        <v>3 - 3</v>
      </c>
      <c r="D649" s="67" t="str">
        <f>iferror(if(LEFT(VLOOKUP($B649,'Round 1'!$B$2:$H$361,7,false),1)="A","W",if(LEFT(VLOOKUP($B649,'Round 1'!$B$2:$H$361,7,false),1)="B","L","")),if(LEFT(VLOOKUP($B649,'Round 1'!$F$2:$H$361,3,false),1)="b","W",if(LEFT(VLOOKUP($B649,'Round 1'!$F$2:$H$361,3,false),1)="a","L","")))</f>
        <v>L</v>
      </c>
      <c r="E649" s="67" t="str">
        <f>iferror(if(LEFT(VLOOKUP($B649,'Round 2'!$C$2:$J$361,8,false),1)="A","W",if(LEFT(VLOOKUP($B649,'Round 2'!$C$2:$J$361,8,false),1)="B","L","")),if(LEFT(VLOOKUP($B649,'Round 2'!$G$2:$J$361,4,false),1)="b","W",if(LEFT(VLOOKUP($B649,'Round 2'!$G$2:$J$361,4,false),1)="a","L","")))</f>
        <v>W</v>
      </c>
      <c r="F649" s="67" t="str">
        <f>iferror(if(LEFT(VLOOKUP($B649,'Round 3'!$B$2:$H$361,7,false),1)="A","W",if(LEFT(VLOOKUP($B649,'Round 3'!$B$2:$H$361,7,false),1)="B","L","")),if(LEFT(VLOOKUP($B649,'Round 3'!$F$2:$H$361,3,false),1)="b","W",if(LEFT(VLOOKUP($B649,'Round 3'!$F$2:$H$361,3,false),1)="a","L","")))</f>
        <v>W</v>
      </c>
      <c r="G649" s="67" t="str">
        <f>iferror(if(LEFT(VLOOKUP($B649,'Round 4'!$B$2:$H$361,7,false),1)="A","W",if(LEFT(VLOOKUP($B649,'Round 4'!$B$2:$H$361,7,false),1)="B","L","")),if(LEFT(VLOOKUP($B649,'Round 4'!$F$2:$H$361,3,false),1)="b","W",if(LEFT(VLOOKUP($B649,'Round 4'!$F$2:$H$361,3,false),1)="a","L","")))</f>
        <v>L</v>
      </c>
      <c r="H649" s="67" t="str">
        <f>iferror(if(LEFT(VLOOKUP($B649,'Round 5'!$B$2:$H$361,7,false),1)="A","W",if(LEFT(VLOOKUP($B649,'Round 5'!$B$2:$H$361,7,false),1)="B","L","")),if(LEFT(VLOOKUP($B649,'Round 5'!$F$2:$H$361,3,false),1)="b","W",if(LEFT(VLOOKUP($B649,'Round 5'!$F$2:$H$361,3,false),1)="a","L","")))</f>
        <v>W</v>
      </c>
      <c r="I649" s="67" t="str">
        <f>iferror(if(LEFT(VLOOKUP($B649,'Round 6'!$B$2:$H$361,7,false),1)="A","W",if(LEFT(VLOOKUP($B649,'Round 6'!$B$2:$H$361,7,false),1)="B","L","")),if(LEFT(VLOOKUP($B649,'Round 6'!$F$2:$H$361,3,false),1)="b","W",if(LEFT(VLOOKUP($B649,'Round 6'!$F$2:$H$361,3,false),1)="a","L","")))</f>
        <v>L</v>
      </c>
      <c r="J649" s="67" t="str">
        <f>iferror(iferror(if(LEFT(VLOOKUP($B649,'Round 7'!$B$2:$H$361,7,false),1)="A","W",if(LEFT(VLOOKUP($B649,'Round 7'!$B$2:$H$361,7,false),1)="B","L","")),if(LEFT(VLOOKUP($B649,'Round 7'!$F$2:$H$361,3,false),1)="b","W",if(LEFT(VLOOKUP($B649,'Round 7'!$F$2:$H$361,3,false),1)="a","L",""))),"")</f>
        <v/>
      </c>
      <c r="K649" s="68" t="str">
        <f>iferror(iferror(if(LEFT(VLOOKUP($B649,'Round 8'!$B$2:$H$361,7,false),1)="A","W",if(LEFT(VLOOKUP($B649,'Round 8'!$B$2:$H$361,7,false),1)="B","L","")),if(LEFT(VLOOKUP($B649,'Round 8'!$F$2:$H$361,3,false),1)="b","W",if(LEFT(VLOOKUP($B649,'Round 8'!$F$2:$H$361,3,false),1)="a","L",""))),"")</f>
        <v/>
      </c>
      <c r="L649" s="68" t="str">
        <f>iferror(iferror(if(LEFT(VLOOKUP($B649,'Round 9'!$B$2:$H$361,7,false),1)="A","W",if(LEFT(VLOOKUP($B649,'Round 9'!$B$2:$H$361,7,false),1)="B","L","")),if(LEFT(VLOOKUP($B649,'Round 9'!$F$2:$H$361,3,false),1)="b","W",if(LEFT(VLOOKUP($B649,'Round 9'!$F$2:$H$361,3,false),1)="a","L",""))),"")</f>
        <v/>
      </c>
      <c r="M649" s="68" t="str">
        <f>iferror(iferror(if(LEFT(VLOOKUP($B649,'Round 10'!$B$2:$H$362,7,false),1)="A","W",if(LEFT(VLOOKUP($B649,'Round 10'!$B$2:$H$362,7,false),1)="B","L","")),if(LEFT(VLOOKUP($B649,'Round 10'!$F$2:$H$362,3,false),1)="b","W",if(LEFT(VLOOKUP($B649,'Round 10'!$F$2:$H$362,3,false),1)="a","L",""))),"")</f>
        <v/>
      </c>
      <c r="N649" s="62" t="s">
        <v>1346</v>
      </c>
    </row>
    <row r="650">
      <c r="A650" s="63">
        <v>649.0</v>
      </c>
      <c r="B650" s="64" t="s">
        <v>1347</v>
      </c>
      <c r="C650" s="65" t="str">
        <f t="shared" si="1"/>
        <v>0 - 3</v>
      </c>
      <c r="D650" s="67" t="str">
        <f>iferror(if(LEFT(VLOOKUP($B650,'Round 1'!$B$2:$H$361,7,false),1)="A","W",if(LEFT(VLOOKUP($B650,'Round 1'!$B$2:$H$361,7,false),1)="B","L","")),if(LEFT(VLOOKUP($B650,'Round 1'!$F$2:$H$361,3,false),1)="b","W",if(LEFT(VLOOKUP($B650,'Round 1'!$F$2:$H$361,3,false),1)="a","L","")))</f>
        <v>L</v>
      </c>
      <c r="E650" s="67" t="str">
        <f>iferror(if(LEFT(VLOOKUP($B650,'Round 2'!$C$2:$J$361,8,false),1)="A","W",if(LEFT(VLOOKUP($B650,'Round 2'!$C$2:$J$361,8,false),1)="B","L","")),if(LEFT(VLOOKUP($B650,'Round 2'!$G$2:$J$361,4,false),1)="b","W",if(LEFT(VLOOKUP($B650,'Round 2'!$G$2:$J$361,4,false),1)="a","L","")))</f>
        <v>L</v>
      </c>
      <c r="F650" s="67" t="str">
        <f>iferror(if(LEFT(VLOOKUP($B650,'Round 3'!$B$2:$H$361,7,false),1)="A","W",if(LEFT(VLOOKUP($B650,'Round 3'!$B$2:$H$361,7,false),1)="B","L","")),if(LEFT(VLOOKUP($B650,'Round 3'!$F$2:$H$361,3,false),1)="b","W",if(LEFT(VLOOKUP($B650,'Round 3'!$F$2:$H$361,3,false),1)="a","L","")))</f>
        <v>L</v>
      </c>
      <c r="G650" s="67"/>
      <c r="H650" s="67"/>
      <c r="I650" s="67"/>
      <c r="J650" s="67" t="str">
        <f>iferror(iferror(if(LEFT(VLOOKUP($B650,'Round 7'!$B$2:$H$361,7,false),1)="A","W",if(LEFT(VLOOKUP($B650,'Round 7'!$B$2:$H$361,7,false),1)="B","L","")),if(LEFT(VLOOKUP($B650,'Round 7'!$F$2:$H$361,3,false),1)="b","W",if(LEFT(VLOOKUP($B650,'Round 7'!$F$2:$H$361,3,false),1)="a","L",""))),"")</f>
        <v/>
      </c>
      <c r="K650" s="68" t="str">
        <f>iferror(iferror(if(LEFT(VLOOKUP($B650,'Round 8'!$B$2:$H$361,7,false),1)="A","W",if(LEFT(VLOOKUP($B650,'Round 8'!$B$2:$H$361,7,false),1)="B","L","")),if(LEFT(VLOOKUP($B650,'Round 8'!$F$2:$H$361,3,false),1)="b","W",if(LEFT(VLOOKUP($B650,'Round 8'!$F$2:$H$361,3,false),1)="a","L",""))),"")</f>
        <v/>
      </c>
      <c r="L650" s="68" t="str">
        <f>iferror(iferror(if(LEFT(VLOOKUP($B650,'Round 9'!$B$2:$H$361,7,false),1)="A","W",if(LEFT(VLOOKUP($B650,'Round 9'!$B$2:$H$361,7,false),1)="B","L","")),if(LEFT(VLOOKUP($B650,'Round 9'!$F$2:$H$361,3,false),1)="b","W",if(LEFT(VLOOKUP($B650,'Round 9'!$F$2:$H$361,3,false),1)="a","L",""))),"")</f>
        <v/>
      </c>
      <c r="M650" s="68" t="str">
        <f>iferror(iferror(if(LEFT(VLOOKUP($B650,'Round 10'!$B$2:$H$362,7,false),1)="A","W",if(LEFT(VLOOKUP($B650,'Round 10'!$B$2:$H$362,7,false),1)="B","L","")),if(LEFT(VLOOKUP($B650,'Round 10'!$F$2:$H$362,3,false),1)="b","W",if(LEFT(VLOOKUP($B650,'Round 10'!$F$2:$H$362,3,false),1)="a","L",""))),"")</f>
        <v/>
      </c>
      <c r="N650" s="62" t="s">
        <v>1348</v>
      </c>
    </row>
    <row r="651">
      <c r="A651" s="63">
        <v>650.0</v>
      </c>
      <c r="B651" s="64" t="s">
        <v>1349</v>
      </c>
      <c r="C651" s="65" t="str">
        <f t="shared" si="1"/>
        <v>0 - 3</v>
      </c>
      <c r="D651" s="67" t="str">
        <f>iferror(if(LEFT(VLOOKUP($B651,'Round 1'!$B$2:$H$361,7,false),1)="A","W",if(LEFT(VLOOKUP($B651,'Round 1'!$B$2:$H$361,7,false),1)="B","L","")),if(LEFT(VLOOKUP($B651,'Round 1'!$F$2:$H$361,3,false),1)="b","W",if(LEFT(VLOOKUP($B651,'Round 1'!$F$2:$H$361,3,false),1)="a","L","")))</f>
        <v>L</v>
      </c>
      <c r="E651" s="67" t="str">
        <f>iferror(if(LEFT(VLOOKUP($B651,'Round 2'!$C$2:$J$361,8,false),1)="A","W",if(LEFT(VLOOKUP($B651,'Round 2'!$C$2:$J$361,8,false),1)="B","L","")),if(LEFT(VLOOKUP($B651,'Round 2'!$G$2:$J$361,4,false),1)="b","W",if(LEFT(VLOOKUP($B651,'Round 2'!$G$2:$J$361,4,false),1)="a","L","")))</f>
        <v>L</v>
      </c>
      <c r="F651" s="67" t="str">
        <f>iferror(if(LEFT(VLOOKUP($B651,'Round 3'!$B$2:$H$361,7,false),1)="A","W",if(LEFT(VLOOKUP($B651,'Round 3'!$B$2:$H$361,7,false),1)="B","L","")),if(LEFT(VLOOKUP($B651,'Round 3'!$F$2:$H$361,3,false),1)="b","W",if(LEFT(VLOOKUP($B651,'Round 3'!$F$2:$H$361,3,false),1)="a","L","")))</f>
        <v>L</v>
      </c>
      <c r="G651" s="67"/>
      <c r="H651" s="67"/>
      <c r="I651" s="67"/>
      <c r="J651" s="67" t="str">
        <f>iferror(iferror(if(LEFT(VLOOKUP($B651,'Round 7'!$B$2:$H$361,7,false),1)="A","W",if(LEFT(VLOOKUP($B651,'Round 7'!$B$2:$H$361,7,false),1)="B","L","")),if(LEFT(VLOOKUP($B651,'Round 7'!$F$2:$H$361,3,false),1)="b","W",if(LEFT(VLOOKUP($B651,'Round 7'!$F$2:$H$361,3,false),1)="a","L",""))),"")</f>
        <v/>
      </c>
      <c r="K651" s="68" t="str">
        <f>iferror(iferror(if(LEFT(VLOOKUP($B651,'Round 8'!$B$2:$H$361,7,false),1)="A","W",if(LEFT(VLOOKUP($B651,'Round 8'!$B$2:$H$361,7,false),1)="B","L","")),if(LEFT(VLOOKUP($B651,'Round 8'!$F$2:$H$361,3,false),1)="b","W",if(LEFT(VLOOKUP($B651,'Round 8'!$F$2:$H$361,3,false),1)="a","L",""))),"")</f>
        <v/>
      </c>
      <c r="L651" s="68" t="str">
        <f>iferror(iferror(if(LEFT(VLOOKUP($B651,'Round 9'!$B$2:$H$361,7,false),1)="A","W",if(LEFT(VLOOKUP($B651,'Round 9'!$B$2:$H$361,7,false),1)="B","L","")),if(LEFT(VLOOKUP($B651,'Round 9'!$F$2:$H$361,3,false),1)="b","W",if(LEFT(VLOOKUP($B651,'Round 9'!$F$2:$H$361,3,false),1)="a","L",""))),"")</f>
        <v/>
      </c>
      <c r="M651" s="68" t="str">
        <f>iferror(iferror(if(LEFT(VLOOKUP($B651,'Round 10'!$B$2:$H$362,7,false),1)="A","W",if(LEFT(VLOOKUP($B651,'Round 10'!$B$2:$H$362,7,false),1)="B","L","")),if(LEFT(VLOOKUP($B651,'Round 10'!$F$2:$H$362,3,false),1)="b","W",if(LEFT(VLOOKUP($B651,'Round 10'!$F$2:$H$362,3,false),1)="a","L",""))),"")</f>
        <v/>
      </c>
      <c r="N651" s="62" t="s">
        <v>1350</v>
      </c>
    </row>
    <row r="652">
      <c r="A652" s="63">
        <v>651.0</v>
      </c>
      <c r="B652" s="64" t="s">
        <v>1351</v>
      </c>
      <c r="C652" s="65" t="str">
        <f t="shared" si="1"/>
        <v>1 - 3</v>
      </c>
      <c r="D652" s="67" t="str">
        <f>iferror(if(LEFT(VLOOKUP($B652,'Round 1'!$B$2:$H$361,7,false),1)="A","W",if(LEFT(VLOOKUP($B652,'Round 1'!$B$2:$H$361,7,false),1)="B","L","")),if(LEFT(VLOOKUP($B652,'Round 1'!$F$2:$H$361,3,false),1)="b","W",if(LEFT(VLOOKUP($B652,'Round 1'!$F$2:$H$361,3,false),1)="a","L","")))</f>
        <v>L</v>
      </c>
      <c r="E652" s="67" t="str">
        <f>iferror(if(LEFT(VLOOKUP($B652,'Round 2'!$C$2:$J$361,8,false),1)="A","W",if(LEFT(VLOOKUP($B652,'Round 2'!$C$2:$J$361,8,false),1)="B","L","")),if(LEFT(VLOOKUP($B652,'Round 2'!$G$2:$J$361,4,false),1)="b","W",if(LEFT(VLOOKUP($B652,'Round 2'!$G$2:$J$361,4,false),1)="a","L","")))</f>
        <v>W</v>
      </c>
      <c r="F652" s="67" t="str">
        <f>iferror(if(LEFT(VLOOKUP($B652,'Round 3'!$B$2:$H$361,7,false),1)="A","W",if(LEFT(VLOOKUP($B652,'Round 3'!$B$2:$H$361,7,false),1)="B","L","")),if(LEFT(VLOOKUP($B652,'Round 3'!$F$2:$H$361,3,false),1)="b","W",if(LEFT(VLOOKUP($B652,'Round 3'!$F$2:$H$361,3,false),1)="a","L","")))</f>
        <v>L</v>
      </c>
      <c r="G652" s="67" t="str">
        <f>iferror(if(LEFT(VLOOKUP($B652,'Round 4'!$B$2:$H$361,7,false),1)="A","W",if(LEFT(VLOOKUP($B652,'Round 4'!$B$2:$H$361,7,false),1)="B","L","")),if(LEFT(VLOOKUP($B652,'Round 4'!$F$2:$H$361,3,false),1)="b","W",if(LEFT(VLOOKUP($B652,'Round 4'!$F$2:$H$361,3,false),1)="a","L","")))</f>
        <v>L</v>
      </c>
      <c r="H652" s="67"/>
      <c r="I652" s="67"/>
      <c r="J652" s="67" t="str">
        <f>iferror(iferror(if(LEFT(VLOOKUP($B652,'Round 7'!$B$2:$H$361,7,false),1)="A","W",if(LEFT(VLOOKUP($B652,'Round 7'!$B$2:$H$361,7,false),1)="B","L","")),if(LEFT(VLOOKUP($B652,'Round 7'!$F$2:$H$361,3,false),1)="b","W",if(LEFT(VLOOKUP($B652,'Round 7'!$F$2:$H$361,3,false),1)="a","L",""))),"")</f>
        <v/>
      </c>
      <c r="K652" s="68" t="str">
        <f>iferror(iferror(if(LEFT(VLOOKUP($B652,'Round 8'!$B$2:$H$361,7,false),1)="A","W",if(LEFT(VLOOKUP($B652,'Round 8'!$B$2:$H$361,7,false),1)="B","L","")),if(LEFT(VLOOKUP($B652,'Round 8'!$F$2:$H$361,3,false),1)="b","W",if(LEFT(VLOOKUP($B652,'Round 8'!$F$2:$H$361,3,false),1)="a","L",""))),"")</f>
        <v/>
      </c>
      <c r="L652" s="68" t="str">
        <f>iferror(iferror(if(LEFT(VLOOKUP($B652,'Round 9'!$B$2:$H$361,7,false),1)="A","W",if(LEFT(VLOOKUP($B652,'Round 9'!$B$2:$H$361,7,false),1)="B","L","")),if(LEFT(VLOOKUP($B652,'Round 9'!$F$2:$H$361,3,false),1)="b","W",if(LEFT(VLOOKUP($B652,'Round 9'!$F$2:$H$361,3,false),1)="a","L",""))),"")</f>
        <v/>
      </c>
      <c r="M652" s="68" t="str">
        <f>iferror(iferror(if(LEFT(VLOOKUP($B652,'Round 10'!$B$2:$H$362,7,false),1)="A","W",if(LEFT(VLOOKUP($B652,'Round 10'!$B$2:$H$362,7,false),1)="B","L","")),if(LEFT(VLOOKUP($B652,'Round 10'!$F$2:$H$362,3,false),1)="b","W",if(LEFT(VLOOKUP($B652,'Round 10'!$F$2:$H$362,3,false),1)="a","L",""))),"")</f>
        <v/>
      </c>
      <c r="N652" s="62" t="s">
        <v>1352</v>
      </c>
    </row>
    <row r="653">
      <c r="A653" s="63">
        <v>652.0</v>
      </c>
      <c r="B653" s="64" t="s">
        <v>1353</v>
      </c>
      <c r="C653" s="65" t="str">
        <f t="shared" si="1"/>
        <v>1 - 3</v>
      </c>
      <c r="D653" s="67" t="str">
        <f>iferror(if(LEFT(VLOOKUP($B653,'Round 1'!$B$2:$H$361,7,false),1)="A","W",if(LEFT(VLOOKUP($B653,'Round 1'!$B$2:$H$361,7,false),1)="B","L","")),if(LEFT(VLOOKUP($B653,'Round 1'!$F$2:$H$361,3,false),1)="b","W",if(LEFT(VLOOKUP($B653,'Round 1'!$F$2:$H$361,3,false),1)="a","L","")))</f>
        <v>L</v>
      </c>
      <c r="E653" s="67" t="str">
        <f>iferror(if(LEFT(VLOOKUP($B653,'Round 2'!$C$2:$J$361,8,false),1)="A","W",if(LEFT(VLOOKUP($B653,'Round 2'!$C$2:$J$361,8,false),1)="B","L","")),if(LEFT(VLOOKUP($B653,'Round 2'!$G$2:$J$361,4,false),1)="b","W",if(LEFT(VLOOKUP($B653,'Round 2'!$G$2:$J$361,4,false),1)="a","L","")))</f>
        <v>W</v>
      </c>
      <c r="F653" s="67" t="str">
        <f>iferror(if(LEFT(VLOOKUP($B653,'Round 3'!$B$2:$H$361,7,false),1)="A","W",if(LEFT(VLOOKUP($B653,'Round 3'!$B$2:$H$361,7,false),1)="B","L","")),if(LEFT(VLOOKUP($B653,'Round 3'!$F$2:$H$361,3,false),1)="b","W",if(LEFT(VLOOKUP($B653,'Round 3'!$F$2:$H$361,3,false),1)="a","L","")))</f>
        <v>L</v>
      </c>
      <c r="G653" s="67" t="str">
        <f>iferror(if(LEFT(VLOOKUP($B653,'Round 4'!$B$2:$H$361,7,false),1)="A","W",if(LEFT(VLOOKUP($B653,'Round 4'!$B$2:$H$361,7,false),1)="B","L","")),if(LEFT(VLOOKUP($B653,'Round 4'!$F$2:$H$361,3,false),1)="b","W",if(LEFT(VLOOKUP($B653,'Round 4'!$F$2:$H$361,3,false),1)="a","L","")))</f>
        <v>L</v>
      </c>
      <c r="H653" s="67"/>
      <c r="I653" s="67"/>
      <c r="J653" s="67" t="str">
        <f>iferror(iferror(if(LEFT(VLOOKUP($B653,'Round 7'!$B$2:$H$361,7,false),1)="A","W",if(LEFT(VLOOKUP($B653,'Round 7'!$B$2:$H$361,7,false),1)="B","L","")),if(LEFT(VLOOKUP($B653,'Round 7'!$F$2:$H$361,3,false),1)="b","W",if(LEFT(VLOOKUP($B653,'Round 7'!$F$2:$H$361,3,false),1)="a","L",""))),"")</f>
        <v/>
      </c>
      <c r="K653" s="68" t="str">
        <f>iferror(iferror(if(LEFT(VLOOKUP($B653,'Round 8'!$B$2:$H$361,7,false),1)="A","W",if(LEFT(VLOOKUP($B653,'Round 8'!$B$2:$H$361,7,false),1)="B","L","")),if(LEFT(VLOOKUP($B653,'Round 8'!$F$2:$H$361,3,false),1)="b","W",if(LEFT(VLOOKUP($B653,'Round 8'!$F$2:$H$361,3,false),1)="a","L",""))),"")</f>
        <v/>
      </c>
      <c r="L653" s="68" t="str">
        <f>iferror(iferror(if(LEFT(VLOOKUP($B653,'Round 9'!$B$2:$H$361,7,false),1)="A","W",if(LEFT(VLOOKUP($B653,'Round 9'!$B$2:$H$361,7,false),1)="B","L","")),if(LEFT(VLOOKUP($B653,'Round 9'!$F$2:$H$361,3,false),1)="b","W",if(LEFT(VLOOKUP($B653,'Round 9'!$F$2:$H$361,3,false),1)="a","L",""))),"")</f>
        <v/>
      </c>
      <c r="M653" s="68" t="str">
        <f>iferror(iferror(if(LEFT(VLOOKUP($B653,'Round 10'!$B$2:$H$362,7,false),1)="A","W",if(LEFT(VLOOKUP($B653,'Round 10'!$B$2:$H$362,7,false),1)="B","L","")),if(LEFT(VLOOKUP($B653,'Round 10'!$F$2:$H$362,3,false),1)="b","W",if(LEFT(VLOOKUP($B653,'Round 10'!$F$2:$H$362,3,false),1)="a","L",""))),"")</f>
        <v/>
      </c>
      <c r="N653" s="62" t="s">
        <v>1354</v>
      </c>
    </row>
    <row r="654">
      <c r="A654" s="63">
        <v>653.0</v>
      </c>
      <c r="B654" s="64" t="s">
        <v>1355</v>
      </c>
      <c r="C654" s="65" t="str">
        <f t="shared" si="1"/>
        <v>0 - 3</v>
      </c>
      <c r="D654" s="67" t="str">
        <f>iferror(if(LEFT(VLOOKUP($B654,'Round 1'!$B$2:$H$361,7,false),1)="A","W",if(LEFT(VLOOKUP($B654,'Round 1'!$B$2:$H$361,7,false),1)="B","L","")),if(LEFT(VLOOKUP($B654,'Round 1'!$F$2:$H$361,3,false),1)="b","W",if(LEFT(VLOOKUP($B654,'Round 1'!$F$2:$H$361,3,false),1)="a","L","")))</f>
        <v>L</v>
      </c>
      <c r="E654" s="67" t="str">
        <f>iferror(if(LEFT(VLOOKUP($B654,'Round 2'!$C$2:$J$361,8,false),1)="A","W",if(LEFT(VLOOKUP($B654,'Round 2'!$C$2:$J$361,8,false),1)="B","L","")),if(LEFT(VLOOKUP($B654,'Round 2'!$G$2:$J$361,4,false),1)="b","W",if(LEFT(VLOOKUP($B654,'Round 2'!$G$2:$J$361,4,false),1)="a","L","")))</f>
        <v>L</v>
      </c>
      <c r="F654" s="67" t="str">
        <f>iferror(if(LEFT(VLOOKUP($B654,'Round 3'!$B$2:$H$361,7,false),1)="A","W",if(LEFT(VLOOKUP($B654,'Round 3'!$B$2:$H$361,7,false),1)="B","L","")),if(LEFT(VLOOKUP($B654,'Round 3'!$F$2:$H$361,3,false),1)="b","W",if(LEFT(VLOOKUP($B654,'Round 3'!$F$2:$H$361,3,false),1)="a","L","")))</f>
        <v>L</v>
      </c>
      <c r="G654" s="67"/>
      <c r="H654" s="67"/>
      <c r="I654" s="67"/>
      <c r="J654" s="67" t="str">
        <f>iferror(iferror(if(LEFT(VLOOKUP($B654,'Round 7'!$B$2:$H$361,7,false),1)="A","W",if(LEFT(VLOOKUP($B654,'Round 7'!$B$2:$H$361,7,false),1)="B","L","")),if(LEFT(VLOOKUP($B654,'Round 7'!$F$2:$H$361,3,false),1)="b","W",if(LEFT(VLOOKUP($B654,'Round 7'!$F$2:$H$361,3,false),1)="a","L",""))),"")</f>
        <v/>
      </c>
      <c r="K654" s="68" t="str">
        <f>iferror(iferror(if(LEFT(VLOOKUP($B654,'Round 8'!$B$2:$H$361,7,false),1)="A","W",if(LEFT(VLOOKUP($B654,'Round 8'!$B$2:$H$361,7,false),1)="B","L","")),if(LEFT(VLOOKUP($B654,'Round 8'!$F$2:$H$361,3,false),1)="b","W",if(LEFT(VLOOKUP($B654,'Round 8'!$F$2:$H$361,3,false),1)="a","L",""))),"")</f>
        <v/>
      </c>
      <c r="L654" s="68" t="str">
        <f>iferror(iferror(if(LEFT(VLOOKUP($B654,'Round 9'!$B$2:$H$361,7,false),1)="A","W",if(LEFT(VLOOKUP($B654,'Round 9'!$B$2:$H$361,7,false),1)="B","L","")),if(LEFT(VLOOKUP($B654,'Round 9'!$F$2:$H$361,3,false),1)="b","W",if(LEFT(VLOOKUP($B654,'Round 9'!$F$2:$H$361,3,false),1)="a","L",""))),"")</f>
        <v/>
      </c>
      <c r="M654" s="68" t="str">
        <f>iferror(iferror(if(LEFT(VLOOKUP($B654,'Round 10'!$B$2:$H$362,7,false),1)="A","W",if(LEFT(VLOOKUP($B654,'Round 10'!$B$2:$H$362,7,false),1)="B","L","")),if(LEFT(VLOOKUP($B654,'Round 10'!$F$2:$H$362,3,false),1)="b","W",if(LEFT(VLOOKUP($B654,'Round 10'!$F$2:$H$362,3,false),1)="a","L",""))),"")</f>
        <v/>
      </c>
      <c r="N654" s="62" t="s">
        <v>1356</v>
      </c>
    </row>
    <row r="655">
      <c r="A655" s="63">
        <v>654.0</v>
      </c>
      <c r="B655" s="64" t="s">
        <v>1357</v>
      </c>
      <c r="C655" s="65" t="str">
        <f t="shared" si="1"/>
        <v>1 - 3</v>
      </c>
      <c r="D655" s="67" t="str">
        <f>iferror(if(LEFT(VLOOKUP($B655,'Round 1'!$B$2:$H$361,7,false),1)="A","W",if(LEFT(VLOOKUP($B655,'Round 1'!$B$2:$H$361,7,false),1)="B","L","")),if(LEFT(VLOOKUP($B655,'Round 1'!$F$2:$H$361,3,false),1)="b","W",if(LEFT(VLOOKUP($B655,'Round 1'!$F$2:$H$361,3,false),1)="a","L","")))</f>
        <v>L</v>
      </c>
      <c r="E655" s="67" t="str">
        <f>iferror(if(LEFT(VLOOKUP($B655,'Round 2'!$C$2:$J$361,8,false),1)="A","W",if(LEFT(VLOOKUP($B655,'Round 2'!$C$2:$J$361,8,false),1)="B","L","")),if(LEFT(VLOOKUP($B655,'Round 2'!$G$2:$J$361,4,false),1)="b","W",if(LEFT(VLOOKUP($B655,'Round 2'!$G$2:$J$361,4,false),1)="a","L","")))</f>
        <v>L</v>
      </c>
      <c r="F655" s="67" t="str">
        <f>iferror(if(LEFT(VLOOKUP($B655,'Round 3'!$B$2:$H$361,7,false),1)="A","W",if(LEFT(VLOOKUP($B655,'Round 3'!$B$2:$H$361,7,false),1)="B","L","")),if(LEFT(VLOOKUP($B655,'Round 3'!$F$2:$H$361,3,false),1)="b","W",if(LEFT(VLOOKUP($B655,'Round 3'!$F$2:$H$361,3,false),1)="a","L","")))</f>
        <v>W</v>
      </c>
      <c r="G655" s="67" t="str">
        <f>iferror(if(LEFT(VLOOKUP($B655,'Round 4'!$B$2:$H$361,7,false),1)="A","W",if(LEFT(VLOOKUP($B655,'Round 4'!$B$2:$H$361,7,false),1)="B","L","")),if(LEFT(VLOOKUP($B655,'Round 4'!$F$2:$H$361,3,false),1)="b","W",if(LEFT(VLOOKUP($B655,'Round 4'!$F$2:$H$361,3,false),1)="a","L","")))</f>
        <v>L</v>
      </c>
      <c r="H655" s="67"/>
      <c r="I655" s="67"/>
      <c r="J655" s="67" t="str">
        <f>iferror(iferror(if(LEFT(VLOOKUP($B655,'Round 7'!$B$2:$H$361,7,false),1)="A","W",if(LEFT(VLOOKUP($B655,'Round 7'!$B$2:$H$361,7,false),1)="B","L","")),if(LEFT(VLOOKUP($B655,'Round 7'!$F$2:$H$361,3,false),1)="b","W",if(LEFT(VLOOKUP($B655,'Round 7'!$F$2:$H$361,3,false),1)="a","L",""))),"")</f>
        <v/>
      </c>
      <c r="K655" s="68" t="str">
        <f>iferror(iferror(if(LEFT(VLOOKUP($B655,'Round 8'!$B$2:$H$361,7,false),1)="A","W",if(LEFT(VLOOKUP($B655,'Round 8'!$B$2:$H$361,7,false),1)="B","L","")),if(LEFT(VLOOKUP($B655,'Round 8'!$F$2:$H$361,3,false),1)="b","W",if(LEFT(VLOOKUP($B655,'Round 8'!$F$2:$H$361,3,false),1)="a","L",""))),"")</f>
        <v/>
      </c>
      <c r="L655" s="68" t="str">
        <f>iferror(iferror(if(LEFT(VLOOKUP($B655,'Round 9'!$B$2:$H$361,7,false),1)="A","W",if(LEFT(VLOOKUP($B655,'Round 9'!$B$2:$H$361,7,false),1)="B","L","")),if(LEFT(VLOOKUP($B655,'Round 9'!$F$2:$H$361,3,false),1)="b","W",if(LEFT(VLOOKUP($B655,'Round 9'!$F$2:$H$361,3,false),1)="a","L",""))),"")</f>
        <v/>
      </c>
      <c r="M655" s="68" t="str">
        <f>iferror(iferror(if(LEFT(VLOOKUP($B655,'Round 10'!$B$2:$H$362,7,false),1)="A","W",if(LEFT(VLOOKUP($B655,'Round 10'!$B$2:$H$362,7,false),1)="B","L","")),if(LEFT(VLOOKUP($B655,'Round 10'!$F$2:$H$362,3,false),1)="b","W",if(LEFT(VLOOKUP($B655,'Round 10'!$F$2:$H$362,3,false),1)="a","L",""))),"")</f>
        <v/>
      </c>
      <c r="N655" s="62" t="s">
        <v>1358</v>
      </c>
    </row>
    <row r="656">
      <c r="A656" s="63">
        <v>655.0</v>
      </c>
      <c r="B656" s="64" t="s">
        <v>1359</v>
      </c>
      <c r="C656" s="65" t="str">
        <f t="shared" si="1"/>
        <v>3 - 3</v>
      </c>
      <c r="D656" s="67" t="str">
        <f>iferror(if(LEFT(VLOOKUP($B656,'Round 1'!$B$2:$H$361,7,false),1)="A","W",if(LEFT(VLOOKUP($B656,'Round 1'!$B$2:$H$361,7,false),1)="B","L","")),if(LEFT(VLOOKUP($B656,'Round 1'!$F$2:$H$361,3,false),1)="b","W",if(LEFT(VLOOKUP($B656,'Round 1'!$F$2:$H$361,3,false),1)="a","L","")))</f>
        <v>L</v>
      </c>
      <c r="E656" s="67" t="str">
        <f>iferror(if(LEFT(VLOOKUP($B656,'Round 2'!$C$2:$J$361,8,false),1)="A","W",if(LEFT(VLOOKUP($B656,'Round 2'!$C$2:$J$361,8,false),1)="B","L","")),if(LEFT(VLOOKUP($B656,'Round 2'!$G$2:$J$361,4,false),1)="b","W",if(LEFT(VLOOKUP($B656,'Round 2'!$G$2:$J$361,4,false),1)="a","L","")))</f>
        <v>L</v>
      </c>
      <c r="F656" s="67" t="str">
        <f>iferror(if(LEFT(VLOOKUP($B656,'Round 3'!$B$2:$H$361,7,false),1)="A","W",if(LEFT(VLOOKUP($B656,'Round 3'!$B$2:$H$361,7,false),1)="B","L","")),if(LEFT(VLOOKUP($B656,'Round 3'!$F$2:$H$361,3,false),1)="b","W",if(LEFT(VLOOKUP($B656,'Round 3'!$F$2:$H$361,3,false),1)="a","L","")))</f>
        <v>W</v>
      </c>
      <c r="G656" s="67" t="str">
        <f>iferror(if(LEFT(VLOOKUP($B656,'Round 4'!$B$2:$H$361,7,false),1)="A","W",if(LEFT(VLOOKUP($B656,'Round 4'!$B$2:$H$361,7,false),1)="B","L","")),if(LEFT(VLOOKUP($B656,'Round 4'!$F$2:$H$361,3,false),1)="b","W",if(LEFT(VLOOKUP($B656,'Round 4'!$F$2:$H$361,3,false),1)="a","L","")))</f>
        <v>W</v>
      </c>
      <c r="H656" s="67" t="str">
        <f>iferror(if(LEFT(VLOOKUP($B656,'Round 5'!$B$2:$H$361,7,false),1)="A","W",if(LEFT(VLOOKUP($B656,'Round 5'!$B$2:$H$361,7,false),1)="B","L","")),if(LEFT(VLOOKUP($B656,'Round 5'!$F$2:$H$361,3,false),1)="b","W",if(LEFT(VLOOKUP($B656,'Round 5'!$F$2:$H$361,3,false),1)="a","L","")))</f>
        <v>W</v>
      </c>
      <c r="I656" s="67" t="str">
        <f>iferror(if(LEFT(VLOOKUP($B656,'Round 6'!$B$2:$H$361,7,false),1)="A","W",if(LEFT(VLOOKUP($B656,'Round 6'!$B$2:$H$361,7,false),1)="B","L","")),if(LEFT(VLOOKUP($B656,'Round 6'!$F$2:$H$361,3,false),1)="b","W",if(LEFT(VLOOKUP($B656,'Round 6'!$F$2:$H$361,3,false),1)="a","L","")))</f>
        <v>L</v>
      </c>
      <c r="J656" s="67" t="str">
        <f>iferror(iferror(if(LEFT(VLOOKUP($B656,'Round 7'!$B$2:$H$361,7,false),1)="A","W",if(LEFT(VLOOKUP($B656,'Round 7'!$B$2:$H$361,7,false),1)="B","L","")),if(LEFT(VLOOKUP($B656,'Round 7'!$F$2:$H$361,3,false),1)="b","W",if(LEFT(VLOOKUP($B656,'Round 7'!$F$2:$H$361,3,false),1)="a","L",""))),"")</f>
        <v/>
      </c>
      <c r="K656" s="68" t="str">
        <f>iferror(iferror(if(LEFT(VLOOKUP($B656,'Round 8'!$B$2:$H$361,7,false),1)="A","W",if(LEFT(VLOOKUP($B656,'Round 8'!$B$2:$H$361,7,false),1)="B","L","")),if(LEFT(VLOOKUP($B656,'Round 8'!$F$2:$H$361,3,false),1)="b","W",if(LEFT(VLOOKUP($B656,'Round 8'!$F$2:$H$361,3,false),1)="a","L",""))),"")</f>
        <v/>
      </c>
      <c r="L656" s="68" t="str">
        <f>iferror(iferror(if(LEFT(VLOOKUP($B656,'Round 9'!$B$2:$H$361,7,false),1)="A","W",if(LEFT(VLOOKUP($B656,'Round 9'!$B$2:$H$361,7,false),1)="B","L","")),if(LEFT(VLOOKUP($B656,'Round 9'!$F$2:$H$361,3,false),1)="b","W",if(LEFT(VLOOKUP($B656,'Round 9'!$F$2:$H$361,3,false),1)="a","L",""))),"")</f>
        <v/>
      </c>
      <c r="M656" s="68" t="str">
        <f>iferror(iferror(if(LEFT(VLOOKUP($B656,'Round 10'!$B$2:$H$362,7,false),1)="A","W",if(LEFT(VLOOKUP($B656,'Round 10'!$B$2:$H$362,7,false),1)="B","L","")),if(LEFT(VLOOKUP($B656,'Round 10'!$F$2:$H$362,3,false),1)="b","W",if(LEFT(VLOOKUP($B656,'Round 10'!$F$2:$H$362,3,false),1)="a","L",""))),"")</f>
        <v/>
      </c>
      <c r="N656" s="62" t="s">
        <v>1360</v>
      </c>
    </row>
    <row r="657">
      <c r="A657" s="63">
        <v>656.0</v>
      </c>
      <c r="B657" s="64" t="s">
        <v>1361</v>
      </c>
      <c r="C657" s="65" t="str">
        <f t="shared" si="1"/>
        <v>0 - 3</v>
      </c>
      <c r="D657" s="67" t="str">
        <f>iferror(if(LEFT(VLOOKUP($B657,'Round 1'!$B$2:$H$361,7,false),1)="A","W",if(LEFT(VLOOKUP($B657,'Round 1'!$B$2:$H$361,7,false),1)="B","L","")),if(LEFT(VLOOKUP($B657,'Round 1'!$F$2:$H$361,3,false),1)="b","W",if(LEFT(VLOOKUP($B657,'Round 1'!$F$2:$H$361,3,false),1)="a","L","")))</f>
        <v>L</v>
      </c>
      <c r="E657" s="67" t="str">
        <f>iferror(if(LEFT(VLOOKUP($B657,'Round 2'!$C$2:$J$361,8,false),1)="A","W",if(LEFT(VLOOKUP($B657,'Round 2'!$C$2:$J$361,8,false),1)="B","L","")),if(LEFT(VLOOKUP($B657,'Round 2'!$G$2:$J$361,4,false),1)="b","W",if(LEFT(VLOOKUP($B657,'Round 2'!$G$2:$J$361,4,false),1)="a","L","")))</f>
        <v>L</v>
      </c>
      <c r="F657" s="67" t="str">
        <f>iferror(if(LEFT(VLOOKUP($B657,'Round 3'!$B$2:$H$361,7,false),1)="A","W",if(LEFT(VLOOKUP($B657,'Round 3'!$B$2:$H$361,7,false),1)="B","L","")),if(LEFT(VLOOKUP($B657,'Round 3'!$F$2:$H$361,3,false),1)="b","W",if(LEFT(VLOOKUP($B657,'Round 3'!$F$2:$H$361,3,false),1)="a","L","")))</f>
        <v>L</v>
      </c>
      <c r="G657" s="67"/>
      <c r="H657" s="67"/>
      <c r="I657" s="67"/>
      <c r="J657" s="67" t="str">
        <f>iferror(iferror(if(LEFT(VLOOKUP($B657,'Round 7'!$B$2:$H$361,7,false),1)="A","W",if(LEFT(VLOOKUP($B657,'Round 7'!$B$2:$H$361,7,false),1)="B","L","")),if(LEFT(VLOOKUP($B657,'Round 7'!$F$2:$H$361,3,false),1)="b","W",if(LEFT(VLOOKUP($B657,'Round 7'!$F$2:$H$361,3,false),1)="a","L",""))),"")</f>
        <v/>
      </c>
      <c r="K657" s="68" t="str">
        <f>iferror(iferror(if(LEFT(VLOOKUP($B657,'Round 8'!$B$2:$H$361,7,false),1)="A","W",if(LEFT(VLOOKUP($B657,'Round 8'!$B$2:$H$361,7,false),1)="B","L","")),if(LEFT(VLOOKUP($B657,'Round 8'!$F$2:$H$361,3,false),1)="b","W",if(LEFT(VLOOKUP($B657,'Round 8'!$F$2:$H$361,3,false),1)="a","L",""))),"")</f>
        <v/>
      </c>
      <c r="L657" s="68" t="str">
        <f>iferror(iferror(if(LEFT(VLOOKUP($B657,'Round 9'!$B$2:$H$361,7,false),1)="A","W",if(LEFT(VLOOKUP($B657,'Round 9'!$B$2:$H$361,7,false),1)="B","L","")),if(LEFT(VLOOKUP($B657,'Round 9'!$F$2:$H$361,3,false),1)="b","W",if(LEFT(VLOOKUP($B657,'Round 9'!$F$2:$H$361,3,false),1)="a","L",""))),"")</f>
        <v/>
      </c>
      <c r="M657" s="68" t="str">
        <f>iferror(iferror(if(LEFT(VLOOKUP($B657,'Round 10'!$B$2:$H$362,7,false),1)="A","W",if(LEFT(VLOOKUP($B657,'Round 10'!$B$2:$H$362,7,false),1)="B","L","")),if(LEFT(VLOOKUP($B657,'Round 10'!$F$2:$H$362,3,false),1)="b","W",if(LEFT(VLOOKUP($B657,'Round 10'!$F$2:$H$362,3,false),1)="a","L",""))),"")</f>
        <v/>
      </c>
      <c r="N657" s="62" t="s">
        <v>1362</v>
      </c>
    </row>
    <row r="658">
      <c r="A658" s="63">
        <v>657.0</v>
      </c>
      <c r="B658" s="64" t="s">
        <v>1363</v>
      </c>
      <c r="C658" s="65" t="str">
        <f t="shared" si="1"/>
        <v>1 - 3</v>
      </c>
      <c r="D658" s="67" t="str">
        <f>iferror(if(LEFT(VLOOKUP($B658,'Round 1'!$B$2:$H$361,7,false),1)="A","W",if(LEFT(VLOOKUP($B658,'Round 1'!$B$2:$H$361,7,false),1)="B","L","")),if(LEFT(VLOOKUP($B658,'Round 1'!$F$2:$H$361,3,false),1)="b","W",if(LEFT(VLOOKUP($B658,'Round 1'!$F$2:$H$361,3,false),1)="a","L","")))</f>
        <v>L</v>
      </c>
      <c r="E658" s="67" t="str">
        <f>iferror(if(LEFT(VLOOKUP($B658,'Round 2'!$C$2:$J$361,8,false),1)="A","W",if(LEFT(VLOOKUP($B658,'Round 2'!$C$2:$J$361,8,false),1)="B","L","")),if(LEFT(VLOOKUP($B658,'Round 2'!$G$2:$J$361,4,false),1)="b","W",if(LEFT(VLOOKUP($B658,'Round 2'!$G$2:$J$361,4,false),1)="a","L","")))</f>
        <v>W</v>
      </c>
      <c r="F658" s="67" t="str">
        <f>iferror(if(LEFT(VLOOKUP($B658,'Round 3'!$B$2:$H$361,7,false),1)="A","W",if(LEFT(VLOOKUP($B658,'Round 3'!$B$2:$H$361,7,false),1)="B","L","")),if(LEFT(VLOOKUP($B658,'Round 3'!$F$2:$H$361,3,false),1)="b","W",if(LEFT(VLOOKUP($B658,'Round 3'!$F$2:$H$361,3,false),1)="a","L","")))</f>
        <v>L</v>
      </c>
      <c r="G658" s="67" t="str">
        <f>iferror(if(LEFT(VLOOKUP($B658,'Round 4'!$B$2:$H$361,7,false),1)="A","W",if(LEFT(VLOOKUP($B658,'Round 4'!$B$2:$H$361,7,false),1)="B","L","")),if(LEFT(VLOOKUP($B658,'Round 4'!$F$2:$H$361,3,false),1)="b","W",if(LEFT(VLOOKUP($B658,'Round 4'!$F$2:$H$361,3,false),1)="a","L","")))</f>
        <v>L</v>
      </c>
      <c r="H658" s="67"/>
      <c r="I658" s="67"/>
      <c r="J658" s="67" t="str">
        <f>iferror(iferror(if(LEFT(VLOOKUP($B658,'Round 7'!$B$2:$H$361,7,false),1)="A","W",if(LEFT(VLOOKUP($B658,'Round 7'!$B$2:$H$361,7,false),1)="B","L","")),if(LEFT(VLOOKUP($B658,'Round 7'!$F$2:$H$361,3,false),1)="b","W",if(LEFT(VLOOKUP($B658,'Round 7'!$F$2:$H$361,3,false),1)="a","L",""))),"")</f>
        <v/>
      </c>
      <c r="K658" s="68" t="str">
        <f>iferror(iferror(if(LEFT(VLOOKUP($B658,'Round 8'!$B$2:$H$361,7,false),1)="A","W",if(LEFT(VLOOKUP($B658,'Round 8'!$B$2:$H$361,7,false),1)="B","L","")),if(LEFT(VLOOKUP($B658,'Round 8'!$F$2:$H$361,3,false),1)="b","W",if(LEFT(VLOOKUP($B658,'Round 8'!$F$2:$H$361,3,false),1)="a","L",""))),"")</f>
        <v/>
      </c>
      <c r="L658" s="68" t="str">
        <f>iferror(iferror(if(LEFT(VLOOKUP($B658,'Round 9'!$B$2:$H$361,7,false),1)="A","W",if(LEFT(VLOOKUP($B658,'Round 9'!$B$2:$H$361,7,false),1)="B","L","")),if(LEFT(VLOOKUP($B658,'Round 9'!$F$2:$H$361,3,false),1)="b","W",if(LEFT(VLOOKUP($B658,'Round 9'!$F$2:$H$361,3,false),1)="a","L",""))),"")</f>
        <v/>
      </c>
      <c r="M658" s="68" t="str">
        <f>iferror(iferror(if(LEFT(VLOOKUP($B658,'Round 10'!$B$2:$H$362,7,false),1)="A","W",if(LEFT(VLOOKUP($B658,'Round 10'!$B$2:$H$362,7,false),1)="B","L","")),if(LEFT(VLOOKUP($B658,'Round 10'!$F$2:$H$362,3,false),1)="b","W",if(LEFT(VLOOKUP($B658,'Round 10'!$F$2:$H$362,3,false),1)="a","L",""))),"")</f>
        <v/>
      </c>
      <c r="N658" s="62" t="s">
        <v>144</v>
      </c>
    </row>
    <row r="659">
      <c r="A659" s="63">
        <v>658.0</v>
      </c>
      <c r="B659" s="64" t="s">
        <v>1364</v>
      </c>
      <c r="C659" s="65" t="str">
        <f t="shared" si="1"/>
        <v>1 - 3</v>
      </c>
      <c r="D659" s="67" t="str">
        <f>iferror(if(LEFT(VLOOKUP($B659,'Round 1'!$B$2:$H$361,7,false),1)="A","W",if(LEFT(VLOOKUP($B659,'Round 1'!$B$2:$H$361,7,false),1)="B","L","")),if(LEFT(VLOOKUP($B659,'Round 1'!$F$2:$H$361,3,false),1)="b","W",if(LEFT(VLOOKUP($B659,'Round 1'!$F$2:$H$361,3,false),1)="a","L","")))</f>
        <v>L</v>
      </c>
      <c r="E659" s="67" t="str">
        <f>iferror(if(LEFT(VLOOKUP($B659,'Round 2'!$C$2:$J$361,8,false),1)="A","W",if(LEFT(VLOOKUP($B659,'Round 2'!$C$2:$J$361,8,false),1)="B","L","")),if(LEFT(VLOOKUP($B659,'Round 2'!$G$2:$J$361,4,false),1)="b","W",if(LEFT(VLOOKUP($B659,'Round 2'!$G$2:$J$361,4,false),1)="a","L","")))</f>
        <v>W</v>
      </c>
      <c r="F659" s="67" t="str">
        <f>iferror(if(LEFT(VLOOKUP($B659,'Round 3'!$B$2:$H$361,7,false),1)="A","W",if(LEFT(VLOOKUP($B659,'Round 3'!$B$2:$H$361,7,false),1)="B","L","")),if(LEFT(VLOOKUP($B659,'Round 3'!$F$2:$H$361,3,false),1)="b","W",if(LEFT(VLOOKUP($B659,'Round 3'!$F$2:$H$361,3,false),1)="a","L","")))</f>
        <v>L</v>
      </c>
      <c r="G659" s="67" t="str">
        <f>iferror(if(LEFT(VLOOKUP($B659,'Round 4'!$B$2:$H$361,7,false),1)="A","W",if(LEFT(VLOOKUP($B659,'Round 4'!$B$2:$H$361,7,false),1)="B","L","")),if(LEFT(VLOOKUP($B659,'Round 4'!$F$2:$H$361,3,false),1)="b","W",if(LEFT(VLOOKUP($B659,'Round 4'!$F$2:$H$361,3,false),1)="a","L","")))</f>
        <v>L</v>
      </c>
      <c r="H659" s="67"/>
      <c r="I659" s="67"/>
      <c r="J659" s="67" t="str">
        <f>iferror(iferror(if(LEFT(VLOOKUP($B659,'Round 7'!$B$2:$H$361,7,false),1)="A","W",if(LEFT(VLOOKUP($B659,'Round 7'!$B$2:$H$361,7,false),1)="B","L","")),if(LEFT(VLOOKUP($B659,'Round 7'!$F$2:$H$361,3,false),1)="b","W",if(LEFT(VLOOKUP($B659,'Round 7'!$F$2:$H$361,3,false),1)="a","L",""))),"")</f>
        <v/>
      </c>
      <c r="K659" s="68" t="str">
        <f>iferror(iferror(if(LEFT(VLOOKUP($B659,'Round 8'!$B$2:$H$361,7,false),1)="A","W",if(LEFT(VLOOKUP($B659,'Round 8'!$B$2:$H$361,7,false),1)="B","L","")),if(LEFT(VLOOKUP($B659,'Round 8'!$F$2:$H$361,3,false),1)="b","W",if(LEFT(VLOOKUP($B659,'Round 8'!$F$2:$H$361,3,false),1)="a","L",""))),"")</f>
        <v/>
      </c>
      <c r="L659" s="68" t="str">
        <f>iferror(iferror(if(LEFT(VLOOKUP($B659,'Round 9'!$B$2:$H$361,7,false),1)="A","W",if(LEFT(VLOOKUP($B659,'Round 9'!$B$2:$H$361,7,false),1)="B","L","")),if(LEFT(VLOOKUP($B659,'Round 9'!$F$2:$H$361,3,false),1)="b","W",if(LEFT(VLOOKUP($B659,'Round 9'!$F$2:$H$361,3,false),1)="a","L",""))),"")</f>
        <v/>
      </c>
      <c r="M659" s="68" t="str">
        <f>iferror(iferror(if(LEFT(VLOOKUP($B659,'Round 10'!$B$2:$H$362,7,false),1)="A","W",if(LEFT(VLOOKUP($B659,'Round 10'!$B$2:$H$362,7,false),1)="B","L","")),if(LEFT(VLOOKUP($B659,'Round 10'!$F$2:$H$362,3,false),1)="b","W",if(LEFT(VLOOKUP($B659,'Round 10'!$F$2:$H$362,3,false),1)="a","L",""))),"")</f>
        <v/>
      </c>
      <c r="N659" s="62" t="s">
        <v>1365</v>
      </c>
    </row>
    <row r="660">
      <c r="A660" s="63">
        <v>659.0</v>
      </c>
      <c r="B660" s="64" t="s">
        <v>1366</v>
      </c>
      <c r="C660" s="65" t="str">
        <f t="shared" si="1"/>
        <v>0 - 3</v>
      </c>
      <c r="D660" s="67" t="str">
        <f>iferror(if(LEFT(VLOOKUP($B660,'Round 1'!$B$2:$H$361,7,false),1)="A","W",if(LEFT(VLOOKUP($B660,'Round 1'!$B$2:$H$361,7,false),1)="B","L","")),if(LEFT(VLOOKUP($B660,'Round 1'!$F$2:$H$361,3,false),1)="b","W",if(LEFT(VLOOKUP($B660,'Round 1'!$F$2:$H$361,3,false),1)="a","L","")))</f>
        <v>L</v>
      </c>
      <c r="E660" s="67" t="str">
        <f>iferror(if(LEFT(VLOOKUP($B660,'Round 2'!$C$2:$J$361,8,false),1)="A","W",if(LEFT(VLOOKUP($B660,'Round 2'!$C$2:$J$361,8,false),1)="B","L","")),if(LEFT(VLOOKUP($B660,'Round 2'!$G$2:$J$361,4,false),1)="b","W",if(LEFT(VLOOKUP($B660,'Round 2'!$G$2:$J$361,4,false),1)="a","L","")))</f>
        <v>L</v>
      </c>
      <c r="F660" s="67" t="str">
        <f>iferror(if(LEFT(VLOOKUP($B660,'Round 3'!$B$2:$H$361,7,false),1)="A","W",if(LEFT(VLOOKUP($B660,'Round 3'!$B$2:$H$361,7,false),1)="B","L","")),if(LEFT(VLOOKUP($B660,'Round 3'!$F$2:$H$361,3,false),1)="b","W",if(LEFT(VLOOKUP($B660,'Round 3'!$F$2:$H$361,3,false),1)="a","L","")))</f>
        <v>L</v>
      </c>
      <c r="G660" s="67"/>
      <c r="H660" s="67"/>
      <c r="I660" s="67"/>
      <c r="J660" s="67" t="str">
        <f>iferror(iferror(if(LEFT(VLOOKUP($B660,'Round 7'!$B$2:$H$361,7,false),1)="A","W",if(LEFT(VLOOKUP($B660,'Round 7'!$B$2:$H$361,7,false),1)="B","L","")),if(LEFT(VLOOKUP($B660,'Round 7'!$F$2:$H$361,3,false),1)="b","W",if(LEFT(VLOOKUP($B660,'Round 7'!$F$2:$H$361,3,false),1)="a","L",""))),"")</f>
        <v/>
      </c>
      <c r="K660" s="68" t="str">
        <f>iferror(iferror(if(LEFT(VLOOKUP($B660,'Round 8'!$B$2:$H$361,7,false),1)="A","W",if(LEFT(VLOOKUP($B660,'Round 8'!$B$2:$H$361,7,false),1)="B","L","")),if(LEFT(VLOOKUP($B660,'Round 8'!$F$2:$H$361,3,false),1)="b","W",if(LEFT(VLOOKUP($B660,'Round 8'!$F$2:$H$361,3,false),1)="a","L",""))),"")</f>
        <v/>
      </c>
      <c r="L660" s="68" t="str">
        <f>iferror(iferror(if(LEFT(VLOOKUP($B660,'Round 9'!$B$2:$H$361,7,false),1)="A","W",if(LEFT(VLOOKUP($B660,'Round 9'!$B$2:$H$361,7,false),1)="B","L","")),if(LEFT(VLOOKUP($B660,'Round 9'!$F$2:$H$361,3,false),1)="b","W",if(LEFT(VLOOKUP($B660,'Round 9'!$F$2:$H$361,3,false),1)="a","L",""))),"")</f>
        <v/>
      </c>
      <c r="M660" s="68" t="str">
        <f>iferror(iferror(if(LEFT(VLOOKUP($B660,'Round 10'!$B$2:$H$362,7,false),1)="A","W",if(LEFT(VLOOKUP($B660,'Round 10'!$B$2:$H$362,7,false),1)="B","L","")),if(LEFT(VLOOKUP($B660,'Round 10'!$F$2:$H$362,3,false),1)="b","W",if(LEFT(VLOOKUP($B660,'Round 10'!$F$2:$H$362,3,false),1)="a","L",""))),"")</f>
        <v/>
      </c>
      <c r="N660" s="62" t="s">
        <v>1367</v>
      </c>
    </row>
    <row r="661">
      <c r="A661" s="63">
        <v>660.0</v>
      </c>
      <c r="B661" s="64" t="s">
        <v>1368</v>
      </c>
      <c r="C661" s="65" t="str">
        <f t="shared" si="1"/>
        <v>3 - 3</v>
      </c>
      <c r="D661" s="67" t="str">
        <f>iferror(if(LEFT(VLOOKUP($B661,'Round 1'!$B$2:$H$361,7,false),1)="A","W",if(LEFT(VLOOKUP($B661,'Round 1'!$B$2:$H$361,7,false),1)="B","L","")),if(LEFT(VLOOKUP($B661,'Round 1'!$F$2:$H$361,3,false),1)="b","W",if(LEFT(VLOOKUP($B661,'Round 1'!$F$2:$H$361,3,false),1)="a","L","")))</f>
        <v>L</v>
      </c>
      <c r="E661" s="67" t="str">
        <f>iferror(if(LEFT(VLOOKUP($B661,'Round 2'!$C$2:$J$361,8,false),1)="A","W",if(LEFT(VLOOKUP($B661,'Round 2'!$C$2:$J$361,8,false),1)="B","L","")),if(LEFT(VLOOKUP($B661,'Round 2'!$G$2:$J$361,4,false),1)="b","W",if(LEFT(VLOOKUP($B661,'Round 2'!$G$2:$J$361,4,false),1)="a","L","")))</f>
        <v>W</v>
      </c>
      <c r="F661" s="67" t="str">
        <f>iferror(if(LEFT(VLOOKUP($B661,'Round 3'!$B$2:$H$361,7,false),1)="A","W",if(LEFT(VLOOKUP($B661,'Round 3'!$B$2:$H$361,7,false),1)="B","L","")),if(LEFT(VLOOKUP($B661,'Round 3'!$F$2:$H$361,3,false),1)="b","W",if(LEFT(VLOOKUP($B661,'Round 3'!$F$2:$H$361,3,false),1)="a","L","")))</f>
        <v>W</v>
      </c>
      <c r="G661" s="67" t="str">
        <f>iferror(if(LEFT(VLOOKUP($B661,'Round 4'!$B$2:$H$361,7,false),1)="A","W",if(LEFT(VLOOKUP($B661,'Round 4'!$B$2:$H$361,7,false),1)="B","L","")),if(LEFT(VLOOKUP($B661,'Round 4'!$F$2:$H$361,3,false),1)="b","W",if(LEFT(VLOOKUP($B661,'Round 4'!$F$2:$H$361,3,false),1)="a","L","")))</f>
        <v>W</v>
      </c>
      <c r="H661" s="67" t="str">
        <f>iferror(if(LEFT(VLOOKUP($B661,'Round 5'!$B$2:$H$361,7,false),1)="A","W",if(LEFT(VLOOKUP($B661,'Round 5'!$B$2:$H$361,7,false),1)="B","L","")),if(LEFT(VLOOKUP($B661,'Round 5'!$F$2:$H$361,3,false),1)="b","W",if(LEFT(VLOOKUP($B661,'Round 5'!$F$2:$H$361,3,false),1)="a","L","")))</f>
        <v>L</v>
      </c>
      <c r="I661" s="67" t="str">
        <f>iferror(if(LEFT(VLOOKUP($B661,'Round 6'!$B$2:$H$361,7,false),1)="A","W",if(LEFT(VLOOKUP($B661,'Round 6'!$B$2:$H$361,7,false),1)="B","L","")),if(LEFT(VLOOKUP($B661,'Round 6'!$F$2:$H$361,3,false),1)="b","W",if(LEFT(VLOOKUP($B661,'Round 6'!$F$2:$H$361,3,false),1)="a","L","")))</f>
        <v>L</v>
      </c>
      <c r="J661" s="67" t="str">
        <f>iferror(iferror(if(LEFT(VLOOKUP($B661,'Round 7'!$B$2:$H$361,7,false),1)="A","W",if(LEFT(VLOOKUP($B661,'Round 7'!$B$2:$H$361,7,false),1)="B","L","")),if(LEFT(VLOOKUP($B661,'Round 7'!$F$2:$H$361,3,false),1)="b","W",if(LEFT(VLOOKUP($B661,'Round 7'!$F$2:$H$361,3,false),1)="a","L",""))),"")</f>
        <v/>
      </c>
      <c r="K661" s="68" t="str">
        <f>iferror(iferror(if(LEFT(VLOOKUP($B661,'Round 8'!$B$2:$H$361,7,false),1)="A","W",if(LEFT(VLOOKUP($B661,'Round 8'!$B$2:$H$361,7,false),1)="B","L","")),if(LEFT(VLOOKUP($B661,'Round 8'!$F$2:$H$361,3,false),1)="b","W",if(LEFT(VLOOKUP($B661,'Round 8'!$F$2:$H$361,3,false),1)="a","L",""))),"")</f>
        <v/>
      </c>
      <c r="L661" s="68" t="str">
        <f>iferror(iferror(if(LEFT(VLOOKUP($B661,'Round 9'!$B$2:$H$361,7,false),1)="A","W",if(LEFT(VLOOKUP($B661,'Round 9'!$B$2:$H$361,7,false),1)="B","L","")),if(LEFT(VLOOKUP($B661,'Round 9'!$F$2:$H$361,3,false),1)="b","W",if(LEFT(VLOOKUP($B661,'Round 9'!$F$2:$H$361,3,false),1)="a","L",""))),"")</f>
        <v/>
      </c>
      <c r="M661" s="68" t="str">
        <f>iferror(iferror(if(LEFT(VLOOKUP($B661,'Round 10'!$B$2:$H$362,7,false),1)="A","W",if(LEFT(VLOOKUP($B661,'Round 10'!$B$2:$H$362,7,false),1)="B","L","")),if(LEFT(VLOOKUP($B661,'Round 10'!$F$2:$H$362,3,false),1)="b","W",if(LEFT(VLOOKUP($B661,'Round 10'!$F$2:$H$362,3,false),1)="a","L",""))),"")</f>
        <v/>
      </c>
      <c r="N661" s="62" t="s">
        <v>1369</v>
      </c>
    </row>
    <row r="662">
      <c r="A662" s="63">
        <v>661.0</v>
      </c>
      <c r="B662" s="64" t="s">
        <v>1370</v>
      </c>
      <c r="C662" s="65" t="str">
        <f t="shared" si="1"/>
        <v>2 - 3</v>
      </c>
      <c r="D662" s="67" t="str">
        <f>iferror(if(LEFT(VLOOKUP($B662,'Round 1'!$B$2:$H$361,7,false),1)="A","W",if(LEFT(VLOOKUP($B662,'Round 1'!$B$2:$H$361,7,false),1)="B","L","")),if(LEFT(VLOOKUP($B662,'Round 1'!$F$2:$H$361,3,false),1)="b","W",if(LEFT(VLOOKUP($B662,'Round 1'!$F$2:$H$361,3,false),1)="a","L","")))</f>
        <v>L</v>
      </c>
      <c r="E662" s="67" t="str">
        <f>iferror(if(LEFT(VLOOKUP($B662,'Round 2'!$C$2:$J$361,8,false),1)="A","W",if(LEFT(VLOOKUP($B662,'Round 2'!$C$2:$J$361,8,false),1)="B","L","")),if(LEFT(VLOOKUP($B662,'Round 2'!$G$2:$J$361,4,false),1)="b","W",if(LEFT(VLOOKUP($B662,'Round 2'!$G$2:$J$361,4,false),1)="a","L","")))</f>
        <v>W</v>
      </c>
      <c r="F662" s="67" t="str">
        <f>iferror(if(LEFT(VLOOKUP($B662,'Round 3'!$B$2:$H$361,7,false),1)="A","W",if(LEFT(VLOOKUP($B662,'Round 3'!$B$2:$H$361,7,false),1)="B","L","")),if(LEFT(VLOOKUP($B662,'Round 3'!$F$2:$H$361,3,false),1)="b","W",if(LEFT(VLOOKUP($B662,'Round 3'!$F$2:$H$361,3,false),1)="a","L","")))</f>
        <v>L</v>
      </c>
      <c r="G662" s="67" t="str">
        <f>iferror(if(LEFT(VLOOKUP($B662,'Round 4'!$B$2:$H$361,7,false),1)="A","W",if(LEFT(VLOOKUP($B662,'Round 4'!$B$2:$H$361,7,false),1)="B","L","")),if(LEFT(VLOOKUP($B662,'Round 4'!$F$2:$H$361,3,false),1)="b","W",if(LEFT(VLOOKUP($B662,'Round 4'!$F$2:$H$361,3,false),1)="a","L","")))</f>
        <v>W</v>
      </c>
      <c r="H662" s="67" t="str">
        <f>iferror(if(LEFT(VLOOKUP($B662,'Round 5'!$B$2:$H$361,7,false),1)="A","W",if(LEFT(VLOOKUP($B662,'Round 5'!$B$2:$H$361,7,false),1)="B","L","")),if(LEFT(VLOOKUP($B662,'Round 5'!$F$2:$H$361,3,false),1)="b","W",if(LEFT(VLOOKUP($B662,'Round 5'!$F$2:$H$361,3,false),1)="a","L","")))</f>
        <v>L</v>
      </c>
      <c r="I662" s="67"/>
      <c r="J662" s="67" t="str">
        <f>iferror(iferror(if(LEFT(VLOOKUP($B662,'Round 7'!$B$2:$H$361,7,false),1)="A","W",if(LEFT(VLOOKUP($B662,'Round 7'!$B$2:$H$361,7,false),1)="B","L","")),if(LEFT(VLOOKUP($B662,'Round 7'!$F$2:$H$361,3,false),1)="b","W",if(LEFT(VLOOKUP($B662,'Round 7'!$F$2:$H$361,3,false),1)="a","L",""))),"")</f>
        <v/>
      </c>
      <c r="K662" s="68" t="str">
        <f>iferror(iferror(if(LEFT(VLOOKUP($B662,'Round 8'!$B$2:$H$361,7,false),1)="A","W",if(LEFT(VLOOKUP($B662,'Round 8'!$B$2:$H$361,7,false),1)="B","L","")),if(LEFT(VLOOKUP($B662,'Round 8'!$F$2:$H$361,3,false),1)="b","W",if(LEFT(VLOOKUP($B662,'Round 8'!$F$2:$H$361,3,false),1)="a","L",""))),"")</f>
        <v/>
      </c>
      <c r="L662" s="68" t="str">
        <f>iferror(iferror(if(LEFT(VLOOKUP($B662,'Round 9'!$B$2:$H$361,7,false),1)="A","W",if(LEFT(VLOOKUP($B662,'Round 9'!$B$2:$H$361,7,false),1)="B","L","")),if(LEFT(VLOOKUP($B662,'Round 9'!$F$2:$H$361,3,false),1)="b","W",if(LEFT(VLOOKUP($B662,'Round 9'!$F$2:$H$361,3,false),1)="a","L",""))),"")</f>
        <v/>
      </c>
      <c r="M662" s="68" t="str">
        <f>iferror(iferror(if(LEFT(VLOOKUP($B662,'Round 10'!$B$2:$H$362,7,false),1)="A","W",if(LEFT(VLOOKUP($B662,'Round 10'!$B$2:$H$362,7,false),1)="B","L","")),if(LEFT(VLOOKUP($B662,'Round 10'!$F$2:$H$362,3,false),1)="b","W",if(LEFT(VLOOKUP($B662,'Round 10'!$F$2:$H$362,3,false),1)="a","L",""))),"")</f>
        <v/>
      </c>
      <c r="N662" s="62" t="s">
        <v>1371</v>
      </c>
    </row>
    <row r="663">
      <c r="A663" s="63">
        <v>662.0</v>
      </c>
      <c r="B663" s="64" t="s">
        <v>1372</v>
      </c>
      <c r="C663" s="65" t="str">
        <f t="shared" si="1"/>
        <v>4 - 3</v>
      </c>
      <c r="D663" s="67" t="str">
        <f>iferror(if(LEFT(VLOOKUP($B663,'Round 1'!$B$2:$H$361,7,false),1)="A","W",if(LEFT(VLOOKUP($B663,'Round 1'!$B$2:$H$361,7,false),1)="B","L","")),if(LEFT(VLOOKUP($B663,'Round 1'!$F$2:$H$361,3,false),1)="b","W",if(LEFT(VLOOKUP($B663,'Round 1'!$F$2:$H$361,3,false),1)="a","L","")))</f>
        <v>L</v>
      </c>
      <c r="E663" s="67" t="str">
        <f>iferror(if(LEFT(VLOOKUP($B663,'Round 2'!$C$2:$J$361,8,false),1)="A","W",if(LEFT(VLOOKUP($B663,'Round 2'!$C$2:$J$361,8,false),1)="B","L","")),if(LEFT(VLOOKUP($B663,'Round 2'!$G$2:$J$361,4,false),1)="b","W",if(LEFT(VLOOKUP($B663,'Round 2'!$G$2:$J$361,4,false),1)="a","L","")))</f>
        <v>W</v>
      </c>
      <c r="F663" s="67" t="str">
        <f>iferror(if(LEFT(VLOOKUP($B663,'Round 3'!$B$2:$H$361,7,false),1)="A","W",if(LEFT(VLOOKUP($B663,'Round 3'!$B$2:$H$361,7,false),1)="B","L","")),if(LEFT(VLOOKUP($B663,'Round 3'!$F$2:$H$361,3,false),1)="b","W",if(LEFT(VLOOKUP($B663,'Round 3'!$F$2:$H$361,3,false),1)="a","L","")))</f>
        <v>W</v>
      </c>
      <c r="G663" s="67" t="str">
        <f>iferror(if(LEFT(VLOOKUP($B663,'Round 4'!$B$2:$H$361,7,false),1)="A","W",if(LEFT(VLOOKUP($B663,'Round 4'!$B$2:$H$361,7,false),1)="B","L","")),if(LEFT(VLOOKUP($B663,'Round 4'!$F$2:$H$361,3,false),1)="b","W",if(LEFT(VLOOKUP($B663,'Round 4'!$F$2:$H$361,3,false),1)="a","L","")))</f>
        <v>W</v>
      </c>
      <c r="H663" s="67" t="str">
        <f>iferror(if(LEFT(VLOOKUP($B663,'Round 5'!$B$2:$H$361,7,false),1)="A","W",if(LEFT(VLOOKUP($B663,'Round 5'!$B$2:$H$361,7,false),1)="B","L","")),if(LEFT(VLOOKUP($B663,'Round 5'!$F$2:$H$361,3,false),1)="b","W",if(LEFT(VLOOKUP($B663,'Round 5'!$F$2:$H$361,3,false),1)="a","L","")))</f>
        <v>W</v>
      </c>
      <c r="I663" s="67" t="str">
        <f>iferror(if(LEFT(VLOOKUP($B663,'Round 6'!$B$2:$H$361,7,false),1)="A","W",if(LEFT(VLOOKUP($B663,'Round 6'!$B$2:$H$361,7,false),1)="B","L","")),if(LEFT(VLOOKUP($B663,'Round 6'!$F$2:$H$361,3,false),1)="b","W",if(LEFT(VLOOKUP($B663,'Round 6'!$F$2:$H$361,3,false),1)="a","L","")))</f>
        <v>L</v>
      </c>
      <c r="J663" s="67" t="str">
        <f>iferror(iferror(if(LEFT(VLOOKUP($B663,'Round 7'!$B$2:$H$361,7,false),1)="A","W",if(LEFT(VLOOKUP($B663,'Round 7'!$B$2:$H$361,7,false),1)="B","L","")),if(LEFT(VLOOKUP($B663,'Round 7'!$F$2:$H$361,3,false),1)="b","W",if(LEFT(VLOOKUP($B663,'Round 7'!$F$2:$H$361,3,false),1)="a","L",""))),"")</f>
        <v>L</v>
      </c>
      <c r="K663" s="68" t="str">
        <f>iferror(iferror(if(LEFT(VLOOKUP($B663,'Round 8'!$B$2:$H$361,7,false),1)="A","W",if(LEFT(VLOOKUP($B663,'Round 8'!$B$2:$H$361,7,false),1)="B","L","")),if(LEFT(VLOOKUP($B663,'Round 8'!$F$2:$H$361,3,false),1)="b","W",if(LEFT(VLOOKUP($B663,'Round 8'!$F$2:$H$361,3,false),1)="a","L",""))),"")</f>
        <v/>
      </c>
      <c r="L663" s="68" t="str">
        <f>iferror(iferror(if(LEFT(VLOOKUP($B663,'Round 9'!$B$2:$H$361,7,false),1)="A","W",if(LEFT(VLOOKUP($B663,'Round 9'!$B$2:$H$361,7,false),1)="B","L","")),if(LEFT(VLOOKUP($B663,'Round 9'!$F$2:$H$361,3,false),1)="b","W",if(LEFT(VLOOKUP($B663,'Round 9'!$F$2:$H$361,3,false),1)="a","L",""))),"")</f>
        <v/>
      </c>
      <c r="M663" s="68" t="str">
        <f>iferror(iferror(if(LEFT(VLOOKUP($B663,'Round 10'!$B$2:$H$362,7,false),1)="A","W",if(LEFT(VLOOKUP($B663,'Round 10'!$B$2:$H$362,7,false),1)="B","L","")),if(LEFT(VLOOKUP($B663,'Round 10'!$F$2:$H$362,3,false),1)="b","W",if(LEFT(VLOOKUP($B663,'Round 10'!$F$2:$H$362,3,false),1)="a","L",""))),"")</f>
        <v/>
      </c>
      <c r="N663" s="62" t="s">
        <v>1373</v>
      </c>
    </row>
    <row r="664">
      <c r="A664" s="63">
        <v>663.0</v>
      </c>
      <c r="B664" s="64" t="s">
        <v>1374</v>
      </c>
      <c r="C664" s="65" t="str">
        <f t="shared" si="1"/>
        <v>1 - 3</v>
      </c>
      <c r="D664" s="67" t="str">
        <f>iferror(if(LEFT(VLOOKUP($B664,'Round 1'!$B$2:$H$361,7,false),1)="A","W",if(LEFT(VLOOKUP($B664,'Round 1'!$B$2:$H$361,7,false),1)="B","L","")),if(LEFT(VLOOKUP($B664,'Round 1'!$F$2:$H$361,3,false),1)="b","W",if(LEFT(VLOOKUP($B664,'Round 1'!$F$2:$H$361,3,false),1)="a","L","")))</f>
        <v>L</v>
      </c>
      <c r="E664" s="67" t="str">
        <f>iferror(if(LEFT(VLOOKUP($B664,'Round 2'!$C$2:$J$361,8,false),1)="A","W",if(LEFT(VLOOKUP($B664,'Round 2'!$C$2:$J$361,8,false),1)="B","L","")),if(LEFT(VLOOKUP($B664,'Round 2'!$G$2:$J$361,4,false),1)="b","W",if(LEFT(VLOOKUP($B664,'Round 2'!$G$2:$J$361,4,false),1)="a","L","")))</f>
        <v>L</v>
      </c>
      <c r="F664" s="67" t="str">
        <f>iferror(if(LEFT(VLOOKUP($B664,'Round 3'!$B$2:$H$361,7,false),1)="A","W",if(LEFT(VLOOKUP($B664,'Round 3'!$B$2:$H$361,7,false),1)="B","L","")),if(LEFT(VLOOKUP($B664,'Round 3'!$F$2:$H$361,3,false),1)="b","W",if(LEFT(VLOOKUP($B664,'Round 3'!$F$2:$H$361,3,false),1)="a","L","")))</f>
        <v>W</v>
      </c>
      <c r="G664" s="67" t="str">
        <f>iferror(if(LEFT(VLOOKUP($B664,'Round 4'!$B$2:$H$361,7,false),1)="A","W",if(LEFT(VLOOKUP($B664,'Round 4'!$B$2:$H$361,7,false),1)="B","L","")),if(LEFT(VLOOKUP($B664,'Round 4'!$F$2:$H$361,3,false),1)="b","W",if(LEFT(VLOOKUP($B664,'Round 4'!$F$2:$H$361,3,false),1)="a","L","")))</f>
        <v>L</v>
      </c>
      <c r="H664" s="67"/>
      <c r="I664" s="67"/>
      <c r="J664" s="67" t="str">
        <f>iferror(iferror(if(LEFT(VLOOKUP($B664,'Round 7'!$B$2:$H$361,7,false),1)="A","W",if(LEFT(VLOOKUP($B664,'Round 7'!$B$2:$H$361,7,false),1)="B","L","")),if(LEFT(VLOOKUP($B664,'Round 7'!$F$2:$H$361,3,false),1)="b","W",if(LEFT(VLOOKUP($B664,'Round 7'!$F$2:$H$361,3,false),1)="a","L",""))),"")</f>
        <v/>
      </c>
      <c r="K664" s="68" t="str">
        <f>iferror(iferror(if(LEFT(VLOOKUP($B664,'Round 8'!$B$2:$H$361,7,false),1)="A","W",if(LEFT(VLOOKUP($B664,'Round 8'!$B$2:$H$361,7,false),1)="B","L","")),if(LEFT(VLOOKUP($B664,'Round 8'!$F$2:$H$361,3,false),1)="b","W",if(LEFT(VLOOKUP($B664,'Round 8'!$F$2:$H$361,3,false),1)="a","L",""))),"")</f>
        <v/>
      </c>
      <c r="L664" s="68" t="str">
        <f>iferror(iferror(if(LEFT(VLOOKUP($B664,'Round 9'!$B$2:$H$361,7,false),1)="A","W",if(LEFT(VLOOKUP($B664,'Round 9'!$B$2:$H$361,7,false),1)="B","L","")),if(LEFT(VLOOKUP($B664,'Round 9'!$F$2:$H$361,3,false),1)="b","W",if(LEFT(VLOOKUP($B664,'Round 9'!$F$2:$H$361,3,false),1)="a","L",""))),"")</f>
        <v/>
      </c>
      <c r="M664" s="68" t="str">
        <f>iferror(iferror(if(LEFT(VLOOKUP($B664,'Round 10'!$B$2:$H$362,7,false),1)="A","W",if(LEFT(VLOOKUP($B664,'Round 10'!$B$2:$H$362,7,false),1)="B","L","")),if(LEFT(VLOOKUP($B664,'Round 10'!$F$2:$H$362,3,false),1)="b","W",if(LEFT(VLOOKUP($B664,'Round 10'!$F$2:$H$362,3,false),1)="a","L",""))),"")</f>
        <v/>
      </c>
      <c r="N664" s="62" t="s">
        <v>1375</v>
      </c>
    </row>
    <row r="665">
      <c r="A665" s="63">
        <v>664.0</v>
      </c>
      <c r="B665" s="64" t="s">
        <v>1376</v>
      </c>
      <c r="C665" s="65" t="str">
        <f t="shared" si="1"/>
        <v>1 - 3</v>
      </c>
      <c r="D665" s="67" t="str">
        <f>iferror(if(LEFT(VLOOKUP($B665,'Round 1'!$B$2:$H$361,7,false),1)="A","W",if(LEFT(VLOOKUP($B665,'Round 1'!$B$2:$H$361,7,false),1)="B","L","")),if(LEFT(VLOOKUP($B665,'Round 1'!$F$2:$H$361,3,false),1)="b","W",if(LEFT(VLOOKUP($B665,'Round 1'!$F$2:$H$361,3,false),1)="a","L","")))</f>
        <v>L</v>
      </c>
      <c r="E665" s="67" t="str">
        <f>iferror(if(LEFT(VLOOKUP($B665,'Round 2'!$C$2:$J$361,8,false),1)="A","W",if(LEFT(VLOOKUP($B665,'Round 2'!$C$2:$J$361,8,false),1)="B","L","")),if(LEFT(VLOOKUP($B665,'Round 2'!$G$2:$J$361,4,false),1)="b","W",if(LEFT(VLOOKUP($B665,'Round 2'!$G$2:$J$361,4,false),1)="a","L","")))</f>
        <v>W</v>
      </c>
      <c r="F665" s="67" t="str">
        <f>iferror(if(LEFT(VLOOKUP($B665,'Round 3'!$B$2:$H$361,7,false),1)="A","W",if(LEFT(VLOOKUP($B665,'Round 3'!$B$2:$H$361,7,false),1)="B","L","")),if(LEFT(VLOOKUP($B665,'Round 3'!$F$2:$H$361,3,false),1)="b","W",if(LEFT(VLOOKUP($B665,'Round 3'!$F$2:$H$361,3,false),1)="a","L","")))</f>
        <v>L</v>
      </c>
      <c r="G665" s="67" t="str">
        <f>iferror(if(LEFT(VLOOKUP($B665,'Round 4'!$B$2:$H$361,7,false),1)="A","W",if(LEFT(VLOOKUP($B665,'Round 4'!$B$2:$H$361,7,false),1)="B","L","")),if(LEFT(VLOOKUP($B665,'Round 4'!$F$2:$H$361,3,false),1)="b","W",if(LEFT(VLOOKUP($B665,'Round 4'!$F$2:$H$361,3,false),1)="a","L","")))</f>
        <v>L</v>
      </c>
      <c r="H665" s="67"/>
      <c r="I665" s="67"/>
      <c r="J665" s="67" t="str">
        <f>iferror(iferror(if(LEFT(VLOOKUP($B665,'Round 7'!$B$2:$H$361,7,false),1)="A","W",if(LEFT(VLOOKUP($B665,'Round 7'!$B$2:$H$361,7,false),1)="B","L","")),if(LEFT(VLOOKUP($B665,'Round 7'!$F$2:$H$361,3,false),1)="b","W",if(LEFT(VLOOKUP($B665,'Round 7'!$F$2:$H$361,3,false),1)="a","L",""))),"")</f>
        <v/>
      </c>
      <c r="K665" s="68" t="str">
        <f>iferror(iferror(if(LEFT(VLOOKUP($B665,'Round 8'!$B$2:$H$361,7,false),1)="A","W",if(LEFT(VLOOKUP($B665,'Round 8'!$B$2:$H$361,7,false),1)="B","L","")),if(LEFT(VLOOKUP($B665,'Round 8'!$F$2:$H$361,3,false),1)="b","W",if(LEFT(VLOOKUP($B665,'Round 8'!$F$2:$H$361,3,false),1)="a","L",""))),"")</f>
        <v/>
      </c>
      <c r="L665" s="68" t="str">
        <f>iferror(iferror(if(LEFT(VLOOKUP($B665,'Round 9'!$B$2:$H$361,7,false),1)="A","W",if(LEFT(VLOOKUP($B665,'Round 9'!$B$2:$H$361,7,false),1)="B","L","")),if(LEFT(VLOOKUP($B665,'Round 9'!$F$2:$H$361,3,false),1)="b","W",if(LEFT(VLOOKUP($B665,'Round 9'!$F$2:$H$361,3,false),1)="a","L",""))),"")</f>
        <v/>
      </c>
      <c r="M665" s="68" t="str">
        <f>iferror(iferror(if(LEFT(VLOOKUP($B665,'Round 10'!$B$2:$H$362,7,false),1)="A","W",if(LEFT(VLOOKUP($B665,'Round 10'!$B$2:$H$362,7,false),1)="B","L","")),if(LEFT(VLOOKUP($B665,'Round 10'!$F$2:$H$362,3,false),1)="b","W",if(LEFT(VLOOKUP($B665,'Round 10'!$F$2:$H$362,3,false),1)="a","L",""))),"")</f>
        <v/>
      </c>
      <c r="N665" s="62" t="s">
        <v>1377</v>
      </c>
    </row>
    <row r="666">
      <c r="A666" s="63">
        <v>665.0</v>
      </c>
      <c r="B666" s="64" t="s">
        <v>1378</v>
      </c>
      <c r="C666" s="65" t="str">
        <f t="shared" si="1"/>
        <v>1 - 3</v>
      </c>
      <c r="D666" s="67" t="str">
        <f>iferror(if(LEFT(VLOOKUP($B666,'Round 1'!$B$2:$H$361,7,false),1)="A","W",if(LEFT(VLOOKUP($B666,'Round 1'!$B$2:$H$361,7,false),1)="B","L","")),if(LEFT(VLOOKUP($B666,'Round 1'!$F$2:$H$361,3,false),1)="b","W",if(LEFT(VLOOKUP($B666,'Round 1'!$F$2:$H$361,3,false),1)="a","L","")))</f>
        <v>L</v>
      </c>
      <c r="E666" s="67" t="str">
        <f>iferror(if(LEFT(VLOOKUP($B666,'Round 2'!$C$2:$J$361,8,false),1)="A","W",if(LEFT(VLOOKUP($B666,'Round 2'!$C$2:$J$361,8,false),1)="B","L","")),if(LEFT(VLOOKUP($B666,'Round 2'!$G$2:$J$361,4,false),1)="b","W",if(LEFT(VLOOKUP($B666,'Round 2'!$G$2:$J$361,4,false),1)="a","L","")))</f>
        <v>L</v>
      </c>
      <c r="F666" s="67" t="str">
        <f>iferror(if(LEFT(VLOOKUP($B666,'Round 3'!$B$2:$H$361,7,false),1)="A","W",if(LEFT(VLOOKUP($B666,'Round 3'!$B$2:$H$361,7,false),1)="B","L","")),if(LEFT(VLOOKUP($B666,'Round 3'!$F$2:$H$361,3,false),1)="b","W",if(LEFT(VLOOKUP($B666,'Round 3'!$F$2:$H$361,3,false),1)="a","L","")))</f>
        <v>W</v>
      </c>
      <c r="G666" s="67" t="str">
        <f>iferror(if(LEFT(VLOOKUP($B666,'Round 4'!$B$2:$H$361,7,false),1)="A","W",if(LEFT(VLOOKUP($B666,'Round 4'!$B$2:$H$361,7,false),1)="B","L","")),if(LEFT(VLOOKUP($B666,'Round 4'!$F$2:$H$361,3,false),1)="b","W",if(LEFT(VLOOKUP($B666,'Round 4'!$F$2:$H$361,3,false),1)="a","L","")))</f>
        <v>L</v>
      </c>
      <c r="H666" s="67"/>
      <c r="I666" s="67"/>
      <c r="J666" s="67" t="str">
        <f>iferror(iferror(if(LEFT(VLOOKUP($B666,'Round 7'!$B$2:$H$361,7,false),1)="A","W",if(LEFT(VLOOKUP($B666,'Round 7'!$B$2:$H$361,7,false),1)="B","L","")),if(LEFT(VLOOKUP($B666,'Round 7'!$F$2:$H$361,3,false),1)="b","W",if(LEFT(VLOOKUP($B666,'Round 7'!$F$2:$H$361,3,false),1)="a","L",""))),"")</f>
        <v/>
      </c>
      <c r="K666" s="68" t="str">
        <f>iferror(iferror(if(LEFT(VLOOKUP($B666,'Round 8'!$B$2:$H$361,7,false),1)="A","W",if(LEFT(VLOOKUP($B666,'Round 8'!$B$2:$H$361,7,false),1)="B","L","")),if(LEFT(VLOOKUP($B666,'Round 8'!$F$2:$H$361,3,false),1)="b","W",if(LEFT(VLOOKUP($B666,'Round 8'!$F$2:$H$361,3,false),1)="a","L",""))),"")</f>
        <v/>
      </c>
      <c r="L666" s="68" t="str">
        <f>iferror(iferror(if(LEFT(VLOOKUP($B666,'Round 9'!$B$2:$H$361,7,false),1)="A","W",if(LEFT(VLOOKUP($B666,'Round 9'!$B$2:$H$361,7,false),1)="B","L","")),if(LEFT(VLOOKUP($B666,'Round 9'!$F$2:$H$361,3,false),1)="b","W",if(LEFT(VLOOKUP($B666,'Round 9'!$F$2:$H$361,3,false),1)="a","L",""))),"")</f>
        <v/>
      </c>
      <c r="M666" s="68" t="str">
        <f>iferror(iferror(if(LEFT(VLOOKUP($B666,'Round 10'!$B$2:$H$362,7,false),1)="A","W",if(LEFT(VLOOKUP($B666,'Round 10'!$B$2:$H$362,7,false),1)="B","L","")),if(LEFT(VLOOKUP($B666,'Round 10'!$F$2:$H$362,3,false),1)="b","W",if(LEFT(VLOOKUP($B666,'Round 10'!$F$2:$H$362,3,false),1)="a","L",""))),"")</f>
        <v/>
      </c>
      <c r="N666" s="62" t="s">
        <v>1379</v>
      </c>
    </row>
    <row r="667">
      <c r="A667" s="63">
        <v>666.0</v>
      </c>
      <c r="B667" s="64" t="s">
        <v>1380</v>
      </c>
      <c r="C667" s="65" t="str">
        <f t="shared" si="1"/>
        <v>1 - 3</v>
      </c>
      <c r="D667" s="67" t="str">
        <f>iferror(if(LEFT(VLOOKUP($B667,'Round 1'!$B$2:$H$361,7,false),1)="A","W",if(LEFT(VLOOKUP($B667,'Round 1'!$B$2:$H$361,7,false),1)="B","L","")),if(LEFT(VLOOKUP($B667,'Round 1'!$F$2:$H$361,3,false),1)="b","W",if(LEFT(VLOOKUP($B667,'Round 1'!$F$2:$H$361,3,false),1)="a","L","")))</f>
        <v>L</v>
      </c>
      <c r="E667" s="67" t="str">
        <f>iferror(if(LEFT(VLOOKUP($B667,'Round 2'!$C$2:$J$361,8,false),1)="A","W",if(LEFT(VLOOKUP($B667,'Round 2'!$C$2:$J$361,8,false),1)="B","L","")),if(LEFT(VLOOKUP($B667,'Round 2'!$G$2:$J$361,4,false),1)="b","W",if(LEFT(VLOOKUP($B667,'Round 2'!$G$2:$J$361,4,false),1)="a","L","")))</f>
        <v>W</v>
      </c>
      <c r="F667" s="67" t="str">
        <f>iferror(if(LEFT(VLOOKUP($B667,'Round 3'!$B$2:$H$361,7,false),1)="A","W",if(LEFT(VLOOKUP($B667,'Round 3'!$B$2:$H$361,7,false),1)="B","L","")),if(LEFT(VLOOKUP($B667,'Round 3'!$F$2:$H$361,3,false),1)="b","W",if(LEFT(VLOOKUP($B667,'Round 3'!$F$2:$H$361,3,false),1)="a","L","")))</f>
        <v>L</v>
      </c>
      <c r="G667" s="67" t="str">
        <f>iferror(if(LEFT(VLOOKUP($B667,'Round 4'!$B$2:$H$361,7,false),1)="A","W",if(LEFT(VLOOKUP($B667,'Round 4'!$B$2:$H$361,7,false),1)="B","L","")),if(LEFT(VLOOKUP($B667,'Round 4'!$F$2:$H$361,3,false),1)="b","W",if(LEFT(VLOOKUP($B667,'Round 4'!$F$2:$H$361,3,false),1)="a","L","")))</f>
        <v>L</v>
      </c>
      <c r="H667" s="67"/>
      <c r="I667" s="67"/>
      <c r="J667" s="67" t="str">
        <f>iferror(iferror(if(LEFT(VLOOKUP($B667,'Round 7'!$B$2:$H$361,7,false),1)="A","W",if(LEFT(VLOOKUP($B667,'Round 7'!$B$2:$H$361,7,false),1)="B","L","")),if(LEFT(VLOOKUP($B667,'Round 7'!$F$2:$H$361,3,false),1)="b","W",if(LEFT(VLOOKUP($B667,'Round 7'!$F$2:$H$361,3,false),1)="a","L",""))),"")</f>
        <v/>
      </c>
      <c r="K667" s="68" t="str">
        <f>iferror(iferror(if(LEFT(VLOOKUP($B667,'Round 8'!$B$2:$H$361,7,false),1)="A","W",if(LEFT(VLOOKUP($B667,'Round 8'!$B$2:$H$361,7,false),1)="B","L","")),if(LEFT(VLOOKUP($B667,'Round 8'!$F$2:$H$361,3,false),1)="b","W",if(LEFT(VLOOKUP($B667,'Round 8'!$F$2:$H$361,3,false),1)="a","L",""))),"")</f>
        <v/>
      </c>
      <c r="L667" s="68" t="str">
        <f>iferror(iferror(if(LEFT(VLOOKUP($B667,'Round 9'!$B$2:$H$361,7,false),1)="A","W",if(LEFT(VLOOKUP($B667,'Round 9'!$B$2:$H$361,7,false),1)="B","L","")),if(LEFT(VLOOKUP($B667,'Round 9'!$F$2:$H$361,3,false),1)="b","W",if(LEFT(VLOOKUP($B667,'Round 9'!$F$2:$H$361,3,false),1)="a","L",""))),"")</f>
        <v/>
      </c>
      <c r="M667" s="68" t="str">
        <f>iferror(iferror(if(LEFT(VLOOKUP($B667,'Round 10'!$B$2:$H$362,7,false),1)="A","W",if(LEFT(VLOOKUP($B667,'Round 10'!$B$2:$H$362,7,false),1)="B","L","")),if(LEFT(VLOOKUP($B667,'Round 10'!$F$2:$H$362,3,false),1)="b","W",if(LEFT(VLOOKUP($B667,'Round 10'!$F$2:$H$362,3,false),1)="a","L",""))),"")</f>
        <v/>
      </c>
      <c r="N667" s="62" t="s">
        <v>1381</v>
      </c>
    </row>
    <row r="668">
      <c r="A668" s="63">
        <v>667.0</v>
      </c>
      <c r="B668" s="64" t="s">
        <v>1382</v>
      </c>
      <c r="C668" s="65" t="str">
        <f t="shared" si="1"/>
        <v>3 - 3</v>
      </c>
      <c r="D668" s="67" t="str">
        <f>iferror(if(LEFT(VLOOKUP($B668,'Round 1'!$B$2:$H$361,7,false),1)="A","W",if(LEFT(VLOOKUP($B668,'Round 1'!$B$2:$H$361,7,false),1)="B","L","")),if(LEFT(VLOOKUP($B668,'Round 1'!$F$2:$H$361,3,false),1)="b","W",if(LEFT(VLOOKUP($B668,'Round 1'!$F$2:$H$361,3,false),1)="a","L","")))</f>
        <v>L</v>
      </c>
      <c r="E668" s="67" t="str">
        <f>iferror(if(LEFT(VLOOKUP($B668,'Round 2'!$C$2:$J$361,8,false),1)="A","W",if(LEFT(VLOOKUP($B668,'Round 2'!$C$2:$J$361,8,false),1)="B","L","")),if(LEFT(VLOOKUP($B668,'Round 2'!$G$2:$J$361,4,false),1)="b","W",if(LEFT(VLOOKUP($B668,'Round 2'!$G$2:$J$361,4,false),1)="a","L","")))</f>
        <v>W</v>
      </c>
      <c r="F668" s="67" t="str">
        <f>iferror(if(LEFT(VLOOKUP($B668,'Round 3'!$B$2:$H$361,7,false),1)="A","W",if(LEFT(VLOOKUP($B668,'Round 3'!$B$2:$H$361,7,false),1)="B","L","")),if(LEFT(VLOOKUP($B668,'Round 3'!$F$2:$H$361,3,false),1)="b","W",if(LEFT(VLOOKUP($B668,'Round 3'!$F$2:$H$361,3,false),1)="a","L","")))</f>
        <v>L</v>
      </c>
      <c r="G668" s="67" t="str">
        <f>iferror(if(LEFT(VLOOKUP($B668,'Round 4'!$B$2:$H$361,7,false),1)="A","W",if(LEFT(VLOOKUP($B668,'Round 4'!$B$2:$H$361,7,false),1)="B","L","")),if(LEFT(VLOOKUP($B668,'Round 4'!$F$2:$H$361,3,false),1)="b","W",if(LEFT(VLOOKUP($B668,'Round 4'!$F$2:$H$361,3,false),1)="a","L","")))</f>
        <v>W</v>
      </c>
      <c r="H668" s="67" t="str">
        <f>iferror(if(LEFT(VLOOKUP($B668,'Round 5'!$B$2:$H$361,7,false),1)="A","W",if(LEFT(VLOOKUP($B668,'Round 5'!$B$2:$H$361,7,false),1)="B","L","")),if(LEFT(VLOOKUP($B668,'Round 5'!$F$2:$H$361,3,false),1)="b","W",if(LEFT(VLOOKUP($B668,'Round 5'!$F$2:$H$361,3,false),1)="a","L","")))</f>
        <v>W</v>
      </c>
      <c r="I668" s="67" t="str">
        <f>iferror(if(LEFT(VLOOKUP($B668,'Round 6'!$B$2:$H$361,7,false),1)="A","W",if(LEFT(VLOOKUP($B668,'Round 6'!$B$2:$H$361,7,false),1)="B","L","")),if(LEFT(VLOOKUP($B668,'Round 6'!$F$2:$H$361,3,false),1)="b","W",if(LEFT(VLOOKUP($B668,'Round 6'!$F$2:$H$361,3,false),1)="a","L","")))</f>
        <v>L</v>
      </c>
      <c r="J668" s="67" t="str">
        <f>iferror(iferror(if(LEFT(VLOOKUP($B668,'Round 7'!$B$2:$H$361,7,false),1)="A","W",if(LEFT(VLOOKUP($B668,'Round 7'!$B$2:$H$361,7,false),1)="B","L","")),if(LEFT(VLOOKUP($B668,'Round 7'!$F$2:$H$361,3,false),1)="b","W",if(LEFT(VLOOKUP($B668,'Round 7'!$F$2:$H$361,3,false),1)="a","L",""))),"")</f>
        <v/>
      </c>
      <c r="K668" s="68" t="str">
        <f>iferror(iferror(if(LEFT(VLOOKUP($B668,'Round 8'!$B$2:$H$361,7,false),1)="A","W",if(LEFT(VLOOKUP($B668,'Round 8'!$B$2:$H$361,7,false),1)="B","L","")),if(LEFT(VLOOKUP($B668,'Round 8'!$F$2:$H$361,3,false),1)="b","W",if(LEFT(VLOOKUP($B668,'Round 8'!$F$2:$H$361,3,false),1)="a","L",""))),"")</f>
        <v/>
      </c>
      <c r="L668" s="68" t="str">
        <f>iferror(iferror(if(LEFT(VLOOKUP($B668,'Round 9'!$B$2:$H$361,7,false),1)="A","W",if(LEFT(VLOOKUP($B668,'Round 9'!$B$2:$H$361,7,false),1)="B","L","")),if(LEFT(VLOOKUP($B668,'Round 9'!$F$2:$H$361,3,false),1)="b","W",if(LEFT(VLOOKUP($B668,'Round 9'!$F$2:$H$361,3,false),1)="a","L",""))),"")</f>
        <v/>
      </c>
      <c r="M668" s="68" t="str">
        <f>iferror(iferror(if(LEFT(VLOOKUP($B668,'Round 10'!$B$2:$H$362,7,false),1)="A","W",if(LEFT(VLOOKUP($B668,'Round 10'!$B$2:$H$362,7,false),1)="B","L","")),if(LEFT(VLOOKUP($B668,'Round 10'!$F$2:$H$362,3,false),1)="b","W",if(LEFT(VLOOKUP($B668,'Round 10'!$F$2:$H$362,3,false),1)="a","L",""))),"")</f>
        <v/>
      </c>
      <c r="N668" s="62" t="s">
        <v>1383</v>
      </c>
    </row>
    <row r="669">
      <c r="A669" s="63">
        <v>668.0</v>
      </c>
      <c r="B669" s="64" t="s">
        <v>1384</v>
      </c>
      <c r="C669" s="65" t="str">
        <f t="shared" si="1"/>
        <v>0 - 3</v>
      </c>
      <c r="D669" s="67" t="str">
        <f>iferror(if(LEFT(VLOOKUP($B669,'Round 1'!$B$2:$H$361,7,false),1)="A","W",if(LEFT(VLOOKUP($B669,'Round 1'!$B$2:$H$361,7,false),1)="B","L","")),if(LEFT(VLOOKUP($B669,'Round 1'!$F$2:$H$361,3,false),1)="b","W",if(LEFT(VLOOKUP($B669,'Round 1'!$F$2:$H$361,3,false),1)="a","L","")))</f>
        <v>L</v>
      </c>
      <c r="E669" s="67" t="str">
        <f>iferror(if(LEFT(VLOOKUP($B669,'Round 2'!$C$2:$J$361,8,false),1)="A","W",if(LEFT(VLOOKUP($B669,'Round 2'!$C$2:$J$361,8,false),1)="B","L","")),if(LEFT(VLOOKUP($B669,'Round 2'!$G$2:$J$361,4,false),1)="b","W",if(LEFT(VLOOKUP($B669,'Round 2'!$G$2:$J$361,4,false),1)="a","L","")))</f>
        <v>L</v>
      </c>
      <c r="F669" s="67" t="str">
        <f>iferror(if(LEFT(VLOOKUP($B669,'Round 3'!$B$2:$H$361,7,false),1)="A","W",if(LEFT(VLOOKUP($B669,'Round 3'!$B$2:$H$361,7,false),1)="B","L","")),if(LEFT(VLOOKUP($B669,'Round 3'!$F$2:$H$361,3,false),1)="b","W",if(LEFT(VLOOKUP($B669,'Round 3'!$F$2:$H$361,3,false),1)="a","L","")))</f>
        <v>L</v>
      </c>
      <c r="G669" s="67"/>
      <c r="H669" s="67"/>
      <c r="I669" s="67"/>
      <c r="J669" s="67" t="str">
        <f>iferror(iferror(if(LEFT(VLOOKUP($B669,'Round 7'!$B$2:$H$361,7,false),1)="A","W",if(LEFT(VLOOKUP($B669,'Round 7'!$B$2:$H$361,7,false),1)="B","L","")),if(LEFT(VLOOKUP($B669,'Round 7'!$F$2:$H$361,3,false),1)="b","W",if(LEFT(VLOOKUP($B669,'Round 7'!$F$2:$H$361,3,false),1)="a","L",""))),"")</f>
        <v/>
      </c>
      <c r="K669" s="68" t="str">
        <f>iferror(iferror(if(LEFT(VLOOKUP($B669,'Round 8'!$B$2:$H$361,7,false),1)="A","W",if(LEFT(VLOOKUP($B669,'Round 8'!$B$2:$H$361,7,false),1)="B","L","")),if(LEFT(VLOOKUP($B669,'Round 8'!$F$2:$H$361,3,false),1)="b","W",if(LEFT(VLOOKUP($B669,'Round 8'!$F$2:$H$361,3,false),1)="a","L",""))),"")</f>
        <v/>
      </c>
      <c r="L669" s="68" t="str">
        <f>iferror(iferror(if(LEFT(VLOOKUP($B669,'Round 9'!$B$2:$H$361,7,false),1)="A","W",if(LEFT(VLOOKUP($B669,'Round 9'!$B$2:$H$361,7,false),1)="B","L","")),if(LEFT(VLOOKUP($B669,'Round 9'!$F$2:$H$361,3,false),1)="b","W",if(LEFT(VLOOKUP($B669,'Round 9'!$F$2:$H$361,3,false),1)="a","L",""))),"")</f>
        <v/>
      </c>
      <c r="M669" s="68" t="str">
        <f>iferror(iferror(if(LEFT(VLOOKUP($B669,'Round 10'!$B$2:$H$362,7,false),1)="A","W",if(LEFT(VLOOKUP($B669,'Round 10'!$B$2:$H$362,7,false),1)="B","L","")),if(LEFT(VLOOKUP($B669,'Round 10'!$F$2:$H$362,3,false),1)="b","W",if(LEFT(VLOOKUP($B669,'Round 10'!$F$2:$H$362,3,false),1)="a","L",""))),"")</f>
        <v/>
      </c>
      <c r="N669" s="62" t="s">
        <v>144</v>
      </c>
    </row>
    <row r="670">
      <c r="A670" s="63">
        <v>669.0</v>
      </c>
      <c r="B670" s="64" t="s">
        <v>1385</v>
      </c>
      <c r="C670" s="65" t="str">
        <f t="shared" si="1"/>
        <v>3 - 3</v>
      </c>
      <c r="D670" s="67" t="str">
        <f>iferror(if(LEFT(VLOOKUP($B670,'Round 1'!$B$2:$H$361,7,false),1)="A","W",if(LEFT(VLOOKUP($B670,'Round 1'!$B$2:$H$361,7,false),1)="B","L","")),if(LEFT(VLOOKUP($B670,'Round 1'!$F$2:$H$361,3,false),1)="b","W",if(LEFT(VLOOKUP($B670,'Round 1'!$F$2:$H$361,3,false),1)="a","L","")))</f>
        <v>L</v>
      </c>
      <c r="E670" s="67" t="str">
        <f>iferror(if(LEFT(VLOOKUP($B670,'Round 2'!$C$2:$J$361,8,false),1)="A","W",if(LEFT(VLOOKUP($B670,'Round 2'!$C$2:$J$361,8,false),1)="B","L","")),if(LEFT(VLOOKUP($B670,'Round 2'!$G$2:$J$361,4,false),1)="b","W",if(LEFT(VLOOKUP($B670,'Round 2'!$G$2:$J$361,4,false),1)="a","L","")))</f>
        <v>W</v>
      </c>
      <c r="F670" s="67" t="str">
        <f>iferror(if(LEFT(VLOOKUP($B670,'Round 3'!$B$2:$H$361,7,false),1)="A","W",if(LEFT(VLOOKUP($B670,'Round 3'!$B$2:$H$361,7,false),1)="B","L","")),if(LEFT(VLOOKUP($B670,'Round 3'!$F$2:$H$361,3,false),1)="b","W",if(LEFT(VLOOKUP($B670,'Round 3'!$F$2:$H$361,3,false),1)="a","L","")))</f>
        <v>W</v>
      </c>
      <c r="G670" s="67" t="str">
        <f>iferror(if(LEFT(VLOOKUP($B670,'Round 4'!$B$2:$H$361,7,false),1)="A","W",if(LEFT(VLOOKUP($B670,'Round 4'!$B$2:$H$361,7,false),1)="B","L","")),if(LEFT(VLOOKUP($B670,'Round 4'!$F$2:$H$361,3,false),1)="b","W",if(LEFT(VLOOKUP($B670,'Round 4'!$F$2:$H$361,3,false),1)="a","L","")))</f>
        <v>W</v>
      </c>
      <c r="H670" s="67" t="str">
        <f>iferror(if(LEFT(VLOOKUP($B670,'Round 5'!$B$2:$H$361,7,false),1)="A","W",if(LEFT(VLOOKUP($B670,'Round 5'!$B$2:$H$361,7,false),1)="B","L","")),if(LEFT(VLOOKUP($B670,'Round 5'!$F$2:$H$361,3,false),1)="b","W",if(LEFT(VLOOKUP($B670,'Round 5'!$F$2:$H$361,3,false),1)="a","L","")))</f>
        <v>L</v>
      </c>
      <c r="I670" s="67" t="str">
        <f>iferror(if(LEFT(VLOOKUP($B670,'Round 6'!$B$2:$H$361,7,false),1)="A","W",if(LEFT(VLOOKUP($B670,'Round 6'!$B$2:$H$361,7,false),1)="B","L","")),if(LEFT(VLOOKUP($B670,'Round 6'!$F$2:$H$361,3,false),1)="b","W",if(LEFT(VLOOKUP($B670,'Round 6'!$F$2:$H$361,3,false),1)="a","L","")))</f>
        <v>L</v>
      </c>
      <c r="J670" s="67" t="str">
        <f>iferror(iferror(if(LEFT(VLOOKUP($B670,'Round 7'!$B$2:$H$361,7,false),1)="A","W",if(LEFT(VLOOKUP($B670,'Round 7'!$B$2:$H$361,7,false),1)="B","L","")),if(LEFT(VLOOKUP($B670,'Round 7'!$F$2:$H$361,3,false),1)="b","W",if(LEFT(VLOOKUP($B670,'Round 7'!$F$2:$H$361,3,false),1)="a","L",""))),"")</f>
        <v/>
      </c>
      <c r="K670" s="68" t="str">
        <f>iferror(iferror(if(LEFT(VLOOKUP($B670,'Round 8'!$B$2:$H$361,7,false),1)="A","W",if(LEFT(VLOOKUP($B670,'Round 8'!$B$2:$H$361,7,false),1)="B","L","")),if(LEFT(VLOOKUP($B670,'Round 8'!$F$2:$H$361,3,false),1)="b","W",if(LEFT(VLOOKUP($B670,'Round 8'!$F$2:$H$361,3,false),1)="a","L",""))),"")</f>
        <v/>
      </c>
      <c r="L670" s="68" t="str">
        <f>iferror(iferror(if(LEFT(VLOOKUP($B670,'Round 9'!$B$2:$H$361,7,false),1)="A","W",if(LEFT(VLOOKUP($B670,'Round 9'!$B$2:$H$361,7,false),1)="B","L","")),if(LEFT(VLOOKUP($B670,'Round 9'!$F$2:$H$361,3,false),1)="b","W",if(LEFT(VLOOKUP($B670,'Round 9'!$F$2:$H$361,3,false),1)="a","L",""))),"")</f>
        <v/>
      </c>
      <c r="M670" s="68" t="str">
        <f>iferror(iferror(if(LEFT(VLOOKUP($B670,'Round 10'!$B$2:$H$362,7,false),1)="A","W",if(LEFT(VLOOKUP($B670,'Round 10'!$B$2:$H$362,7,false),1)="B","L","")),if(LEFT(VLOOKUP($B670,'Round 10'!$F$2:$H$362,3,false),1)="b","W",if(LEFT(VLOOKUP($B670,'Round 10'!$F$2:$H$362,3,false),1)="a","L",""))),"")</f>
        <v/>
      </c>
      <c r="N670" s="62" t="s">
        <v>1386</v>
      </c>
    </row>
    <row r="671">
      <c r="A671" s="63">
        <v>670.0</v>
      </c>
      <c r="B671" s="64" t="s">
        <v>1387</v>
      </c>
      <c r="C671" s="65" t="str">
        <f t="shared" si="1"/>
        <v>1 - 3</v>
      </c>
      <c r="D671" s="67" t="str">
        <f>iferror(if(LEFT(VLOOKUP($B671,'Round 1'!$B$2:$H$361,7,false),1)="A","W",if(LEFT(VLOOKUP($B671,'Round 1'!$B$2:$H$361,7,false),1)="B","L","")),if(LEFT(VLOOKUP($B671,'Round 1'!$F$2:$H$361,3,false),1)="b","W",if(LEFT(VLOOKUP($B671,'Round 1'!$F$2:$H$361,3,false),1)="a","L","")))</f>
        <v>L</v>
      </c>
      <c r="E671" s="67" t="str">
        <f>iferror(if(LEFT(VLOOKUP($B671,'Round 2'!$C$2:$J$361,8,false),1)="A","W",if(LEFT(VLOOKUP($B671,'Round 2'!$C$2:$J$361,8,false),1)="B","L","")),if(LEFT(VLOOKUP($B671,'Round 2'!$G$2:$J$361,4,false),1)="b","W",if(LEFT(VLOOKUP($B671,'Round 2'!$G$2:$J$361,4,false),1)="a","L","")))</f>
        <v>W</v>
      </c>
      <c r="F671" s="67" t="str">
        <f>iferror(if(LEFT(VLOOKUP($B671,'Round 3'!$B$2:$H$361,7,false),1)="A","W",if(LEFT(VLOOKUP($B671,'Round 3'!$B$2:$H$361,7,false),1)="B","L","")),if(LEFT(VLOOKUP($B671,'Round 3'!$F$2:$H$361,3,false),1)="b","W",if(LEFT(VLOOKUP($B671,'Round 3'!$F$2:$H$361,3,false),1)="a","L","")))</f>
        <v>L</v>
      </c>
      <c r="G671" s="67" t="str">
        <f>iferror(if(LEFT(VLOOKUP($B671,'Round 4'!$B$2:$H$361,7,false),1)="A","W",if(LEFT(VLOOKUP($B671,'Round 4'!$B$2:$H$361,7,false),1)="B","L","")),if(LEFT(VLOOKUP($B671,'Round 4'!$F$2:$H$361,3,false),1)="b","W",if(LEFT(VLOOKUP($B671,'Round 4'!$F$2:$H$361,3,false),1)="a","L","")))</f>
        <v>L</v>
      </c>
      <c r="H671" s="67"/>
      <c r="I671" s="67"/>
      <c r="J671" s="67" t="str">
        <f>iferror(iferror(if(LEFT(VLOOKUP($B671,'Round 7'!$B$2:$H$361,7,false),1)="A","W",if(LEFT(VLOOKUP($B671,'Round 7'!$B$2:$H$361,7,false),1)="B","L","")),if(LEFT(VLOOKUP($B671,'Round 7'!$F$2:$H$361,3,false),1)="b","W",if(LEFT(VLOOKUP($B671,'Round 7'!$F$2:$H$361,3,false),1)="a","L",""))),"")</f>
        <v/>
      </c>
      <c r="K671" s="68" t="str">
        <f>iferror(iferror(if(LEFT(VLOOKUP($B671,'Round 8'!$B$2:$H$361,7,false),1)="A","W",if(LEFT(VLOOKUP($B671,'Round 8'!$B$2:$H$361,7,false),1)="B","L","")),if(LEFT(VLOOKUP($B671,'Round 8'!$F$2:$H$361,3,false),1)="b","W",if(LEFT(VLOOKUP($B671,'Round 8'!$F$2:$H$361,3,false),1)="a","L",""))),"")</f>
        <v/>
      </c>
      <c r="L671" s="68" t="str">
        <f>iferror(iferror(if(LEFT(VLOOKUP($B671,'Round 9'!$B$2:$H$361,7,false),1)="A","W",if(LEFT(VLOOKUP($B671,'Round 9'!$B$2:$H$361,7,false),1)="B","L","")),if(LEFT(VLOOKUP($B671,'Round 9'!$F$2:$H$361,3,false),1)="b","W",if(LEFT(VLOOKUP($B671,'Round 9'!$F$2:$H$361,3,false),1)="a","L",""))),"")</f>
        <v/>
      </c>
      <c r="M671" s="68" t="str">
        <f>iferror(iferror(if(LEFT(VLOOKUP($B671,'Round 10'!$B$2:$H$362,7,false),1)="A","W",if(LEFT(VLOOKUP($B671,'Round 10'!$B$2:$H$362,7,false),1)="B","L","")),if(LEFT(VLOOKUP($B671,'Round 10'!$F$2:$H$362,3,false),1)="b","W",if(LEFT(VLOOKUP($B671,'Round 10'!$F$2:$H$362,3,false),1)="a","L",""))),"")</f>
        <v/>
      </c>
      <c r="N671" s="62" t="s">
        <v>1388</v>
      </c>
    </row>
    <row r="672">
      <c r="A672" s="63">
        <v>671.0</v>
      </c>
      <c r="B672" s="64" t="s">
        <v>1389</v>
      </c>
      <c r="C672" s="65" t="str">
        <f t="shared" si="1"/>
        <v>3 - 3</v>
      </c>
      <c r="D672" s="67" t="str">
        <f>iferror(if(LEFT(VLOOKUP($B672,'Round 1'!$B$2:$H$361,7,false),1)="A","W",if(LEFT(VLOOKUP($B672,'Round 1'!$B$2:$H$361,7,false),1)="B","L","")),if(LEFT(VLOOKUP($B672,'Round 1'!$F$2:$H$361,3,false),1)="b","W",if(LEFT(VLOOKUP($B672,'Round 1'!$F$2:$H$361,3,false),1)="a","L","")))</f>
        <v>L</v>
      </c>
      <c r="E672" s="67" t="str">
        <f>iferror(if(LEFT(VLOOKUP($B672,'Round 2'!$C$2:$J$361,8,false),1)="A","W",if(LEFT(VLOOKUP($B672,'Round 2'!$C$2:$J$361,8,false),1)="B","L","")),if(LEFT(VLOOKUP($B672,'Round 2'!$G$2:$J$361,4,false),1)="b","W",if(LEFT(VLOOKUP($B672,'Round 2'!$G$2:$J$361,4,false),1)="a","L","")))</f>
        <v>W</v>
      </c>
      <c r="F672" s="67" t="str">
        <f>iferror(if(LEFT(VLOOKUP($B672,'Round 3'!$B$2:$H$361,7,false),1)="A","W",if(LEFT(VLOOKUP($B672,'Round 3'!$B$2:$H$361,7,false),1)="B","L","")),if(LEFT(VLOOKUP($B672,'Round 3'!$F$2:$H$361,3,false),1)="b","W",if(LEFT(VLOOKUP($B672,'Round 3'!$F$2:$H$361,3,false),1)="a","L","")))</f>
        <v>W</v>
      </c>
      <c r="G672" s="67" t="str">
        <f>iferror(if(LEFT(VLOOKUP($B672,'Round 4'!$B$2:$H$361,7,false),1)="A","W",if(LEFT(VLOOKUP($B672,'Round 4'!$B$2:$H$361,7,false),1)="B","L","")),if(LEFT(VLOOKUP($B672,'Round 4'!$F$2:$H$361,3,false),1)="b","W",if(LEFT(VLOOKUP($B672,'Round 4'!$F$2:$H$361,3,false),1)="a","L","")))</f>
        <v>L</v>
      </c>
      <c r="H672" s="67" t="str">
        <f>iferror(if(LEFT(VLOOKUP($B672,'Round 5'!$B$2:$H$361,7,false),1)="A","W",if(LEFT(VLOOKUP($B672,'Round 5'!$B$2:$H$361,7,false),1)="B","L","")),if(LEFT(VLOOKUP($B672,'Round 5'!$F$2:$H$361,3,false),1)="b","W",if(LEFT(VLOOKUP($B672,'Round 5'!$F$2:$H$361,3,false),1)="a","L","")))</f>
        <v>W</v>
      </c>
      <c r="I672" s="67" t="str">
        <f>iferror(if(LEFT(VLOOKUP($B672,'Round 6'!$B$2:$H$361,7,false),1)="A","W",if(LEFT(VLOOKUP($B672,'Round 6'!$B$2:$H$361,7,false),1)="B","L","")),if(LEFT(VLOOKUP($B672,'Round 6'!$F$2:$H$361,3,false),1)="b","W",if(LEFT(VLOOKUP($B672,'Round 6'!$F$2:$H$361,3,false),1)="a","L","")))</f>
        <v>L</v>
      </c>
      <c r="J672" s="67" t="str">
        <f>iferror(iferror(if(LEFT(VLOOKUP($B672,'Round 7'!$B$2:$H$361,7,false),1)="A","W",if(LEFT(VLOOKUP($B672,'Round 7'!$B$2:$H$361,7,false),1)="B","L","")),if(LEFT(VLOOKUP($B672,'Round 7'!$F$2:$H$361,3,false),1)="b","W",if(LEFT(VLOOKUP($B672,'Round 7'!$F$2:$H$361,3,false),1)="a","L",""))),"")</f>
        <v/>
      </c>
      <c r="K672" s="68" t="str">
        <f>iferror(iferror(if(LEFT(VLOOKUP($B672,'Round 8'!$B$2:$H$361,7,false),1)="A","W",if(LEFT(VLOOKUP($B672,'Round 8'!$B$2:$H$361,7,false),1)="B","L","")),if(LEFT(VLOOKUP($B672,'Round 8'!$F$2:$H$361,3,false),1)="b","W",if(LEFT(VLOOKUP($B672,'Round 8'!$F$2:$H$361,3,false),1)="a","L",""))),"")</f>
        <v/>
      </c>
      <c r="L672" s="68" t="str">
        <f>iferror(iferror(if(LEFT(VLOOKUP($B672,'Round 9'!$B$2:$H$361,7,false),1)="A","W",if(LEFT(VLOOKUP($B672,'Round 9'!$B$2:$H$361,7,false),1)="B","L","")),if(LEFT(VLOOKUP($B672,'Round 9'!$F$2:$H$361,3,false),1)="b","W",if(LEFT(VLOOKUP($B672,'Round 9'!$F$2:$H$361,3,false),1)="a","L",""))),"")</f>
        <v/>
      </c>
      <c r="M672" s="68" t="str">
        <f>iferror(iferror(if(LEFT(VLOOKUP($B672,'Round 10'!$B$2:$H$362,7,false),1)="A","W",if(LEFT(VLOOKUP($B672,'Round 10'!$B$2:$H$362,7,false),1)="B","L","")),if(LEFT(VLOOKUP($B672,'Round 10'!$F$2:$H$362,3,false),1)="b","W",if(LEFT(VLOOKUP($B672,'Round 10'!$F$2:$H$362,3,false),1)="a","L",""))),"")</f>
        <v/>
      </c>
      <c r="N672" s="62" t="s">
        <v>1390</v>
      </c>
    </row>
    <row r="673">
      <c r="A673" s="63">
        <v>672.0</v>
      </c>
      <c r="B673" s="64" t="s">
        <v>1391</v>
      </c>
      <c r="C673" s="65" t="str">
        <f t="shared" si="1"/>
        <v>0 - 3</v>
      </c>
      <c r="D673" s="67" t="str">
        <f>iferror(if(LEFT(VLOOKUP($B673,'Round 1'!$B$2:$H$361,7,false),1)="A","W",if(LEFT(VLOOKUP($B673,'Round 1'!$B$2:$H$361,7,false),1)="B","L","")),if(LEFT(VLOOKUP($B673,'Round 1'!$F$2:$H$361,3,false),1)="b","W",if(LEFT(VLOOKUP($B673,'Round 1'!$F$2:$H$361,3,false),1)="a","L","")))</f>
        <v>L</v>
      </c>
      <c r="E673" s="67" t="str">
        <f>iferror(if(LEFT(VLOOKUP($B673,'Round 2'!$C$2:$J$361,8,false),1)="A","W",if(LEFT(VLOOKUP($B673,'Round 2'!$C$2:$J$361,8,false),1)="B","L","")),if(LEFT(VLOOKUP($B673,'Round 2'!$G$2:$J$361,4,false),1)="b","W",if(LEFT(VLOOKUP($B673,'Round 2'!$G$2:$J$361,4,false),1)="a","L","")))</f>
        <v>L</v>
      </c>
      <c r="F673" s="67" t="str">
        <f>iferror(if(LEFT(VLOOKUP($B673,'Round 3'!$B$2:$H$361,7,false),1)="A","W",if(LEFT(VLOOKUP($B673,'Round 3'!$B$2:$H$361,7,false),1)="B","L","")),if(LEFT(VLOOKUP($B673,'Round 3'!$F$2:$H$361,3,false),1)="b","W",if(LEFT(VLOOKUP($B673,'Round 3'!$F$2:$H$361,3,false),1)="a","L","")))</f>
        <v>L</v>
      </c>
      <c r="G673" s="67"/>
      <c r="H673" s="67"/>
      <c r="I673" s="67"/>
      <c r="J673" s="67" t="str">
        <f>iferror(iferror(if(LEFT(VLOOKUP($B673,'Round 7'!$B$2:$H$361,7,false),1)="A","W",if(LEFT(VLOOKUP($B673,'Round 7'!$B$2:$H$361,7,false),1)="B","L","")),if(LEFT(VLOOKUP($B673,'Round 7'!$F$2:$H$361,3,false),1)="b","W",if(LEFT(VLOOKUP($B673,'Round 7'!$F$2:$H$361,3,false),1)="a","L",""))),"")</f>
        <v/>
      </c>
      <c r="K673" s="68" t="str">
        <f>iferror(iferror(if(LEFT(VLOOKUP($B673,'Round 8'!$B$2:$H$361,7,false),1)="A","W",if(LEFT(VLOOKUP($B673,'Round 8'!$B$2:$H$361,7,false),1)="B","L","")),if(LEFT(VLOOKUP($B673,'Round 8'!$F$2:$H$361,3,false),1)="b","W",if(LEFT(VLOOKUP($B673,'Round 8'!$F$2:$H$361,3,false),1)="a","L",""))),"")</f>
        <v/>
      </c>
      <c r="L673" s="68" t="str">
        <f>iferror(iferror(if(LEFT(VLOOKUP($B673,'Round 9'!$B$2:$H$361,7,false),1)="A","W",if(LEFT(VLOOKUP($B673,'Round 9'!$B$2:$H$361,7,false),1)="B","L","")),if(LEFT(VLOOKUP($B673,'Round 9'!$F$2:$H$361,3,false),1)="b","W",if(LEFT(VLOOKUP($B673,'Round 9'!$F$2:$H$361,3,false),1)="a","L",""))),"")</f>
        <v/>
      </c>
      <c r="M673" s="68" t="str">
        <f>iferror(iferror(if(LEFT(VLOOKUP($B673,'Round 10'!$B$2:$H$362,7,false),1)="A","W",if(LEFT(VLOOKUP($B673,'Round 10'!$B$2:$H$362,7,false),1)="B","L","")),if(LEFT(VLOOKUP($B673,'Round 10'!$F$2:$H$362,3,false),1)="b","W",if(LEFT(VLOOKUP($B673,'Round 10'!$F$2:$H$362,3,false),1)="a","L",""))),"")</f>
        <v/>
      </c>
      <c r="N673" s="62" t="s">
        <v>1392</v>
      </c>
    </row>
    <row r="674">
      <c r="A674" s="63">
        <v>673.0</v>
      </c>
      <c r="B674" s="64" t="s">
        <v>1393</v>
      </c>
      <c r="C674" s="65" t="str">
        <f t="shared" si="1"/>
        <v>2 - 3</v>
      </c>
      <c r="D674" s="67" t="str">
        <f>iferror(if(LEFT(VLOOKUP($B674,'Round 1'!$B$2:$H$361,7,false),1)="A","W",if(LEFT(VLOOKUP($B674,'Round 1'!$B$2:$H$361,7,false),1)="B","L","")),if(LEFT(VLOOKUP($B674,'Round 1'!$F$2:$H$361,3,false),1)="b","W",if(LEFT(VLOOKUP($B674,'Round 1'!$F$2:$H$361,3,false),1)="a","L","")))</f>
        <v>W</v>
      </c>
      <c r="E674" s="67" t="str">
        <f>iferror(if(LEFT(VLOOKUP($B674,'Round 2'!$C$2:$J$361,8,false),1)="A","W",if(LEFT(VLOOKUP($B674,'Round 2'!$C$2:$J$361,8,false),1)="B","L","")),if(LEFT(VLOOKUP($B674,'Round 2'!$G$2:$J$361,4,false),1)="b","W",if(LEFT(VLOOKUP($B674,'Round 2'!$G$2:$J$361,4,false),1)="a","L","")))</f>
        <v>L</v>
      </c>
      <c r="F674" s="67" t="str">
        <f>iferror(if(LEFT(VLOOKUP($B674,'Round 3'!$B$2:$H$361,7,false),1)="A","W",if(LEFT(VLOOKUP($B674,'Round 3'!$B$2:$H$361,7,false),1)="B","L","")),if(LEFT(VLOOKUP($B674,'Round 3'!$F$2:$H$361,3,false),1)="b","W",if(LEFT(VLOOKUP($B674,'Round 3'!$F$2:$H$361,3,false),1)="a","L","")))</f>
        <v>W</v>
      </c>
      <c r="G674" s="67" t="str">
        <f>iferror(if(LEFT(VLOOKUP($B674,'Round 4'!$B$2:$H$361,7,false),1)="A","W",if(LEFT(VLOOKUP($B674,'Round 4'!$B$2:$H$361,7,false),1)="B","L","")),if(LEFT(VLOOKUP($B674,'Round 4'!$F$2:$H$361,3,false),1)="b","W",if(LEFT(VLOOKUP($B674,'Round 4'!$F$2:$H$361,3,false),1)="a","L","")))</f>
        <v>L</v>
      </c>
      <c r="H674" s="67" t="str">
        <f>iferror(if(LEFT(VLOOKUP($B674,'Round 5'!$B$2:$H$361,7,false),1)="A","W",if(LEFT(VLOOKUP($B674,'Round 5'!$B$2:$H$361,7,false),1)="B","L","")),if(LEFT(VLOOKUP($B674,'Round 5'!$F$2:$H$361,3,false),1)="b","W",if(LEFT(VLOOKUP($B674,'Round 5'!$F$2:$H$361,3,false),1)="a","L","")))</f>
        <v>L</v>
      </c>
      <c r="I674" s="67"/>
      <c r="J674" s="67" t="str">
        <f>iferror(iferror(if(LEFT(VLOOKUP($B674,'Round 7'!$B$2:$H$361,7,false),1)="A","W",if(LEFT(VLOOKUP($B674,'Round 7'!$B$2:$H$361,7,false),1)="B","L","")),if(LEFT(VLOOKUP($B674,'Round 7'!$F$2:$H$361,3,false),1)="b","W",if(LEFT(VLOOKUP($B674,'Round 7'!$F$2:$H$361,3,false),1)="a","L",""))),"")</f>
        <v/>
      </c>
      <c r="K674" s="68" t="str">
        <f>iferror(iferror(if(LEFT(VLOOKUP($B674,'Round 8'!$B$2:$H$361,7,false),1)="A","W",if(LEFT(VLOOKUP($B674,'Round 8'!$B$2:$H$361,7,false),1)="B","L","")),if(LEFT(VLOOKUP($B674,'Round 8'!$F$2:$H$361,3,false),1)="b","W",if(LEFT(VLOOKUP($B674,'Round 8'!$F$2:$H$361,3,false),1)="a","L",""))),"")</f>
        <v/>
      </c>
      <c r="L674" s="68" t="str">
        <f>iferror(iferror(if(LEFT(VLOOKUP($B674,'Round 9'!$B$2:$H$361,7,false),1)="A","W",if(LEFT(VLOOKUP($B674,'Round 9'!$B$2:$H$361,7,false),1)="B","L","")),if(LEFT(VLOOKUP($B674,'Round 9'!$F$2:$H$361,3,false),1)="b","W",if(LEFT(VLOOKUP($B674,'Round 9'!$F$2:$H$361,3,false),1)="a","L",""))),"")</f>
        <v/>
      </c>
      <c r="M674" s="68" t="str">
        <f>iferror(iferror(if(LEFT(VLOOKUP($B674,'Round 10'!$B$2:$H$362,7,false),1)="A","W",if(LEFT(VLOOKUP($B674,'Round 10'!$B$2:$H$362,7,false),1)="B","L","")),if(LEFT(VLOOKUP($B674,'Round 10'!$F$2:$H$362,3,false),1)="b","W",if(LEFT(VLOOKUP($B674,'Round 10'!$F$2:$H$362,3,false),1)="a","L",""))),"")</f>
        <v/>
      </c>
      <c r="N674" s="62" t="s">
        <v>1394</v>
      </c>
    </row>
    <row r="675">
      <c r="A675" s="63">
        <v>674.0</v>
      </c>
      <c r="B675" s="64" t="s">
        <v>1395</v>
      </c>
      <c r="C675" s="65" t="str">
        <f t="shared" si="1"/>
        <v>3 - 3</v>
      </c>
      <c r="D675" s="67" t="str">
        <f>iferror(if(LEFT(VLOOKUP($B675,'Round 1'!$B$2:$H$361,7,false),1)="A","W",if(LEFT(VLOOKUP($B675,'Round 1'!$B$2:$H$361,7,false),1)="B","L","")),if(LEFT(VLOOKUP($B675,'Round 1'!$F$2:$H$361,3,false),1)="b","W",if(LEFT(VLOOKUP($B675,'Round 1'!$F$2:$H$361,3,false),1)="a","L","")))</f>
        <v>L</v>
      </c>
      <c r="E675" s="67" t="str">
        <f>iferror(if(LEFT(VLOOKUP($B675,'Round 2'!$C$2:$J$361,8,false),1)="A","W",if(LEFT(VLOOKUP($B675,'Round 2'!$C$2:$J$361,8,false),1)="B","L","")),if(LEFT(VLOOKUP($B675,'Round 2'!$G$2:$J$361,4,false),1)="b","W",if(LEFT(VLOOKUP($B675,'Round 2'!$G$2:$J$361,4,false),1)="a","L","")))</f>
        <v>W</v>
      </c>
      <c r="F675" s="67" t="str">
        <f>iferror(if(LEFT(VLOOKUP($B675,'Round 3'!$B$2:$H$361,7,false),1)="A","W",if(LEFT(VLOOKUP($B675,'Round 3'!$B$2:$H$361,7,false),1)="B","L","")),if(LEFT(VLOOKUP($B675,'Round 3'!$F$2:$H$361,3,false),1)="b","W",if(LEFT(VLOOKUP($B675,'Round 3'!$F$2:$H$361,3,false),1)="a","L","")))</f>
        <v>W</v>
      </c>
      <c r="G675" s="67" t="str">
        <f>iferror(if(LEFT(VLOOKUP($B675,'Round 4'!$B$2:$H$361,7,false),1)="A","W",if(LEFT(VLOOKUP($B675,'Round 4'!$B$2:$H$361,7,false),1)="B","L","")),if(LEFT(VLOOKUP($B675,'Round 4'!$F$2:$H$361,3,false),1)="b","W",if(LEFT(VLOOKUP($B675,'Round 4'!$F$2:$H$361,3,false),1)="a","L","")))</f>
        <v>L</v>
      </c>
      <c r="H675" s="67" t="str">
        <f>iferror(if(LEFT(VLOOKUP($B675,'Round 5'!$B$2:$H$361,7,false),1)="A","W",if(LEFT(VLOOKUP($B675,'Round 5'!$B$2:$H$361,7,false),1)="B","L","")),if(LEFT(VLOOKUP($B675,'Round 5'!$F$2:$H$361,3,false),1)="b","W",if(LEFT(VLOOKUP($B675,'Round 5'!$F$2:$H$361,3,false),1)="a","L","")))</f>
        <v>W</v>
      </c>
      <c r="I675" s="67" t="str">
        <f>iferror(if(LEFT(VLOOKUP($B675,'Round 6'!$B$2:$H$361,7,false),1)="A","W",if(LEFT(VLOOKUP($B675,'Round 6'!$B$2:$H$361,7,false),1)="B","L","")),if(LEFT(VLOOKUP($B675,'Round 6'!$F$2:$H$361,3,false),1)="b","W",if(LEFT(VLOOKUP($B675,'Round 6'!$F$2:$H$361,3,false),1)="a","L","")))</f>
        <v>L</v>
      </c>
      <c r="J675" s="67" t="str">
        <f>iferror(iferror(if(LEFT(VLOOKUP($B675,'Round 7'!$B$2:$H$361,7,false),1)="A","W",if(LEFT(VLOOKUP($B675,'Round 7'!$B$2:$H$361,7,false),1)="B","L","")),if(LEFT(VLOOKUP($B675,'Round 7'!$F$2:$H$361,3,false),1)="b","W",if(LEFT(VLOOKUP($B675,'Round 7'!$F$2:$H$361,3,false),1)="a","L",""))),"")</f>
        <v/>
      </c>
      <c r="K675" s="68" t="str">
        <f>iferror(iferror(if(LEFT(VLOOKUP($B675,'Round 8'!$B$2:$H$361,7,false),1)="A","W",if(LEFT(VLOOKUP($B675,'Round 8'!$B$2:$H$361,7,false),1)="B","L","")),if(LEFT(VLOOKUP($B675,'Round 8'!$F$2:$H$361,3,false),1)="b","W",if(LEFT(VLOOKUP($B675,'Round 8'!$F$2:$H$361,3,false),1)="a","L",""))),"")</f>
        <v/>
      </c>
      <c r="L675" s="68" t="str">
        <f>iferror(iferror(if(LEFT(VLOOKUP($B675,'Round 9'!$B$2:$H$361,7,false),1)="A","W",if(LEFT(VLOOKUP($B675,'Round 9'!$B$2:$H$361,7,false),1)="B","L","")),if(LEFT(VLOOKUP($B675,'Round 9'!$F$2:$H$361,3,false),1)="b","W",if(LEFT(VLOOKUP($B675,'Round 9'!$F$2:$H$361,3,false),1)="a","L",""))),"")</f>
        <v/>
      </c>
      <c r="M675" s="68" t="str">
        <f>iferror(iferror(if(LEFT(VLOOKUP($B675,'Round 10'!$B$2:$H$362,7,false),1)="A","W",if(LEFT(VLOOKUP($B675,'Round 10'!$B$2:$H$362,7,false),1)="B","L","")),if(LEFT(VLOOKUP($B675,'Round 10'!$F$2:$H$362,3,false),1)="b","W",if(LEFT(VLOOKUP($B675,'Round 10'!$F$2:$H$362,3,false),1)="a","L",""))),"")</f>
        <v/>
      </c>
      <c r="N675" s="62" t="s">
        <v>1396</v>
      </c>
    </row>
    <row r="676">
      <c r="A676" s="63">
        <v>675.0</v>
      </c>
      <c r="B676" s="64" t="s">
        <v>1397</v>
      </c>
      <c r="C676" s="65" t="str">
        <f t="shared" si="1"/>
        <v>4 - 3</v>
      </c>
      <c r="D676" s="67" t="str">
        <f>iferror(if(LEFT(VLOOKUP($B676,'Round 1'!$B$2:$H$361,7,false),1)="A","W",if(LEFT(VLOOKUP($B676,'Round 1'!$B$2:$H$361,7,false),1)="B","L","")),if(LEFT(VLOOKUP($B676,'Round 1'!$F$2:$H$361,3,false),1)="b","W",if(LEFT(VLOOKUP($B676,'Round 1'!$F$2:$H$361,3,false),1)="a","L","")))</f>
        <v>W</v>
      </c>
      <c r="E676" s="67" t="str">
        <f>iferror(if(LEFT(VLOOKUP($B676,'Round 2'!$C$2:$J$361,8,false),1)="A","W",if(LEFT(VLOOKUP($B676,'Round 2'!$C$2:$J$361,8,false),1)="B","L","")),if(LEFT(VLOOKUP($B676,'Round 2'!$G$2:$J$361,4,false),1)="b","W",if(LEFT(VLOOKUP($B676,'Round 2'!$G$2:$J$361,4,false),1)="a","L","")))</f>
        <v>W</v>
      </c>
      <c r="F676" s="67" t="str">
        <f>iferror(if(LEFT(VLOOKUP($B676,'Round 3'!$B$2:$H$361,7,false),1)="A","W",if(LEFT(VLOOKUP($B676,'Round 3'!$B$2:$H$361,7,false),1)="B","L","")),if(LEFT(VLOOKUP($B676,'Round 3'!$F$2:$H$361,3,false),1)="b","W",if(LEFT(VLOOKUP($B676,'Round 3'!$F$2:$H$361,3,false),1)="a","L","")))</f>
        <v>L</v>
      </c>
      <c r="G676" s="67" t="str">
        <f>iferror(if(LEFT(VLOOKUP($B676,'Round 4'!$B$2:$H$361,7,false),1)="A","W",if(LEFT(VLOOKUP($B676,'Round 4'!$B$2:$H$361,7,false),1)="B","L","")),if(LEFT(VLOOKUP($B676,'Round 4'!$F$2:$H$361,3,false),1)="b","W",if(LEFT(VLOOKUP($B676,'Round 4'!$F$2:$H$361,3,false),1)="a","L","")))</f>
        <v>L</v>
      </c>
      <c r="H676" s="67" t="str">
        <f>iferror(if(LEFT(VLOOKUP($B676,'Round 5'!$B$2:$H$361,7,false),1)="A","W",if(LEFT(VLOOKUP($B676,'Round 5'!$B$2:$H$361,7,false),1)="B","L","")),if(LEFT(VLOOKUP($B676,'Round 5'!$F$2:$H$361,3,false),1)="b","W",if(LEFT(VLOOKUP($B676,'Round 5'!$F$2:$H$361,3,false),1)="a","L","")))</f>
        <v>W</v>
      </c>
      <c r="I676" s="67" t="str">
        <f>iferror(if(LEFT(VLOOKUP($B676,'Round 6'!$B$2:$H$361,7,false),1)="A","W",if(LEFT(VLOOKUP($B676,'Round 6'!$B$2:$H$361,7,false),1)="B","L","")),if(LEFT(VLOOKUP($B676,'Round 6'!$F$2:$H$361,3,false),1)="b","W",if(LEFT(VLOOKUP($B676,'Round 6'!$F$2:$H$361,3,false),1)="a","L","")))</f>
        <v>W</v>
      </c>
      <c r="J676" s="67" t="str">
        <f>iferror(iferror(if(LEFT(VLOOKUP($B676,'Round 7'!$B$2:$H$361,7,false),1)="A","W",if(LEFT(VLOOKUP($B676,'Round 7'!$B$2:$H$361,7,false),1)="B","L","")),if(LEFT(VLOOKUP($B676,'Round 7'!$F$2:$H$361,3,false),1)="b","W",if(LEFT(VLOOKUP($B676,'Round 7'!$F$2:$H$361,3,false),1)="a","L",""))),"")</f>
        <v>L</v>
      </c>
      <c r="K676" s="68" t="str">
        <f>iferror(iferror(if(LEFT(VLOOKUP($B676,'Round 8'!$B$2:$H$361,7,false),1)="A","W",if(LEFT(VLOOKUP($B676,'Round 8'!$B$2:$H$361,7,false),1)="B","L","")),if(LEFT(VLOOKUP($B676,'Round 8'!$F$2:$H$361,3,false),1)="b","W",if(LEFT(VLOOKUP($B676,'Round 8'!$F$2:$H$361,3,false),1)="a","L",""))),"")</f>
        <v/>
      </c>
      <c r="L676" s="68" t="str">
        <f>iferror(iferror(if(LEFT(VLOOKUP($B676,'Round 9'!$B$2:$H$361,7,false),1)="A","W",if(LEFT(VLOOKUP($B676,'Round 9'!$B$2:$H$361,7,false),1)="B","L","")),if(LEFT(VLOOKUP($B676,'Round 9'!$F$2:$H$361,3,false),1)="b","W",if(LEFT(VLOOKUP($B676,'Round 9'!$F$2:$H$361,3,false),1)="a","L",""))),"")</f>
        <v/>
      </c>
      <c r="M676" s="68" t="str">
        <f>iferror(iferror(if(LEFT(VLOOKUP($B676,'Round 10'!$B$2:$H$362,7,false),1)="A","W",if(LEFT(VLOOKUP($B676,'Round 10'!$B$2:$H$362,7,false),1)="B","L","")),if(LEFT(VLOOKUP($B676,'Round 10'!$F$2:$H$362,3,false),1)="b","W",if(LEFT(VLOOKUP($B676,'Round 10'!$F$2:$H$362,3,false),1)="a","L",""))),"")</f>
        <v/>
      </c>
      <c r="N676" s="62" t="s">
        <v>1398</v>
      </c>
    </row>
    <row r="677">
      <c r="A677" s="63">
        <v>676.0</v>
      </c>
      <c r="B677" s="64" t="s">
        <v>1399</v>
      </c>
      <c r="C677" s="65" t="str">
        <f t="shared" si="1"/>
        <v>5 - 3</v>
      </c>
      <c r="D677" s="67" t="str">
        <f>iferror(if(LEFT(VLOOKUP($B677,'Round 1'!$B$2:$H$361,7,false),1)="A","W",if(LEFT(VLOOKUP($B677,'Round 1'!$B$2:$H$361,7,false),1)="B","L","")),if(LEFT(VLOOKUP($B677,'Round 1'!$F$2:$H$361,3,false),1)="b","W",if(LEFT(VLOOKUP($B677,'Round 1'!$F$2:$H$361,3,false),1)="a","L","")))</f>
        <v>L</v>
      </c>
      <c r="E677" s="67" t="str">
        <f>iferror(if(LEFT(VLOOKUP($B677,'Round 2'!$C$2:$J$361,8,false),1)="A","W",if(LEFT(VLOOKUP($B677,'Round 2'!$C$2:$J$361,8,false),1)="B","L","")),if(LEFT(VLOOKUP($B677,'Round 2'!$G$2:$J$361,4,false),1)="b","W",if(LEFT(VLOOKUP($B677,'Round 2'!$G$2:$J$361,4,false),1)="a","L","")))</f>
        <v>W</v>
      </c>
      <c r="F677" s="67" t="str">
        <f>iferror(if(LEFT(VLOOKUP($B677,'Round 3'!$B$2:$H$361,7,false),1)="A","W",if(LEFT(VLOOKUP($B677,'Round 3'!$B$2:$H$361,7,false),1)="B","L","")),if(LEFT(VLOOKUP($B677,'Round 3'!$F$2:$H$361,3,false),1)="b","W",if(LEFT(VLOOKUP($B677,'Round 3'!$F$2:$H$361,3,false),1)="a","L","")))</f>
        <v>W</v>
      </c>
      <c r="G677" s="67" t="str">
        <f>iferror(if(LEFT(VLOOKUP($B677,'Round 4'!$B$2:$H$361,7,false),1)="A","W",if(LEFT(VLOOKUP($B677,'Round 4'!$B$2:$H$361,7,false),1)="B","L","")),if(LEFT(VLOOKUP($B677,'Round 4'!$F$2:$H$361,3,false),1)="b","W",if(LEFT(VLOOKUP($B677,'Round 4'!$F$2:$H$361,3,false),1)="a","L","")))</f>
        <v>W</v>
      </c>
      <c r="H677" s="67" t="str">
        <f>iferror(if(LEFT(VLOOKUP($B677,'Round 5'!$B$2:$H$361,7,false),1)="A","W",if(LEFT(VLOOKUP($B677,'Round 5'!$B$2:$H$361,7,false),1)="B","L","")),if(LEFT(VLOOKUP($B677,'Round 5'!$F$2:$H$361,3,false),1)="b","W",if(LEFT(VLOOKUP($B677,'Round 5'!$F$2:$H$361,3,false),1)="a","L","")))</f>
        <v>W</v>
      </c>
      <c r="I677" s="67" t="str">
        <f>iferror(if(LEFT(VLOOKUP($B677,'Round 6'!$B$2:$H$361,7,false),1)="A","W",if(LEFT(VLOOKUP($B677,'Round 6'!$B$2:$H$361,7,false),1)="B","L","")),if(LEFT(VLOOKUP($B677,'Round 6'!$F$2:$H$361,3,false),1)="b","W",if(LEFT(VLOOKUP($B677,'Round 6'!$F$2:$H$361,3,false),1)="a","L","")))</f>
        <v>W</v>
      </c>
      <c r="J677" s="67" t="str">
        <f>iferror(iferror(if(LEFT(VLOOKUP($B677,'Round 7'!$B$2:$H$361,7,false),1)="A","W",if(LEFT(VLOOKUP($B677,'Round 7'!$B$2:$H$361,7,false),1)="B","L","")),if(LEFT(VLOOKUP($B677,'Round 7'!$F$2:$H$361,3,false),1)="b","W",if(LEFT(VLOOKUP($B677,'Round 7'!$F$2:$H$361,3,false),1)="a","L",""))),"")</f>
        <v>L</v>
      </c>
      <c r="K677" s="68" t="str">
        <f>iferror(iferror(if(LEFT(VLOOKUP($B677,'Round 8'!$B$2:$H$361,7,false),1)="A","W",if(LEFT(VLOOKUP($B677,'Round 8'!$B$2:$H$361,7,false),1)="B","L","")),if(LEFT(VLOOKUP($B677,'Round 8'!$F$2:$H$361,3,false),1)="b","W",if(LEFT(VLOOKUP($B677,'Round 8'!$F$2:$H$361,3,false),1)="a","L",""))),"")</f>
        <v>L</v>
      </c>
      <c r="L677" s="68" t="str">
        <f>iferror(iferror(if(LEFT(VLOOKUP($B677,'Round 9'!$B$2:$H$361,7,false),1)="A","W",if(LEFT(VLOOKUP($B677,'Round 9'!$B$2:$H$361,7,false),1)="B","L","")),if(LEFT(VLOOKUP($B677,'Round 9'!$F$2:$H$361,3,false),1)="b","W",if(LEFT(VLOOKUP($B677,'Round 9'!$F$2:$H$361,3,false),1)="a","L",""))),"")</f>
        <v/>
      </c>
      <c r="M677" s="68" t="str">
        <f>iferror(iferror(if(LEFT(VLOOKUP($B677,'Round 10'!$B$2:$H$362,7,false),1)="A","W",if(LEFT(VLOOKUP($B677,'Round 10'!$B$2:$H$362,7,false),1)="B","L","")),if(LEFT(VLOOKUP($B677,'Round 10'!$F$2:$H$362,3,false),1)="b","W",if(LEFT(VLOOKUP($B677,'Round 10'!$F$2:$H$362,3,false),1)="a","L",""))),"")</f>
        <v/>
      </c>
      <c r="N677" s="62" t="s">
        <v>1400</v>
      </c>
    </row>
    <row r="678">
      <c r="A678" s="63">
        <v>677.0</v>
      </c>
      <c r="B678" s="64" t="s">
        <v>1401</v>
      </c>
      <c r="C678" s="65" t="str">
        <f t="shared" si="1"/>
        <v>4 - 3</v>
      </c>
      <c r="D678" s="67" t="str">
        <f>iferror(if(LEFT(VLOOKUP($B678,'Round 1'!$B$2:$H$361,7,false),1)="A","W",if(LEFT(VLOOKUP($B678,'Round 1'!$B$2:$H$361,7,false),1)="B","L","")),if(LEFT(VLOOKUP($B678,'Round 1'!$F$2:$H$361,3,false),1)="b","W",if(LEFT(VLOOKUP($B678,'Round 1'!$F$2:$H$361,3,false),1)="a","L","")))</f>
        <v>W</v>
      </c>
      <c r="E678" s="67" t="str">
        <f>iferror(if(LEFT(VLOOKUP($B678,'Round 2'!$C$2:$J$361,8,false),1)="A","W",if(LEFT(VLOOKUP($B678,'Round 2'!$C$2:$J$361,8,false),1)="B","L","")),if(LEFT(VLOOKUP($B678,'Round 2'!$G$2:$J$361,4,false),1)="b","W",if(LEFT(VLOOKUP($B678,'Round 2'!$G$2:$J$361,4,false),1)="a","L","")))</f>
        <v>W</v>
      </c>
      <c r="F678" s="67" t="str">
        <f>iferror(if(LEFT(VLOOKUP($B678,'Round 3'!$B$2:$H$361,7,false),1)="A","W",if(LEFT(VLOOKUP($B678,'Round 3'!$B$2:$H$361,7,false),1)="B","L","")),if(LEFT(VLOOKUP($B678,'Round 3'!$F$2:$H$361,3,false),1)="b","W",if(LEFT(VLOOKUP($B678,'Round 3'!$F$2:$H$361,3,false),1)="a","L","")))</f>
        <v>L</v>
      </c>
      <c r="G678" s="67" t="str">
        <f>iferror(if(LEFT(VLOOKUP($B678,'Round 4'!$B$2:$H$361,7,false),1)="A","W",if(LEFT(VLOOKUP($B678,'Round 4'!$B$2:$H$361,7,false),1)="B","L","")),if(LEFT(VLOOKUP($B678,'Round 4'!$F$2:$H$361,3,false),1)="b","W",if(LEFT(VLOOKUP($B678,'Round 4'!$F$2:$H$361,3,false),1)="a","L","")))</f>
        <v>L</v>
      </c>
      <c r="H678" s="67" t="str">
        <f>iferror(if(LEFT(VLOOKUP($B678,'Round 5'!$B$2:$H$361,7,false),1)="A","W",if(LEFT(VLOOKUP($B678,'Round 5'!$B$2:$H$361,7,false),1)="B","L","")),if(LEFT(VLOOKUP($B678,'Round 5'!$F$2:$H$361,3,false),1)="b","W",if(LEFT(VLOOKUP($B678,'Round 5'!$F$2:$H$361,3,false),1)="a","L","")))</f>
        <v>W</v>
      </c>
      <c r="I678" s="67" t="str">
        <f>iferror(if(LEFT(VLOOKUP($B678,'Round 6'!$B$2:$H$361,7,false),1)="A","W",if(LEFT(VLOOKUP($B678,'Round 6'!$B$2:$H$361,7,false),1)="B","L","")),if(LEFT(VLOOKUP($B678,'Round 6'!$F$2:$H$361,3,false),1)="b","W",if(LEFT(VLOOKUP($B678,'Round 6'!$F$2:$H$361,3,false),1)="a","L","")))</f>
        <v>W</v>
      </c>
      <c r="J678" s="67" t="str">
        <f>iferror(iferror(if(LEFT(VLOOKUP($B678,'Round 7'!$B$2:$H$361,7,false),1)="A","W",if(LEFT(VLOOKUP($B678,'Round 7'!$B$2:$H$361,7,false),1)="B","L","")),if(LEFT(VLOOKUP($B678,'Round 7'!$F$2:$H$361,3,false),1)="b","W",if(LEFT(VLOOKUP($B678,'Round 7'!$F$2:$H$361,3,false),1)="a","L",""))),"")</f>
        <v>L</v>
      </c>
      <c r="K678" s="68" t="str">
        <f>iferror(iferror(if(LEFT(VLOOKUP($B678,'Round 8'!$B$2:$H$361,7,false),1)="A","W",if(LEFT(VLOOKUP($B678,'Round 8'!$B$2:$H$361,7,false),1)="B","L","")),if(LEFT(VLOOKUP($B678,'Round 8'!$F$2:$H$361,3,false),1)="b","W",if(LEFT(VLOOKUP($B678,'Round 8'!$F$2:$H$361,3,false),1)="a","L",""))),"")</f>
        <v/>
      </c>
      <c r="L678" s="68" t="str">
        <f>iferror(iferror(if(LEFT(VLOOKUP($B678,'Round 9'!$B$2:$H$361,7,false),1)="A","W",if(LEFT(VLOOKUP($B678,'Round 9'!$B$2:$H$361,7,false),1)="B","L","")),if(LEFT(VLOOKUP($B678,'Round 9'!$F$2:$H$361,3,false),1)="b","W",if(LEFT(VLOOKUP($B678,'Round 9'!$F$2:$H$361,3,false),1)="a","L",""))),"")</f>
        <v/>
      </c>
      <c r="M678" s="68" t="str">
        <f>iferror(iferror(if(LEFT(VLOOKUP($B678,'Round 10'!$B$2:$H$362,7,false),1)="A","W",if(LEFT(VLOOKUP($B678,'Round 10'!$B$2:$H$362,7,false),1)="B","L","")),if(LEFT(VLOOKUP($B678,'Round 10'!$F$2:$H$362,3,false),1)="b","W",if(LEFT(VLOOKUP($B678,'Round 10'!$F$2:$H$362,3,false),1)="a","L",""))),"")</f>
        <v/>
      </c>
      <c r="N678" s="62" t="s">
        <v>1402</v>
      </c>
    </row>
    <row r="679">
      <c r="A679" s="63">
        <v>678.0</v>
      </c>
      <c r="B679" s="64" t="s">
        <v>1403</v>
      </c>
      <c r="C679" s="65" t="str">
        <f t="shared" si="1"/>
        <v>2 - 3</v>
      </c>
      <c r="D679" s="67" t="str">
        <f>iferror(if(LEFT(VLOOKUP($B679,'Round 1'!$B$2:$H$361,7,false),1)="A","W",if(LEFT(VLOOKUP($B679,'Round 1'!$B$2:$H$361,7,false),1)="B","L","")),if(LEFT(VLOOKUP($B679,'Round 1'!$F$2:$H$361,3,false),1)="b","W",if(LEFT(VLOOKUP($B679,'Round 1'!$F$2:$H$361,3,false),1)="a","L","")))</f>
        <v>L</v>
      </c>
      <c r="E679" s="67" t="str">
        <f>iferror(if(LEFT(VLOOKUP($B679,'Round 2'!$C$2:$J$361,8,false),1)="A","W",if(LEFT(VLOOKUP($B679,'Round 2'!$C$2:$J$361,8,false),1)="B","L","")),if(LEFT(VLOOKUP($B679,'Round 2'!$G$2:$J$361,4,false),1)="b","W",if(LEFT(VLOOKUP($B679,'Round 2'!$G$2:$J$361,4,false),1)="a","L","")))</f>
        <v>L</v>
      </c>
      <c r="F679" s="67" t="str">
        <f>iferror(if(LEFT(VLOOKUP($B679,'Round 3'!$B$2:$H$361,7,false),1)="A","W",if(LEFT(VLOOKUP($B679,'Round 3'!$B$2:$H$361,7,false),1)="B","L","")),if(LEFT(VLOOKUP($B679,'Round 3'!$F$2:$H$361,3,false),1)="b","W",if(LEFT(VLOOKUP($B679,'Round 3'!$F$2:$H$361,3,false),1)="a","L","")))</f>
        <v>W</v>
      </c>
      <c r="G679" s="67" t="str">
        <f>iferror(if(LEFT(VLOOKUP($B679,'Round 4'!$B$2:$H$361,7,false),1)="A","W",if(LEFT(VLOOKUP($B679,'Round 4'!$B$2:$H$361,7,false),1)="B","L","")),if(LEFT(VLOOKUP($B679,'Round 4'!$F$2:$H$361,3,false),1)="b","W",if(LEFT(VLOOKUP($B679,'Round 4'!$F$2:$H$361,3,false),1)="a","L","")))</f>
        <v>W</v>
      </c>
      <c r="H679" s="67" t="str">
        <f>iferror(if(LEFT(VLOOKUP($B679,'Round 5'!$B$2:$H$361,7,false),1)="A","W",if(LEFT(VLOOKUP($B679,'Round 5'!$B$2:$H$361,7,false),1)="B","L","")),if(LEFT(VLOOKUP($B679,'Round 5'!$F$2:$H$361,3,false),1)="b","W",if(LEFT(VLOOKUP($B679,'Round 5'!$F$2:$H$361,3,false),1)="a","L","")))</f>
        <v>L</v>
      </c>
      <c r="I679" s="67"/>
      <c r="J679" s="67" t="str">
        <f>iferror(iferror(if(LEFT(VLOOKUP($B679,'Round 7'!$B$2:$H$361,7,false),1)="A","W",if(LEFT(VLOOKUP($B679,'Round 7'!$B$2:$H$361,7,false),1)="B","L","")),if(LEFT(VLOOKUP($B679,'Round 7'!$F$2:$H$361,3,false),1)="b","W",if(LEFT(VLOOKUP($B679,'Round 7'!$F$2:$H$361,3,false),1)="a","L",""))),"")</f>
        <v/>
      </c>
      <c r="K679" s="68" t="str">
        <f>iferror(iferror(if(LEFT(VLOOKUP($B679,'Round 8'!$B$2:$H$361,7,false),1)="A","W",if(LEFT(VLOOKUP($B679,'Round 8'!$B$2:$H$361,7,false),1)="B","L","")),if(LEFT(VLOOKUP($B679,'Round 8'!$F$2:$H$361,3,false),1)="b","W",if(LEFT(VLOOKUP($B679,'Round 8'!$F$2:$H$361,3,false),1)="a","L",""))),"")</f>
        <v/>
      </c>
      <c r="L679" s="68" t="str">
        <f>iferror(iferror(if(LEFT(VLOOKUP($B679,'Round 9'!$B$2:$H$361,7,false),1)="A","W",if(LEFT(VLOOKUP($B679,'Round 9'!$B$2:$H$361,7,false),1)="B","L","")),if(LEFT(VLOOKUP($B679,'Round 9'!$F$2:$H$361,3,false),1)="b","W",if(LEFT(VLOOKUP($B679,'Round 9'!$F$2:$H$361,3,false),1)="a","L",""))),"")</f>
        <v/>
      </c>
      <c r="M679" s="68" t="str">
        <f>iferror(iferror(if(LEFT(VLOOKUP($B679,'Round 10'!$B$2:$H$362,7,false),1)="A","W",if(LEFT(VLOOKUP($B679,'Round 10'!$B$2:$H$362,7,false),1)="B","L","")),if(LEFT(VLOOKUP($B679,'Round 10'!$F$2:$H$362,3,false),1)="b","W",if(LEFT(VLOOKUP($B679,'Round 10'!$F$2:$H$362,3,false),1)="a","L",""))),"")</f>
        <v/>
      </c>
      <c r="N679" s="62" t="s">
        <v>1404</v>
      </c>
    </row>
    <row r="680">
      <c r="A680" s="63">
        <v>679.0</v>
      </c>
      <c r="B680" s="64" t="s">
        <v>1405</v>
      </c>
      <c r="C680" s="65" t="str">
        <f t="shared" si="1"/>
        <v>6 - 3</v>
      </c>
      <c r="D680" s="67" t="str">
        <f>iferror(if(LEFT(VLOOKUP($B680,'Round 1'!$B$2:$H$361,7,false),1)="A","W",if(LEFT(VLOOKUP($B680,'Round 1'!$B$2:$H$361,7,false),1)="B","L","")),if(LEFT(VLOOKUP($B680,'Round 1'!$F$2:$H$361,3,false),1)="b","W",if(LEFT(VLOOKUP($B680,'Round 1'!$F$2:$H$361,3,false),1)="a","L","")))</f>
        <v>L</v>
      </c>
      <c r="E680" s="67" t="str">
        <f>iferror(if(LEFT(VLOOKUP($B680,'Round 2'!$C$2:$J$361,8,false),1)="A","W",if(LEFT(VLOOKUP($B680,'Round 2'!$C$2:$J$361,8,false),1)="B","L","")),if(LEFT(VLOOKUP($B680,'Round 2'!$G$2:$J$361,4,false),1)="b","W",if(LEFT(VLOOKUP($B680,'Round 2'!$G$2:$J$361,4,false),1)="a","L","")))</f>
        <v>W</v>
      </c>
      <c r="F680" s="67" t="str">
        <f>iferror(if(LEFT(VLOOKUP($B680,'Round 3'!$B$2:$H$361,7,false),1)="A","W",if(LEFT(VLOOKUP($B680,'Round 3'!$B$2:$H$361,7,false),1)="B","L","")),if(LEFT(VLOOKUP($B680,'Round 3'!$F$2:$H$361,3,false),1)="b","W",if(LEFT(VLOOKUP($B680,'Round 3'!$F$2:$H$361,3,false),1)="a","L","")))</f>
        <v>W</v>
      </c>
      <c r="G680" s="67" t="str">
        <f>iferror(if(LEFT(VLOOKUP($B680,'Round 4'!$B$2:$H$361,7,false),1)="A","W",if(LEFT(VLOOKUP($B680,'Round 4'!$B$2:$H$361,7,false),1)="B","L","")),if(LEFT(VLOOKUP($B680,'Round 4'!$F$2:$H$361,3,false),1)="b","W",if(LEFT(VLOOKUP($B680,'Round 4'!$F$2:$H$361,3,false),1)="a","L","")))</f>
        <v>L</v>
      </c>
      <c r="H680" s="67" t="str">
        <f>iferror(if(LEFT(VLOOKUP($B680,'Round 5'!$B$2:$H$361,7,false),1)="A","W",if(LEFT(VLOOKUP($B680,'Round 5'!$B$2:$H$361,7,false),1)="B","L","")),if(LEFT(VLOOKUP($B680,'Round 5'!$F$2:$H$361,3,false),1)="b","W",if(LEFT(VLOOKUP($B680,'Round 5'!$F$2:$H$361,3,false),1)="a","L","")))</f>
        <v>W</v>
      </c>
      <c r="I680" s="67" t="str">
        <f>iferror(if(LEFT(VLOOKUP($B680,'Round 6'!$B$2:$H$361,7,false),1)="A","W",if(LEFT(VLOOKUP($B680,'Round 6'!$B$2:$H$361,7,false),1)="B","L","")),if(LEFT(VLOOKUP($B680,'Round 6'!$F$2:$H$361,3,false),1)="b","W",if(LEFT(VLOOKUP($B680,'Round 6'!$F$2:$H$361,3,false),1)="a","L","")))</f>
        <v>W</v>
      </c>
      <c r="J680" s="67" t="str">
        <f>iferror(iferror(if(LEFT(VLOOKUP($B680,'Round 7'!$B$2:$H$361,7,false),1)="A","W",if(LEFT(VLOOKUP($B680,'Round 7'!$B$2:$H$361,7,false),1)="B","L","")),if(LEFT(VLOOKUP($B680,'Round 7'!$F$2:$H$361,3,false),1)="b","W",if(LEFT(VLOOKUP($B680,'Round 7'!$F$2:$H$361,3,false),1)="a","L",""))),"")</f>
        <v>W</v>
      </c>
      <c r="K680" s="68" t="str">
        <f>iferror(iferror(if(LEFT(VLOOKUP($B680,'Round 8'!$B$2:$H$361,7,false),1)="A","W",if(LEFT(VLOOKUP($B680,'Round 8'!$B$2:$H$361,7,false),1)="B","L","")),if(LEFT(VLOOKUP($B680,'Round 8'!$F$2:$H$361,3,false),1)="b","W",if(LEFT(VLOOKUP($B680,'Round 8'!$F$2:$H$361,3,false),1)="a","L",""))),"")</f>
        <v>W</v>
      </c>
      <c r="L680" s="68" t="str">
        <f>iferror(iferror(if(LEFT(VLOOKUP($B680,'Round 9'!$B$2:$H$361,7,false),1)="A","W",if(LEFT(VLOOKUP($B680,'Round 9'!$B$2:$H$361,7,false),1)="B","L","")),if(LEFT(VLOOKUP($B680,'Round 9'!$F$2:$H$361,3,false),1)="b","W",if(LEFT(VLOOKUP($B680,'Round 9'!$F$2:$H$361,3,false),1)="a","L",""))),"")</f>
        <v>L</v>
      </c>
      <c r="M680" s="68" t="str">
        <f>iferror(iferror(if(LEFT(VLOOKUP($B680,'Round 10'!$B$2:$H$362,7,false),1)="A","W",if(LEFT(VLOOKUP($B680,'Round 10'!$B$2:$H$362,7,false),1)="B","L","")),if(LEFT(VLOOKUP($B680,'Round 10'!$F$2:$H$362,3,false),1)="b","W",if(LEFT(VLOOKUP($B680,'Round 10'!$F$2:$H$362,3,false),1)="a","L",""))),"")</f>
        <v/>
      </c>
      <c r="N680" s="62" t="s">
        <v>1406</v>
      </c>
    </row>
    <row r="681">
      <c r="A681" s="63">
        <v>680.0</v>
      </c>
      <c r="B681" s="64" t="s">
        <v>1407</v>
      </c>
      <c r="C681" s="65" t="str">
        <f t="shared" si="1"/>
        <v>3 - 3</v>
      </c>
      <c r="D681" s="67" t="str">
        <f>iferror(if(LEFT(VLOOKUP($B681,'Round 1'!$B$2:$H$361,7,false),1)="A","W",if(LEFT(VLOOKUP($B681,'Round 1'!$B$2:$H$361,7,false),1)="B","L","")),if(LEFT(VLOOKUP($B681,'Round 1'!$F$2:$H$361,3,false),1)="b","W",if(LEFT(VLOOKUP($B681,'Round 1'!$F$2:$H$361,3,false),1)="a","L","")))</f>
        <v>W</v>
      </c>
      <c r="E681" s="67" t="str">
        <f>iferror(if(LEFT(VLOOKUP($B681,'Round 2'!$C$2:$J$361,8,false),1)="A","W",if(LEFT(VLOOKUP($B681,'Round 2'!$C$2:$J$361,8,false),1)="B","L","")),if(LEFT(VLOOKUP($B681,'Round 2'!$G$2:$J$361,4,false),1)="b","W",if(LEFT(VLOOKUP($B681,'Round 2'!$G$2:$J$361,4,false),1)="a","L","")))</f>
        <v>W</v>
      </c>
      <c r="F681" s="67" t="str">
        <f>iferror(if(LEFT(VLOOKUP($B681,'Round 3'!$B$2:$H$361,7,false),1)="A","W",if(LEFT(VLOOKUP($B681,'Round 3'!$B$2:$H$361,7,false),1)="B","L","")),if(LEFT(VLOOKUP($B681,'Round 3'!$F$2:$H$361,3,false),1)="b","W",if(LEFT(VLOOKUP($B681,'Round 3'!$F$2:$H$361,3,false),1)="a","L","")))</f>
        <v>L</v>
      </c>
      <c r="G681" s="67" t="str">
        <f>iferror(if(LEFT(VLOOKUP($B681,'Round 4'!$B$2:$H$361,7,false),1)="A","W",if(LEFT(VLOOKUP($B681,'Round 4'!$B$2:$H$361,7,false),1)="B","L","")),if(LEFT(VLOOKUP($B681,'Round 4'!$F$2:$H$361,3,false),1)="b","W",if(LEFT(VLOOKUP($B681,'Round 4'!$F$2:$H$361,3,false),1)="a","L","")))</f>
        <v>W</v>
      </c>
      <c r="H681" s="67" t="str">
        <f>iferror(if(LEFT(VLOOKUP($B681,'Round 5'!$B$2:$H$361,7,false),1)="A","W",if(LEFT(VLOOKUP($B681,'Round 5'!$B$2:$H$361,7,false),1)="B","L","")),if(LEFT(VLOOKUP($B681,'Round 5'!$F$2:$H$361,3,false),1)="b","W",if(LEFT(VLOOKUP($B681,'Round 5'!$F$2:$H$361,3,false),1)="a","L","")))</f>
        <v>L</v>
      </c>
      <c r="I681" s="67" t="str">
        <f>iferror(if(LEFT(VLOOKUP($B681,'Round 6'!$B$2:$H$361,7,false),1)="A","W",if(LEFT(VLOOKUP($B681,'Round 6'!$B$2:$H$361,7,false),1)="B","L","")),if(LEFT(VLOOKUP($B681,'Round 6'!$F$2:$H$361,3,false),1)="b","W",if(LEFT(VLOOKUP($B681,'Round 6'!$F$2:$H$361,3,false),1)="a","L","")))</f>
        <v>L</v>
      </c>
      <c r="J681" s="67" t="str">
        <f>iferror(iferror(if(LEFT(VLOOKUP($B681,'Round 7'!$B$2:$H$361,7,false),1)="A","W",if(LEFT(VLOOKUP($B681,'Round 7'!$B$2:$H$361,7,false),1)="B","L","")),if(LEFT(VLOOKUP($B681,'Round 7'!$F$2:$H$361,3,false),1)="b","W",if(LEFT(VLOOKUP($B681,'Round 7'!$F$2:$H$361,3,false),1)="a","L",""))),"")</f>
        <v/>
      </c>
      <c r="K681" s="68" t="str">
        <f>iferror(iferror(if(LEFT(VLOOKUP($B681,'Round 8'!$B$2:$H$361,7,false),1)="A","W",if(LEFT(VLOOKUP($B681,'Round 8'!$B$2:$H$361,7,false),1)="B","L","")),if(LEFT(VLOOKUP($B681,'Round 8'!$F$2:$H$361,3,false),1)="b","W",if(LEFT(VLOOKUP($B681,'Round 8'!$F$2:$H$361,3,false),1)="a","L",""))),"")</f>
        <v/>
      </c>
      <c r="L681" s="68" t="str">
        <f>iferror(iferror(if(LEFT(VLOOKUP($B681,'Round 9'!$B$2:$H$361,7,false),1)="A","W",if(LEFT(VLOOKUP($B681,'Round 9'!$B$2:$H$361,7,false),1)="B","L","")),if(LEFT(VLOOKUP($B681,'Round 9'!$F$2:$H$361,3,false),1)="b","W",if(LEFT(VLOOKUP($B681,'Round 9'!$F$2:$H$361,3,false),1)="a","L",""))),"")</f>
        <v/>
      </c>
      <c r="M681" s="68" t="str">
        <f>iferror(iferror(if(LEFT(VLOOKUP($B681,'Round 10'!$B$2:$H$362,7,false),1)="A","W",if(LEFT(VLOOKUP($B681,'Round 10'!$B$2:$H$362,7,false),1)="B","L","")),if(LEFT(VLOOKUP($B681,'Round 10'!$F$2:$H$362,3,false),1)="b","W",if(LEFT(VLOOKUP($B681,'Round 10'!$F$2:$H$362,3,false),1)="a","L",""))),"")</f>
        <v/>
      </c>
      <c r="N681" s="62" t="s">
        <v>1408</v>
      </c>
    </row>
    <row r="682">
      <c r="A682" s="63">
        <v>681.0</v>
      </c>
      <c r="B682" s="64" t="s">
        <v>1409</v>
      </c>
      <c r="C682" s="65" t="str">
        <f t="shared" si="1"/>
        <v>0 - 3</v>
      </c>
      <c r="D682" s="67" t="str">
        <f>iferror(if(LEFT(VLOOKUP($B682,'Round 1'!$B$2:$H$361,7,false),1)="A","W",if(LEFT(VLOOKUP($B682,'Round 1'!$B$2:$H$361,7,false),1)="B","L","")),if(LEFT(VLOOKUP($B682,'Round 1'!$F$2:$H$361,3,false),1)="b","W",if(LEFT(VLOOKUP($B682,'Round 1'!$F$2:$H$361,3,false),1)="a","L","")))</f>
        <v>L</v>
      </c>
      <c r="E682" s="67" t="str">
        <f>iferror(if(LEFT(VLOOKUP($B682,'Round 2'!$C$2:$J$361,8,false),1)="A","W",if(LEFT(VLOOKUP($B682,'Round 2'!$C$2:$J$361,8,false),1)="B","L","")),if(LEFT(VLOOKUP($B682,'Round 2'!$G$2:$J$361,4,false),1)="b","W",if(LEFT(VLOOKUP($B682,'Round 2'!$G$2:$J$361,4,false),1)="a","L","")))</f>
        <v>L</v>
      </c>
      <c r="F682" s="67" t="str">
        <f>iferror(if(LEFT(VLOOKUP($B682,'Round 3'!$B$2:$H$361,7,false),1)="A","W",if(LEFT(VLOOKUP($B682,'Round 3'!$B$2:$H$361,7,false),1)="B","L","")),if(LEFT(VLOOKUP($B682,'Round 3'!$F$2:$H$361,3,false),1)="b","W",if(LEFT(VLOOKUP($B682,'Round 3'!$F$2:$H$361,3,false),1)="a","L","")))</f>
        <v>L</v>
      </c>
      <c r="G682" s="67"/>
      <c r="H682" s="67"/>
      <c r="I682" s="67"/>
      <c r="J682" s="67" t="str">
        <f>iferror(iferror(if(LEFT(VLOOKUP($B682,'Round 7'!$B$2:$H$361,7,false),1)="A","W",if(LEFT(VLOOKUP($B682,'Round 7'!$B$2:$H$361,7,false),1)="B","L","")),if(LEFT(VLOOKUP($B682,'Round 7'!$F$2:$H$361,3,false),1)="b","W",if(LEFT(VLOOKUP($B682,'Round 7'!$F$2:$H$361,3,false),1)="a","L",""))),"")</f>
        <v/>
      </c>
      <c r="K682" s="68" t="str">
        <f>iferror(iferror(if(LEFT(VLOOKUP($B682,'Round 8'!$B$2:$H$361,7,false),1)="A","W",if(LEFT(VLOOKUP($B682,'Round 8'!$B$2:$H$361,7,false),1)="B","L","")),if(LEFT(VLOOKUP($B682,'Round 8'!$F$2:$H$361,3,false),1)="b","W",if(LEFT(VLOOKUP($B682,'Round 8'!$F$2:$H$361,3,false),1)="a","L",""))),"")</f>
        <v/>
      </c>
      <c r="L682" s="68" t="str">
        <f>iferror(iferror(if(LEFT(VLOOKUP($B682,'Round 9'!$B$2:$H$361,7,false),1)="A","W",if(LEFT(VLOOKUP($B682,'Round 9'!$B$2:$H$361,7,false),1)="B","L","")),if(LEFT(VLOOKUP($B682,'Round 9'!$F$2:$H$361,3,false),1)="b","W",if(LEFT(VLOOKUP($B682,'Round 9'!$F$2:$H$361,3,false),1)="a","L",""))),"")</f>
        <v/>
      </c>
      <c r="M682" s="68" t="str">
        <f>iferror(iferror(if(LEFT(VLOOKUP($B682,'Round 10'!$B$2:$H$362,7,false),1)="A","W",if(LEFT(VLOOKUP($B682,'Round 10'!$B$2:$H$362,7,false),1)="B","L","")),if(LEFT(VLOOKUP($B682,'Round 10'!$F$2:$H$362,3,false),1)="b","W",if(LEFT(VLOOKUP($B682,'Round 10'!$F$2:$H$362,3,false),1)="a","L",""))),"")</f>
        <v/>
      </c>
      <c r="N682" s="62" t="s">
        <v>1410</v>
      </c>
    </row>
    <row r="683">
      <c r="A683" s="63">
        <v>682.0</v>
      </c>
      <c r="B683" s="64" t="s">
        <v>1411</v>
      </c>
      <c r="C683" s="65" t="str">
        <f t="shared" si="1"/>
        <v>2 - 3</v>
      </c>
      <c r="D683" s="67" t="str">
        <f>iferror(if(LEFT(VLOOKUP($B683,'Round 1'!$B$2:$H$361,7,false),1)="A","W",if(LEFT(VLOOKUP($B683,'Round 1'!$B$2:$H$361,7,false),1)="B","L","")),if(LEFT(VLOOKUP($B683,'Round 1'!$F$2:$H$361,3,false),1)="b","W",if(LEFT(VLOOKUP($B683,'Round 1'!$F$2:$H$361,3,false),1)="a","L","")))</f>
        <v>W</v>
      </c>
      <c r="E683" s="67" t="str">
        <f>iferror(if(LEFT(VLOOKUP($B683,'Round 2'!$C$2:$J$361,8,false),1)="A","W",if(LEFT(VLOOKUP($B683,'Round 2'!$C$2:$J$361,8,false),1)="B","L","")),if(LEFT(VLOOKUP($B683,'Round 2'!$G$2:$J$361,4,false),1)="b","W",if(LEFT(VLOOKUP($B683,'Round 2'!$G$2:$J$361,4,false),1)="a","L","")))</f>
        <v>L</v>
      </c>
      <c r="F683" s="67" t="str">
        <f>iferror(if(LEFT(VLOOKUP($B683,'Round 3'!$B$2:$H$361,7,false),1)="A","W",if(LEFT(VLOOKUP($B683,'Round 3'!$B$2:$H$361,7,false),1)="B","L","")),if(LEFT(VLOOKUP($B683,'Round 3'!$F$2:$H$361,3,false),1)="b","W",if(LEFT(VLOOKUP($B683,'Round 3'!$F$2:$H$361,3,false),1)="a","L","")))</f>
        <v>W</v>
      </c>
      <c r="G683" s="67" t="str">
        <f>iferror(if(LEFT(VLOOKUP($B683,'Round 4'!$B$2:$H$361,7,false),1)="A","W",if(LEFT(VLOOKUP($B683,'Round 4'!$B$2:$H$361,7,false),1)="B","L","")),if(LEFT(VLOOKUP($B683,'Round 4'!$F$2:$H$361,3,false),1)="b","W",if(LEFT(VLOOKUP($B683,'Round 4'!$F$2:$H$361,3,false),1)="a","L","")))</f>
        <v>L</v>
      </c>
      <c r="H683" s="67" t="str">
        <f>iferror(if(LEFT(VLOOKUP($B683,'Round 5'!$B$2:$H$361,7,false),1)="A","W",if(LEFT(VLOOKUP($B683,'Round 5'!$B$2:$H$361,7,false),1)="B","L","")),if(LEFT(VLOOKUP($B683,'Round 5'!$F$2:$H$361,3,false),1)="b","W",if(LEFT(VLOOKUP($B683,'Round 5'!$F$2:$H$361,3,false),1)="a","L","")))</f>
        <v>L</v>
      </c>
      <c r="I683" s="67"/>
      <c r="J683" s="67" t="str">
        <f>iferror(iferror(if(LEFT(VLOOKUP($B683,'Round 7'!$B$2:$H$361,7,false),1)="A","W",if(LEFT(VLOOKUP($B683,'Round 7'!$B$2:$H$361,7,false),1)="B","L","")),if(LEFT(VLOOKUP($B683,'Round 7'!$F$2:$H$361,3,false),1)="b","W",if(LEFT(VLOOKUP($B683,'Round 7'!$F$2:$H$361,3,false),1)="a","L",""))),"")</f>
        <v/>
      </c>
      <c r="K683" s="68" t="str">
        <f>iferror(iferror(if(LEFT(VLOOKUP($B683,'Round 8'!$B$2:$H$361,7,false),1)="A","W",if(LEFT(VLOOKUP($B683,'Round 8'!$B$2:$H$361,7,false),1)="B","L","")),if(LEFT(VLOOKUP($B683,'Round 8'!$F$2:$H$361,3,false),1)="b","W",if(LEFT(VLOOKUP($B683,'Round 8'!$F$2:$H$361,3,false),1)="a","L",""))),"")</f>
        <v/>
      </c>
      <c r="L683" s="68" t="str">
        <f>iferror(iferror(if(LEFT(VLOOKUP($B683,'Round 9'!$B$2:$H$361,7,false),1)="A","W",if(LEFT(VLOOKUP($B683,'Round 9'!$B$2:$H$361,7,false),1)="B","L","")),if(LEFT(VLOOKUP($B683,'Round 9'!$F$2:$H$361,3,false),1)="b","W",if(LEFT(VLOOKUP($B683,'Round 9'!$F$2:$H$361,3,false),1)="a","L",""))),"")</f>
        <v/>
      </c>
      <c r="M683" s="68" t="str">
        <f>iferror(iferror(if(LEFT(VLOOKUP($B683,'Round 10'!$B$2:$H$362,7,false),1)="A","W",if(LEFT(VLOOKUP($B683,'Round 10'!$B$2:$H$362,7,false),1)="B","L","")),if(LEFT(VLOOKUP($B683,'Round 10'!$F$2:$H$362,3,false),1)="b","W",if(LEFT(VLOOKUP($B683,'Round 10'!$F$2:$H$362,3,false),1)="a","L",""))),"")</f>
        <v/>
      </c>
      <c r="N683" s="62" t="s">
        <v>1412</v>
      </c>
    </row>
    <row r="684">
      <c r="A684" s="63">
        <v>683.0</v>
      </c>
      <c r="B684" s="64" t="s">
        <v>1413</v>
      </c>
      <c r="C684" s="65" t="str">
        <f t="shared" si="1"/>
        <v>2 - 3</v>
      </c>
      <c r="D684" s="67" t="str">
        <f>iferror(if(LEFT(VLOOKUP($B684,'Round 1'!$B$2:$H$361,7,false),1)="A","W",if(LEFT(VLOOKUP($B684,'Round 1'!$B$2:$H$361,7,false),1)="B","L","")),if(LEFT(VLOOKUP($B684,'Round 1'!$F$2:$H$361,3,false),1)="b","W",if(LEFT(VLOOKUP($B684,'Round 1'!$F$2:$H$361,3,false),1)="a","L","")))</f>
        <v>W</v>
      </c>
      <c r="E684" s="67" t="str">
        <f>iferror(if(LEFT(VLOOKUP($B684,'Round 2'!$C$2:$J$361,8,false),1)="A","W",if(LEFT(VLOOKUP($B684,'Round 2'!$C$2:$J$361,8,false),1)="B","L","")),if(LEFT(VLOOKUP($B684,'Round 2'!$G$2:$J$361,4,false),1)="b","W",if(LEFT(VLOOKUP($B684,'Round 2'!$G$2:$J$361,4,false),1)="a","L","")))</f>
        <v>L</v>
      </c>
      <c r="F684" s="67" t="str">
        <f>iferror(if(LEFT(VLOOKUP($B684,'Round 3'!$B$2:$H$361,7,false),1)="A","W",if(LEFT(VLOOKUP($B684,'Round 3'!$B$2:$H$361,7,false),1)="B","L","")),if(LEFT(VLOOKUP($B684,'Round 3'!$F$2:$H$361,3,false),1)="b","W",if(LEFT(VLOOKUP($B684,'Round 3'!$F$2:$H$361,3,false),1)="a","L","")))</f>
        <v>L</v>
      </c>
      <c r="G684" s="67" t="str">
        <f>iferror(if(LEFT(VLOOKUP($B684,'Round 4'!$B$2:$H$361,7,false),1)="A","W",if(LEFT(VLOOKUP($B684,'Round 4'!$B$2:$H$361,7,false),1)="B","L","")),if(LEFT(VLOOKUP($B684,'Round 4'!$F$2:$H$361,3,false),1)="b","W",if(LEFT(VLOOKUP($B684,'Round 4'!$F$2:$H$361,3,false),1)="a","L","")))</f>
        <v>W</v>
      </c>
      <c r="H684" s="67" t="str">
        <f>iferror(if(LEFT(VLOOKUP($B684,'Round 5'!$B$2:$H$361,7,false),1)="A","W",if(LEFT(VLOOKUP($B684,'Round 5'!$B$2:$H$361,7,false),1)="B","L","")),if(LEFT(VLOOKUP($B684,'Round 5'!$F$2:$H$361,3,false),1)="b","W",if(LEFT(VLOOKUP($B684,'Round 5'!$F$2:$H$361,3,false),1)="a","L","")))</f>
        <v>L</v>
      </c>
      <c r="I684" s="67"/>
      <c r="J684" s="67" t="str">
        <f>iferror(iferror(if(LEFT(VLOOKUP($B684,'Round 7'!$B$2:$H$361,7,false),1)="A","W",if(LEFT(VLOOKUP($B684,'Round 7'!$B$2:$H$361,7,false),1)="B","L","")),if(LEFT(VLOOKUP($B684,'Round 7'!$F$2:$H$361,3,false),1)="b","W",if(LEFT(VLOOKUP($B684,'Round 7'!$F$2:$H$361,3,false),1)="a","L",""))),"")</f>
        <v/>
      </c>
      <c r="K684" s="68" t="str">
        <f>iferror(iferror(if(LEFT(VLOOKUP($B684,'Round 8'!$B$2:$H$361,7,false),1)="A","W",if(LEFT(VLOOKUP($B684,'Round 8'!$B$2:$H$361,7,false),1)="B","L","")),if(LEFT(VLOOKUP($B684,'Round 8'!$F$2:$H$361,3,false),1)="b","W",if(LEFT(VLOOKUP($B684,'Round 8'!$F$2:$H$361,3,false),1)="a","L",""))),"")</f>
        <v/>
      </c>
      <c r="L684" s="68" t="str">
        <f>iferror(iferror(if(LEFT(VLOOKUP($B684,'Round 9'!$B$2:$H$361,7,false),1)="A","W",if(LEFT(VLOOKUP($B684,'Round 9'!$B$2:$H$361,7,false),1)="B","L","")),if(LEFT(VLOOKUP($B684,'Round 9'!$F$2:$H$361,3,false),1)="b","W",if(LEFT(VLOOKUP($B684,'Round 9'!$F$2:$H$361,3,false),1)="a","L",""))),"")</f>
        <v/>
      </c>
      <c r="M684" s="68" t="str">
        <f>iferror(iferror(if(LEFT(VLOOKUP($B684,'Round 10'!$B$2:$H$362,7,false),1)="A","W",if(LEFT(VLOOKUP($B684,'Round 10'!$B$2:$H$362,7,false),1)="B","L","")),if(LEFT(VLOOKUP($B684,'Round 10'!$F$2:$H$362,3,false),1)="b","W",if(LEFT(VLOOKUP($B684,'Round 10'!$F$2:$H$362,3,false),1)="a","L",""))),"")</f>
        <v/>
      </c>
      <c r="N684" s="62" t="s">
        <v>1414</v>
      </c>
    </row>
    <row r="685">
      <c r="A685" s="63">
        <v>684.0</v>
      </c>
      <c r="B685" s="64" t="s">
        <v>1415</v>
      </c>
      <c r="C685" s="65" t="str">
        <f t="shared" si="1"/>
        <v>2 - 3</v>
      </c>
      <c r="D685" s="67" t="str">
        <f>iferror(if(LEFT(VLOOKUP($B685,'Round 1'!$B$2:$H$361,7,false),1)="A","W",if(LEFT(VLOOKUP($B685,'Round 1'!$B$2:$H$361,7,false),1)="B","L","")),if(LEFT(VLOOKUP($B685,'Round 1'!$F$2:$H$361,3,false),1)="b","W",if(LEFT(VLOOKUP($B685,'Round 1'!$F$2:$H$361,3,false),1)="a","L","")))</f>
        <v>L</v>
      </c>
      <c r="E685" s="67" t="str">
        <f>iferror(if(LEFT(VLOOKUP($B685,'Round 2'!$C$2:$J$361,8,false),1)="A","W",if(LEFT(VLOOKUP($B685,'Round 2'!$C$2:$J$361,8,false),1)="B","L","")),if(LEFT(VLOOKUP($B685,'Round 2'!$G$2:$J$361,4,false),1)="b","W",if(LEFT(VLOOKUP($B685,'Round 2'!$G$2:$J$361,4,false),1)="a","L","")))</f>
        <v>W</v>
      </c>
      <c r="F685" s="67" t="str">
        <f>iferror(if(LEFT(VLOOKUP($B685,'Round 3'!$B$2:$H$361,7,false),1)="A","W",if(LEFT(VLOOKUP($B685,'Round 3'!$B$2:$H$361,7,false),1)="B","L","")),if(LEFT(VLOOKUP($B685,'Round 3'!$F$2:$H$361,3,false),1)="b","W",if(LEFT(VLOOKUP($B685,'Round 3'!$F$2:$H$361,3,false),1)="a","L","")))</f>
        <v>L</v>
      </c>
      <c r="G685" s="67" t="str">
        <f>iferror(if(LEFT(VLOOKUP($B685,'Round 4'!$B$2:$H$361,7,false),1)="A","W",if(LEFT(VLOOKUP($B685,'Round 4'!$B$2:$H$361,7,false),1)="B","L","")),if(LEFT(VLOOKUP($B685,'Round 4'!$F$2:$H$361,3,false),1)="b","W",if(LEFT(VLOOKUP($B685,'Round 4'!$F$2:$H$361,3,false),1)="a","L","")))</f>
        <v>W</v>
      </c>
      <c r="H685" s="67" t="str">
        <f>iferror(if(LEFT(VLOOKUP($B685,'Round 5'!$B$2:$H$361,7,false),1)="A","W",if(LEFT(VLOOKUP($B685,'Round 5'!$B$2:$H$361,7,false),1)="B","L","")),if(LEFT(VLOOKUP($B685,'Round 5'!$F$2:$H$361,3,false),1)="b","W",if(LEFT(VLOOKUP($B685,'Round 5'!$F$2:$H$361,3,false),1)="a","L","")))</f>
        <v>L</v>
      </c>
      <c r="I685" s="67"/>
      <c r="J685" s="67" t="str">
        <f>iferror(iferror(if(LEFT(VLOOKUP($B685,'Round 7'!$B$2:$H$361,7,false),1)="A","W",if(LEFT(VLOOKUP($B685,'Round 7'!$B$2:$H$361,7,false),1)="B","L","")),if(LEFT(VLOOKUP($B685,'Round 7'!$F$2:$H$361,3,false),1)="b","W",if(LEFT(VLOOKUP($B685,'Round 7'!$F$2:$H$361,3,false),1)="a","L",""))),"")</f>
        <v/>
      </c>
      <c r="K685" s="68" t="str">
        <f>iferror(iferror(if(LEFT(VLOOKUP($B685,'Round 8'!$B$2:$H$361,7,false),1)="A","W",if(LEFT(VLOOKUP($B685,'Round 8'!$B$2:$H$361,7,false),1)="B","L","")),if(LEFT(VLOOKUP($B685,'Round 8'!$F$2:$H$361,3,false),1)="b","W",if(LEFT(VLOOKUP($B685,'Round 8'!$F$2:$H$361,3,false),1)="a","L",""))),"")</f>
        <v/>
      </c>
      <c r="L685" s="68" t="str">
        <f>iferror(iferror(if(LEFT(VLOOKUP($B685,'Round 9'!$B$2:$H$361,7,false),1)="A","W",if(LEFT(VLOOKUP($B685,'Round 9'!$B$2:$H$361,7,false),1)="B","L","")),if(LEFT(VLOOKUP($B685,'Round 9'!$F$2:$H$361,3,false),1)="b","W",if(LEFT(VLOOKUP($B685,'Round 9'!$F$2:$H$361,3,false),1)="a","L",""))),"")</f>
        <v/>
      </c>
      <c r="M685" s="68" t="str">
        <f>iferror(iferror(if(LEFT(VLOOKUP($B685,'Round 10'!$B$2:$H$362,7,false),1)="A","W",if(LEFT(VLOOKUP($B685,'Round 10'!$B$2:$H$362,7,false),1)="B","L","")),if(LEFT(VLOOKUP($B685,'Round 10'!$F$2:$H$362,3,false),1)="b","W",if(LEFT(VLOOKUP($B685,'Round 10'!$F$2:$H$362,3,false),1)="a","L",""))),"")</f>
        <v/>
      </c>
      <c r="N685" s="62" t="s">
        <v>1416</v>
      </c>
    </row>
    <row r="686">
      <c r="A686" s="63">
        <v>685.0</v>
      </c>
      <c r="B686" s="64" t="s">
        <v>1417</v>
      </c>
      <c r="C686" s="65" t="str">
        <f t="shared" si="1"/>
        <v>1 - 3</v>
      </c>
      <c r="D686" s="67" t="str">
        <f>iferror(if(LEFT(VLOOKUP($B686,'Round 1'!$B$2:$H$361,7,false),1)="A","W",if(LEFT(VLOOKUP($B686,'Round 1'!$B$2:$H$361,7,false),1)="B","L","")),if(LEFT(VLOOKUP($B686,'Round 1'!$F$2:$H$361,3,false),1)="b","W",if(LEFT(VLOOKUP($B686,'Round 1'!$F$2:$H$361,3,false),1)="a","L","")))</f>
        <v>L</v>
      </c>
      <c r="E686" s="67" t="str">
        <f>iferror(if(LEFT(VLOOKUP($B686,'Round 2'!$C$2:$J$361,8,false),1)="A","W",if(LEFT(VLOOKUP($B686,'Round 2'!$C$2:$J$361,8,false),1)="B","L","")),if(LEFT(VLOOKUP($B686,'Round 2'!$G$2:$J$361,4,false),1)="b","W",if(LEFT(VLOOKUP($B686,'Round 2'!$G$2:$J$361,4,false),1)="a","L","")))</f>
        <v>W</v>
      </c>
      <c r="F686" s="67" t="str">
        <f>iferror(if(LEFT(VLOOKUP($B686,'Round 3'!$B$2:$H$361,7,false),1)="A","W",if(LEFT(VLOOKUP($B686,'Round 3'!$B$2:$H$361,7,false),1)="B","L","")),if(LEFT(VLOOKUP($B686,'Round 3'!$F$2:$H$361,3,false),1)="b","W",if(LEFT(VLOOKUP($B686,'Round 3'!$F$2:$H$361,3,false),1)="a","L","")))</f>
        <v>L</v>
      </c>
      <c r="G686" s="67" t="str">
        <f>iferror(if(LEFT(VLOOKUP($B686,'Round 4'!$B$2:$H$361,7,false),1)="A","W",if(LEFT(VLOOKUP($B686,'Round 4'!$B$2:$H$361,7,false),1)="B","L","")),if(LEFT(VLOOKUP($B686,'Round 4'!$F$2:$H$361,3,false),1)="b","W",if(LEFT(VLOOKUP($B686,'Round 4'!$F$2:$H$361,3,false),1)="a","L","")))</f>
        <v>L</v>
      </c>
      <c r="H686" s="67"/>
      <c r="I686" s="67"/>
      <c r="J686" s="67" t="str">
        <f>iferror(iferror(if(LEFT(VLOOKUP($B686,'Round 7'!$B$2:$H$361,7,false),1)="A","W",if(LEFT(VLOOKUP($B686,'Round 7'!$B$2:$H$361,7,false),1)="B","L","")),if(LEFT(VLOOKUP($B686,'Round 7'!$F$2:$H$361,3,false),1)="b","W",if(LEFT(VLOOKUP($B686,'Round 7'!$F$2:$H$361,3,false),1)="a","L",""))),"")</f>
        <v/>
      </c>
      <c r="K686" s="68" t="str">
        <f>iferror(iferror(if(LEFT(VLOOKUP($B686,'Round 8'!$B$2:$H$361,7,false),1)="A","W",if(LEFT(VLOOKUP($B686,'Round 8'!$B$2:$H$361,7,false),1)="B","L","")),if(LEFT(VLOOKUP($B686,'Round 8'!$F$2:$H$361,3,false),1)="b","W",if(LEFT(VLOOKUP($B686,'Round 8'!$F$2:$H$361,3,false),1)="a","L",""))),"")</f>
        <v/>
      </c>
      <c r="L686" s="68" t="str">
        <f>iferror(iferror(if(LEFT(VLOOKUP($B686,'Round 9'!$B$2:$H$361,7,false),1)="A","W",if(LEFT(VLOOKUP($B686,'Round 9'!$B$2:$H$361,7,false),1)="B","L","")),if(LEFT(VLOOKUP($B686,'Round 9'!$F$2:$H$361,3,false),1)="b","W",if(LEFT(VLOOKUP($B686,'Round 9'!$F$2:$H$361,3,false),1)="a","L",""))),"")</f>
        <v/>
      </c>
      <c r="M686" s="68" t="str">
        <f>iferror(iferror(if(LEFT(VLOOKUP($B686,'Round 10'!$B$2:$H$362,7,false),1)="A","W",if(LEFT(VLOOKUP($B686,'Round 10'!$B$2:$H$362,7,false),1)="B","L","")),if(LEFT(VLOOKUP($B686,'Round 10'!$F$2:$H$362,3,false),1)="b","W",if(LEFT(VLOOKUP($B686,'Round 10'!$F$2:$H$362,3,false),1)="a","L",""))),"")</f>
        <v/>
      </c>
      <c r="N686" s="62" t="s">
        <v>1418</v>
      </c>
    </row>
    <row r="687">
      <c r="A687" s="63">
        <v>686.0</v>
      </c>
      <c r="B687" s="64" t="s">
        <v>1419</v>
      </c>
      <c r="C687" s="65" t="str">
        <f t="shared" si="1"/>
        <v>2 - 3</v>
      </c>
      <c r="D687" s="67" t="str">
        <f>iferror(if(LEFT(VLOOKUP($B687,'Round 1'!$B$2:$H$361,7,false),1)="A","W",if(LEFT(VLOOKUP($B687,'Round 1'!$B$2:$H$361,7,false),1)="B","L","")),if(LEFT(VLOOKUP($B687,'Round 1'!$F$2:$H$361,3,false),1)="b","W",if(LEFT(VLOOKUP($B687,'Round 1'!$F$2:$H$361,3,false),1)="a","L","")))</f>
        <v>L</v>
      </c>
      <c r="E687" s="67" t="str">
        <f>iferror(if(LEFT(VLOOKUP($B687,'Round 2'!$C$2:$J$361,8,false),1)="A","W",if(LEFT(VLOOKUP($B687,'Round 2'!$C$2:$J$361,8,false),1)="B","L","")),if(LEFT(VLOOKUP($B687,'Round 2'!$G$2:$J$361,4,false),1)="b","W",if(LEFT(VLOOKUP($B687,'Round 2'!$G$2:$J$361,4,false),1)="a","L","")))</f>
        <v>L</v>
      </c>
      <c r="F687" s="67" t="str">
        <f>iferror(if(LEFT(VLOOKUP($B687,'Round 3'!$B$2:$H$361,7,false),1)="A","W",if(LEFT(VLOOKUP($B687,'Round 3'!$B$2:$H$361,7,false),1)="B","L","")),if(LEFT(VLOOKUP($B687,'Round 3'!$F$2:$H$361,3,false),1)="b","W",if(LEFT(VLOOKUP($B687,'Round 3'!$F$2:$H$361,3,false),1)="a","L","")))</f>
        <v>W</v>
      </c>
      <c r="G687" s="67" t="str">
        <f>iferror(if(LEFT(VLOOKUP($B687,'Round 4'!$B$2:$H$361,7,false),1)="A","W",if(LEFT(VLOOKUP($B687,'Round 4'!$B$2:$H$361,7,false),1)="B","L","")),if(LEFT(VLOOKUP($B687,'Round 4'!$F$2:$H$361,3,false),1)="b","W",if(LEFT(VLOOKUP($B687,'Round 4'!$F$2:$H$361,3,false),1)="a","L","")))</f>
        <v>W</v>
      </c>
      <c r="H687" s="67" t="str">
        <f>iferror(if(LEFT(VLOOKUP($B687,'Round 5'!$B$2:$H$361,7,false),1)="A","W",if(LEFT(VLOOKUP($B687,'Round 5'!$B$2:$H$361,7,false),1)="B","L","")),if(LEFT(VLOOKUP($B687,'Round 5'!$F$2:$H$361,3,false),1)="b","W",if(LEFT(VLOOKUP($B687,'Round 5'!$F$2:$H$361,3,false),1)="a","L","")))</f>
        <v>L</v>
      </c>
      <c r="I687" s="67"/>
      <c r="J687" s="67" t="str">
        <f>iferror(iferror(if(LEFT(VLOOKUP($B687,'Round 7'!$B$2:$H$361,7,false),1)="A","W",if(LEFT(VLOOKUP($B687,'Round 7'!$B$2:$H$361,7,false),1)="B","L","")),if(LEFT(VLOOKUP($B687,'Round 7'!$F$2:$H$361,3,false),1)="b","W",if(LEFT(VLOOKUP($B687,'Round 7'!$F$2:$H$361,3,false),1)="a","L",""))),"")</f>
        <v/>
      </c>
      <c r="K687" s="68" t="str">
        <f>iferror(iferror(if(LEFT(VLOOKUP($B687,'Round 8'!$B$2:$H$361,7,false),1)="A","W",if(LEFT(VLOOKUP($B687,'Round 8'!$B$2:$H$361,7,false),1)="B","L","")),if(LEFT(VLOOKUP($B687,'Round 8'!$F$2:$H$361,3,false),1)="b","W",if(LEFT(VLOOKUP($B687,'Round 8'!$F$2:$H$361,3,false),1)="a","L",""))),"")</f>
        <v/>
      </c>
      <c r="L687" s="68" t="str">
        <f>iferror(iferror(if(LEFT(VLOOKUP($B687,'Round 9'!$B$2:$H$361,7,false),1)="A","W",if(LEFT(VLOOKUP($B687,'Round 9'!$B$2:$H$361,7,false),1)="B","L","")),if(LEFT(VLOOKUP($B687,'Round 9'!$F$2:$H$361,3,false),1)="b","W",if(LEFT(VLOOKUP($B687,'Round 9'!$F$2:$H$361,3,false),1)="a","L",""))),"")</f>
        <v/>
      </c>
      <c r="M687" s="68" t="str">
        <f>iferror(iferror(if(LEFT(VLOOKUP($B687,'Round 10'!$B$2:$H$362,7,false),1)="A","W",if(LEFT(VLOOKUP($B687,'Round 10'!$B$2:$H$362,7,false),1)="B","L","")),if(LEFT(VLOOKUP($B687,'Round 10'!$F$2:$H$362,3,false),1)="b","W",if(LEFT(VLOOKUP($B687,'Round 10'!$F$2:$H$362,3,false),1)="a","L",""))),"")</f>
        <v/>
      </c>
      <c r="N687" s="62" t="s">
        <v>1420</v>
      </c>
    </row>
    <row r="688">
      <c r="A688" s="63">
        <v>687.0</v>
      </c>
      <c r="B688" s="64" t="s">
        <v>1421</v>
      </c>
      <c r="C688" s="65" t="str">
        <f t="shared" si="1"/>
        <v>5 - 3</v>
      </c>
      <c r="D688" s="67" t="str">
        <f>iferror(if(LEFT(VLOOKUP($B688,'Round 1'!$B$2:$H$361,7,false),1)="A","W",if(LEFT(VLOOKUP($B688,'Round 1'!$B$2:$H$361,7,false),1)="B","L","")),if(LEFT(VLOOKUP($B688,'Round 1'!$F$2:$H$361,3,false),1)="b","W",if(LEFT(VLOOKUP($B688,'Round 1'!$F$2:$H$361,3,false),1)="a","L","")))</f>
        <v>L</v>
      </c>
      <c r="E688" s="67" t="str">
        <f>iferror(if(LEFT(VLOOKUP($B688,'Round 2'!$C$2:$J$361,8,false),1)="A","W",if(LEFT(VLOOKUP($B688,'Round 2'!$C$2:$J$361,8,false),1)="B","L","")),if(LEFT(VLOOKUP($B688,'Round 2'!$G$2:$J$361,4,false),1)="b","W",if(LEFT(VLOOKUP($B688,'Round 2'!$G$2:$J$361,4,false),1)="a","L","")))</f>
        <v>W</v>
      </c>
      <c r="F688" s="67" t="str">
        <f>iferror(if(LEFT(VLOOKUP($B688,'Round 3'!$B$2:$H$361,7,false),1)="A","W",if(LEFT(VLOOKUP($B688,'Round 3'!$B$2:$H$361,7,false),1)="B","L","")),if(LEFT(VLOOKUP($B688,'Round 3'!$F$2:$H$361,3,false),1)="b","W",if(LEFT(VLOOKUP($B688,'Round 3'!$F$2:$H$361,3,false),1)="a","L","")))</f>
        <v>W</v>
      </c>
      <c r="G688" s="67" t="str">
        <f>iferror(if(LEFT(VLOOKUP($B688,'Round 4'!$B$2:$H$361,7,false),1)="A","W",if(LEFT(VLOOKUP($B688,'Round 4'!$B$2:$H$361,7,false),1)="B","L","")),if(LEFT(VLOOKUP($B688,'Round 4'!$F$2:$H$361,3,false),1)="b","W",if(LEFT(VLOOKUP($B688,'Round 4'!$F$2:$H$361,3,false),1)="a","L","")))</f>
        <v>W</v>
      </c>
      <c r="H688" s="67" t="str">
        <f>iferror(if(LEFT(VLOOKUP($B688,'Round 5'!$B$2:$H$361,7,false),1)="A","W",if(LEFT(VLOOKUP($B688,'Round 5'!$B$2:$H$361,7,false),1)="B","L","")),if(LEFT(VLOOKUP($B688,'Round 5'!$F$2:$H$361,3,false),1)="b","W",if(LEFT(VLOOKUP($B688,'Round 5'!$F$2:$H$361,3,false),1)="a","L","")))</f>
        <v>W</v>
      </c>
      <c r="I688" s="67" t="str">
        <f>iferror(if(LEFT(VLOOKUP($B688,'Round 6'!$B$2:$H$361,7,false),1)="A","W",if(LEFT(VLOOKUP($B688,'Round 6'!$B$2:$H$361,7,false),1)="B","L","")),if(LEFT(VLOOKUP($B688,'Round 6'!$F$2:$H$361,3,false),1)="b","W",if(LEFT(VLOOKUP($B688,'Round 6'!$F$2:$H$361,3,false),1)="a","L","")))</f>
        <v>W</v>
      </c>
      <c r="J688" s="67" t="str">
        <f>iferror(iferror(if(LEFT(VLOOKUP($B688,'Round 7'!$B$2:$H$361,7,false),1)="A","W",if(LEFT(VLOOKUP($B688,'Round 7'!$B$2:$H$361,7,false),1)="B","L","")),if(LEFT(VLOOKUP($B688,'Round 7'!$F$2:$H$361,3,false),1)="b","W",if(LEFT(VLOOKUP($B688,'Round 7'!$F$2:$H$361,3,false),1)="a","L",""))),"")</f>
        <v>L</v>
      </c>
      <c r="K688" s="68" t="str">
        <f>iferror(iferror(if(LEFT(VLOOKUP($B688,'Round 8'!$B$2:$H$361,7,false),1)="A","W",if(LEFT(VLOOKUP($B688,'Round 8'!$B$2:$H$361,7,false),1)="B","L","")),if(LEFT(VLOOKUP($B688,'Round 8'!$F$2:$H$361,3,false),1)="b","W",if(LEFT(VLOOKUP($B688,'Round 8'!$F$2:$H$361,3,false),1)="a","L",""))),"")</f>
        <v>L</v>
      </c>
      <c r="L688" s="68" t="str">
        <f>iferror(iferror(if(LEFT(VLOOKUP($B688,'Round 9'!$B$2:$H$361,7,false),1)="A","W",if(LEFT(VLOOKUP($B688,'Round 9'!$B$2:$H$361,7,false),1)="B","L","")),if(LEFT(VLOOKUP($B688,'Round 9'!$F$2:$H$361,3,false),1)="b","W",if(LEFT(VLOOKUP($B688,'Round 9'!$F$2:$H$361,3,false),1)="a","L",""))),"")</f>
        <v/>
      </c>
      <c r="M688" s="68" t="str">
        <f>iferror(iferror(if(LEFT(VLOOKUP($B688,'Round 10'!$B$2:$H$362,7,false),1)="A","W",if(LEFT(VLOOKUP($B688,'Round 10'!$B$2:$H$362,7,false),1)="B","L","")),if(LEFT(VLOOKUP($B688,'Round 10'!$F$2:$H$362,3,false),1)="b","W",if(LEFT(VLOOKUP($B688,'Round 10'!$F$2:$H$362,3,false),1)="a","L",""))),"")</f>
        <v/>
      </c>
      <c r="N688" s="62" t="s">
        <v>1422</v>
      </c>
    </row>
    <row r="689">
      <c r="A689" s="63">
        <v>688.0</v>
      </c>
      <c r="B689" s="64" t="s">
        <v>1423</v>
      </c>
      <c r="C689" s="65" t="str">
        <f t="shared" si="1"/>
        <v>2 - 3</v>
      </c>
      <c r="D689" s="67" t="str">
        <f>iferror(if(LEFT(VLOOKUP($B689,'Round 1'!$B$2:$H$361,7,false),1)="A","W",if(LEFT(VLOOKUP($B689,'Round 1'!$B$2:$H$361,7,false),1)="B","L","")),if(LEFT(VLOOKUP($B689,'Round 1'!$F$2:$H$361,3,false),1)="b","W",if(LEFT(VLOOKUP($B689,'Round 1'!$F$2:$H$361,3,false),1)="a","L","")))</f>
        <v>L</v>
      </c>
      <c r="E689" s="67" t="str">
        <f>iferror(if(LEFT(VLOOKUP($B689,'Round 2'!$C$2:$J$361,8,false),1)="A","W",if(LEFT(VLOOKUP($B689,'Round 2'!$C$2:$J$361,8,false),1)="B","L","")),if(LEFT(VLOOKUP($B689,'Round 2'!$G$2:$J$361,4,false),1)="b","W",if(LEFT(VLOOKUP($B689,'Round 2'!$G$2:$J$361,4,false),1)="a","L","")))</f>
        <v>W</v>
      </c>
      <c r="F689" s="67" t="str">
        <f>iferror(if(LEFT(VLOOKUP($B689,'Round 3'!$B$2:$H$361,7,false),1)="A","W",if(LEFT(VLOOKUP($B689,'Round 3'!$B$2:$H$361,7,false),1)="B","L","")),if(LEFT(VLOOKUP($B689,'Round 3'!$F$2:$H$361,3,false),1)="b","W",if(LEFT(VLOOKUP($B689,'Round 3'!$F$2:$H$361,3,false),1)="a","L","")))</f>
        <v>L</v>
      </c>
      <c r="G689" s="67" t="str">
        <f>iferror(if(LEFT(VLOOKUP($B689,'Round 4'!$B$2:$H$361,7,false),1)="A","W",if(LEFT(VLOOKUP($B689,'Round 4'!$B$2:$H$361,7,false),1)="B","L","")),if(LEFT(VLOOKUP($B689,'Round 4'!$F$2:$H$361,3,false),1)="b","W",if(LEFT(VLOOKUP($B689,'Round 4'!$F$2:$H$361,3,false),1)="a","L","")))</f>
        <v>W</v>
      </c>
      <c r="H689" s="67" t="str">
        <f>iferror(if(LEFT(VLOOKUP($B689,'Round 5'!$B$2:$H$361,7,false),1)="A","W",if(LEFT(VLOOKUP($B689,'Round 5'!$B$2:$H$361,7,false),1)="B","L","")),if(LEFT(VLOOKUP($B689,'Round 5'!$F$2:$H$361,3,false),1)="b","W",if(LEFT(VLOOKUP($B689,'Round 5'!$F$2:$H$361,3,false),1)="a","L","")))</f>
        <v>L</v>
      </c>
      <c r="I689" s="67"/>
      <c r="J689" s="67" t="str">
        <f>iferror(iferror(if(LEFT(VLOOKUP($B689,'Round 7'!$B$2:$H$361,7,false),1)="A","W",if(LEFT(VLOOKUP($B689,'Round 7'!$B$2:$H$361,7,false),1)="B","L","")),if(LEFT(VLOOKUP($B689,'Round 7'!$F$2:$H$361,3,false),1)="b","W",if(LEFT(VLOOKUP($B689,'Round 7'!$F$2:$H$361,3,false),1)="a","L",""))),"")</f>
        <v/>
      </c>
      <c r="K689" s="68" t="str">
        <f>iferror(iferror(if(LEFT(VLOOKUP($B689,'Round 8'!$B$2:$H$361,7,false),1)="A","W",if(LEFT(VLOOKUP($B689,'Round 8'!$B$2:$H$361,7,false),1)="B","L","")),if(LEFT(VLOOKUP($B689,'Round 8'!$F$2:$H$361,3,false),1)="b","W",if(LEFT(VLOOKUP($B689,'Round 8'!$F$2:$H$361,3,false),1)="a","L",""))),"")</f>
        <v/>
      </c>
      <c r="L689" s="68" t="str">
        <f>iferror(iferror(if(LEFT(VLOOKUP($B689,'Round 9'!$B$2:$H$361,7,false),1)="A","W",if(LEFT(VLOOKUP($B689,'Round 9'!$B$2:$H$361,7,false),1)="B","L","")),if(LEFT(VLOOKUP($B689,'Round 9'!$F$2:$H$361,3,false),1)="b","W",if(LEFT(VLOOKUP($B689,'Round 9'!$F$2:$H$361,3,false),1)="a","L",""))),"")</f>
        <v/>
      </c>
      <c r="M689" s="68" t="str">
        <f>iferror(iferror(if(LEFT(VLOOKUP($B689,'Round 10'!$B$2:$H$362,7,false),1)="A","W",if(LEFT(VLOOKUP($B689,'Round 10'!$B$2:$H$362,7,false),1)="B","L","")),if(LEFT(VLOOKUP($B689,'Round 10'!$F$2:$H$362,3,false),1)="b","W",if(LEFT(VLOOKUP($B689,'Round 10'!$F$2:$H$362,3,false),1)="a","L",""))),"")</f>
        <v/>
      </c>
      <c r="N689" s="62" t="s">
        <v>1424</v>
      </c>
    </row>
    <row r="690">
      <c r="A690" s="63">
        <v>689.0</v>
      </c>
      <c r="B690" s="64" t="s">
        <v>1425</v>
      </c>
      <c r="C690" s="65" t="str">
        <f t="shared" si="1"/>
        <v>5 - 3</v>
      </c>
      <c r="D690" s="67" t="str">
        <f>iferror(if(LEFT(VLOOKUP($B690,'Round 1'!$B$2:$H$361,7,false),1)="A","W",if(LEFT(VLOOKUP($B690,'Round 1'!$B$2:$H$361,7,false),1)="B","L","")),if(LEFT(VLOOKUP($B690,'Round 1'!$F$2:$H$361,3,false),1)="b","W",if(LEFT(VLOOKUP($B690,'Round 1'!$F$2:$H$361,3,false),1)="a","L","")))</f>
        <v>L</v>
      </c>
      <c r="E690" s="67" t="str">
        <f>iferror(if(LEFT(VLOOKUP($B690,'Round 2'!$C$2:$J$361,8,false),1)="A","W",if(LEFT(VLOOKUP($B690,'Round 2'!$C$2:$J$361,8,false),1)="B","L","")),if(LEFT(VLOOKUP($B690,'Round 2'!$G$2:$J$361,4,false),1)="b","W",if(LEFT(VLOOKUP($B690,'Round 2'!$G$2:$J$361,4,false),1)="a","L","")))</f>
        <v>W</v>
      </c>
      <c r="F690" s="67" t="str">
        <f>iferror(if(LEFT(VLOOKUP($B690,'Round 3'!$B$2:$H$361,7,false),1)="A","W",if(LEFT(VLOOKUP($B690,'Round 3'!$B$2:$H$361,7,false),1)="B","L","")),if(LEFT(VLOOKUP($B690,'Round 3'!$F$2:$H$361,3,false),1)="b","W",if(LEFT(VLOOKUP($B690,'Round 3'!$F$2:$H$361,3,false),1)="a","L","")))</f>
        <v>L</v>
      </c>
      <c r="G690" s="67" t="str">
        <f>iferror(if(LEFT(VLOOKUP($B690,'Round 4'!$B$2:$H$361,7,false),1)="A","W",if(LEFT(VLOOKUP($B690,'Round 4'!$B$2:$H$361,7,false),1)="B","L","")),if(LEFT(VLOOKUP($B690,'Round 4'!$F$2:$H$361,3,false),1)="b","W",if(LEFT(VLOOKUP($B690,'Round 4'!$F$2:$H$361,3,false),1)="a","L","")))</f>
        <v>W</v>
      </c>
      <c r="H690" s="67" t="str">
        <f>iferror(if(LEFT(VLOOKUP($B690,'Round 5'!$B$2:$H$361,7,false),1)="A","W",if(LEFT(VLOOKUP($B690,'Round 5'!$B$2:$H$361,7,false),1)="B","L","")),if(LEFT(VLOOKUP($B690,'Round 5'!$F$2:$H$361,3,false),1)="b","W",if(LEFT(VLOOKUP($B690,'Round 5'!$F$2:$H$361,3,false),1)="a","L","")))</f>
        <v>W</v>
      </c>
      <c r="I690" s="67" t="str">
        <f>iferror(if(LEFT(VLOOKUP($B690,'Round 6'!$B$2:$H$361,7,false),1)="A","W",if(LEFT(VLOOKUP($B690,'Round 6'!$B$2:$H$361,7,false),1)="B","L","")),if(LEFT(VLOOKUP($B690,'Round 6'!$F$2:$H$361,3,false),1)="b","W",if(LEFT(VLOOKUP($B690,'Round 6'!$F$2:$H$361,3,false),1)="a","L","")))</f>
        <v>W</v>
      </c>
      <c r="J690" s="67" t="str">
        <f>iferror(iferror(if(LEFT(VLOOKUP($B690,'Round 7'!$B$2:$H$361,7,false),1)="A","W",if(LEFT(VLOOKUP($B690,'Round 7'!$B$2:$H$361,7,false),1)="B","L","")),if(LEFT(VLOOKUP($B690,'Round 7'!$F$2:$H$361,3,false),1)="b","W",if(LEFT(VLOOKUP($B690,'Round 7'!$F$2:$H$361,3,false),1)="a","L",""))),"")</f>
        <v>W</v>
      </c>
      <c r="K690" s="68" t="str">
        <f>iferror(iferror(if(LEFT(VLOOKUP($B690,'Round 8'!$B$2:$H$361,7,false),1)="A","W",if(LEFT(VLOOKUP($B690,'Round 8'!$B$2:$H$361,7,false),1)="B","L","")),if(LEFT(VLOOKUP($B690,'Round 8'!$F$2:$H$361,3,false),1)="b","W",if(LEFT(VLOOKUP($B690,'Round 8'!$F$2:$H$361,3,false),1)="a","L",""))),"")</f>
        <v>L</v>
      </c>
      <c r="L690" s="68" t="str">
        <f>iferror(iferror(if(LEFT(VLOOKUP($B690,'Round 9'!$B$2:$H$361,7,false),1)="A","W",if(LEFT(VLOOKUP($B690,'Round 9'!$B$2:$H$361,7,false),1)="B","L","")),if(LEFT(VLOOKUP($B690,'Round 9'!$F$2:$H$361,3,false),1)="b","W",if(LEFT(VLOOKUP($B690,'Round 9'!$F$2:$H$361,3,false),1)="a","L",""))),"")</f>
        <v/>
      </c>
      <c r="M690" s="68" t="str">
        <f>iferror(iferror(if(LEFT(VLOOKUP($B690,'Round 10'!$B$2:$H$362,7,false),1)="A","W",if(LEFT(VLOOKUP($B690,'Round 10'!$B$2:$H$362,7,false),1)="B","L","")),if(LEFT(VLOOKUP($B690,'Round 10'!$F$2:$H$362,3,false),1)="b","W",if(LEFT(VLOOKUP($B690,'Round 10'!$F$2:$H$362,3,false),1)="a","L",""))),"")</f>
        <v/>
      </c>
      <c r="N690" s="62" t="s">
        <v>1426</v>
      </c>
    </row>
    <row r="691">
      <c r="A691" s="63">
        <v>690.0</v>
      </c>
      <c r="B691" s="64" t="s">
        <v>1427</v>
      </c>
      <c r="C691" s="65" t="str">
        <f t="shared" si="1"/>
        <v>1 - 3</v>
      </c>
      <c r="D691" s="67" t="str">
        <f>iferror(if(LEFT(VLOOKUP($B691,'Round 1'!$B$2:$H$361,7,false),1)="A","W",if(LEFT(VLOOKUP($B691,'Round 1'!$B$2:$H$361,7,false),1)="B","L","")),if(LEFT(VLOOKUP($B691,'Round 1'!$F$2:$H$361,3,false),1)="b","W",if(LEFT(VLOOKUP($B691,'Round 1'!$F$2:$H$361,3,false),1)="a","L","")))</f>
        <v>L</v>
      </c>
      <c r="E691" s="67" t="str">
        <f>iferror(if(LEFT(VLOOKUP($B691,'Round 2'!$C$2:$J$361,8,false),1)="A","W",if(LEFT(VLOOKUP($B691,'Round 2'!$C$2:$J$361,8,false),1)="B","L","")),if(LEFT(VLOOKUP($B691,'Round 2'!$G$2:$J$361,4,false),1)="b","W",if(LEFT(VLOOKUP($B691,'Round 2'!$G$2:$J$361,4,false),1)="a","L","")))</f>
        <v>W</v>
      </c>
      <c r="F691" s="67" t="str">
        <f>iferror(if(LEFT(VLOOKUP($B691,'Round 3'!$B$2:$H$361,7,false),1)="A","W",if(LEFT(VLOOKUP($B691,'Round 3'!$B$2:$H$361,7,false),1)="B","L","")),if(LEFT(VLOOKUP($B691,'Round 3'!$F$2:$H$361,3,false),1)="b","W",if(LEFT(VLOOKUP($B691,'Round 3'!$F$2:$H$361,3,false),1)="a","L","")))</f>
        <v>L</v>
      </c>
      <c r="G691" s="67" t="str">
        <f>iferror(if(LEFT(VLOOKUP($B691,'Round 4'!$B$2:$H$361,7,false),1)="A","W",if(LEFT(VLOOKUP($B691,'Round 4'!$B$2:$H$361,7,false),1)="B","L","")),if(LEFT(VLOOKUP($B691,'Round 4'!$F$2:$H$361,3,false),1)="b","W",if(LEFT(VLOOKUP($B691,'Round 4'!$F$2:$H$361,3,false),1)="a","L","")))</f>
        <v>L</v>
      </c>
      <c r="H691" s="67"/>
      <c r="I691" s="67"/>
      <c r="J691" s="67" t="str">
        <f>iferror(iferror(if(LEFT(VLOOKUP($B691,'Round 7'!$B$2:$H$361,7,false),1)="A","W",if(LEFT(VLOOKUP($B691,'Round 7'!$B$2:$H$361,7,false),1)="B","L","")),if(LEFT(VLOOKUP($B691,'Round 7'!$F$2:$H$361,3,false),1)="b","W",if(LEFT(VLOOKUP($B691,'Round 7'!$F$2:$H$361,3,false),1)="a","L",""))),"")</f>
        <v/>
      </c>
      <c r="K691" s="68" t="str">
        <f>iferror(iferror(if(LEFT(VLOOKUP($B691,'Round 8'!$B$2:$H$361,7,false),1)="A","W",if(LEFT(VLOOKUP($B691,'Round 8'!$B$2:$H$361,7,false),1)="B","L","")),if(LEFT(VLOOKUP($B691,'Round 8'!$F$2:$H$361,3,false),1)="b","W",if(LEFT(VLOOKUP($B691,'Round 8'!$F$2:$H$361,3,false),1)="a","L",""))),"")</f>
        <v/>
      </c>
      <c r="L691" s="68" t="str">
        <f>iferror(iferror(if(LEFT(VLOOKUP($B691,'Round 9'!$B$2:$H$361,7,false),1)="A","W",if(LEFT(VLOOKUP($B691,'Round 9'!$B$2:$H$361,7,false),1)="B","L","")),if(LEFT(VLOOKUP($B691,'Round 9'!$F$2:$H$361,3,false),1)="b","W",if(LEFT(VLOOKUP($B691,'Round 9'!$F$2:$H$361,3,false),1)="a","L",""))),"")</f>
        <v/>
      </c>
      <c r="M691" s="68" t="str">
        <f>iferror(iferror(if(LEFT(VLOOKUP($B691,'Round 10'!$B$2:$H$362,7,false),1)="A","W",if(LEFT(VLOOKUP($B691,'Round 10'!$B$2:$H$362,7,false),1)="B","L","")),if(LEFT(VLOOKUP($B691,'Round 10'!$F$2:$H$362,3,false),1)="b","W",if(LEFT(VLOOKUP($B691,'Round 10'!$F$2:$H$362,3,false),1)="a","L",""))),"")</f>
        <v/>
      </c>
      <c r="N691" s="62" t="s">
        <v>1428</v>
      </c>
    </row>
    <row r="692">
      <c r="A692" s="63">
        <v>691.0</v>
      </c>
      <c r="B692" s="64" t="s">
        <v>1429</v>
      </c>
      <c r="C692" s="65" t="str">
        <f t="shared" si="1"/>
        <v>5 - 3</v>
      </c>
      <c r="D692" s="67" t="str">
        <f>iferror(if(LEFT(VLOOKUP($B692,'Round 1'!$B$2:$H$361,7,false),1)="A","W",if(LEFT(VLOOKUP($B692,'Round 1'!$B$2:$H$361,7,false),1)="B","L","")),if(LEFT(VLOOKUP($B692,'Round 1'!$F$2:$H$361,3,false),1)="b","W",if(LEFT(VLOOKUP($B692,'Round 1'!$F$2:$H$361,3,false),1)="a","L","")))</f>
        <v>L</v>
      </c>
      <c r="E692" s="67" t="str">
        <f>iferror(if(LEFT(VLOOKUP($B692,'Round 2'!$C$2:$J$361,8,false),1)="A","W",if(LEFT(VLOOKUP($B692,'Round 2'!$C$2:$J$361,8,false),1)="B","L","")),if(LEFT(VLOOKUP($B692,'Round 2'!$G$2:$J$361,4,false),1)="b","W",if(LEFT(VLOOKUP($B692,'Round 2'!$G$2:$J$361,4,false),1)="a","L","")))</f>
        <v>L</v>
      </c>
      <c r="F692" s="67" t="str">
        <f>iferror(if(LEFT(VLOOKUP($B692,'Round 3'!$B$2:$H$361,7,false),1)="A","W",if(LEFT(VLOOKUP($B692,'Round 3'!$B$2:$H$361,7,false),1)="B","L","")),if(LEFT(VLOOKUP($B692,'Round 3'!$F$2:$H$361,3,false),1)="b","W",if(LEFT(VLOOKUP($B692,'Round 3'!$F$2:$H$361,3,false),1)="a","L","")))</f>
        <v>W</v>
      </c>
      <c r="G692" s="67" t="str">
        <f>iferror(if(LEFT(VLOOKUP($B692,'Round 4'!$B$2:$H$361,7,false),1)="A","W",if(LEFT(VLOOKUP($B692,'Round 4'!$B$2:$H$361,7,false),1)="B","L","")),if(LEFT(VLOOKUP($B692,'Round 4'!$F$2:$H$361,3,false),1)="b","W",if(LEFT(VLOOKUP($B692,'Round 4'!$F$2:$H$361,3,false),1)="a","L","")))</f>
        <v>W</v>
      </c>
      <c r="H692" s="67" t="str">
        <f>iferror(if(LEFT(VLOOKUP($B692,'Round 5'!$B$2:$H$361,7,false),1)="A","W",if(LEFT(VLOOKUP($B692,'Round 5'!$B$2:$H$361,7,false),1)="B","L","")),if(LEFT(VLOOKUP($B692,'Round 5'!$F$2:$H$361,3,false),1)="b","W",if(LEFT(VLOOKUP($B692,'Round 5'!$F$2:$H$361,3,false),1)="a","L","")))</f>
        <v>W</v>
      </c>
      <c r="I692" s="67" t="str">
        <f>iferror(if(LEFT(VLOOKUP($B692,'Round 6'!$B$2:$H$361,7,false),1)="A","W",if(LEFT(VLOOKUP($B692,'Round 6'!$B$2:$H$361,7,false),1)="B","L","")),if(LEFT(VLOOKUP($B692,'Round 6'!$F$2:$H$361,3,false),1)="b","W",if(LEFT(VLOOKUP($B692,'Round 6'!$F$2:$H$361,3,false),1)="a","L","")))</f>
        <v>W</v>
      </c>
      <c r="J692" s="67" t="str">
        <f>iferror(iferror(if(LEFT(VLOOKUP($B692,'Round 7'!$B$2:$H$361,7,false),1)="A","W",if(LEFT(VLOOKUP($B692,'Round 7'!$B$2:$H$361,7,false),1)="B","L","")),if(LEFT(VLOOKUP($B692,'Round 7'!$F$2:$H$361,3,false),1)="b","W",if(LEFT(VLOOKUP($B692,'Round 7'!$F$2:$H$361,3,false),1)="a","L",""))),"")</f>
        <v>W</v>
      </c>
      <c r="K692" s="68" t="str">
        <f>iferror(iferror(if(LEFT(VLOOKUP($B692,'Round 8'!$B$2:$H$361,7,false),1)="A","W",if(LEFT(VLOOKUP($B692,'Round 8'!$B$2:$H$361,7,false),1)="B","L","")),if(LEFT(VLOOKUP($B692,'Round 8'!$F$2:$H$361,3,false),1)="b","W",if(LEFT(VLOOKUP($B692,'Round 8'!$F$2:$H$361,3,false),1)="a","L",""))),"")</f>
        <v>L</v>
      </c>
      <c r="L692" s="68" t="str">
        <f>iferror(iferror(if(LEFT(VLOOKUP($B692,'Round 9'!$B$2:$H$361,7,false),1)="A","W",if(LEFT(VLOOKUP($B692,'Round 9'!$B$2:$H$361,7,false),1)="B","L","")),if(LEFT(VLOOKUP($B692,'Round 9'!$F$2:$H$361,3,false),1)="b","W",if(LEFT(VLOOKUP($B692,'Round 9'!$F$2:$H$361,3,false),1)="a","L",""))),"")</f>
        <v/>
      </c>
      <c r="M692" s="68" t="str">
        <f>iferror(iferror(if(LEFT(VLOOKUP($B692,'Round 10'!$B$2:$H$362,7,false),1)="A","W",if(LEFT(VLOOKUP($B692,'Round 10'!$B$2:$H$362,7,false),1)="B","L","")),if(LEFT(VLOOKUP($B692,'Round 10'!$F$2:$H$362,3,false),1)="b","W",if(LEFT(VLOOKUP($B692,'Round 10'!$F$2:$H$362,3,false),1)="a","L",""))),"")</f>
        <v/>
      </c>
      <c r="N692" s="62" t="s">
        <v>1430</v>
      </c>
    </row>
    <row r="693">
      <c r="A693" s="63">
        <v>692.0</v>
      </c>
      <c r="B693" s="64" t="s">
        <v>1431</v>
      </c>
      <c r="C693" s="65" t="str">
        <f t="shared" si="1"/>
        <v>1 - 3</v>
      </c>
      <c r="D693" s="67" t="str">
        <f>iferror(if(LEFT(VLOOKUP($B693,'Round 1'!$B$2:$H$361,7,false),1)="A","W",if(LEFT(VLOOKUP($B693,'Round 1'!$B$2:$H$361,7,false),1)="B","L","")),if(LEFT(VLOOKUP($B693,'Round 1'!$F$2:$H$361,3,false),1)="b","W",if(LEFT(VLOOKUP($B693,'Round 1'!$F$2:$H$361,3,false),1)="a","L","")))</f>
        <v>L</v>
      </c>
      <c r="E693" s="67" t="str">
        <f>iferror(if(LEFT(VLOOKUP($B693,'Round 2'!$C$2:$J$361,8,false),1)="A","W",if(LEFT(VLOOKUP($B693,'Round 2'!$C$2:$J$361,8,false),1)="B","L","")),if(LEFT(VLOOKUP($B693,'Round 2'!$G$2:$J$361,4,false),1)="b","W",if(LEFT(VLOOKUP($B693,'Round 2'!$G$2:$J$361,4,false),1)="a","L","")))</f>
        <v>L</v>
      </c>
      <c r="F693" s="67" t="str">
        <f>iferror(if(LEFT(VLOOKUP($B693,'Round 3'!$B$2:$H$361,7,false),1)="A","W",if(LEFT(VLOOKUP($B693,'Round 3'!$B$2:$H$361,7,false),1)="B","L","")),if(LEFT(VLOOKUP($B693,'Round 3'!$F$2:$H$361,3,false),1)="b","W",if(LEFT(VLOOKUP($B693,'Round 3'!$F$2:$H$361,3,false),1)="a","L","")))</f>
        <v>W</v>
      </c>
      <c r="G693" s="67" t="str">
        <f>iferror(if(LEFT(VLOOKUP($B693,'Round 4'!$B$2:$H$361,7,false),1)="A","W",if(LEFT(VLOOKUP($B693,'Round 4'!$B$2:$H$361,7,false),1)="B","L","")),if(LEFT(VLOOKUP($B693,'Round 4'!$F$2:$H$361,3,false),1)="b","W",if(LEFT(VLOOKUP($B693,'Round 4'!$F$2:$H$361,3,false),1)="a","L","")))</f>
        <v>L</v>
      </c>
      <c r="H693" s="67"/>
      <c r="I693" s="67"/>
      <c r="J693" s="67" t="str">
        <f>iferror(iferror(if(LEFT(VLOOKUP($B693,'Round 7'!$B$2:$H$361,7,false),1)="A","W",if(LEFT(VLOOKUP($B693,'Round 7'!$B$2:$H$361,7,false),1)="B","L","")),if(LEFT(VLOOKUP($B693,'Round 7'!$F$2:$H$361,3,false),1)="b","W",if(LEFT(VLOOKUP($B693,'Round 7'!$F$2:$H$361,3,false),1)="a","L",""))),"")</f>
        <v/>
      </c>
      <c r="K693" s="68" t="str">
        <f>iferror(iferror(if(LEFT(VLOOKUP($B693,'Round 8'!$B$2:$H$361,7,false),1)="A","W",if(LEFT(VLOOKUP($B693,'Round 8'!$B$2:$H$361,7,false),1)="B","L","")),if(LEFT(VLOOKUP($B693,'Round 8'!$F$2:$H$361,3,false),1)="b","W",if(LEFT(VLOOKUP($B693,'Round 8'!$F$2:$H$361,3,false),1)="a","L",""))),"")</f>
        <v/>
      </c>
      <c r="L693" s="68" t="str">
        <f>iferror(iferror(if(LEFT(VLOOKUP($B693,'Round 9'!$B$2:$H$361,7,false),1)="A","W",if(LEFT(VLOOKUP($B693,'Round 9'!$B$2:$H$361,7,false),1)="B","L","")),if(LEFT(VLOOKUP($B693,'Round 9'!$F$2:$H$361,3,false),1)="b","W",if(LEFT(VLOOKUP($B693,'Round 9'!$F$2:$H$361,3,false),1)="a","L",""))),"")</f>
        <v/>
      </c>
      <c r="M693" s="68" t="str">
        <f>iferror(iferror(if(LEFT(VLOOKUP($B693,'Round 10'!$B$2:$H$362,7,false),1)="A","W",if(LEFT(VLOOKUP($B693,'Round 10'!$B$2:$H$362,7,false),1)="B","L","")),if(LEFT(VLOOKUP($B693,'Round 10'!$F$2:$H$362,3,false),1)="b","W",if(LEFT(VLOOKUP($B693,'Round 10'!$F$2:$H$362,3,false),1)="a","L",""))),"")</f>
        <v/>
      </c>
      <c r="N693" s="62" t="s">
        <v>1432</v>
      </c>
    </row>
    <row r="694">
      <c r="A694" s="63">
        <v>693.0</v>
      </c>
      <c r="B694" s="64" t="s">
        <v>1433</v>
      </c>
      <c r="C694" s="65" t="str">
        <f t="shared" si="1"/>
        <v>5 - 3</v>
      </c>
      <c r="D694" s="67" t="str">
        <f>iferror(if(LEFT(VLOOKUP($B694,'Round 1'!$B$2:$H$361,7,false),1)="A","W",if(LEFT(VLOOKUP($B694,'Round 1'!$B$2:$H$361,7,false),1)="B","L","")),if(LEFT(VLOOKUP($B694,'Round 1'!$F$2:$H$361,3,false),1)="b","W",if(LEFT(VLOOKUP($B694,'Round 1'!$F$2:$H$361,3,false),1)="a","L","")))</f>
        <v>W</v>
      </c>
      <c r="E694" s="67" t="str">
        <f>iferror(if(LEFT(VLOOKUP($B694,'Round 2'!$C$2:$J$361,8,false),1)="A","W",if(LEFT(VLOOKUP($B694,'Round 2'!$C$2:$J$361,8,false),1)="B","L","")),if(LEFT(VLOOKUP($B694,'Round 2'!$G$2:$J$361,4,false),1)="b","W",if(LEFT(VLOOKUP($B694,'Round 2'!$G$2:$J$361,4,false),1)="a","L","")))</f>
        <v>W</v>
      </c>
      <c r="F694" s="67" t="str">
        <f>iferror(if(LEFT(VLOOKUP($B694,'Round 3'!$B$2:$H$361,7,false),1)="A","W",if(LEFT(VLOOKUP($B694,'Round 3'!$B$2:$H$361,7,false),1)="B","L","")),if(LEFT(VLOOKUP($B694,'Round 3'!$F$2:$H$361,3,false),1)="b","W",if(LEFT(VLOOKUP($B694,'Round 3'!$F$2:$H$361,3,false),1)="a","L","")))</f>
        <v>L</v>
      </c>
      <c r="G694" s="67" t="str">
        <f>iferror(if(LEFT(VLOOKUP($B694,'Round 4'!$B$2:$H$361,7,false),1)="A","W",if(LEFT(VLOOKUP($B694,'Round 4'!$B$2:$H$361,7,false),1)="B","L","")),if(LEFT(VLOOKUP($B694,'Round 4'!$F$2:$H$361,3,false),1)="b","W",if(LEFT(VLOOKUP($B694,'Round 4'!$F$2:$H$361,3,false),1)="a","L","")))</f>
        <v>W</v>
      </c>
      <c r="H694" s="67" t="str">
        <f>iferror(if(LEFT(VLOOKUP($B694,'Round 5'!$B$2:$H$361,7,false),1)="A","W",if(LEFT(VLOOKUP($B694,'Round 5'!$B$2:$H$361,7,false),1)="B","L","")),if(LEFT(VLOOKUP($B694,'Round 5'!$F$2:$H$361,3,false),1)="b","W",if(LEFT(VLOOKUP($B694,'Round 5'!$F$2:$H$361,3,false),1)="a","L","")))</f>
        <v>W</v>
      </c>
      <c r="I694" s="67" t="str">
        <f>iferror(if(LEFT(VLOOKUP($B694,'Round 6'!$B$2:$H$361,7,false),1)="A","W",if(LEFT(VLOOKUP($B694,'Round 6'!$B$2:$H$361,7,false),1)="B","L","")),if(LEFT(VLOOKUP($B694,'Round 6'!$F$2:$H$361,3,false),1)="b","W",if(LEFT(VLOOKUP($B694,'Round 6'!$F$2:$H$361,3,false),1)="a","L","")))</f>
        <v>W</v>
      </c>
      <c r="J694" s="67" t="str">
        <f>iferror(iferror(if(LEFT(VLOOKUP($B694,'Round 7'!$B$2:$H$361,7,false),1)="A","W",if(LEFT(VLOOKUP($B694,'Round 7'!$B$2:$H$361,7,false),1)="B","L","")),if(LEFT(VLOOKUP($B694,'Round 7'!$F$2:$H$361,3,false),1)="b","W",if(LEFT(VLOOKUP($B694,'Round 7'!$F$2:$H$361,3,false),1)="a","L",""))),"")</f>
        <v>L</v>
      </c>
      <c r="K694" s="68" t="str">
        <f>iferror(iferror(if(LEFT(VLOOKUP($B694,'Round 8'!$B$2:$H$361,7,false),1)="A","W",if(LEFT(VLOOKUP($B694,'Round 8'!$B$2:$H$361,7,false),1)="B","L","")),if(LEFT(VLOOKUP($B694,'Round 8'!$F$2:$H$361,3,false),1)="b","W",if(LEFT(VLOOKUP($B694,'Round 8'!$F$2:$H$361,3,false),1)="a","L",""))),"")</f>
        <v>L</v>
      </c>
      <c r="L694" s="68" t="str">
        <f>iferror(iferror(if(LEFT(VLOOKUP($B694,'Round 9'!$B$2:$H$361,7,false),1)="A","W",if(LEFT(VLOOKUP($B694,'Round 9'!$B$2:$H$361,7,false),1)="B","L","")),if(LEFT(VLOOKUP($B694,'Round 9'!$F$2:$H$361,3,false),1)="b","W",if(LEFT(VLOOKUP($B694,'Round 9'!$F$2:$H$361,3,false),1)="a","L",""))),"")</f>
        <v/>
      </c>
      <c r="M694" s="68" t="str">
        <f>iferror(iferror(if(LEFT(VLOOKUP($B694,'Round 10'!$B$2:$H$362,7,false),1)="A","W",if(LEFT(VLOOKUP($B694,'Round 10'!$B$2:$H$362,7,false),1)="B","L","")),if(LEFT(VLOOKUP($B694,'Round 10'!$F$2:$H$362,3,false),1)="b","W",if(LEFT(VLOOKUP($B694,'Round 10'!$F$2:$H$362,3,false),1)="a","L",""))),"")</f>
        <v/>
      </c>
      <c r="N694" s="62" t="s">
        <v>1434</v>
      </c>
    </row>
    <row r="695">
      <c r="A695" s="63">
        <v>694.0</v>
      </c>
      <c r="B695" s="64" t="s">
        <v>1435</v>
      </c>
      <c r="C695" s="65" t="str">
        <f t="shared" si="1"/>
        <v>4 - 3</v>
      </c>
      <c r="D695" s="67" t="str">
        <f>iferror(if(LEFT(VLOOKUP($B695,'Round 1'!$B$2:$H$361,7,false),1)="A","W",if(LEFT(VLOOKUP($B695,'Round 1'!$B$2:$H$361,7,false),1)="B","L","")),if(LEFT(VLOOKUP($B695,'Round 1'!$F$2:$H$361,3,false),1)="b","W",if(LEFT(VLOOKUP($B695,'Round 1'!$F$2:$H$361,3,false),1)="a","L","")))</f>
        <v>L</v>
      </c>
      <c r="E695" s="67" t="str">
        <f>iferror(if(LEFT(VLOOKUP($B695,'Round 2'!$C$2:$J$361,8,false),1)="A","W",if(LEFT(VLOOKUP($B695,'Round 2'!$C$2:$J$361,8,false),1)="B","L","")),if(LEFT(VLOOKUP($B695,'Round 2'!$G$2:$J$361,4,false),1)="b","W",if(LEFT(VLOOKUP($B695,'Round 2'!$G$2:$J$361,4,false),1)="a","L","")))</f>
        <v>L</v>
      </c>
      <c r="F695" s="67" t="str">
        <f>iferror(if(LEFT(VLOOKUP($B695,'Round 3'!$B$2:$H$361,7,false),1)="A","W",if(LEFT(VLOOKUP($B695,'Round 3'!$B$2:$H$361,7,false),1)="B","L","")),if(LEFT(VLOOKUP($B695,'Round 3'!$F$2:$H$361,3,false),1)="b","W",if(LEFT(VLOOKUP($B695,'Round 3'!$F$2:$H$361,3,false),1)="a","L","")))</f>
        <v>W</v>
      </c>
      <c r="G695" s="67" t="str">
        <f>iferror(if(LEFT(VLOOKUP($B695,'Round 4'!$B$2:$H$361,7,false),1)="A","W",if(LEFT(VLOOKUP($B695,'Round 4'!$B$2:$H$361,7,false),1)="B","L","")),if(LEFT(VLOOKUP($B695,'Round 4'!$F$2:$H$361,3,false),1)="b","W",if(LEFT(VLOOKUP($B695,'Round 4'!$F$2:$H$361,3,false),1)="a","L","")))</f>
        <v>W</v>
      </c>
      <c r="H695" s="67" t="str">
        <f>iferror(if(LEFT(VLOOKUP($B695,'Round 5'!$B$2:$H$361,7,false),1)="A","W",if(LEFT(VLOOKUP($B695,'Round 5'!$B$2:$H$361,7,false),1)="B","L","")),if(LEFT(VLOOKUP($B695,'Round 5'!$F$2:$H$361,3,false),1)="b","W",if(LEFT(VLOOKUP($B695,'Round 5'!$F$2:$H$361,3,false),1)="a","L","")))</f>
        <v>W</v>
      </c>
      <c r="I695" s="67" t="str">
        <f>iferror(if(LEFT(VLOOKUP($B695,'Round 6'!$B$2:$H$361,7,false),1)="A","W",if(LEFT(VLOOKUP($B695,'Round 6'!$B$2:$H$361,7,false),1)="B","L","")),if(LEFT(VLOOKUP($B695,'Round 6'!$F$2:$H$361,3,false),1)="b","W",if(LEFT(VLOOKUP($B695,'Round 6'!$F$2:$H$361,3,false),1)="a","L","")))</f>
        <v>W</v>
      </c>
      <c r="J695" s="67" t="str">
        <f>iferror(iferror(if(LEFT(VLOOKUP($B695,'Round 7'!$B$2:$H$361,7,false),1)="A","W",if(LEFT(VLOOKUP($B695,'Round 7'!$B$2:$H$361,7,false),1)="B","L","")),if(LEFT(VLOOKUP($B695,'Round 7'!$F$2:$H$361,3,false),1)="b","W",if(LEFT(VLOOKUP($B695,'Round 7'!$F$2:$H$361,3,false),1)="a","L",""))),"")</f>
        <v>L</v>
      </c>
      <c r="K695" s="68" t="str">
        <f>iferror(iferror(if(LEFT(VLOOKUP($B695,'Round 8'!$B$2:$H$361,7,false),1)="A","W",if(LEFT(VLOOKUP($B695,'Round 8'!$B$2:$H$361,7,false),1)="B","L","")),if(LEFT(VLOOKUP($B695,'Round 8'!$F$2:$H$361,3,false),1)="b","W",if(LEFT(VLOOKUP($B695,'Round 8'!$F$2:$H$361,3,false),1)="a","L",""))),"")</f>
        <v/>
      </c>
      <c r="L695" s="68" t="str">
        <f>iferror(iferror(if(LEFT(VLOOKUP($B695,'Round 9'!$B$2:$H$361,7,false),1)="A","W",if(LEFT(VLOOKUP($B695,'Round 9'!$B$2:$H$361,7,false),1)="B","L","")),if(LEFT(VLOOKUP($B695,'Round 9'!$F$2:$H$361,3,false),1)="b","W",if(LEFT(VLOOKUP($B695,'Round 9'!$F$2:$H$361,3,false),1)="a","L",""))),"")</f>
        <v/>
      </c>
      <c r="M695" s="68" t="str">
        <f>iferror(iferror(if(LEFT(VLOOKUP($B695,'Round 10'!$B$2:$H$362,7,false),1)="A","W",if(LEFT(VLOOKUP($B695,'Round 10'!$B$2:$H$362,7,false),1)="B","L","")),if(LEFT(VLOOKUP($B695,'Round 10'!$F$2:$H$362,3,false),1)="b","W",if(LEFT(VLOOKUP($B695,'Round 10'!$F$2:$H$362,3,false),1)="a","L",""))),"")</f>
        <v/>
      </c>
      <c r="N695" s="62" t="s">
        <v>1436</v>
      </c>
    </row>
    <row r="696">
      <c r="A696" s="63">
        <v>695.0</v>
      </c>
      <c r="B696" s="64" t="s">
        <v>1437</v>
      </c>
      <c r="C696" s="65" t="str">
        <f t="shared" si="1"/>
        <v>5 - 3</v>
      </c>
      <c r="D696" s="67" t="str">
        <f>iferror(if(LEFT(VLOOKUP($B696,'Round 1'!$B$2:$H$361,7,false),1)="A","W",if(LEFT(VLOOKUP($B696,'Round 1'!$B$2:$H$361,7,false),1)="B","L","")),if(LEFT(VLOOKUP($B696,'Round 1'!$F$2:$H$361,3,false),1)="b","W",if(LEFT(VLOOKUP($B696,'Round 1'!$F$2:$H$361,3,false),1)="a","L","")))</f>
        <v>L</v>
      </c>
      <c r="E696" s="67" t="str">
        <f>iferror(if(LEFT(VLOOKUP($B696,'Round 2'!$C$2:$J$361,8,false),1)="A","W",if(LEFT(VLOOKUP($B696,'Round 2'!$C$2:$J$361,8,false),1)="B","L","")),if(LEFT(VLOOKUP($B696,'Round 2'!$G$2:$J$361,4,false),1)="b","W",if(LEFT(VLOOKUP($B696,'Round 2'!$G$2:$J$361,4,false),1)="a","L","")))</f>
        <v>W</v>
      </c>
      <c r="F696" s="67" t="str">
        <f>iferror(if(LEFT(VLOOKUP($B696,'Round 3'!$B$2:$H$361,7,false),1)="A","W",if(LEFT(VLOOKUP($B696,'Round 3'!$B$2:$H$361,7,false),1)="B","L","")),if(LEFT(VLOOKUP($B696,'Round 3'!$F$2:$H$361,3,false),1)="b","W",if(LEFT(VLOOKUP($B696,'Round 3'!$F$2:$H$361,3,false),1)="a","L","")))</f>
        <v>W</v>
      </c>
      <c r="G696" s="67" t="str">
        <f>iferror(if(LEFT(VLOOKUP($B696,'Round 4'!$B$2:$H$361,7,false),1)="A","W",if(LEFT(VLOOKUP($B696,'Round 4'!$B$2:$H$361,7,false),1)="B","L","")),if(LEFT(VLOOKUP($B696,'Round 4'!$F$2:$H$361,3,false),1)="b","W",if(LEFT(VLOOKUP($B696,'Round 4'!$F$2:$H$361,3,false),1)="a","L","")))</f>
        <v>W</v>
      </c>
      <c r="H696" s="67" t="str">
        <f>iferror(if(LEFT(VLOOKUP($B696,'Round 5'!$B$2:$H$361,7,false),1)="A","W",if(LEFT(VLOOKUP($B696,'Round 5'!$B$2:$H$361,7,false),1)="B","L","")),if(LEFT(VLOOKUP($B696,'Round 5'!$F$2:$H$361,3,false),1)="b","W",if(LEFT(VLOOKUP($B696,'Round 5'!$F$2:$H$361,3,false),1)="a","L","")))</f>
        <v>W</v>
      </c>
      <c r="I696" s="67" t="str">
        <f>iferror(if(LEFT(VLOOKUP($B696,'Round 6'!$B$2:$H$361,7,false),1)="A","W",if(LEFT(VLOOKUP($B696,'Round 6'!$B$2:$H$361,7,false),1)="B","L","")),if(LEFT(VLOOKUP($B696,'Round 6'!$F$2:$H$361,3,false),1)="b","W",if(LEFT(VLOOKUP($B696,'Round 6'!$F$2:$H$361,3,false),1)="a","L","")))</f>
        <v>W</v>
      </c>
      <c r="J696" s="67" t="str">
        <f>iferror(iferror(if(LEFT(VLOOKUP($B696,'Round 7'!$B$2:$H$361,7,false),1)="A","W",if(LEFT(VLOOKUP($B696,'Round 7'!$B$2:$H$361,7,false),1)="B","L","")),if(LEFT(VLOOKUP($B696,'Round 7'!$F$2:$H$361,3,false),1)="b","W",if(LEFT(VLOOKUP($B696,'Round 7'!$F$2:$H$361,3,false),1)="a","L",""))),"")</f>
        <v>L</v>
      </c>
      <c r="K696" s="68" t="str">
        <f>iferror(iferror(if(LEFT(VLOOKUP($B696,'Round 8'!$B$2:$H$361,7,false),1)="A","W",if(LEFT(VLOOKUP($B696,'Round 8'!$B$2:$H$361,7,false),1)="B","L","")),if(LEFT(VLOOKUP($B696,'Round 8'!$F$2:$H$361,3,false),1)="b","W",if(LEFT(VLOOKUP($B696,'Round 8'!$F$2:$H$361,3,false),1)="a","L",""))),"")</f>
        <v>L</v>
      </c>
      <c r="L696" s="68" t="str">
        <f>iferror(iferror(if(LEFT(VLOOKUP($B696,'Round 9'!$B$2:$H$361,7,false),1)="A","W",if(LEFT(VLOOKUP($B696,'Round 9'!$B$2:$H$361,7,false),1)="B","L","")),if(LEFT(VLOOKUP($B696,'Round 9'!$F$2:$H$361,3,false),1)="b","W",if(LEFT(VLOOKUP($B696,'Round 9'!$F$2:$H$361,3,false),1)="a","L",""))),"")</f>
        <v/>
      </c>
      <c r="M696" s="68" t="str">
        <f>iferror(iferror(if(LEFT(VLOOKUP($B696,'Round 10'!$B$2:$H$362,7,false),1)="A","W",if(LEFT(VLOOKUP($B696,'Round 10'!$B$2:$H$362,7,false),1)="B","L","")),if(LEFT(VLOOKUP($B696,'Round 10'!$F$2:$H$362,3,false),1)="b","W",if(LEFT(VLOOKUP($B696,'Round 10'!$F$2:$H$362,3,false),1)="a","L",""))),"")</f>
        <v/>
      </c>
      <c r="N696" s="62" t="s">
        <v>1438</v>
      </c>
    </row>
    <row r="697">
      <c r="A697" s="63">
        <v>696.0</v>
      </c>
      <c r="B697" s="64" t="s">
        <v>1439</v>
      </c>
      <c r="C697" s="65" t="str">
        <f t="shared" si="1"/>
        <v>5 - 3</v>
      </c>
      <c r="D697" s="67" t="str">
        <f>iferror(if(LEFT(VLOOKUP($B697,'Round 1'!$B$2:$H$361,7,false),1)="A","W",if(LEFT(VLOOKUP($B697,'Round 1'!$B$2:$H$361,7,false),1)="B","L","")),if(LEFT(VLOOKUP($B697,'Round 1'!$F$2:$H$361,3,false),1)="b","W",if(LEFT(VLOOKUP($B697,'Round 1'!$F$2:$H$361,3,false),1)="a","L","")))</f>
        <v>L</v>
      </c>
      <c r="E697" s="67" t="str">
        <f>iferror(if(LEFT(VLOOKUP($B697,'Round 2'!$C$2:$J$361,8,false),1)="A","W",if(LEFT(VLOOKUP($B697,'Round 2'!$C$2:$J$361,8,false),1)="B","L","")),if(LEFT(VLOOKUP($B697,'Round 2'!$G$2:$J$361,4,false),1)="b","W",if(LEFT(VLOOKUP($B697,'Round 2'!$G$2:$J$361,4,false),1)="a","L","")))</f>
        <v>W</v>
      </c>
      <c r="F697" s="67" t="str">
        <f>iferror(if(LEFT(VLOOKUP($B697,'Round 3'!$B$2:$H$361,7,false),1)="A","W",if(LEFT(VLOOKUP($B697,'Round 3'!$B$2:$H$361,7,false),1)="B","L","")),if(LEFT(VLOOKUP($B697,'Round 3'!$F$2:$H$361,3,false),1)="b","W",if(LEFT(VLOOKUP($B697,'Round 3'!$F$2:$H$361,3,false),1)="a","L","")))</f>
        <v>W</v>
      </c>
      <c r="G697" s="67" t="str">
        <f>iferror(if(LEFT(VLOOKUP($B697,'Round 4'!$B$2:$H$361,7,false),1)="A","W",if(LEFT(VLOOKUP($B697,'Round 4'!$B$2:$H$361,7,false),1)="B","L","")),if(LEFT(VLOOKUP($B697,'Round 4'!$F$2:$H$361,3,false),1)="b","W",if(LEFT(VLOOKUP($B697,'Round 4'!$F$2:$H$361,3,false),1)="a","L","")))</f>
        <v>L</v>
      </c>
      <c r="H697" s="67" t="str">
        <f>iferror(if(LEFT(VLOOKUP($B697,'Round 5'!$B$2:$H$361,7,false),1)="A","W",if(LEFT(VLOOKUP($B697,'Round 5'!$B$2:$H$361,7,false),1)="B","L","")),if(LEFT(VLOOKUP($B697,'Round 5'!$F$2:$H$361,3,false),1)="b","W",if(LEFT(VLOOKUP($B697,'Round 5'!$F$2:$H$361,3,false),1)="a","L","")))</f>
        <v>W</v>
      </c>
      <c r="I697" s="67" t="str">
        <f>iferror(if(LEFT(VLOOKUP($B697,'Round 6'!$B$2:$H$361,7,false),1)="A","W",if(LEFT(VLOOKUP($B697,'Round 6'!$B$2:$H$361,7,false),1)="B","L","")),if(LEFT(VLOOKUP($B697,'Round 6'!$F$2:$H$361,3,false),1)="b","W",if(LEFT(VLOOKUP($B697,'Round 6'!$F$2:$H$361,3,false),1)="a","L","")))</f>
        <v>W</v>
      </c>
      <c r="J697" s="67" t="str">
        <f>iferror(iferror(if(LEFT(VLOOKUP($B697,'Round 7'!$B$2:$H$361,7,false),1)="A","W",if(LEFT(VLOOKUP($B697,'Round 7'!$B$2:$H$361,7,false),1)="B","L","")),if(LEFT(VLOOKUP($B697,'Round 7'!$F$2:$H$361,3,false),1)="b","W",if(LEFT(VLOOKUP($B697,'Round 7'!$F$2:$H$361,3,false),1)="a","L",""))),"")</f>
        <v>W</v>
      </c>
      <c r="K697" s="68" t="str">
        <f>iferror(iferror(if(LEFT(VLOOKUP($B697,'Round 8'!$B$2:$H$361,7,false),1)="A","W",if(LEFT(VLOOKUP($B697,'Round 8'!$B$2:$H$361,7,false),1)="B","L","")),if(LEFT(VLOOKUP($B697,'Round 8'!$F$2:$H$361,3,false),1)="b","W",if(LEFT(VLOOKUP($B697,'Round 8'!$F$2:$H$361,3,false),1)="a","L",""))),"")</f>
        <v>L</v>
      </c>
      <c r="L697" s="68" t="str">
        <f>iferror(iferror(if(LEFT(VLOOKUP($B697,'Round 9'!$B$2:$H$361,7,false),1)="A","W",if(LEFT(VLOOKUP($B697,'Round 9'!$B$2:$H$361,7,false),1)="B","L","")),if(LEFT(VLOOKUP($B697,'Round 9'!$F$2:$H$361,3,false),1)="b","W",if(LEFT(VLOOKUP($B697,'Round 9'!$F$2:$H$361,3,false),1)="a","L",""))),"")</f>
        <v/>
      </c>
      <c r="M697" s="68" t="str">
        <f>iferror(iferror(if(LEFT(VLOOKUP($B697,'Round 10'!$B$2:$H$362,7,false),1)="A","W",if(LEFT(VLOOKUP($B697,'Round 10'!$B$2:$H$362,7,false),1)="B","L","")),if(LEFT(VLOOKUP($B697,'Round 10'!$F$2:$H$362,3,false),1)="b","W",if(LEFT(VLOOKUP($B697,'Round 10'!$F$2:$H$362,3,false),1)="a","L",""))),"")</f>
        <v/>
      </c>
      <c r="N697" s="62" t="s">
        <v>1440</v>
      </c>
    </row>
    <row r="698">
      <c r="A698" s="63">
        <v>697.0</v>
      </c>
      <c r="B698" s="64" t="s">
        <v>1441</v>
      </c>
      <c r="C698" s="65" t="str">
        <f t="shared" si="1"/>
        <v>2 - 3</v>
      </c>
      <c r="D698" s="67" t="str">
        <f>iferror(if(LEFT(VLOOKUP($B698,'Round 1'!$B$2:$H$361,7,false),1)="A","W",if(LEFT(VLOOKUP($B698,'Round 1'!$B$2:$H$361,7,false),1)="B","L","")),if(LEFT(VLOOKUP($B698,'Round 1'!$F$2:$H$361,3,false),1)="b","W",if(LEFT(VLOOKUP($B698,'Round 1'!$F$2:$H$361,3,false),1)="a","L","")))</f>
        <v>L</v>
      </c>
      <c r="E698" s="67" t="str">
        <f>iferror(if(LEFT(VLOOKUP($B698,'Round 2'!$C$2:$J$361,8,false),1)="A","W",if(LEFT(VLOOKUP($B698,'Round 2'!$C$2:$J$361,8,false),1)="B","L","")),if(LEFT(VLOOKUP($B698,'Round 2'!$G$2:$J$361,4,false),1)="b","W",if(LEFT(VLOOKUP($B698,'Round 2'!$G$2:$J$361,4,false),1)="a","L","")))</f>
        <v>L</v>
      </c>
      <c r="F698" s="67" t="str">
        <f>iferror(if(LEFT(VLOOKUP($B698,'Round 3'!$B$2:$H$361,7,false),1)="A","W",if(LEFT(VLOOKUP($B698,'Round 3'!$B$2:$H$361,7,false),1)="B","L","")),if(LEFT(VLOOKUP($B698,'Round 3'!$F$2:$H$361,3,false),1)="b","W",if(LEFT(VLOOKUP($B698,'Round 3'!$F$2:$H$361,3,false),1)="a","L","")))</f>
        <v>W</v>
      </c>
      <c r="G698" s="67" t="str">
        <f>iferror(if(LEFT(VLOOKUP($B698,'Round 4'!$B$2:$H$361,7,false),1)="A","W",if(LEFT(VLOOKUP($B698,'Round 4'!$B$2:$H$361,7,false),1)="B","L","")),if(LEFT(VLOOKUP($B698,'Round 4'!$F$2:$H$361,3,false),1)="b","W",if(LEFT(VLOOKUP($B698,'Round 4'!$F$2:$H$361,3,false),1)="a","L","")))</f>
        <v>W</v>
      </c>
      <c r="H698" s="67" t="str">
        <f>iferror(if(LEFT(VLOOKUP($B698,'Round 5'!$B$2:$H$361,7,false),1)="A","W",if(LEFT(VLOOKUP($B698,'Round 5'!$B$2:$H$361,7,false),1)="B","L","")),if(LEFT(VLOOKUP($B698,'Round 5'!$F$2:$H$361,3,false),1)="b","W",if(LEFT(VLOOKUP($B698,'Round 5'!$F$2:$H$361,3,false),1)="a","L","")))</f>
        <v>L</v>
      </c>
      <c r="I698" s="67"/>
      <c r="J698" s="67" t="str">
        <f>iferror(iferror(if(LEFT(VLOOKUP($B698,'Round 7'!$B$2:$H$361,7,false),1)="A","W",if(LEFT(VLOOKUP($B698,'Round 7'!$B$2:$H$361,7,false),1)="B","L","")),if(LEFT(VLOOKUP($B698,'Round 7'!$F$2:$H$361,3,false),1)="b","W",if(LEFT(VLOOKUP($B698,'Round 7'!$F$2:$H$361,3,false),1)="a","L",""))),"")</f>
        <v/>
      </c>
      <c r="K698" s="68" t="str">
        <f>iferror(iferror(if(LEFT(VLOOKUP($B698,'Round 8'!$B$2:$H$361,7,false),1)="A","W",if(LEFT(VLOOKUP($B698,'Round 8'!$B$2:$H$361,7,false),1)="B","L","")),if(LEFT(VLOOKUP($B698,'Round 8'!$F$2:$H$361,3,false),1)="b","W",if(LEFT(VLOOKUP($B698,'Round 8'!$F$2:$H$361,3,false),1)="a","L",""))),"")</f>
        <v/>
      </c>
      <c r="L698" s="68" t="str">
        <f>iferror(iferror(if(LEFT(VLOOKUP($B698,'Round 9'!$B$2:$H$361,7,false),1)="A","W",if(LEFT(VLOOKUP($B698,'Round 9'!$B$2:$H$361,7,false),1)="B","L","")),if(LEFT(VLOOKUP($B698,'Round 9'!$F$2:$H$361,3,false),1)="b","W",if(LEFT(VLOOKUP($B698,'Round 9'!$F$2:$H$361,3,false),1)="a","L",""))),"")</f>
        <v/>
      </c>
      <c r="M698" s="68" t="str">
        <f>iferror(iferror(if(LEFT(VLOOKUP($B698,'Round 10'!$B$2:$H$362,7,false),1)="A","W",if(LEFT(VLOOKUP($B698,'Round 10'!$B$2:$H$362,7,false),1)="B","L","")),if(LEFT(VLOOKUP($B698,'Round 10'!$F$2:$H$362,3,false),1)="b","W",if(LEFT(VLOOKUP($B698,'Round 10'!$F$2:$H$362,3,false),1)="a","L",""))),"")</f>
        <v/>
      </c>
      <c r="N698" s="62" t="s">
        <v>1442</v>
      </c>
    </row>
    <row r="699">
      <c r="A699" s="63">
        <v>698.0</v>
      </c>
      <c r="B699" s="64" t="s">
        <v>1443</v>
      </c>
      <c r="C699" s="65" t="str">
        <f t="shared" si="1"/>
        <v>7 - 2</v>
      </c>
      <c r="D699" s="67" t="str">
        <f>iferror(if(LEFT(VLOOKUP($B699,'Round 1'!$B$2:$H$361,7,false),1)="A","W",if(LEFT(VLOOKUP($B699,'Round 1'!$B$2:$H$361,7,false),1)="B","L","")),if(LEFT(VLOOKUP($B699,'Round 1'!$F$2:$H$361,3,false),1)="b","W",if(LEFT(VLOOKUP($B699,'Round 1'!$F$2:$H$361,3,false),1)="a","L","")))</f>
        <v>W</v>
      </c>
      <c r="E699" s="67" t="str">
        <f>iferror(if(LEFT(VLOOKUP($B699,'Round 2'!$C$2:$J$361,8,false),1)="A","W",if(LEFT(VLOOKUP($B699,'Round 2'!$C$2:$J$361,8,false),1)="B","L","")),if(LEFT(VLOOKUP($B699,'Round 2'!$G$2:$J$361,4,false),1)="b","W",if(LEFT(VLOOKUP($B699,'Round 2'!$G$2:$J$361,4,false),1)="a","L","")))</f>
        <v>W</v>
      </c>
      <c r="F699" s="67" t="str">
        <f>iferror(if(LEFT(VLOOKUP($B699,'Round 3'!$B$2:$H$361,7,false),1)="A","W",if(LEFT(VLOOKUP($B699,'Round 3'!$B$2:$H$361,7,false),1)="B","L","")),if(LEFT(VLOOKUP($B699,'Round 3'!$F$2:$H$361,3,false),1)="b","W",if(LEFT(VLOOKUP($B699,'Round 3'!$F$2:$H$361,3,false),1)="a","L","")))</f>
        <v>L</v>
      </c>
      <c r="G699" s="67" t="str">
        <f>iferror(if(LEFT(VLOOKUP($B699,'Round 4'!$B$2:$H$361,7,false),1)="A","W",if(LEFT(VLOOKUP($B699,'Round 4'!$B$2:$H$361,7,false),1)="B","L","")),if(LEFT(VLOOKUP($B699,'Round 4'!$F$2:$H$361,3,false),1)="b","W",if(LEFT(VLOOKUP($B699,'Round 4'!$F$2:$H$361,3,false),1)="a","L","")))</f>
        <v>L</v>
      </c>
      <c r="H699" s="67" t="str">
        <f>iferror(if(LEFT(VLOOKUP($B699,'Round 5'!$B$2:$H$361,7,false),1)="A","W",if(LEFT(VLOOKUP($B699,'Round 5'!$B$2:$H$361,7,false),1)="B","L","")),if(LEFT(VLOOKUP($B699,'Round 5'!$F$2:$H$361,3,false),1)="b","W",if(LEFT(VLOOKUP($B699,'Round 5'!$F$2:$H$361,3,false),1)="a","L","")))</f>
        <v>W</v>
      </c>
      <c r="I699" s="67" t="str">
        <f>iferror(if(LEFT(VLOOKUP($B699,'Round 6'!$B$2:$H$361,7,false),1)="A","W",if(LEFT(VLOOKUP($B699,'Round 6'!$B$2:$H$361,7,false),1)="B","L","")),if(LEFT(VLOOKUP($B699,'Round 6'!$F$2:$H$361,3,false),1)="b","W",if(LEFT(VLOOKUP($B699,'Round 6'!$F$2:$H$361,3,false),1)="a","L","")))</f>
        <v>W</v>
      </c>
      <c r="J699" s="67" t="str">
        <f>iferror(iferror(if(LEFT(VLOOKUP($B699,'Round 7'!$B$2:$H$361,7,false),1)="A","W",if(LEFT(VLOOKUP($B699,'Round 7'!$B$2:$H$361,7,false),1)="B","L","")),if(LEFT(VLOOKUP($B699,'Round 7'!$F$2:$H$361,3,false),1)="b","W",if(LEFT(VLOOKUP($B699,'Round 7'!$F$2:$H$361,3,false),1)="a","L",""))),"")</f>
        <v>W</v>
      </c>
      <c r="K699" s="68" t="str">
        <f>iferror(iferror(if(LEFT(VLOOKUP($B699,'Round 8'!$B$2:$H$361,7,false),1)="A","W",if(LEFT(VLOOKUP($B699,'Round 8'!$B$2:$H$361,7,false),1)="B","L","")),if(LEFT(VLOOKUP($B699,'Round 8'!$F$2:$H$361,3,false),1)="b","W",if(LEFT(VLOOKUP($B699,'Round 8'!$F$2:$H$361,3,false),1)="a","L",""))),"")</f>
        <v>W</v>
      </c>
      <c r="L699" s="68" t="str">
        <f>iferror(iferror(if(LEFT(VLOOKUP($B699,'Round 9'!$B$2:$H$361,7,false),1)="A","W",if(LEFT(VLOOKUP($B699,'Round 9'!$B$2:$H$361,7,false),1)="B","L","")),if(LEFT(VLOOKUP($B699,'Round 9'!$F$2:$H$361,3,false),1)="b","W",if(LEFT(VLOOKUP($B699,'Round 9'!$F$2:$H$361,3,false),1)="a","L",""))),"")</f>
        <v>W</v>
      </c>
      <c r="M699" s="68" t="str">
        <f>iferror(iferror(if(LEFT(VLOOKUP($B699,'Round 10'!$B$2:$H$362,7,false),1)="A","W",if(LEFT(VLOOKUP($B699,'Round 10'!$B$2:$H$362,7,false),1)="B","L","")),if(LEFT(VLOOKUP($B699,'Round 10'!$F$2:$H$362,3,false),1)="b","W",if(LEFT(VLOOKUP($B699,'Round 10'!$F$2:$H$362,3,false),1)="a","L",""))),"")</f>
        <v/>
      </c>
      <c r="N699" s="62" t="s">
        <v>1444</v>
      </c>
    </row>
    <row r="700">
      <c r="A700" s="63">
        <v>699.0</v>
      </c>
      <c r="B700" s="64" t="s">
        <v>1445</v>
      </c>
      <c r="C700" s="65" t="str">
        <f t="shared" si="1"/>
        <v>0 - 3</v>
      </c>
      <c r="D700" s="67" t="str">
        <f>iferror(if(LEFT(VLOOKUP($B700,'Round 1'!$B$2:$H$361,7,false),1)="A","W",if(LEFT(VLOOKUP($B700,'Round 1'!$B$2:$H$361,7,false),1)="B","L","")),if(LEFT(VLOOKUP($B700,'Round 1'!$F$2:$H$361,3,false),1)="b","W",if(LEFT(VLOOKUP($B700,'Round 1'!$F$2:$H$361,3,false),1)="a","L","")))</f>
        <v>L</v>
      </c>
      <c r="E700" s="67" t="str">
        <f>iferror(if(LEFT(VLOOKUP($B700,'Round 2'!$C$2:$J$361,8,false),1)="A","W",if(LEFT(VLOOKUP($B700,'Round 2'!$C$2:$J$361,8,false),1)="B","L","")),if(LEFT(VLOOKUP($B700,'Round 2'!$G$2:$J$361,4,false),1)="b","W",if(LEFT(VLOOKUP($B700,'Round 2'!$G$2:$J$361,4,false),1)="a","L","")))</f>
        <v>L</v>
      </c>
      <c r="F700" s="67" t="str">
        <f>iferror(if(LEFT(VLOOKUP($B700,'Round 3'!$B$2:$H$361,7,false),1)="A","W",if(LEFT(VLOOKUP($B700,'Round 3'!$B$2:$H$361,7,false),1)="B","L","")),if(LEFT(VLOOKUP($B700,'Round 3'!$F$2:$H$361,3,false),1)="b","W",if(LEFT(VLOOKUP($B700,'Round 3'!$F$2:$H$361,3,false),1)="a","L","")))</f>
        <v>L</v>
      </c>
      <c r="G700" s="67"/>
      <c r="H700" s="67"/>
      <c r="I700" s="67"/>
      <c r="J700" s="67" t="str">
        <f>iferror(iferror(if(LEFT(VLOOKUP($B700,'Round 7'!$B$2:$H$361,7,false),1)="A","W",if(LEFT(VLOOKUP($B700,'Round 7'!$B$2:$H$361,7,false),1)="B","L","")),if(LEFT(VLOOKUP($B700,'Round 7'!$F$2:$H$361,3,false),1)="b","W",if(LEFT(VLOOKUP($B700,'Round 7'!$F$2:$H$361,3,false),1)="a","L",""))),"")</f>
        <v/>
      </c>
      <c r="K700" s="68" t="str">
        <f>iferror(iferror(if(LEFT(VLOOKUP($B700,'Round 8'!$B$2:$H$361,7,false),1)="A","W",if(LEFT(VLOOKUP($B700,'Round 8'!$B$2:$H$361,7,false),1)="B","L","")),if(LEFT(VLOOKUP($B700,'Round 8'!$F$2:$H$361,3,false),1)="b","W",if(LEFT(VLOOKUP($B700,'Round 8'!$F$2:$H$361,3,false),1)="a","L",""))),"")</f>
        <v/>
      </c>
      <c r="L700" s="68" t="str">
        <f>iferror(iferror(if(LEFT(VLOOKUP($B700,'Round 9'!$B$2:$H$361,7,false),1)="A","W",if(LEFT(VLOOKUP($B700,'Round 9'!$B$2:$H$361,7,false),1)="B","L","")),if(LEFT(VLOOKUP($B700,'Round 9'!$F$2:$H$361,3,false),1)="b","W",if(LEFT(VLOOKUP($B700,'Round 9'!$F$2:$H$361,3,false),1)="a","L",""))),"")</f>
        <v/>
      </c>
      <c r="M700" s="68" t="str">
        <f>iferror(iferror(if(LEFT(VLOOKUP($B700,'Round 10'!$B$2:$H$362,7,false),1)="A","W",if(LEFT(VLOOKUP($B700,'Round 10'!$B$2:$H$362,7,false),1)="B","L","")),if(LEFT(VLOOKUP($B700,'Round 10'!$F$2:$H$362,3,false),1)="b","W",if(LEFT(VLOOKUP($B700,'Round 10'!$F$2:$H$362,3,false),1)="a","L",""))),"")</f>
        <v/>
      </c>
      <c r="N700" s="62" t="s">
        <v>1446</v>
      </c>
    </row>
    <row r="701">
      <c r="A701" s="63">
        <v>700.0</v>
      </c>
      <c r="B701" s="64" t="s">
        <v>1447</v>
      </c>
      <c r="C701" s="65" t="str">
        <f t="shared" si="1"/>
        <v>0 - 3</v>
      </c>
      <c r="D701" s="67" t="str">
        <f>iferror(if(LEFT(VLOOKUP($B701,'Round 1'!$B$2:$H$361,7,false),1)="A","W",if(LEFT(VLOOKUP($B701,'Round 1'!$B$2:$H$361,7,false),1)="B","L","")),if(LEFT(VLOOKUP($B701,'Round 1'!$F$2:$H$361,3,false),1)="b","W",if(LEFT(VLOOKUP($B701,'Round 1'!$F$2:$H$361,3,false),1)="a","L","")))</f>
        <v>L</v>
      </c>
      <c r="E701" s="67" t="str">
        <f>iferror(if(LEFT(VLOOKUP($B701,'Round 2'!$C$2:$J$361,8,false),1)="A","W",if(LEFT(VLOOKUP($B701,'Round 2'!$C$2:$J$361,8,false),1)="B","L","")),if(LEFT(VLOOKUP($B701,'Round 2'!$G$2:$J$361,4,false),1)="b","W",if(LEFT(VLOOKUP($B701,'Round 2'!$G$2:$J$361,4,false),1)="a","L","")))</f>
        <v>L</v>
      </c>
      <c r="F701" s="67" t="str">
        <f>iferror(if(LEFT(VLOOKUP($B701,'Round 3'!$B$2:$H$361,7,false),1)="A","W",if(LEFT(VLOOKUP($B701,'Round 3'!$B$2:$H$361,7,false),1)="B","L","")),if(LEFT(VLOOKUP($B701,'Round 3'!$F$2:$H$361,3,false),1)="b","W",if(LEFT(VLOOKUP($B701,'Round 3'!$F$2:$H$361,3,false),1)="a","L","")))</f>
        <v>L</v>
      </c>
      <c r="G701" s="67"/>
      <c r="H701" s="67"/>
      <c r="I701" s="67"/>
      <c r="J701" s="67" t="str">
        <f>iferror(iferror(if(LEFT(VLOOKUP($B701,'Round 7'!$B$2:$H$361,7,false),1)="A","W",if(LEFT(VLOOKUP($B701,'Round 7'!$B$2:$H$361,7,false),1)="B","L","")),if(LEFT(VLOOKUP($B701,'Round 7'!$F$2:$H$361,3,false),1)="b","W",if(LEFT(VLOOKUP($B701,'Round 7'!$F$2:$H$361,3,false),1)="a","L",""))),"")</f>
        <v/>
      </c>
      <c r="K701" s="68" t="str">
        <f>iferror(iferror(if(LEFT(VLOOKUP($B701,'Round 8'!$B$2:$H$361,7,false),1)="A","W",if(LEFT(VLOOKUP($B701,'Round 8'!$B$2:$H$361,7,false),1)="B","L","")),if(LEFT(VLOOKUP($B701,'Round 8'!$F$2:$H$361,3,false),1)="b","W",if(LEFT(VLOOKUP($B701,'Round 8'!$F$2:$H$361,3,false),1)="a","L",""))),"")</f>
        <v/>
      </c>
      <c r="L701" s="68" t="str">
        <f>iferror(iferror(if(LEFT(VLOOKUP($B701,'Round 9'!$B$2:$H$361,7,false),1)="A","W",if(LEFT(VLOOKUP($B701,'Round 9'!$B$2:$H$361,7,false),1)="B","L","")),if(LEFT(VLOOKUP($B701,'Round 9'!$F$2:$H$361,3,false),1)="b","W",if(LEFT(VLOOKUP($B701,'Round 9'!$F$2:$H$361,3,false),1)="a","L",""))),"")</f>
        <v/>
      </c>
      <c r="M701" s="68" t="str">
        <f>iferror(iferror(if(LEFT(VLOOKUP($B701,'Round 10'!$B$2:$H$362,7,false),1)="A","W",if(LEFT(VLOOKUP($B701,'Round 10'!$B$2:$H$362,7,false),1)="B","L","")),if(LEFT(VLOOKUP($B701,'Round 10'!$F$2:$H$362,3,false),1)="b","W",if(LEFT(VLOOKUP($B701,'Round 10'!$F$2:$H$362,3,false),1)="a","L",""))),"")</f>
        <v/>
      </c>
      <c r="N701" s="62" t="s">
        <v>1448</v>
      </c>
    </row>
    <row r="702">
      <c r="A702" s="63">
        <v>701.0</v>
      </c>
      <c r="B702" s="64" t="s">
        <v>1449</v>
      </c>
      <c r="C702" s="65" t="str">
        <f t="shared" si="1"/>
        <v>4 - 3</v>
      </c>
      <c r="D702" s="67" t="str">
        <f>iferror(if(LEFT(VLOOKUP($B702,'Round 1'!$B$2:$H$361,7,false),1)="A","W",if(LEFT(VLOOKUP($B702,'Round 1'!$B$2:$H$361,7,false),1)="B","L","")),if(LEFT(VLOOKUP($B702,'Round 1'!$F$2:$H$361,3,false),1)="b","W",if(LEFT(VLOOKUP($B702,'Round 1'!$F$2:$H$361,3,false),1)="a","L","")))</f>
        <v>W</v>
      </c>
      <c r="E702" s="67" t="str">
        <f>iferror(if(LEFT(VLOOKUP($B702,'Round 2'!$C$2:$J$361,8,false),1)="A","W",if(LEFT(VLOOKUP($B702,'Round 2'!$C$2:$J$361,8,false),1)="B","L","")),if(LEFT(VLOOKUP($B702,'Round 2'!$G$2:$J$361,4,false),1)="b","W",if(LEFT(VLOOKUP($B702,'Round 2'!$G$2:$J$361,4,false),1)="a","L","")))</f>
        <v>W</v>
      </c>
      <c r="F702" s="67" t="str">
        <f>iferror(if(LEFT(VLOOKUP($B702,'Round 3'!$B$2:$H$361,7,false),1)="A","W",if(LEFT(VLOOKUP($B702,'Round 3'!$B$2:$H$361,7,false),1)="B","L","")),if(LEFT(VLOOKUP($B702,'Round 3'!$F$2:$H$361,3,false),1)="b","W",if(LEFT(VLOOKUP($B702,'Round 3'!$F$2:$H$361,3,false),1)="a","L","")))</f>
        <v>W</v>
      </c>
      <c r="G702" s="67" t="str">
        <f>iferror(if(LEFT(VLOOKUP($B702,'Round 4'!$B$2:$H$361,7,false),1)="A","W",if(LEFT(VLOOKUP($B702,'Round 4'!$B$2:$H$361,7,false),1)="B","L","")),if(LEFT(VLOOKUP($B702,'Round 4'!$F$2:$H$361,3,false),1)="b","W",if(LEFT(VLOOKUP($B702,'Round 4'!$F$2:$H$361,3,false),1)="a","L","")))</f>
        <v>L</v>
      </c>
      <c r="H702" s="67" t="str">
        <f>iferror(if(LEFT(VLOOKUP($B702,'Round 5'!$B$2:$H$361,7,false),1)="A","W",if(LEFT(VLOOKUP($B702,'Round 5'!$B$2:$H$361,7,false),1)="B","L","")),if(LEFT(VLOOKUP($B702,'Round 5'!$F$2:$H$361,3,false),1)="b","W",if(LEFT(VLOOKUP($B702,'Round 5'!$F$2:$H$361,3,false),1)="a","L","")))</f>
        <v>W</v>
      </c>
      <c r="I702" s="67" t="str">
        <f>iferror(if(LEFT(VLOOKUP($B702,'Round 6'!$B$2:$H$361,7,false),1)="A","W",if(LEFT(VLOOKUP($B702,'Round 6'!$B$2:$H$361,7,false),1)="B","L","")),if(LEFT(VLOOKUP($B702,'Round 6'!$F$2:$H$361,3,false),1)="b","W",if(LEFT(VLOOKUP($B702,'Round 6'!$F$2:$H$361,3,false),1)="a","L","")))</f>
        <v>L</v>
      </c>
      <c r="J702" s="67" t="str">
        <f>iferror(iferror(if(LEFT(VLOOKUP($B702,'Round 7'!$B$2:$H$361,7,false),1)="A","W",if(LEFT(VLOOKUP($B702,'Round 7'!$B$2:$H$361,7,false),1)="B","L","")),if(LEFT(VLOOKUP($B702,'Round 7'!$F$2:$H$361,3,false),1)="b","W",if(LEFT(VLOOKUP($B702,'Round 7'!$F$2:$H$361,3,false),1)="a","L",""))),"")</f>
        <v>L</v>
      </c>
      <c r="K702" s="68" t="str">
        <f>iferror(iferror(if(LEFT(VLOOKUP($B702,'Round 8'!$B$2:$H$361,7,false),1)="A","W",if(LEFT(VLOOKUP($B702,'Round 8'!$B$2:$H$361,7,false),1)="B","L","")),if(LEFT(VLOOKUP($B702,'Round 8'!$F$2:$H$361,3,false),1)="b","W",if(LEFT(VLOOKUP($B702,'Round 8'!$F$2:$H$361,3,false),1)="a","L",""))),"")</f>
        <v/>
      </c>
      <c r="L702" s="68" t="str">
        <f>iferror(iferror(if(LEFT(VLOOKUP($B702,'Round 9'!$B$2:$H$361,7,false),1)="A","W",if(LEFT(VLOOKUP($B702,'Round 9'!$B$2:$H$361,7,false),1)="B","L","")),if(LEFT(VLOOKUP($B702,'Round 9'!$F$2:$H$361,3,false),1)="b","W",if(LEFT(VLOOKUP($B702,'Round 9'!$F$2:$H$361,3,false),1)="a","L",""))),"")</f>
        <v/>
      </c>
      <c r="M702" s="68" t="str">
        <f>iferror(iferror(if(LEFT(VLOOKUP($B702,'Round 10'!$B$2:$H$362,7,false),1)="A","W",if(LEFT(VLOOKUP($B702,'Round 10'!$B$2:$H$362,7,false),1)="B","L","")),if(LEFT(VLOOKUP($B702,'Round 10'!$F$2:$H$362,3,false),1)="b","W",if(LEFT(VLOOKUP($B702,'Round 10'!$F$2:$H$362,3,false),1)="a","L",""))),"")</f>
        <v/>
      </c>
      <c r="N702" s="62" t="s">
        <v>1450</v>
      </c>
    </row>
    <row r="703">
      <c r="A703" s="63">
        <v>702.0</v>
      </c>
      <c r="B703" s="64" t="s">
        <v>1451</v>
      </c>
      <c r="C703" s="65" t="str">
        <f t="shared" si="1"/>
        <v>1 - 3</v>
      </c>
      <c r="D703" s="67" t="str">
        <f>iferror(if(LEFT(VLOOKUP($B703,'Round 1'!$B$2:$H$361,7,false),1)="A","W",if(LEFT(VLOOKUP($B703,'Round 1'!$B$2:$H$361,7,false),1)="B","L","")),if(LEFT(VLOOKUP($B703,'Round 1'!$F$2:$H$361,3,false),1)="b","W",if(LEFT(VLOOKUP($B703,'Round 1'!$F$2:$H$361,3,false),1)="a","L","")))</f>
        <v>L</v>
      </c>
      <c r="E703" s="67" t="str">
        <f>iferror(if(LEFT(VLOOKUP($B703,'Round 2'!$C$2:$J$361,8,false),1)="A","W",if(LEFT(VLOOKUP($B703,'Round 2'!$C$2:$J$361,8,false),1)="B","L","")),if(LEFT(VLOOKUP($B703,'Round 2'!$G$2:$J$361,4,false),1)="b","W",if(LEFT(VLOOKUP($B703,'Round 2'!$G$2:$J$361,4,false),1)="a","L","")))</f>
        <v>W</v>
      </c>
      <c r="F703" s="67" t="str">
        <f>iferror(if(LEFT(VLOOKUP($B703,'Round 3'!$B$2:$H$361,7,false),1)="A","W",if(LEFT(VLOOKUP($B703,'Round 3'!$B$2:$H$361,7,false),1)="B","L","")),if(LEFT(VLOOKUP($B703,'Round 3'!$F$2:$H$361,3,false),1)="b","W",if(LEFT(VLOOKUP($B703,'Round 3'!$F$2:$H$361,3,false),1)="a","L","")))</f>
        <v>L</v>
      </c>
      <c r="G703" s="67" t="str">
        <f>iferror(if(LEFT(VLOOKUP($B703,'Round 4'!$B$2:$H$361,7,false),1)="A","W",if(LEFT(VLOOKUP($B703,'Round 4'!$B$2:$H$361,7,false),1)="B","L","")),if(LEFT(VLOOKUP($B703,'Round 4'!$F$2:$H$361,3,false),1)="b","W",if(LEFT(VLOOKUP($B703,'Round 4'!$F$2:$H$361,3,false),1)="a","L","")))</f>
        <v>L</v>
      </c>
      <c r="H703" s="67"/>
      <c r="I703" s="67"/>
      <c r="J703" s="67" t="str">
        <f>iferror(iferror(if(LEFT(VLOOKUP($B703,'Round 7'!$B$2:$H$361,7,false),1)="A","W",if(LEFT(VLOOKUP($B703,'Round 7'!$B$2:$H$361,7,false),1)="B","L","")),if(LEFT(VLOOKUP($B703,'Round 7'!$F$2:$H$361,3,false),1)="b","W",if(LEFT(VLOOKUP($B703,'Round 7'!$F$2:$H$361,3,false),1)="a","L",""))),"")</f>
        <v/>
      </c>
      <c r="K703" s="68" t="str">
        <f>iferror(iferror(if(LEFT(VLOOKUP($B703,'Round 8'!$B$2:$H$361,7,false),1)="A","W",if(LEFT(VLOOKUP($B703,'Round 8'!$B$2:$H$361,7,false),1)="B","L","")),if(LEFT(VLOOKUP($B703,'Round 8'!$F$2:$H$361,3,false),1)="b","W",if(LEFT(VLOOKUP($B703,'Round 8'!$F$2:$H$361,3,false),1)="a","L",""))),"")</f>
        <v/>
      </c>
      <c r="L703" s="68" t="str">
        <f>iferror(iferror(if(LEFT(VLOOKUP($B703,'Round 9'!$B$2:$H$361,7,false),1)="A","W",if(LEFT(VLOOKUP($B703,'Round 9'!$B$2:$H$361,7,false),1)="B","L","")),if(LEFT(VLOOKUP($B703,'Round 9'!$F$2:$H$361,3,false),1)="b","W",if(LEFT(VLOOKUP($B703,'Round 9'!$F$2:$H$361,3,false),1)="a","L",""))),"")</f>
        <v/>
      </c>
      <c r="M703" s="68" t="str">
        <f>iferror(iferror(if(LEFT(VLOOKUP($B703,'Round 10'!$B$2:$H$362,7,false),1)="A","W",if(LEFT(VLOOKUP($B703,'Round 10'!$B$2:$H$362,7,false),1)="B","L","")),if(LEFT(VLOOKUP($B703,'Round 10'!$F$2:$H$362,3,false),1)="b","W",if(LEFT(VLOOKUP($B703,'Round 10'!$F$2:$H$362,3,false),1)="a","L",""))),"")</f>
        <v/>
      </c>
      <c r="N703" s="62" t="s">
        <v>1452</v>
      </c>
    </row>
  </sheetData>
  <customSheetViews>
    <customSheetView guid="{E4151595-7793-49E0-AAF1-42441FFD5C39}" filter="1" showAutoFilter="1">
      <autoFilter ref="$A$1:$C$513"/>
    </customSheetView>
    <customSheetView guid="{B51D87DE-CBC5-4EA9-9A85-D9F59B3E2310}" filter="1" showAutoFilter="1">
      <autoFilter ref="$C$1:$C$513"/>
    </customSheetView>
    <customSheetView guid="{D468414C-A6AE-4F88-8204-055F8E51B061}" filter="1" showAutoFilter="1">
      <autoFilter ref="$A$1:$C$513"/>
    </customSheetView>
    <customSheetView guid="{AF201F68-3A2C-4912-A179-7128AEFE80D3}" filter="1" showAutoFilter="1">
      <autoFilter ref="$A$1:$C$513"/>
    </customSheetView>
    <customSheetView guid="{7F17E550-16AE-4095-AAAB-E7617E3507E3}" filter="1" showAutoFilter="1">
      <autoFilter ref="$A$1:$C$513"/>
    </customSheetView>
  </customSheetViews>
  <conditionalFormatting sqref="C2:M703">
    <cfRule type="expression" dxfId="0" priority="1">
      <formula>IF(VALUE(RIGHT(C2:C257,1))&gt;2,TRUE,FALSE)</formula>
    </cfRule>
  </conditionalFormatting>
  <conditionalFormatting sqref="C2:M703">
    <cfRule type="expression" dxfId="1" priority="2">
      <formula>IF(VALUE(LEFT(C2:C257,1))&gt;7,TRUE,FALSE)</formula>
    </cfRule>
  </conditionalFormatting>
  <conditionalFormatting sqref="D2:M703">
    <cfRule type="cellIs" dxfId="2" priority="3" operator="equal">
      <formula>"W"</formula>
    </cfRule>
  </conditionalFormatting>
  <conditionalFormatting sqref="D2:M703">
    <cfRule type="cellIs" dxfId="3" priority="4" operator="equal">
      <formula>"L"</formula>
    </cfRule>
  </conditionalFormatting>
  <conditionalFormatting sqref="J10">
    <cfRule type="notContainsBlanks" dxfId="2" priority="5">
      <formula>LEN(TRIM(J10))&gt;0</formula>
    </cfRule>
  </conditionalFormatting>
  <conditionalFormatting sqref="D2:M703">
    <cfRule type="notContainsText" dxfId="4" priority="6" operator="notContains" text="W, L">
      <formula>ISERROR(SEARCH(("W, L"),(D2)))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5.63"/>
    <col customWidth="1" min="5" max="5" width="7.5"/>
    <col customWidth="1" min="6" max="6" width="25.75"/>
    <col customWidth="1" min="7" max="7" width="5.63"/>
    <col customWidth="1" min="8" max="8" width="2.75"/>
  </cols>
  <sheetData>
    <row r="1">
      <c r="A1" s="74" t="s">
        <v>1453</v>
      </c>
      <c r="B1" s="75" t="s">
        <v>1454</v>
      </c>
      <c r="C1" s="76" t="s">
        <v>1455</v>
      </c>
      <c r="D1" s="77"/>
      <c r="E1" s="78"/>
      <c r="F1" s="79" t="s">
        <v>1454</v>
      </c>
      <c r="G1" s="74" t="s">
        <v>70</v>
      </c>
      <c r="H1" s="74" t="s">
        <v>1456</v>
      </c>
    </row>
    <row r="2" ht="15.0" customHeight="1">
      <c r="A2" s="80"/>
      <c r="B2" s="81"/>
      <c r="C2" s="81"/>
      <c r="D2" s="82" t="s">
        <v>1457</v>
      </c>
      <c r="E2" s="81"/>
      <c r="F2" s="81"/>
      <c r="G2" s="80"/>
      <c r="H2" s="83"/>
    </row>
    <row r="3">
      <c r="A3" s="84">
        <v>1.0</v>
      </c>
      <c r="B3" s="85" t="str">
        <f>VLOOKUP(A3,'Swiss Registry'!$A$2:$B$703,2,False)</f>
        <v>Fakes</v>
      </c>
      <c r="C3" s="86" t="str">
        <f t="shared" ref="C3:C41" si="1">IF(H3="dead","",IF(H3="a:act","",IF(H3="b:act","",IF(ISURL(HYPERLINK(INDIRECT("Importer!B"&amp;MID(H3,2,4)+1,TRUE))),HYPERLINK(INDIRECT("Importer!B"&amp;MID(H3,2,4)+1,TRUE), "Game 1"),""))))</f>
        <v>Game 1</v>
      </c>
      <c r="D3" s="87" t="str">
        <f>IF(H3="dead","Dead Game",IF(H3="a:act","Act: "&amp;F3,IF(H3="b:act","Act: "&amp;#REF!,IF(ISURL(HYPERLINK(INDIRECT("Importer!B"&amp;MID(H3,6,4)+1,TRUE))),HYPERLINK(INDIRECT("Importer!B"&amp;MID(H3,6,4)+1,TRUE), "Game 2"),""))))</f>
        <v>Game 2</v>
      </c>
      <c r="E3" s="88" t="str">
        <f t="shared" ref="E3:E41" si="2">IF(H3="dead","",IF(H3="a:act","",IF(H3="b:act","",IF(ISURL(HYPERLINK(INDIRECT("Importer!B"&amp;MID(H3,10,4)+1,TRUE))),HYPERLINK(INDIRECT("Importer!B"&amp;MID(H3,10,4)+1,TRUE), "Game 3"),""))))</f>
        <v>Game 3</v>
      </c>
      <c r="F3" s="85" t="str">
        <f>VLOOKUP(G3,'Swiss Registry'!$A$2:$B$703,2,False)</f>
        <v>hypebeasthegel</v>
      </c>
      <c r="G3" s="84">
        <v>702.0</v>
      </c>
      <c r="H3" s="83" t="s">
        <v>1458</v>
      </c>
    </row>
    <row r="4">
      <c r="A4" s="84">
        <f t="shared" ref="A4:A41" si="3">A3+1</f>
        <v>2</v>
      </c>
      <c r="B4" s="85" t="str">
        <f>VLOOKUP(A4,'Swiss Registry'!$A$2:$B$703,2,False)</f>
        <v>Altina</v>
      </c>
      <c r="C4" s="86" t="str">
        <f t="shared" si="1"/>
        <v>Game 1</v>
      </c>
      <c r="D4" s="87" t="str">
        <f t="shared" ref="D4:D41" si="4">IF(H4="dead","Dead Game",IF(H4="a:act","Act: "&amp;B4,IF(H4="b:act","Act: "&amp;F4,IF(ISURL(HYPERLINK(INDIRECT("Importer!B"&amp;MID(H4,6,4)+1,TRUE))),HYPERLINK(INDIRECT("Importer!B"&amp;MID(H4,6,4)+1,TRUE), "Game 2"),""))))</f>
        <v>Game 2</v>
      </c>
      <c r="E4" s="89" t="str">
        <f t="shared" si="2"/>
        <v/>
      </c>
      <c r="F4" s="85" t="str">
        <f>VLOOKUP(G4,'Swiss Registry'!$A$2:$B$703,2,False)</f>
        <v>jaden_17522</v>
      </c>
      <c r="G4" s="84">
        <f t="shared" ref="G4:G41" si="5">G3-1</f>
        <v>701</v>
      </c>
      <c r="H4" s="83" t="s">
        <v>1459</v>
      </c>
    </row>
    <row r="5">
      <c r="A5" s="84">
        <f t="shared" si="3"/>
        <v>3</v>
      </c>
      <c r="B5" s="85" t="str">
        <f>VLOOKUP(A5,'Swiss Registry'!$A$2:$B$703,2,False)</f>
        <v>Triangles</v>
      </c>
      <c r="C5" s="86" t="str">
        <f t="shared" si="1"/>
        <v>Game 1</v>
      </c>
      <c r="D5" s="87" t="str">
        <f t="shared" si="4"/>
        <v>Game 2</v>
      </c>
      <c r="E5" s="89" t="str">
        <f t="shared" si="2"/>
        <v/>
      </c>
      <c r="F5" s="85" t="str">
        <f>VLOOKUP(G5,'Swiss Registry'!$A$2:$B$703,2,False)</f>
        <v>renlyyynnn</v>
      </c>
      <c r="G5" s="84">
        <f t="shared" si="5"/>
        <v>700</v>
      </c>
      <c r="H5" s="83" t="s">
        <v>1460</v>
      </c>
    </row>
    <row r="6">
      <c r="A6" s="84">
        <f t="shared" si="3"/>
        <v>4</v>
      </c>
      <c r="B6" s="85" t="str">
        <f>VLOOKUP(A6,'Swiss Registry'!$A$2:$B$703,2,False)</f>
        <v>pkLeech</v>
      </c>
      <c r="C6" s="86" t="str">
        <f t="shared" si="1"/>
        <v>Game 1</v>
      </c>
      <c r="D6" s="87" t="str">
        <f t="shared" si="4"/>
        <v>Game 2</v>
      </c>
      <c r="E6" s="89" t="str">
        <f t="shared" si="2"/>
        <v/>
      </c>
      <c r="F6" s="85" t="str">
        <f>VLOOKUP(G6,'Swiss Registry'!$A$2:$B$703,2,False)</f>
        <v>wonderfulwhiscash</v>
      </c>
      <c r="G6" s="84">
        <f t="shared" si="5"/>
        <v>699</v>
      </c>
      <c r="H6" s="83" t="s">
        <v>1461</v>
      </c>
    </row>
    <row r="7">
      <c r="A7" s="84">
        <f t="shared" si="3"/>
        <v>5</v>
      </c>
      <c r="B7" s="85" t="str">
        <f>VLOOKUP(A7,'Swiss Registry'!$A$2:$B$703,2,False)</f>
        <v>Caloom</v>
      </c>
      <c r="C7" s="90" t="str">
        <f t="shared" si="1"/>
        <v/>
      </c>
      <c r="D7" s="91" t="str">
        <f t="shared" si="4"/>
        <v>Act: jankcity</v>
      </c>
      <c r="E7" s="89" t="str">
        <f t="shared" si="2"/>
        <v/>
      </c>
      <c r="F7" s="85" t="str">
        <f>VLOOKUP(G7,'Swiss Registry'!$A$2:$B$703,2,False)</f>
        <v>jankcity</v>
      </c>
      <c r="G7" s="84">
        <f t="shared" si="5"/>
        <v>698</v>
      </c>
      <c r="H7" s="83" t="s">
        <v>1462</v>
      </c>
    </row>
    <row r="8">
      <c r="A8" s="84">
        <f t="shared" si="3"/>
        <v>6</v>
      </c>
      <c r="B8" s="85" t="str">
        <f>VLOOKUP(A8,'Swiss Registry'!$A$2:$B$703,2,False)</f>
        <v>Fear</v>
      </c>
      <c r="C8" s="86" t="str">
        <f t="shared" si="1"/>
        <v>Game 1</v>
      </c>
      <c r="D8" s="87" t="str">
        <f t="shared" si="4"/>
        <v>Game 2</v>
      </c>
      <c r="E8" s="89" t="str">
        <f t="shared" si="2"/>
        <v/>
      </c>
      <c r="F8" s="85" t="str">
        <f>VLOOKUP(G8,'Swiss Registry'!$A$2:$B$703,2,False)</f>
        <v>bugthatlovesfish</v>
      </c>
      <c r="G8" s="84">
        <f t="shared" si="5"/>
        <v>697</v>
      </c>
      <c r="H8" s="83" t="s">
        <v>1463</v>
      </c>
    </row>
    <row r="9">
      <c r="A9" s="84">
        <f t="shared" si="3"/>
        <v>7</v>
      </c>
      <c r="B9" s="85" t="str">
        <f>VLOOKUP(A9,'Swiss Registry'!$A$2:$B$703,2,False)</f>
        <v>jumpy23</v>
      </c>
      <c r="C9" s="86" t="str">
        <f t="shared" si="1"/>
        <v>Game 1</v>
      </c>
      <c r="D9" s="87" t="str">
        <f t="shared" si="4"/>
        <v>Game 2</v>
      </c>
      <c r="E9" s="89" t="str">
        <f t="shared" si="2"/>
        <v/>
      </c>
      <c r="F9" s="85" t="str">
        <f>VLOOKUP(G9,'Swiss Registry'!$A$2:$B$703,2,False)</f>
        <v>@pek__</v>
      </c>
      <c r="G9" s="84">
        <f t="shared" si="5"/>
        <v>696</v>
      </c>
      <c r="H9" s="83" t="s">
        <v>1464</v>
      </c>
    </row>
    <row r="10">
      <c r="A10" s="84">
        <f t="shared" si="3"/>
        <v>8</v>
      </c>
      <c r="B10" s="85" t="str">
        <f>VLOOKUP(A10,'Swiss Registry'!$A$2:$B$703,2,False)</f>
        <v>Leo</v>
      </c>
      <c r="C10" s="86" t="str">
        <f t="shared" si="1"/>
        <v>Game 1</v>
      </c>
      <c r="D10" s="87" t="str">
        <f t="shared" si="4"/>
        <v>Game 2</v>
      </c>
      <c r="E10" s="89" t="str">
        <f t="shared" si="2"/>
        <v/>
      </c>
      <c r="F10" s="85" t="str">
        <f>VLOOKUP(G10,'Swiss Registry'!$A$2:$B$703,2,False)</f>
        <v>Blanched</v>
      </c>
      <c r="G10" s="84">
        <f t="shared" si="5"/>
        <v>695</v>
      </c>
      <c r="H10" s="83" t="s">
        <v>1465</v>
      </c>
    </row>
    <row r="11">
      <c r="A11" s="84">
        <f t="shared" si="3"/>
        <v>9</v>
      </c>
      <c r="B11" s="85" t="str">
        <f>VLOOKUP(A11,'Swiss Registry'!$A$2:$B$703,2,False)</f>
        <v>Kollin</v>
      </c>
      <c r="C11" s="86" t="str">
        <f t="shared" si="1"/>
        <v>Game 1</v>
      </c>
      <c r="D11" s="87" t="str">
        <f t="shared" si="4"/>
        <v>Game 2</v>
      </c>
      <c r="E11" s="89" t="str">
        <f t="shared" si="2"/>
        <v/>
      </c>
      <c r="F11" s="85" t="str">
        <f>VLOOKUP(G11,'Swiss Registry'!$A$2:$B$703,2,False)</f>
        <v>WraxiusGaming</v>
      </c>
      <c r="G11" s="84">
        <f t="shared" si="5"/>
        <v>694</v>
      </c>
      <c r="H11" s="83" t="s">
        <v>1466</v>
      </c>
    </row>
    <row r="12">
      <c r="A12" s="84">
        <f t="shared" si="3"/>
        <v>10</v>
      </c>
      <c r="B12" s="85" t="str">
        <f>VLOOKUP(A12,'Swiss Registry'!$A$2:$B$703,2,False)</f>
        <v>Cyberodin</v>
      </c>
      <c r="C12" s="86" t="str">
        <f t="shared" si="1"/>
        <v>Game 1</v>
      </c>
      <c r="D12" s="87" t="str">
        <f t="shared" si="4"/>
        <v>Game 2</v>
      </c>
      <c r="E12" s="88" t="str">
        <f t="shared" si="2"/>
        <v>Game 3</v>
      </c>
      <c r="F12" s="85" t="str">
        <f>VLOOKUP(G12,'Swiss Registry'!$A$2:$B$703,2,False)</f>
        <v>sligoblues</v>
      </c>
      <c r="G12" s="84">
        <f t="shared" si="5"/>
        <v>693</v>
      </c>
      <c r="H12" s="83" t="s">
        <v>1467</v>
      </c>
    </row>
    <row r="13">
      <c r="A13" s="84">
        <f t="shared" si="3"/>
        <v>11</v>
      </c>
      <c r="B13" s="85" t="str">
        <f>VLOOKUP(A13,'Swiss Registry'!$A$2:$B$703,2,False)</f>
        <v>Blues</v>
      </c>
      <c r="C13" s="86" t="str">
        <f t="shared" si="1"/>
        <v>Game 1</v>
      </c>
      <c r="D13" s="87" t="str">
        <f t="shared" si="4"/>
        <v>Game 2</v>
      </c>
      <c r="E13" s="89" t="str">
        <f t="shared" si="2"/>
        <v/>
      </c>
      <c r="F13" s="85" t="str">
        <f>VLOOKUP(G13,'Swiss Registry'!$A$2:$B$703,2,False)</f>
        <v>walterbite</v>
      </c>
      <c r="G13" s="84">
        <f t="shared" si="5"/>
        <v>692</v>
      </c>
      <c r="H13" s="83" t="s">
        <v>1468</v>
      </c>
    </row>
    <row r="14">
      <c r="A14" s="84">
        <f t="shared" si="3"/>
        <v>12</v>
      </c>
      <c r="B14" s="85" t="str">
        <f>VLOOKUP(A14,'Swiss Registry'!$A$2:$B$703,2,False)</f>
        <v>Pak</v>
      </c>
      <c r="C14" s="86" t="str">
        <f t="shared" si="1"/>
        <v>Game 1</v>
      </c>
      <c r="D14" s="87" t="str">
        <f t="shared" si="4"/>
        <v>Game 2</v>
      </c>
      <c r="E14" s="89" t="str">
        <f t="shared" si="2"/>
        <v/>
      </c>
      <c r="F14" s="85" t="str">
        <f>VLOOKUP(G14,'Swiss Registry'!$A$2:$B$703,2,False)</f>
        <v>aldrichunfaithful</v>
      </c>
      <c r="G14" s="84">
        <f t="shared" si="5"/>
        <v>691</v>
      </c>
      <c r="H14" s="83" t="s">
        <v>1469</v>
      </c>
    </row>
    <row r="15">
      <c r="A15" s="84">
        <f t="shared" si="3"/>
        <v>13</v>
      </c>
      <c r="B15" s="85" t="str">
        <f>VLOOKUP(A15,'Swiss Registry'!$A$2:$B$703,2,False)</f>
        <v>River</v>
      </c>
      <c r="C15" s="86" t="str">
        <f t="shared" si="1"/>
        <v>Game 1</v>
      </c>
      <c r="D15" s="87" t="str">
        <f t="shared" si="4"/>
        <v>Game 2</v>
      </c>
      <c r="E15" s="89" t="str">
        <f t="shared" si="2"/>
        <v/>
      </c>
      <c r="F15" s="85" t="str">
        <f>VLOOKUP(G15,'Swiss Registry'!$A$2:$B$703,2,False)</f>
        <v>allance05</v>
      </c>
      <c r="G15" s="84">
        <f t="shared" si="5"/>
        <v>690</v>
      </c>
      <c r="H15" s="83" t="s">
        <v>1470</v>
      </c>
    </row>
    <row r="16">
      <c r="A16" s="84">
        <f t="shared" si="3"/>
        <v>14</v>
      </c>
      <c r="B16" s="85" t="str">
        <f>VLOOKUP(A16,'Swiss Registry'!$A$2:$B$703,2,False)</f>
        <v>Voyager</v>
      </c>
      <c r="C16" s="86" t="str">
        <f t="shared" si="1"/>
        <v>Game 1</v>
      </c>
      <c r="D16" s="87" t="str">
        <f t="shared" si="4"/>
        <v>Game 2</v>
      </c>
      <c r="E16" s="88" t="str">
        <f t="shared" si="2"/>
        <v>Game 3</v>
      </c>
      <c r="F16" s="85" t="str">
        <f>VLOOKUP(G16,'Swiss Registry'!$A$2:$B$703,2,False)</f>
        <v>irrelevantone</v>
      </c>
      <c r="G16" s="84">
        <f t="shared" si="5"/>
        <v>689</v>
      </c>
      <c r="H16" s="83" t="s">
        <v>1471</v>
      </c>
    </row>
    <row r="17">
      <c r="A17" s="84">
        <f t="shared" si="3"/>
        <v>15</v>
      </c>
      <c r="B17" s="85" t="str">
        <f>VLOOKUP(A17,'Swiss Registry'!$A$2:$B$703,2,False)</f>
        <v>Carapinga</v>
      </c>
      <c r="C17" s="86" t="str">
        <f t="shared" si="1"/>
        <v>Game 1</v>
      </c>
      <c r="D17" s="87" t="str">
        <f t="shared" si="4"/>
        <v>Game 2</v>
      </c>
      <c r="E17" s="89" t="str">
        <f t="shared" si="2"/>
        <v/>
      </c>
      <c r="F17" s="85" t="str">
        <f>VLOOKUP(G17,'Swiss Registry'!$A$2:$B$703,2,False)</f>
        <v>Genofool</v>
      </c>
      <c r="G17" s="84">
        <f t="shared" si="5"/>
        <v>688</v>
      </c>
      <c r="H17" s="83" t="s">
        <v>1472</v>
      </c>
    </row>
    <row r="18">
      <c r="A18" s="84">
        <f t="shared" si="3"/>
        <v>16</v>
      </c>
      <c r="B18" s="85" t="str">
        <f>VLOOKUP(A18,'Swiss Registry'!$A$2:$B$703,2,False)</f>
        <v>Mielke</v>
      </c>
      <c r="C18" s="86" t="str">
        <f t="shared" si="1"/>
        <v>Game 1</v>
      </c>
      <c r="D18" s="87" t="str">
        <f t="shared" si="4"/>
        <v>Game 2</v>
      </c>
      <c r="E18" s="89" t="str">
        <f t="shared" si="2"/>
        <v/>
      </c>
      <c r="F18" s="85" t="str">
        <f>VLOOKUP(G18,'Swiss Registry'!$A$2:$B$703,2,False)</f>
        <v>justbestlevels</v>
      </c>
      <c r="G18" s="84">
        <f t="shared" si="5"/>
        <v>687</v>
      </c>
      <c r="H18" s="83" t="s">
        <v>1473</v>
      </c>
    </row>
    <row r="19">
      <c r="A19" s="84">
        <f t="shared" si="3"/>
        <v>17</v>
      </c>
      <c r="B19" s="85" t="str">
        <f>VLOOKUP(A19,'Swiss Registry'!$A$2:$B$703,2,False)</f>
        <v>Tyros</v>
      </c>
      <c r="C19" s="86" t="str">
        <f t="shared" si="1"/>
        <v>Game 1</v>
      </c>
      <c r="D19" s="87" t="str">
        <f t="shared" si="4"/>
        <v>Game 2</v>
      </c>
      <c r="E19" s="89" t="str">
        <f t="shared" si="2"/>
        <v/>
      </c>
      <c r="F19" s="85" t="str">
        <f>VLOOKUP(G19,'Swiss Registry'!$A$2:$B$703,2,False)</f>
        <v>Print Screen</v>
      </c>
      <c r="G19" s="84">
        <f t="shared" si="5"/>
        <v>686</v>
      </c>
      <c r="H19" s="83" t="s">
        <v>1474</v>
      </c>
    </row>
    <row r="20">
      <c r="A20" s="84">
        <f t="shared" si="3"/>
        <v>18</v>
      </c>
      <c r="B20" s="85" t="str">
        <f>VLOOKUP(A20,'Swiss Registry'!$A$2:$B$703,2,False)</f>
        <v>Pokology</v>
      </c>
      <c r="C20" s="90" t="str">
        <f t="shared" si="1"/>
        <v/>
      </c>
      <c r="D20" s="91" t="str">
        <f t="shared" si="4"/>
        <v>Act: Pokology</v>
      </c>
      <c r="E20" s="89" t="str">
        <f t="shared" si="2"/>
        <v/>
      </c>
      <c r="F20" s="85" t="str">
        <f>VLOOKUP(G20,'Swiss Registry'!$A$2:$B$703,2,False)</f>
        <v>Spedonic</v>
      </c>
      <c r="G20" s="84">
        <f t="shared" si="5"/>
        <v>685</v>
      </c>
      <c r="H20" s="83" t="s">
        <v>1475</v>
      </c>
    </row>
    <row r="21">
      <c r="A21" s="84">
        <f t="shared" si="3"/>
        <v>19</v>
      </c>
      <c r="B21" s="85" t="str">
        <f>VLOOKUP(A21,'Swiss Registry'!$A$2:$B$703,2,False)</f>
        <v>void</v>
      </c>
      <c r="C21" s="90" t="str">
        <f t="shared" si="1"/>
        <v/>
      </c>
      <c r="D21" s="91" t="str">
        <f t="shared" si="4"/>
        <v>Act: void</v>
      </c>
      <c r="E21" s="89" t="str">
        <f t="shared" si="2"/>
        <v/>
      </c>
      <c r="F21" s="85" t="str">
        <f>VLOOKUP(G21,'Swiss Registry'!$A$2:$B$703,2,False)</f>
        <v>Greyaz</v>
      </c>
      <c r="G21" s="84">
        <f t="shared" si="5"/>
        <v>684</v>
      </c>
      <c r="H21" s="83" t="s">
        <v>1475</v>
      </c>
    </row>
    <row r="22">
      <c r="A22" s="84">
        <f t="shared" si="3"/>
        <v>20</v>
      </c>
      <c r="B22" s="85" t="str">
        <f>VLOOKUP(A22,'Swiss Registry'!$A$2:$B$703,2,False)</f>
        <v>Mayo</v>
      </c>
      <c r="C22" s="90" t="str">
        <f t="shared" si="1"/>
        <v/>
      </c>
      <c r="D22" s="91" t="str">
        <f t="shared" si="4"/>
        <v>Act: ManiacalDolphin</v>
      </c>
      <c r="E22" s="89" t="str">
        <f t="shared" si="2"/>
        <v/>
      </c>
      <c r="F22" s="85" t="str">
        <f>VLOOKUP(G22,'Swiss Registry'!$A$2:$B$703,2,False)</f>
        <v>ManiacalDolphin</v>
      </c>
      <c r="G22" s="84">
        <f t="shared" si="5"/>
        <v>683</v>
      </c>
      <c r="H22" s="83" t="s">
        <v>1462</v>
      </c>
    </row>
    <row r="23">
      <c r="A23" s="84">
        <f t="shared" si="3"/>
        <v>21</v>
      </c>
      <c r="B23" s="85" t="str">
        <f>VLOOKUP(A23,'Swiss Registry'!$A$2:$B$703,2,False)</f>
        <v>Adam</v>
      </c>
      <c r="C23" s="86" t="str">
        <f t="shared" si="1"/>
        <v>Game 1</v>
      </c>
      <c r="D23" s="87" t="str">
        <f t="shared" si="4"/>
        <v>Game 2</v>
      </c>
      <c r="E23" s="88" t="str">
        <f t="shared" si="2"/>
        <v>Game 3</v>
      </c>
      <c r="F23" s="85" t="str">
        <f>VLOOKUP(G23,'Swiss Registry'!$A$2:$B$703,2,False)</f>
        <v>5darkelves_gmen</v>
      </c>
      <c r="G23" s="84">
        <f t="shared" si="5"/>
        <v>682</v>
      </c>
      <c r="H23" s="83" t="s">
        <v>1476</v>
      </c>
    </row>
    <row r="24">
      <c r="A24" s="84">
        <f t="shared" si="3"/>
        <v>22</v>
      </c>
      <c r="B24" s="85" t="str">
        <f>VLOOKUP(A24,'Swiss Registry'!$A$2:$B$703,2,False)</f>
        <v>laxuy</v>
      </c>
      <c r="C24" s="86" t="str">
        <f t="shared" si="1"/>
        <v>Game 1</v>
      </c>
      <c r="D24" s="87" t="str">
        <f t="shared" si="4"/>
        <v>Game 2</v>
      </c>
      <c r="E24" s="89" t="str">
        <f t="shared" si="2"/>
        <v/>
      </c>
      <c r="F24" s="85" t="str">
        <f>VLOOKUP(G24,'Swiss Registry'!$A$2:$B$703,2,False)</f>
        <v>Ezcrime</v>
      </c>
      <c r="G24" s="84">
        <f t="shared" si="5"/>
        <v>681</v>
      </c>
      <c r="H24" s="83" t="s">
        <v>1477</v>
      </c>
    </row>
    <row r="25">
      <c r="A25" s="84">
        <f t="shared" si="3"/>
        <v>23</v>
      </c>
      <c r="B25" s="85" t="str">
        <f>VLOOKUP(A25,'Swiss Registry'!$A$2:$B$703,2,False)</f>
        <v>udm31</v>
      </c>
      <c r="C25" s="86" t="str">
        <f t="shared" si="1"/>
        <v>Game 1</v>
      </c>
      <c r="D25" s="87" t="str">
        <f t="shared" si="4"/>
        <v>Game 2</v>
      </c>
      <c r="E25" s="89" t="str">
        <f t="shared" si="2"/>
        <v/>
      </c>
      <c r="F25" s="85" t="str">
        <f>VLOOKUP(G25,'Swiss Registry'!$A$2:$B$703,2,False)</f>
        <v>jthompson9021</v>
      </c>
      <c r="G25" s="84">
        <f t="shared" si="5"/>
        <v>680</v>
      </c>
      <c r="H25" s="83" t="s">
        <v>1478</v>
      </c>
    </row>
    <row r="26">
      <c r="A26" s="84">
        <f t="shared" si="3"/>
        <v>24</v>
      </c>
      <c r="B26" s="85" t="str">
        <f>VLOOKUP(A26,'Swiss Registry'!$A$2:$B$703,2,False)</f>
        <v>Big Will</v>
      </c>
      <c r="C26" s="86" t="str">
        <f t="shared" si="1"/>
        <v>Game 1</v>
      </c>
      <c r="D26" s="87" t="str">
        <f t="shared" si="4"/>
        <v>Game 2</v>
      </c>
      <c r="E26" s="88" t="str">
        <f t="shared" si="2"/>
        <v>Game 3</v>
      </c>
      <c r="F26" s="85" t="str">
        <f>VLOOKUP(G26,'Swiss Registry'!$A$2:$B$703,2,False)</f>
        <v>bydy2</v>
      </c>
      <c r="G26" s="84">
        <f t="shared" si="5"/>
        <v>679</v>
      </c>
      <c r="H26" s="83" t="s">
        <v>1479</v>
      </c>
    </row>
    <row r="27">
      <c r="A27" s="84">
        <f t="shared" si="3"/>
        <v>25</v>
      </c>
      <c r="B27" s="85" t="str">
        <f>VLOOKUP(A27,'Swiss Registry'!$A$2:$B$703,2,False)</f>
        <v>JR</v>
      </c>
      <c r="C27" s="90" t="str">
        <f t="shared" si="1"/>
        <v/>
      </c>
      <c r="D27" s="91" t="str">
        <f t="shared" si="4"/>
        <v>Act: JR</v>
      </c>
      <c r="E27" s="89" t="str">
        <f t="shared" si="2"/>
        <v/>
      </c>
      <c r="F27" s="85" t="str">
        <f>VLOOKUP(G27,'Swiss Registry'!$A$2:$B$703,2,False)</f>
        <v>Latlat1</v>
      </c>
      <c r="G27" s="84">
        <f t="shared" si="5"/>
        <v>678</v>
      </c>
      <c r="H27" s="92" t="s">
        <v>1475</v>
      </c>
    </row>
    <row r="28">
      <c r="A28" s="84">
        <f t="shared" si="3"/>
        <v>26</v>
      </c>
      <c r="B28" s="85" t="str">
        <f>VLOOKUP(A28,'Swiss Registry'!$A$2:$B$703,2,False)</f>
        <v>keepingiticy</v>
      </c>
      <c r="C28" s="90" t="str">
        <f t="shared" si="1"/>
        <v/>
      </c>
      <c r="D28" s="91" t="str">
        <f t="shared" si="4"/>
        <v>Act: garcilp</v>
      </c>
      <c r="E28" s="89" t="str">
        <f t="shared" si="2"/>
        <v/>
      </c>
      <c r="F28" s="85" t="str">
        <f>VLOOKUP(G28,'Swiss Registry'!$A$2:$B$703,2,False)</f>
        <v>garcilp</v>
      </c>
      <c r="G28" s="84">
        <f t="shared" si="5"/>
        <v>677</v>
      </c>
      <c r="H28" s="93" t="s">
        <v>1462</v>
      </c>
    </row>
    <row r="29">
      <c r="A29" s="84">
        <f t="shared" si="3"/>
        <v>27</v>
      </c>
      <c r="B29" s="85" t="str">
        <f>VLOOKUP(A29,'Swiss Registry'!$A$2:$B$703,2,False)</f>
        <v>Sheik</v>
      </c>
      <c r="C29" s="86" t="str">
        <f t="shared" si="1"/>
        <v>Game 1</v>
      </c>
      <c r="D29" s="87" t="str">
        <f t="shared" si="4"/>
        <v>Game 2</v>
      </c>
      <c r="E29" s="88" t="str">
        <f t="shared" si="2"/>
        <v>Game 3</v>
      </c>
      <c r="F29" s="85" t="str">
        <f>VLOOKUP(G29,'Swiss Registry'!$A$2:$B$703,2,False)</f>
        <v>socialinclusion</v>
      </c>
      <c r="G29" s="84">
        <f t="shared" si="5"/>
        <v>676</v>
      </c>
      <c r="H29" s="93" t="s">
        <v>1480</v>
      </c>
    </row>
    <row r="30">
      <c r="A30" s="84">
        <f t="shared" si="3"/>
        <v>28</v>
      </c>
      <c r="B30" s="94" t="str">
        <f>VLOOKUP(A30,'Swiss Registry'!$A$2:$B$703,2,False)</f>
        <v>Typhoon Carter</v>
      </c>
      <c r="C30" s="86" t="str">
        <f t="shared" si="1"/>
        <v>Game 1</v>
      </c>
      <c r="D30" s="87" t="str">
        <f t="shared" si="4"/>
        <v>Game 2</v>
      </c>
      <c r="E30" s="88" t="str">
        <f t="shared" si="2"/>
        <v>Game 3</v>
      </c>
      <c r="F30" s="85" t="str">
        <f>VLOOKUP(G30,'Swiss Registry'!$A$2:$B$703,2,False)</f>
        <v>Ehtis</v>
      </c>
      <c r="G30" s="84">
        <f t="shared" si="5"/>
        <v>675</v>
      </c>
      <c r="H30" s="93" t="s">
        <v>1481</v>
      </c>
    </row>
    <row r="31">
      <c r="A31" s="84">
        <f t="shared" si="3"/>
        <v>29</v>
      </c>
      <c r="B31" s="94">
        <f>VLOOKUP(A31,'Swiss Registry'!$A$2:$B$703,2,False)</f>
        <v>48</v>
      </c>
      <c r="C31" s="86" t="str">
        <f t="shared" si="1"/>
        <v>Game 1</v>
      </c>
      <c r="D31" s="87" t="str">
        <f t="shared" si="4"/>
        <v>Game 2</v>
      </c>
      <c r="E31" s="89" t="str">
        <f t="shared" si="2"/>
        <v/>
      </c>
      <c r="F31" s="85" t="str">
        <f>VLOOKUP(G31,'Swiss Registry'!$A$2:$B$703,2,False)</f>
        <v>Hypermoth</v>
      </c>
      <c r="G31" s="84">
        <f t="shared" si="5"/>
        <v>674</v>
      </c>
      <c r="H31" s="93" t="s">
        <v>1482</v>
      </c>
    </row>
    <row r="32">
      <c r="A32" s="84">
        <f t="shared" si="3"/>
        <v>30</v>
      </c>
      <c r="B32" s="85" t="str">
        <f>VLOOKUP(A32,'Swiss Registry'!$A$2:$B$703,2,False)</f>
        <v>eliandiditagain</v>
      </c>
      <c r="C32" s="86" t="str">
        <f t="shared" si="1"/>
        <v>Game 1</v>
      </c>
      <c r="D32" s="87" t="str">
        <f t="shared" si="4"/>
        <v>Game 2</v>
      </c>
      <c r="E32" s="88" t="str">
        <f t="shared" si="2"/>
        <v>Game 3</v>
      </c>
      <c r="F32" s="85" t="str">
        <f>VLOOKUP(G32,'Swiss Registry'!$A$2:$B$703,2,False)</f>
        <v>Felizelise</v>
      </c>
      <c r="G32" s="84">
        <f t="shared" si="5"/>
        <v>673</v>
      </c>
      <c r="H32" s="93" t="s">
        <v>1483</v>
      </c>
    </row>
    <row r="33">
      <c r="A33" s="84">
        <f t="shared" si="3"/>
        <v>31</v>
      </c>
      <c r="B33" s="85" t="str">
        <f>VLOOKUP(A33,'Swiss Registry'!$A$2:$B$703,2,False)</f>
        <v>Spfunkm</v>
      </c>
      <c r="C33" s="86" t="str">
        <f t="shared" si="1"/>
        <v>Game 1</v>
      </c>
      <c r="D33" s="87" t="str">
        <f t="shared" si="4"/>
        <v>Game 2</v>
      </c>
      <c r="E33" s="88" t="str">
        <f t="shared" si="2"/>
        <v>Game 3</v>
      </c>
      <c r="F33" s="85" t="str">
        <f>VLOOKUP(G33,'Swiss Registry'!$A$2:$B$703,2,False)</f>
        <v>cheerful_dragon_75260</v>
      </c>
      <c r="G33" s="84">
        <f t="shared" si="5"/>
        <v>672</v>
      </c>
      <c r="H33" s="93" t="s">
        <v>1484</v>
      </c>
    </row>
    <row r="34">
      <c r="A34" s="84">
        <f t="shared" si="3"/>
        <v>32</v>
      </c>
      <c r="B34" s="85" t="str">
        <f>VLOOKUP(A34,'Swiss Registry'!$A$2:$B$703,2,False)</f>
        <v>Johnald</v>
      </c>
      <c r="C34" s="86" t="str">
        <f t="shared" si="1"/>
        <v>Game 1</v>
      </c>
      <c r="D34" s="87" t="str">
        <f t="shared" si="4"/>
        <v>Game 2</v>
      </c>
      <c r="E34" s="89" t="str">
        <f t="shared" si="2"/>
        <v/>
      </c>
      <c r="F34" s="85" t="str">
        <f>VLOOKUP(G34,'Swiss Registry'!$A$2:$B$703,2,False)</f>
        <v>tahat_t</v>
      </c>
      <c r="G34" s="84">
        <f t="shared" si="5"/>
        <v>671</v>
      </c>
      <c r="H34" s="95" t="s">
        <v>1485</v>
      </c>
    </row>
    <row r="35">
      <c r="A35" s="84">
        <f t="shared" si="3"/>
        <v>33</v>
      </c>
      <c r="B35" s="85" t="str">
        <f>VLOOKUP(A35,'Swiss Registry'!$A$2:$B$703,2,False)</f>
        <v>W_R</v>
      </c>
      <c r="C35" s="90" t="str">
        <f t="shared" si="1"/>
        <v/>
      </c>
      <c r="D35" s="91" t="str">
        <f t="shared" si="4"/>
        <v>Act: W_R</v>
      </c>
      <c r="E35" s="89" t="str">
        <f t="shared" si="2"/>
        <v/>
      </c>
      <c r="F35" s="85" t="str">
        <f>VLOOKUP(G35,'Swiss Registry'!$A$2:$B$703,2,False)</f>
        <v>ViciousCricket</v>
      </c>
      <c r="G35" s="84">
        <f t="shared" si="5"/>
        <v>670</v>
      </c>
      <c r="H35" s="93" t="s">
        <v>1486</v>
      </c>
    </row>
    <row r="36">
      <c r="A36" s="84">
        <f t="shared" si="3"/>
        <v>34</v>
      </c>
      <c r="B36" s="85" t="str">
        <f>VLOOKUP(A36,'Swiss Registry'!$A$2:$B$703,2,False)</f>
        <v>D3stiny</v>
      </c>
      <c r="C36" s="86" t="str">
        <f t="shared" si="1"/>
        <v>Game 1</v>
      </c>
      <c r="D36" s="87" t="str">
        <f t="shared" si="4"/>
        <v>Game 2</v>
      </c>
      <c r="E36" s="89" t="str">
        <f t="shared" si="2"/>
        <v/>
      </c>
      <c r="F36" s="85" t="str">
        <f>VLOOKUP(G36,'Swiss Registry'!$A$2:$B$703,2,False)</f>
        <v>Salamaster</v>
      </c>
      <c r="G36" s="84">
        <f t="shared" si="5"/>
        <v>669</v>
      </c>
      <c r="H36" s="93" t="s">
        <v>1487</v>
      </c>
    </row>
    <row r="37">
      <c r="A37" s="84">
        <f t="shared" si="3"/>
        <v>35</v>
      </c>
      <c r="B37" s="85" t="str">
        <f>VLOOKUP(A37,'Swiss Registry'!$A$2:$B$703,2,False)</f>
        <v>Zacpz</v>
      </c>
      <c r="C37" s="90" t="str">
        <f t="shared" si="1"/>
        <v/>
      </c>
      <c r="D37" s="91" t="str">
        <f t="shared" si="4"/>
        <v>Act: Zacpz</v>
      </c>
      <c r="E37" s="89" t="str">
        <f t="shared" si="2"/>
        <v/>
      </c>
      <c r="F37" s="85" t="str">
        <f>VLOOKUP(G37,'Swiss Registry'!$A$2:$B$703,2,False)</f>
        <v>SUB 23</v>
      </c>
      <c r="G37" s="84">
        <f t="shared" si="5"/>
        <v>668</v>
      </c>
      <c r="H37" s="93" t="s">
        <v>1486</v>
      </c>
    </row>
    <row r="38">
      <c r="A38" s="84">
        <f t="shared" si="3"/>
        <v>36</v>
      </c>
      <c r="B38" s="85" t="str">
        <f>VLOOKUP(A38,'Swiss Registry'!$A$2:$B$703,2,False)</f>
        <v>Segale</v>
      </c>
      <c r="C38" s="86" t="str">
        <f t="shared" si="1"/>
        <v>Game 1</v>
      </c>
      <c r="D38" s="87" t="str">
        <f t="shared" si="4"/>
        <v>Game 2</v>
      </c>
      <c r="E38" s="88" t="str">
        <f t="shared" si="2"/>
        <v>Game 3</v>
      </c>
      <c r="F38" s="85" t="str">
        <f>VLOOKUP(G38,'Swiss Registry'!$A$2:$B$703,2,False)</f>
        <v>KingWafl</v>
      </c>
      <c r="G38" s="84">
        <f t="shared" si="5"/>
        <v>667</v>
      </c>
      <c r="H38" s="93" t="s">
        <v>1488</v>
      </c>
    </row>
    <row r="39">
      <c r="A39" s="84">
        <f t="shared" si="3"/>
        <v>37</v>
      </c>
      <c r="B39" s="85" t="str">
        <f>VLOOKUP(A39,'Swiss Registry'!$A$2:$B$703,2,False)</f>
        <v>Zerkas</v>
      </c>
      <c r="C39" s="86" t="str">
        <f t="shared" si="1"/>
        <v>Game 1</v>
      </c>
      <c r="D39" s="87" t="str">
        <f t="shared" si="4"/>
        <v>Game 2</v>
      </c>
      <c r="E39" s="88" t="str">
        <f t="shared" si="2"/>
        <v>Game 3</v>
      </c>
      <c r="F39" s="85" t="str">
        <f>VLOOKUP(G39,'Swiss Registry'!$A$2:$B$703,2,False)</f>
        <v>YamHam</v>
      </c>
      <c r="G39" s="84">
        <f t="shared" si="5"/>
        <v>666</v>
      </c>
      <c r="H39" s="93" t="s">
        <v>1489</v>
      </c>
    </row>
    <row r="40">
      <c r="A40" s="84">
        <f t="shared" si="3"/>
        <v>38</v>
      </c>
      <c r="B40" s="85" t="str">
        <f>VLOOKUP(A40,'Swiss Registry'!$A$2:$B$703,2,False)</f>
        <v>Colteor</v>
      </c>
      <c r="C40" s="86" t="str">
        <f t="shared" si="1"/>
        <v>Game 1</v>
      </c>
      <c r="D40" s="87" t="str">
        <f t="shared" si="4"/>
        <v>Game 2</v>
      </c>
      <c r="E40" s="88" t="str">
        <f t="shared" si="2"/>
        <v>Game 3</v>
      </c>
      <c r="F40" s="85" t="str">
        <f>VLOOKUP(G40,'Swiss Registry'!$A$2:$B$703,2,False)</f>
        <v>Ale8150</v>
      </c>
      <c r="G40" s="84">
        <f t="shared" si="5"/>
        <v>665</v>
      </c>
      <c r="H40" s="93" t="s">
        <v>1490</v>
      </c>
    </row>
    <row r="41">
      <c r="A41" s="84">
        <f t="shared" si="3"/>
        <v>39</v>
      </c>
      <c r="B41" s="85" t="str">
        <f>VLOOKUP(A41,'Swiss Registry'!$A$2:$B$703,2,False)</f>
        <v>earlgr3y</v>
      </c>
      <c r="C41" s="86" t="str">
        <f t="shared" si="1"/>
        <v>Game 1</v>
      </c>
      <c r="D41" s="87" t="str">
        <f t="shared" si="4"/>
        <v>Game 2</v>
      </c>
      <c r="E41" s="89" t="str">
        <f t="shared" si="2"/>
        <v/>
      </c>
      <c r="F41" s="85" t="str">
        <f>VLOOKUP(G41,'Swiss Registry'!$A$2:$B$703,2,False)</f>
        <v>ChetManley</v>
      </c>
      <c r="G41" s="84">
        <f t="shared" si="5"/>
        <v>664</v>
      </c>
      <c r="H41" s="93" t="s">
        <v>1491</v>
      </c>
    </row>
    <row r="42" ht="15.0" customHeight="1">
      <c r="A42" s="80"/>
      <c r="B42" s="81"/>
      <c r="C42" s="81"/>
      <c r="D42" s="82" t="s">
        <v>1492</v>
      </c>
      <c r="E42" s="81"/>
      <c r="F42" s="81"/>
      <c r="G42" s="80"/>
      <c r="H42" s="83"/>
    </row>
    <row r="43">
      <c r="A43" s="84">
        <f>A41+1</f>
        <v>40</v>
      </c>
      <c r="B43" s="85" t="str">
        <f>VLOOKUP(A43,'Swiss Registry'!$A$2:$B$703,2,False)</f>
        <v>goldmason</v>
      </c>
      <c r="C43" s="86" t="str">
        <f t="shared" ref="C43:C81" si="6">IF(H43="dead","",IF(H43="a:act","",IF(H43="b:act","",IF(ISURL(HYPERLINK(INDIRECT("Importer!B"&amp;MID(H43,2,4)+1,TRUE))),HYPERLINK(INDIRECT("Importer!B"&amp;MID(H43,2,4)+1,TRUE), "Game 1"),""))))</f>
        <v>Game 1</v>
      </c>
      <c r="D43" s="87" t="str">
        <f>IF(H43="dead","Dead Game",IF(H43="a:act","Act: "&amp;F43,IF(H43="b:act","Act: "&amp;#REF!,IF(ISURL(HYPERLINK(INDIRECT("Importer!B"&amp;MID(H43,6,4)+1,TRUE))),HYPERLINK(INDIRECT("Importer!B"&amp;MID(H43,6,4)+1,TRUE), "Game 2"),""))))</f>
        <v>Game 2</v>
      </c>
      <c r="E43" s="89" t="str">
        <f t="shared" ref="E43:E81" si="7">IF(H43="dead","",IF(H43="a:act","",IF(H43="b:act","",IF(ISURL(HYPERLINK(INDIRECT("Importer!B"&amp;MID(H43,10,4)+1,TRUE))),HYPERLINK(INDIRECT("Importer!B"&amp;MID(H43,10,4)+1,TRUE), "Game 3"),""))))</f>
        <v/>
      </c>
      <c r="F43" s="85" t="str">
        <f>VLOOKUP(G43,'Swiss Registry'!$A$2:$B$703,2,False)</f>
        <v>hangerguardian</v>
      </c>
      <c r="G43" s="84">
        <f>G41-1</f>
        <v>663</v>
      </c>
      <c r="H43" s="83" t="s">
        <v>1493</v>
      </c>
    </row>
    <row r="44">
      <c r="A44" s="84">
        <f t="shared" ref="A44:A81" si="8">A43+1</f>
        <v>41</v>
      </c>
      <c r="B44" s="85" t="str">
        <f>VLOOKUP(A44,'Swiss Registry'!$A$2:$B$703,2,False)</f>
        <v>Celdanami</v>
      </c>
      <c r="C44" s="86" t="str">
        <f t="shared" si="6"/>
        <v>Game 1</v>
      </c>
      <c r="D44" s="87" t="str">
        <f t="shared" ref="D44:D81" si="9">IF(H44="dead","Dead Game",IF(H44="a:act","Act: "&amp;B44,IF(H44="b:act","Act: "&amp;F44,IF(ISURL(HYPERLINK(INDIRECT("Importer!B"&amp;MID(H44,6,4)+1,TRUE))),HYPERLINK(INDIRECT("Importer!B"&amp;MID(H44,6,4)+1,TRUE), "Game 2"),""))))</f>
        <v>Game 2</v>
      </c>
      <c r="E44" s="88" t="str">
        <f t="shared" si="7"/>
        <v>Game 3</v>
      </c>
      <c r="F44" s="85" t="str">
        <f>VLOOKUP(G44,'Swiss Registry'!$A$2:$B$703,2,False)</f>
        <v>milkshook00</v>
      </c>
      <c r="G44" s="84">
        <f t="shared" ref="G44:G81" si="10">G43-1</f>
        <v>662</v>
      </c>
      <c r="H44" s="83" t="s">
        <v>1494</v>
      </c>
    </row>
    <row r="45">
      <c r="A45" s="84">
        <f t="shared" si="8"/>
        <v>42</v>
      </c>
      <c r="B45" s="85" t="str">
        <f>VLOOKUP(A45,'Swiss Registry'!$A$2:$B$703,2,False)</f>
        <v>ThisGuyMuks</v>
      </c>
      <c r="C45" s="86" t="str">
        <f t="shared" si="6"/>
        <v>Game 1</v>
      </c>
      <c r="D45" s="87" t="str">
        <f t="shared" si="9"/>
        <v>Game 2</v>
      </c>
      <c r="E45" s="89" t="str">
        <f t="shared" si="7"/>
        <v/>
      </c>
      <c r="F45" s="85" t="str">
        <f>VLOOKUP(G45,'Swiss Registry'!$A$2:$B$703,2,False)</f>
        <v>Coco / Yuii</v>
      </c>
      <c r="G45" s="84">
        <f t="shared" si="10"/>
        <v>661</v>
      </c>
      <c r="H45" s="83" t="s">
        <v>1495</v>
      </c>
    </row>
    <row r="46">
      <c r="A46" s="84">
        <f t="shared" si="8"/>
        <v>43</v>
      </c>
      <c r="B46" s="85" t="str">
        <f>VLOOKUP(A46,'Swiss Registry'!$A$2:$B$703,2,False)</f>
        <v>Christos</v>
      </c>
      <c r="C46" s="86" t="str">
        <f t="shared" si="6"/>
        <v>Game 1</v>
      </c>
      <c r="D46" s="87" t="str">
        <f t="shared" si="9"/>
        <v>Game 2</v>
      </c>
      <c r="E46" s="89" t="str">
        <f t="shared" si="7"/>
        <v/>
      </c>
      <c r="F46" s="85" t="str">
        <f>VLOOKUP(G46,'Swiss Registry'!$A$2:$B$703,2,False)</f>
        <v>sapphire918</v>
      </c>
      <c r="G46" s="84">
        <f t="shared" si="10"/>
        <v>660</v>
      </c>
      <c r="H46" s="83" t="s">
        <v>1496</v>
      </c>
    </row>
    <row r="47">
      <c r="A47" s="84">
        <f t="shared" si="8"/>
        <v>44</v>
      </c>
      <c r="B47" s="85" t="str">
        <f>VLOOKUP(A47,'Swiss Registry'!$A$2:$B$703,2,False)</f>
        <v>Dridri457</v>
      </c>
      <c r="C47" s="86" t="str">
        <f t="shared" si="6"/>
        <v>Game 1</v>
      </c>
      <c r="D47" s="87" t="str">
        <f t="shared" si="9"/>
        <v>Game 2</v>
      </c>
      <c r="E47" s="89" t="str">
        <f t="shared" si="7"/>
        <v/>
      </c>
      <c r="F47" s="85" t="str">
        <f>VLOOKUP(G47,'Swiss Registry'!$A$2:$B$703,2,False)</f>
        <v>romeugoat._25355</v>
      </c>
      <c r="G47" s="84">
        <f t="shared" si="10"/>
        <v>659</v>
      </c>
      <c r="H47" s="83" t="s">
        <v>1497</v>
      </c>
    </row>
    <row r="48">
      <c r="A48" s="84">
        <f t="shared" si="8"/>
        <v>45</v>
      </c>
      <c r="B48" s="85" t="str">
        <f>VLOOKUP(A48,'Swiss Registry'!$A$2:$B$703,2,False)</f>
        <v>DeezCastforms</v>
      </c>
      <c r="C48" s="86" t="str">
        <f t="shared" si="6"/>
        <v>Game 1</v>
      </c>
      <c r="D48" s="87" t="str">
        <f t="shared" si="9"/>
        <v>Game 2</v>
      </c>
      <c r="E48" s="88" t="str">
        <f t="shared" si="7"/>
        <v>Game 3</v>
      </c>
      <c r="F48" s="85" t="str">
        <f>VLOOKUP(G48,'Swiss Registry'!$A$2:$B$703,2,False)</f>
        <v>big_jerry</v>
      </c>
      <c r="G48" s="84">
        <f t="shared" si="10"/>
        <v>658</v>
      </c>
      <c r="H48" s="83" t="s">
        <v>1498</v>
      </c>
    </row>
    <row r="49">
      <c r="A49" s="84">
        <f t="shared" si="8"/>
        <v>46</v>
      </c>
      <c r="B49" s="85" t="str">
        <f>VLOOKUP(A49,'Swiss Registry'!$A$2:$B$703,2,False)</f>
        <v>Zelph</v>
      </c>
      <c r="C49" s="86" t="str">
        <f t="shared" si="6"/>
        <v>Game 1</v>
      </c>
      <c r="D49" s="87" t="str">
        <f t="shared" si="9"/>
        <v>Game 2</v>
      </c>
      <c r="E49" s="89" t="str">
        <f t="shared" si="7"/>
        <v/>
      </c>
      <c r="F49" s="85" t="str">
        <f>VLOOKUP(G49,'Swiss Registry'!$A$2:$B$703,2,False)</f>
        <v>itsaregionaldialect</v>
      </c>
      <c r="G49" s="84">
        <f t="shared" si="10"/>
        <v>657</v>
      </c>
      <c r="H49" s="83" t="s">
        <v>1499</v>
      </c>
    </row>
    <row r="50">
      <c r="A50" s="84">
        <f t="shared" si="8"/>
        <v>47</v>
      </c>
      <c r="B50" s="85" t="str">
        <f>VLOOKUP(A50,'Swiss Registry'!$A$2:$B$703,2,False)</f>
        <v>Figull400</v>
      </c>
      <c r="C50" s="86" t="str">
        <f t="shared" si="6"/>
        <v>Game 1</v>
      </c>
      <c r="D50" s="87" t="str">
        <f t="shared" si="9"/>
        <v>Game 2</v>
      </c>
      <c r="E50" s="88" t="str">
        <f t="shared" si="7"/>
        <v>Game 3</v>
      </c>
      <c r="F50" s="85" t="str">
        <f>VLOOKUP(G50,'Swiss Registry'!$A$2:$B$703,2,False)</f>
        <v>GroundBack</v>
      </c>
      <c r="G50" s="84">
        <f t="shared" si="10"/>
        <v>656</v>
      </c>
      <c r="H50" s="83" t="s">
        <v>1500</v>
      </c>
    </row>
    <row r="51">
      <c r="A51" s="84">
        <f t="shared" si="8"/>
        <v>48</v>
      </c>
      <c r="B51" s="85" t="str">
        <f>VLOOKUP(A51,'Swiss Registry'!$A$2:$B$703,2,False)</f>
        <v>Don Tonionie</v>
      </c>
      <c r="C51" s="86" t="str">
        <f t="shared" si="6"/>
        <v>Game 1</v>
      </c>
      <c r="D51" s="87" t="str">
        <f t="shared" si="9"/>
        <v>Game 2</v>
      </c>
      <c r="E51" s="88" t="str">
        <f t="shared" si="7"/>
        <v>Game 3</v>
      </c>
      <c r="F51" s="85" t="str">
        <f>VLOOKUP(G51,'Swiss Registry'!$A$2:$B$703,2,False)</f>
        <v>DonlyPhans</v>
      </c>
      <c r="G51" s="84">
        <f t="shared" si="10"/>
        <v>655</v>
      </c>
      <c r="H51" s="83" t="s">
        <v>1501</v>
      </c>
    </row>
    <row r="52">
      <c r="A52" s="84">
        <f t="shared" si="8"/>
        <v>49</v>
      </c>
      <c r="B52" s="85" t="str">
        <f>VLOOKUP(A52,'Swiss Registry'!$A$2:$B$703,2,False)</f>
        <v>Bhol</v>
      </c>
      <c r="C52" s="86" t="str">
        <f t="shared" si="6"/>
        <v>Game 1</v>
      </c>
      <c r="D52" s="87" t="str">
        <f t="shared" si="9"/>
        <v>Game 2</v>
      </c>
      <c r="E52" s="89" t="str">
        <f t="shared" si="7"/>
        <v/>
      </c>
      <c r="F52" s="85" t="str">
        <f>VLOOKUP(G52,'Swiss Registry'!$A$2:$B$703,2,False)</f>
        <v>krungus_01138</v>
      </c>
      <c r="G52" s="84">
        <f t="shared" si="10"/>
        <v>654</v>
      </c>
      <c r="H52" s="83" t="s">
        <v>1502</v>
      </c>
    </row>
    <row r="53">
      <c r="A53" s="84">
        <f t="shared" si="8"/>
        <v>50</v>
      </c>
      <c r="B53" s="85" t="s">
        <v>1503</v>
      </c>
      <c r="C53" s="86" t="str">
        <f t="shared" si="6"/>
        <v>Game 1</v>
      </c>
      <c r="D53" s="87" t="str">
        <f t="shared" si="9"/>
        <v>Game 2</v>
      </c>
      <c r="E53" s="88" t="str">
        <f t="shared" si="7"/>
        <v>Game 3</v>
      </c>
      <c r="F53" s="85" t="str">
        <f>VLOOKUP(G53,'Swiss Registry'!$A$2:$B$703,2,False)</f>
        <v>lraven17</v>
      </c>
      <c r="G53" s="84">
        <f t="shared" si="10"/>
        <v>653</v>
      </c>
      <c r="H53" s="83" t="s">
        <v>1504</v>
      </c>
    </row>
    <row r="54">
      <c r="A54" s="84">
        <f t="shared" si="8"/>
        <v>51</v>
      </c>
      <c r="B54" s="85" t="str">
        <f>VLOOKUP(A54,'Swiss Registry'!$A$2:$B$703,2,False)</f>
        <v>Texas Cloverleaf</v>
      </c>
      <c r="C54" s="86" t="str">
        <f t="shared" si="6"/>
        <v>Game 1</v>
      </c>
      <c r="D54" s="87" t="str">
        <f t="shared" si="9"/>
        <v>Game 2</v>
      </c>
      <c r="E54" s="89" t="str">
        <f t="shared" si="7"/>
        <v/>
      </c>
      <c r="F54" s="85" t="str">
        <f>VLOOKUP(G54,'Swiss Registry'!$A$2:$B$703,2,False)</f>
        <v>Master_Penguini</v>
      </c>
      <c r="G54" s="84">
        <f t="shared" si="10"/>
        <v>652</v>
      </c>
      <c r="H54" s="83" t="s">
        <v>1505</v>
      </c>
    </row>
    <row r="55">
      <c r="A55" s="84">
        <f t="shared" si="8"/>
        <v>52</v>
      </c>
      <c r="B55" s="85" t="str">
        <f>VLOOKUP(A55,'Swiss Registry'!$A$2:$B$703,2,False)</f>
        <v>OOZ</v>
      </c>
      <c r="C55" s="86" t="str">
        <f t="shared" si="6"/>
        <v>Game 1</v>
      </c>
      <c r="D55" s="87" t="str">
        <f t="shared" si="9"/>
        <v>Game 2</v>
      </c>
      <c r="E55" s="89" t="str">
        <f t="shared" si="7"/>
        <v/>
      </c>
      <c r="F55" s="85" t="str">
        <f>VLOOKUP(G55,'Swiss Registry'!$A$2:$B$703,2,False)</f>
        <v>solars_power</v>
      </c>
      <c r="G55" s="84">
        <f t="shared" si="10"/>
        <v>651</v>
      </c>
      <c r="H55" s="83" t="s">
        <v>1506</v>
      </c>
    </row>
    <row r="56">
      <c r="A56" s="84">
        <f t="shared" si="8"/>
        <v>53</v>
      </c>
      <c r="B56" s="85" t="str">
        <f>VLOOKUP(A56,'Swiss Registry'!$A$2:$B$703,2,False)</f>
        <v>Evakiyama</v>
      </c>
      <c r="C56" s="86" t="str">
        <f t="shared" si="6"/>
        <v>Game 1</v>
      </c>
      <c r="D56" s="87" t="str">
        <f t="shared" si="9"/>
        <v>Game 2</v>
      </c>
      <c r="E56" s="89" t="str">
        <f t="shared" si="7"/>
        <v/>
      </c>
      <c r="F56" s="85" t="str">
        <f>VLOOKUP(G56,'Swiss Registry'!$A$2:$B$703,2,False)</f>
        <v>Fairy</v>
      </c>
      <c r="G56" s="84">
        <f t="shared" si="10"/>
        <v>650</v>
      </c>
      <c r="H56" s="83" t="s">
        <v>1507</v>
      </c>
    </row>
    <row r="57">
      <c r="A57" s="84">
        <f t="shared" si="8"/>
        <v>54</v>
      </c>
      <c r="B57" s="85" t="str">
        <f>VLOOKUP(A57,'Swiss Registry'!$A$2:$B$703,2,False)</f>
        <v>Futtoka</v>
      </c>
      <c r="C57" s="86" t="str">
        <f t="shared" si="6"/>
        <v>Game 1</v>
      </c>
      <c r="D57" s="87" t="str">
        <f t="shared" si="9"/>
        <v>Game 2</v>
      </c>
      <c r="E57" s="88" t="str">
        <f t="shared" si="7"/>
        <v>Game 3</v>
      </c>
      <c r="F57" s="85" t="str">
        <f>VLOOKUP(G57,'Swiss Registry'!$A$2:$B$703,2,False)</f>
        <v>MenaCicada</v>
      </c>
      <c r="G57" s="84">
        <f t="shared" si="10"/>
        <v>649</v>
      </c>
      <c r="H57" s="83" t="s">
        <v>1508</v>
      </c>
    </row>
    <row r="58">
      <c r="A58" s="84">
        <f t="shared" si="8"/>
        <v>55</v>
      </c>
      <c r="B58" s="85" t="str">
        <f>VLOOKUP(A58,'Swiss Registry'!$A$2:$B$703,2,False)</f>
        <v>Kai (aplgd)</v>
      </c>
      <c r="C58" s="86" t="str">
        <f t="shared" si="6"/>
        <v>Game 1</v>
      </c>
      <c r="D58" s="87" t="str">
        <f t="shared" si="9"/>
        <v>Game 2</v>
      </c>
      <c r="E58" s="89" t="str">
        <f t="shared" si="7"/>
        <v/>
      </c>
      <c r="F58" s="85" t="str">
        <f>VLOOKUP(G58,'Swiss Registry'!$A$2:$B$703,2,False)</f>
        <v>Stuckkkk</v>
      </c>
      <c r="G58" s="84">
        <f t="shared" si="10"/>
        <v>648</v>
      </c>
      <c r="H58" s="83" t="s">
        <v>1509</v>
      </c>
    </row>
    <row r="59">
      <c r="A59" s="84">
        <f t="shared" si="8"/>
        <v>56</v>
      </c>
      <c r="B59" s="85" t="str">
        <f>VLOOKUP(A59,'Swiss Registry'!$A$2:$B$703,2,False)</f>
        <v>Vayun</v>
      </c>
      <c r="C59" s="90" t="str">
        <f t="shared" si="6"/>
        <v/>
      </c>
      <c r="D59" s="91" t="str">
        <f t="shared" si="9"/>
        <v>Act: Vayun</v>
      </c>
      <c r="E59" s="89" t="str">
        <f t="shared" si="7"/>
        <v/>
      </c>
      <c r="F59" s="85" t="str">
        <f>VLOOKUP(G59,'Swiss Registry'!$A$2:$B$703,2,False)</f>
        <v>sdj</v>
      </c>
      <c r="G59" s="84">
        <f t="shared" si="10"/>
        <v>647</v>
      </c>
      <c r="H59" s="83" t="s">
        <v>1486</v>
      </c>
    </row>
    <row r="60">
      <c r="A60" s="84">
        <f t="shared" si="8"/>
        <v>57</v>
      </c>
      <c r="B60" s="85" t="str">
        <f>VLOOKUP(A60,'Swiss Registry'!$A$2:$B$703,2,False)</f>
        <v>MeEsSm</v>
      </c>
      <c r="C60" s="86" t="str">
        <f t="shared" si="6"/>
        <v>Game 1</v>
      </c>
      <c r="D60" s="87" t="str">
        <f t="shared" si="9"/>
        <v>Game 2</v>
      </c>
      <c r="E60" s="89" t="str">
        <f t="shared" si="7"/>
        <v/>
      </c>
      <c r="F60" s="85" t="str">
        <f>VLOOKUP(G60,'Swiss Registry'!$A$2:$B$703,2,False)</f>
        <v>DeathbyDunsparce</v>
      </c>
      <c r="G60" s="84">
        <f t="shared" si="10"/>
        <v>646</v>
      </c>
      <c r="H60" s="83" t="s">
        <v>1510</v>
      </c>
    </row>
    <row r="61">
      <c r="A61" s="84">
        <f t="shared" si="8"/>
        <v>58</v>
      </c>
      <c r="B61" s="85" t="str">
        <f>VLOOKUP(A61,'Swiss Registry'!$A$2:$B$703,2,False)</f>
        <v>kingofironfrisk</v>
      </c>
      <c r="C61" s="86" t="str">
        <f t="shared" si="6"/>
        <v>Game 1</v>
      </c>
      <c r="D61" s="87" t="str">
        <f t="shared" si="9"/>
        <v>Game 2</v>
      </c>
      <c r="E61" s="89" t="str">
        <f t="shared" si="7"/>
        <v/>
      </c>
      <c r="F61" s="85" t="str">
        <f>VLOOKUP(G61,'Swiss Registry'!$A$2:$B$703,2,False)</f>
        <v>v1ctor23</v>
      </c>
      <c r="G61" s="84">
        <f t="shared" si="10"/>
        <v>645</v>
      </c>
      <c r="H61" s="83" t="s">
        <v>1511</v>
      </c>
    </row>
    <row r="62">
      <c r="A62" s="84">
        <f t="shared" si="8"/>
        <v>59</v>
      </c>
      <c r="B62" s="85" t="str">
        <f>VLOOKUP(A62,'Swiss Registry'!$A$2:$B$703,2,False)</f>
        <v>OopsAllDeoxys</v>
      </c>
      <c r="C62" s="86" t="str">
        <f t="shared" si="6"/>
        <v>Game 1</v>
      </c>
      <c r="D62" s="87" t="str">
        <f t="shared" si="9"/>
        <v>Game 2</v>
      </c>
      <c r="E62" s="88" t="str">
        <f t="shared" si="7"/>
        <v>Game 3</v>
      </c>
      <c r="F62" s="85" t="str">
        <f>VLOOKUP(G62,'Swiss Registry'!$A$2:$B$703,2,False)</f>
        <v>scrapmetal56</v>
      </c>
      <c r="G62" s="84">
        <f t="shared" si="10"/>
        <v>644</v>
      </c>
      <c r="H62" s="83" t="s">
        <v>1512</v>
      </c>
    </row>
    <row r="63">
      <c r="A63" s="84">
        <f t="shared" si="8"/>
        <v>60</v>
      </c>
      <c r="B63" s="85" t="str">
        <f>VLOOKUP(A63,'Swiss Registry'!$A$2:$B$703,2,False)</f>
        <v>Exiline</v>
      </c>
      <c r="C63" s="86" t="str">
        <f t="shared" si="6"/>
        <v>Game 1</v>
      </c>
      <c r="D63" s="87" t="str">
        <f t="shared" si="9"/>
        <v>Game 2</v>
      </c>
      <c r="E63" s="89" t="str">
        <f t="shared" si="7"/>
        <v/>
      </c>
      <c r="F63" s="85" t="str">
        <f>VLOOKUP(G63,'Swiss Registry'!$A$2:$B$703,2,False)</f>
        <v>Dig Boshi</v>
      </c>
      <c r="G63" s="84">
        <f t="shared" si="10"/>
        <v>643</v>
      </c>
      <c r="H63" s="83" t="s">
        <v>1513</v>
      </c>
    </row>
    <row r="64">
      <c r="A64" s="84">
        <f t="shared" si="8"/>
        <v>61</v>
      </c>
      <c r="B64" s="85" t="str">
        <f>VLOOKUP(A64,'Swiss Registry'!$A$2:$B$703,2,False)</f>
        <v>Zpanther</v>
      </c>
      <c r="C64" s="86" t="str">
        <f t="shared" si="6"/>
        <v>Game 1</v>
      </c>
      <c r="D64" s="87" t="str">
        <f t="shared" si="9"/>
        <v>Game 2</v>
      </c>
      <c r="E64" s="89" t="str">
        <f t="shared" si="7"/>
        <v/>
      </c>
      <c r="F64" s="85" t="str">
        <f>VLOOKUP(G64,'Swiss Registry'!$A$2:$B$703,2,False)</f>
        <v>b1ur</v>
      </c>
      <c r="G64" s="84">
        <f t="shared" si="10"/>
        <v>642</v>
      </c>
      <c r="H64" s="83" t="s">
        <v>1514</v>
      </c>
    </row>
    <row r="65">
      <c r="A65" s="84">
        <f t="shared" si="8"/>
        <v>62</v>
      </c>
      <c r="B65" s="85" t="str">
        <f>VLOOKUP(A65,'Swiss Registry'!$A$2:$B$703,2,False)</f>
        <v>Nicole</v>
      </c>
      <c r="C65" s="86" t="str">
        <f t="shared" si="6"/>
        <v>Game 1</v>
      </c>
      <c r="D65" s="87" t="str">
        <f t="shared" si="9"/>
        <v>Game 2</v>
      </c>
      <c r="E65" s="88" t="str">
        <f t="shared" si="7"/>
        <v>Game 3</v>
      </c>
      <c r="F65" s="85" t="str">
        <f>VLOOKUP(G65,'Swiss Registry'!$A$2:$B$703,2,False)</f>
        <v>Josito</v>
      </c>
      <c r="G65" s="84">
        <f t="shared" si="10"/>
        <v>641</v>
      </c>
      <c r="H65" s="83" t="s">
        <v>1515</v>
      </c>
    </row>
    <row r="66">
      <c r="A66" s="84">
        <f t="shared" si="8"/>
        <v>63</v>
      </c>
      <c r="B66" s="85" t="str">
        <f>VLOOKUP(A66,'Swiss Registry'!$A$2:$B$703,2,False)</f>
        <v>Rambode</v>
      </c>
      <c r="C66" s="86" t="str">
        <f t="shared" si="6"/>
        <v>Game 1</v>
      </c>
      <c r="D66" s="87" t="str">
        <f t="shared" si="9"/>
        <v>Game 2</v>
      </c>
      <c r="E66" s="89" t="str">
        <f t="shared" si="7"/>
        <v/>
      </c>
      <c r="F66" s="85" t="str">
        <f>VLOOKUP(G66,'Swiss Registry'!$A$2:$B$703,2,False)</f>
        <v>@spreek</v>
      </c>
      <c r="G66" s="84">
        <f t="shared" si="10"/>
        <v>640</v>
      </c>
      <c r="H66" s="83" t="s">
        <v>1516</v>
      </c>
    </row>
    <row r="67">
      <c r="A67" s="84">
        <f t="shared" si="8"/>
        <v>64</v>
      </c>
      <c r="B67" s="85" t="str">
        <f>VLOOKUP(A67,'Swiss Registry'!$A$2:$B$703,2,False)</f>
        <v>xGangg</v>
      </c>
      <c r="C67" s="86" t="str">
        <f t="shared" si="6"/>
        <v>Game 1</v>
      </c>
      <c r="D67" s="87" t="str">
        <f t="shared" si="9"/>
        <v>Game 2</v>
      </c>
      <c r="E67" s="88" t="str">
        <f t="shared" si="7"/>
        <v>Game 3</v>
      </c>
      <c r="F67" s="85" t="str">
        <f>VLOOKUP(G67,'Swiss Registry'!$A$2:$B$703,2,False)</f>
        <v>Filthy Cubone</v>
      </c>
      <c r="G67" s="84">
        <f t="shared" si="10"/>
        <v>639</v>
      </c>
      <c r="H67" s="83" t="s">
        <v>1517</v>
      </c>
    </row>
    <row r="68">
      <c r="A68" s="84">
        <f t="shared" si="8"/>
        <v>65</v>
      </c>
      <c r="B68" s="85" t="str">
        <f>VLOOKUP(A68,'Swiss Registry'!$A$2:$B$703,2,False)</f>
        <v>shawtyyyyyyy</v>
      </c>
      <c r="C68" s="86" t="str">
        <f t="shared" si="6"/>
        <v>Game 1</v>
      </c>
      <c r="D68" s="87" t="str">
        <f t="shared" si="9"/>
        <v>Game 2</v>
      </c>
      <c r="E68" s="89" t="str">
        <f t="shared" si="7"/>
        <v/>
      </c>
      <c r="F68" s="85" t="str">
        <f>VLOOKUP(G68,'Swiss Registry'!$A$2:$B$703,2,False)</f>
        <v>the_app</v>
      </c>
      <c r="G68" s="84">
        <f t="shared" si="10"/>
        <v>638</v>
      </c>
      <c r="H68" s="83" t="s">
        <v>1518</v>
      </c>
    </row>
    <row r="69">
      <c r="A69" s="84">
        <f t="shared" si="8"/>
        <v>66</v>
      </c>
      <c r="B69" s="85" t="str">
        <f>VLOOKUP(A69,'Swiss Registry'!$A$2:$B$703,2,False)</f>
        <v>Mackenzie</v>
      </c>
      <c r="C69" s="86" t="str">
        <f t="shared" si="6"/>
        <v>Game 1</v>
      </c>
      <c r="D69" s="87" t="str">
        <f t="shared" si="9"/>
        <v>Game 2</v>
      </c>
      <c r="E69" s="88" t="str">
        <f t="shared" si="7"/>
        <v>Game 3</v>
      </c>
      <c r="F69" s="85" t="str">
        <f>VLOOKUP(G69,'Swiss Registry'!$A$2:$B$703,2,False)</f>
        <v>lacoot</v>
      </c>
      <c r="G69" s="84">
        <f t="shared" si="10"/>
        <v>637</v>
      </c>
      <c r="H69" s="83" t="s">
        <v>1519</v>
      </c>
    </row>
    <row r="70">
      <c r="A70" s="84">
        <f t="shared" si="8"/>
        <v>67</v>
      </c>
      <c r="B70" s="85" t="str">
        <f>VLOOKUP(A70,'Swiss Registry'!$A$2:$B$703,2,False)</f>
        <v>A Welcome Guest</v>
      </c>
      <c r="C70" s="86" t="str">
        <f t="shared" si="6"/>
        <v>Game 1</v>
      </c>
      <c r="D70" s="87" t="str">
        <f t="shared" si="9"/>
        <v>Game 2</v>
      </c>
      <c r="E70" s="88" t="str">
        <f t="shared" si="7"/>
        <v>Game 3</v>
      </c>
      <c r="F70" s="85" t="str">
        <f>VLOOKUP(G70,'Swiss Registry'!$A$2:$B$703,2,False)</f>
        <v>Eggman</v>
      </c>
      <c r="G70" s="84">
        <f t="shared" si="10"/>
        <v>636</v>
      </c>
      <c r="H70" s="83" t="s">
        <v>1520</v>
      </c>
    </row>
    <row r="71">
      <c r="A71" s="84">
        <f t="shared" si="8"/>
        <v>68</v>
      </c>
      <c r="B71" s="85" t="str">
        <f>VLOOKUP(A71,'Swiss Registry'!$A$2:$B$703,2,False)</f>
        <v>Kingu</v>
      </c>
      <c r="C71" s="86" t="str">
        <f t="shared" si="6"/>
        <v>Game 1</v>
      </c>
      <c r="D71" s="87" t="str">
        <f t="shared" si="9"/>
        <v>Game 2</v>
      </c>
      <c r="E71" s="89" t="str">
        <f t="shared" si="7"/>
        <v/>
      </c>
      <c r="F71" s="85" t="str">
        <f>VLOOKUP(G71,'Swiss Registry'!$A$2:$B$703,2,False)</f>
        <v>elmagneto</v>
      </c>
      <c r="G71" s="84">
        <f t="shared" si="10"/>
        <v>635</v>
      </c>
      <c r="H71" s="83" t="s">
        <v>1521</v>
      </c>
    </row>
    <row r="72">
      <c r="A72" s="84">
        <f t="shared" si="8"/>
        <v>69</v>
      </c>
      <c r="B72" s="85" t="str">
        <f>VLOOKUP(A72,'Swiss Registry'!$A$2:$B$703,2,False)</f>
        <v>Alice</v>
      </c>
      <c r="C72" s="86" t="str">
        <f t="shared" si="6"/>
        <v>Game 1</v>
      </c>
      <c r="D72" s="87" t="str">
        <f t="shared" si="9"/>
        <v>Game 2</v>
      </c>
      <c r="E72" s="89" t="str">
        <f t="shared" si="7"/>
        <v/>
      </c>
      <c r="F72" s="85" t="str">
        <f>VLOOKUP(G72,'Swiss Registry'!$A$2:$B$703,2,False)</f>
        <v>perogee</v>
      </c>
      <c r="G72" s="84">
        <f t="shared" si="10"/>
        <v>634</v>
      </c>
      <c r="H72" s="83" t="s">
        <v>1522</v>
      </c>
    </row>
    <row r="73">
      <c r="A73" s="84">
        <f t="shared" si="8"/>
        <v>70</v>
      </c>
      <c r="B73" s="85" t="str">
        <f>VLOOKUP(A73,'Swiss Registry'!$A$2:$B$703,2,False)</f>
        <v>H&gt;L</v>
      </c>
      <c r="C73" s="90" t="str">
        <f t="shared" si="6"/>
        <v/>
      </c>
      <c r="D73" s="91" t="str">
        <f t="shared" si="9"/>
        <v>Act: Simonf</v>
      </c>
      <c r="E73" s="89" t="str">
        <f t="shared" si="7"/>
        <v/>
      </c>
      <c r="F73" s="85" t="str">
        <f>VLOOKUP(G73,'Swiss Registry'!$A$2:$B$703,2,False)</f>
        <v>Simonf</v>
      </c>
      <c r="G73" s="84">
        <f t="shared" si="10"/>
        <v>633</v>
      </c>
      <c r="H73" s="83" t="s">
        <v>1523</v>
      </c>
    </row>
    <row r="74">
      <c r="A74" s="84">
        <f t="shared" si="8"/>
        <v>71</v>
      </c>
      <c r="B74" s="85" t="str">
        <f>VLOOKUP(A74,'Swiss Registry'!$A$2:$B$703,2,False)</f>
        <v>Sanke Carp</v>
      </c>
      <c r="C74" s="86" t="str">
        <f t="shared" si="6"/>
        <v>Game 1</v>
      </c>
      <c r="D74" s="87" t="str">
        <f t="shared" si="9"/>
        <v>Game 2</v>
      </c>
      <c r="E74" s="89" t="str">
        <f t="shared" si="7"/>
        <v/>
      </c>
      <c r="F74" s="85" t="str">
        <f>VLOOKUP(G74,'Swiss Registry'!$A$2:$B$703,2,False)</f>
        <v>toruwu</v>
      </c>
      <c r="G74" s="84">
        <f t="shared" si="10"/>
        <v>632</v>
      </c>
      <c r="H74" s="83" t="s">
        <v>1524</v>
      </c>
    </row>
    <row r="75">
      <c r="A75" s="84">
        <f t="shared" si="8"/>
        <v>72</v>
      </c>
      <c r="B75" s="85" t="str">
        <f>VLOOKUP(A75,'Swiss Registry'!$A$2:$B$703,2,False)</f>
        <v>Roy Yamaha</v>
      </c>
      <c r="C75" s="90" t="str">
        <f t="shared" si="6"/>
        <v/>
      </c>
      <c r="D75" s="91" t="str">
        <f t="shared" si="9"/>
        <v>Act: Slimsinatra93</v>
      </c>
      <c r="E75" s="89" t="str">
        <f t="shared" si="7"/>
        <v/>
      </c>
      <c r="F75" s="85" t="str">
        <f>VLOOKUP(G75,'Swiss Registry'!$A$2:$B$703,2,False)</f>
        <v>Slimsinatra93</v>
      </c>
      <c r="G75" s="84">
        <f t="shared" si="10"/>
        <v>631</v>
      </c>
      <c r="H75" s="83" t="s">
        <v>1523</v>
      </c>
    </row>
    <row r="76">
      <c r="A76" s="84">
        <f t="shared" si="8"/>
        <v>73</v>
      </c>
      <c r="B76" s="85" t="str">
        <f>VLOOKUP(A76,'Swiss Registry'!$A$2:$B$703,2,False)</f>
        <v>Oathkeeper</v>
      </c>
      <c r="C76" s="86" t="str">
        <f t="shared" si="6"/>
        <v>Game 1</v>
      </c>
      <c r="D76" s="87" t="str">
        <f t="shared" si="9"/>
        <v>Game 2</v>
      </c>
      <c r="E76" s="88" t="str">
        <f t="shared" si="7"/>
        <v>Game 3</v>
      </c>
      <c r="F76" s="85" t="str">
        <f>VLOOKUP(G76,'Swiss Registry'!$A$2:$B$703,2,False)</f>
        <v>dustyfans</v>
      </c>
      <c r="G76" s="84">
        <f t="shared" si="10"/>
        <v>630</v>
      </c>
      <c r="H76" s="83" t="s">
        <v>1525</v>
      </c>
    </row>
    <row r="77">
      <c r="A77" s="84">
        <f t="shared" si="8"/>
        <v>74</v>
      </c>
      <c r="B77" s="85" t="str">
        <f>VLOOKUP(A77,'Swiss Registry'!$A$2:$B$703,2,False)</f>
        <v>xXEricXx</v>
      </c>
      <c r="C77" s="86" t="str">
        <f t="shared" si="6"/>
        <v>Game 1</v>
      </c>
      <c r="D77" s="87" t="str">
        <f t="shared" si="9"/>
        <v>Game 2</v>
      </c>
      <c r="E77" s="88" t="str">
        <f t="shared" si="7"/>
        <v>Game 3</v>
      </c>
      <c r="F77" s="85" t="str">
        <f>VLOOKUP(G77,'Swiss Registry'!$A$2:$B$703,2,False)</f>
        <v>Ragnarocco244</v>
      </c>
      <c r="G77" s="84">
        <f t="shared" si="10"/>
        <v>629</v>
      </c>
      <c r="H77" s="83" t="s">
        <v>1526</v>
      </c>
    </row>
    <row r="78">
      <c r="A78" s="84">
        <f t="shared" si="8"/>
        <v>75</v>
      </c>
      <c r="B78" s="85" t="str">
        <f>VLOOKUP(A78,'Swiss Registry'!$A$2:$B$703,2,False)</f>
        <v>Marshy</v>
      </c>
      <c r="C78" s="86" t="str">
        <f t="shared" si="6"/>
        <v>Game 1</v>
      </c>
      <c r="D78" s="87" t="str">
        <f t="shared" si="9"/>
        <v>Game 2</v>
      </c>
      <c r="E78" s="89" t="str">
        <f t="shared" si="7"/>
        <v/>
      </c>
      <c r="F78" s="85" t="str">
        <f>VLOOKUP(G78,'Swiss Registry'!$A$2:$B$703,2,False)</f>
        <v>Vassimobin</v>
      </c>
      <c r="G78" s="84">
        <f t="shared" si="10"/>
        <v>628</v>
      </c>
      <c r="H78" s="83" t="s">
        <v>1527</v>
      </c>
    </row>
    <row r="79">
      <c r="A79" s="84">
        <f t="shared" si="8"/>
        <v>76</v>
      </c>
      <c r="B79" s="85" t="str">
        <f>VLOOKUP(A79,'Swiss Registry'!$A$2:$B$703,2,False)</f>
        <v>Smallow</v>
      </c>
      <c r="C79" s="86" t="str">
        <f t="shared" si="6"/>
        <v>Game 1</v>
      </c>
      <c r="D79" s="87" t="str">
        <f t="shared" si="9"/>
        <v>Game 2</v>
      </c>
      <c r="E79" s="88" t="str">
        <f t="shared" si="7"/>
        <v>Game 3</v>
      </c>
      <c r="F79" s="85" t="str">
        <f>VLOOKUP(G79,'Swiss Registry'!$A$2:$B$703,2,False)</f>
        <v>sheikhater</v>
      </c>
      <c r="G79" s="84">
        <f t="shared" si="10"/>
        <v>627</v>
      </c>
      <c r="H79" s="83" t="s">
        <v>1528</v>
      </c>
    </row>
    <row r="80">
      <c r="A80" s="84">
        <f t="shared" si="8"/>
        <v>77</v>
      </c>
      <c r="B80" s="85" t="str">
        <f>VLOOKUP(A80,'Swiss Registry'!$A$2:$B$703,2,False)</f>
        <v>Churi</v>
      </c>
      <c r="C80" s="86" t="str">
        <f t="shared" si="6"/>
        <v>Game 1</v>
      </c>
      <c r="D80" s="87" t="str">
        <f t="shared" si="9"/>
        <v>Game 2</v>
      </c>
      <c r="E80" s="89" t="str">
        <f t="shared" si="7"/>
        <v/>
      </c>
      <c r="F80" s="85" t="str">
        <f>VLOOKUP(G80,'Swiss Registry'!$A$2:$B$703,2,False)</f>
        <v>tsuki.no.miko</v>
      </c>
      <c r="G80" s="84">
        <f t="shared" si="10"/>
        <v>626</v>
      </c>
      <c r="H80" s="83" t="s">
        <v>1529</v>
      </c>
    </row>
    <row r="81">
      <c r="A81" s="84">
        <f t="shared" si="8"/>
        <v>78</v>
      </c>
      <c r="B81" s="85" t="str">
        <f>VLOOKUP(A81,'Swiss Registry'!$A$2:$B$703,2,False)</f>
        <v>OOF_MAXIMA</v>
      </c>
      <c r="C81" s="86" t="str">
        <f t="shared" si="6"/>
        <v>Game 1</v>
      </c>
      <c r="D81" s="87" t="str">
        <f t="shared" si="9"/>
        <v>Game 2</v>
      </c>
      <c r="E81" s="88" t="str">
        <f t="shared" si="7"/>
        <v>Game 3</v>
      </c>
      <c r="F81" s="85" t="str">
        <f>VLOOKUP(G81,'Swiss Registry'!$A$2:$B$703,2,False)</f>
        <v>Microsoft_J</v>
      </c>
      <c r="G81" s="84">
        <f t="shared" si="10"/>
        <v>625</v>
      </c>
      <c r="H81" s="83" t="s">
        <v>1530</v>
      </c>
    </row>
    <row r="82" ht="15.0" customHeight="1">
      <c r="A82" s="80"/>
      <c r="B82" s="81"/>
      <c r="C82" s="81"/>
      <c r="D82" s="82" t="s">
        <v>1531</v>
      </c>
      <c r="E82" s="81"/>
      <c r="F82" s="81"/>
      <c r="G82" s="80"/>
      <c r="H82" s="83"/>
    </row>
    <row r="83">
      <c r="A83" s="84">
        <f>A81+1</f>
        <v>79</v>
      </c>
      <c r="B83" s="85" t="str">
        <f>VLOOKUP(A83,'Swiss Registry'!$A$2:$B$703,2,False)</f>
        <v>Buzzed</v>
      </c>
      <c r="C83" s="86" t="str">
        <f t="shared" ref="C83:C121" si="11">IF(H83="dead","",IF(H83="a:act","",IF(H83="b:act","",IF(ISURL(HYPERLINK(INDIRECT("Importer!B"&amp;MID(H83,2,4)+1,TRUE))),HYPERLINK(INDIRECT("Importer!B"&amp;MID(H83,2,4)+1,TRUE), "Game 1"),""))))</f>
        <v>Game 1</v>
      </c>
      <c r="D83" s="87" t="str">
        <f>IF(H83="dead","Dead Game",IF(H83="a:act","Act: "&amp;F83,IF(H83="b:act","Act: "&amp;#REF!,IF(ISURL(HYPERLINK(INDIRECT("Importer!B"&amp;MID(H83,6,4)+1,TRUE))),HYPERLINK(INDIRECT("Importer!B"&amp;MID(H83,6,4)+1,TRUE), "Game 2"),""))))</f>
        <v>Game 2</v>
      </c>
      <c r="E83" s="89" t="str">
        <f t="shared" ref="E83:E121" si="12">IF(H83="dead","",IF(H83="a:act","",IF(H83="b:act","",IF(ISURL(HYPERLINK(INDIRECT("Importer!B"&amp;MID(H83,10,4)+1,TRUE))),HYPERLINK(INDIRECT("Importer!B"&amp;MID(H83,10,4)+1,TRUE), "Game 3"),""))))</f>
        <v/>
      </c>
      <c r="F83" s="85" t="str">
        <f>VLOOKUP(G83,'Swiss Registry'!$A$2:$B$703,2,False)</f>
        <v>ByrneBaby</v>
      </c>
      <c r="G83" s="84">
        <f>G81-1</f>
        <v>624</v>
      </c>
      <c r="H83" s="83" t="s">
        <v>1532</v>
      </c>
    </row>
    <row r="84">
      <c r="A84" s="84">
        <f t="shared" ref="A84:A121" si="13">A83+1</f>
        <v>80</v>
      </c>
      <c r="B84" s="85" t="str">
        <f>VLOOKUP(A84,'Swiss Registry'!$A$2:$B$703,2,False)</f>
        <v>Incognition</v>
      </c>
      <c r="C84" s="90" t="str">
        <f t="shared" si="11"/>
        <v/>
      </c>
      <c r="D84" s="91" t="str">
        <f t="shared" ref="D84:D121" si="14">IF(H84="dead","Dead Game",IF(H84="a:act","Act: "&amp;B84,IF(H84="b:act","Act: "&amp;F84,IF(ISURL(HYPERLINK(INDIRECT("Importer!B"&amp;MID(H84,6,4)+1,TRUE))),HYPERLINK(INDIRECT("Importer!B"&amp;MID(H84,6,4)+1,TRUE), "Game 2"),""))))</f>
        <v>Act: Incognition</v>
      </c>
      <c r="E84" s="89" t="str">
        <f t="shared" si="12"/>
        <v/>
      </c>
      <c r="F84" s="85" t="str">
        <f>VLOOKUP(G84,'Swiss Registry'!$A$2:$B$703,2,False)</f>
        <v>cow3492</v>
      </c>
      <c r="G84" s="84">
        <f t="shared" ref="G84:G121" si="15">G83-1</f>
        <v>623</v>
      </c>
      <c r="H84" s="83" t="s">
        <v>1486</v>
      </c>
    </row>
    <row r="85">
      <c r="A85" s="84">
        <f t="shared" si="13"/>
        <v>81</v>
      </c>
      <c r="B85" s="85" t="str">
        <f>VLOOKUP(A85,'Swiss Registry'!$A$2:$B$703,2,False)</f>
        <v>Tempokin</v>
      </c>
      <c r="C85" s="86" t="str">
        <f t="shared" si="11"/>
        <v>Game 1</v>
      </c>
      <c r="D85" s="87" t="str">
        <f t="shared" si="14"/>
        <v>Game 2</v>
      </c>
      <c r="E85" s="89" t="str">
        <f t="shared" si="12"/>
        <v/>
      </c>
      <c r="F85" s="85" t="str">
        <f>VLOOKUP(G85,'Swiss Registry'!$A$2:$B$703,2,False)</f>
        <v>Nicko8</v>
      </c>
      <c r="G85" s="84">
        <f t="shared" si="15"/>
        <v>622</v>
      </c>
      <c r="H85" s="83" t="s">
        <v>1533</v>
      </c>
    </row>
    <row r="86">
      <c r="A86" s="84">
        <f t="shared" si="13"/>
        <v>82</v>
      </c>
      <c r="B86" s="85" t="str">
        <f>VLOOKUP(A86,'Swiss Registry'!$A$2:$B$703,2,False)</f>
        <v>Egor</v>
      </c>
      <c r="C86" s="86" t="str">
        <f t="shared" si="11"/>
        <v>Game 1</v>
      </c>
      <c r="D86" s="87" t="str">
        <f t="shared" si="14"/>
        <v>Game 2</v>
      </c>
      <c r="E86" s="88" t="str">
        <f t="shared" si="12"/>
        <v>Game 3</v>
      </c>
      <c r="F86" s="85" t="str">
        <f>VLOOKUP(G86,'Swiss Registry'!$A$2:$B$703,2,False)</f>
        <v>dinkdank_</v>
      </c>
      <c r="G86" s="84">
        <f t="shared" si="15"/>
        <v>621</v>
      </c>
      <c r="H86" s="83" t="s">
        <v>1534</v>
      </c>
    </row>
    <row r="87">
      <c r="A87" s="84">
        <f t="shared" si="13"/>
        <v>83</v>
      </c>
      <c r="B87" s="85" t="str">
        <f>VLOOKUP(A87,'Swiss Registry'!$A$2:$B$703,2,False)</f>
        <v>King Raska</v>
      </c>
      <c r="C87" s="86" t="str">
        <f t="shared" si="11"/>
        <v>Game 1</v>
      </c>
      <c r="D87" s="87" t="str">
        <f t="shared" si="14"/>
        <v>Game 2</v>
      </c>
      <c r="E87" s="88" t="str">
        <f t="shared" si="12"/>
        <v>Game 3</v>
      </c>
      <c r="F87" s="85" t="str">
        <f>VLOOKUP(G87,'Swiss Registry'!$A$2:$B$703,2,False)</f>
        <v>Sotina</v>
      </c>
      <c r="G87" s="84">
        <f t="shared" si="15"/>
        <v>620</v>
      </c>
      <c r="H87" s="83" t="s">
        <v>1535</v>
      </c>
    </row>
    <row r="88">
      <c r="A88" s="84">
        <f t="shared" si="13"/>
        <v>84</v>
      </c>
      <c r="B88" s="85" t="str">
        <f>VLOOKUP(A88,'Swiss Registry'!$A$2:$B$703,2,False)</f>
        <v>qsns</v>
      </c>
      <c r="C88" s="86" t="str">
        <f t="shared" si="11"/>
        <v>Game 1</v>
      </c>
      <c r="D88" s="87" t="str">
        <f t="shared" si="14"/>
        <v>Game 2</v>
      </c>
      <c r="E88" s="89" t="str">
        <f t="shared" si="12"/>
        <v/>
      </c>
      <c r="F88" s="85" t="str">
        <f>VLOOKUP(G88,'Swiss Registry'!$A$2:$B$703,2,False)</f>
        <v>kinou_pkm</v>
      </c>
      <c r="G88" s="84">
        <f t="shared" si="15"/>
        <v>619</v>
      </c>
      <c r="H88" s="83" t="s">
        <v>1536</v>
      </c>
    </row>
    <row r="89">
      <c r="A89" s="84">
        <f t="shared" si="13"/>
        <v>85</v>
      </c>
      <c r="B89" s="85" t="str">
        <f>VLOOKUP(A89,'Swiss Registry'!$A$2:$B$703,2,False)</f>
        <v>Cyberas</v>
      </c>
      <c r="C89" s="90" t="str">
        <f t="shared" si="11"/>
        <v/>
      </c>
      <c r="D89" s="91" t="str">
        <f t="shared" si="14"/>
        <v>Act: Cyberas</v>
      </c>
      <c r="E89" s="89" t="str">
        <f t="shared" si="12"/>
        <v/>
      </c>
      <c r="F89" s="85" t="str">
        <f>VLOOKUP(G89,'Swiss Registry'!$A$2:$B$703,2,False)</f>
        <v>wolfturds</v>
      </c>
      <c r="G89" s="84">
        <f t="shared" si="15"/>
        <v>618</v>
      </c>
      <c r="H89" s="83" t="s">
        <v>1486</v>
      </c>
    </row>
    <row r="90">
      <c r="A90" s="84">
        <f t="shared" si="13"/>
        <v>86</v>
      </c>
      <c r="B90" s="85" t="str">
        <f>VLOOKUP(A90,'Swiss Registry'!$A$2:$B$703,2,False)</f>
        <v>Cake</v>
      </c>
      <c r="C90" s="86" t="str">
        <f t="shared" si="11"/>
        <v>Game 1</v>
      </c>
      <c r="D90" s="87" t="str">
        <f t="shared" si="14"/>
        <v>Game 2</v>
      </c>
      <c r="E90" s="89" t="str">
        <f t="shared" si="12"/>
        <v/>
      </c>
      <c r="F90" s="85" t="str">
        <f>VLOOKUP(G90,'Swiss Registry'!$A$2:$B$703,2,False)</f>
        <v>Ktools#9665</v>
      </c>
      <c r="G90" s="84">
        <f t="shared" si="15"/>
        <v>617</v>
      </c>
      <c r="H90" s="83" t="s">
        <v>1537</v>
      </c>
    </row>
    <row r="91">
      <c r="A91" s="84">
        <f t="shared" si="13"/>
        <v>87</v>
      </c>
      <c r="B91" s="85" t="str">
        <f>VLOOKUP(A91,'Swiss Registry'!$A$2:$B$703,2,False)</f>
        <v>Zcarlett</v>
      </c>
      <c r="C91" s="86" t="str">
        <f t="shared" si="11"/>
        <v>Game 1</v>
      </c>
      <c r="D91" s="87" t="str">
        <f t="shared" si="14"/>
        <v>Game 2</v>
      </c>
      <c r="E91" s="89" t="str">
        <f t="shared" si="12"/>
        <v/>
      </c>
      <c r="F91" s="85" t="str">
        <f>VLOOKUP(G91,'Swiss Registry'!$A$2:$B$703,2,False)</f>
        <v>Upon_Link_Main</v>
      </c>
      <c r="G91" s="84">
        <f t="shared" si="15"/>
        <v>616</v>
      </c>
      <c r="H91" s="83" t="s">
        <v>1538</v>
      </c>
    </row>
    <row r="92">
      <c r="A92" s="84">
        <f t="shared" si="13"/>
        <v>88</v>
      </c>
      <c r="B92" s="85" t="str">
        <f>VLOOKUP(A92,'Swiss Registry'!$A$2:$B$703,2,False)</f>
        <v>TechSavage</v>
      </c>
      <c r="C92" s="86" t="str">
        <f t="shared" si="11"/>
        <v>Game 1</v>
      </c>
      <c r="D92" s="87" t="str">
        <f t="shared" si="14"/>
        <v>Game 2</v>
      </c>
      <c r="E92" s="88" t="str">
        <f t="shared" si="12"/>
        <v>Game 3</v>
      </c>
      <c r="F92" s="85" t="str">
        <f>VLOOKUP(G92,'Swiss Registry'!$A$2:$B$703,2,False)</f>
        <v>giantking20</v>
      </c>
      <c r="G92" s="84">
        <f t="shared" si="15"/>
        <v>615</v>
      </c>
      <c r="H92" s="83" t="s">
        <v>1539</v>
      </c>
    </row>
    <row r="93">
      <c r="A93" s="84">
        <f t="shared" si="13"/>
        <v>89</v>
      </c>
      <c r="B93" s="85" t="str">
        <f>VLOOKUP(A93,'Swiss Registry'!$A$2:$B$703,2,False)</f>
        <v>Alecss</v>
      </c>
      <c r="C93" s="86" t="str">
        <f t="shared" si="11"/>
        <v>Game 1</v>
      </c>
      <c r="D93" s="87" t="str">
        <f t="shared" si="14"/>
        <v>Game 2</v>
      </c>
      <c r="E93" s="89" t="str">
        <f t="shared" si="12"/>
        <v/>
      </c>
      <c r="F93" s="85" t="str">
        <f>VLOOKUP(G93,'Swiss Registry'!$A$2:$B$703,2,False)</f>
        <v>Leeto64</v>
      </c>
      <c r="G93" s="84">
        <f t="shared" si="15"/>
        <v>614</v>
      </c>
      <c r="H93" s="83" t="s">
        <v>1540</v>
      </c>
    </row>
    <row r="94">
      <c r="A94" s="84">
        <f t="shared" si="13"/>
        <v>90</v>
      </c>
      <c r="B94" s="85" t="str">
        <f>VLOOKUP(A94,'Swiss Registry'!$A$2:$B$703,2,False)</f>
        <v>Mantis</v>
      </c>
      <c r="C94" s="90" t="str">
        <f t="shared" si="11"/>
        <v/>
      </c>
      <c r="D94" s="91" t="str">
        <f t="shared" si="14"/>
        <v>Act: Mantis</v>
      </c>
      <c r="E94" s="89" t="str">
        <f t="shared" si="12"/>
        <v/>
      </c>
      <c r="F94" s="85" t="str">
        <f>VLOOKUP(G94,'Swiss Registry'!$A$2:$B$703,2,False)</f>
        <v>Ghostfall22</v>
      </c>
      <c r="G94" s="84">
        <f t="shared" si="15"/>
        <v>613</v>
      </c>
      <c r="H94" s="83" t="s">
        <v>1486</v>
      </c>
    </row>
    <row r="95">
      <c r="A95" s="84">
        <f t="shared" si="13"/>
        <v>91</v>
      </c>
      <c r="B95" s="85" t="str">
        <f>VLOOKUP(A95,'Swiss Registry'!$A$2:$B$703,2,False)</f>
        <v>Younglemonhope</v>
      </c>
      <c r="C95" s="86" t="str">
        <f t="shared" si="11"/>
        <v>Game 1</v>
      </c>
      <c r="D95" s="87" t="str">
        <f t="shared" si="14"/>
        <v>Game 2</v>
      </c>
      <c r="E95" s="89" t="str">
        <f t="shared" si="12"/>
        <v/>
      </c>
      <c r="F95" s="85" t="str">
        <f>VLOOKUP(G95,'Swiss Registry'!$A$2:$B$703,2,False)</f>
        <v>scurrying_snail</v>
      </c>
      <c r="G95" s="84">
        <f t="shared" si="15"/>
        <v>612</v>
      </c>
      <c r="H95" s="83" t="s">
        <v>1541</v>
      </c>
    </row>
    <row r="96">
      <c r="A96" s="84">
        <f t="shared" si="13"/>
        <v>92</v>
      </c>
      <c r="B96" s="85" t="str">
        <f>VLOOKUP(A96,'Swiss Registry'!$A$2:$B$703,2,False)</f>
        <v>Cryolite</v>
      </c>
      <c r="C96" s="86" t="str">
        <f t="shared" si="11"/>
        <v>Game 1</v>
      </c>
      <c r="D96" s="87" t="str">
        <f t="shared" si="14"/>
        <v>Game 2</v>
      </c>
      <c r="E96" s="88" t="str">
        <f t="shared" si="12"/>
        <v>Game 3</v>
      </c>
      <c r="F96" s="85" t="str">
        <f>VLOOKUP(G96,'Swiss Registry'!$A$2:$B$703,2,False)</f>
        <v>EatYourToastSon</v>
      </c>
      <c r="G96" s="84">
        <f t="shared" si="15"/>
        <v>611</v>
      </c>
      <c r="H96" s="83" t="s">
        <v>1542</v>
      </c>
    </row>
    <row r="97">
      <c r="A97" s="84">
        <f t="shared" si="13"/>
        <v>93</v>
      </c>
      <c r="B97" s="85" t="str">
        <f>VLOOKUP(A97,'Swiss Registry'!$A$2:$B$703,2,False)</f>
        <v>Shadowtime2000</v>
      </c>
      <c r="C97" s="90" t="str">
        <f t="shared" si="11"/>
        <v/>
      </c>
      <c r="D97" s="91" t="str">
        <f t="shared" si="14"/>
        <v>Act: nichard_</v>
      </c>
      <c r="E97" s="89" t="str">
        <f t="shared" si="12"/>
        <v/>
      </c>
      <c r="F97" s="85" t="str">
        <f>VLOOKUP(G97,'Swiss Registry'!$A$2:$B$703,2,False)</f>
        <v>nichard_</v>
      </c>
      <c r="G97" s="84">
        <f t="shared" si="15"/>
        <v>610</v>
      </c>
      <c r="H97" s="83" t="s">
        <v>1523</v>
      </c>
    </row>
    <row r="98">
      <c r="A98" s="84">
        <f t="shared" si="13"/>
        <v>94</v>
      </c>
      <c r="B98" s="85" t="str">
        <f>VLOOKUP(A98,'Swiss Registry'!$A$2:$B$703,2,False)</f>
        <v>ratdogreborn</v>
      </c>
      <c r="C98" s="86" t="str">
        <f t="shared" si="11"/>
        <v>Game 1</v>
      </c>
      <c r="D98" s="87" t="str">
        <f t="shared" si="14"/>
        <v>Game 2</v>
      </c>
      <c r="E98" s="89" t="str">
        <f t="shared" si="12"/>
        <v/>
      </c>
      <c r="F98" s="85" t="str">
        <f>VLOOKUP(G98,'Swiss Registry'!$A$2:$B$703,2,False)</f>
        <v>clarissen</v>
      </c>
      <c r="G98" s="84">
        <f t="shared" si="15"/>
        <v>609</v>
      </c>
      <c r="H98" s="83" t="s">
        <v>1543</v>
      </c>
    </row>
    <row r="99">
      <c r="A99" s="84">
        <f t="shared" si="13"/>
        <v>95</v>
      </c>
      <c r="B99" s="85" t="str">
        <f>VLOOKUP(A99,'Swiss Registry'!$A$2:$B$703,2,False)</f>
        <v>Otto</v>
      </c>
      <c r="C99" s="90" t="str">
        <f t="shared" si="11"/>
        <v/>
      </c>
      <c r="D99" s="91" t="str">
        <f t="shared" si="14"/>
        <v>Act: Otto</v>
      </c>
      <c r="E99" s="89" t="str">
        <f t="shared" si="12"/>
        <v/>
      </c>
      <c r="F99" s="85" t="str">
        <f>VLOOKUP(G99,'Swiss Registry'!$A$2:$B$703,2,False)</f>
        <v>Fierros47</v>
      </c>
      <c r="G99" s="84">
        <f t="shared" si="15"/>
        <v>608</v>
      </c>
      <c r="H99" s="83" t="s">
        <v>1486</v>
      </c>
    </row>
    <row r="100">
      <c r="A100" s="84">
        <f t="shared" si="13"/>
        <v>96</v>
      </c>
      <c r="B100" s="85" t="str">
        <f>VLOOKUP(A100,'Swiss Registry'!$A$2:$B$703,2,False)</f>
        <v>Hinkage</v>
      </c>
      <c r="C100" s="86" t="str">
        <f t="shared" si="11"/>
        <v>Game 1</v>
      </c>
      <c r="D100" s="87" t="str">
        <f t="shared" si="14"/>
        <v>Game 2</v>
      </c>
      <c r="E100" s="88" t="str">
        <f t="shared" si="12"/>
        <v>Game 3</v>
      </c>
      <c r="F100" s="85" t="str">
        <f>VLOOKUP(G100,'Swiss Registry'!$A$2:$B$703,2,False)</f>
        <v>@xlimexheep</v>
      </c>
      <c r="G100" s="84">
        <f t="shared" si="15"/>
        <v>607</v>
      </c>
      <c r="H100" s="83" t="s">
        <v>1544</v>
      </c>
    </row>
    <row r="101">
      <c r="A101" s="84">
        <f t="shared" si="13"/>
        <v>97</v>
      </c>
      <c r="B101" s="85" t="str">
        <f>VLOOKUP(A101,'Swiss Registry'!$A$2:$B$703,2,False)</f>
        <v>Seradess</v>
      </c>
      <c r="C101" s="86" t="str">
        <f t="shared" si="11"/>
        <v>Game 1</v>
      </c>
      <c r="D101" s="87" t="str">
        <f t="shared" si="14"/>
        <v>Game 2</v>
      </c>
      <c r="E101" s="89" t="str">
        <f t="shared" si="12"/>
        <v/>
      </c>
      <c r="F101" s="85" t="str">
        <f>VLOOKUP(G101,'Swiss Registry'!$A$2:$B$703,2,False)</f>
        <v>Somnanana</v>
      </c>
      <c r="G101" s="84">
        <f t="shared" si="15"/>
        <v>606</v>
      </c>
      <c r="H101" s="83" t="s">
        <v>1545</v>
      </c>
    </row>
    <row r="102">
      <c r="A102" s="84">
        <f t="shared" si="13"/>
        <v>98</v>
      </c>
      <c r="B102" s="85" t="str">
        <f>VLOOKUP(A102,'Swiss Registry'!$A$2:$B$703,2,False)</f>
        <v>Dancing Along/Abreaction</v>
      </c>
      <c r="C102" s="86" t="str">
        <f t="shared" si="11"/>
        <v>Game 1</v>
      </c>
      <c r="D102" s="87" t="str">
        <f t="shared" si="14"/>
        <v>Game 2</v>
      </c>
      <c r="E102" s="88" t="str">
        <f t="shared" si="12"/>
        <v>Game 3</v>
      </c>
      <c r="F102" s="85" t="str">
        <f>VLOOKUP(G102,'Swiss Registry'!$A$2:$B$703,2,False)</f>
        <v>grillking</v>
      </c>
      <c r="G102" s="84">
        <f t="shared" si="15"/>
        <v>605</v>
      </c>
      <c r="H102" s="83" t="s">
        <v>1546</v>
      </c>
    </row>
    <row r="103">
      <c r="A103" s="84">
        <f t="shared" si="13"/>
        <v>99</v>
      </c>
      <c r="B103" s="85" t="str">
        <f>VLOOKUP(A103,'Swiss Registry'!$A$2:$B$703,2,False)</f>
        <v>Just_Leo</v>
      </c>
      <c r="C103" s="86" t="str">
        <f t="shared" si="11"/>
        <v>Game 1</v>
      </c>
      <c r="D103" s="87" t="str">
        <f t="shared" si="14"/>
        <v>Game 2</v>
      </c>
      <c r="E103" s="89" t="str">
        <f t="shared" si="12"/>
        <v/>
      </c>
      <c r="F103" s="85" t="str">
        <f>VLOOKUP(G103,'Swiss Registry'!$A$2:$B$703,2,False)</f>
        <v>sensei_moon</v>
      </c>
      <c r="G103" s="84">
        <f t="shared" si="15"/>
        <v>604</v>
      </c>
      <c r="H103" s="83" t="s">
        <v>1547</v>
      </c>
    </row>
    <row r="104">
      <c r="A104" s="84">
        <f t="shared" si="13"/>
        <v>100</v>
      </c>
      <c r="B104" s="85" t="str">
        <f>VLOOKUP(A104,'Swiss Registry'!$A$2:$B$703,2,False)</f>
        <v>Zinc</v>
      </c>
      <c r="C104" s="86" t="str">
        <f t="shared" si="11"/>
        <v>Game 1</v>
      </c>
      <c r="D104" s="87" t="str">
        <f t="shared" si="14"/>
        <v>Game 2</v>
      </c>
      <c r="E104" s="88" t="str">
        <f t="shared" si="12"/>
        <v>Game 3</v>
      </c>
      <c r="F104" s="85" t="str">
        <f>VLOOKUP(G104,'Swiss Registry'!$A$2:$B$703,2,False)</f>
        <v>fuckboylenny</v>
      </c>
      <c r="G104" s="84">
        <f t="shared" si="15"/>
        <v>603</v>
      </c>
      <c r="H104" s="83" t="s">
        <v>1548</v>
      </c>
    </row>
    <row r="105">
      <c r="A105" s="84">
        <f t="shared" si="13"/>
        <v>101</v>
      </c>
      <c r="B105" s="85" t="str">
        <f>VLOOKUP(A105,'Swiss Registry'!$A$2:$B$703,2,False)</f>
        <v>DastardlyDwarf</v>
      </c>
      <c r="C105" s="90" t="str">
        <f t="shared" si="11"/>
        <v/>
      </c>
      <c r="D105" s="91" t="str">
        <f t="shared" si="14"/>
        <v>Act: DastardlyDwarf</v>
      </c>
      <c r="E105" s="89" t="str">
        <f t="shared" si="12"/>
        <v/>
      </c>
      <c r="F105" s="85" t="str">
        <f>VLOOKUP(G105,'Swiss Registry'!$A$2:$B$703,2,False)</f>
        <v>zoyotte</v>
      </c>
      <c r="G105" s="84">
        <f t="shared" si="15"/>
        <v>602</v>
      </c>
      <c r="H105" s="83" t="s">
        <v>1486</v>
      </c>
    </row>
    <row r="106">
      <c r="A106" s="84">
        <f t="shared" si="13"/>
        <v>102</v>
      </c>
      <c r="B106" s="85" t="str">
        <f>VLOOKUP(A106,'Swiss Registry'!$A$2:$B$703,2,False)</f>
        <v>Frutiepie</v>
      </c>
      <c r="C106" s="90" t="str">
        <f t="shared" si="11"/>
        <v/>
      </c>
      <c r="D106" s="91" t="str">
        <f t="shared" si="14"/>
        <v>Act: zy___</v>
      </c>
      <c r="E106" s="89" t="str">
        <f t="shared" si="12"/>
        <v/>
      </c>
      <c r="F106" s="85" t="str">
        <f>VLOOKUP(G106,'Swiss Registry'!$A$2:$B$703,2,False)</f>
        <v>zy___</v>
      </c>
      <c r="G106" s="84">
        <f t="shared" si="15"/>
        <v>601</v>
      </c>
      <c r="H106" s="83" t="s">
        <v>1523</v>
      </c>
    </row>
    <row r="107">
      <c r="A107" s="84">
        <f t="shared" si="13"/>
        <v>103</v>
      </c>
      <c r="B107" s="85" t="str">
        <f>VLOOKUP(A107,'Swiss Registry'!$A$2:$B$703,2,False)</f>
        <v>cocoo7538</v>
      </c>
      <c r="C107" s="86" t="str">
        <f t="shared" si="11"/>
        <v>Game 1</v>
      </c>
      <c r="D107" s="87" t="str">
        <f t="shared" si="14"/>
        <v>Game 2</v>
      </c>
      <c r="E107" s="89" t="str">
        <f t="shared" si="12"/>
        <v/>
      </c>
      <c r="F107" s="85" t="str">
        <f>VLOOKUP(G107,'Swiss Registry'!$A$2:$B$703,2,False)</f>
        <v>lindonh</v>
      </c>
      <c r="G107" s="84">
        <f t="shared" si="15"/>
        <v>600</v>
      </c>
      <c r="H107" s="83" t="s">
        <v>1549</v>
      </c>
    </row>
    <row r="108">
      <c r="A108" s="84">
        <f t="shared" si="13"/>
        <v>104</v>
      </c>
      <c r="B108" s="85" t="str">
        <f>VLOOKUP(A108,'Swiss Registry'!$A$2:$B$703,2,False)</f>
        <v>YlisseanStarlight</v>
      </c>
      <c r="C108" s="90" t="str">
        <f t="shared" si="11"/>
        <v/>
      </c>
      <c r="D108" s="91" t="str">
        <f t="shared" si="14"/>
        <v>Act: Klird</v>
      </c>
      <c r="E108" s="89" t="str">
        <f t="shared" si="12"/>
        <v/>
      </c>
      <c r="F108" s="85" t="str">
        <f>VLOOKUP(G108,'Swiss Registry'!$A$2:$B$703,2,False)</f>
        <v>Klird</v>
      </c>
      <c r="G108" s="84">
        <f t="shared" si="15"/>
        <v>599</v>
      </c>
      <c r="H108" s="83" t="s">
        <v>1523</v>
      </c>
    </row>
    <row r="109">
      <c r="A109" s="84">
        <f t="shared" si="13"/>
        <v>105</v>
      </c>
      <c r="B109" s="85" t="str">
        <f>VLOOKUP(A109,'Swiss Registry'!$A$2:$B$703,2,False)</f>
        <v>The_Badger1230</v>
      </c>
      <c r="C109" s="86" t="str">
        <f t="shared" si="11"/>
        <v>Game 1</v>
      </c>
      <c r="D109" s="87" t="str">
        <f t="shared" si="14"/>
        <v>Game 2</v>
      </c>
      <c r="E109" s="88" t="str">
        <f t="shared" si="12"/>
        <v>Game 3</v>
      </c>
      <c r="F109" s="85" t="str">
        <f>VLOOKUP(G109,'Swiss Registry'!$A$2:$B$703,2,False)</f>
        <v>draccus_comun</v>
      </c>
      <c r="G109" s="84">
        <f t="shared" si="15"/>
        <v>598</v>
      </c>
      <c r="H109" s="83" t="s">
        <v>1550</v>
      </c>
    </row>
    <row r="110">
      <c r="A110" s="84">
        <f t="shared" si="13"/>
        <v>106</v>
      </c>
      <c r="B110" s="85" t="str">
        <f>VLOOKUP(A110,'Swiss Registry'!$A$2:$B$703,2,False)</f>
        <v>sharkhammer</v>
      </c>
      <c r="C110" s="86" t="str">
        <f t="shared" si="11"/>
        <v>Game 1</v>
      </c>
      <c r="D110" s="87" t="str">
        <f t="shared" si="14"/>
        <v>Game 2</v>
      </c>
      <c r="E110" s="88" t="str">
        <f t="shared" si="12"/>
        <v>Game 3</v>
      </c>
      <c r="F110" s="85" t="str">
        <f>VLOOKUP(G110,'Swiss Registry'!$A$2:$B$703,2,False)</f>
        <v>incognidoqueen</v>
      </c>
      <c r="G110" s="84">
        <f t="shared" si="15"/>
        <v>597</v>
      </c>
      <c r="H110" s="83" t="s">
        <v>1551</v>
      </c>
    </row>
    <row r="111">
      <c r="A111" s="84">
        <f t="shared" si="13"/>
        <v>107</v>
      </c>
      <c r="B111" s="85" t="str">
        <f>VLOOKUP(A111,'Swiss Registry'!$A$2:$B$703,2,False)</f>
        <v>style_purposes</v>
      </c>
      <c r="C111" s="86" t="str">
        <f t="shared" si="11"/>
        <v>Game 1</v>
      </c>
      <c r="D111" s="87" t="str">
        <f t="shared" si="14"/>
        <v>Game 2</v>
      </c>
      <c r="E111" s="88" t="str">
        <f t="shared" si="12"/>
        <v>Game 3</v>
      </c>
      <c r="F111" s="85" t="str">
        <f>VLOOKUP(G111,'Swiss Registry'!$A$2:$B$703,2,False)</f>
        <v>SUB 28</v>
      </c>
      <c r="G111" s="84">
        <f t="shared" si="15"/>
        <v>596</v>
      </c>
      <c r="H111" s="83" t="s">
        <v>1552</v>
      </c>
    </row>
    <row r="112">
      <c r="A112" s="84">
        <f t="shared" si="13"/>
        <v>108</v>
      </c>
      <c r="B112" s="85" t="str">
        <f>VLOOKUP(A112,'Swiss Registry'!$A$2:$B$703,2,False)</f>
        <v>GreenCity</v>
      </c>
      <c r="C112" s="86" t="str">
        <f t="shared" si="11"/>
        <v>Game 1</v>
      </c>
      <c r="D112" s="87" t="str">
        <f t="shared" si="14"/>
        <v>Game 2</v>
      </c>
      <c r="E112" s="89" t="str">
        <f t="shared" si="12"/>
        <v/>
      </c>
      <c r="F112" s="85" t="str">
        <f>VLOOKUP(G112,'Swiss Registry'!$A$2:$B$703,2,False)</f>
        <v>emerald_harrold</v>
      </c>
      <c r="G112" s="84">
        <f t="shared" si="15"/>
        <v>595</v>
      </c>
      <c r="H112" s="83" t="s">
        <v>1553</v>
      </c>
    </row>
    <row r="113">
      <c r="A113" s="84">
        <f t="shared" si="13"/>
        <v>109</v>
      </c>
      <c r="B113" s="85" t="str">
        <f>VLOOKUP(A113,'Swiss Registry'!$A$2:$B$703,2,False)</f>
        <v>Gthorpe1993</v>
      </c>
      <c r="C113" s="86" t="str">
        <f t="shared" si="11"/>
        <v>Game 1</v>
      </c>
      <c r="D113" s="87" t="str">
        <f t="shared" si="14"/>
        <v>Game 2</v>
      </c>
      <c r="E113" s="88" t="str">
        <f t="shared" si="12"/>
        <v>Game 3</v>
      </c>
      <c r="F113" s="85" t="str">
        <f>VLOOKUP(G113,'Swiss Registry'!$A$2:$B$703,2,False)</f>
        <v>blunderpolicy</v>
      </c>
      <c r="G113" s="84">
        <f t="shared" si="15"/>
        <v>594</v>
      </c>
      <c r="H113" s="83" t="s">
        <v>1554</v>
      </c>
    </row>
    <row r="114">
      <c r="A114" s="84">
        <f t="shared" si="13"/>
        <v>110</v>
      </c>
      <c r="B114" s="85" t="str">
        <f>VLOOKUP(A114,'Swiss Registry'!$A$2:$B$703,2,False)</f>
        <v>Stao</v>
      </c>
      <c r="C114" s="86" t="str">
        <f t="shared" si="11"/>
        <v>Game 1</v>
      </c>
      <c r="D114" s="87" t="str">
        <f t="shared" si="14"/>
        <v>Game 2</v>
      </c>
      <c r="E114" s="89" t="str">
        <f t="shared" si="12"/>
        <v/>
      </c>
      <c r="F114" s="85" t="str">
        <f>VLOOKUP(G114,'Swiss Registry'!$A$2:$B$703,2,False)</f>
        <v>adv_fella</v>
      </c>
      <c r="G114" s="84">
        <f t="shared" si="15"/>
        <v>593</v>
      </c>
      <c r="H114" s="83" t="s">
        <v>1555</v>
      </c>
    </row>
    <row r="115">
      <c r="A115" s="84">
        <f t="shared" si="13"/>
        <v>111</v>
      </c>
      <c r="B115" s="85" t="str">
        <f>VLOOKUP(A115,'Swiss Registry'!$A$2:$B$703,2,False)</f>
        <v>TheTwo</v>
      </c>
      <c r="C115" s="86" t="str">
        <f t="shared" si="11"/>
        <v>Game 1</v>
      </c>
      <c r="D115" s="87" t="str">
        <f t="shared" si="14"/>
        <v>Game 2</v>
      </c>
      <c r="E115" s="88" t="str">
        <f t="shared" si="12"/>
        <v>Game 3</v>
      </c>
      <c r="F115" s="85" t="str">
        <f>VLOOKUP(G115,'Swiss Registry'!$A$2:$B$703,2,False)</f>
        <v>loffelbiskuit</v>
      </c>
      <c r="G115" s="84">
        <f t="shared" si="15"/>
        <v>592</v>
      </c>
      <c r="H115" s="83" t="s">
        <v>1556</v>
      </c>
    </row>
    <row r="116">
      <c r="A116" s="84">
        <f t="shared" si="13"/>
        <v>112</v>
      </c>
      <c r="B116" s="85" t="str">
        <f>VLOOKUP(A116,'Swiss Registry'!$A$2:$B$703,2,False)</f>
        <v>SqueamishCube</v>
      </c>
      <c r="C116" s="86" t="str">
        <f t="shared" si="11"/>
        <v>Game 1</v>
      </c>
      <c r="D116" s="87" t="str">
        <f t="shared" si="14"/>
        <v>Game 2</v>
      </c>
      <c r="E116" s="88" t="str">
        <f t="shared" si="12"/>
        <v>Game 3</v>
      </c>
      <c r="F116" s="85" t="str">
        <f>VLOOKUP(G116,'Swiss Registry'!$A$2:$B$703,2,False)</f>
        <v>funhouse3</v>
      </c>
      <c r="G116" s="84">
        <f t="shared" si="15"/>
        <v>591</v>
      </c>
      <c r="H116" s="83" t="s">
        <v>1557</v>
      </c>
    </row>
    <row r="117">
      <c r="A117" s="84">
        <f t="shared" si="13"/>
        <v>113</v>
      </c>
      <c r="B117" s="85" t="str">
        <f>VLOOKUP(A117,'Swiss Registry'!$A$2:$B$703,2,False)</f>
        <v>annuit99</v>
      </c>
      <c r="C117" s="86" t="str">
        <f t="shared" si="11"/>
        <v>Game 1</v>
      </c>
      <c r="D117" s="87" t="str">
        <f t="shared" si="14"/>
        <v>Game 2</v>
      </c>
      <c r="E117" s="89" t="str">
        <f t="shared" si="12"/>
        <v/>
      </c>
      <c r="F117" s="85" t="str">
        <f>VLOOKUP(G117,'Swiss Registry'!$A$2:$B$703,2,False)</f>
        <v>tommy4830</v>
      </c>
      <c r="G117" s="84">
        <f t="shared" si="15"/>
        <v>590</v>
      </c>
      <c r="H117" s="83" t="s">
        <v>1558</v>
      </c>
    </row>
    <row r="118">
      <c r="A118" s="84">
        <f t="shared" si="13"/>
        <v>114</v>
      </c>
      <c r="B118" s="85" t="str">
        <f>VLOOKUP(A118,'Swiss Registry'!$A$2:$B$703,2,False)</f>
        <v>catholicguilttrip</v>
      </c>
      <c r="C118" s="86" t="str">
        <f t="shared" si="11"/>
        <v>Game 1</v>
      </c>
      <c r="D118" s="87" t="str">
        <f t="shared" si="14"/>
        <v>Game 2</v>
      </c>
      <c r="E118" s="89" t="str">
        <f t="shared" si="12"/>
        <v/>
      </c>
      <c r="F118" s="85" t="str">
        <f>VLOOKUP(G118,'Swiss Registry'!$A$2:$B$703,2,False)</f>
        <v>Carfrogs</v>
      </c>
      <c r="G118" s="84">
        <f t="shared" si="15"/>
        <v>589</v>
      </c>
      <c r="H118" s="83" t="s">
        <v>1559</v>
      </c>
    </row>
    <row r="119">
      <c r="A119" s="84">
        <f t="shared" si="13"/>
        <v>115</v>
      </c>
      <c r="B119" s="85" t="str">
        <f>VLOOKUP(A119,'Swiss Registry'!$A$2:$B$703,2,False)</f>
        <v>bashedayo</v>
      </c>
      <c r="C119" s="86" t="str">
        <f t="shared" si="11"/>
        <v>Game 1</v>
      </c>
      <c r="D119" s="87" t="str">
        <f t="shared" si="14"/>
        <v>Game 2</v>
      </c>
      <c r="E119" s="88" t="str">
        <f t="shared" si="12"/>
        <v>Game 3</v>
      </c>
      <c r="F119" s="85" t="str">
        <f>VLOOKUP(G119,'Swiss Registry'!$A$2:$B$703,2,False)</f>
        <v>witgiz</v>
      </c>
      <c r="G119" s="84">
        <f t="shared" si="15"/>
        <v>588</v>
      </c>
      <c r="H119" s="83" t="s">
        <v>1560</v>
      </c>
    </row>
    <row r="120">
      <c r="A120" s="84">
        <f t="shared" si="13"/>
        <v>116</v>
      </c>
      <c r="B120" s="85" t="str">
        <f>VLOOKUP(A120,'Swiss Registry'!$A$2:$B$703,2,False)</f>
        <v>viel06</v>
      </c>
      <c r="C120" s="86" t="str">
        <f t="shared" si="11"/>
        <v>Game 1</v>
      </c>
      <c r="D120" s="87" t="str">
        <f t="shared" si="14"/>
        <v>Game 2</v>
      </c>
      <c r="E120" s="89" t="str">
        <f t="shared" si="12"/>
        <v/>
      </c>
      <c r="F120" s="85" t="str">
        <f>VLOOKUP(G120,'Swiss Registry'!$A$2:$B$703,2,False)</f>
        <v>JCK_ionic</v>
      </c>
      <c r="G120" s="84">
        <f t="shared" si="15"/>
        <v>587</v>
      </c>
      <c r="H120" s="83" t="s">
        <v>1561</v>
      </c>
    </row>
    <row r="121">
      <c r="A121" s="84">
        <f t="shared" si="13"/>
        <v>117</v>
      </c>
      <c r="B121" s="85" t="str">
        <f>VLOOKUP(A121,'Swiss Registry'!$A$2:$B$703,2,False)</f>
        <v>diegoyuhhi</v>
      </c>
      <c r="C121" s="86" t="str">
        <f t="shared" si="11"/>
        <v>Game 1</v>
      </c>
      <c r="D121" s="87" t="str">
        <f t="shared" si="14"/>
        <v>Game 2</v>
      </c>
      <c r="E121" s="88" t="str">
        <f t="shared" si="12"/>
        <v>Game 3</v>
      </c>
      <c r="F121" s="85" t="str">
        <f>VLOOKUP(G121,'Swiss Registry'!$A$2:$B$703,2,False)</f>
        <v>Yoink 0</v>
      </c>
      <c r="G121" s="84">
        <f t="shared" si="15"/>
        <v>586</v>
      </c>
      <c r="H121" s="83" t="s">
        <v>1562</v>
      </c>
    </row>
    <row r="122" ht="15.0" customHeight="1">
      <c r="A122" s="80"/>
      <c r="B122" s="81"/>
      <c r="C122" s="81"/>
      <c r="D122" s="82" t="s">
        <v>1563</v>
      </c>
      <c r="E122" s="81"/>
      <c r="F122" s="81"/>
      <c r="G122" s="80"/>
      <c r="H122" s="83"/>
    </row>
    <row r="123">
      <c r="A123" s="84">
        <f>A121+1</f>
        <v>118</v>
      </c>
      <c r="B123" s="85" t="str">
        <f>VLOOKUP(A123,'Swiss Registry'!$A$2:$B$703,2,False)</f>
        <v>cashzachary</v>
      </c>
      <c r="C123" s="86" t="str">
        <f t="shared" ref="C123:C161" si="16">IF(H123="dead","",IF(H123="a:act","",IF(H123="b:act","",IF(ISURL(HYPERLINK(INDIRECT("Importer!B"&amp;MID(H123,2,4)+1,TRUE))),HYPERLINK(INDIRECT("Importer!B"&amp;MID(H123,2,4)+1,TRUE), "Game 1"),""))))</f>
        <v>Game 1</v>
      </c>
      <c r="D123" s="87" t="str">
        <f>IF(H123="dead","Dead Game",IF(H123="a:act","Act: "&amp;F123,IF(H123="b:act","Act: "&amp;#REF!,IF(ISURL(HYPERLINK(INDIRECT("Importer!B"&amp;MID(H123,6,4)+1,TRUE))),HYPERLINK(INDIRECT("Importer!B"&amp;MID(H123,6,4)+1,TRUE), "Game 2"),""))))</f>
        <v>Game 2</v>
      </c>
      <c r="E123" s="88" t="str">
        <f t="shared" ref="E123:E161" si="17">IF(H123="dead","",IF(H123="a:act","",IF(H123="b:act","",IF(ISURL(HYPERLINK(INDIRECT("Importer!B"&amp;MID(H123,10,4)+1,TRUE))),HYPERLINK(INDIRECT("Importer!B"&amp;MID(H123,10,4)+1,TRUE), "Game 3"),""))))</f>
        <v>Game 3</v>
      </c>
      <c r="F123" s="85" t="str">
        <f>VLOOKUP(G123,'Swiss Registry'!$A$2:$B$703,2,False)</f>
        <v>Goose824</v>
      </c>
      <c r="G123" s="84">
        <f>G121-1</f>
        <v>585</v>
      </c>
      <c r="H123" s="83" t="s">
        <v>1564</v>
      </c>
    </row>
    <row r="124">
      <c r="A124" s="84">
        <f t="shared" ref="A124:A161" si="18">A123+1</f>
        <v>119</v>
      </c>
      <c r="B124" s="85" t="str">
        <f>VLOOKUP(A124,'Swiss Registry'!$A$2:$B$703,2,False)</f>
        <v>SUB 2</v>
      </c>
      <c r="C124" s="90" t="str">
        <f t="shared" si="16"/>
        <v/>
      </c>
      <c r="D124" s="91" t="str">
        <f t="shared" ref="D124:D161" si="19">IF(H124="dead","Dead Game",IF(H124="a:act","Act: "&amp;B124,IF(H124="b:act","Act: "&amp;F124,IF(ISURL(HYPERLINK(INDIRECT("Importer!B"&amp;MID(H124,6,4)+1,TRUE))),HYPERLINK(INDIRECT("Importer!B"&amp;MID(H124,6,4)+1,TRUE), "Game 2"),""))))</f>
        <v>Act: ebitachy</v>
      </c>
      <c r="E124" s="89" t="str">
        <f t="shared" si="17"/>
        <v/>
      </c>
      <c r="F124" s="85" t="str">
        <f>VLOOKUP(G124,'Swiss Registry'!$A$2:$B$703,2,False)</f>
        <v>ebitachy</v>
      </c>
      <c r="G124" s="84">
        <f t="shared" ref="G124:G161" si="20">G123-1</f>
        <v>584</v>
      </c>
      <c r="H124" s="83" t="s">
        <v>1523</v>
      </c>
    </row>
    <row r="125">
      <c r="A125" s="84">
        <f t="shared" si="18"/>
        <v>120</v>
      </c>
      <c r="B125" s="85" t="str">
        <f>VLOOKUP(A125,'Swiss Registry'!$A$2:$B$703,2,False)</f>
        <v>dicerat8</v>
      </c>
      <c r="C125" s="86" t="str">
        <f t="shared" si="16"/>
        <v>Game 1</v>
      </c>
      <c r="D125" s="87" t="str">
        <f t="shared" si="19"/>
        <v>Game 2</v>
      </c>
      <c r="E125" s="88" t="str">
        <f t="shared" si="17"/>
        <v>Game 3</v>
      </c>
      <c r="F125" s="85" t="str">
        <f>VLOOKUP(G125,'Swiss Registry'!$A$2:$B$703,2,False)</f>
        <v>frogsella</v>
      </c>
      <c r="G125" s="84">
        <f t="shared" si="20"/>
        <v>583</v>
      </c>
      <c r="H125" s="83" t="s">
        <v>1565</v>
      </c>
    </row>
    <row r="126">
      <c r="A126" s="84">
        <f t="shared" si="18"/>
        <v>121</v>
      </c>
      <c r="B126" s="85" t="str">
        <f>VLOOKUP(A126,'Swiss Registry'!$A$2:$B$703,2,False)</f>
        <v>.brever.</v>
      </c>
      <c r="C126" s="86" t="str">
        <f t="shared" si="16"/>
        <v>Game 1</v>
      </c>
      <c r="D126" s="87" t="str">
        <f t="shared" si="19"/>
        <v>Game 2</v>
      </c>
      <c r="E126" s="88" t="str">
        <f t="shared" si="17"/>
        <v>Game 3</v>
      </c>
      <c r="F126" s="85" t="str">
        <f>VLOOKUP(G126,'Swiss Registry'!$A$2:$B$703,2,False)</f>
        <v>swordpeace3232</v>
      </c>
      <c r="G126" s="84">
        <f t="shared" si="20"/>
        <v>582</v>
      </c>
      <c r="H126" s="83" t="s">
        <v>1566</v>
      </c>
    </row>
    <row r="127">
      <c r="A127" s="84">
        <f t="shared" si="18"/>
        <v>122</v>
      </c>
      <c r="B127" s="85" t="str">
        <f>VLOOKUP(A127,'Swiss Registry'!$A$2:$B$703,2,False)</f>
        <v>ambiguousity_</v>
      </c>
      <c r="C127" s="86" t="str">
        <f t="shared" si="16"/>
        <v>Game 1</v>
      </c>
      <c r="D127" s="87" t="str">
        <f t="shared" si="19"/>
        <v>Game 2</v>
      </c>
      <c r="E127" s="88" t="str">
        <f t="shared" si="17"/>
        <v>Game 3</v>
      </c>
      <c r="F127" s="85" t="str">
        <f>VLOOKUP(G127,'Swiss Registry'!$A$2:$B$703,2,False)</f>
        <v>brestelli</v>
      </c>
      <c r="G127" s="84">
        <f t="shared" si="20"/>
        <v>581</v>
      </c>
      <c r="H127" s="83" t="s">
        <v>1567</v>
      </c>
    </row>
    <row r="128">
      <c r="A128" s="84">
        <f t="shared" si="18"/>
        <v>123</v>
      </c>
      <c r="B128" s="85" t="str">
        <f>VLOOKUP(A128,'Swiss Registry'!$A$2:$B$703,2,False)</f>
        <v>SUB 3</v>
      </c>
      <c r="C128" s="90" t="str">
        <f t="shared" si="16"/>
        <v/>
      </c>
      <c r="D128" s="91" t="str">
        <f t="shared" si="19"/>
        <v>Act: testemunha2622</v>
      </c>
      <c r="E128" s="89" t="str">
        <f t="shared" si="17"/>
        <v/>
      </c>
      <c r="F128" s="85" t="str">
        <f>VLOOKUP(G128,'Swiss Registry'!$A$2:$B$703,2,False)</f>
        <v>testemunha2622</v>
      </c>
      <c r="G128" s="84">
        <f t="shared" si="20"/>
        <v>580</v>
      </c>
      <c r="H128" s="83" t="s">
        <v>1523</v>
      </c>
    </row>
    <row r="129">
      <c r="A129" s="84">
        <f t="shared" si="18"/>
        <v>124</v>
      </c>
      <c r="B129" s="85" t="str">
        <f>VLOOKUP(A129,'Swiss Registry'!$A$2:$B$703,2,False)</f>
        <v>CheesiMoon</v>
      </c>
      <c r="C129" s="86" t="str">
        <f t="shared" si="16"/>
        <v>Game 1</v>
      </c>
      <c r="D129" s="87" t="str">
        <f t="shared" si="19"/>
        <v>Game 2</v>
      </c>
      <c r="E129" s="89" t="str">
        <f t="shared" si="17"/>
        <v/>
      </c>
      <c r="F129" s="85" t="str">
        <f>VLOOKUP(G129,'Swiss Registry'!$A$2:$B$703,2,False)</f>
        <v>Drby</v>
      </c>
      <c r="G129" s="84">
        <f t="shared" si="20"/>
        <v>579</v>
      </c>
      <c r="H129" s="83" t="s">
        <v>1568</v>
      </c>
    </row>
    <row r="130">
      <c r="A130" s="84">
        <f t="shared" si="18"/>
        <v>125</v>
      </c>
      <c r="B130" s="85" t="str">
        <f>VLOOKUP(A130,'Swiss Registry'!$A$2:$B$703,2,False)</f>
        <v>LoDart210</v>
      </c>
      <c r="C130" s="86" t="str">
        <f t="shared" si="16"/>
        <v>Game 1</v>
      </c>
      <c r="D130" s="87" t="str">
        <f t="shared" si="19"/>
        <v>Game 2</v>
      </c>
      <c r="E130" s="88" t="str">
        <f t="shared" si="17"/>
        <v>Game 3</v>
      </c>
      <c r="F130" s="85" t="str">
        <f>VLOOKUP(G130,'Swiss Registry'!$A$2:$B$703,2,False)</f>
        <v>_rekkzz_</v>
      </c>
      <c r="G130" s="84">
        <f t="shared" si="20"/>
        <v>578</v>
      </c>
      <c r="H130" s="83" t="s">
        <v>1569</v>
      </c>
    </row>
    <row r="131">
      <c r="A131" s="84">
        <f t="shared" si="18"/>
        <v>126</v>
      </c>
      <c r="B131" s="85" t="str">
        <f>VLOOKUP(A131,'Swiss Registry'!$A$2:$B$703,2,False)</f>
        <v>jussydkt</v>
      </c>
      <c r="C131" s="86" t="str">
        <f t="shared" si="16"/>
        <v>Game 1</v>
      </c>
      <c r="D131" s="87" t="str">
        <f t="shared" si="19"/>
        <v>Game 2</v>
      </c>
      <c r="E131" s="89" t="str">
        <f t="shared" si="17"/>
        <v/>
      </c>
      <c r="F131" s="85" t="str">
        <f>VLOOKUP(G131,'Swiss Registry'!$A$2:$B$703,2,False)</f>
        <v>FISH (gypsytea)</v>
      </c>
      <c r="G131" s="84">
        <f t="shared" si="20"/>
        <v>577</v>
      </c>
      <c r="H131" s="83" t="s">
        <v>1570</v>
      </c>
    </row>
    <row r="132">
      <c r="A132" s="84">
        <f t="shared" si="18"/>
        <v>127</v>
      </c>
      <c r="B132" s="85" t="str">
        <f>VLOOKUP(A132,'Swiss Registry'!$A$2:$B$703,2,False)</f>
        <v>blisy</v>
      </c>
      <c r="C132" s="86" t="str">
        <f t="shared" si="16"/>
        <v>Game 1</v>
      </c>
      <c r="D132" s="87" t="str">
        <f t="shared" si="19"/>
        <v>Game 2</v>
      </c>
      <c r="E132" s="88" t="str">
        <f t="shared" si="17"/>
        <v>Game 3</v>
      </c>
      <c r="F132" s="85" t="str">
        <f>VLOOKUP(G132,'Swiss Registry'!$A$2:$B$703,2,False)</f>
        <v>S.k.magnet</v>
      </c>
      <c r="G132" s="84">
        <f t="shared" si="20"/>
        <v>576</v>
      </c>
      <c r="H132" s="83" t="s">
        <v>1571</v>
      </c>
    </row>
    <row r="133">
      <c r="A133" s="84">
        <f t="shared" si="18"/>
        <v>128</v>
      </c>
      <c r="B133" s="85" t="str">
        <f>VLOOKUP(A133,'Swiss Registry'!$A$2:$B$703,2,False)</f>
        <v>iwasmoth</v>
      </c>
      <c r="C133" s="86" t="str">
        <f t="shared" si="16"/>
        <v>Game 1</v>
      </c>
      <c r="D133" s="87" t="str">
        <f t="shared" si="19"/>
        <v>Game 2</v>
      </c>
      <c r="E133" s="88" t="str">
        <f t="shared" si="17"/>
        <v>Game 3</v>
      </c>
      <c r="F133" s="85" t="str">
        <f>VLOOKUP(G133,'Swiss Registry'!$A$2:$B$703,2,False)</f>
        <v>warupeach</v>
      </c>
      <c r="G133" s="84">
        <f t="shared" si="20"/>
        <v>575</v>
      </c>
      <c r="H133" s="83" t="s">
        <v>1572</v>
      </c>
    </row>
    <row r="134">
      <c r="A134" s="84">
        <f t="shared" si="18"/>
        <v>129</v>
      </c>
      <c r="B134" s="85" t="str">
        <f>VLOOKUP(A134,'Swiss Registry'!$A$2:$B$703,2,False)</f>
        <v>lengloi</v>
      </c>
      <c r="C134" s="86" t="str">
        <f t="shared" si="16"/>
        <v>Game 1</v>
      </c>
      <c r="D134" s="87" t="str">
        <f t="shared" si="19"/>
        <v>Game 2</v>
      </c>
      <c r="E134" s="88" t="str">
        <f t="shared" si="17"/>
        <v>Game 3</v>
      </c>
      <c r="F134" s="85" t="str">
        <f>VLOOKUP(G134,'Swiss Registry'!$A$2:$B$703,2,False)</f>
        <v>crustaceus</v>
      </c>
      <c r="G134" s="84">
        <f t="shared" si="20"/>
        <v>574</v>
      </c>
      <c r="H134" s="83" t="s">
        <v>1573</v>
      </c>
    </row>
    <row r="135">
      <c r="A135" s="84">
        <f t="shared" si="18"/>
        <v>130</v>
      </c>
      <c r="B135" s="85" t="str">
        <f>VLOOKUP(A135,'Swiss Registry'!$A$2:$B$703,2,False)</f>
        <v>Sophocles</v>
      </c>
      <c r="C135" s="86" t="str">
        <f t="shared" si="16"/>
        <v>Game 1</v>
      </c>
      <c r="D135" s="87" t="str">
        <f t="shared" si="19"/>
        <v>Game 2</v>
      </c>
      <c r="E135" s="89" t="str">
        <f t="shared" si="17"/>
        <v/>
      </c>
      <c r="F135" s="85" t="str">
        <f>VLOOKUP(G135,'Swiss Registry'!$A$2:$B$703,2,False)</f>
        <v>tamafuyu</v>
      </c>
      <c r="G135" s="84">
        <f t="shared" si="20"/>
        <v>573</v>
      </c>
      <c r="H135" s="83" t="s">
        <v>1574</v>
      </c>
    </row>
    <row r="136">
      <c r="A136" s="84">
        <f t="shared" si="18"/>
        <v>131</v>
      </c>
      <c r="B136" s="85" t="str">
        <f>VLOOKUP(A136,'Swiss Registry'!$A$2:$B$703,2,False)</f>
        <v>ReavenFTW</v>
      </c>
      <c r="C136" s="86" t="str">
        <f t="shared" si="16"/>
        <v>Game 1</v>
      </c>
      <c r="D136" s="87" t="str">
        <f t="shared" si="19"/>
        <v>Game 2</v>
      </c>
      <c r="E136" s="88" t="str">
        <f t="shared" si="17"/>
        <v>Game 3</v>
      </c>
      <c r="F136" s="85" t="str">
        <f>VLOOKUP(G136,'Swiss Registry'!$A$2:$B$703,2,False)</f>
        <v>fayestra</v>
      </c>
      <c r="G136" s="84">
        <f t="shared" si="20"/>
        <v>572</v>
      </c>
      <c r="H136" s="83" t="s">
        <v>1575</v>
      </c>
    </row>
    <row r="137">
      <c r="A137" s="84">
        <f t="shared" si="18"/>
        <v>132</v>
      </c>
      <c r="B137" s="85" t="str">
        <f>VLOOKUP(A137,'Swiss Registry'!$A$2:$B$703,2,False)</f>
        <v>swaggy001066</v>
      </c>
      <c r="C137" s="86" t="str">
        <f t="shared" si="16"/>
        <v>Game 1</v>
      </c>
      <c r="D137" s="87" t="str">
        <f t="shared" si="19"/>
        <v>Game 2</v>
      </c>
      <c r="E137" s="88" t="str">
        <f t="shared" si="17"/>
        <v>Game 3</v>
      </c>
      <c r="F137" s="85" t="str">
        <f>VLOOKUP(G137,'Swiss Registry'!$A$2:$B$703,2,False)</f>
        <v>ltg04</v>
      </c>
      <c r="G137" s="84">
        <f t="shared" si="20"/>
        <v>571</v>
      </c>
      <c r="H137" s="83" t="s">
        <v>1576</v>
      </c>
    </row>
    <row r="138">
      <c r="A138" s="84">
        <f t="shared" si="18"/>
        <v>133</v>
      </c>
      <c r="B138" s="85" t="str">
        <f>VLOOKUP(A138,'Swiss Registry'!$A$2:$B$703,2,False)</f>
        <v>Himura</v>
      </c>
      <c r="C138" s="86" t="str">
        <f t="shared" si="16"/>
        <v>Game 1</v>
      </c>
      <c r="D138" s="87" t="str">
        <f t="shared" si="19"/>
        <v>Game 2</v>
      </c>
      <c r="E138" s="89" t="str">
        <f t="shared" si="17"/>
        <v/>
      </c>
      <c r="F138" s="85" t="str">
        <f>VLOOKUP(G138,'Swiss Registry'!$A$2:$B$703,2,False)</f>
        <v>Zacynthius02</v>
      </c>
      <c r="G138" s="84">
        <f t="shared" si="20"/>
        <v>570</v>
      </c>
      <c r="H138" s="83" t="s">
        <v>1577</v>
      </c>
    </row>
    <row r="139">
      <c r="A139" s="84">
        <f t="shared" si="18"/>
        <v>134</v>
      </c>
      <c r="B139" s="85" t="str">
        <f>VLOOKUP(A139,'Swiss Registry'!$A$2:$B$703,2,False)</f>
        <v>Svejk97</v>
      </c>
      <c r="C139" s="86" t="str">
        <f t="shared" si="16"/>
        <v>Game 1</v>
      </c>
      <c r="D139" s="87" t="str">
        <f t="shared" si="19"/>
        <v>Game 2</v>
      </c>
      <c r="E139" s="88" t="str">
        <f t="shared" si="17"/>
        <v>Game 3</v>
      </c>
      <c r="F139" s="85" t="str">
        <f>VLOOKUP(G139,'Swiss Registry'!$A$2:$B$703,2,False)</f>
        <v>swope</v>
      </c>
      <c r="G139" s="84">
        <f t="shared" si="20"/>
        <v>569</v>
      </c>
      <c r="H139" s="83" t="s">
        <v>1578</v>
      </c>
    </row>
    <row r="140">
      <c r="A140" s="84">
        <f t="shared" si="18"/>
        <v>135</v>
      </c>
      <c r="B140" s="85" t="str">
        <f>VLOOKUP(A140,'Swiss Registry'!$A$2:$B$703,2,False)</f>
        <v>Graham (graaahaaam)</v>
      </c>
      <c r="C140" s="86" t="str">
        <f t="shared" si="16"/>
        <v>Game 1</v>
      </c>
      <c r="D140" s="87" t="str">
        <f t="shared" si="19"/>
        <v>Game 2</v>
      </c>
      <c r="E140" s="88" t="str">
        <f t="shared" si="17"/>
        <v>Game 3</v>
      </c>
      <c r="F140" s="85" t="str">
        <f>VLOOKUP(G140,'Swiss Registry'!$A$2:$B$703,2,False)</f>
        <v>mintyerb</v>
      </c>
      <c r="G140" s="84">
        <f t="shared" si="20"/>
        <v>568</v>
      </c>
      <c r="H140" s="83" t="s">
        <v>1579</v>
      </c>
    </row>
    <row r="141">
      <c r="A141" s="84">
        <f t="shared" si="18"/>
        <v>136</v>
      </c>
      <c r="B141" s="85" t="str">
        <f>VLOOKUP(A141,'Swiss Registry'!$A$2:$B$703,2,False)</f>
        <v>allmovingshadows</v>
      </c>
      <c r="C141" s="86" t="str">
        <f t="shared" si="16"/>
        <v>Game 1</v>
      </c>
      <c r="D141" s="87" t="str">
        <f t="shared" si="19"/>
        <v>Game 2</v>
      </c>
      <c r="E141" s="88" t="str">
        <f t="shared" si="17"/>
        <v>Game 3</v>
      </c>
      <c r="F141" s="85" t="str">
        <f>VLOOKUP(G141,'Swiss Registry'!$A$2:$B$703,2,False)</f>
        <v>Kenuckz</v>
      </c>
      <c r="G141" s="84">
        <f t="shared" si="20"/>
        <v>567</v>
      </c>
      <c r="H141" s="83" t="s">
        <v>1580</v>
      </c>
    </row>
    <row r="142">
      <c r="A142" s="84">
        <f t="shared" si="18"/>
        <v>137</v>
      </c>
      <c r="B142" s="85" t="str">
        <f>VLOOKUP(A142,'Swiss Registry'!$A$2:$B$703,2,False)</f>
        <v>Wizzyhatg</v>
      </c>
      <c r="C142" s="90" t="str">
        <f t="shared" si="16"/>
        <v/>
      </c>
      <c r="D142" s="91" t="str">
        <f t="shared" si="19"/>
        <v>Act: Wizzyhatg</v>
      </c>
      <c r="E142" s="89" t="str">
        <f t="shared" si="17"/>
        <v/>
      </c>
      <c r="F142" s="85" t="str">
        <f>VLOOKUP(G142,'Swiss Registry'!$A$2:$B$703,2,False)</f>
        <v>ChocoboJoe</v>
      </c>
      <c r="G142" s="84">
        <f t="shared" si="20"/>
        <v>566</v>
      </c>
      <c r="H142" s="83" t="s">
        <v>1486</v>
      </c>
    </row>
    <row r="143">
      <c r="A143" s="84">
        <f t="shared" si="18"/>
        <v>138</v>
      </c>
      <c r="B143" s="85" t="str">
        <f>VLOOKUP(A143,'Swiss Registry'!$A$2:$B$703,2,False)</f>
        <v>Drekt93#0078</v>
      </c>
      <c r="C143" s="90" t="str">
        <f t="shared" si="16"/>
        <v/>
      </c>
      <c r="D143" s="91" t="str">
        <f t="shared" si="19"/>
        <v>Act: Drekt93#0078</v>
      </c>
      <c r="E143" s="89" t="str">
        <f t="shared" si="17"/>
        <v/>
      </c>
      <c r="F143" s="85" t="str">
        <f>VLOOKUP(G143,'Swiss Registry'!$A$2:$B$703,2,False)</f>
        <v>SUB 4</v>
      </c>
      <c r="G143" s="84">
        <f t="shared" si="20"/>
        <v>565</v>
      </c>
      <c r="H143" s="83" t="s">
        <v>1486</v>
      </c>
    </row>
    <row r="144">
      <c r="A144" s="84">
        <f t="shared" si="18"/>
        <v>139</v>
      </c>
      <c r="B144" s="85" t="str">
        <f>VLOOKUP(A144,'Swiss Registry'!$A$2:$B$703,2,False)</f>
        <v>CHICKENBOOB</v>
      </c>
      <c r="C144" s="86" t="str">
        <f t="shared" si="16"/>
        <v>Game 1</v>
      </c>
      <c r="D144" s="87" t="str">
        <f t="shared" si="19"/>
        <v>Game 2</v>
      </c>
      <c r="E144" s="89" t="str">
        <f t="shared" si="17"/>
        <v/>
      </c>
      <c r="F144" s="85" t="str">
        <f>VLOOKUP(G144,'Swiss Registry'!$A$2:$B$703,2,False)</f>
        <v>sbmalus</v>
      </c>
      <c r="G144" s="84">
        <f t="shared" si="20"/>
        <v>564</v>
      </c>
      <c r="H144" s="83" t="s">
        <v>1581</v>
      </c>
    </row>
    <row r="145">
      <c r="A145" s="84">
        <f t="shared" si="18"/>
        <v>140</v>
      </c>
      <c r="B145" s="85" t="str">
        <f>VLOOKUP(A145,'Swiss Registry'!$A$2:$B$703,2,False)</f>
        <v>Basharapplejuice</v>
      </c>
      <c r="C145" s="90" t="str">
        <f t="shared" si="16"/>
        <v/>
      </c>
      <c r="D145" s="91" t="str">
        <f t="shared" si="19"/>
        <v>Act: Mintyfresh756</v>
      </c>
      <c r="E145" s="89" t="str">
        <f t="shared" si="17"/>
        <v/>
      </c>
      <c r="F145" s="85" t="str">
        <f>VLOOKUP(G145,'Swiss Registry'!$A$2:$B$703,2,False)</f>
        <v>Mintyfresh756</v>
      </c>
      <c r="G145" s="84">
        <f t="shared" si="20"/>
        <v>563</v>
      </c>
      <c r="H145" s="83" t="s">
        <v>1523</v>
      </c>
    </row>
    <row r="146">
      <c r="A146" s="84">
        <f t="shared" si="18"/>
        <v>141</v>
      </c>
      <c r="B146" s="85" t="str">
        <f>VLOOKUP(A146,'Swiss Registry'!$A$2:$B$703,2,False)</f>
        <v>danielsemmson</v>
      </c>
      <c r="C146" s="86" t="str">
        <f t="shared" si="16"/>
        <v>Game 1</v>
      </c>
      <c r="D146" s="87" t="str">
        <f t="shared" si="19"/>
        <v>Game 2</v>
      </c>
      <c r="E146" s="89" t="str">
        <f t="shared" si="17"/>
        <v/>
      </c>
      <c r="F146" s="85" t="str">
        <f>VLOOKUP(G146,'Swiss Registry'!$A$2:$B$703,2,False)</f>
        <v>SUB 27</v>
      </c>
      <c r="G146" s="84">
        <f t="shared" si="20"/>
        <v>562</v>
      </c>
      <c r="H146" s="83" t="s">
        <v>1582</v>
      </c>
    </row>
    <row r="147">
      <c r="A147" s="84">
        <f t="shared" si="18"/>
        <v>142</v>
      </c>
      <c r="B147" s="85" t="str">
        <f>VLOOKUP(A147,'Swiss Registry'!$A$2:$B$703,2,False)</f>
        <v>btalb</v>
      </c>
      <c r="C147" s="90" t="str">
        <f t="shared" si="16"/>
        <v/>
      </c>
      <c r="D147" s="91" t="str">
        <f t="shared" si="19"/>
        <v>Act: btalb</v>
      </c>
      <c r="E147" s="89" t="str">
        <f t="shared" si="17"/>
        <v/>
      </c>
      <c r="F147" s="85" t="str">
        <f>VLOOKUP(G147,'Swiss Registry'!$A$2:$B$703,2,False)</f>
        <v>Goodnightloulou</v>
      </c>
      <c r="G147" s="84">
        <f t="shared" si="20"/>
        <v>561</v>
      </c>
      <c r="H147" s="83" t="s">
        <v>1486</v>
      </c>
    </row>
    <row r="148">
      <c r="A148" s="84">
        <f t="shared" si="18"/>
        <v>143</v>
      </c>
      <c r="B148" s="85" t="str">
        <f>VLOOKUP(A148,'Swiss Registry'!$A$2:$B$703,2,False)</f>
        <v>aquaa</v>
      </c>
      <c r="C148" s="86" t="str">
        <f t="shared" si="16"/>
        <v>Game 1</v>
      </c>
      <c r="D148" s="87" t="str">
        <f t="shared" si="19"/>
        <v>Game 2</v>
      </c>
      <c r="E148" s="89" t="str">
        <f t="shared" si="17"/>
        <v/>
      </c>
      <c r="F148" s="85" t="str">
        <f>VLOOKUP(G148,'Swiss Registry'!$A$2:$B$703,2,False)</f>
        <v>otael</v>
      </c>
      <c r="G148" s="84">
        <f t="shared" si="20"/>
        <v>560</v>
      </c>
      <c r="H148" s="83" t="s">
        <v>1583</v>
      </c>
    </row>
    <row r="149">
      <c r="A149" s="84">
        <f t="shared" si="18"/>
        <v>144</v>
      </c>
      <c r="B149" s="85" t="str">
        <f>VLOOKUP(A149,'Swiss Registry'!$A$2:$B$703,2,False)</f>
        <v>Forest4269</v>
      </c>
      <c r="C149" s="86" t="str">
        <f t="shared" si="16"/>
        <v>Game 1</v>
      </c>
      <c r="D149" s="87" t="str">
        <f t="shared" si="19"/>
        <v>Game 2</v>
      </c>
      <c r="E149" s="88" t="str">
        <f t="shared" si="17"/>
        <v>Game 3</v>
      </c>
      <c r="F149" s="85" t="str">
        <f>VLOOKUP(G149,'Swiss Registry'!$A$2:$B$703,2,False)</f>
        <v>Mimien97</v>
      </c>
      <c r="G149" s="84">
        <f t="shared" si="20"/>
        <v>559</v>
      </c>
      <c r="H149" s="83" t="s">
        <v>1584</v>
      </c>
    </row>
    <row r="150">
      <c r="A150" s="84">
        <f t="shared" si="18"/>
        <v>145</v>
      </c>
      <c r="B150" s="85" t="str">
        <f>VLOOKUP(A150,'Swiss Registry'!$A$2:$B$703,2,False)</f>
        <v>Stockings</v>
      </c>
      <c r="C150" s="90" t="str">
        <f t="shared" si="16"/>
        <v/>
      </c>
      <c r="D150" s="91" t="str">
        <f t="shared" si="19"/>
        <v>Act: luisin</v>
      </c>
      <c r="E150" s="89" t="str">
        <f t="shared" si="17"/>
        <v/>
      </c>
      <c r="F150" s="85" t="str">
        <f>VLOOKUP(G150,'Swiss Registry'!$A$2:$B$703,2,False)</f>
        <v>luisin</v>
      </c>
      <c r="G150" s="84">
        <f t="shared" si="20"/>
        <v>558</v>
      </c>
      <c r="H150" s="83" t="s">
        <v>1523</v>
      </c>
    </row>
    <row r="151">
      <c r="A151" s="84">
        <f t="shared" si="18"/>
        <v>146</v>
      </c>
      <c r="B151" s="85" t="str">
        <f>VLOOKUP(A151,'Swiss Registry'!$A$2:$B$703,2,False)</f>
        <v>Apostic</v>
      </c>
      <c r="C151" s="86" t="str">
        <f t="shared" si="16"/>
        <v>Game 1</v>
      </c>
      <c r="D151" s="87" t="str">
        <f t="shared" si="19"/>
        <v>Game 2</v>
      </c>
      <c r="E151" s="89" t="str">
        <f t="shared" si="17"/>
        <v/>
      </c>
      <c r="F151" s="85" t="str">
        <f>VLOOKUP(G151,'Swiss Registry'!$A$2:$B$703,2,False)</f>
        <v>Cream314</v>
      </c>
      <c r="G151" s="84">
        <f t="shared" si="20"/>
        <v>557</v>
      </c>
      <c r="H151" s="83" t="s">
        <v>1585</v>
      </c>
    </row>
    <row r="152">
      <c r="A152" s="84">
        <f t="shared" si="18"/>
        <v>147</v>
      </c>
      <c r="B152" s="85" t="str">
        <f>VLOOKUP(A152,'Swiss Registry'!$A$2:$B$703,2,False)</f>
        <v>liamworldpeace</v>
      </c>
      <c r="C152" s="90" t="str">
        <f t="shared" si="16"/>
        <v/>
      </c>
      <c r="D152" s="91" t="str">
        <f t="shared" si="19"/>
        <v>Act: liamworldpeace</v>
      </c>
      <c r="E152" s="89" t="str">
        <f t="shared" si="17"/>
        <v/>
      </c>
      <c r="F152" s="85" t="str">
        <f>VLOOKUP(G152,'Swiss Registry'!$A$2:$B$703,2,False)</f>
        <v>Lhions</v>
      </c>
      <c r="G152" s="84">
        <f t="shared" si="20"/>
        <v>556</v>
      </c>
      <c r="H152" s="83" t="s">
        <v>1486</v>
      </c>
    </row>
    <row r="153">
      <c r="A153" s="84">
        <f t="shared" si="18"/>
        <v>148</v>
      </c>
      <c r="B153" s="85" t="str">
        <f>VLOOKUP(A153,'Swiss Registry'!$A$2:$B$703,2,False)</f>
        <v>SUB 20</v>
      </c>
      <c r="C153" s="86" t="str">
        <f t="shared" si="16"/>
        <v>Game 1</v>
      </c>
      <c r="D153" s="87" t="str">
        <f t="shared" si="19"/>
        <v>Game 2</v>
      </c>
      <c r="E153" s="89" t="str">
        <f t="shared" si="17"/>
        <v/>
      </c>
      <c r="F153" s="85" t="str">
        <f>VLOOKUP(G153,'Swiss Registry'!$A$2:$B$703,2,False)</f>
        <v>denizs8</v>
      </c>
      <c r="G153" s="84">
        <f t="shared" si="20"/>
        <v>555</v>
      </c>
      <c r="H153" s="83" t="s">
        <v>1586</v>
      </c>
    </row>
    <row r="154">
      <c r="A154" s="84">
        <f t="shared" si="18"/>
        <v>149</v>
      </c>
      <c r="B154" s="85" t="str">
        <f>VLOOKUP(A154,'Swiss Registry'!$A$2:$B$703,2,False)</f>
        <v>Rezzo</v>
      </c>
      <c r="C154" s="90" t="str">
        <f t="shared" si="16"/>
        <v/>
      </c>
      <c r="D154" s="91" t="str">
        <f t="shared" si="19"/>
        <v>Act: ponzuuu</v>
      </c>
      <c r="E154" s="89" t="str">
        <f t="shared" si="17"/>
        <v/>
      </c>
      <c r="F154" s="85" t="str">
        <f>VLOOKUP(G154,'Swiss Registry'!$A$2:$B$703,2,False)</f>
        <v>ponzuuu</v>
      </c>
      <c r="G154" s="84">
        <f t="shared" si="20"/>
        <v>554</v>
      </c>
      <c r="H154" s="83" t="s">
        <v>1523</v>
      </c>
    </row>
    <row r="155">
      <c r="A155" s="84">
        <f t="shared" si="18"/>
        <v>150</v>
      </c>
      <c r="B155" s="85" t="str">
        <f>VLOOKUP(A155,'Swiss Registry'!$A$2:$B$703,2,False)</f>
        <v>Scrigman</v>
      </c>
      <c r="C155" s="86" t="str">
        <f t="shared" si="16"/>
        <v>Game 1</v>
      </c>
      <c r="D155" s="87" t="str">
        <f t="shared" si="19"/>
        <v>Game 2</v>
      </c>
      <c r="E155" s="88" t="str">
        <f t="shared" si="17"/>
        <v>Game 3</v>
      </c>
      <c r="F155" s="85" t="str">
        <f>VLOOKUP(G155,'Swiss Registry'!$A$2:$B$703,2,False)</f>
        <v>jheff97</v>
      </c>
      <c r="G155" s="84">
        <f t="shared" si="20"/>
        <v>553</v>
      </c>
      <c r="H155" s="83" t="s">
        <v>1587</v>
      </c>
    </row>
    <row r="156">
      <c r="A156" s="84">
        <f t="shared" si="18"/>
        <v>151</v>
      </c>
      <c r="B156" s="85" t="str">
        <f>VLOOKUP(A156,'Swiss Registry'!$A$2:$B$703,2,False)</f>
        <v>shadowinger</v>
      </c>
      <c r="C156" s="86" t="str">
        <f t="shared" si="16"/>
        <v>Game 1</v>
      </c>
      <c r="D156" s="87" t="str">
        <f t="shared" si="19"/>
        <v>Game 2</v>
      </c>
      <c r="E156" s="88" t="str">
        <f t="shared" si="17"/>
        <v>Game 3</v>
      </c>
      <c r="F156" s="85" t="str">
        <f>VLOOKUP(G156,'Swiss Registry'!$A$2:$B$703,2,False)</f>
        <v>marcelbruer</v>
      </c>
      <c r="G156" s="84">
        <f t="shared" si="20"/>
        <v>552</v>
      </c>
      <c r="H156" s="83" t="s">
        <v>1588</v>
      </c>
    </row>
    <row r="157">
      <c r="A157" s="84">
        <f t="shared" si="18"/>
        <v>152</v>
      </c>
      <c r="B157" s="85" t="str">
        <f>VLOOKUP(A157,'Swiss Registry'!$A$2:$B$703,2,False)</f>
        <v>heroin4sale</v>
      </c>
      <c r="C157" s="86" t="str">
        <f t="shared" si="16"/>
        <v>Game 1</v>
      </c>
      <c r="D157" s="87" t="str">
        <f t="shared" si="19"/>
        <v>Game 2</v>
      </c>
      <c r="E157" s="89" t="str">
        <f t="shared" si="17"/>
        <v/>
      </c>
      <c r="F157" s="85" t="str">
        <f>VLOOKUP(G157,'Swiss Registry'!$A$2:$B$703,2,False)</f>
        <v>Bedal.r</v>
      </c>
      <c r="G157" s="84">
        <f t="shared" si="20"/>
        <v>551</v>
      </c>
      <c r="H157" s="83" t="s">
        <v>1589</v>
      </c>
    </row>
    <row r="158">
      <c r="A158" s="84">
        <f t="shared" si="18"/>
        <v>153</v>
      </c>
      <c r="B158" s="85" t="str">
        <f>VLOOKUP(A158,'Swiss Registry'!$A$2:$B$703,2,False)</f>
        <v>Loneling</v>
      </c>
      <c r="C158" s="90" t="str">
        <f t="shared" si="16"/>
        <v/>
      </c>
      <c r="D158" s="91" t="str">
        <f t="shared" si="19"/>
        <v>Act: xho_xho_</v>
      </c>
      <c r="E158" s="89" t="str">
        <f t="shared" si="17"/>
        <v/>
      </c>
      <c r="F158" s="85" t="str">
        <f>VLOOKUP(G158,'Swiss Registry'!$A$2:$B$703,2,False)</f>
        <v>xho_xho_</v>
      </c>
      <c r="G158" s="84">
        <f t="shared" si="20"/>
        <v>550</v>
      </c>
      <c r="H158" s="83" t="s">
        <v>1523</v>
      </c>
    </row>
    <row r="159">
      <c r="A159" s="84">
        <f t="shared" si="18"/>
        <v>154</v>
      </c>
      <c r="B159" s="85" t="str">
        <f>VLOOKUP(A159,'Swiss Registry'!$A$2:$B$703,2,False)</f>
        <v>Mamakoko</v>
      </c>
      <c r="C159" s="86" t="str">
        <f t="shared" si="16"/>
        <v>Game 1</v>
      </c>
      <c r="D159" s="87" t="str">
        <f t="shared" si="19"/>
        <v>Game 2</v>
      </c>
      <c r="E159" s="88" t="str">
        <f t="shared" si="17"/>
        <v>Game 3</v>
      </c>
      <c r="F159" s="85" t="str">
        <f>VLOOKUP(G159,'Swiss Registry'!$A$2:$B$703,2,False)</f>
        <v>loopingpyre</v>
      </c>
      <c r="G159" s="84">
        <f t="shared" si="20"/>
        <v>549</v>
      </c>
      <c r="H159" s="83" t="s">
        <v>1590</v>
      </c>
    </row>
    <row r="160">
      <c r="A160" s="84">
        <f t="shared" si="18"/>
        <v>155</v>
      </c>
      <c r="B160" s="85" t="str">
        <f>VLOOKUP(A160,'Swiss Registry'!$A$2:$B$703,2,False)</f>
        <v>anashensoul</v>
      </c>
      <c r="C160" s="86" t="str">
        <f t="shared" si="16"/>
        <v>Game 1</v>
      </c>
      <c r="D160" s="87" t="str">
        <f t="shared" si="19"/>
        <v>Game 2</v>
      </c>
      <c r="E160" s="88" t="str">
        <f t="shared" si="17"/>
        <v>Game 3</v>
      </c>
      <c r="F160" s="85" t="str">
        <f>VLOOKUP(G160,'Swiss Registry'!$A$2:$B$703,2,False)</f>
        <v>jotaentrena</v>
      </c>
      <c r="G160" s="84">
        <f t="shared" si="20"/>
        <v>548</v>
      </c>
      <c r="H160" s="83" t="s">
        <v>1591</v>
      </c>
    </row>
    <row r="161">
      <c r="A161" s="84">
        <f t="shared" si="18"/>
        <v>156</v>
      </c>
      <c r="B161" s="85" t="str">
        <f>VLOOKUP(A161,'Swiss Registry'!$A$2:$B$703,2,False)</f>
        <v>coutt</v>
      </c>
      <c r="C161" s="86" t="str">
        <f t="shared" si="16"/>
        <v>Game 1</v>
      </c>
      <c r="D161" s="87" t="str">
        <f t="shared" si="19"/>
        <v>Game 2</v>
      </c>
      <c r="E161" s="89" t="str">
        <f t="shared" si="17"/>
        <v/>
      </c>
      <c r="F161" s="85" t="str">
        <f>VLOOKUP(G161,'Swiss Registry'!$A$2:$B$703,2,False)</f>
        <v>lexi.pup</v>
      </c>
      <c r="G161" s="84">
        <f t="shared" si="20"/>
        <v>547</v>
      </c>
      <c r="H161" s="83" t="s">
        <v>1592</v>
      </c>
    </row>
    <row r="162" ht="15.0" customHeight="1">
      <c r="A162" s="80"/>
      <c r="B162" s="81"/>
      <c r="C162" s="81"/>
      <c r="D162" s="96" t="s">
        <v>1593</v>
      </c>
      <c r="E162" s="81"/>
      <c r="F162" s="81"/>
      <c r="G162" s="81"/>
      <c r="H162" s="81"/>
    </row>
    <row r="163">
      <c r="A163" s="84">
        <f>A161+1</f>
        <v>157</v>
      </c>
      <c r="B163" s="85" t="str">
        <f>VLOOKUP(A163,'Swiss Registry'!$A$2:$B$703,2,False)</f>
        <v>Amir (lordamir &amp; lordamir2)</v>
      </c>
      <c r="C163" s="86" t="str">
        <f t="shared" ref="C163:C201" si="21">IF(H163="dead","",IF(H163="a:act","",IF(H163="b:act","",IF(ISURL(HYPERLINK(INDIRECT("Importer!B"&amp;MID(H163,2,4)+1,TRUE))),HYPERLINK(INDIRECT("Importer!B"&amp;MID(H163,2,4)+1,TRUE), "Game 1"),""))))</f>
        <v>Game 1</v>
      </c>
      <c r="D163" s="87" t="str">
        <f>IF(H163="dead","Dead Game",IF(H163="a:act","Act: "&amp;F163,IF(H163="b:act","Act: "&amp;#REF!,IF(ISURL(HYPERLINK(INDIRECT("Importer!B"&amp;MID(H163,6,4)+1,TRUE))),HYPERLINK(INDIRECT("Importer!B"&amp;MID(H163,6,4)+1,TRUE), "Game 2"),""))))</f>
        <v>Game 2</v>
      </c>
      <c r="E163" s="89" t="str">
        <f t="shared" ref="E163:E201" si="22">IF(H163="dead","",IF(H163="a:act","",IF(H163="b:act","",IF(ISURL(HYPERLINK(INDIRECT("Importer!B"&amp;MID(H163,10,4)+1,TRUE))),HYPERLINK(INDIRECT("Importer!B"&amp;MID(H163,10,4)+1,TRUE), "Game 3"),""))))</f>
        <v/>
      </c>
      <c r="F163" s="85" t="str">
        <f>VLOOKUP(G163,'Swiss Registry'!$A$2:$B$703,2,False)</f>
        <v>CoffeePour</v>
      </c>
      <c r="G163" s="84">
        <f>G161-1</f>
        <v>546</v>
      </c>
      <c r="H163" s="83" t="s">
        <v>1594</v>
      </c>
    </row>
    <row r="164">
      <c r="A164" s="84">
        <f t="shared" ref="A164:A201" si="23">A163+1</f>
        <v>158</v>
      </c>
      <c r="B164" s="85" t="str">
        <f>VLOOKUP(A164,'Swiss Registry'!$A$2:$B$703,2,False)</f>
        <v>janis105</v>
      </c>
      <c r="C164" s="86" t="str">
        <f t="shared" si="21"/>
        <v>Game 1</v>
      </c>
      <c r="D164" s="87" t="str">
        <f t="shared" ref="D164:D166" si="24">IF(H164="dead","Dead Game",IF(H164="a:act","Act: "&amp;B164,IF(H164="b:act","Act: "&amp;F164,IF(ISURL(HYPERLINK(INDIRECT("Importer!B"&amp;MID(H164,6,4)+1,TRUE))),HYPERLINK(INDIRECT("Importer!B"&amp;MID(H164,6,4)+1,TRUE), "Game 2"),""))))</f>
        <v>Game 2</v>
      </c>
      <c r="E164" s="88" t="str">
        <f t="shared" si="22"/>
        <v>Game 3</v>
      </c>
      <c r="F164" s="85" t="str">
        <f>VLOOKUP(G164,'Swiss Registry'!$A$2:$B$703,2,False)</f>
        <v>CraterLake</v>
      </c>
      <c r="G164" s="84">
        <f t="shared" ref="G164:G201" si="25">G163-1</f>
        <v>545</v>
      </c>
      <c r="H164" s="83" t="s">
        <v>1595</v>
      </c>
    </row>
    <row r="165">
      <c r="A165" s="84">
        <f t="shared" si="23"/>
        <v>159</v>
      </c>
      <c r="B165" s="85" t="str">
        <f>VLOOKUP(A165,'Swiss Registry'!$A$2:$B$703,2,False)</f>
        <v>litterofbiscuits</v>
      </c>
      <c r="C165" s="86" t="str">
        <f t="shared" si="21"/>
        <v>Game 1</v>
      </c>
      <c r="D165" s="87" t="str">
        <f t="shared" si="24"/>
        <v>Game 2</v>
      </c>
      <c r="E165" s="88" t="str">
        <f t="shared" si="22"/>
        <v>Game 3</v>
      </c>
      <c r="F165" s="85" t="str">
        <f>VLOOKUP(G165,'Swiss Registry'!$A$2:$B$703,2,False)</f>
        <v>almbkn</v>
      </c>
      <c r="G165" s="84">
        <f t="shared" si="25"/>
        <v>544</v>
      </c>
      <c r="H165" s="83" t="s">
        <v>1596</v>
      </c>
    </row>
    <row r="166">
      <c r="A166" s="84">
        <f t="shared" si="23"/>
        <v>160</v>
      </c>
      <c r="B166" s="85" t="str">
        <f>VLOOKUP(A166,'Swiss Registry'!$A$2:$B$703,2,False)</f>
        <v>Calm Stiege</v>
      </c>
      <c r="C166" s="86" t="str">
        <f t="shared" si="21"/>
        <v>Game 1</v>
      </c>
      <c r="D166" s="87" t="str">
        <f t="shared" si="24"/>
        <v>Game 2</v>
      </c>
      <c r="E166" s="88" t="str">
        <f t="shared" si="22"/>
        <v>Game 3</v>
      </c>
      <c r="F166" s="85" t="str">
        <f>VLOOKUP(G166,'Swiss Registry'!$A$2:$B$703,2,False)</f>
        <v>s_2_w</v>
      </c>
      <c r="G166" s="84">
        <f t="shared" si="25"/>
        <v>543</v>
      </c>
      <c r="H166" s="83" t="s">
        <v>1597</v>
      </c>
    </row>
    <row r="167">
      <c r="A167" s="84">
        <f t="shared" si="23"/>
        <v>161</v>
      </c>
      <c r="B167" s="85" t="str">
        <f>VLOOKUP(A167,'Swiss Registry'!$A$2:$B$703,2,False)</f>
        <v>br.twfb</v>
      </c>
      <c r="C167" s="86" t="str">
        <f t="shared" si="21"/>
        <v>Game 1</v>
      </c>
      <c r="D167" s="97" t="s">
        <v>1598</v>
      </c>
      <c r="E167" s="89" t="str">
        <f t="shared" si="22"/>
        <v/>
      </c>
      <c r="F167" s="85" t="str">
        <f>VLOOKUP(G167,'Swiss Registry'!$A$2:$B$703,2,False)</f>
        <v>Luca Dylan</v>
      </c>
      <c r="G167" s="84">
        <f t="shared" si="25"/>
        <v>542</v>
      </c>
      <c r="H167" s="83" t="s">
        <v>1599</v>
      </c>
    </row>
    <row r="168">
      <c r="A168" s="84">
        <f t="shared" si="23"/>
        <v>162</v>
      </c>
      <c r="B168" s="85" t="str">
        <f>VLOOKUP(A168,'Swiss Registry'!$A$2:$B$703,2,False)</f>
        <v>martconqueso</v>
      </c>
      <c r="C168" s="86" t="str">
        <f t="shared" si="21"/>
        <v>Game 1</v>
      </c>
      <c r="D168" s="87" t="str">
        <f t="shared" ref="D168:D201" si="26">IF(H168="dead","Dead Game",IF(H168="a:act","Act: "&amp;B168,IF(H168="b:act","Act: "&amp;F168,IF(ISURL(HYPERLINK(INDIRECT("Importer!B"&amp;MID(H168,6,4)+1,TRUE))),HYPERLINK(INDIRECT("Importer!B"&amp;MID(H168,6,4)+1,TRUE), "Game 2"),""))))</f>
        <v>Game 2</v>
      </c>
      <c r="E168" s="89" t="str">
        <f t="shared" si="22"/>
        <v/>
      </c>
      <c r="F168" s="85" t="str">
        <f>VLOOKUP(G168,'Swiss Registry'!$A$2:$B$703,2,False)</f>
        <v>derevien</v>
      </c>
      <c r="G168" s="84">
        <f t="shared" si="25"/>
        <v>541</v>
      </c>
      <c r="H168" s="83" t="s">
        <v>1600</v>
      </c>
    </row>
    <row r="169">
      <c r="A169" s="84">
        <f t="shared" si="23"/>
        <v>163</v>
      </c>
      <c r="B169" s="85" t="str">
        <f>VLOOKUP(A169,'Swiss Registry'!$A$2:$B$703,2,False)</f>
        <v>tonii5531</v>
      </c>
      <c r="C169" s="86" t="str">
        <f t="shared" si="21"/>
        <v>Game 1</v>
      </c>
      <c r="D169" s="87" t="str">
        <f t="shared" si="26"/>
        <v>Game 2</v>
      </c>
      <c r="E169" s="88" t="str">
        <f t="shared" si="22"/>
        <v>Game 3</v>
      </c>
      <c r="F169" s="85" t="str">
        <f>VLOOKUP(G169,'Swiss Registry'!$A$2:$B$703,2,False)</f>
        <v>tub69</v>
      </c>
      <c r="G169" s="84">
        <f t="shared" si="25"/>
        <v>540</v>
      </c>
      <c r="H169" s="83" t="s">
        <v>1601</v>
      </c>
    </row>
    <row r="170">
      <c r="A170" s="84">
        <f t="shared" si="23"/>
        <v>164</v>
      </c>
      <c r="B170" s="85" t="str">
        <f>VLOOKUP(A170,'Swiss Registry'!$A$2:$B$703,2,False)</f>
        <v>Repiloid</v>
      </c>
      <c r="C170" s="86" t="str">
        <f t="shared" si="21"/>
        <v>Game 1</v>
      </c>
      <c r="D170" s="87" t="str">
        <f t="shared" si="26"/>
        <v>Game 2</v>
      </c>
      <c r="E170" s="89" t="str">
        <f t="shared" si="22"/>
        <v/>
      </c>
      <c r="F170" s="85" t="str">
        <f>VLOOKUP(G170,'Swiss Registry'!$A$2:$B$703,2,False)</f>
        <v>tehpenguinofdoom</v>
      </c>
      <c r="G170" s="84">
        <f t="shared" si="25"/>
        <v>539</v>
      </c>
      <c r="H170" s="83" t="s">
        <v>1602</v>
      </c>
    </row>
    <row r="171">
      <c r="A171" s="84">
        <f t="shared" si="23"/>
        <v>165</v>
      </c>
      <c r="B171" s="85" t="str">
        <f>VLOOKUP(A171,'Swiss Registry'!$A$2:$B$703,2,False)</f>
        <v>chipi</v>
      </c>
      <c r="C171" s="86" t="str">
        <f t="shared" si="21"/>
        <v>Game 1</v>
      </c>
      <c r="D171" s="87" t="str">
        <f t="shared" si="26"/>
        <v>Game 2</v>
      </c>
      <c r="E171" s="89" t="str">
        <f t="shared" si="22"/>
        <v/>
      </c>
      <c r="F171" s="85" t="str">
        <f>VLOOKUP(G171,'Swiss Registry'!$A$2:$B$703,2,False)</f>
        <v>Shifty1239</v>
      </c>
      <c r="G171" s="84">
        <f t="shared" si="25"/>
        <v>538</v>
      </c>
      <c r="H171" s="83" t="s">
        <v>1603</v>
      </c>
    </row>
    <row r="172">
      <c r="A172" s="84">
        <f t="shared" si="23"/>
        <v>166</v>
      </c>
      <c r="B172" s="85" t="str">
        <f>VLOOKUP(A172,'Swiss Registry'!$A$2:$B$703,2,False)</f>
        <v>zettsbro</v>
      </c>
      <c r="C172" s="86" t="str">
        <f t="shared" si="21"/>
        <v>Game 1</v>
      </c>
      <c r="D172" s="87" t="str">
        <f t="shared" si="26"/>
        <v>Game 2</v>
      </c>
      <c r="E172" s="89" t="str">
        <f t="shared" si="22"/>
        <v/>
      </c>
      <c r="F172" s="85" t="str">
        <f>VLOOKUP(G172,'Swiss Registry'!$A$2:$B$703,2,False)</f>
        <v>avongarde_ult</v>
      </c>
      <c r="G172" s="84">
        <f t="shared" si="25"/>
        <v>537</v>
      </c>
      <c r="H172" s="83" t="s">
        <v>1604</v>
      </c>
    </row>
    <row r="173">
      <c r="A173" s="84">
        <f t="shared" si="23"/>
        <v>167</v>
      </c>
      <c r="B173" s="85" t="str">
        <f>VLOOKUP(A173,'Swiss Registry'!$A$2:$B$703,2,False)</f>
        <v>kylemckell</v>
      </c>
      <c r="C173" s="86" t="str">
        <f t="shared" si="21"/>
        <v>Game 1</v>
      </c>
      <c r="D173" s="87" t="str">
        <f t="shared" si="26"/>
        <v>Game 2</v>
      </c>
      <c r="E173" s="88" t="str">
        <f t="shared" si="22"/>
        <v>Game 3</v>
      </c>
      <c r="F173" s="85" t="str">
        <f>VLOOKUP(G173,'Swiss Registry'!$A$2:$B$703,2,False)</f>
        <v>_deacon</v>
      </c>
      <c r="G173" s="84">
        <f t="shared" si="25"/>
        <v>536</v>
      </c>
      <c r="H173" s="83" t="s">
        <v>1605</v>
      </c>
    </row>
    <row r="174">
      <c r="A174" s="84">
        <f t="shared" si="23"/>
        <v>168</v>
      </c>
      <c r="B174" s="85" t="str">
        <f>VLOOKUP(A174,'Swiss Registry'!$A$2:$B$703,2,False)</f>
        <v>triiplemonstre</v>
      </c>
      <c r="C174" s="86" t="str">
        <f t="shared" si="21"/>
        <v>Game 1</v>
      </c>
      <c r="D174" s="87" t="str">
        <f t="shared" si="26"/>
        <v>Game 2</v>
      </c>
      <c r="E174" s="88" t="str">
        <f t="shared" si="22"/>
        <v>Game 3</v>
      </c>
      <c r="F174" s="85" t="str">
        <f>VLOOKUP(G174,'Swiss Registry'!$A$2:$B$703,2,False)</f>
        <v>scootymcbooty123</v>
      </c>
      <c r="G174" s="84">
        <f t="shared" si="25"/>
        <v>535</v>
      </c>
      <c r="H174" s="83" t="s">
        <v>1606</v>
      </c>
    </row>
    <row r="175">
      <c r="A175" s="84">
        <f t="shared" si="23"/>
        <v>169</v>
      </c>
      <c r="B175" s="85" t="str">
        <f>VLOOKUP(A175,'Swiss Registry'!$A$2:$B$703,2,False)</f>
        <v>kvistsivk</v>
      </c>
      <c r="C175" s="86" t="str">
        <f t="shared" si="21"/>
        <v>Game 1</v>
      </c>
      <c r="D175" s="87" t="str">
        <f t="shared" si="26"/>
        <v>Game 2</v>
      </c>
      <c r="E175" s="89" t="str">
        <f t="shared" si="22"/>
        <v/>
      </c>
      <c r="F175" s="85" t="str">
        <f>VLOOKUP(G175,'Swiss Registry'!$A$2:$B$703,2,False)</f>
        <v>etibamecus.</v>
      </c>
      <c r="G175" s="84">
        <f t="shared" si="25"/>
        <v>534</v>
      </c>
      <c r="H175" s="83" t="s">
        <v>1607</v>
      </c>
    </row>
    <row r="176">
      <c r="A176" s="84">
        <f t="shared" si="23"/>
        <v>170</v>
      </c>
      <c r="B176" s="85" t="str">
        <f>VLOOKUP(A176,'Swiss Registry'!$A$2:$B$703,2,False)</f>
        <v>elanieunderscore</v>
      </c>
      <c r="C176" s="86" t="str">
        <f t="shared" si="21"/>
        <v>Game 1</v>
      </c>
      <c r="D176" s="87" t="str">
        <f t="shared" si="26"/>
        <v>Game 2</v>
      </c>
      <c r="E176" s="88" t="str">
        <f t="shared" si="22"/>
        <v>Game 3</v>
      </c>
      <c r="F176" s="85" t="str">
        <f>VLOOKUP(G176,'Swiss Registry'!$A$2:$B$703,2,False)</f>
        <v>deftbrixton</v>
      </c>
      <c r="G176" s="84">
        <f t="shared" si="25"/>
        <v>533</v>
      </c>
      <c r="H176" s="83" t="s">
        <v>1608</v>
      </c>
    </row>
    <row r="177">
      <c r="A177" s="84">
        <f t="shared" si="23"/>
        <v>171</v>
      </c>
      <c r="B177" s="85" t="str">
        <f>VLOOKUP(A177,'Swiss Registry'!$A$2:$B$703,2,False)</f>
        <v>knexhawk</v>
      </c>
      <c r="C177" s="86" t="str">
        <f t="shared" si="21"/>
        <v>Game 1</v>
      </c>
      <c r="D177" s="87" t="str">
        <f t="shared" si="26"/>
        <v>Game 2</v>
      </c>
      <c r="E177" s="89" t="str">
        <f t="shared" si="22"/>
        <v/>
      </c>
      <c r="F177" s="85" t="str">
        <f>VLOOKUP(G177,'Swiss Registry'!$A$2:$B$703,2,False)</f>
        <v>bigjon.</v>
      </c>
      <c r="G177" s="84">
        <f t="shared" si="25"/>
        <v>532</v>
      </c>
      <c r="H177" s="83" t="s">
        <v>1609</v>
      </c>
    </row>
    <row r="178">
      <c r="A178" s="84">
        <f t="shared" si="23"/>
        <v>172</v>
      </c>
      <c r="B178" s="85" t="str">
        <f>VLOOKUP(A178,'Swiss Registry'!$A$2:$B$703,2,False)</f>
        <v>Redmoonie</v>
      </c>
      <c r="C178" s="86" t="str">
        <f t="shared" si="21"/>
        <v>Game 1</v>
      </c>
      <c r="D178" s="87" t="str">
        <f t="shared" si="26"/>
        <v>Game 2</v>
      </c>
      <c r="E178" s="89" t="str">
        <f t="shared" si="22"/>
        <v/>
      </c>
      <c r="F178" s="85" t="s">
        <v>1114</v>
      </c>
      <c r="G178" s="84">
        <f t="shared" si="25"/>
        <v>531</v>
      </c>
      <c r="H178" s="83" t="s">
        <v>1610</v>
      </c>
    </row>
    <row r="179">
      <c r="A179" s="84">
        <f t="shared" si="23"/>
        <v>173</v>
      </c>
      <c r="B179" s="85" t="str">
        <f>VLOOKUP(A179,'Swiss Registry'!$A$2:$B$703,2,False)</f>
        <v>temraneee</v>
      </c>
      <c r="C179" s="86" t="str">
        <f t="shared" si="21"/>
        <v>Game 1</v>
      </c>
      <c r="D179" s="87" t="str">
        <f t="shared" si="26"/>
        <v>Game 2</v>
      </c>
      <c r="E179" s="89" t="str">
        <f t="shared" si="22"/>
        <v/>
      </c>
      <c r="F179" s="85" t="str">
        <f>VLOOKUP(G179,'Swiss Registry'!$A$2:$B$703,2,False)</f>
        <v>tibetanator</v>
      </c>
      <c r="G179" s="84">
        <f t="shared" si="25"/>
        <v>530</v>
      </c>
      <c r="H179" s="83" t="s">
        <v>1611</v>
      </c>
    </row>
    <row r="180">
      <c r="A180" s="84">
        <f t="shared" si="23"/>
        <v>174</v>
      </c>
      <c r="B180" s="85" t="str">
        <f>VLOOKUP(A180,'Swiss Registry'!$A$2:$B$703,2,False)</f>
        <v>Derde</v>
      </c>
      <c r="C180" s="86" t="str">
        <f t="shared" si="21"/>
        <v>Game 1</v>
      </c>
      <c r="D180" s="87" t="str">
        <f t="shared" si="26"/>
        <v>Game 2</v>
      </c>
      <c r="E180" s="88" t="str">
        <f t="shared" si="22"/>
        <v>Game 3</v>
      </c>
      <c r="F180" s="85" t="str">
        <f>VLOOKUP(G180,'Swiss Registry'!$A$2:$B$703,2,False)</f>
        <v>pat2678</v>
      </c>
      <c r="G180" s="84">
        <f t="shared" si="25"/>
        <v>529</v>
      </c>
      <c r="H180" s="83" t="s">
        <v>1612</v>
      </c>
    </row>
    <row r="181">
      <c r="A181" s="84">
        <f t="shared" si="23"/>
        <v>175</v>
      </c>
      <c r="B181" s="85" t="str">
        <f>VLOOKUP(A181,'Swiss Registry'!$A$2:$B$703,2,False)</f>
        <v>SUB 21</v>
      </c>
      <c r="C181" s="86" t="str">
        <f t="shared" si="21"/>
        <v>Game 1</v>
      </c>
      <c r="D181" s="87" t="str">
        <f t="shared" si="26"/>
        <v>Game 2</v>
      </c>
      <c r="E181" s="88" t="str">
        <f t="shared" si="22"/>
        <v>Game 3</v>
      </c>
      <c r="F181" s="85" t="str">
        <f>VLOOKUP(G181,'Swiss Registry'!$A$2:$B$703,2,False)</f>
        <v>Kenmarijuana</v>
      </c>
      <c r="G181" s="84">
        <f t="shared" si="25"/>
        <v>528</v>
      </c>
      <c r="H181" s="83" t="s">
        <v>1613</v>
      </c>
    </row>
    <row r="182">
      <c r="A182" s="84">
        <f t="shared" si="23"/>
        <v>176</v>
      </c>
      <c r="B182" s="85" t="str">
        <f>VLOOKUP(A182,'Swiss Registry'!$A$2:$B$703,2,False)</f>
        <v>Eternum</v>
      </c>
      <c r="C182" s="86" t="str">
        <f t="shared" si="21"/>
        <v>Game 1</v>
      </c>
      <c r="D182" s="87" t="str">
        <f t="shared" si="26"/>
        <v>Game 2</v>
      </c>
      <c r="E182" s="89" t="str">
        <f t="shared" si="22"/>
        <v/>
      </c>
      <c r="F182" s="85" t="str">
        <f>VLOOKUP(G182,'Swiss Registry'!$A$2:$B$703,2,False)</f>
        <v>cepulo</v>
      </c>
      <c r="G182" s="84">
        <f t="shared" si="25"/>
        <v>527</v>
      </c>
      <c r="H182" s="83" t="s">
        <v>1614</v>
      </c>
    </row>
    <row r="183">
      <c r="A183" s="84">
        <f t="shared" si="23"/>
        <v>177</v>
      </c>
      <c r="B183" s="85" t="str">
        <f>VLOOKUP(A183,'Swiss Registry'!$A$2:$B$703,2,False)</f>
        <v>tree69420</v>
      </c>
      <c r="C183" s="90" t="str">
        <f t="shared" si="21"/>
        <v/>
      </c>
      <c r="D183" s="91" t="str">
        <f t="shared" si="26"/>
        <v>Act: tree69420</v>
      </c>
      <c r="E183" s="89" t="str">
        <f t="shared" si="22"/>
        <v/>
      </c>
      <c r="F183" s="85" t="str">
        <f>VLOOKUP(G183,'Swiss Registry'!$A$2:$B$703,2,False)</f>
        <v>SUB 19</v>
      </c>
      <c r="G183" s="84">
        <f t="shared" si="25"/>
        <v>526</v>
      </c>
      <c r="H183" s="83" t="s">
        <v>1486</v>
      </c>
    </row>
    <row r="184">
      <c r="A184" s="84">
        <f t="shared" si="23"/>
        <v>178</v>
      </c>
      <c r="B184" s="85" t="str">
        <f>VLOOKUP(A184,'Swiss Registry'!$A$2:$B$703,2,False)</f>
        <v>pinjarrapanther</v>
      </c>
      <c r="C184" s="86" t="str">
        <f t="shared" si="21"/>
        <v>Game 1</v>
      </c>
      <c r="D184" s="87" t="str">
        <f t="shared" si="26"/>
        <v>Game 2</v>
      </c>
      <c r="E184" s="89" t="str">
        <f t="shared" si="22"/>
        <v/>
      </c>
      <c r="F184" s="85" t="str">
        <f>VLOOKUP(G184,'Swiss Registry'!$A$2:$B$703,2,False)</f>
        <v>tyler.cox</v>
      </c>
      <c r="G184" s="84">
        <f t="shared" si="25"/>
        <v>525</v>
      </c>
      <c r="H184" s="83" t="s">
        <v>1615</v>
      </c>
    </row>
    <row r="185">
      <c r="A185" s="84">
        <f t="shared" si="23"/>
        <v>179</v>
      </c>
      <c r="B185" s="85" t="str">
        <f>VLOOKUP(A185,'Swiss Registry'!$A$2:$B$703,2,False)</f>
        <v>nekuyagokoro</v>
      </c>
      <c r="C185" s="86" t="str">
        <f t="shared" si="21"/>
        <v>Game 1</v>
      </c>
      <c r="D185" s="87" t="str">
        <f t="shared" si="26"/>
        <v>Game 2</v>
      </c>
      <c r="E185" s="88" t="str">
        <f t="shared" si="22"/>
        <v>Game 3</v>
      </c>
      <c r="F185" s="85" t="str">
        <f>VLOOKUP(G185,'Swiss Registry'!$A$2:$B$703,2,False)</f>
        <v>nihiliros</v>
      </c>
      <c r="G185" s="84">
        <f t="shared" si="25"/>
        <v>524</v>
      </c>
      <c r="H185" s="83" t="s">
        <v>1616</v>
      </c>
    </row>
    <row r="186">
      <c r="A186" s="84">
        <f t="shared" si="23"/>
        <v>180</v>
      </c>
      <c r="B186" s="85" t="str">
        <f>VLOOKUP(A186,'Swiss Registry'!$A$2:$B$703,2,False)</f>
        <v>SUB 6</v>
      </c>
      <c r="C186" s="90" t="str">
        <f t="shared" si="21"/>
        <v/>
      </c>
      <c r="D186" s="91" t="str">
        <f t="shared" si="26"/>
        <v>Act: Mulikki123</v>
      </c>
      <c r="E186" s="89" t="str">
        <f t="shared" si="22"/>
        <v/>
      </c>
      <c r="F186" s="85" t="str">
        <f>VLOOKUP(G186,'Swiss Registry'!$A$2:$B$703,2,False)</f>
        <v>Mulikki123</v>
      </c>
      <c r="G186" s="84">
        <f t="shared" si="25"/>
        <v>523</v>
      </c>
      <c r="H186" s="83" t="s">
        <v>1523</v>
      </c>
    </row>
    <row r="187">
      <c r="A187" s="84">
        <f t="shared" si="23"/>
        <v>181</v>
      </c>
      <c r="B187" s="85" t="str">
        <f>VLOOKUP(A187,'Swiss Registry'!$A$2:$B$703,2,False)</f>
        <v>bigyunakafan</v>
      </c>
      <c r="C187" s="86" t="str">
        <f t="shared" si="21"/>
        <v>Game 1</v>
      </c>
      <c r="D187" s="87" t="str">
        <f t="shared" si="26"/>
        <v>Game 2</v>
      </c>
      <c r="E187" s="89" t="str">
        <f t="shared" si="22"/>
        <v/>
      </c>
      <c r="F187" s="85" t="str">
        <f>VLOOKUP(G187,'Swiss Registry'!$A$2:$B$703,2,False)</f>
        <v>flareliger</v>
      </c>
      <c r="G187" s="84">
        <f t="shared" si="25"/>
        <v>522</v>
      </c>
      <c r="H187" s="83" t="s">
        <v>1617</v>
      </c>
    </row>
    <row r="188">
      <c r="A188" s="84">
        <f t="shared" si="23"/>
        <v>182</v>
      </c>
      <c r="B188" s="85" t="str">
        <f>VLOOKUP(A188,'Swiss Registry'!$A$2:$B$703,2,False)</f>
        <v>ilikeeatingcrayons</v>
      </c>
      <c r="C188" s="86" t="str">
        <f t="shared" si="21"/>
        <v>Game 1</v>
      </c>
      <c r="D188" s="87" t="str">
        <f t="shared" si="26"/>
        <v>Game 2</v>
      </c>
      <c r="E188" s="89" t="str">
        <f t="shared" si="22"/>
        <v/>
      </c>
      <c r="F188" s="85" t="str">
        <f>VLOOKUP(G188,'Swiss Registry'!$A$2:$B$703,2,False)</f>
        <v>Grain_Jar</v>
      </c>
      <c r="G188" s="84">
        <f t="shared" si="25"/>
        <v>521</v>
      </c>
      <c r="H188" s="83" t="s">
        <v>1618</v>
      </c>
    </row>
    <row r="189">
      <c r="A189" s="84">
        <f t="shared" si="23"/>
        <v>183</v>
      </c>
      <c r="B189" s="85" t="str">
        <f>VLOOKUP(A189,'Swiss Registry'!$A$2:$B$703,2,False)</f>
        <v>darth_halux</v>
      </c>
      <c r="C189" s="86" t="str">
        <f t="shared" si="21"/>
        <v>Game 1</v>
      </c>
      <c r="D189" s="87" t="str">
        <f t="shared" si="26"/>
        <v>Game 2</v>
      </c>
      <c r="E189" s="88" t="str">
        <f t="shared" si="22"/>
        <v>Game 3</v>
      </c>
      <c r="F189" s="85" t="str">
        <f>VLOOKUP(G189,'Swiss Registry'!$A$2:$B$703,2,False)</f>
        <v>Peppeppeia</v>
      </c>
      <c r="G189" s="84">
        <f t="shared" si="25"/>
        <v>520</v>
      </c>
      <c r="H189" s="83" t="s">
        <v>1619</v>
      </c>
    </row>
    <row r="190">
      <c r="A190" s="84">
        <f t="shared" si="23"/>
        <v>184</v>
      </c>
      <c r="B190" s="85" t="s">
        <v>439</v>
      </c>
      <c r="C190" s="86" t="str">
        <f t="shared" si="21"/>
        <v>Game 1</v>
      </c>
      <c r="D190" s="87" t="str">
        <f t="shared" si="26"/>
        <v>Game 2</v>
      </c>
      <c r="E190" s="89" t="str">
        <f t="shared" si="22"/>
        <v/>
      </c>
      <c r="F190" s="85" t="str">
        <f>VLOOKUP(G190,'Swiss Registry'!$A$2:$B$703,2,False)</f>
        <v>elysyr</v>
      </c>
      <c r="G190" s="84">
        <f t="shared" si="25"/>
        <v>519</v>
      </c>
      <c r="H190" s="83" t="s">
        <v>1620</v>
      </c>
    </row>
    <row r="191">
      <c r="A191" s="84">
        <f t="shared" si="23"/>
        <v>185</v>
      </c>
      <c r="B191" s="85" t="str">
        <f>VLOOKUP(A191,'Swiss Registry'!$A$2:$B$703,2,False)</f>
        <v>depressioncherry_66209</v>
      </c>
      <c r="C191" s="86" t="str">
        <f t="shared" si="21"/>
        <v>Game 1</v>
      </c>
      <c r="D191" s="87" t="str">
        <f t="shared" si="26"/>
        <v>Game 2</v>
      </c>
      <c r="E191" s="89" t="str">
        <f t="shared" si="22"/>
        <v/>
      </c>
      <c r="F191" s="85" t="str">
        <f>VLOOKUP(G191,'Swiss Registry'!$A$2:$B$703,2,False)</f>
        <v>Vholtninja</v>
      </c>
      <c r="G191" s="84">
        <f t="shared" si="25"/>
        <v>518</v>
      </c>
      <c r="H191" s="83" t="s">
        <v>1621</v>
      </c>
    </row>
    <row r="192">
      <c r="A192" s="84">
        <f t="shared" si="23"/>
        <v>186</v>
      </c>
      <c r="B192" s="85" t="str">
        <f>VLOOKUP(A192,'Swiss Registry'!$A$2:$B$703,2,False)</f>
        <v>YellowHat#0714</v>
      </c>
      <c r="C192" s="86" t="str">
        <f t="shared" si="21"/>
        <v>Game 1</v>
      </c>
      <c r="D192" s="87" t="str">
        <f t="shared" si="26"/>
        <v>Game 2</v>
      </c>
      <c r="E192" s="89" t="str">
        <f t="shared" si="22"/>
        <v/>
      </c>
      <c r="F192" s="85" t="str">
        <f>VLOOKUP(G192,'Swiss Registry'!$A$2:$B$703,2,False)</f>
        <v>oskari1707</v>
      </c>
      <c r="G192" s="84">
        <f t="shared" si="25"/>
        <v>517</v>
      </c>
      <c r="H192" s="83" t="s">
        <v>1622</v>
      </c>
    </row>
    <row r="193">
      <c r="A193" s="84">
        <f t="shared" si="23"/>
        <v>187</v>
      </c>
      <c r="B193" s="85" t="str">
        <f>VLOOKUP(A193,'Swiss Registry'!$A$2:$B$703,2,False)</f>
        <v>nicki4</v>
      </c>
      <c r="C193" s="86" t="str">
        <f t="shared" si="21"/>
        <v>Game 1</v>
      </c>
      <c r="D193" s="87" t="str">
        <f t="shared" si="26"/>
        <v>Game 2</v>
      </c>
      <c r="E193" s="88" t="str">
        <f t="shared" si="22"/>
        <v>Game 3</v>
      </c>
      <c r="F193" s="85" t="str">
        <f>VLOOKUP(G193,'Swiss Registry'!$A$2:$B$703,2,False)</f>
        <v>dazey</v>
      </c>
      <c r="G193" s="84">
        <f t="shared" si="25"/>
        <v>516</v>
      </c>
      <c r="H193" s="83" t="s">
        <v>1623</v>
      </c>
    </row>
    <row r="194">
      <c r="A194" s="84">
        <f t="shared" si="23"/>
        <v>188</v>
      </c>
      <c r="B194" s="85" t="str">
        <f>VLOOKUP(A194,'Swiss Registry'!$A$2:$B$703,2,False)</f>
        <v>Rebatca</v>
      </c>
      <c r="C194" s="86" t="str">
        <f t="shared" si="21"/>
        <v>Game 1</v>
      </c>
      <c r="D194" s="87" t="str">
        <f t="shared" si="26"/>
        <v>Game 2</v>
      </c>
      <c r="E194" s="89" t="str">
        <f t="shared" si="22"/>
        <v/>
      </c>
      <c r="F194" s="85" t="str">
        <f>VLOOKUP(G194,'Swiss Registry'!$A$2:$B$703,2,False)</f>
        <v>Fantasmal_.</v>
      </c>
      <c r="G194" s="84">
        <f t="shared" si="25"/>
        <v>515</v>
      </c>
      <c r="H194" s="83" t="s">
        <v>1624</v>
      </c>
    </row>
    <row r="195">
      <c r="A195" s="84">
        <f t="shared" si="23"/>
        <v>189</v>
      </c>
      <c r="B195" s="85" t="str">
        <f>VLOOKUP(A195,'Swiss Registry'!$A$2:$B$703,2,False)</f>
        <v>shinyhunter8013</v>
      </c>
      <c r="C195" s="86" t="str">
        <f t="shared" si="21"/>
        <v>Game 1</v>
      </c>
      <c r="D195" s="87" t="str">
        <f t="shared" si="26"/>
        <v>Game 2</v>
      </c>
      <c r="E195" s="88" t="str">
        <f t="shared" si="22"/>
        <v>Game 3</v>
      </c>
      <c r="F195" s="85" t="str">
        <f>VLOOKUP(G195,'Swiss Registry'!$A$2:$B$703,2,False)</f>
        <v>olliertlol</v>
      </c>
      <c r="G195" s="84">
        <f t="shared" si="25"/>
        <v>514</v>
      </c>
      <c r="H195" s="83" t="s">
        <v>1625</v>
      </c>
    </row>
    <row r="196">
      <c r="A196" s="84">
        <f t="shared" si="23"/>
        <v>190</v>
      </c>
      <c r="B196" s="85" t="str">
        <f>VLOOKUP(A196,'Swiss Registry'!$A$2:$B$703,2,False)</f>
        <v>ilovemygrandma444</v>
      </c>
      <c r="C196" s="90" t="str">
        <f t="shared" si="21"/>
        <v/>
      </c>
      <c r="D196" s="91" t="str">
        <f t="shared" si="26"/>
        <v>Act: stolenpaper</v>
      </c>
      <c r="E196" s="89" t="str">
        <f t="shared" si="22"/>
        <v/>
      </c>
      <c r="F196" s="85" t="str">
        <f>VLOOKUP(G196,'Swiss Registry'!$A$2:$B$703,2,False)</f>
        <v>stolenpaper</v>
      </c>
      <c r="G196" s="84">
        <f t="shared" si="25"/>
        <v>513</v>
      </c>
      <c r="H196" s="83" t="s">
        <v>1523</v>
      </c>
    </row>
    <row r="197">
      <c r="A197" s="84">
        <f t="shared" si="23"/>
        <v>191</v>
      </c>
      <c r="B197" s="85" t="str">
        <f>VLOOKUP(A197,'Swiss Registry'!$A$2:$B$703,2,False)</f>
        <v>thestonewallsmith</v>
      </c>
      <c r="C197" s="86" t="str">
        <f t="shared" si="21"/>
        <v>Game 1</v>
      </c>
      <c r="D197" s="87" t="str">
        <f t="shared" si="26"/>
        <v>Game 2</v>
      </c>
      <c r="E197" s="88" t="str">
        <f t="shared" si="22"/>
        <v>Game 3</v>
      </c>
      <c r="F197" s="85" t="str">
        <f>VLOOKUP(G197,'Swiss Registry'!$A$2:$B$703,2,False)</f>
        <v>msousa</v>
      </c>
      <c r="G197" s="84">
        <f t="shared" si="25"/>
        <v>512</v>
      </c>
      <c r="H197" s="83" t="s">
        <v>1626</v>
      </c>
    </row>
    <row r="198">
      <c r="A198" s="84">
        <f t="shared" si="23"/>
        <v>192</v>
      </c>
      <c r="B198" s="85" t="str">
        <f>VLOOKUP(A198,'Swiss Registry'!$A$2:$B$703,2,False)</f>
        <v>saltocorto</v>
      </c>
      <c r="C198" s="86" t="str">
        <f t="shared" si="21"/>
        <v>Game 1</v>
      </c>
      <c r="D198" s="87" t="str">
        <f t="shared" si="26"/>
        <v>Game 2</v>
      </c>
      <c r="E198" s="89" t="str">
        <f t="shared" si="22"/>
        <v/>
      </c>
      <c r="F198" s="85" t="str">
        <f>VLOOKUP(G198,'Swiss Registry'!$A$2:$B$703,2,False)</f>
        <v>dfr2248</v>
      </c>
      <c r="G198" s="84">
        <f t="shared" si="25"/>
        <v>511</v>
      </c>
      <c r="H198" s="83" t="s">
        <v>1627</v>
      </c>
    </row>
    <row r="199">
      <c r="A199" s="84">
        <f t="shared" si="23"/>
        <v>193</v>
      </c>
      <c r="B199" s="85" t="str">
        <f>VLOOKUP(A199,'Swiss Registry'!$A$2:$B$703,2,False)</f>
        <v>rovels</v>
      </c>
      <c r="C199" s="86" t="str">
        <f t="shared" si="21"/>
        <v>Game 1</v>
      </c>
      <c r="D199" s="87" t="str">
        <f t="shared" si="26"/>
        <v>Game 2</v>
      </c>
      <c r="E199" s="89" t="str">
        <f t="shared" si="22"/>
        <v/>
      </c>
      <c r="F199" s="85" t="str">
        <f>VLOOKUP(G199,'Swiss Registry'!$A$2:$B$703,2,False)</f>
        <v>Melninja</v>
      </c>
      <c r="G199" s="84">
        <f t="shared" si="25"/>
        <v>510</v>
      </c>
      <c r="H199" s="83" t="s">
        <v>1628</v>
      </c>
    </row>
    <row r="200">
      <c r="A200" s="84">
        <f t="shared" si="23"/>
        <v>194</v>
      </c>
      <c r="B200" s="85" t="str">
        <f>VLOOKUP(A200,'Swiss Registry'!$A$2:$B$703,2,False)</f>
        <v>bd31</v>
      </c>
      <c r="C200" s="90" t="str">
        <f t="shared" si="21"/>
        <v/>
      </c>
      <c r="D200" s="91" t="str">
        <f t="shared" si="26"/>
        <v>Act: bd31</v>
      </c>
      <c r="E200" s="89" t="str">
        <f t="shared" si="22"/>
        <v/>
      </c>
      <c r="F200" s="98" t="str">
        <f>VLOOKUP(G200,'Swiss Registry'!$A$2:$B$703,2,False)</f>
        <v>SUB 7</v>
      </c>
      <c r="G200" s="84">
        <f t="shared" si="25"/>
        <v>509</v>
      </c>
      <c r="H200" s="83" t="s">
        <v>1486</v>
      </c>
    </row>
    <row r="201">
      <c r="A201" s="84">
        <f t="shared" si="23"/>
        <v>195</v>
      </c>
      <c r="B201" s="85" t="str">
        <f>VLOOKUP(A201,'Swiss Registry'!$A$2:$B$703,2,False)</f>
        <v>inkyno1</v>
      </c>
      <c r="C201" s="90" t="str">
        <f t="shared" si="21"/>
        <v/>
      </c>
      <c r="D201" s="91" t="str">
        <f t="shared" si="26"/>
        <v>Act: michaelmeets</v>
      </c>
      <c r="E201" s="89" t="str">
        <f t="shared" si="22"/>
        <v/>
      </c>
      <c r="F201" s="85" t="str">
        <f>VLOOKUP(G201,'Swiss Registry'!$A$2:$B$703,2,False)</f>
        <v>michaelmeets</v>
      </c>
      <c r="G201" s="84">
        <f t="shared" si="25"/>
        <v>508</v>
      </c>
      <c r="H201" s="83" t="s">
        <v>1523</v>
      </c>
    </row>
    <row r="202" ht="15.0" customHeight="1">
      <c r="A202" s="80"/>
      <c r="B202" s="81"/>
      <c r="C202" s="81"/>
      <c r="D202" s="82" t="s">
        <v>1629</v>
      </c>
      <c r="E202" s="81"/>
      <c r="F202" s="81"/>
      <c r="G202" s="81"/>
      <c r="H202" s="81"/>
    </row>
    <row r="203">
      <c r="A203" s="84">
        <f>A201+1</f>
        <v>196</v>
      </c>
      <c r="B203" s="85" t="str">
        <f>VLOOKUP(A203,'Swiss Registry'!$A$2:$B$703,2,False)</f>
        <v>steffmoney</v>
      </c>
      <c r="C203" s="86" t="str">
        <f t="shared" ref="C203:C241" si="27">IF(H203="dead","",IF(H203="a:act","",IF(H203="b:act","",IF(ISURL(HYPERLINK(INDIRECT("Importer!B"&amp;MID(H203,2,4)+1,TRUE))),HYPERLINK(INDIRECT("Importer!B"&amp;MID(H203,2,4)+1,TRUE), "Game 1"),""))))</f>
        <v>Game 1</v>
      </c>
      <c r="D203" s="87" t="str">
        <f>IF(H203="dead","Dead Game",IF(H203="a:act","Act: "&amp;F203,IF(H203="b:act","Act: "&amp;#REF!,IF(ISURL(HYPERLINK(INDIRECT("Importer!B"&amp;MID(H203,6,4)+1,TRUE))),HYPERLINK(INDIRECT("Importer!B"&amp;MID(H203,6,4)+1,TRUE), "Game 2"),""))))</f>
        <v>Game 2</v>
      </c>
      <c r="E203" s="88" t="str">
        <f t="shared" ref="E203:E241" si="28">IF(H203="dead","",IF(H203="a:act","",IF(H203="b:act","",IF(ISURL(HYPERLINK(INDIRECT("Importer!B"&amp;MID(H203,10,4)+1,TRUE))),HYPERLINK(INDIRECT("Importer!B"&amp;MID(H203,10,4)+1,TRUE), "Game 3"),""))))</f>
        <v>Game 3</v>
      </c>
      <c r="F203" s="85" t="str">
        <f>VLOOKUP(G203,'Swiss Registry'!$A$2:$B$703,2,False)</f>
        <v>strawbbz</v>
      </c>
      <c r="G203" s="84">
        <f>G201-1</f>
        <v>507</v>
      </c>
      <c r="H203" s="83" t="s">
        <v>1630</v>
      </c>
    </row>
    <row r="204">
      <c r="A204" s="84">
        <f t="shared" ref="A204:A241" si="29">A203+1</f>
        <v>197</v>
      </c>
      <c r="B204" s="85" t="str">
        <f>VLOOKUP(A204,'Swiss Registry'!$A$2:$B$703,2,False)</f>
        <v>xerospacious</v>
      </c>
      <c r="C204" s="86" t="str">
        <f t="shared" si="27"/>
        <v>Game 1</v>
      </c>
      <c r="D204" s="87" t="str">
        <f t="shared" ref="D204:D241" si="30">IF(H204="dead","Dead Game",IF(H204="a:act","Act: "&amp;B204,IF(H204="b:act","Act: "&amp;F204,IF(ISURL(HYPERLINK(INDIRECT("Importer!B"&amp;MID(H204,6,4)+1,TRUE))),HYPERLINK(INDIRECT("Importer!B"&amp;MID(H204,6,4)+1,TRUE), "Game 2"),""))))</f>
        <v>Game 2</v>
      </c>
      <c r="E204" s="88" t="str">
        <f t="shared" si="28"/>
        <v>Game 3</v>
      </c>
      <c r="F204" s="85" t="str">
        <f>VLOOKUP(G204,'Swiss Registry'!$A$2:$B$703,2,False)</f>
        <v>Pressle54</v>
      </c>
      <c r="G204" s="84">
        <f t="shared" ref="G204:G241" si="31">G203-1</f>
        <v>506</v>
      </c>
      <c r="H204" s="83" t="s">
        <v>1631</v>
      </c>
    </row>
    <row r="205">
      <c r="A205" s="84">
        <f t="shared" si="29"/>
        <v>198</v>
      </c>
      <c r="B205" s="85" t="str">
        <f>VLOOKUP(A205,'Swiss Registry'!$A$2:$B$703,2,False)</f>
        <v>Kenava</v>
      </c>
      <c r="C205" s="86" t="str">
        <f t="shared" si="27"/>
        <v>Game 1</v>
      </c>
      <c r="D205" s="87" t="str">
        <f t="shared" si="30"/>
        <v>Game 2</v>
      </c>
      <c r="E205" s="89" t="str">
        <f t="shared" si="28"/>
        <v/>
      </c>
      <c r="F205" s="85" t="str">
        <f>VLOOKUP(G205,'Swiss Registry'!$A$2:$B$703,2,False)</f>
        <v>etymon_</v>
      </c>
      <c r="G205" s="84">
        <f t="shared" si="31"/>
        <v>505</v>
      </c>
      <c r="H205" s="83" t="s">
        <v>1632</v>
      </c>
    </row>
    <row r="206">
      <c r="A206" s="84">
        <f t="shared" si="29"/>
        <v>199</v>
      </c>
      <c r="B206" s="85" t="str">
        <f>VLOOKUP(A206,'Swiss Registry'!$A$2:$B$703,2,False)</f>
        <v>mcgowin (ID: lgv#9084)</v>
      </c>
      <c r="C206" s="86" t="str">
        <f t="shared" si="27"/>
        <v>Game 1</v>
      </c>
      <c r="D206" s="87" t="str">
        <f t="shared" si="30"/>
        <v>Game 2</v>
      </c>
      <c r="E206" s="89" t="str">
        <f t="shared" si="28"/>
        <v/>
      </c>
      <c r="F206" s="85" t="str">
        <f>VLOOKUP(G206,'Swiss Registry'!$A$2:$B$703,2,False)</f>
        <v>choicescarf002</v>
      </c>
      <c r="G206" s="84">
        <f t="shared" si="31"/>
        <v>504</v>
      </c>
      <c r="H206" s="83" t="s">
        <v>1633</v>
      </c>
    </row>
    <row r="207">
      <c r="A207" s="84">
        <f t="shared" si="29"/>
        <v>200</v>
      </c>
      <c r="B207" s="85" t="str">
        <f>VLOOKUP(A207,'Swiss Registry'!$A$2:$B$703,2,False)</f>
        <v>squirtle_squadbig_squatto</v>
      </c>
      <c r="C207" s="86" t="str">
        <f t="shared" si="27"/>
        <v>Game 1</v>
      </c>
      <c r="D207" s="87" t="str">
        <f t="shared" si="30"/>
        <v>Game 2</v>
      </c>
      <c r="E207" s="88" t="str">
        <f t="shared" si="28"/>
        <v>Game 3</v>
      </c>
      <c r="F207" s="85" t="str">
        <f>VLOOKUP(G207,'Swiss Registry'!$A$2:$B$703,2,False)</f>
        <v>gpd_123</v>
      </c>
      <c r="G207" s="84">
        <f t="shared" si="31"/>
        <v>503</v>
      </c>
      <c r="H207" s="83" t="s">
        <v>1634</v>
      </c>
    </row>
    <row r="208">
      <c r="A208" s="84">
        <f t="shared" si="29"/>
        <v>201</v>
      </c>
      <c r="B208" s="85" t="str">
        <f>VLOOKUP(A208,'Swiss Registry'!$A$2:$B$703,2,False)</f>
        <v>sprasle</v>
      </c>
      <c r="C208" s="86" t="str">
        <f t="shared" si="27"/>
        <v>Game 1</v>
      </c>
      <c r="D208" s="87" t="str">
        <f t="shared" si="30"/>
        <v>Game 2</v>
      </c>
      <c r="E208" s="89" t="str">
        <f t="shared" si="28"/>
        <v/>
      </c>
      <c r="F208" s="85" t="str">
        <f>VLOOKUP(G208,'Swiss Registry'!$A$2:$B$703,2,False)</f>
        <v>hansenator.</v>
      </c>
      <c r="G208" s="84">
        <f t="shared" si="31"/>
        <v>502</v>
      </c>
      <c r="H208" s="83" t="s">
        <v>1635</v>
      </c>
    </row>
    <row r="209">
      <c r="A209" s="84">
        <f t="shared" si="29"/>
        <v>202</v>
      </c>
      <c r="B209" s="85" t="str">
        <f>VLOOKUP(A209,'Swiss Registry'!$A$2:$B$703,2,False)</f>
        <v>bergenseren</v>
      </c>
      <c r="C209" s="90" t="str">
        <f t="shared" si="27"/>
        <v/>
      </c>
      <c r="D209" s="91" t="str">
        <f t="shared" si="30"/>
        <v>Act: firecracker1195</v>
      </c>
      <c r="E209" s="89" t="str">
        <f t="shared" si="28"/>
        <v/>
      </c>
      <c r="F209" s="85" t="str">
        <f>VLOOKUP(G209,'Swiss Registry'!$A$2:$B$703,2,False)</f>
        <v>firecracker1195</v>
      </c>
      <c r="G209" s="84">
        <f t="shared" si="31"/>
        <v>501</v>
      </c>
      <c r="H209" s="83" t="s">
        <v>1462</v>
      </c>
    </row>
    <row r="210">
      <c r="A210" s="84">
        <f t="shared" si="29"/>
        <v>203</v>
      </c>
      <c r="B210" s="85" t="str">
        <f>VLOOKUP(A210,'Swiss Registry'!$A$2:$B$703,2,False)</f>
        <v>JxJ</v>
      </c>
      <c r="C210" s="86" t="str">
        <f t="shared" si="27"/>
        <v>Game 1</v>
      </c>
      <c r="D210" s="87" t="str">
        <f t="shared" si="30"/>
        <v>Game 2</v>
      </c>
      <c r="E210" s="88" t="str">
        <f t="shared" si="28"/>
        <v>Game 3</v>
      </c>
      <c r="F210" s="85" t="str">
        <f>VLOOKUP(G210,'Swiss Registry'!$A$2:$B$703,2,False)</f>
        <v>mmtimmo</v>
      </c>
      <c r="G210" s="84">
        <f t="shared" si="31"/>
        <v>500</v>
      </c>
      <c r="H210" s="83" t="s">
        <v>1636</v>
      </c>
    </row>
    <row r="211">
      <c r="A211" s="84">
        <f t="shared" si="29"/>
        <v>204</v>
      </c>
      <c r="B211" s="85" t="str">
        <f>VLOOKUP(A211,'Swiss Registry'!$A$2:$B$703,2,False)</f>
        <v>mafx</v>
      </c>
      <c r="C211" s="86" t="str">
        <f t="shared" si="27"/>
        <v>Game 1</v>
      </c>
      <c r="D211" s="87" t="str">
        <f t="shared" si="30"/>
        <v>Game 2</v>
      </c>
      <c r="E211" s="88" t="str">
        <f t="shared" si="28"/>
        <v>Game 3</v>
      </c>
      <c r="F211" s="85" t="str">
        <f>VLOOKUP(G211,'Swiss Registry'!$A$2:$B$703,2,False)</f>
        <v>leofox___</v>
      </c>
      <c r="G211" s="84">
        <f t="shared" si="31"/>
        <v>499</v>
      </c>
      <c r="H211" s="83" t="s">
        <v>1637</v>
      </c>
    </row>
    <row r="212">
      <c r="A212" s="84">
        <f t="shared" si="29"/>
        <v>205</v>
      </c>
      <c r="B212" s="85" t="str">
        <f>VLOOKUP(A212,'Swiss Registry'!$A$2:$B$703,2,False)</f>
        <v>SUB 29</v>
      </c>
      <c r="C212" s="86" t="str">
        <f t="shared" si="27"/>
        <v>Game 1</v>
      </c>
      <c r="D212" s="87" t="str">
        <f t="shared" si="30"/>
        <v>Game 2</v>
      </c>
      <c r="E212" s="89" t="str">
        <f t="shared" si="28"/>
        <v/>
      </c>
      <c r="F212" s="85" t="str">
        <f>VLOOKUP(G212,'Swiss Registry'!$A$2:$B$703,2,False)</f>
        <v>gudemuch</v>
      </c>
      <c r="G212" s="84">
        <f t="shared" si="31"/>
        <v>498</v>
      </c>
      <c r="H212" s="83" t="s">
        <v>1638</v>
      </c>
    </row>
    <row r="213">
      <c r="A213" s="84">
        <f t="shared" si="29"/>
        <v>206</v>
      </c>
      <c r="B213" s="85" t="str">
        <f>VLOOKUP(A213,'Swiss Registry'!$A$2:$B$703,2,False)</f>
        <v>ccgeek_</v>
      </c>
      <c r="C213" s="86" t="str">
        <f t="shared" si="27"/>
        <v>Game 1</v>
      </c>
      <c r="D213" s="87" t="str">
        <f t="shared" si="30"/>
        <v>Game 2</v>
      </c>
      <c r="E213" s="89" t="str">
        <f t="shared" si="28"/>
        <v/>
      </c>
      <c r="F213" s="85" t="str">
        <f>VLOOKUP(G213,'Swiss Registry'!$A$2:$B$703,2,False)</f>
        <v>GSC_Lover_Boy</v>
      </c>
      <c r="G213" s="84">
        <f t="shared" si="31"/>
        <v>497</v>
      </c>
      <c r="H213" s="83" t="s">
        <v>1639</v>
      </c>
    </row>
    <row r="214">
      <c r="A214" s="84">
        <f t="shared" si="29"/>
        <v>207</v>
      </c>
      <c r="B214" s="85" t="str">
        <f>VLOOKUP(A214,'Swiss Registry'!$A$2:$B$703,2,False)</f>
        <v>samjamslam</v>
      </c>
      <c r="C214" s="86" t="str">
        <f t="shared" si="27"/>
        <v>Game 1</v>
      </c>
      <c r="D214" s="87" t="str">
        <f t="shared" si="30"/>
        <v>Game 2</v>
      </c>
      <c r="E214" s="88" t="str">
        <f t="shared" si="28"/>
        <v>Game 3</v>
      </c>
      <c r="F214" s="85" t="str">
        <f>VLOOKUP(G214,'Swiss Registry'!$A$2:$B$703,2,False)</f>
        <v>BlerpDerpSkerp</v>
      </c>
      <c r="G214" s="84">
        <f t="shared" si="31"/>
        <v>496</v>
      </c>
      <c r="H214" s="83" t="s">
        <v>1640</v>
      </c>
    </row>
    <row r="215">
      <c r="A215" s="84">
        <f t="shared" si="29"/>
        <v>208</v>
      </c>
      <c r="B215" s="85" t="str">
        <f>VLOOKUP(A215,'Swiss Registry'!$A$2:$B$703,2,False)</f>
        <v>UsernameABCD</v>
      </c>
      <c r="C215" s="86" t="str">
        <f t="shared" si="27"/>
        <v>Game 1</v>
      </c>
      <c r="D215" s="87" t="str">
        <f t="shared" si="30"/>
        <v>Game 2</v>
      </c>
      <c r="E215" s="89" t="str">
        <f t="shared" si="28"/>
        <v/>
      </c>
      <c r="F215" s="85" t="str">
        <f>VLOOKUP(G215,'Swiss Registry'!$A$2:$B$703,2,False)</f>
        <v>Raven_queen</v>
      </c>
      <c r="G215" s="84">
        <f t="shared" si="31"/>
        <v>495</v>
      </c>
      <c r="H215" s="83" t="s">
        <v>1641</v>
      </c>
    </row>
    <row r="216">
      <c r="A216" s="84">
        <f t="shared" si="29"/>
        <v>209</v>
      </c>
      <c r="B216" s="85" t="str">
        <f>VLOOKUP(A216,'Swiss Registry'!$A$2:$B$703,2,False)</f>
        <v>2coinsglued</v>
      </c>
      <c r="C216" s="90" t="str">
        <f t="shared" si="27"/>
        <v/>
      </c>
      <c r="D216" s="91" t="str">
        <f t="shared" si="30"/>
        <v>Act: thefattestofyoshis</v>
      </c>
      <c r="E216" s="89" t="str">
        <f t="shared" si="28"/>
        <v/>
      </c>
      <c r="F216" s="85" t="str">
        <f>VLOOKUP(G216,'Swiss Registry'!$A$2:$B$703,2,False)</f>
        <v>thefattestofyoshis</v>
      </c>
      <c r="G216" s="84">
        <f t="shared" si="31"/>
        <v>494</v>
      </c>
      <c r="H216" s="83" t="s">
        <v>1462</v>
      </c>
    </row>
    <row r="217">
      <c r="A217" s="84">
        <f t="shared" si="29"/>
        <v>210</v>
      </c>
      <c r="B217" s="85" t="str">
        <f>VLOOKUP(A217,'Swiss Registry'!$A$2:$B$703,2,False)</f>
        <v>TacCat</v>
      </c>
      <c r="C217" s="86" t="str">
        <f t="shared" si="27"/>
        <v>Game 1</v>
      </c>
      <c r="D217" s="87" t="str">
        <f t="shared" si="30"/>
        <v>Game 2</v>
      </c>
      <c r="E217" s="88" t="str">
        <f t="shared" si="28"/>
        <v>Game 3</v>
      </c>
      <c r="F217" s="85" t="str">
        <f>VLOOKUP(G217,'Swiss Registry'!$A$2:$B$703,2,False)</f>
        <v>rizzarroflame</v>
      </c>
      <c r="G217" s="84">
        <f t="shared" si="31"/>
        <v>493</v>
      </c>
      <c r="H217" s="83" t="s">
        <v>1642</v>
      </c>
    </row>
    <row r="218">
      <c r="A218" s="84">
        <f t="shared" si="29"/>
        <v>211</v>
      </c>
      <c r="B218" s="85" t="str">
        <f>VLOOKUP(A218,'Swiss Registry'!$A$2:$B$703,2,False)</f>
        <v>.alig.</v>
      </c>
      <c r="C218" s="86" t="str">
        <f t="shared" si="27"/>
        <v>Game 1</v>
      </c>
      <c r="D218" s="87" t="str">
        <f t="shared" si="30"/>
        <v>Game 2</v>
      </c>
      <c r="E218" s="89" t="str">
        <f t="shared" si="28"/>
        <v/>
      </c>
      <c r="F218" s="85" t="str">
        <f>VLOOKUP(G218,'Swiss Registry'!$A$2:$B$703,2,False)</f>
        <v>cisconduct</v>
      </c>
      <c r="G218" s="84">
        <f t="shared" si="31"/>
        <v>492</v>
      </c>
      <c r="H218" s="83" t="s">
        <v>1643</v>
      </c>
    </row>
    <row r="219">
      <c r="A219" s="84">
        <f t="shared" si="29"/>
        <v>212</v>
      </c>
      <c r="B219" s="85" t="str">
        <f>VLOOKUP(A219,'Swiss Registry'!$A$2:$B$703,2,False)</f>
        <v>dadaasdcfaw</v>
      </c>
      <c r="C219" s="90" t="str">
        <f t="shared" si="27"/>
        <v/>
      </c>
      <c r="D219" s="91" t="str">
        <f t="shared" si="30"/>
        <v>Act: dadaasdcfaw</v>
      </c>
      <c r="E219" s="89" t="str">
        <f t="shared" si="28"/>
        <v/>
      </c>
      <c r="F219" s="85" t="str">
        <f>VLOOKUP(G219,'Swiss Registry'!$A$2:$B$703,2,False)</f>
        <v>SUB 8</v>
      </c>
      <c r="G219" s="84">
        <f t="shared" si="31"/>
        <v>491</v>
      </c>
      <c r="H219" s="83" t="s">
        <v>1475</v>
      </c>
    </row>
    <row r="220">
      <c r="A220" s="84">
        <f t="shared" si="29"/>
        <v>213</v>
      </c>
      <c r="B220" s="85" t="str">
        <f>VLOOKUP(A220,'Swiss Registry'!$A$2:$B$703,2,False)</f>
        <v>Pabby_1805</v>
      </c>
      <c r="C220" s="86" t="str">
        <f t="shared" si="27"/>
        <v>Game 1</v>
      </c>
      <c r="D220" s="87" t="str">
        <f t="shared" si="30"/>
        <v>Game 2</v>
      </c>
      <c r="E220" s="89" t="str">
        <f t="shared" si="28"/>
        <v/>
      </c>
      <c r="F220" s="85" t="str">
        <f>VLOOKUP(G220,'Swiss Registry'!$A$2:$B$703,2,False)</f>
        <v>wombatbaby</v>
      </c>
      <c r="G220" s="84">
        <f t="shared" si="31"/>
        <v>490</v>
      </c>
      <c r="H220" s="83" t="s">
        <v>1644</v>
      </c>
    </row>
    <row r="221">
      <c r="A221" s="84">
        <f t="shared" si="29"/>
        <v>214</v>
      </c>
      <c r="B221" s="85" t="str">
        <f>VLOOKUP(A221,'Swiss Registry'!$A$2:$B$703,2,False)</f>
        <v>SpeccyGames</v>
      </c>
      <c r="C221" s="86" t="str">
        <f t="shared" si="27"/>
        <v>Game 1</v>
      </c>
      <c r="D221" s="87" t="str">
        <f t="shared" si="30"/>
        <v>Game 2</v>
      </c>
      <c r="E221" s="89" t="str">
        <f t="shared" si="28"/>
        <v/>
      </c>
      <c r="F221" s="85" t="str">
        <f>VLOOKUP(G221,'Swiss Registry'!$A$2:$B$703,2,False)</f>
        <v>luukthegamer</v>
      </c>
      <c r="G221" s="84">
        <f t="shared" si="31"/>
        <v>489</v>
      </c>
      <c r="H221" s="83" t="s">
        <v>1645</v>
      </c>
    </row>
    <row r="222">
      <c r="A222" s="84">
        <f t="shared" si="29"/>
        <v>215</v>
      </c>
      <c r="B222" s="85" t="str">
        <f>VLOOKUP(A222,'Swiss Registry'!$A$2:$B$703,2,False)</f>
        <v>Axselo</v>
      </c>
      <c r="C222" s="90" t="str">
        <f t="shared" si="27"/>
        <v/>
      </c>
      <c r="D222" s="91" t="str">
        <f t="shared" si="30"/>
        <v>Act: Axselo</v>
      </c>
      <c r="E222" s="89" t="str">
        <f t="shared" si="28"/>
        <v/>
      </c>
      <c r="F222" s="85" t="str">
        <f>VLOOKUP(G222,'Swiss Registry'!$A$2:$B$703,2,False)</f>
        <v>lemann8184</v>
      </c>
      <c r="G222" s="84">
        <f t="shared" si="31"/>
        <v>488</v>
      </c>
      <c r="H222" s="83" t="s">
        <v>1475</v>
      </c>
    </row>
    <row r="223">
      <c r="A223" s="84">
        <f t="shared" si="29"/>
        <v>216</v>
      </c>
      <c r="B223" s="85" t="str">
        <f>VLOOKUP(A223,'Swiss Registry'!$A$2:$B$703,2,False)</f>
        <v>jahim_</v>
      </c>
      <c r="C223" s="86" t="str">
        <f t="shared" si="27"/>
        <v>Game 1</v>
      </c>
      <c r="D223" s="87" t="str">
        <f t="shared" si="30"/>
        <v>Game 2</v>
      </c>
      <c r="E223" s="88" t="str">
        <f t="shared" si="28"/>
        <v>Game 3</v>
      </c>
      <c r="F223" s="85" t="str">
        <f>VLOOKUP(G223,'Swiss Registry'!$A$2:$B$703,2,False)</f>
        <v>owlman7507</v>
      </c>
      <c r="G223" s="84">
        <f t="shared" si="31"/>
        <v>487</v>
      </c>
      <c r="H223" s="83" t="s">
        <v>1646</v>
      </c>
    </row>
    <row r="224">
      <c r="A224" s="84">
        <f t="shared" si="29"/>
        <v>217</v>
      </c>
      <c r="B224" s="85" t="str">
        <f>VLOOKUP(A224,'Swiss Registry'!$A$2:$B$703,2,False)</f>
        <v>kebinsan</v>
      </c>
      <c r="C224" s="86" t="str">
        <f t="shared" si="27"/>
        <v>Game 1</v>
      </c>
      <c r="D224" s="87" t="str">
        <f t="shared" si="30"/>
        <v>Game 2</v>
      </c>
      <c r="E224" s="89" t="str">
        <f t="shared" si="28"/>
        <v/>
      </c>
      <c r="F224" s="85" t="str">
        <f>VLOOKUP(G224,'Swiss Registry'!$A$2:$B$703,2,False)</f>
        <v>venomshoc</v>
      </c>
      <c r="G224" s="84">
        <f t="shared" si="31"/>
        <v>486</v>
      </c>
      <c r="H224" s="83" t="s">
        <v>1647</v>
      </c>
    </row>
    <row r="225">
      <c r="A225" s="84">
        <f t="shared" si="29"/>
        <v>218</v>
      </c>
      <c r="B225" s="85" t="str">
        <f>VLOOKUP(A225,'Swiss Registry'!$A$2:$B$703,2,False)</f>
        <v>PuruglyIsUgly</v>
      </c>
      <c r="C225" s="86" t="str">
        <f t="shared" si="27"/>
        <v>Game 1</v>
      </c>
      <c r="D225" s="87" t="str">
        <f t="shared" si="30"/>
        <v>Game 2</v>
      </c>
      <c r="E225" s="89" t="str">
        <f t="shared" si="28"/>
        <v/>
      </c>
      <c r="F225" s="85" t="str">
        <f>VLOOKUP(G225,'Swiss Registry'!$A$2:$B$703,2,False)</f>
        <v>CodeRedSP</v>
      </c>
      <c r="G225" s="84">
        <f t="shared" si="31"/>
        <v>485</v>
      </c>
      <c r="H225" s="83" t="s">
        <v>1648</v>
      </c>
    </row>
    <row r="226">
      <c r="A226" s="84">
        <f t="shared" si="29"/>
        <v>219</v>
      </c>
      <c r="B226" s="85" t="str">
        <f>VLOOKUP(A226,'Swiss Registry'!$A$2:$B$703,2,False)</f>
        <v>girlevader</v>
      </c>
      <c r="C226" s="86" t="str">
        <f t="shared" si="27"/>
        <v>Game 1</v>
      </c>
      <c r="D226" s="87" t="str">
        <f t="shared" si="30"/>
        <v>Game 2</v>
      </c>
      <c r="E226" s="89" t="str">
        <f t="shared" si="28"/>
        <v/>
      </c>
      <c r="F226" s="85" t="str">
        <f>VLOOKUP(G226,'Swiss Registry'!$A$2:$B$703,2,False)</f>
        <v>LevysChair</v>
      </c>
      <c r="G226" s="84">
        <f t="shared" si="31"/>
        <v>484</v>
      </c>
      <c r="H226" s="83" t="s">
        <v>1649</v>
      </c>
    </row>
    <row r="227">
      <c r="A227" s="84">
        <f t="shared" si="29"/>
        <v>220</v>
      </c>
      <c r="B227" s="85" t="str">
        <f>VLOOKUP(A227,'Swiss Registry'!$A$2:$B$703,2,False)</f>
        <v>I am the Jarl</v>
      </c>
      <c r="C227" s="86" t="str">
        <f t="shared" si="27"/>
        <v>Game 1</v>
      </c>
      <c r="D227" s="87" t="str">
        <f t="shared" si="30"/>
        <v>Game 2</v>
      </c>
      <c r="E227" s="88" t="str">
        <f t="shared" si="28"/>
        <v>Game 3</v>
      </c>
      <c r="F227" s="85" t="str">
        <f>VLOOKUP(G227,'Swiss Registry'!$A$2:$B$703,2,False)</f>
        <v>erfder (old style Erfder#3147)</v>
      </c>
      <c r="G227" s="84">
        <f t="shared" si="31"/>
        <v>483</v>
      </c>
      <c r="H227" s="83" t="s">
        <v>1650</v>
      </c>
    </row>
    <row r="228">
      <c r="A228" s="84">
        <f t="shared" si="29"/>
        <v>221</v>
      </c>
      <c r="B228" s="85" t="str">
        <f>VLOOKUP(A228,'Swiss Registry'!$A$2:$B$703,2,False)</f>
        <v>Tefo</v>
      </c>
      <c r="C228" s="86" t="str">
        <f t="shared" si="27"/>
        <v>Game 1</v>
      </c>
      <c r="D228" s="87" t="str">
        <f t="shared" si="30"/>
        <v>Game 2</v>
      </c>
      <c r="E228" s="89" t="str">
        <f t="shared" si="28"/>
        <v/>
      </c>
      <c r="F228" s="85" t="str">
        <f>VLOOKUP(G228,'Swiss Registry'!$A$2:$B$703,2,False)</f>
        <v>no8ull</v>
      </c>
      <c r="G228" s="84">
        <f t="shared" si="31"/>
        <v>482</v>
      </c>
      <c r="H228" s="83" t="s">
        <v>1651</v>
      </c>
    </row>
    <row r="229">
      <c r="A229" s="84">
        <f t="shared" si="29"/>
        <v>222</v>
      </c>
      <c r="B229" s="85" t="str">
        <f>VLOOKUP(A229,'Swiss Registry'!$A$2:$B$703,2,False)</f>
        <v>dragonsareoptimal</v>
      </c>
      <c r="C229" s="86" t="str">
        <f t="shared" si="27"/>
        <v>Game 1</v>
      </c>
      <c r="D229" s="87" t="str">
        <f t="shared" si="30"/>
        <v>Game 2</v>
      </c>
      <c r="E229" s="88" t="str">
        <f t="shared" si="28"/>
        <v>Game 3</v>
      </c>
      <c r="F229" s="85" t="str">
        <f>VLOOKUP(G229,'Swiss Registry'!$A$2:$B$703,2,False)</f>
        <v>SentientSanchez</v>
      </c>
      <c r="G229" s="84">
        <f t="shared" si="31"/>
        <v>481</v>
      </c>
      <c r="H229" s="83" t="s">
        <v>1652</v>
      </c>
    </row>
    <row r="230">
      <c r="A230" s="84">
        <f t="shared" si="29"/>
        <v>223</v>
      </c>
      <c r="B230" s="85" t="str">
        <f>VLOOKUP(A230,'Swiss Registry'!$A$2:$B$703,2,False)</f>
        <v>halbertsimpson</v>
      </c>
      <c r="C230" s="86" t="str">
        <f t="shared" si="27"/>
        <v>Game 1</v>
      </c>
      <c r="D230" s="87" t="str">
        <f t="shared" si="30"/>
        <v>Game 2</v>
      </c>
      <c r="E230" s="88" t="str">
        <f t="shared" si="28"/>
        <v>Game 3</v>
      </c>
      <c r="F230" s="85" t="str">
        <f>VLOOKUP(G230,'Swiss Registry'!$A$2:$B$703,2,False)</f>
        <v>Saint-ome</v>
      </c>
      <c r="G230" s="84">
        <f t="shared" si="31"/>
        <v>480</v>
      </c>
      <c r="H230" s="83" t="s">
        <v>1653</v>
      </c>
    </row>
    <row r="231">
      <c r="A231" s="84">
        <f t="shared" si="29"/>
        <v>224</v>
      </c>
      <c r="B231" s="85" t="str">
        <f>VLOOKUP(A231,'Swiss Registry'!$A$2:$B$703,2,False)</f>
        <v>vy_apostrophe</v>
      </c>
      <c r="C231" s="86" t="str">
        <f t="shared" si="27"/>
        <v>Game 1</v>
      </c>
      <c r="D231" s="87" t="str">
        <f t="shared" si="30"/>
        <v>Game 2</v>
      </c>
      <c r="E231" s="89" t="str">
        <f t="shared" si="28"/>
        <v/>
      </c>
      <c r="F231" s="85" t="str">
        <f>VLOOKUP(G231,'Swiss Registry'!$A$2:$B$703,2,False)</f>
        <v>med470</v>
      </c>
      <c r="G231" s="84">
        <f t="shared" si="31"/>
        <v>479</v>
      </c>
      <c r="H231" s="83" t="s">
        <v>1654</v>
      </c>
    </row>
    <row r="232">
      <c r="A232" s="84">
        <f t="shared" si="29"/>
        <v>225</v>
      </c>
      <c r="B232" s="85" t="str">
        <f>VLOOKUP(A232,'Swiss Registry'!$A$2:$B$703,2,False)</f>
        <v>realfredrickDOUGLASS</v>
      </c>
      <c r="C232" s="86" t="str">
        <f t="shared" si="27"/>
        <v>Game 1</v>
      </c>
      <c r="D232" s="87" t="str">
        <f t="shared" si="30"/>
        <v>Game 2</v>
      </c>
      <c r="E232" s="88" t="str">
        <f t="shared" si="28"/>
        <v>Game 3</v>
      </c>
      <c r="F232" s="85" t="str">
        <f>VLOOKUP(G232,'Swiss Registry'!$A$2:$B$703,2,False)</f>
        <v>sopphaking</v>
      </c>
      <c r="G232" s="84">
        <f t="shared" si="31"/>
        <v>478</v>
      </c>
      <c r="H232" s="83" t="s">
        <v>1655</v>
      </c>
    </row>
    <row r="233">
      <c r="A233" s="84">
        <f t="shared" si="29"/>
        <v>226</v>
      </c>
      <c r="B233" s="85" t="str">
        <f>VLOOKUP(A233,'Swiss Registry'!$A$2:$B$703,2,False)</f>
        <v>Alargemongoose</v>
      </c>
      <c r="C233" s="86" t="str">
        <f t="shared" si="27"/>
        <v>Game 1</v>
      </c>
      <c r="D233" s="87" t="str">
        <f t="shared" si="30"/>
        <v>Game 2</v>
      </c>
      <c r="E233" s="89" t="str">
        <f t="shared" si="28"/>
        <v/>
      </c>
      <c r="F233" s="85" t="str">
        <f>VLOOKUP(G233,'Swiss Registry'!$A$2:$B$703,2,False)</f>
        <v>mugua (purple Pikmin pfp)</v>
      </c>
      <c r="G233" s="84">
        <f t="shared" si="31"/>
        <v>477</v>
      </c>
      <c r="H233" s="83" t="s">
        <v>1656</v>
      </c>
    </row>
    <row r="234">
      <c r="A234" s="84">
        <f t="shared" si="29"/>
        <v>227</v>
      </c>
      <c r="B234" s="85" t="str">
        <f>VLOOKUP(A234,'Swiss Registry'!$A$2:$B$703,2,False)</f>
        <v>_uka</v>
      </c>
      <c r="C234" s="86" t="str">
        <f t="shared" si="27"/>
        <v>Game 1</v>
      </c>
      <c r="D234" s="87" t="str">
        <f t="shared" si="30"/>
        <v>Game 2</v>
      </c>
      <c r="E234" s="89" t="str">
        <f t="shared" si="28"/>
        <v/>
      </c>
      <c r="F234" s="85" t="str">
        <f>VLOOKUP(G234,'Swiss Registry'!$A$2:$B$703,2,False)</f>
        <v>Colby2D</v>
      </c>
      <c r="G234" s="84">
        <f t="shared" si="31"/>
        <v>476</v>
      </c>
      <c r="H234" s="83" t="s">
        <v>1657</v>
      </c>
    </row>
    <row r="235">
      <c r="A235" s="84">
        <f t="shared" si="29"/>
        <v>228</v>
      </c>
      <c r="B235" s="85" t="str">
        <f>VLOOKUP(A235,'Swiss Registry'!$A$2:$B$703,2,False)</f>
        <v>kewta</v>
      </c>
      <c r="C235" s="86" t="str">
        <f t="shared" si="27"/>
        <v>Game 1</v>
      </c>
      <c r="D235" s="87" t="str">
        <f t="shared" si="30"/>
        <v>Game 2</v>
      </c>
      <c r="E235" s="89" t="str">
        <f t="shared" si="28"/>
        <v/>
      </c>
      <c r="F235" s="85" t="str">
        <f>VLOOKUP(G235,'Swiss Registry'!$A$2:$B$703,2,False)</f>
        <v>busyboi</v>
      </c>
      <c r="G235" s="84">
        <f t="shared" si="31"/>
        <v>475</v>
      </c>
      <c r="H235" s="83" t="s">
        <v>1658</v>
      </c>
    </row>
    <row r="236">
      <c r="A236" s="84">
        <f t="shared" si="29"/>
        <v>229</v>
      </c>
      <c r="B236" s="85" t="str">
        <f>VLOOKUP(A236,'Swiss Registry'!$A$2:$B$703,2,False)</f>
        <v>jensendale</v>
      </c>
      <c r="C236" s="86" t="str">
        <f t="shared" si="27"/>
        <v>Game 1</v>
      </c>
      <c r="D236" s="87" t="str">
        <f t="shared" si="30"/>
        <v>Game 2</v>
      </c>
      <c r="E236" s="89" t="str">
        <f t="shared" si="28"/>
        <v/>
      </c>
      <c r="F236" s="85" t="str">
        <f>VLOOKUP(G236,'Swiss Registry'!$A$2:$B$703,2,False)</f>
        <v>gstrem_</v>
      </c>
      <c r="G236" s="84">
        <f t="shared" si="31"/>
        <v>474</v>
      </c>
      <c r="H236" s="83" t="s">
        <v>1659</v>
      </c>
    </row>
    <row r="237">
      <c r="A237" s="84">
        <f t="shared" si="29"/>
        <v>230</v>
      </c>
      <c r="B237" s="85" t="str">
        <f>VLOOKUP(A237,'Swiss Registry'!$A$2:$B$703,2,False)</f>
        <v>J0af</v>
      </c>
      <c r="C237" s="90" t="str">
        <f t="shared" si="27"/>
        <v/>
      </c>
      <c r="D237" s="91" t="str">
        <f t="shared" si="30"/>
        <v>Act: J0af</v>
      </c>
      <c r="E237" s="89" t="str">
        <f t="shared" si="28"/>
        <v/>
      </c>
      <c r="F237" s="85" t="str">
        <f>VLOOKUP(G237,'Swiss Registry'!$A$2:$B$703,2,False)</f>
        <v>hachimaki.</v>
      </c>
      <c r="G237" s="84">
        <f t="shared" si="31"/>
        <v>473</v>
      </c>
      <c r="H237" s="83" t="s">
        <v>1475</v>
      </c>
    </row>
    <row r="238">
      <c r="A238" s="84">
        <f t="shared" si="29"/>
        <v>231</v>
      </c>
      <c r="B238" s="85" t="str">
        <f>VLOOKUP(A238,'Swiss Registry'!$A$2:$B$703,2,False)</f>
        <v>moggie776</v>
      </c>
      <c r="C238" s="86" t="str">
        <f t="shared" si="27"/>
        <v>Game 1</v>
      </c>
      <c r="D238" s="87" t="str">
        <f t="shared" si="30"/>
        <v>Game 2</v>
      </c>
      <c r="E238" s="89" t="str">
        <f t="shared" si="28"/>
        <v/>
      </c>
      <c r="F238" s="85" t="str">
        <f>VLOOKUP(G238,'Swiss Registry'!$A$2:$B$703,2,False)</f>
        <v>cremozar#6029</v>
      </c>
      <c r="G238" s="84">
        <f t="shared" si="31"/>
        <v>472</v>
      </c>
      <c r="H238" s="83" t="s">
        <v>1660</v>
      </c>
    </row>
    <row r="239">
      <c r="A239" s="84">
        <f t="shared" si="29"/>
        <v>232</v>
      </c>
      <c r="B239" s="85" t="str">
        <f>VLOOKUP(A239,'Swiss Registry'!$A$2:$B$703,2,False)</f>
        <v>valyns</v>
      </c>
      <c r="C239" s="86" t="str">
        <f t="shared" si="27"/>
        <v>Game 1</v>
      </c>
      <c r="D239" s="87" t="str">
        <f t="shared" si="30"/>
        <v>Game 2</v>
      </c>
      <c r="E239" s="89" t="str">
        <f t="shared" si="28"/>
        <v/>
      </c>
      <c r="F239" s="85" t="str">
        <f>VLOOKUP(G239,'Swiss Registry'!$A$2:$B$703,2,False)</f>
        <v>Sificon</v>
      </c>
      <c r="G239" s="84">
        <f t="shared" si="31"/>
        <v>471</v>
      </c>
      <c r="H239" s="83" t="s">
        <v>1661</v>
      </c>
    </row>
    <row r="240">
      <c r="A240" s="84">
        <f t="shared" si="29"/>
        <v>233</v>
      </c>
      <c r="B240" s="85" t="str">
        <f>VLOOKUP(A240,'Swiss Registry'!$A$2:$B$703,2,False)</f>
        <v>Beignet</v>
      </c>
      <c r="C240" s="86" t="str">
        <f t="shared" si="27"/>
        <v>Game 1</v>
      </c>
      <c r="D240" s="87" t="str">
        <f t="shared" si="30"/>
        <v>Game 2</v>
      </c>
      <c r="E240" s="88" t="str">
        <f t="shared" si="28"/>
        <v>Game 3</v>
      </c>
      <c r="F240" s="85" t="str">
        <f>VLOOKUP(G240,'Swiss Registry'!$A$2:$B$703,2,False)</f>
        <v>berkyderky</v>
      </c>
      <c r="G240" s="84">
        <f t="shared" si="31"/>
        <v>470</v>
      </c>
      <c r="H240" s="83" t="s">
        <v>1662</v>
      </c>
    </row>
    <row r="241">
      <c r="A241" s="84">
        <f t="shared" si="29"/>
        <v>234</v>
      </c>
      <c r="B241" s="85" t="str">
        <f>VLOOKUP(A241,'Swiss Registry'!$A$2:$B$703,2,False)</f>
        <v>soulive</v>
      </c>
      <c r="C241" s="86" t="str">
        <f t="shared" si="27"/>
        <v>Game 1</v>
      </c>
      <c r="D241" s="87" t="str">
        <f t="shared" si="30"/>
        <v>Game 2</v>
      </c>
      <c r="E241" s="89" t="str">
        <f t="shared" si="28"/>
        <v/>
      </c>
      <c r="F241" s="85" t="str">
        <f>VLOOKUP(G241,'Swiss Registry'!$A$2:$B$703,2,False)</f>
        <v>DanWhoDis</v>
      </c>
      <c r="G241" s="84">
        <f t="shared" si="31"/>
        <v>469</v>
      </c>
      <c r="H241" s="83" t="s">
        <v>1663</v>
      </c>
    </row>
    <row r="242" ht="15.0" customHeight="1">
      <c r="A242" s="80"/>
      <c r="B242" s="81"/>
      <c r="C242" s="81"/>
      <c r="D242" s="82" t="s">
        <v>1664</v>
      </c>
      <c r="E242" s="81"/>
      <c r="F242" s="81"/>
      <c r="G242" s="81"/>
      <c r="H242" s="81"/>
    </row>
    <row r="243">
      <c r="A243" s="84">
        <f>A241+1</f>
        <v>235</v>
      </c>
      <c r="B243" s="85" t="str">
        <f>VLOOKUP(A243,'Swiss Registry'!$A$2:$B$703,2,False)</f>
        <v>greencatkid</v>
      </c>
      <c r="C243" s="86" t="str">
        <f t="shared" ref="C243:C281" si="32">IF(H243="dead","",IF(H243="a:act","",IF(H243="b:act","",IF(ISURL(HYPERLINK(INDIRECT("Importer!B"&amp;MID(H243,2,4)+1,TRUE))),HYPERLINK(INDIRECT("Importer!B"&amp;MID(H243,2,4)+1,TRUE), "Game 1"),""))))</f>
        <v>Game 1</v>
      </c>
      <c r="D243" s="87" t="str">
        <f>IF(H243="dead","Dead Game",IF(H243="a:act","Act: "&amp;F243,IF(H243="b:act","Act: "&amp;#REF!,IF(ISURL(HYPERLINK(INDIRECT("Importer!B"&amp;MID(H243,6,4)+1,TRUE))),HYPERLINK(INDIRECT("Importer!B"&amp;MID(H243,6,4)+1,TRUE), "Game 2"),""))))</f>
        <v>Game 2</v>
      </c>
      <c r="E243" s="88" t="str">
        <f t="shared" ref="E243:E281" si="33">IF(H243="dead","",IF(H243="a:act","",IF(H243="b:act","",IF(ISURL(HYPERLINK(INDIRECT("Importer!B"&amp;MID(H243,10,4)+1,TRUE))),HYPERLINK(INDIRECT("Importer!B"&amp;MID(H243,10,4)+1,TRUE), "Game 3"),""))))</f>
        <v>Game 3</v>
      </c>
      <c r="F243" s="85" t="str">
        <f>VLOOKUP(G243,'Swiss Registry'!$A$2:$B$703,2,False)</f>
        <v>goldthe1andonly</v>
      </c>
      <c r="G243" s="84">
        <f>G241-1</f>
        <v>468</v>
      </c>
      <c r="H243" s="83" t="s">
        <v>1665</v>
      </c>
    </row>
    <row r="244">
      <c r="A244" s="84">
        <f t="shared" ref="A244:A281" si="34">A243+1</f>
        <v>236</v>
      </c>
      <c r="B244" s="85" t="str">
        <f>VLOOKUP(A244,'Swiss Registry'!$A$2:$B$703,2,False)</f>
        <v>treyprime</v>
      </c>
      <c r="C244" s="86" t="str">
        <f t="shared" si="32"/>
        <v>Game 1</v>
      </c>
      <c r="D244" s="87" t="str">
        <f t="shared" ref="D244:D281" si="35">IF(H244="dead","Dead Game",IF(H244="a:act","Act: "&amp;B244,IF(H244="b:act","Act: "&amp;F244,IF(ISURL(HYPERLINK(INDIRECT("Importer!B"&amp;MID(H244,6,4)+1,TRUE))),HYPERLINK(INDIRECT("Importer!B"&amp;MID(H244,6,4)+1,TRUE), "Game 2"),""))))</f>
        <v>Game 2</v>
      </c>
      <c r="E244" s="89" t="str">
        <f t="shared" si="33"/>
        <v/>
      </c>
      <c r="F244" s="85" t="str">
        <f>VLOOKUP(G244,'Swiss Registry'!$A$2:$B$703,2,False)</f>
        <v>doomlsinger</v>
      </c>
      <c r="G244" s="84">
        <f t="shared" ref="G244:G281" si="36">G243-1</f>
        <v>467</v>
      </c>
      <c r="H244" s="83" t="s">
        <v>1666</v>
      </c>
    </row>
    <row r="245">
      <c r="A245" s="84">
        <f t="shared" si="34"/>
        <v>237</v>
      </c>
      <c r="B245" s="85" t="str">
        <f>VLOOKUP(A245,'Swiss Registry'!$A$2:$B$703,2,False)</f>
        <v>heyitsmeriley</v>
      </c>
      <c r="C245" s="86" t="str">
        <f t="shared" si="32"/>
        <v>Game 1</v>
      </c>
      <c r="D245" s="87" t="str">
        <f t="shared" si="35"/>
        <v>Game 2</v>
      </c>
      <c r="E245" s="88" t="str">
        <f t="shared" si="33"/>
        <v>Game 3</v>
      </c>
      <c r="F245" s="85" t="str">
        <f>VLOOKUP(G245,'Swiss Registry'!$A$2:$B$703,2,False)</f>
        <v>wwwmonmon</v>
      </c>
      <c r="G245" s="84">
        <f t="shared" si="36"/>
        <v>466</v>
      </c>
      <c r="H245" s="83" t="s">
        <v>1667</v>
      </c>
    </row>
    <row r="246">
      <c r="A246" s="84">
        <f t="shared" si="34"/>
        <v>238</v>
      </c>
      <c r="B246" s="85" t="str">
        <f>VLOOKUP(A246,'Swiss Registry'!$A$2:$B$703,2,False)</f>
        <v>.GeneralRevan</v>
      </c>
      <c r="C246" s="86" t="str">
        <f t="shared" si="32"/>
        <v>Game 1</v>
      </c>
      <c r="D246" s="87" t="str">
        <f t="shared" si="35"/>
        <v>Game 2</v>
      </c>
      <c r="E246" s="89" t="str">
        <f t="shared" si="33"/>
        <v/>
      </c>
      <c r="F246" s="85" t="str">
        <f>VLOOKUP(G246,'Swiss Registry'!$A$2:$B$703,2,False)</f>
        <v>Moneybaggslowbro</v>
      </c>
      <c r="G246" s="84">
        <f t="shared" si="36"/>
        <v>465</v>
      </c>
      <c r="H246" s="83" t="s">
        <v>1668</v>
      </c>
    </row>
    <row r="247">
      <c r="A247" s="84">
        <f t="shared" si="34"/>
        <v>239</v>
      </c>
      <c r="B247" s="85" t="str">
        <f>VLOOKUP(A247,'Swiss Registry'!$A$2:$B$703,2,False)</f>
        <v>rbvengeance (Nicknamed RBV in the server, you can use this as a shorthand)</v>
      </c>
      <c r="C247" s="86" t="str">
        <f t="shared" si="32"/>
        <v>Game 1</v>
      </c>
      <c r="D247" s="87" t="str">
        <f t="shared" si="35"/>
        <v>Game 2</v>
      </c>
      <c r="E247" s="89" t="str">
        <f t="shared" si="33"/>
        <v/>
      </c>
      <c r="F247" s="85" t="str">
        <f>VLOOKUP(G247,'Swiss Registry'!$A$2:$B$703,2,False)</f>
        <v>kingkpak#0546</v>
      </c>
      <c r="G247" s="84">
        <f t="shared" si="36"/>
        <v>464</v>
      </c>
      <c r="H247" s="83" t="s">
        <v>1669</v>
      </c>
    </row>
    <row r="248">
      <c r="A248" s="84">
        <f t="shared" si="34"/>
        <v>240</v>
      </c>
      <c r="B248" s="85" t="str">
        <f>VLOOKUP(A248,'Swiss Registry'!$A$2:$B$703,2,False)</f>
        <v>wiilink100</v>
      </c>
      <c r="C248" s="86" t="str">
        <f t="shared" si="32"/>
        <v>Game 1</v>
      </c>
      <c r="D248" s="87" t="str">
        <f t="shared" si="35"/>
        <v>Game 2</v>
      </c>
      <c r="E248" s="88" t="str">
        <f t="shared" si="33"/>
        <v>Game 3</v>
      </c>
      <c r="F248" s="85" t="str">
        <f>VLOOKUP(G248,'Swiss Registry'!$A$2:$B$703,2,False)</f>
        <v>thegreatest23</v>
      </c>
      <c r="G248" s="84">
        <f t="shared" si="36"/>
        <v>463</v>
      </c>
      <c r="H248" s="83" t="s">
        <v>1670</v>
      </c>
    </row>
    <row r="249">
      <c r="A249" s="84">
        <f t="shared" si="34"/>
        <v>241</v>
      </c>
      <c r="B249" s="85" t="str">
        <f>VLOOKUP(A249,'Swiss Registry'!$A$2:$B$703,2,False)</f>
        <v>imcob</v>
      </c>
      <c r="C249" s="86" t="str">
        <f t="shared" si="32"/>
        <v>Game 1</v>
      </c>
      <c r="D249" s="87" t="str">
        <f t="shared" si="35"/>
        <v>Game 2</v>
      </c>
      <c r="E249" s="89" t="str">
        <f t="shared" si="33"/>
        <v/>
      </c>
      <c r="F249" s="85" t="str">
        <f>VLOOKUP(G249,'Swiss Registry'!$A$2:$B$703,2,False)</f>
        <v>MoxieKrok</v>
      </c>
      <c r="G249" s="84">
        <f t="shared" si="36"/>
        <v>462</v>
      </c>
      <c r="H249" s="83" t="s">
        <v>1671</v>
      </c>
    </row>
    <row r="250">
      <c r="A250" s="84">
        <f t="shared" si="34"/>
        <v>242</v>
      </c>
      <c r="B250" s="85" t="str">
        <f>VLOOKUP(A250,'Swiss Registry'!$A$2:$B$703,2,False)</f>
        <v>le_penseur</v>
      </c>
      <c r="C250" s="86" t="str">
        <f t="shared" si="32"/>
        <v>Game 1</v>
      </c>
      <c r="D250" s="87" t="str">
        <f t="shared" si="35"/>
        <v>Game 2</v>
      </c>
      <c r="E250" s="88" t="str">
        <f t="shared" si="33"/>
        <v>Game 3</v>
      </c>
      <c r="F250" s="85" t="str">
        <f>VLOOKUP(G250,'Swiss Registry'!$A$2:$B$703,2,False)</f>
        <v>isaiahterveen</v>
      </c>
      <c r="G250" s="84">
        <f t="shared" si="36"/>
        <v>461</v>
      </c>
      <c r="H250" s="83" t="s">
        <v>1672</v>
      </c>
    </row>
    <row r="251">
      <c r="A251" s="84">
        <f t="shared" si="34"/>
        <v>243</v>
      </c>
      <c r="B251" s="85" t="str">
        <f>VLOOKUP(A251,'Swiss Registry'!$A$2:$B$703,2,False)</f>
        <v>skittleskitty</v>
      </c>
      <c r="C251" s="86" t="str">
        <f t="shared" si="32"/>
        <v>Game 1</v>
      </c>
      <c r="D251" s="87" t="str">
        <f t="shared" si="35"/>
        <v>Game 2</v>
      </c>
      <c r="E251" s="89" t="str">
        <f t="shared" si="33"/>
        <v/>
      </c>
      <c r="F251" s="85" t="str">
        <f>VLOOKUP(G251,'Swiss Registry'!$A$2:$B$703,2,False)</f>
        <v>onewhorants</v>
      </c>
      <c r="G251" s="84">
        <f t="shared" si="36"/>
        <v>460</v>
      </c>
      <c r="H251" s="83" t="s">
        <v>1673</v>
      </c>
    </row>
    <row r="252">
      <c r="A252" s="84">
        <f t="shared" si="34"/>
        <v>244</v>
      </c>
      <c r="B252" s="85" t="str">
        <f>VLOOKUP(A252,'Swiss Registry'!$A$2:$B$703,2,False)</f>
        <v>resen</v>
      </c>
      <c r="C252" s="86" t="str">
        <f t="shared" si="32"/>
        <v>Game 1</v>
      </c>
      <c r="D252" s="87" t="str">
        <f t="shared" si="35"/>
        <v>Game 2</v>
      </c>
      <c r="E252" s="89" t="str">
        <f t="shared" si="33"/>
        <v/>
      </c>
      <c r="F252" s="85" t="str">
        <f>VLOOKUP(G252,'Swiss Registry'!$A$2:$B$703,2,False)</f>
        <v>@aevitostrath or Timehacker Aevitos</v>
      </c>
      <c r="G252" s="84">
        <f t="shared" si="36"/>
        <v>459</v>
      </c>
      <c r="H252" s="83" t="s">
        <v>1674</v>
      </c>
    </row>
    <row r="253">
      <c r="A253" s="84">
        <f t="shared" si="34"/>
        <v>245</v>
      </c>
      <c r="B253" s="85" t="str">
        <f>VLOOKUP(A253,'Swiss Registry'!$A$2:$B$703,2,False)</f>
        <v>durmain (slamonBbq)</v>
      </c>
      <c r="C253" s="86" t="str">
        <f t="shared" si="32"/>
        <v>Game 1</v>
      </c>
      <c r="D253" s="87" t="str">
        <f t="shared" si="35"/>
        <v>Game 2</v>
      </c>
      <c r="E253" s="89" t="str">
        <f t="shared" si="33"/>
        <v/>
      </c>
      <c r="F253" s="85" t="str">
        <f>VLOOKUP(G253,'Swiss Registry'!$A$2:$B$703,2,False)</f>
        <v>Antinomy</v>
      </c>
      <c r="G253" s="84">
        <f t="shared" si="36"/>
        <v>458</v>
      </c>
      <c r="H253" s="83" t="s">
        <v>1675</v>
      </c>
    </row>
    <row r="254">
      <c r="A254" s="84">
        <f t="shared" si="34"/>
        <v>246</v>
      </c>
      <c r="B254" s="85" t="str">
        <f>VLOOKUP(A254,'Swiss Registry'!$A$2:$B$703,2,False)</f>
        <v>SUB 9</v>
      </c>
      <c r="C254" s="90" t="str">
        <f t="shared" si="32"/>
        <v/>
      </c>
      <c r="D254" s="91" t="str">
        <f t="shared" si="35"/>
        <v>Act: SoCalSon</v>
      </c>
      <c r="E254" s="89" t="str">
        <f t="shared" si="33"/>
        <v/>
      </c>
      <c r="F254" s="85" t="str">
        <f>VLOOKUP(G254,'Swiss Registry'!$A$2:$B$703,2,False)</f>
        <v>SoCalSon</v>
      </c>
      <c r="G254" s="84">
        <f t="shared" si="36"/>
        <v>457</v>
      </c>
      <c r="H254" s="83" t="s">
        <v>1523</v>
      </c>
    </row>
    <row r="255">
      <c r="A255" s="84">
        <f t="shared" si="34"/>
        <v>247</v>
      </c>
      <c r="B255" s="85" t="str">
        <f>VLOOKUP(A255,'Swiss Registry'!$A$2:$B$703,2,False)</f>
        <v>gogozeppeli1890 (rconquer)</v>
      </c>
      <c r="C255" s="86" t="str">
        <f t="shared" si="32"/>
        <v>Game 1</v>
      </c>
      <c r="D255" s="87" t="str">
        <f t="shared" si="35"/>
        <v>Game 2</v>
      </c>
      <c r="E255" s="88" t="str">
        <f t="shared" si="33"/>
        <v>Game 3</v>
      </c>
      <c r="F255" s="85" t="str">
        <f>VLOOKUP(G255,'Swiss Registry'!$A$2:$B$703,2,False)</f>
        <v>Hidan.0/idfk</v>
      </c>
      <c r="G255" s="84">
        <f t="shared" si="36"/>
        <v>456</v>
      </c>
      <c r="H255" s="83" t="s">
        <v>1676</v>
      </c>
    </row>
    <row r="256">
      <c r="A256" s="84">
        <f t="shared" si="34"/>
        <v>248</v>
      </c>
      <c r="B256" s="85" t="str">
        <f>VLOOKUP(A256,'Swiss Registry'!$A$2:$B$703,2,False)</f>
        <v>ashvinbutduck</v>
      </c>
      <c r="C256" s="90" t="str">
        <f t="shared" si="32"/>
        <v/>
      </c>
      <c r="D256" s="91" t="str">
        <f t="shared" si="35"/>
        <v>Act: ashvinbutduck</v>
      </c>
      <c r="E256" s="89" t="str">
        <f t="shared" si="33"/>
        <v/>
      </c>
      <c r="F256" s="85" t="str">
        <f>VLOOKUP(G256,'Swiss Registry'!$A$2:$B$703,2,False)</f>
        <v>SUB 10</v>
      </c>
      <c r="G256" s="84">
        <f t="shared" si="36"/>
        <v>455</v>
      </c>
      <c r="H256" s="83" t="s">
        <v>1486</v>
      </c>
    </row>
    <row r="257">
      <c r="A257" s="84">
        <f t="shared" si="34"/>
        <v>249</v>
      </c>
      <c r="B257" s="85" t="str">
        <f>VLOOKUP(A257,'Swiss Registry'!$A$2:$B$703,2,False)</f>
        <v>gambling.goddess</v>
      </c>
      <c r="C257" s="86" t="str">
        <f t="shared" si="32"/>
        <v>Game 1</v>
      </c>
      <c r="D257" s="87" t="str">
        <f t="shared" si="35"/>
        <v>Game 2</v>
      </c>
      <c r="E257" s="89" t="str">
        <f t="shared" si="33"/>
        <v/>
      </c>
      <c r="F257" s="85" t="str">
        <f>VLOOKUP(G257,'Swiss Registry'!$A$2:$B$703,2,False)</f>
        <v>datguycactus</v>
      </c>
      <c r="G257" s="84">
        <f t="shared" si="36"/>
        <v>454</v>
      </c>
      <c r="H257" s="83" t="s">
        <v>1677</v>
      </c>
    </row>
    <row r="258">
      <c r="A258" s="84">
        <f t="shared" si="34"/>
        <v>250</v>
      </c>
      <c r="B258" s="85" t="str">
        <f>VLOOKUP(A258,'Swiss Registry'!$A$2:$B$703,2,False)</f>
        <v>@geosesarma</v>
      </c>
      <c r="C258" s="86" t="str">
        <f t="shared" si="32"/>
        <v>Game 1</v>
      </c>
      <c r="D258" s="87" t="str">
        <f t="shared" si="35"/>
        <v>Game 2</v>
      </c>
      <c r="E258" s="89" t="str">
        <f t="shared" si="33"/>
        <v/>
      </c>
      <c r="F258" s="85" t="str">
        <f>VLOOKUP(G258,'Swiss Registry'!$A$2:$B$703,2,False)</f>
        <v>madelinmorningstar</v>
      </c>
      <c r="G258" s="84">
        <f t="shared" si="36"/>
        <v>453</v>
      </c>
      <c r="H258" s="83" t="s">
        <v>1678</v>
      </c>
    </row>
    <row r="259">
      <c r="A259" s="84">
        <f t="shared" si="34"/>
        <v>251</v>
      </c>
      <c r="B259" s="85" t="str">
        <f>VLOOKUP(A259,'Swiss Registry'!$A$2:$B$703,2,False)</f>
        <v>tavi_tavi</v>
      </c>
      <c r="C259" s="86" t="str">
        <f t="shared" si="32"/>
        <v>Game 1</v>
      </c>
      <c r="D259" s="87" t="str">
        <f t="shared" si="35"/>
        <v>Game 2</v>
      </c>
      <c r="E259" s="88" t="str">
        <f t="shared" si="33"/>
        <v>Game 3</v>
      </c>
      <c r="F259" s="85" t="str">
        <f>VLOOKUP(G259,'Swiss Registry'!$A$2:$B$703,2,False)</f>
        <v>yadyaksh</v>
      </c>
      <c r="G259" s="84">
        <f t="shared" si="36"/>
        <v>452</v>
      </c>
      <c r="H259" s="83" t="s">
        <v>1679</v>
      </c>
    </row>
    <row r="260">
      <c r="A260" s="84">
        <f t="shared" si="34"/>
        <v>252</v>
      </c>
      <c r="B260" s="85" t="str">
        <f>VLOOKUP(A260,'Swiss Registry'!$A$2:$B$703,2,False)</f>
        <v>JoJ</v>
      </c>
      <c r="C260" s="86" t="str">
        <f t="shared" si="32"/>
        <v>Game 1</v>
      </c>
      <c r="D260" s="87" t="str">
        <f t="shared" si="35"/>
        <v>Game 2</v>
      </c>
      <c r="E260" s="88" t="str">
        <f t="shared" si="33"/>
        <v>Game 3</v>
      </c>
      <c r="F260" s="85" t="str">
        <f>VLOOKUP(G260,'Swiss Registry'!$A$2:$B$703,2,False)</f>
        <v>.aj2.0</v>
      </c>
      <c r="G260" s="84">
        <f t="shared" si="36"/>
        <v>451</v>
      </c>
      <c r="H260" s="83" t="s">
        <v>1680</v>
      </c>
    </row>
    <row r="261">
      <c r="A261" s="84">
        <f t="shared" si="34"/>
        <v>253</v>
      </c>
      <c r="B261" s="85" t="str">
        <f>VLOOKUP(A261,'Swiss Registry'!$A$2:$B$703,2,False)</f>
        <v>Pulcsii</v>
      </c>
      <c r="C261" s="86" t="str">
        <f t="shared" si="32"/>
        <v>Game 1</v>
      </c>
      <c r="D261" s="87" t="str">
        <f t="shared" si="35"/>
        <v>Game 2</v>
      </c>
      <c r="E261" s="89" t="str">
        <f t="shared" si="33"/>
        <v/>
      </c>
      <c r="F261" s="85" t="str">
        <f>VLOOKUP(G261,'Swiss Registry'!$A$2:$B$703,2,False)</f>
        <v>larkindred</v>
      </c>
      <c r="G261" s="84">
        <f t="shared" si="36"/>
        <v>450</v>
      </c>
      <c r="H261" s="83" t="s">
        <v>1681</v>
      </c>
    </row>
    <row r="262">
      <c r="A262" s="84">
        <f t="shared" si="34"/>
        <v>254</v>
      </c>
      <c r="B262" s="85" t="str">
        <f>VLOOKUP(A262,'Swiss Registry'!$A$2:$B$703,2,False)</f>
        <v>.seden</v>
      </c>
      <c r="C262" s="86" t="str">
        <f t="shared" si="32"/>
        <v>Game 1</v>
      </c>
      <c r="D262" s="87" t="str">
        <f t="shared" si="35"/>
        <v>Game 2</v>
      </c>
      <c r="E262" s="89" t="str">
        <f t="shared" si="33"/>
        <v/>
      </c>
      <c r="F262" s="85" t="str">
        <f>VLOOKUP(G262,'Swiss Registry'!$A$2:$B$703,2,False)</f>
        <v>biluv_v</v>
      </c>
      <c r="G262" s="84">
        <f t="shared" si="36"/>
        <v>449</v>
      </c>
      <c r="H262" s="83" t="s">
        <v>1682</v>
      </c>
    </row>
    <row r="263">
      <c r="A263" s="84">
        <f t="shared" si="34"/>
        <v>255</v>
      </c>
      <c r="B263" s="85" t="str">
        <f>VLOOKUP(A263,'Swiss Registry'!$A$2:$B$703,2,False)</f>
        <v>.FunkyCop</v>
      </c>
      <c r="C263" s="86" t="str">
        <f t="shared" si="32"/>
        <v>Game 1</v>
      </c>
      <c r="D263" s="87" t="str">
        <f t="shared" si="35"/>
        <v>Game 2</v>
      </c>
      <c r="E263" s="89" t="str">
        <f t="shared" si="33"/>
        <v/>
      </c>
      <c r="F263" s="85" t="str">
        <f>VLOOKUP(G263,'Swiss Registry'!$A$2:$B$703,2,False)</f>
        <v>egocheck</v>
      </c>
      <c r="G263" s="84">
        <f t="shared" si="36"/>
        <v>448</v>
      </c>
      <c r="H263" s="83" t="s">
        <v>1683</v>
      </c>
    </row>
    <row r="264">
      <c r="A264" s="84">
        <f t="shared" si="34"/>
        <v>256</v>
      </c>
      <c r="B264" s="85" t="str">
        <f>VLOOKUP(A264,'Swiss Registry'!$A$2:$B$703,2,False)</f>
        <v>bdicap</v>
      </c>
      <c r="C264" s="86" t="str">
        <f t="shared" si="32"/>
        <v>Game 1</v>
      </c>
      <c r="D264" s="87" t="str">
        <f t="shared" si="35"/>
        <v>Game 2</v>
      </c>
      <c r="E264" s="88" t="str">
        <f t="shared" si="33"/>
        <v>Game 3</v>
      </c>
      <c r="F264" s="85" t="str">
        <f>VLOOKUP(G264,'Swiss Registry'!$A$2:$B$703,2,False)</f>
        <v>TRXXJEH</v>
      </c>
      <c r="G264" s="84">
        <f t="shared" si="36"/>
        <v>447</v>
      </c>
      <c r="H264" s="83" t="s">
        <v>1684</v>
      </c>
    </row>
    <row r="265">
      <c r="A265" s="84">
        <f t="shared" si="34"/>
        <v>257</v>
      </c>
      <c r="B265" s="85" t="str">
        <f>VLOOKUP(A265,'Swiss Registry'!$A$2:$B$703,2,False)</f>
        <v>moistmania</v>
      </c>
      <c r="C265" s="86" t="str">
        <f t="shared" si="32"/>
        <v>Game 1</v>
      </c>
      <c r="D265" s="87" t="str">
        <f t="shared" si="35"/>
        <v>Game 2</v>
      </c>
      <c r="E265" s="89" t="str">
        <f t="shared" si="33"/>
        <v/>
      </c>
      <c r="F265" s="85" t="str">
        <f>VLOOKUP(G265,'Swiss Registry'!$A$2:$B$703,2,False)</f>
        <v>MrBluestacks</v>
      </c>
      <c r="G265" s="84">
        <f t="shared" si="36"/>
        <v>446</v>
      </c>
      <c r="H265" s="83" t="s">
        <v>1685</v>
      </c>
    </row>
    <row r="266">
      <c r="A266" s="84">
        <f t="shared" si="34"/>
        <v>258</v>
      </c>
      <c r="B266" s="85" t="str">
        <f>VLOOKUP(A266,'Swiss Registry'!$A$2:$B$703,2,False)</f>
        <v>kalarse</v>
      </c>
      <c r="C266" s="86" t="str">
        <f t="shared" si="32"/>
        <v>Game 1</v>
      </c>
      <c r="D266" s="87" t="str">
        <f t="shared" si="35"/>
        <v>Game 2</v>
      </c>
      <c r="E266" s="89" t="str">
        <f t="shared" si="33"/>
        <v/>
      </c>
      <c r="F266" s="85" t="str">
        <f>VLOOKUP(G266,'Swiss Registry'!$A$2:$B$703,2,False)</f>
        <v>1captainmorgan</v>
      </c>
      <c r="G266" s="84">
        <f t="shared" si="36"/>
        <v>445</v>
      </c>
      <c r="H266" s="83" t="s">
        <v>1686</v>
      </c>
    </row>
    <row r="267">
      <c r="A267" s="84">
        <f t="shared" si="34"/>
        <v>259</v>
      </c>
      <c r="B267" s="85" t="str">
        <f>VLOOKUP(A267,'Swiss Registry'!$A$2:$B$703,2,False)</f>
        <v>Birthdayninja</v>
      </c>
      <c r="C267" s="86" t="str">
        <f t="shared" si="32"/>
        <v>Game 1</v>
      </c>
      <c r="D267" s="87" t="str">
        <f t="shared" si="35"/>
        <v>Game 2</v>
      </c>
      <c r="E267" s="89" t="str">
        <f t="shared" si="33"/>
        <v/>
      </c>
      <c r="F267" s="85" t="str">
        <f>VLOOKUP(G267,'Swiss Registry'!$A$2:$B$703,2,False)</f>
        <v>MCJD931</v>
      </c>
      <c r="G267" s="84">
        <f t="shared" si="36"/>
        <v>444</v>
      </c>
      <c r="H267" s="83" t="s">
        <v>1687</v>
      </c>
    </row>
    <row r="268">
      <c r="A268" s="84">
        <f t="shared" si="34"/>
        <v>260</v>
      </c>
      <c r="B268" s="85" t="str">
        <f>VLOOKUP(A268,'Swiss Registry'!$A$2:$B$703,2,False)</f>
        <v>Attazer</v>
      </c>
      <c r="C268" s="86" t="str">
        <f t="shared" si="32"/>
        <v>Game 1</v>
      </c>
      <c r="D268" s="87" t="str">
        <f t="shared" si="35"/>
        <v>Game 2</v>
      </c>
      <c r="E268" s="88" t="str">
        <f t="shared" si="33"/>
        <v>Game 3</v>
      </c>
      <c r="F268" s="85" t="str">
        <f>VLOOKUP(G268,'Swiss Registry'!$A$2:$B$703,2,False)</f>
        <v>realshelly</v>
      </c>
      <c r="G268" s="84">
        <f t="shared" si="36"/>
        <v>443</v>
      </c>
      <c r="H268" s="83" t="s">
        <v>1688</v>
      </c>
    </row>
    <row r="269">
      <c r="A269" s="84">
        <f t="shared" si="34"/>
        <v>261</v>
      </c>
      <c r="B269" s="85" t="str">
        <f>VLOOKUP(A269,'Swiss Registry'!$A$2:$B$703,2,False)</f>
        <v>doc.steel</v>
      </c>
      <c r="C269" s="86" t="str">
        <f t="shared" si="32"/>
        <v>Game 1</v>
      </c>
      <c r="D269" s="87" t="str">
        <f t="shared" si="35"/>
        <v>Game 2</v>
      </c>
      <c r="E269" s="88" t="str">
        <f t="shared" si="33"/>
        <v>Game 3</v>
      </c>
      <c r="F269" s="85" t="str">
        <f>VLOOKUP(G269,'Swiss Registry'!$A$2:$B$703,2,False)</f>
        <v>Forte_French</v>
      </c>
      <c r="G269" s="84">
        <f t="shared" si="36"/>
        <v>442</v>
      </c>
      <c r="H269" s="83" t="s">
        <v>1689</v>
      </c>
    </row>
    <row r="270">
      <c r="A270" s="84">
        <f t="shared" si="34"/>
        <v>262</v>
      </c>
      <c r="B270" s="85" t="str">
        <f>VLOOKUP(A270,'Swiss Registry'!$A$2:$B$703,2,False)</f>
        <v>Pietro Giuffra</v>
      </c>
      <c r="C270" s="86" t="str">
        <f t="shared" si="32"/>
        <v>Game 1</v>
      </c>
      <c r="D270" s="87" t="str">
        <f t="shared" si="35"/>
        <v>Game 2</v>
      </c>
      <c r="E270" s="88" t="str">
        <f t="shared" si="33"/>
        <v>Game 3</v>
      </c>
      <c r="F270" s="85" t="str">
        <f>VLOOKUP(G270,'Swiss Registry'!$A$2:$B$703,2,False)</f>
        <v>tj_srevlis</v>
      </c>
      <c r="G270" s="84">
        <f t="shared" si="36"/>
        <v>441</v>
      </c>
      <c r="H270" s="83" t="s">
        <v>1690</v>
      </c>
    </row>
    <row r="271">
      <c r="A271" s="84">
        <f t="shared" si="34"/>
        <v>263</v>
      </c>
      <c r="B271" s="85" t="str">
        <f>VLOOKUP(A271,'Swiss Registry'!$A$2:$B$703,2,False)</f>
        <v>charku</v>
      </c>
      <c r="C271" s="86" t="str">
        <f t="shared" si="32"/>
        <v>Game 1</v>
      </c>
      <c r="D271" s="87" t="str">
        <f t="shared" si="35"/>
        <v>Game 2</v>
      </c>
      <c r="E271" s="89" t="str">
        <f t="shared" si="33"/>
        <v/>
      </c>
      <c r="F271" s="85" t="str">
        <f>VLOOKUP(G271,'Swiss Registry'!$A$2:$B$703,2,False)</f>
        <v>Jsockamisama</v>
      </c>
      <c r="G271" s="84">
        <f t="shared" si="36"/>
        <v>440</v>
      </c>
      <c r="H271" s="83" t="s">
        <v>1691</v>
      </c>
    </row>
    <row r="272">
      <c r="A272" s="84">
        <f t="shared" si="34"/>
        <v>264</v>
      </c>
      <c r="B272" s="85" t="str">
        <f>VLOOKUP(A272,'Swiss Registry'!$A$2:$B$703,2,False)</f>
        <v>Ghostmalone.</v>
      </c>
      <c r="C272" s="86" t="str">
        <f t="shared" si="32"/>
        <v>Game 1</v>
      </c>
      <c r="D272" s="87" t="str">
        <f t="shared" si="35"/>
        <v>Game 2</v>
      </c>
      <c r="E272" s="89" t="str">
        <f t="shared" si="33"/>
        <v/>
      </c>
      <c r="F272" s="85" t="str">
        <f>VLOOKUP(G272,'Swiss Registry'!$A$2:$B$703,2,False)</f>
        <v>chrisdrums19</v>
      </c>
      <c r="G272" s="84">
        <f t="shared" si="36"/>
        <v>439</v>
      </c>
      <c r="H272" s="83" t="s">
        <v>1692</v>
      </c>
    </row>
    <row r="273">
      <c r="A273" s="84">
        <f t="shared" si="34"/>
        <v>265</v>
      </c>
      <c r="B273" s="85" t="str">
        <f>VLOOKUP(A273,'Swiss Registry'!$A$2:$B$703,2,False)</f>
        <v>Agustin Palacios</v>
      </c>
      <c r="C273" s="86" t="str">
        <f t="shared" si="32"/>
        <v>Game 1</v>
      </c>
      <c r="D273" s="87" t="str">
        <f t="shared" si="35"/>
        <v>Game 2</v>
      </c>
      <c r="E273" s="89" t="str">
        <f t="shared" si="33"/>
        <v/>
      </c>
      <c r="F273" s="85" t="str">
        <f>VLOOKUP(G273,'Swiss Registry'!$A$2:$B$703,2,False)</f>
        <v>javiercar#9743</v>
      </c>
      <c r="G273" s="84">
        <f t="shared" si="36"/>
        <v>438</v>
      </c>
      <c r="H273" s="83" t="s">
        <v>1693</v>
      </c>
    </row>
    <row r="274">
      <c r="A274" s="84">
        <f t="shared" si="34"/>
        <v>266</v>
      </c>
      <c r="B274" s="85" t="str">
        <f>VLOOKUP(A274,'Swiss Registry'!$A$2:$B$703,2,False)</f>
        <v>lemonlc</v>
      </c>
      <c r="C274" s="86" t="str">
        <f t="shared" si="32"/>
        <v>Game 1</v>
      </c>
      <c r="D274" s="87" t="str">
        <f t="shared" si="35"/>
        <v>Game 2</v>
      </c>
      <c r="E274" s="88" t="str">
        <f t="shared" si="33"/>
        <v>Game 3</v>
      </c>
      <c r="F274" s="85" t="str">
        <f>VLOOKUP(G274,'Swiss Registry'!$A$2:$B$703,2,False)</f>
        <v>starii88</v>
      </c>
      <c r="G274" s="84">
        <f t="shared" si="36"/>
        <v>437</v>
      </c>
      <c r="H274" s="83" t="s">
        <v>1694</v>
      </c>
    </row>
    <row r="275">
      <c r="A275" s="84">
        <f t="shared" si="34"/>
        <v>267</v>
      </c>
      <c r="B275" s="85" t="str">
        <f>VLOOKUP(A275,'Swiss Registry'!$A$2:$B$703,2,False)</f>
        <v>mintchocolateguy</v>
      </c>
      <c r="C275" s="86" t="str">
        <f t="shared" si="32"/>
        <v>Game 1</v>
      </c>
      <c r="D275" s="87" t="str">
        <f t="shared" si="35"/>
        <v>Game 2</v>
      </c>
      <c r="E275" s="89" t="str">
        <f t="shared" si="33"/>
        <v/>
      </c>
      <c r="F275" s="85" t="str">
        <f>VLOOKUP(G275,'Swiss Registry'!$A$2:$B$703,2,False)</f>
        <v>zioplys</v>
      </c>
      <c r="G275" s="84">
        <f t="shared" si="36"/>
        <v>436</v>
      </c>
      <c r="H275" s="83" t="s">
        <v>1695</v>
      </c>
    </row>
    <row r="276">
      <c r="A276" s="84">
        <f t="shared" si="34"/>
        <v>268</v>
      </c>
      <c r="B276" s="85" t="str">
        <f>VLOOKUP(A276,'Swiss Registry'!$A$2:$B$703,2,False)</f>
        <v>lucyisafish</v>
      </c>
      <c r="C276" s="86" t="str">
        <f t="shared" si="32"/>
        <v>Game 1</v>
      </c>
      <c r="D276" s="87" t="str">
        <f t="shared" si="35"/>
        <v>Game 2</v>
      </c>
      <c r="E276" s="89" t="str">
        <f t="shared" si="33"/>
        <v/>
      </c>
      <c r="F276" s="85" t="str">
        <f>VLOOKUP(G276,'Swiss Registry'!$A$2:$B$703,2,False)</f>
        <v>UnzipsCrogre</v>
      </c>
      <c r="G276" s="84">
        <f t="shared" si="36"/>
        <v>435</v>
      </c>
      <c r="H276" s="83" t="s">
        <v>1696</v>
      </c>
    </row>
    <row r="277">
      <c r="A277" s="84">
        <f t="shared" si="34"/>
        <v>269</v>
      </c>
      <c r="B277" s="85" t="str">
        <f>VLOOKUP(A277,'Swiss Registry'!$A$2:$B$703,2,False)</f>
        <v>monchooo</v>
      </c>
      <c r="C277" s="86" t="str">
        <f t="shared" si="32"/>
        <v>Game 1</v>
      </c>
      <c r="D277" s="87" t="str">
        <f t="shared" si="35"/>
        <v>Game 2</v>
      </c>
      <c r="E277" s="88" t="str">
        <f t="shared" si="33"/>
        <v>Game 3</v>
      </c>
      <c r="F277" s="85" t="str">
        <f>VLOOKUP(G277,'Swiss Registry'!$A$2:$B$703,2,False)</f>
        <v>nemesis_deno</v>
      </c>
      <c r="G277" s="84">
        <f t="shared" si="36"/>
        <v>434</v>
      </c>
      <c r="H277" s="83" t="s">
        <v>1697</v>
      </c>
    </row>
    <row r="278">
      <c r="A278" s="84">
        <f t="shared" si="34"/>
        <v>270</v>
      </c>
      <c r="B278" s="85" t="str">
        <f>VLOOKUP(A278,'Swiss Registry'!$A$2:$B$703,2,False)</f>
        <v>lemon04</v>
      </c>
      <c r="C278" s="86" t="str">
        <f t="shared" si="32"/>
        <v>Game 1</v>
      </c>
      <c r="D278" s="87" t="str">
        <f t="shared" si="35"/>
        <v>Game 2</v>
      </c>
      <c r="E278" s="89" t="str">
        <f t="shared" si="33"/>
        <v/>
      </c>
      <c r="F278" s="85" t="str">
        <f>VLOOKUP(G278,'Swiss Registry'!$A$2:$B$703,2,False)</f>
        <v>jozin457</v>
      </c>
      <c r="G278" s="84">
        <f t="shared" si="36"/>
        <v>433</v>
      </c>
      <c r="H278" s="83" t="s">
        <v>1698</v>
      </c>
    </row>
    <row r="279">
      <c r="A279" s="84">
        <f t="shared" si="34"/>
        <v>271</v>
      </c>
      <c r="B279" s="85" t="str">
        <f>VLOOKUP(A279,'Swiss Registry'!$A$2:$B$703,2,False)</f>
        <v>billgatesalt_53189</v>
      </c>
      <c r="C279" s="86" t="str">
        <f t="shared" si="32"/>
        <v>Game 1</v>
      </c>
      <c r="D279" s="87" t="str">
        <f t="shared" si="35"/>
        <v>Game 2</v>
      </c>
      <c r="E279" s="88" t="str">
        <f t="shared" si="33"/>
        <v>Game 3</v>
      </c>
      <c r="F279" s="85" t="str">
        <f>VLOOKUP(G279,'Swiss Registry'!$A$2:$B$703,2,False)</f>
        <v>saiyanpride.</v>
      </c>
      <c r="G279" s="84">
        <f t="shared" si="36"/>
        <v>432</v>
      </c>
      <c r="H279" s="83" t="s">
        <v>1699</v>
      </c>
    </row>
    <row r="280">
      <c r="A280" s="84">
        <f t="shared" si="34"/>
        <v>272</v>
      </c>
      <c r="B280" s="85" t="str">
        <f>VLOOKUP(A280,'Swiss Registry'!$A$2:$B$703,2,False)</f>
        <v>lawn1826</v>
      </c>
      <c r="C280" s="86" t="str">
        <f t="shared" si="32"/>
        <v>Game 1</v>
      </c>
      <c r="D280" s="87" t="str">
        <f t="shared" si="35"/>
        <v>Game 2</v>
      </c>
      <c r="E280" s="89" t="str">
        <f t="shared" si="33"/>
        <v/>
      </c>
      <c r="F280" s="85" t="str">
        <f>VLOOKUP(G280,'Swiss Registry'!$A$2:$B$703,2,False)</f>
        <v>ditdus.</v>
      </c>
      <c r="G280" s="84">
        <f t="shared" si="36"/>
        <v>431</v>
      </c>
      <c r="H280" s="83" t="s">
        <v>1700</v>
      </c>
    </row>
    <row r="281">
      <c r="A281" s="84">
        <f t="shared" si="34"/>
        <v>273</v>
      </c>
      <c r="B281" s="85" t="str">
        <f>VLOOKUP(A281,'Swiss Registry'!$A$2:$B$703,2,False)</f>
        <v>dabebri</v>
      </c>
      <c r="C281" s="86" t="str">
        <f t="shared" si="32"/>
        <v>Game 1</v>
      </c>
      <c r="D281" s="87" t="str">
        <f t="shared" si="35"/>
        <v>Game 2</v>
      </c>
      <c r="E281" s="88" t="str">
        <f t="shared" si="33"/>
        <v>Game 3</v>
      </c>
      <c r="F281" s="85" t="str">
        <f>VLOOKUP(G281,'Swiss Registry'!$A$2:$B$703,2,False)</f>
        <v>woeishuen</v>
      </c>
      <c r="G281" s="84">
        <f t="shared" si="36"/>
        <v>430</v>
      </c>
      <c r="H281" s="83" t="s">
        <v>1701</v>
      </c>
    </row>
    <row r="282" ht="15.0" customHeight="1">
      <c r="A282" s="80"/>
      <c r="B282" s="81"/>
      <c r="C282" s="81"/>
      <c r="D282" s="82" t="s">
        <v>1702</v>
      </c>
      <c r="E282" s="81"/>
      <c r="F282" s="81"/>
      <c r="G282" s="81"/>
      <c r="H282" s="81"/>
    </row>
    <row r="283">
      <c r="A283" s="84">
        <f>A281+1</f>
        <v>274</v>
      </c>
      <c r="B283" s="85" t="str">
        <f>VLOOKUP(A283,'Swiss Registry'!$A$2:$B$703,2,False)</f>
        <v>IAmGolden.</v>
      </c>
      <c r="C283" s="90" t="str">
        <f t="shared" ref="C283:C321" si="37">IF(H283="dead","",IF(H283="a:act","",IF(H283="b:act","",IF(ISURL(HYPERLINK(INDIRECT("Importer!B"&amp;MID(H283,2,4)+1,TRUE))),HYPERLINK(INDIRECT("Importer!B"&amp;MID(H283,2,4)+1,TRUE), "Game 1"),""))))</f>
        <v/>
      </c>
      <c r="D283" s="91" t="str">
        <f t="shared" ref="D283:D321" si="38">IF(H283="dead","Dead Game",IF(H283="a:act","Act: "&amp;B283,IF(H283="b:act","Act: "&amp;F283,IF(ISURL(HYPERLINK(INDIRECT("Importer!B"&amp;MID(H283,6,4)+1,TRUE))),HYPERLINK(INDIRECT("Importer!B"&amp;MID(H283,6,4)+1,TRUE), "Game 2"),""))))</f>
        <v>Act: Aahaahaah</v>
      </c>
      <c r="E283" s="89" t="str">
        <f t="shared" ref="E283:E321" si="39">IF(H283="dead","",IF(H283="a:act","",IF(H283="b:act","",IF(ISURL(HYPERLINK(INDIRECT("Importer!B"&amp;MID(H283,10,4)+1,TRUE))),HYPERLINK(INDIRECT("Importer!B"&amp;MID(H283,10,4)+1,TRUE), "Game 3"),""))))</f>
        <v/>
      </c>
      <c r="F283" s="85" t="str">
        <f>VLOOKUP(G283,'Swiss Registry'!$A$2:$B$703,2,False)</f>
        <v>Aahaahaah</v>
      </c>
      <c r="G283" s="84">
        <f>G281-1</f>
        <v>429</v>
      </c>
      <c r="H283" s="83" t="s">
        <v>1462</v>
      </c>
    </row>
    <row r="284">
      <c r="A284" s="84">
        <f t="shared" ref="A284:A321" si="40">A283+1</f>
        <v>275</v>
      </c>
      <c r="B284" s="85" t="str">
        <f>VLOOKUP(A284,'Swiss Registry'!$A$2:$B$703,2,False)</f>
        <v>zxgzxg</v>
      </c>
      <c r="C284" s="86" t="str">
        <f t="shared" si="37"/>
        <v>Game 1</v>
      </c>
      <c r="D284" s="87" t="str">
        <f t="shared" si="38"/>
        <v>Game 2</v>
      </c>
      <c r="E284" s="89" t="str">
        <f t="shared" si="39"/>
        <v/>
      </c>
      <c r="F284" s="85" t="str">
        <f>VLOOKUP(G284,'Swiss Registry'!$A$2:$B$703,2,False)</f>
        <v>yuramas</v>
      </c>
      <c r="G284" s="84">
        <f t="shared" ref="G284:G321" si="41">G283-1</f>
        <v>428</v>
      </c>
      <c r="H284" s="83" t="s">
        <v>1703</v>
      </c>
    </row>
    <row r="285">
      <c r="A285" s="84">
        <f t="shared" si="40"/>
        <v>276</v>
      </c>
      <c r="B285" s="85" t="str">
        <f>VLOOKUP(A285,'Swiss Registry'!$A$2:$B$703,2,False)</f>
        <v>Papa Escargo</v>
      </c>
      <c r="C285" s="86" t="str">
        <f t="shared" si="37"/>
        <v>Game 1</v>
      </c>
      <c r="D285" s="87" t="str">
        <f t="shared" si="38"/>
        <v>Game 2</v>
      </c>
      <c r="E285" s="89" t="str">
        <f t="shared" si="39"/>
        <v/>
      </c>
      <c r="F285" s="85" t="str">
        <f>VLOOKUP(G285,'Swiss Registry'!$A$2:$B$703,2,False)</f>
        <v>comseal</v>
      </c>
      <c r="G285" s="84">
        <f t="shared" si="41"/>
        <v>427</v>
      </c>
      <c r="H285" s="83" t="s">
        <v>1704</v>
      </c>
    </row>
    <row r="286">
      <c r="A286" s="84">
        <f t="shared" si="40"/>
        <v>277</v>
      </c>
      <c r="B286" s="85" t="str">
        <f>VLOOKUP(A286,'Swiss Registry'!$A$2:$B$703,2,False)</f>
        <v>usbreon</v>
      </c>
      <c r="C286" s="86" t="str">
        <f t="shared" si="37"/>
        <v>Game 1</v>
      </c>
      <c r="D286" s="87" t="str">
        <f t="shared" si="38"/>
        <v>Game 2</v>
      </c>
      <c r="E286" s="88" t="str">
        <f t="shared" si="39"/>
        <v>Game 3</v>
      </c>
      <c r="F286" s="85" t="str">
        <f>VLOOKUP(G286,'Swiss Registry'!$A$2:$B$703,2,False)</f>
        <v>felipe01788_</v>
      </c>
      <c r="G286" s="84">
        <f t="shared" si="41"/>
        <v>426</v>
      </c>
      <c r="H286" s="83" t="s">
        <v>1705</v>
      </c>
    </row>
    <row r="287">
      <c r="A287" s="84">
        <f t="shared" si="40"/>
        <v>278</v>
      </c>
      <c r="B287" s="85" t="str">
        <f>VLOOKUP(A287,'Swiss Registry'!$A$2:$B$703,2,False)</f>
        <v>voidvolta</v>
      </c>
      <c r="C287" s="90" t="str">
        <f t="shared" si="37"/>
        <v/>
      </c>
      <c r="D287" s="91" t="str">
        <f t="shared" si="38"/>
        <v>Act: voidvolta</v>
      </c>
      <c r="E287" s="89" t="str">
        <f t="shared" si="39"/>
        <v/>
      </c>
      <c r="F287" s="85" t="str">
        <f>VLOOKUP(G287,'Swiss Registry'!$A$2:$B$703,2,False)</f>
        <v>peabnut</v>
      </c>
      <c r="G287" s="84">
        <f t="shared" si="41"/>
        <v>425</v>
      </c>
      <c r="H287" s="83" t="s">
        <v>1706</v>
      </c>
    </row>
    <row r="288">
      <c r="A288" s="84">
        <f t="shared" si="40"/>
        <v>279</v>
      </c>
      <c r="B288" s="85" t="str">
        <f>VLOOKUP(A288,'Swiss Registry'!$A$2:$B$703,2,False)</f>
        <v>bruh504</v>
      </c>
      <c r="C288" s="86" t="str">
        <f t="shared" si="37"/>
        <v>Game 1</v>
      </c>
      <c r="D288" s="87" t="str">
        <f t="shared" si="38"/>
        <v>Game 2</v>
      </c>
      <c r="E288" s="89" t="str">
        <f t="shared" si="39"/>
        <v/>
      </c>
      <c r="F288" s="85" t="str">
        <f>VLOOKUP(G288,'Swiss Registry'!$A$2:$B$703,2,False)</f>
        <v>Lawrencelot</v>
      </c>
      <c r="G288" s="84">
        <f t="shared" si="41"/>
        <v>424</v>
      </c>
      <c r="H288" s="83" t="s">
        <v>1707</v>
      </c>
    </row>
    <row r="289">
      <c r="A289" s="84">
        <f t="shared" si="40"/>
        <v>280</v>
      </c>
      <c r="B289" s="85" t="str">
        <f>VLOOKUP(A289,'Swiss Registry'!$A$2:$B$703,2,False)</f>
        <v>xamvius</v>
      </c>
      <c r="C289" s="86" t="str">
        <f t="shared" si="37"/>
        <v>Game 1</v>
      </c>
      <c r="D289" s="87" t="str">
        <f t="shared" si="38"/>
        <v>Game 2</v>
      </c>
      <c r="E289" s="89" t="str">
        <f t="shared" si="39"/>
        <v/>
      </c>
      <c r="F289" s="85" t="str">
        <f>VLOOKUP(G289,'Swiss Registry'!$A$2:$B$703,2,False)</f>
        <v>fastandsleepy</v>
      </c>
      <c r="G289" s="84">
        <f t="shared" si="41"/>
        <v>423</v>
      </c>
      <c r="H289" s="83" t="s">
        <v>1708</v>
      </c>
    </row>
    <row r="290">
      <c r="A290" s="84">
        <f t="shared" si="40"/>
        <v>281</v>
      </c>
      <c r="B290" s="85" t="str">
        <f>VLOOKUP(A290,'Swiss Registry'!$A$2:$B$703,2,False)</f>
        <v>jpmockman</v>
      </c>
      <c r="C290" s="86" t="str">
        <f t="shared" si="37"/>
        <v>Game 1</v>
      </c>
      <c r="D290" s="87" t="str">
        <f t="shared" si="38"/>
        <v>Game 2</v>
      </c>
      <c r="E290" s="88" t="str">
        <f t="shared" si="39"/>
        <v>Game 3</v>
      </c>
      <c r="F290" s="85" t="str">
        <f>VLOOKUP(G290,'Swiss Registry'!$A$2:$B$703,2,False)</f>
        <v>ShotoNC</v>
      </c>
      <c r="G290" s="84">
        <f t="shared" si="41"/>
        <v>422</v>
      </c>
      <c r="H290" s="83" t="s">
        <v>1709</v>
      </c>
    </row>
    <row r="291">
      <c r="A291" s="84">
        <f t="shared" si="40"/>
        <v>282</v>
      </c>
      <c r="B291" s="85" t="str">
        <f>VLOOKUP(A291,'Swiss Registry'!$A$2:$B$703,2,False)</f>
        <v>koentjelub</v>
      </c>
      <c r="C291" s="86" t="str">
        <f t="shared" si="37"/>
        <v>Game 1</v>
      </c>
      <c r="D291" s="87" t="str">
        <f t="shared" si="38"/>
        <v>Game 2</v>
      </c>
      <c r="E291" s="89" t="str">
        <f t="shared" si="39"/>
        <v/>
      </c>
      <c r="F291" s="85" t="str">
        <f>VLOOKUP(G291,'Swiss Registry'!$A$2:$B$703,2,False)</f>
        <v>Daeronchick</v>
      </c>
      <c r="G291" s="84">
        <f t="shared" si="41"/>
        <v>421</v>
      </c>
      <c r="H291" s="83" t="s">
        <v>1710</v>
      </c>
    </row>
    <row r="292">
      <c r="A292" s="84">
        <f t="shared" si="40"/>
        <v>283</v>
      </c>
      <c r="B292" s="85" t="str">
        <f>VLOOKUP(A292,'Swiss Registry'!$A$2:$B$703,2,False)</f>
        <v>Kydreith33</v>
      </c>
      <c r="C292" s="86" t="str">
        <f t="shared" si="37"/>
        <v>Game 1</v>
      </c>
      <c r="D292" s="87" t="str">
        <f t="shared" si="38"/>
        <v>Game 2</v>
      </c>
      <c r="E292" s="88" t="str">
        <f t="shared" si="39"/>
        <v>Game 3</v>
      </c>
      <c r="F292" s="85" t="str">
        <f>VLOOKUP(G292,'Swiss Registry'!$A$2:$B$703,2,False)</f>
        <v>prestonv</v>
      </c>
      <c r="G292" s="84">
        <f t="shared" si="41"/>
        <v>420</v>
      </c>
      <c r="H292" s="83" t="s">
        <v>1711</v>
      </c>
    </row>
    <row r="293">
      <c r="A293" s="84">
        <f t="shared" si="40"/>
        <v>284</v>
      </c>
      <c r="B293" s="85" t="str">
        <f>VLOOKUP(A293,'Swiss Registry'!$A$2:$B$703,2,False)</f>
        <v>jd_orph</v>
      </c>
      <c r="C293" s="90" t="str">
        <f t="shared" si="37"/>
        <v/>
      </c>
      <c r="D293" s="91" t="str">
        <f t="shared" si="38"/>
        <v>Act: jd_orph</v>
      </c>
      <c r="E293" s="89" t="str">
        <f t="shared" si="39"/>
        <v/>
      </c>
      <c r="F293" s="85" t="str">
        <f>VLOOKUP(G293,'Swiss Registry'!$A$2:$B$703,2,False)</f>
        <v>SUB 22</v>
      </c>
      <c r="G293" s="84">
        <f t="shared" si="41"/>
        <v>419</v>
      </c>
      <c r="H293" s="83" t="s">
        <v>1706</v>
      </c>
    </row>
    <row r="294">
      <c r="A294" s="84">
        <f t="shared" si="40"/>
        <v>285</v>
      </c>
      <c r="B294" s="85" t="str">
        <f>VLOOKUP(A294,'Swiss Registry'!$A$2:$B$703,2,False)</f>
        <v>brunocoolgamers</v>
      </c>
      <c r="C294" s="86" t="str">
        <f t="shared" si="37"/>
        <v>Game 1</v>
      </c>
      <c r="D294" s="87" t="str">
        <f t="shared" si="38"/>
        <v>Game 2</v>
      </c>
      <c r="E294" s="89" t="str">
        <f t="shared" si="39"/>
        <v/>
      </c>
      <c r="F294" s="85" t="str">
        <f>VLOOKUP(G294,'Swiss Registry'!$A$2:$B$703,2,False)</f>
        <v>skitz_money</v>
      </c>
      <c r="G294" s="84">
        <f t="shared" si="41"/>
        <v>418</v>
      </c>
      <c r="H294" s="83" t="s">
        <v>1712</v>
      </c>
    </row>
    <row r="295">
      <c r="A295" s="84">
        <f t="shared" si="40"/>
        <v>286</v>
      </c>
      <c r="B295" s="85" t="str">
        <f>VLOOKUP(A295,'Swiss Registry'!$A$2:$B$703,2,False)</f>
        <v>Ho_Chi</v>
      </c>
      <c r="C295" s="86" t="str">
        <f t="shared" si="37"/>
        <v>Game 1</v>
      </c>
      <c r="D295" s="87" t="str">
        <f t="shared" si="38"/>
        <v>Game 2</v>
      </c>
      <c r="E295" s="88" t="str">
        <f t="shared" si="39"/>
        <v>Game 3</v>
      </c>
      <c r="F295" s="85" t="str">
        <f>VLOOKUP(G295,'Swiss Registry'!$A$2:$B$703,2,False)</f>
        <v>peacemaker040</v>
      </c>
      <c r="G295" s="84">
        <f t="shared" si="41"/>
        <v>417</v>
      </c>
      <c r="H295" s="83" t="s">
        <v>1713</v>
      </c>
    </row>
    <row r="296">
      <c r="A296" s="84">
        <f t="shared" si="40"/>
        <v>287</v>
      </c>
      <c r="B296" s="85" t="str">
        <f>VLOOKUP(A296,'Swiss Registry'!$A$2:$B$703,2,False)</f>
        <v>green.9082</v>
      </c>
      <c r="C296" s="90" t="str">
        <f t="shared" si="37"/>
        <v/>
      </c>
      <c r="D296" s="91" t="str">
        <f t="shared" si="38"/>
        <v>Act: myrox123</v>
      </c>
      <c r="E296" s="89" t="str">
        <f t="shared" si="39"/>
        <v/>
      </c>
      <c r="F296" s="85" t="str">
        <f>VLOOKUP(G296,'Swiss Registry'!$A$2:$B$703,2,False)</f>
        <v>myrox123</v>
      </c>
      <c r="G296" s="84">
        <f t="shared" si="41"/>
        <v>416</v>
      </c>
      <c r="H296" s="83" t="s">
        <v>1714</v>
      </c>
    </row>
    <row r="297">
      <c r="A297" s="84">
        <f t="shared" si="40"/>
        <v>288</v>
      </c>
      <c r="B297" s="85" t="str">
        <f>VLOOKUP(A297,'Swiss Registry'!$A$2:$B$703,2,False)</f>
        <v>mewunderscoretwo</v>
      </c>
      <c r="C297" s="86" t="str">
        <f t="shared" si="37"/>
        <v>Game 1</v>
      </c>
      <c r="D297" s="87" t="str">
        <f t="shared" si="38"/>
        <v>Game 2</v>
      </c>
      <c r="E297" s="88" t="str">
        <f t="shared" si="39"/>
        <v>Game 3</v>
      </c>
      <c r="F297" s="85" t="str">
        <f>VLOOKUP(G297,'Swiss Registry'!$A$2:$B$703,2,False)</f>
        <v>dylan69__</v>
      </c>
      <c r="G297" s="84">
        <f t="shared" si="41"/>
        <v>415</v>
      </c>
      <c r="H297" s="83" t="s">
        <v>1715</v>
      </c>
    </row>
    <row r="298">
      <c r="A298" s="84">
        <f t="shared" si="40"/>
        <v>289</v>
      </c>
      <c r="B298" s="85" t="str">
        <f>VLOOKUP(A298,'Swiss Registry'!$A$2:$B$703,2,False)</f>
        <v>sanbaibeepo</v>
      </c>
      <c r="C298" s="86" t="str">
        <f t="shared" si="37"/>
        <v>Game 1</v>
      </c>
      <c r="D298" s="87" t="str">
        <f t="shared" si="38"/>
        <v>Game 2</v>
      </c>
      <c r="E298" s="89" t="str">
        <f t="shared" si="39"/>
        <v/>
      </c>
      <c r="F298" s="85" t="str">
        <f>VLOOKUP(G298,'Swiss Registry'!$A$2:$B$703,2,False)</f>
        <v>KeshBa45</v>
      </c>
      <c r="G298" s="84">
        <f t="shared" si="41"/>
        <v>414</v>
      </c>
      <c r="H298" s="83" t="s">
        <v>1716</v>
      </c>
    </row>
    <row r="299">
      <c r="A299" s="84">
        <f t="shared" si="40"/>
        <v>290</v>
      </c>
      <c r="B299" s="85" t="str">
        <f>VLOOKUP(A299,'Swiss Registry'!$A$2:$B$703,2,False)</f>
        <v>truelawbringer</v>
      </c>
      <c r="C299" s="86" t="str">
        <f t="shared" si="37"/>
        <v>Game 1</v>
      </c>
      <c r="D299" s="87" t="str">
        <f t="shared" si="38"/>
        <v>Game 2</v>
      </c>
      <c r="E299" s="89" t="str">
        <f t="shared" si="39"/>
        <v/>
      </c>
      <c r="F299" s="85" t="str">
        <f>VLOOKUP(G299,'Swiss Registry'!$A$2:$B$703,2,False)</f>
        <v>_honua</v>
      </c>
      <c r="G299" s="84">
        <f t="shared" si="41"/>
        <v>413</v>
      </c>
      <c r="H299" s="83" t="s">
        <v>1717</v>
      </c>
    </row>
    <row r="300">
      <c r="A300" s="84">
        <f t="shared" si="40"/>
        <v>291</v>
      </c>
      <c r="B300" s="85" t="str">
        <f>VLOOKUP(A300,'Swiss Registry'!$A$2:$B$703,2,False)</f>
        <v>pLzzazz</v>
      </c>
      <c r="C300" s="86" t="str">
        <f t="shared" si="37"/>
        <v>Game 1</v>
      </c>
      <c r="D300" s="87" t="str">
        <f t="shared" si="38"/>
        <v>Game 2</v>
      </c>
      <c r="E300" s="89" t="str">
        <f t="shared" si="39"/>
        <v/>
      </c>
      <c r="F300" s="85" t="str">
        <f>VLOOKUP(G300,'Swiss Registry'!$A$2:$B$703,2,False)</f>
        <v>Yatagarasuwu</v>
      </c>
      <c r="G300" s="84">
        <f t="shared" si="41"/>
        <v>412</v>
      </c>
      <c r="H300" s="83" t="s">
        <v>1718</v>
      </c>
    </row>
    <row r="301">
      <c r="A301" s="84">
        <f t="shared" si="40"/>
        <v>292</v>
      </c>
      <c r="B301" s="85" t="str">
        <f>VLOOKUP(A301,'Swiss Registry'!$A$2:$B$703,2,False)</f>
        <v>clinkbug</v>
      </c>
      <c r="C301" s="86" t="str">
        <f t="shared" si="37"/>
        <v>Game 1</v>
      </c>
      <c r="D301" s="87" t="str">
        <f t="shared" si="38"/>
        <v>Game 2</v>
      </c>
      <c r="E301" s="88" t="str">
        <f t="shared" si="39"/>
        <v>Game 3</v>
      </c>
      <c r="F301" s="85" t="str">
        <f>VLOOKUP(G301,'Swiss Registry'!$A$2:$B$703,2,False)</f>
        <v>FaceOFF</v>
      </c>
      <c r="G301" s="84">
        <f t="shared" si="41"/>
        <v>411</v>
      </c>
      <c r="H301" s="83" t="s">
        <v>1719</v>
      </c>
    </row>
    <row r="302">
      <c r="A302" s="84">
        <f t="shared" si="40"/>
        <v>293</v>
      </c>
      <c r="B302" s="85" t="str">
        <f>VLOOKUP(A302,'Swiss Registry'!$A$2:$B$703,2,False)</f>
        <v>SUB 11</v>
      </c>
      <c r="C302" s="90" t="str">
        <f t="shared" si="37"/>
        <v/>
      </c>
      <c r="D302" s="91" t="str">
        <f t="shared" si="38"/>
        <v>Act: ultraemeraldman_16197</v>
      </c>
      <c r="E302" s="89" t="str">
        <f t="shared" si="39"/>
        <v/>
      </c>
      <c r="F302" s="85" t="str">
        <f>VLOOKUP(G302,'Swiss Registry'!$A$2:$B$703,2,False)</f>
        <v>ultraemeraldman_16197</v>
      </c>
      <c r="G302" s="84">
        <f t="shared" si="41"/>
        <v>410</v>
      </c>
      <c r="H302" s="83" t="s">
        <v>1714</v>
      </c>
    </row>
    <row r="303">
      <c r="A303" s="84">
        <f t="shared" si="40"/>
        <v>294</v>
      </c>
      <c r="B303" s="85" t="str">
        <f>VLOOKUP(A303,'Swiss Registry'!$A$2:$B$703,2,False)</f>
        <v>dorugang</v>
      </c>
      <c r="C303" s="86" t="str">
        <f t="shared" si="37"/>
        <v>Game 1</v>
      </c>
      <c r="D303" s="87" t="str">
        <f t="shared" si="38"/>
        <v>Game 2</v>
      </c>
      <c r="E303" s="88" t="str">
        <f t="shared" si="39"/>
        <v>Game 3</v>
      </c>
      <c r="F303" s="85" t="str">
        <f>VLOOKUP(G303,'Swiss Registry'!$A$2:$B$703,2,False)</f>
        <v>biff_the_banana</v>
      </c>
      <c r="G303" s="84">
        <f t="shared" si="41"/>
        <v>409</v>
      </c>
      <c r="H303" s="83" t="s">
        <v>1720</v>
      </c>
    </row>
    <row r="304">
      <c r="A304" s="84">
        <f t="shared" si="40"/>
        <v>295</v>
      </c>
      <c r="B304" s="85" t="str">
        <f>VLOOKUP(A304,'Swiss Registry'!$A$2:$B$703,2,False)</f>
        <v>kuru1432</v>
      </c>
      <c r="C304" s="90" t="str">
        <f t="shared" si="37"/>
        <v/>
      </c>
      <c r="D304" s="91" t="str">
        <f t="shared" si="38"/>
        <v>Act: kuru1432</v>
      </c>
      <c r="E304" s="89" t="str">
        <f t="shared" si="39"/>
        <v/>
      </c>
      <c r="F304" s="85" t="str">
        <f>VLOOKUP(G304,'Swiss Registry'!$A$2:$B$703,2,False)</f>
        <v>SUB 18</v>
      </c>
      <c r="G304" s="84">
        <f t="shared" si="41"/>
        <v>408</v>
      </c>
      <c r="H304" s="83" t="s">
        <v>1706</v>
      </c>
    </row>
    <row r="305">
      <c r="A305" s="84">
        <f t="shared" si="40"/>
        <v>296</v>
      </c>
      <c r="B305" s="85" t="str">
        <f>VLOOKUP(A305,'Swiss Registry'!$A$2:$B$703,2,False)</f>
        <v>Superstar</v>
      </c>
      <c r="C305" s="90" t="str">
        <f t="shared" si="37"/>
        <v/>
      </c>
      <c r="D305" s="91" t="str">
        <f t="shared" si="38"/>
        <v>Act: Superstar</v>
      </c>
      <c r="E305" s="89" t="str">
        <f t="shared" si="39"/>
        <v/>
      </c>
      <c r="F305" s="85" t="str">
        <f>VLOOKUP(G305,'Swiss Registry'!$A$2:$B$703,2,False)</f>
        <v>.turkeyleg</v>
      </c>
      <c r="G305" s="84">
        <f t="shared" si="41"/>
        <v>407</v>
      </c>
      <c r="H305" s="83" t="s">
        <v>1486</v>
      </c>
    </row>
    <row r="306">
      <c r="A306" s="84">
        <f t="shared" si="40"/>
        <v>297</v>
      </c>
      <c r="B306" s="85" t="str">
        <f>VLOOKUP(A306,'Swiss Registry'!$A$2:$B$703,2,False)</f>
        <v>.germ_</v>
      </c>
      <c r="C306" s="86" t="str">
        <f t="shared" si="37"/>
        <v>Game 1</v>
      </c>
      <c r="D306" s="87" t="str">
        <f t="shared" si="38"/>
        <v>Game 2</v>
      </c>
      <c r="E306" s="88" t="str">
        <f t="shared" si="39"/>
        <v>Game 3</v>
      </c>
      <c r="F306" s="85" t="str">
        <f>VLOOKUP(G306,'Swiss Registry'!$A$2:$B$703,2,False)</f>
        <v>epiclyepicgamer</v>
      </c>
      <c r="G306" s="84">
        <f t="shared" si="41"/>
        <v>406</v>
      </c>
      <c r="H306" s="83" t="s">
        <v>1721</v>
      </c>
    </row>
    <row r="307">
      <c r="A307" s="84">
        <f t="shared" si="40"/>
        <v>298</v>
      </c>
      <c r="B307" s="85" t="str">
        <f>VLOOKUP(A307,'Swiss Registry'!$A$2:$B$703,2,False)</f>
        <v>Jibca</v>
      </c>
      <c r="C307" s="86" t="str">
        <f t="shared" si="37"/>
        <v>Game 1</v>
      </c>
      <c r="D307" s="87" t="str">
        <f t="shared" si="38"/>
        <v>Game 2</v>
      </c>
      <c r="E307" s="88" t="str">
        <f t="shared" si="39"/>
        <v>Game 3</v>
      </c>
      <c r="F307" s="85" t="str">
        <f>VLOOKUP(G307,'Swiss Registry'!$A$2:$B$703,2,False)</f>
        <v>doh#5604</v>
      </c>
      <c r="G307" s="84">
        <f t="shared" si="41"/>
        <v>405</v>
      </c>
      <c r="H307" s="83" t="s">
        <v>1722</v>
      </c>
    </row>
    <row r="308">
      <c r="A308" s="84">
        <f t="shared" si="40"/>
        <v>299</v>
      </c>
      <c r="B308" s="85" t="str">
        <f>VLOOKUP(A308,'Swiss Registry'!$A$2:$B$703,2,False)</f>
        <v>Rainer7849</v>
      </c>
      <c r="C308" s="86" t="str">
        <f t="shared" si="37"/>
        <v>Game 1</v>
      </c>
      <c r="D308" s="87" t="str">
        <f t="shared" si="38"/>
        <v>Game 2</v>
      </c>
      <c r="E308" s="89" t="str">
        <f t="shared" si="39"/>
        <v/>
      </c>
      <c r="F308" s="85" t="str">
        <f>VLOOKUP(G308,'Swiss Registry'!$A$2:$B$703,2,False)</f>
        <v>jew9318</v>
      </c>
      <c r="G308" s="84">
        <f t="shared" si="41"/>
        <v>404</v>
      </c>
      <c r="H308" s="83" t="s">
        <v>1723</v>
      </c>
    </row>
    <row r="309">
      <c r="A309" s="84">
        <f t="shared" si="40"/>
        <v>300</v>
      </c>
      <c r="B309" s="85" t="str">
        <f>VLOOKUP(A309,'Swiss Registry'!$A$2:$B$703,2,False)</f>
        <v>nick_parenti</v>
      </c>
      <c r="C309" s="86" t="str">
        <f t="shared" si="37"/>
        <v>Game 1</v>
      </c>
      <c r="D309" s="87" t="str">
        <f t="shared" si="38"/>
        <v>Game 2</v>
      </c>
      <c r="E309" s="89" t="str">
        <f t="shared" si="39"/>
        <v/>
      </c>
      <c r="F309" s="85" t="str">
        <f>VLOOKUP(G309,'Swiss Registry'!$A$2:$B$703,2,False)</f>
        <v>yd12k</v>
      </c>
      <c r="G309" s="84">
        <f t="shared" si="41"/>
        <v>403</v>
      </c>
      <c r="H309" s="83" t="s">
        <v>1724</v>
      </c>
    </row>
    <row r="310">
      <c r="A310" s="84">
        <f t="shared" si="40"/>
        <v>301</v>
      </c>
      <c r="B310" s="85" t="str">
        <f>VLOOKUP(A310,'Swiss Registry'!$A$2:$B$703,2,False)</f>
        <v>rajime.</v>
      </c>
      <c r="C310" s="86" t="str">
        <f t="shared" si="37"/>
        <v>Game 1</v>
      </c>
      <c r="D310" s="87" t="str">
        <f t="shared" si="38"/>
        <v>Game 2</v>
      </c>
      <c r="E310" s="89" t="str">
        <f t="shared" si="39"/>
        <v/>
      </c>
      <c r="F310" s="85" t="str">
        <f>VLOOKUP(G310,'Swiss Registry'!$A$2:$B$703,2,False)</f>
        <v>.verb</v>
      </c>
      <c r="G310" s="84">
        <f t="shared" si="41"/>
        <v>402</v>
      </c>
      <c r="H310" s="83" t="s">
        <v>1725</v>
      </c>
    </row>
    <row r="311">
      <c r="A311" s="84">
        <f t="shared" si="40"/>
        <v>302</v>
      </c>
      <c r="B311" s="85" t="str">
        <f>VLOOKUP(A311,'Swiss Registry'!$A$2:$B$703,2,False)</f>
        <v>@struggles_under_pressure</v>
      </c>
      <c r="C311" s="86" t="str">
        <f t="shared" si="37"/>
        <v>Game 1</v>
      </c>
      <c r="D311" s="87" t="str">
        <f t="shared" si="38"/>
        <v>Game 2</v>
      </c>
      <c r="E311" s="89" t="str">
        <f t="shared" si="39"/>
        <v/>
      </c>
      <c r="F311" s="85" t="str">
        <f>VLOOKUP(G311,'Swiss Registry'!$A$2:$B$703,2,False)</f>
        <v>.lucky_7.</v>
      </c>
      <c r="G311" s="84">
        <f t="shared" si="41"/>
        <v>401</v>
      </c>
      <c r="H311" s="83" t="s">
        <v>1726</v>
      </c>
    </row>
    <row r="312">
      <c r="A312" s="84">
        <f t="shared" si="40"/>
        <v>303</v>
      </c>
      <c r="B312" s="85" t="str">
        <f>VLOOKUP(A312,'Swiss Registry'!$A$2:$B$703,2,False)</f>
        <v>gorbinator.</v>
      </c>
      <c r="C312" s="86" t="str">
        <f t="shared" si="37"/>
        <v>Game 1</v>
      </c>
      <c r="D312" s="87" t="str">
        <f t="shared" si="38"/>
        <v>Game 2</v>
      </c>
      <c r="E312" s="89" t="str">
        <f t="shared" si="39"/>
        <v/>
      </c>
      <c r="F312" s="85" t="str">
        <f>VLOOKUP(G312,'Swiss Registry'!$A$2:$B$703,2,False)</f>
        <v>dragonlord6954</v>
      </c>
      <c r="G312" s="84">
        <f t="shared" si="41"/>
        <v>400</v>
      </c>
      <c r="H312" s="83" t="s">
        <v>1727</v>
      </c>
    </row>
    <row r="313">
      <c r="A313" s="84">
        <f t="shared" si="40"/>
        <v>304</v>
      </c>
      <c r="B313" s="85" t="str">
        <f>VLOOKUP(A313,'Swiss Registry'!$A$2:$B$703,2,False)</f>
        <v>jeem16</v>
      </c>
      <c r="C313" s="86" t="str">
        <f t="shared" si="37"/>
        <v>Game 1</v>
      </c>
      <c r="D313" s="87" t="str">
        <f t="shared" si="38"/>
        <v>Game 2</v>
      </c>
      <c r="E313" s="88" t="str">
        <f t="shared" si="39"/>
        <v>Game 3</v>
      </c>
      <c r="F313" s="85" t="str">
        <f>VLOOKUP(G313,'Swiss Registry'!$A$2:$B$703,2,False)</f>
        <v>HakkihanTunbak (I recently joined the discord)</v>
      </c>
      <c r="G313" s="84">
        <f t="shared" si="41"/>
        <v>399</v>
      </c>
      <c r="H313" s="83" t="s">
        <v>1728</v>
      </c>
    </row>
    <row r="314">
      <c r="A314" s="84">
        <f t="shared" si="40"/>
        <v>305</v>
      </c>
      <c r="B314" s="85" t="str">
        <f>VLOOKUP(A314,'Swiss Registry'!$A$2:$B$703,2,False)</f>
        <v>SUB 24</v>
      </c>
      <c r="C314" s="86" t="str">
        <f t="shared" si="37"/>
        <v>Game 1</v>
      </c>
      <c r="D314" s="87" t="str">
        <f t="shared" si="38"/>
        <v>Game 2</v>
      </c>
      <c r="E314" s="88" t="str">
        <f t="shared" si="39"/>
        <v>Game 3</v>
      </c>
      <c r="F314" s="85" t="str">
        <f>VLOOKUP(G314,'Swiss Registry'!$A$2:$B$703,2,False)</f>
        <v>wavy_ish</v>
      </c>
      <c r="G314" s="84">
        <f t="shared" si="41"/>
        <v>398</v>
      </c>
      <c r="H314" s="83" t="s">
        <v>1729</v>
      </c>
    </row>
    <row r="315">
      <c r="A315" s="84">
        <f t="shared" si="40"/>
        <v>306</v>
      </c>
      <c r="B315" s="85" t="str">
        <f>VLOOKUP(A315,'Swiss Registry'!$A$2:$B$703,2,False)</f>
        <v>SUB 12</v>
      </c>
      <c r="C315" s="90" t="str">
        <f t="shared" si="37"/>
        <v/>
      </c>
      <c r="D315" s="91" t="str">
        <f t="shared" si="38"/>
        <v>Act: Polt99</v>
      </c>
      <c r="E315" s="89" t="str">
        <f t="shared" si="39"/>
        <v/>
      </c>
      <c r="F315" s="85" t="str">
        <f>VLOOKUP(G315,'Swiss Registry'!$A$2:$B$703,2,False)</f>
        <v>Polt99</v>
      </c>
      <c r="G315" s="84">
        <f t="shared" si="41"/>
        <v>397</v>
      </c>
      <c r="H315" s="83" t="s">
        <v>1714</v>
      </c>
    </row>
    <row r="316">
      <c r="A316" s="84">
        <f t="shared" si="40"/>
        <v>307</v>
      </c>
      <c r="B316" s="85" t="str">
        <f>VLOOKUP(A316,'Swiss Registry'!$A$2:$B$703,2,False)</f>
        <v>ghostreported</v>
      </c>
      <c r="C316" s="86" t="str">
        <f t="shared" si="37"/>
        <v>Game 1</v>
      </c>
      <c r="D316" s="87" t="str">
        <f t="shared" si="38"/>
        <v>Game 2</v>
      </c>
      <c r="E316" s="89" t="str">
        <f t="shared" si="39"/>
        <v/>
      </c>
      <c r="F316" s="85" t="str">
        <f>VLOOKUP(G316,'Swiss Registry'!$A$2:$B$703,2,False)</f>
        <v>glucoseguardian1</v>
      </c>
      <c r="G316" s="84">
        <f t="shared" si="41"/>
        <v>396</v>
      </c>
      <c r="H316" s="83" t="s">
        <v>1730</v>
      </c>
    </row>
    <row r="317">
      <c r="A317" s="84">
        <f t="shared" si="40"/>
        <v>308</v>
      </c>
      <c r="B317" s="85" t="str">
        <f>VLOOKUP(A317,'Swiss Registry'!$A$2:$B$703,2,False)</f>
        <v>hipimochi</v>
      </c>
      <c r="C317" s="86" t="str">
        <f t="shared" si="37"/>
        <v>Game 1</v>
      </c>
      <c r="D317" s="87" t="str">
        <f t="shared" si="38"/>
        <v>Game 2</v>
      </c>
      <c r="E317" s="88" t="str">
        <f t="shared" si="39"/>
        <v>Game 3</v>
      </c>
      <c r="F317" s="85" t="str">
        <f>VLOOKUP(G317,'Swiss Registry'!$A$2:$B$703,2,False)</f>
        <v>cleffacutie</v>
      </c>
      <c r="G317" s="84">
        <f t="shared" si="41"/>
        <v>395</v>
      </c>
      <c r="H317" s="83" t="s">
        <v>1731</v>
      </c>
    </row>
    <row r="318">
      <c r="A318" s="84">
        <f t="shared" si="40"/>
        <v>309</v>
      </c>
      <c r="B318" s="85" t="str">
        <f>VLOOKUP(A318,'Swiss Registry'!$A$2:$B$703,2,False)</f>
        <v>Musical_box</v>
      </c>
      <c r="C318" s="86" t="str">
        <f t="shared" si="37"/>
        <v>Game 1</v>
      </c>
      <c r="D318" s="87" t="str">
        <f t="shared" si="38"/>
        <v>Game 2</v>
      </c>
      <c r="E318" s="89" t="str">
        <f t="shared" si="39"/>
        <v/>
      </c>
      <c r="F318" s="85" t="str">
        <f>VLOOKUP(G318,'Swiss Registry'!$A$2:$B$703,2,False)</f>
        <v>legoerofeggos</v>
      </c>
      <c r="G318" s="84">
        <f t="shared" si="41"/>
        <v>394</v>
      </c>
      <c r="H318" s="83" t="s">
        <v>1732</v>
      </c>
    </row>
    <row r="319">
      <c r="A319" s="84">
        <f t="shared" si="40"/>
        <v>310</v>
      </c>
      <c r="B319" s="85" t="str">
        <f>VLOOKUP(A319,'Swiss Registry'!$A$2:$B$703,2,False)</f>
        <v>tanao</v>
      </c>
      <c r="C319" s="86" t="str">
        <f t="shared" si="37"/>
        <v>Game 1</v>
      </c>
      <c r="D319" s="87" t="str">
        <f t="shared" si="38"/>
        <v>Game 2</v>
      </c>
      <c r="E319" s="89" t="str">
        <f t="shared" si="39"/>
        <v/>
      </c>
      <c r="F319" s="85" t="str">
        <f>VLOOKUP(G319,'Swiss Registry'!$A$2:$B$703,2,False)</f>
        <v>thedarvinist</v>
      </c>
      <c r="G319" s="84">
        <f t="shared" si="41"/>
        <v>393</v>
      </c>
      <c r="H319" s="83" t="s">
        <v>1733</v>
      </c>
    </row>
    <row r="320">
      <c r="A320" s="84">
        <f t="shared" si="40"/>
        <v>311</v>
      </c>
      <c r="B320" s="85" t="str">
        <f>VLOOKUP(A320,'Swiss Registry'!$A$2:$B$703,2,False)</f>
        <v>luca</v>
      </c>
      <c r="C320" s="86" t="str">
        <f t="shared" si="37"/>
        <v>Game 1</v>
      </c>
      <c r="D320" s="87" t="str">
        <f t="shared" si="38"/>
        <v>Game 2</v>
      </c>
      <c r="E320" s="89" t="str">
        <f t="shared" si="39"/>
        <v/>
      </c>
      <c r="F320" s="85" t="str">
        <f>VLOOKUP(G320,'Swiss Registry'!$A$2:$B$703,2,False)</f>
        <v>darth0068</v>
      </c>
      <c r="G320" s="84">
        <f t="shared" si="41"/>
        <v>392</v>
      </c>
      <c r="H320" s="83" t="s">
        <v>1734</v>
      </c>
    </row>
    <row r="321">
      <c r="A321" s="84">
        <f t="shared" si="40"/>
        <v>312</v>
      </c>
      <c r="B321" s="85" t="str">
        <f>VLOOKUP(A321,'Swiss Registry'!$A$2:$B$703,2,False)</f>
        <v>enkiduofficial</v>
      </c>
      <c r="C321" s="90" t="str">
        <f t="shared" si="37"/>
        <v/>
      </c>
      <c r="D321" s="91" t="str">
        <f t="shared" si="38"/>
        <v>Act: Nuskadamo</v>
      </c>
      <c r="E321" s="89" t="str">
        <f t="shared" si="39"/>
        <v/>
      </c>
      <c r="F321" s="85" t="str">
        <f>VLOOKUP(G321,'Swiss Registry'!$A$2:$B$703,2,False)</f>
        <v>Nuskadamo</v>
      </c>
      <c r="G321" s="84">
        <f t="shared" si="41"/>
        <v>391</v>
      </c>
      <c r="H321" s="83" t="s">
        <v>1523</v>
      </c>
    </row>
    <row r="322" ht="15.0" customHeight="1">
      <c r="A322" s="80"/>
      <c r="B322" s="81"/>
      <c r="C322" s="81"/>
      <c r="D322" s="82" t="s">
        <v>1735</v>
      </c>
      <c r="E322" s="81"/>
      <c r="F322" s="81"/>
      <c r="G322" s="81"/>
      <c r="H322" s="81"/>
    </row>
    <row r="323">
      <c r="A323" s="84">
        <f>A321+1</f>
        <v>313</v>
      </c>
      <c r="B323" s="85" t="str">
        <f>VLOOKUP(A323,'Swiss Registry'!$A$2:$B$703,2,False)</f>
        <v>diamonddiancie</v>
      </c>
      <c r="C323" s="86" t="str">
        <f t="shared" ref="C323:C361" si="42">IF(H323="dead","",IF(H323="a:act","",IF(H323="b:act","",IF(ISURL(HYPERLINK(INDIRECT("Importer!B"&amp;MID(H323,2,4)+1,TRUE))),HYPERLINK(INDIRECT("Importer!B"&amp;MID(H323,2,4)+1,TRUE), "Game 1"),""))))</f>
        <v>Game 1</v>
      </c>
      <c r="D323" s="87" t="str">
        <f>IF(H323="dead","Dead Game",IF(H323="a:act","Act: "&amp;F323,IF(H323="b:act","Act: "&amp;#REF!,IF(ISURL(HYPERLINK(INDIRECT("Importer!B"&amp;MID(H323,6,4)+1,TRUE))),HYPERLINK(INDIRECT("Importer!B"&amp;MID(H323,6,4)+1,TRUE), "Game 2"),""))))</f>
        <v>Game 2</v>
      </c>
      <c r="E323" s="88" t="str">
        <f t="shared" ref="E323:E361" si="43">IF(H323="dead","",IF(H323="a:act","",IF(H323="b:act","",IF(ISURL(HYPERLINK(INDIRECT("Importer!B"&amp;MID(H323,10,4)+1,TRUE))),HYPERLINK(INDIRECT("Importer!B"&amp;MID(H323,10,4)+1,TRUE), "Game 3"),""))))</f>
        <v>Game 3</v>
      </c>
      <c r="F323" s="85" t="str">
        <f>VLOOKUP(G323,'Swiss Registry'!$A$2:$B$703,2,False)</f>
        <v>Wifike</v>
      </c>
      <c r="G323" s="84">
        <f>G321-1</f>
        <v>390</v>
      </c>
      <c r="H323" s="83" t="s">
        <v>1736</v>
      </c>
    </row>
    <row r="324">
      <c r="A324" s="84">
        <f t="shared" ref="A324:A361" si="44">A323+1</f>
        <v>314</v>
      </c>
      <c r="B324" s="85" t="str">
        <f>VLOOKUP(A324,'Swiss Registry'!$A$2:$B$703,2,False)</f>
        <v>triskeriaki</v>
      </c>
      <c r="C324" s="86" t="str">
        <f t="shared" si="42"/>
        <v>Game 1</v>
      </c>
      <c r="D324" s="87" t="str">
        <f t="shared" ref="D324:D361" si="45">IF(H324="dead","Dead Game",IF(H324="a:act","Act: "&amp;B324,IF(H324="b:act","Act: "&amp;F324,IF(ISURL(HYPERLINK(INDIRECT("Importer!B"&amp;MID(H324,6,4)+1,TRUE))),HYPERLINK(INDIRECT("Importer!B"&amp;MID(H324,6,4)+1,TRUE), "Game 2"),""))))</f>
        <v>Game 2</v>
      </c>
      <c r="E324" s="89" t="str">
        <f t="shared" si="43"/>
        <v/>
      </c>
      <c r="F324" s="85" t="str">
        <f>VLOOKUP(G324,'Swiss Registry'!$A$2:$B$703,2,False)</f>
        <v>Cyber-DJ</v>
      </c>
      <c r="G324" s="84">
        <f t="shared" ref="G324:G361" si="46">G323-1</f>
        <v>389</v>
      </c>
      <c r="H324" s="83" t="s">
        <v>1737</v>
      </c>
    </row>
    <row r="325">
      <c r="A325" s="84">
        <f t="shared" si="44"/>
        <v>315</v>
      </c>
      <c r="B325" s="85" t="str">
        <f>VLOOKUP(A325,'Swiss Registry'!$A$2:$B$703,2,False)</f>
        <v>chad.lagos</v>
      </c>
      <c r="C325" s="86" t="str">
        <f t="shared" si="42"/>
        <v>Game 1</v>
      </c>
      <c r="D325" s="87" t="str">
        <f t="shared" si="45"/>
        <v>Game 2</v>
      </c>
      <c r="E325" s="89" t="str">
        <f t="shared" si="43"/>
        <v/>
      </c>
      <c r="F325" s="85" t="str">
        <f>VLOOKUP(G325,'Swiss Registry'!$A$2:$B$703,2,False)</f>
        <v>Tyxerns</v>
      </c>
      <c r="G325" s="84">
        <f t="shared" si="46"/>
        <v>388</v>
      </c>
      <c r="H325" s="83" t="s">
        <v>1738</v>
      </c>
    </row>
    <row r="326">
      <c r="A326" s="84">
        <f t="shared" si="44"/>
        <v>316</v>
      </c>
      <c r="B326" s="85" t="str">
        <f>VLOOKUP(A326,'Swiss Registry'!$A$2:$B$703,2,False)</f>
        <v>bloomsmiles</v>
      </c>
      <c r="C326" s="86" t="str">
        <f t="shared" si="42"/>
        <v>Game 1</v>
      </c>
      <c r="D326" s="87" t="str">
        <f t="shared" si="45"/>
        <v>Game 2</v>
      </c>
      <c r="E326" s="89" t="str">
        <f t="shared" si="43"/>
        <v/>
      </c>
      <c r="F326" s="85" t="str">
        <f>VLOOKUP(G326,'Swiss Registry'!$A$2:$B$703,2,False)</f>
        <v>caps lock 3009</v>
      </c>
      <c r="G326" s="84">
        <f t="shared" si="46"/>
        <v>387</v>
      </c>
      <c r="H326" s="83" t="s">
        <v>1739</v>
      </c>
    </row>
    <row r="327">
      <c r="A327" s="84">
        <f t="shared" si="44"/>
        <v>317</v>
      </c>
      <c r="B327" s="85" t="str">
        <f>VLOOKUP(A327,'Swiss Registry'!$A$2:$B$703,2,False)</f>
        <v>SgtPingwen</v>
      </c>
      <c r="C327" s="86" t="str">
        <f t="shared" si="42"/>
        <v>Game 1</v>
      </c>
      <c r="D327" s="87" t="str">
        <f t="shared" si="45"/>
        <v>Game 2</v>
      </c>
      <c r="E327" s="88" t="str">
        <f t="shared" si="43"/>
        <v>Game 3</v>
      </c>
      <c r="F327" s="85" t="str">
        <f>VLOOKUP(G327,'Swiss Registry'!$A$2:$B$703,2,False)</f>
        <v>SUB 25</v>
      </c>
      <c r="G327" s="84">
        <f t="shared" si="46"/>
        <v>386</v>
      </c>
      <c r="H327" s="83" t="s">
        <v>1740</v>
      </c>
    </row>
    <row r="328">
      <c r="A328" s="84">
        <f t="shared" si="44"/>
        <v>318</v>
      </c>
      <c r="B328" s="85" t="str">
        <f>VLOOKUP(A328,'Swiss Registry'!$A$2:$B$703,2,False)</f>
        <v>Redrame</v>
      </c>
      <c r="C328" s="86" t="str">
        <f t="shared" si="42"/>
        <v>Game 1</v>
      </c>
      <c r="D328" s="87" t="str">
        <f t="shared" si="45"/>
        <v>Game 2</v>
      </c>
      <c r="E328" s="88" t="str">
        <f t="shared" si="43"/>
        <v>Game 3</v>
      </c>
      <c r="F328" s="85" t="str">
        <f>VLOOKUP(G328,'Swiss Registry'!$A$2:$B$703,2,False)</f>
        <v>gonzasaurio50</v>
      </c>
      <c r="G328" s="84">
        <f t="shared" si="46"/>
        <v>385</v>
      </c>
      <c r="H328" s="83" t="s">
        <v>1741</v>
      </c>
    </row>
    <row r="329">
      <c r="A329" s="84">
        <f t="shared" si="44"/>
        <v>319</v>
      </c>
      <c r="B329" s="85" t="str">
        <f>VLOOKUP(A329,'Swiss Registry'!$A$2:$B$703,2,False)</f>
        <v>Melee Minion</v>
      </c>
      <c r="C329" s="86" t="str">
        <f t="shared" si="42"/>
        <v>Game 1</v>
      </c>
      <c r="D329" s="87" t="str">
        <f t="shared" si="45"/>
        <v>Game 2</v>
      </c>
      <c r="E329" s="89" t="str">
        <f t="shared" si="43"/>
        <v/>
      </c>
      <c r="F329" s="85" t="str">
        <f>VLOOKUP(G329,'Swiss Registry'!$A$2:$B$703,2,False)</f>
        <v>poosh_i</v>
      </c>
      <c r="G329" s="84">
        <f t="shared" si="46"/>
        <v>384</v>
      </c>
      <c r="H329" s="83" t="s">
        <v>1742</v>
      </c>
    </row>
    <row r="330">
      <c r="A330" s="84">
        <f t="shared" si="44"/>
        <v>320</v>
      </c>
      <c r="B330" s="85" t="str">
        <f>VLOOKUP(A330,'Swiss Registry'!$A$2:$B$703,2,False)</f>
        <v>jerdgerd</v>
      </c>
      <c r="C330" s="90" t="str">
        <f t="shared" si="42"/>
        <v/>
      </c>
      <c r="D330" s="91" t="str">
        <f t="shared" si="45"/>
        <v>Act: jerdgerd</v>
      </c>
      <c r="E330" s="89" t="str">
        <f t="shared" si="43"/>
        <v/>
      </c>
      <c r="F330" s="85" t="str">
        <f>VLOOKUP(G330,'Swiss Registry'!$A$2:$B$703,2,False)</f>
        <v>treeshhhh</v>
      </c>
      <c r="G330" s="84">
        <f t="shared" si="46"/>
        <v>383</v>
      </c>
      <c r="H330" s="83" t="s">
        <v>1486</v>
      </c>
    </row>
    <row r="331">
      <c r="A331" s="84">
        <f t="shared" si="44"/>
        <v>321</v>
      </c>
      <c r="B331" s="85" t="str">
        <f>VLOOKUP(A331,'Swiss Registry'!$A$2:$B$703,2,False)</f>
        <v>almarkowbender</v>
      </c>
      <c r="C331" s="86" t="str">
        <f t="shared" si="42"/>
        <v>Game 1</v>
      </c>
      <c r="D331" s="87" t="str">
        <f t="shared" si="45"/>
        <v>Game 2</v>
      </c>
      <c r="E331" s="88" t="str">
        <f t="shared" si="43"/>
        <v>Game 3</v>
      </c>
      <c r="F331" s="85" t="str">
        <f>VLOOKUP(G331,'Swiss Registry'!$A$2:$B$703,2,False)</f>
        <v>Albatross115</v>
      </c>
      <c r="G331" s="84">
        <f t="shared" si="46"/>
        <v>382</v>
      </c>
      <c r="H331" s="83" t="s">
        <v>1743</v>
      </c>
    </row>
    <row r="332">
      <c r="A332" s="84">
        <f t="shared" si="44"/>
        <v>322</v>
      </c>
      <c r="B332" s="85" t="str">
        <f>VLOOKUP(A332,'Swiss Registry'!$A$2:$B$703,2,False)</f>
        <v>theepiccd56</v>
      </c>
      <c r="C332" s="86" t="str">
        <f t="shared" si="42"/>
        <v>Game 1</v>
      </c>
      <c r="D332" s="87" t="str">
        <f t="shared" si="45"/>
        <v>Game 2</v>
      </c>
      <c r="E332" s="88" t="str">
        <f t="shared" si="43"/>
        <v>Game 3</v>
      </c>
      <c r="F332" s="85" t="str">
        <f>VLOOKUP(G332,'Swiss Registry'!$A$2:$B$703,2,False)</f>
        <v>lucida</v>
      </c>
      <c r="G332" s="84">
        <f t="shared" si="46"/>
        <v>381</v>
      </c>
      <c r="H332" s="83" t="s">
        <v>1744</v>
      </c>
    </row>
    <row r="333">
      <c r="A333" s="84">
        <f t="shared" si="44"/>
        <v>323</v>
      </c>
      <c r="B333" s="85" t="str">
        <f>VLOOKUP(A333,'Swiss Registry'!$A$2:$B$703,2,False)</f>
        <v>Witchgender</v>
      </c>
      <c r="C333" s="86" t="str">
        <f t="shared" si="42"/>
        <v>Game 1</v>
      </c>
      <c r="D333" s="87" t="str">
        <f t="shared" si="45"/>
        <v>Game 2</v>
      </c>
      <c r="E333" s="89" t="str">
        <f t="shared" si="43"/>
        <v/>
      </c>
      <c r="F333" s="85" t="str">
        <f>VLOOKUP(G333,'Swiss Registry'!$A$2:$B$703,2,False)</f>
        <v>ThunderousBagel</v>
      </c>
      <c r="G333" s="84">
        <f t="shared" si="46"/>
        <v>380</v>
      </c>
      <c r="H333" s="83" t="s">
        <v>1745</v>
      </c>
    </row>
    <row r="334">
      <c r="A334" s="84">
        <f t="shared" si="44"/>
        <v>324</v>
      </c>
      <c r="B334" s="85" t="str">
        <f>VLOOKUP(A334,'Swiss Registry'!$A$2:$B$703,2,False)</f>
        <v>theamazingeevee</v>
      </c>
      <c r="C334" s="86" t="str">
        <f t="shared" si="42"/>
        <v>Game 1</v>
      </c>
      <c r="D334" s="87" t="str">
        <f t="shared" si="45"/>
        <v>Game 2</v>
      </c>
      <c r="E334" s="89" t="str">
        <f t="shared" si="43"/>
        <v/>
      </c>
      <c r="F334" s="85" t="str">
        <f>VLOOKUP(G334,'Swiss Registry'!$A$2:$B$703,2,False)</f>
        <v>HunarPG</v>
      </c>
      <c r="G334" s="84">
        <f t="shared" si="46"/>
        <v>379</v>
      </c>
      <c r="H334" s="83" t="s">
        <v>1746</v>
      </c>
    </row>
    <row r="335">
      <c r="A335" s="84">
        <f t="shared" si="44"/>
        <v>325</v>
      </c>
      <c r="B335" s="85" t="str">
        <f>VLOOKUP(A335,'Swiss Registry'!$A$2:$B$703,2,False)</f>
        <v>secondari</v>
      </c>
      <c r="C335" s="86" t="str">
        <f t="shared" si="42"/>
        <v>Game 1</v>
      </c>
      <c r="D335" s="87" t="str">
        <f t="shared" si="45"/>
        <v>Game 2</v>
      </c>
      <c r="E335" s="89" t="str">
        <f t="shared" si="43"/>
        <v/>
      </c>
      <c r="F335" s="85" t="str">
        <f>VLOOKUP(G335,'Swiss Registry'!$A$2:$B$703,2,False)</f>
        <v>ellieofficialvevo</v>
      </c>
      <c r="G335" s="84">
        <f t="shared" si="46"/>
        <v>378</v>
      </c>
      <c r="H335" s="83" t="s">
        <v>1747</v>
      </c>
    </row>
    <row r="336">
      <c r="A336" s="84">
        <f t="shared" si="44"/>
        <v>326</v>
      </c>
      <c r="B336" s="85" t="str">
        <f>VLOOKUP(A336,'Swiss Registry'!$A$2:$B$703,2,False)</f>
        <v>plznostep</v>
      </c>
      <c r="C336" s="86" t="str">
        <f t="shared" si="42"/>
        <v>Game 1</v>
      </c>
      <c r="D336" s="87" t="str">
        <f t="shared" si="45"/>
        <v>Game 2</v>
      </c>
      <c r="E336" s="88" t="str">
        <f t="shared" si="43"/>
        <v>Game 3</v>
      </c>
      <c r="F336" s="85" t="str">
        <f>VLOOKUP(G336,'Swiss Registry'!$A$2:$B$703,2,False)</f>
        <v>chtx</v>
      </c>
      <c r="G336" s="84">
        <f t="shared" si="46"/>
        <v>377</v>
      </c>
      <c r="H336" s="83" t="s">
        <v>1748</v>
      </c>
    </row>
    <row r="337">
      <c r="A337" s="84">
        <f t="shared" si="44"/>
        <v>327</v>
      </c>
      <c r="B337" s="85" t="str">
        <f>VLOOKUP(A337,'Swiss Registry'!$A$2:$B$703,2,False)</f>
        <v>wyli.olivete</v>
      </c>
      <c r="C337" s="86" t="str">
        <f t="shared" si="42"/>
        <v>Game 1</v>
      </c>
      <c r="D337" s="87" t="str">
        <f t="shared" si="45"/>
        <v>Game 2</v>
      </c>
      <c r="E337" s="88" t="str">
        <f t="shared" si="43"/>
        <v>Game 3</v>
      </c>
      <c r="F337" s="85" t="str">
        <f>VLOOKUP(G337,'Swiss Registry'!$A$2:$B$703,2,False)</f>
        <v>danielck9797</v>
      </c>
      <c r="G337" s="84">
        <f t="shared" si="46"/>
        <v>376</v>
      </c>
      <c r="H337" s="83" t="s">
        <v>1749</v>
      </c>
    </row>
    <row r="338">
      <c r="A338" s="84">
        <f t="shared" si="44"/>
        <v>328</v>
      </c>
      <c r="B338" s="85" t="str">
        <f>VLOOKUP(A338,'Swiss Registry'!$A$2:$B$703,2,False)</f>
        <v>evilartnboy</v>
      </c>
      <c r="C338" s="90" t="str">
        <f t="shared" si="42"/>
        <v/>
      </c>
      <c r="D338" s="91" t="str">
        <f t="shared" si="45"/>
        <v>Act: executive_assistant</v>
      </c>
      <c r="E338" s="89" t="str">
        <f t="shared" si="43"/>
        <v/>
      </c>
      <c r="F338" s="85" t="str">
        <f>VLOOKUP(G338,'Swiss Registry'!$A$2:$B$703,2,False)</f>
        <v>executive_assistant</v>
      </c>
      <c r="G338" s="84">
        <f t="shared" si="46"/>
        <v>375</v>
      </c>
      <c r="H338" s="83" t="s">
        <v>1523</v>
      </c>
    </row>
    <row r="339">
      <c r="A339" s="84">
        <f t="shared" si="44"/>
        <v>329</v>
      </c>
      <c r="B339" s="85" t="str">
        <f>VLOOKUP(A339,'Swiss Registry'!$A$2:$B$703,2,False)</f>
        <v>f1remaster (Hikari)</v>
      </c>
      <c r="C339" s="90" t="str">
        <f t="shared" si="42"/>
        <v/>
      </c>
      <c r="D339" s="91" t="str">
        <f t="shared" si="45"/>
        <v>Act: f1remaster (Hikari)</v>
      </c>
      <c r="E339" s="89" t="str">
        <f t="shared" si="43"/>
        <v/>
      </c>
      <c r="F339" s="85" t="str">
        <f>VLOOKUP(G339,'Swiss Registry'!$A$2:$B$703,2,False)</f>
        <v>SUB 13</v>
      </c>
      <c r="G339" s="84">
        <f t="shared" si="46"/>
        <v>374</v>
      </c>
      <c r="H339" s="83" t="s">
        <v>1486</v>
      </c>
    </row>
    <row r="340">
      <c r="A340" s="84">
        <f t="shared" si="44"/>
        <v>330</v>
      </c>
      <c r="B340" s="85" t="str">
        <f>VLOOKUP(A340,'Swiss Registry'!$A$2:$B$703,2,False)</f>
        <v>sieefffmon</v>
      </c>
      <c r="C340" s="90" t="str">
        <f t="shared" si="42"/>
        <v/>
      </c>
      <c r="D340" s="91" t="str">
        <f t="shared" si="45"/>
        <v>Act: sieefffmon</v>
      </c>
      <c r="E340" s="89" t="str">
        <f t="shared" si="43"/>
        <v/>
      </c>
      <c r="F340" s="85" t="str">
        <f>VLOOKUP(G340,'Swiss Registry'!$A$2:$B$703,2,False)</f>
        <v>SUB 15</v>
      </c>
      <c r="G340" s="84">
        <f t="shared" si="46"/>
        <v>373</v>
      </c>
      <c r="H340" s="83" t="s">
        <v>1486</v>
      </c>
    </row>
    <row r="341">
      <c r="A341" s="84">
        <f t="shared" si="44"/>
        <v>331</v>
      </c>
      <c r="B341" s="85" t="str">
        <f>VLOOKUP(A341,'Swiss Registry'!$A$2:$B$703,2,False)</f>
        <v>pac_rojo</v>
      </c>
      <c r="C341" s="86" t="str">
        <f t="shared" si="42"/>
        <v>Game 1</v>
      </c>
      <c r="D341" s="87" t="str">
        <f t="shared" si="45"/>
        <v>Game 2</v>
      </c>
      <c r="E341" s="89" t="str">
        <f t="shared" si="43"/>
        <v/>
      </c>
      <c r="F341" s="85" t="str">
        <f>VLOOKUP(G341,'Swiss Registry'!$A$2:$B$703,2,False)</f>
        <v>air602</v>
      </c>
      <c r="G341" s="84">
        <f t="shared" si="46"/>
        <v>372</v>
      </c>
      <c r="H341" s="83" t="s">
        <v>1750</v>
      </c>
    </row>
    <row r="342">
      <c r="A342" s="84">
        <f t="shared" si="44"/>
        <v>332</v>
      </c>
      <c r="B342" s="85" t="str">
        <f>VLOOKUP(A342,'Swiss Registry'!$A$2:$B$703,2,False)</f>
        <v>SUB 26</v>
      </c>
      <c r="C342" s="86" t="str">
        <f t="shared" si="42"/>
        <v>Game 1</v>
      </c>
      <c r="D342" s="87" t="str">
        <f t="shared" si="45"/>
        <v>Game 2</v>
      </c>
      <c r="E342" s="88" t="str">
        <f t="shared" si="43"/>
        <v>Game 3</v>
      </c>
      <c r="F342" s="85" t="str">
        <f>VLOOKUP(G342,'Swiss Registry'!$A$2:$B$703,2,False)</f>
        <v>Chris2324</v>
      </c>
      <c r="G342" s="84">
        <f t="shared" si="46"/>
        <v>371</v>
      </c>
      <c r="H342" s="83" t="s">
        <v>1751</v>
      </c>
    </row>
    <row r="343">
      <c r="A343" s="84">
        <f t="shared" si="44"/>
        <v>333</v>
      </c>
      <c r="B343" s="85" t="str">
        <f>VLOOKUP(A343,'Swiss Registry'!$A$2:$B$703,2,False)</f>
        <v>4lowray</v>
      </c>
      <c r="C343" s="86" t="str">
        <f t="shared" si="42"/>
        <v>Game 1</v>
      </c>
      <c r="D343" s="87" t="str">
        <f t="shared" si="45"/>
        <v>Game 2</v>
      </c>
      <c r="E343" s="88" t="str">
        <f t="shared" si="43"/>
        <v>Game 3</v>
      </c>
      <c r="F343" s="85" t="str">
        <f>VLOOKUP(G343,'Swiss Registry'!$A$2:$B$703,2,False)</f>
        <v>Baptista</v>
      </c>
      <c r="G343" s="84">
        <f t="shared" si="46"/>
        <v>370</v>
      </c>
      <c r="H343" s="83" t="s">
        <v>1752</v>
      </c>
    </row>
    <row r="344">
      <c r="A344" s="84">
        <f t="shared" si="44"/>
        <v>334</v>
      </c>
      <c r="B344" s="85" t="str">
        <f>VLOOKUP(A344,'Swiss Registry'!$A$2:$B$703,2,False)</f>
        <v>Tiberiusfieri</v>
      </c>
      <c r="C344" s="90" t="str">
        <f t="shared" si="42"/>
        <v/>
      </c>
      <c r="D344" s="91" t="str">
        <f t="shared" si="45"/>
        <v>Act: Tiberiusfieri</v>
      </c>
      <c r="E344" s="89" t="str">
        <f t="shared" si="43"/>
        <v/>
      </c>
      <c r="F344" s="85" t="str">
        <f>VLOOKUP(G344,'Swiss Registry'!$A$2:$B$703,2,False)</f>
        <v>SUB 14</v>
      </c>
      <c r="G344" s="84">
        <f t="shared" si="46"/>
        <v>369</v>
      </c>
      <c r="H344" s="83" t="s">
        <v>1486</v>
      </c>
    </row>
    <row r="345">
      <c r="A345" s="84">
        <f t="shared" si="44"/>
        <v>335</v>
      </c>
      <c r="B345" s="85" t="str">
        <f>VLOOKUP(A345,'Swiss Registry'!$A$2:$B$703,2,False)</f>
        <v>papajefe</v>
      </c>
      <c r="C345" s="86" t="str">
        <f t="shared" si="42"/>
        <v>Game 1</v>
      </c>
      <c r="D345" s="87" t="str">
        <f t="shared" si="45"/>
        <v>Game 2</v>
      </c>
      <c r="E345" s="89" t="str">
        <f t="shared" si="43"/>
        <v/>
      </c>
      <c r="F345" s="85" t="str">
        <f>VLOOKUP(G345,'Swiss Registry'!$A$2:$B$703,2,False)</f>
        <v>Dray_jd</v>
      </c>
      <c r="G345" s="84">
        <f t="shared" si="46"/>
        <v>368</v>
      </c>
      <c r="H345" s="83" t="s">
        <v>1753</v>
      </c>
    </row>
    <row r="346">
      <c r="A346" s="84">
        <f t="shared" si="44"/>
        <v>336</v>
      </c>
      <c r="B346" s="85" t="str">
        <f>VLOOKUP(A346,'Swiss Registry'!$A$2:$B$703,2,False)</f>
        <v>nadiddhrabb</v>
      </c>
      <c r="C346" s="86" t="str">
        <f t="shared" si="42"/>
        <v>Game 1</v>
      </c>
      <c r="D346" s="87" t="str">
        <f t="shared" si="45"/>
        <v>Game 2</v>
      </c>
      <c r="E346" s="89" t="str">
        <f t="shared" si="43"/>
        <v/>
      </c>
      <c r="F346" s="85" t="str">
        <f>VLOOKUP(G346,'Swiss Registry'!$A$2:$B$703,2,False)</f>
        <v>bobjoecarl</v>
      </c>
      <c r="G346" s="84">
        <f t="shared" si="46"/>
        <v>367</v>
      </c>
      <c r="H346" s="83" t="s">
        <v>1754</v>
      </c>
    </row>
    <row r="347">
      <c r="A347" s="84">
        <f t="shared" si="44"/>
        <v>337</v>
      </c>
      <c r="B347" s="85" t="str">
        <f>VLOOKUP(A347,'Swiss Registry'!$A$2:$B$703,2,False)</f>
        <v>iNeedJuuce</v>
      </c>
      <c r="C347" s="86" t="str">
        <f t="shared" si="42"/>
        <v>Game 1</v>
      </c>
      <c r="D347" s="87" t="str">
        <f t="shared" si="45"/>
        <v>Game 2</v>
      </c>
      <c r="E347" s="88" t="str">
        <f t="shared" si="43"/>
        <v>Game 3</v>
      </c>
      <c r="F347" s="85" t="str">
        <f>VLOOKUP(G347,'Swiss Registry'!$A$2:$B$703,2,False)</f>
        <v>dimiswooner</v>
      </c>
      <c r="G347" s="84">
        <f t="shared" si="46"/>
        <v>366</v>
      </c>
      <c r="H347" s="83" t="s">
        <v>1755</v>
      </c>
    </row>
    <row r="348">
      <c r="A348" s="84">
        <f t="shared" si="44"/>
        <v>338</v>
      </c>
      <c r="B348" s="85" t="str">
        <f>VLOOKUP(A348,'Swiss Registry'!$A$2:$B$703,2,False)</f>
        <v>dhgss</v>
      </c>
      <c r="C348" s="86" t="str">
        <f t="shared" si="42"/>
        <v>Game 1</v>
      </c>
      <c r="D348" s="87" t="str">
        <f t="shared" si="45"/>
        <v>Game 2</v>
      </c>
      <c r="E348" s="89" t="str">
        <f t="shared" si="43"/>
        <v/>
      </c>
      <c r="F348" s="85" t="str">
        <f>VLOOKUP(G348,'Swiss Registry'!$A$2:$B$703,2,False)</f>
        <v>millingwinds</v>
      </c>
      <c r="G348" s="84">
        <f t="shared" si="46"/>
        <v>365</v>
      </c>
      <c r="H348" s="83" t="s">
        <v>1756</v>
      </c>
    </row>
    <row r="349">
      <c r="A349" s="84">
        <f t="shared" si="44"/>
        <v>339</v>
      </c>
      <c r="B349" s="85" t="str">
        <f>VLOOKUP(A349,'Swiss Registry'!$A$2:$B$703,2,False)</f>
        <v>Jabba</v>
      </c>
      <c r="C349" s="90" t="str">
        <f t="shared" si="42"/>
        <v/>
      </c>
      <c r="D349" s="91" t="str">
        <f t="shared" si="45"/>
        <v>Act: Jabba</v>
      </c>
      <c r="E349" s="89" t="str">
        <f t="shared" si="43"/>
        <v/>
      </c>
      <c r="F349" s="85" t="str">
        <f>VLOOKUP(G349,'Swiss Registry'!$A$2:$B$703,2,False)</f>
        <v>Psychokinetic4</v>
      </c>
      <c r="G349" s="84">
        <f t="shared" si="46"/>
        <v>364</v>
      </c>
      <c r="H349" s="83" t="s">
        <v>1486</v>
      </c>
    </row>
    <row r="350">
      <c r="A350" s="84">
        <f t="shared" si="44"/>
        <v>340</v>
      </c>
      <c r="B350" s="85" t="str">
        <f>VLOOKUP(A350,'Swiss Registry'!$A$2:$B$703,2,False)</f>
        <v>kool_kat.</v>
      </c>
      <c r="C350" s="86" t="str">
        <f t="shared" si="42"/>
        <v>Game 1</v>
      </c>
      <c r="D350" s="87" t="str">
        <f t="shared" si="45"/>
        <v>Game 2</v>
      </c>
      <c r="E350" s="88" t="str">
        <f t="shared" si="43"/>
        <v>Game 3</v>
      </c>
      <c r="F350" s="85" t="str">
        <f>VLOOKUP(G350,'Swiss Registry'!$A$2:$B$703,2,False)</f>
        <v>Don7331</v>
      </c>
      <c r="G350" s="84">
        <f t="shared" si="46"/>
        <v>363</v>
      </c>
      <c r="H350" s="83" t="s">
        <v>1757</v>
      </c>
    </row>
    <row r="351">
      <c r="A351" s="84">
        <f t="shared" si="44"/>
        <v>341</v>
      </c>
      <c r="B351" s="85" t="str">
        <f>VLOOKUP(A351,'Swiss Registry'!$A$2:$B$703,2,False)</f>
        <v>terradayy</v>
      </c>
      <c r="C351" s="86" t="str">
        <f t="shared" si="42"/>
        <v>Game 1</v>
      </c>
      <c r="D351" s="87" t="str">
        <f t="shared" si="45"/>
        <v>Game 2</v>
      </c>
      <c r="E351" s="88" t="str">
        <f t="shared" si="43"/>
        <v>Game 3</v>
      </c>
      <c r="F351" s="85" t="str">
        <f>VLOOKUP(G351,'Swiss Registry'!$A$2:$B$703,2,False)</f>
        <v>James67</v>
      </c>
      <c r="G351" s="84">
        <f t="shared" si="46"/>
        <v>362</v>
      </c>
      <c r="H351" s="83" t="s">
        <v>1758</v>
      </c>
    </row>
    <row r="352">
      <c r="A352" s="84">
        <f t="shared" si="44"/>
        <v>342</v>
      </c>
      <c r="B352" s="85" t="str">
        <f>VLOOKUP(A352,'Swiss Registry'!$A$2:$B$703,2,False)</f>
        <v>bevreeze</v>
      </c>
      <c r="C352" s="86" t="str">
        <f t="shared" si="42"/>
        <v>Game 1</v>
      </c>
      <c r="D352" s="87" t="str">
        <f t="shared" si="45"/>
        <v>Game 2</v>
      </c>
      <c r="E352" s="89" t="str">
        <f t="shared" si="43"/>
        <v/>
      </c>
      <c r="F352" s="85" t="str">
        <f>VLOOKUP(G352,'Swiss Registry'!$A$2:$B$703,2,False)</f>
        <v>Guebor</v>
      </c>
      <c r="G352" s="84">
        <f t="shared" si="46"/>
        <v>361</v>
      </c>
      <c r="H352" s="83" t="s">
        <v>1759</v>
      </c>
    </row>
    <row r="353">
      <c r="A353" s="84">
        <f t="shared" si="44"/>
        <v>343</v>
      </c>
      <c r="B353" s="85" t="str">
        <f>VLOOKUP(A353,'Swiss Registry'!$A$2:$B$703,2,False)</f>
        <v>Lunasran</v>
      </c>
      <c r="C353" s="86" t="str">
        <f t="shared" si="42"/>
        <v>Game 1</v>
      </c>
      <c r="D353" s="87" t="str">
        <f t="shared" si="45"/>
        <v>Game 2</v>
      </c>
      <c r="E353" s="88" t="str">
        <f t="shared" si="43"/>
        <v>Game 3</v>
      </c>
      <c r="F353" s="85" t="str">
        <f>VLOOKUP(G353,'Swiss Registry'!$A$2:$B$703,2,False)</f>
        <v>poots6476</v>
      </c>
      <c r="G353" s="84">
        <f t="shared" si="46"/>
        <v>360</v>
      </c>
      <c r="H353" s="83" t="s">
        <v>1760</v>
      </c>
    </row>
    <row r="354">
      <c r="A354" s="84">
        <f t="shared" si="44"/>
        <v>344</v>
      </c>
      <c r="B354" s="85" t="str">
        <f>VLOOKUP(A354,'Swiss Registry'!$A$2:$B$703,2,False)</f>
        <v>Samnyg</v>
      </c>
      <c r="C354" s="86" t="str">
        <f t="shared" si="42"/>
        <v>Game 1</v>
      </c>
      <c r="D354" s="87" t="str">
        <f t="shared" si="45"/>
        <v>Game 2</v>
      </c>
      <c r="E354" s="89" t="str">
        <f t="shared" si="43"/>
        <v/>
      </c>
      <c r="F354" s="85" t="str">
        <f>VLOOKUP(G354,'Swiss Registry'!$A$2:$B$703,2,False)</f>
        <v>deckline</v>
      </c>
      <c r="G354" s="84">
        <f t="shared" si="46"/>
        <v>359</v>
      </c>
      <c r="H354" s="83" t="s">
        <v>1761</v>
      </c>
    </row>
    <row r="355">
      <c r="A355" s="84">
        <f t="shared" si="44"/>
        <v>345</v>
      </c>
      <c r="B355" s="85" t="str">
        <f>VLOOKUP(A355,'Swiss Registry'!$A$2:$B$703,2,False)</f>
        <v>diegoin10</v>
      </c>
      <c r="C355" s="86" t="str">
        <f t="shared" si="42"/>
        <v>Game 1</v>
      </c>
      <c r="D355" s="87" t="str">
        <f t="shared" si="45"/>
        <v>Game 2</v>
      </c>
      <c r="E355" s="89" t="str">
        <f t="shared" si="43"/>
        <v/>
      </c>
      <c r="F355" s="85" t="str">
        <f>VLOOKUP(G355,'Swiss Registry'!$A$2:$B$703,2,False)</f>
        <v>roofb</v>
      </c>
      <c r="G355" s="84">
        <f t="shared" si="46"/>
        <v>358</v>
      </c>
      <c r="H355" s="83" t="s">
        <v>1762</v>
      </c>
    </row>
    <row r="356">
      <c r="A356" s="84">
        <f t="shared" si="44"/>
        <v>346</v>
      </c>
      <c r="B356" s="85" t="str">
        <f>VLOOKUP(A356,'Swiss Registry'!$A$2:$B$703,2,False)</f>
        <v>countsligo</v>
      </c>
      <c r="C356" s="86" t="str">
        <f t="shared" si="42"/>
        <v>Game 1</v>
      </c>
      <c r="D356" s="87" t="str">
        <f t="shared" si="45"/>
        <v>Game 2</v>
      </c>
      <c r="E356" s="88" t="str">
        <f t="shared" si="43"/>
        <v>Game 3</v>
      </c>
      <c r="F356" s="85" t="str">
        <f>VLOOKUP(G356,'Swiss Registry'!$A$2:$B$703,2,False)</f>
        <v>Typlion</v>
      </c>
      <c r="G356" s="84">
        <f t="shared" si="46"/>
        <v>357</v>
      </c>
      <c r="H356" s="83" t="s">
        <v>1763</v>
      </c>
    </row>
    <row r="357">
      <c r="A357" s="84">
        <f t="shared" si="44"/>
        <v>347</v>
      </c>
      <c r="B357" s="85" t="str">
        <f>VLOOKUP(A357,'Swiss Registry'!$A$2:$B$703,2,False)</f>
        <v>SUB 17</v>
      </c>
      <c r="C357" s="90" t="str">
        <f t="shared" si="42"/>
        <v/>
      </c>
      <c r="D357" s="91" t="str">
        <f t="shared" si="45"/>
        <v>Act: themightyq99</v>
      </c>
      <c r="E357" s="89" t="str">
        <f t="shared" si="43"/>
        <v/>
      </c>
      <c r="F357" s="85" t="str">
        <f>VLOOKUP(G357,'Swiss Registry'!$A$2:$B$703,2,False)</f>
        <v>themightyq99</v>
      </c>
      <c r="G357" s="84">
        <f t="shared" si="46"/>
        <v>356</v>
      </c>
      <c r="H357" s="83" t="s">
        <v>1523</v>
      </c>
    </row>
    <row r="358">
      <c r="A358" s="84">
        <f t="shared" si="44"/>
        <v>348</v>
      </c>
      <c r="B358" s="85" t="str">
        <f>VLOOKUP(A358,'Swiss Registry'!$A$2:$B$703,2,False)</f>
        <v>SUB 16</v>
      </c>
      <c r="C358" s="90" t="str">
        <f t="shared" si="42"/>
        <v/>
      </c>
      <c r="D358" s="91" t="str">
        <f t="shared" si="45"/>
        <v>Act: Sorenkazer</v>
      </c>
      <c r="E358" s="89" t="str">
        <f t="shared" si="43"/>
        <v/>
      </c>
      <c r="F358" s="85" t="str">
        <f>VLOOKUP(G358,'Swiss Registry'!$A$2:$B$703,2,False)</f>
        <v>Sorenkazer</v>
      </c>
      <c r="G358" s="84">
        <f t="shared" si="46"/>
        <v>355</v>
      </c>
      <c r="H358" s="83" t="s">
        <v>1523</v>
      </c>
    </row>
    <row r="359">
      <c r="A359" s="84">
        <f t="shared" si="44"/>
        <v>349</v>
      </c>
      <c r="B359" s="85" t="str">
        <f>VLOOKUP(A359,'Swiss Registry'!$A$2:$B$703,2,False)</f>
        <v>Reptikrook</v>
      </c>
      <c r="C359" s="86" t="str">
        <f t="shared" si="42"/>
        <v>Game 1</v>
      </c>
      <c r="D359" s="87" t="str">
        <f t="shared" si="45"/>
        <v>Game 2</v>
      </c>
      <c r="E359" s="89" t="str">
        <f t="shared" si="43"/>
        <v/>
      </c>
      <c r="F359" s="85" t="str">
        <f>VLOOKUP(G359,'Swiss Registry'!$A$2:$B$703,2,False)</f>
        <v>grahamsandwich</v>
      </c>
      <c r="G359" s="84">
        <f t="shared" si="46"/>
        <v>354</v>
      </c>
      <c r="H359" s="83" t="s">
        <v>1764</v>
      </c>
    </row>
    <row r="360">
      <c r="A360" s="84">
        <f t="shared" si="44"/>
        <v>350</v>
      </c>
      <c r="B360" s="85" t="str">
        <f>VLOOKUP(A360,'Swiss Registry'!$A$2:$B$703,2,False)</f>
        <v>bohrier</v>
      </c>
      <c r="C360" s="86" t="str">
        <f t="shared" si="42"/>
        <v>Game 1</v>
      </c>
      <c r="D360" s="87" t="str">
        <f t="shared" si="45"/>
        <v>Game 2</v>
      </c>
      <c r="E360" s="88" t="str">
        <f t="shared" si="43"/>
        <v>Game 3</v>
      </c>
      <c r="F360" s="85" t="str">
        <f>VLOOKUP(G360,'Swiss Registry'!$A$2:$B$703,2,False)</f>
        <v>Nunleft</v>
      </c>
      <c r="G360" s="84">
        <f t="shared" si="46"/>
        <v>353</v>
      </c>
      <c r="H360" s="83" t="s">
        <v>1765</v>
      </c>
    </row>
    <row r="361">
      <c r="A361" s="84">
        <f t="shared" si="44"/>
        <v>351</v>
      </c>
      <c r="B361" s="85" t="str">
        <f>VLOOKUP(A361,'Swiss Registry'!$A$2:$B$703,2,False)</f>
        <v>kinglazi</v>
      </c>
      <c r="C361" s="86" t="str">
        <f t="shared" si="42"/>
        <v>Game 1</v>
      </c>
      <c r="D361" s="87" t="str">
        <f t="shared" si="45"/>
        <v>Game 2</v>
      </c>
      <c r="E361" s="89" t="str">
        <f t="shared" si="43"/>
        <v/>
      </c>
      <c r="F361" s="85" t="str">
        <f>VLOOKUP(G361,'Swiss Registry'!$A$2:$B$703,2,False)</f>
        <v>Dwightasaurus</v>
      </c>
      <c r="G361" s="84">
        <f t="shared" si="46"/>
        <v>352</v>
      </c>
      <c r="H361" s="83" t="s">
        <v>1766</v>
      </c>
    </row>
  </sheetData>
  <mergeCells count="1">
    <mergeCell ref="C1:E1"/>
  </mergeCells>
  <conditionalFormatting sqref="B3:B41 B43:B81 B83:B121 B123:B161 B163:B201 B203:B241 B243:B281 B283:B321 B323:B361">
    <cfRule type="expression" dxfId="5" priority="1">
      <formula>IF(LEFT(H3:H361,1)="A",TRUE,FALSE)</formula>
    </cfRule>
  </conditionalFormatting>
  <conditionalFormatting sqref="F3:F41 F43:F81 F83:F121 F123:F161 F163:F201 F203:F241 F243:F281 F283:F321 F323:F361">
    <cfRule type="expression" dxfId="5" priority="2">
      <formula>IF(LEFT(H3:H361,1)="B",TRUE,FALSE)</formula>
    </cfRule>
  </conditionalFormatting>
  <conditionalFormatting sqref="B3:B41 B43:B81 B83:B121 B123:B161 B163:B201 B203:B241 B243:B281 B283:B321 B323:B361">
    <cfRule type="expression" dxfId="6" priority="3">
      <formula>IF(LEFT(H3:H361,1)="B",TRUE,FALSE)</formula>
    </cfRule>
  </conditionalFormatting>
  <conditionalFormatting sqref="F3:F41 F43:F81 F83:F121 F123:F161 F163:F201 F203:F241 F243:F281 F283:F321 F323:F361">
    <cfRule type="expression" dxfId="6" priority="4">
      <formula>IF(LEFT(H3:H361,1)="A",TRUE,FALSE)</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5.63"/>
    <col customWidth="1" min="2" max="2" width="5.63"/>
    <col customWidth="1" min="3" max="3" width="27.5"/>
    <col customWidth="1" min="4" max="4" width="8.38"/>
    <col customWidth="1" min="5" max="5" width="22.0"/>
    <col customWidth="1" min="6" max="6" width="7.5"/>
    <col customWidth="1" min="7" max="7" width="32.38"/>
    <col customWidth="1" hidden="1" min="8" max="8" width="5.63"/>
    <col customWidth="1" min="9" max="9" width="5.63"/>
    <col customWidth="1" min="10" max="10" width="2.75"/>
    <col customWidth="1" hidden="1" min="11" max="11" width="4.0"/>
    <col customWidth="1" hidden="1" min="12" max="12" width="5.25"/>
  </cols>
  <sheetData>
    <row r="1">
      <c r="A1" s="99"/>
      <c r="B1" s="99" t="s">
        <v>70</v>
      </c>
      <c r="C1" s="75" t="s">
        <v>1454</v>
      </c>
      <c r="D1" s="76" t="s">
        <v>1767</v>
      </c>
      <c r="E1" s="77"/>
      <c r="F1" s="78"/>
      <c r="G1" s="79" t="s">
        <v>1454</v>
      </c>
      <c r="H1" s="74" t="s">
        <v>70</v>
      </c>
      <c r="I1" s="74" t="s">
        <v>70</v>
      </c>
      <c r="J1" s="74" t="s">
        <v>1456</v>
      </c>
      <c r="K1" s="100" t="s">
        <v>1768</v>
      </c>
      <c r="L1" s="101" t="s">
        <v>1769</v>
      </c>
    </row>
    <row r="2" ht="15.0" customHeight="1">
      <c r="A2" s="80"/>
      <c r="B2" s="80"/>
      <c r="C2" s="81"/>
      <c r="D2" s="81"/>
      <c r="E2" s="82" t="s">
        <v>1457</v>
      </c>
      <c r="F2" s="81"/>
      <c r="G2" s="81"/>
      <c r="H2" s="80"/>
      <c r="I2" s="80"/>
      <c r="J2" s="83"/>
      <c r="K2" s="102"/>
      <c r="L2" s="103"/>
    </row>
    <row r="3">
      <c r="A3" s="84">
        <v>352.0</v>
      </c>
      <c r="B3" s="84">
        <f>VLOOKUP(A3,'Swiss2 Registry'!$A$2:$B$703,2,False)</f>
        <v>2</v>
      </c>
      <c r="C3" s="104" t="str">
        <f>VLOOKUP(B3,'Swiss2 Registry'!$B$2:$C$703,2,False)</f>
        <v>Altina</v>
      </c>
      <c r="D3" s="105" t="str">
        <f t="shared" ref="D3:D41" si="1">IF(J3="dead","",IF(J3="a:act","",IF(J3="b:act","",IF(ISURL(HYPERLINK(INDIRECT("Importer!B"&amp;MID(J3,2,4)+1,TRUE))),HYPERLINK(INDIRECT("Importer!B"&amp;MID(J3,2,4)+1,TRUE), "Game 1"),""))))</f>
        <v>Game 1</v>
      </c>
      <c r="E3" s="106" t="str">
        <f>IF(J3="dead","Dead Game",IF(J3="a:act","Act: "&amp;G3,IF(J3="b:act","Act: "&amp;#REF!,IF(ISURL(HYPERLINK(INDIRECT("Importer!B"&amp;MID(J3,6,4)+1,TRUE))),HYPERLINK(INDIRECT("Importer!B"&amp;MID(J3,6,4)+1,TRUE), "Game 2"),""))))</f>
        <v>Game 2</v>
      </c>
      <c r="F3" s="107" t="str">
        <f t="shared" ref="F3:F41" si="2">IF(J3="dead","",IF(J3="a:act","",IF(J3="b:act","",IF(ISURL(HYPERLINK(INDIRECT("Importer!B"&amp;MID(J3,10,4)+1,TRUE))),HYPERLINK(INDIRECT("Importer!B"&amp;MID(J3,10,4)+1,TRUE), "Game 3"),""))))</f>
        <v/>
      </c>
      <c r="G3" s="104" t="str">
        <f>VLOOKUP(I3,'Swiss2 Registry'!$B$2:$C$703,2,False)</f>
        <v>luisin</v>
      </c>
      <c r="H3" s="84">
        <v>351.0</v>
      </c>
      <c r="I3" s="84">
        <f>VLOOKUP(H3,'Swiss2 Registry'!$A$2:$B$703,2,False)</f>
        <v>558</v>
      </c>
      <c r="J3" s="83" t="s">
        <v>1770</v>
      </c>
      <c r="K3" s="108" t="str">
        <f t="array" ref="K3">XLOOKUP(CELL("contents",C3),'Swiss Registry'!$B$2:$B$703,'Swiss Registry'!$N$2:$N$703) </f>
        <v>195417421459226626</v>
      </c>
      <c r="L3" s="109" t="str">
        <f t="array" ref="L3">XLOOKUP(CELL("contents",G3),'Swiss Registry'!$B$2:$B$703,'Swiss Registry'!$N$2:$N$703) </f>
        <v>623656981244149798</v>
      </c>
    </row>
    <row r="4">
      <c r="A4" s="84">
        <v>1.0</v>
      </c>
      <c r="B4" s="84">
        <f>VLOOKUP(A4,'Swiss2 Registry'!$A$2:$B$703,2,False)</f>
        <v>1</v>
      </c>
      <c r="C4" s="104" t="str">
        <f>VLOOKUP(B4,'Swiss2 Registry'!$B$2:$C$703,2,False)</f>
        <v>Fakes</v>
      </c>
      <c r="D4" s="105" t="str">
        <f t="shared" si="1"/>
        <v>Game 1</v>
      </c>
      <c r="E4" s="106" t="str">
        <f t="shared" ref="E4:E41" si="3">IF(J4="dead","Dead Game",IF(J4="a:act","Act: "&amp;C4,IF(J4="b:act","Act: "&amp;G4,IF(ISURL(HYPERLINK(INDIRECT("Importer!B"&amp;MID(J4,6,4)+1,TRUE))),HYPERLINK(INDIRECT("Importer!B"&amp;MID(J4,6,4)+1,TRUE), "Game 2"),""))))</f>
        <v>Game 2</v>
      </c>
      <c r="F4" s="107" t="str">
        <f t="shared" si="2"/>
        <v/>
      </c>
      <c r="G4" s="104" t="str">
        <f>VLOOKUP(I4,'Swiss2 Registry'!$B$2:$C$703,2,False)</f>
        <v>elmagneto</v>
      </c>
      <c r="H4" s="84">
        <v>350.0</v>
      </c>
      <c r="I4" s="84">
        <f>VLOOKUP(H4,'Swiss2 Registry'!$A$2:$B$703,2,False)</f>
        <v>635</v>
      </c>
      <c r="J4" s="83" t="s">
        <v>1771</v>
      </c>
      <c r="K4" s="108" t="str">
        <f t="array" ref="K4">XLOOKUP(CELL("contents",C4),'Swiss Registry'!$B$2:$B$703,'Swiss Registry'!$N$2:$N$703) </f>
        <v>917864414269550693</v>
      </c>
      <c r="L4" s="109" t="str">
        <f t="array" ref="L4">XLOOKUP(CELL("contents",G4),'Swiss Registry'!$B$2:$B$703,'Swiss Registry'!$N$2:$N$703) </f>
        <v>381169925601099779</v>
      </c>
    </row>
    <row r="5">
      <c r="A5" s="84">
        <f t="shared" ref="A5:A41" si="4">A4+1</f>
        <v>2</v>
      </c>
      <c r="B5" s="84">
        <f>VLOOKUP(A5,'Swiss2 Registry'!$A$2:$B$703,2,False)</f>
        <v>3</v>
      </c>
      <c r="C5" s="104" t="str">
        <f>VLOOKUP(B5,'Swiss2 Registry'!$B$2:$C$703,2,False)</f>
        <v>Triangles</v>
      </c>
      <c r="D5" s="105" t="str">
        <f t="shared" si="1"/>
        <v>Game 1</v>
      </c>
      <c r="E5" s="106" t="str">
        <f t="shared" si="3"/>
        <v>Game 2</v>
      </c>
      <c r="F5" s="107" t="str">
        <f t="shared" si="2"/>
        <v/>
      </c>
      <c r="G5" s="104" t="str">
        <f>VLOOKUP(I5,'Swiss2 Registry'!$B$2:$C$703,2,False)</f>
        <v>samjamslam</v>
      </c>
      <c r="H5" s="84">
        <v>349.0</v>
      </c>
      <c r="I5" s="84">
        <f>VLOOKUP(H5,'Swiss2 Registry'!$A$2:$B$703,2,False)</f>
        <v>207</v>
      </c>
      <c r="J5" s="83" t="s">
        <v>1772</v>
      </c>
      <c r="K5" s="108" t="str">
        <f t="array" ref="K5">XLOOKUP(CELL("contents",C5),'Swiss Registry'!$B$2:$B$703,'Swiss Registry'!$N$2:$N$703) </f>
        <v>587394354725912717</v>
      </c>
      <c r="L5" s="109" t="str">
        <f t="array" ref="L5">XLOOKUP(CELL("contents",G5),'Swiss Registry'!$B$2:$B$703,'Swiss Registry'!$N$2:$N$703) </f>
        <v>589902999342546965</v>
      </c>
    </row>
    <row r="6">
      <c r="A6" s="84">
        <f t="shared" si="4"/>
        <v>3</v>
      </c>
      <c r="B6" s="84">
        <f>VLOOKUP(A6,'Swiss2 Registry'!$A$2:$B$703,2,False)</f>
        <v>4</v>
      </c>
      <c r="C6" s="104" t="str">
        <f>VLOOKUP(B6,'Swiss2 Registry'!$B$2:$C$703,2,False)</f>
        <v>pkLeech</v>
      </c>
      <c r="D6" s="105" t="str">
        <f t="shared" si="1"/>
        <v>Game 1</v>
      </c>
      <c r="E6" s="106" t="str">
        <f t="shared" si="3"/>
        <v>Game 2</v>
      </c>
      <c r="F6" s="110" t="str">
        <f t="shared" si="2"/>
        <v>Game 3</v>
      </c>
      <c r="G6" s="104" t="str">
        <f>VLOOKUP(I6,'Swiss2 Registry'!$B$2:$C$703,2,False)</f>
        <v>pLzzazz</v>
      </c>
      <c r="H6" s="84">
        <f t="shared" ref="H6:H41" si="5">H5-1</f>
        <v>348</v>
      </c>
      <c r="I6" s="84">
        <f>VLOOKUP(H6,'Swiss2 Registry'!$A$2:$B$703,2,False)</f>
        <v>291</v>
      </c>
      <c r="J6" s="83" t="s">
        <v>1773</v>
      </c>
      <c r="K6" s="108" t="str">
        <f t="array" ref="K6">XLOOKUP(CELL("contents",C6),'Swiss Registry'!$B$2:$B$703,'Swiss Registry'!$N$2:$N$703) </f>
        <v>461288985944391708</v>
      </c>
      <c r="L6" s="109" t="str">
        <f t="array" ref="L6">XLOOKUP(CELL("contents",G6),'Swiss Registry'!$B$2:$B$703,'Swiss Registry'!$N$2:$N$703) </f>
        <v>198612424885010432</v>
      </c>
    </row>
    <row r="7">
      <c r="A7" s="84">
        <f t="shared" si="4"/>
        <v>4</v>
      </c>
      <c r="B7" s="84">
        <f>VLOOKUP(A7,'Swiss2 Registry'!$A$2:$B$703,2,False)</f>
        <v>6</v>
      </c>
      <c r="C7" s="104" t="str">
        <f>VLOOKUP(B7,'Swiss2 Registry'!$B$2:$C$703,2,False)</f>
        <v>Fear</v>
      </c>
      <c r="D7" s="105" t="str">
        <f t="shared" si="1"/>
        <v>Game 1</v>
      </c>
      <c r="E7" s="106" t="str">
        <f t="shared" si="3"/>
        <v>Game 2</v>
      </c>
      <c r="F7" s="110" t="str">
        <f t="shared" si="2"/>
        <v>Game 3</v>
      </c>
      <c r="G7" s="104" t="str">
        <f>VLOOKUP(I7,'Swiss2 Registry'!$B$2:$C$703,2,False)</f>
        <v>yd12k</v>
      </c>
      <c r="H7" s="84">
        <f t="shared" si="5"/>
        <v>347</v>
      </c>
      <c r="I7" s="84">
        <f>VLOOKUP(H7,'Swiss2 Registry'!$A$2:$B$703,2,False)</f>
        <v>403</v>
      </c>
      <c r="J7" s="83" t="s">
        <v>1774</v>
      </c>
      <c r="K7" s="108" t="str">
        <f t="array" ref="K7">XLOOKUP(CELL("contents",C7),'Swiss Registry'!$B$2:$B$703,'Swiss Registry'!$N$2:$N$703) </f>
        <v>125981893828149248</v>
      </c>
      <c r="L7" s="109" t="str">
        <f t="array" ref="L7">XLOOKUP(CELL("contents",G7),'Swiss Registry'!$B$2:$B$703,'Swiss Registry'!$N$2:$N$703) </f>
        <v>116854172426567680</v>
      </c>
    </row>
    <row r="8">
      <c r="A8" s="84">
        <f t="shared" si="4"/>
        <v>5</v>
      </c>
      <c r="B8" s="84">
        <f>VLOOKUP(A8,'Swiss2 Registry'!$A$2:$B$703,2,False)</f>
        <v>7</v>
      </c>
      <c r="C8" s="104" t="str">
        <f>VLOOKUP(B8,'Swiss2 Registry'!$B$2:$C$703,2,False)</f>
        <v>jumpy23</v>
      </c>
      <c r="D8" s="105" t="str">
        <f t="shared" si="1"/>
        <v>Game 1</v>
      </c>
      <c r="E8" s="106" t="str">
        <f t="shared" si="3"/>
        <v>Game 2</v>
      </c>
      <c r="F8" s="107" t="str">
        <f t="shared" si="2"/>
        <v/>
      </c>
      <c r="G8" s="104" t="str">
        <f>VLOOKUP(I8,'Swiss2 Registry'!$B$2:$C$703,2,False)</f>
        <v>TacCat</v>
      </c>
      <c r="H8" s="84">
        <f t="shared" si="5"/>
        <v>346</v>
      </c>
      <c r="I8" s="84">
        <f>VLOOKUP(H8,'Swiss2 Registry'!$A$2:$B$703,2,False)</f>
        <v>210</v>
      </c>
      <c r="J8" s="83" t="s">
        <v>1775</v>
      </c>
      <c r="K8" s="108" t="str">
        <f t="array" ref="K8">XLOOKUP(CELL("contents",C8),'Swiss Registry'!$B$2:$B$703,'Swiss Registry'!$N$2:$N$703) </f>
        <v>127527434865082368</v>
      </c>
      <c r="L8" s="109" t="str">
        <f t="array" ref="L8">XLOOKUP(CELL("contents",G8),'Swiss Registry'!$B$2:$B$703,'Swiss Registry'!$N$2:$N$703) </f>
        <v>209102896740958208</v>
      </c>
    </row>
    <row r="9">
      <c r="A9" s="84">
        <f t="shared" si="4"/>
        <v>6</v>
      </c>
      <c r="B9" s="84">
        <f>VLOOKUP(A9,'Swiss2 Registry'!$A$2:$B$703,2,False)</f>
        <v>8</v>
      </c>
      <c r="C9" s="104" t="str">
        <f>VLOOKUP(B9,'Swiss2 Registry'!$B$2:$C$703,2,False)</f>
        <v>Leo</v>
      </c>
      <c r="D9" s="111" t="str">
        <f t="shared" si="1"/>
        <v/>
      </c>
      <c r="E9" s="112" t="str">
        <f t="shared" si="3"/>
        <v>Act: Leo</v>
      </c>
      <c r="F9" s="107" t="str">
        <f t="shared" si="2"/>
        <v/>
      </c>
      <c r="G9" s="104" t="str">
        <f>VLOOKUP(I9,'Swiss2 Registry'!$B$2:$C$703,2,False)</f>
        <v>zettsbro</v>
      </c>
      <c r="H9" s="84">
        <f t="shared" si="5"/>
        <v>345</v>
      </c>
      <c r="I9" s="84">
        <f>VLOOKUP(H9,'Swiss2 Registry'!$A$2:$B$703,2,False)</f>
        <v>166</v>
      </c>
      <c r="J9" s="83" t="s">
        <v>1486</v>
      </c>
      <c r="K9" s="108" t="str">
        <f t="array" ref="K9">XLOOKUP(CELL("contents",C9),'Swiss Registry'!$B$2:$B$703,'Swiss Registry'!$N$2:$N$703) </f>
        <v>221637804185223170</v>
      </c>
      <c r="L9" s="109" t="str">
        <f t="array" ref="L9">XLOOKUP(CELL("contents",G9),'Swiss Registry'!$B$2:$B$703,'Swiss Registry'!$N$2:$N$703) </f>
        <v>453604164077879296</v>
      </c>
    </row>
    <row r="10">
      <c r="A10" s="84">
        <f t="shared" si="4"/>
        <v>7</v>
      </c>
      <c r="B10" s="84">
        <f>VLOOKUP(A10,'Swiss2 Registry'!$A$2:$B$703,2,False)</f>
        <v>9</v>
      </c>
      <c r="C10" s="104" t="str">
        <f>VLOOKUP(B10,'Swiss2 Registry'!$B$2:$C$703,2,False)</f>
        <v>Kollin</v>
      </c>
      <c r="D10" s="105" t="str">
        <f t="shared" si="1"/>
        <v>Game 1</v>
      </c>
      <c r="E10" s="106" t="str">
        <f t="shared" si="3"/>
        <v>Game 2</v>
      </c>
      <c r="F10" s="107" t="str">
        <f t="shared" si="2"/>
        <v/>
      </c>
      <c r="G10" s="104" t="str">
        <f>VLOOKUP(I10,'Swiss2 Registry'!$B$2:$C$703,2,False)</f>
        <v>legoerofeggos</v>
      </c>
      <c r="H10" s="84">
        <f t="shared" si="5"/>
        <v>344</v>
      </c>
      <c r="I10" s="84">
        <f>VLOOKUP(H10,'Swiss2 Registry'!$A$2:$B$703,2,False)</f>
        <v>394</v>
      </c>
      <c r="J10" s="83" t="s">
        <v>1776</v>
      </c>
      <c r="K10" s="108" t="str">
        <f t="array" ref="K10">XLOOKUP(CELL("contents",C10),'Swiss Registry'!$B$2:$B$703,'Swiss Registry'!$N$2:$N$703) </f>
        <v>83000775151714304</v>
      </c>
      <c r="L10" s="109" t="str">
        <f t="array" ref="L10">XLOOKUP(CELL("contents",G10),'Swiss Registry'!$B$2:$B$703,'Swiss Registry'!$N$2:$N$703) </f>
        <v>488402959785263141</v>
      </c>
    </row>
    <row r="11">
      <c r="A11" s="84">
        <f t="shared" si="4"/>
        <v>8</v>
      </c>
      <c r="B11" s="84">
        <f>VLOOKUP(A11,'Swiss2 Registry'!$A$2:$B$703,2,False)</f>
        <v>11</v>
      </c>
      <c r="C11" s="104" t="str">
        <f>VLOOKUP(B11,'Swiss2 Registry'!$B$2:$C$703,2,False)</f>
        <v>Blues</v>
      </c>
      <c r="D11" s="105" t="str">
        <f t="shared" si="1"/>
        <v>Game 1</v>
      </c>
      <c r="E11" s="106" t="str">
        <f t="shared" si="3"/>
        <v>Game 2</v>
      </c>
      <c r="F11" s="107" t="str">
        <f t="shared" si="2"/>
        <v/>
      </c>
      <c r="G11" s="104" t="str">
        <f>VLOOKUP(I11,'Swiss2 Registry'!$B$2:$C$703,2,False)</f>
        <v>koentjelub</v>
      </c>
      <c r="H11" s="84">
        <f t="shared" si="5"/>
        <v>343</v>
      </c>
      <c r="I11" s="84">
        <f>VLOOKUP(H11,'Swiss2 Registry'!$A$2:$B$703,2,False)</f>
        <v>282</v>
      </c>
      <c r="J11" s="83" t="s">
        <v>1777</v>
      </c>
      <c r="K11" s="108" t="str">
        <f t="array" ref="K11">XLOOKUP(CELL("contents",C11),'Swiss Registry'!$B$2:$B$703,'Swiss Registry'!$N$2:$N$703) </f>
        <v>687987394292482066</v>
      </c>
      <c r="L11" s="109" t="str">
        <f t="array" ref="L11">XLOOKUP(CELL("contents",G11),'Swiss Registry'!$B$2:$B$703,'Swiss Registry'!$N$2:$N$703) </f>
        <v>862347198805442600</v>
      </c>
    </row>
    <row r="12">
      <c r="A12" s="84">
        <f t="shared" si="4"/>
        <v>9</v>
      </c>
      <c r="B12" s="84">
        <f>VLOOKUP(A12,'Swiss2 Registry'!$A$2:$B$703,2,False)</f>
        <v>12</v>
      </c>
      <c r="C12" s="104" t="str">
        <f>VLOOKUP(B12,'Swiss2 Registry'!$B$2:$C$703,2,False)</f>
        <v>Pak</v>
      </c>
      <c r="D12" s="105" t="str">
        <f t="shared" si="1"/>
        <v>Game 1</v>
      </c>
      <c r="E12" s="106" t="str">
        <f t="shared" si="3"/>
        <v>Game 2</v>
      </c>
      <c r="F12" s="107" t="str">
        <f t="shared" si="2"/>
        <v/>
      </c>
      <c r="G12" s="104" t="str">
        <f>VLOOKUP(I12,'Swiss2 Registry'!$B$2:$C$703,2,False)</f>
        <v>GreenCity</v>
      </c>
      <c r="H12" s="84">
        <f t="shared" si="5"/>
        <v>342</v>
      </c>
      <c r="I12" s="84">
        <f>VLOOKUP(H12,'Swiss2 Registry'!$A$2:$B$703,2,False)</f>
        <v>108</v>
      </c>
      <c r="J12" s="83" t="s">
        <v>1778</v>
      </c>
      <c r="K12" s="108" t="str">
        <f t="array" ref="K12">XLOOKUP(CELL("contents",C12),'Swiss Registry'!$B$2:$B$703,'Swiss Registry'!$N$2:$N$703) </f>
        <v>172884622986706945</v>
      </c>
      <c r="L12" s="109" t="str">
        <f t="array" ref="L12">XLOOKUP(CELL("contents",G12),'Swiss Registry'!$B$2:$B$703,'Swiss Registry'!$N$2:$N$703) </f>
        <v>SUB</v>
      </c>
    </row>
    <row r="13">
      <c r="A13" s="84">
        <f t="shared" si="4"/>
        <v>10</v>
      </c>
      <c r="B13" s="84">
        <f>VLOOKUP(A13,'Swiss2 Registry'!$A$2:$B$703,2,False)</f>
        <v>13</v>
      </c>
      <c r="C13" s="104" t="str">
        <f>VLOOKUP(B13,'Swiss2 Registry'!$B$2:$C$703,2,False)</f>
        <v>River</v>
      </c>
      <c r="D13" s="105" t="str">
        <f t="shared" si="1"/>
        <v>Game 1</v>
      </c>
      <c r="E13" s="106" t="str">
        <f t="shared" si="3"/>
        <v>Game 2</v>
      </c>
      <c r="F13" s="107" t="str">
        <f t="shared" si="2"/>
        <v/>
      </c>
      <c r="G13" s="104" t="str">
        <f>VLOOKUP(I13,'Swiss2 Registry'!$B$2:$C$703,2,False)</f>
        <v>Dray_jd</v>
      </c>
      <c r="H13" s="84">
        <f t="shared" si="5"/>
        <v>341</v>
      </c>
      <c r="I13" s="84">
        <f>VLOOKUP(H13,'Swiss2 Registry'!$A$2:$B$703,2,False)</f>
        <v>368</v>
      </c>
      <c r="J13" s="83" t="s">
        <v>1779</v>
      </c>
      <c r="K13" s="108" t="str">
        <f t="array" ref="K13">XLOOKUP(CELL("contents",C13),'Swiss Registry'!$B$2:$B$703,'Swiss Registry'!$N$2:$N$703) </f>
        <v>543280883000541224</v>
      </c>
      <c r="L13" s="109" t="str">
        <f t="array" ref="L13">XLOOKUP(CELL("contents",G13),'Swiss Registry'!$B$2:$B$703,'Swiss Registry'!$N$2:$N$703) </f>
        <v>683286091356307495</v>
      </c>
    </row>
    <row r="14">
      <c r="A14" s="84">
        <f t="shared" si="4"/>
        <v>11</v>
      </c>
      <c r="B14" s="84">
        <f>VLOOKUP(A14,'Swiss2 Registry'!$A$2:$B$703,2,False)</f>
        <v>14</v>
      </c>
      <c r="C14" s="104" t="str">
        <f>VLOOKUP(B14,'Swiss2 Registry'!$B$2:$C$703,2,False)</f>
        <v>Voyager</v>
      </c>
      <c r="D14" s="105" t="str">
        <f t="shared" si="1"/>
        <v>Game 1</v>
      </c>
      <c r="E14" s="106" t="str">
        <f t="shared" si="3"/>
        <v>Game 2</v>
      </c>
      <c r="F14" s="107" t="str">
        <f t="shared" si="2"/>
        <v/>
      </c>
      <c r="G14" s="104" t="str">
        <f>VLOOKUP(I14,'Swiss2 Registry'!$B$2:$C$703,2,False)</f>
        <v>MCJD931</v>
      </c>
      <c r="H14" s="84">
        <f t="shared" si="5"/>
        <v>340</v>
      </c>
      <c r="I14" s="84">
        <f>VLOOKUP(H14,'Swiss2 Registry'!$A$2:$B$703,2,False)</f>
        <v>444</v>
      </c>
      <c r="J14" s="83" t="s">
        <v>1780</v>
      </c>
      <c r="K14" s="108" t="str">
        <f t="array" ref="K14">XLOOKUP(CELL("contents",C14),'Swiss Registry'!$B$2:$B$703,'Swiss Registry'!$N$2:$N$703) </f>
        <v>554730792488534056</v>
      </c>
      <c r="L14" s="109" t="str">
        <f t="array" ref="L14">XLOOKUP(CELL("contents",G14),'Swiss Registry'!$B$2:$B$703,'Swiss Registry'!$N$2:$N$703) </f>
        <v>371725006276788225</v>
      </c>
    </row>
    <row r="15">
      <c r="A15" s="84">
        <f t="shared" si="4"/>
        <v>12</v>
      </c>
      <c r="B15" s="84">
        <f>VLOOKUP(A15,'Swiss2 Registry'!$A$2:$B$703,2,False)</f>
        <v>15</v>
      </c>
      <c r="C15" s="104" t="str">
        <f>VLOOKUP(B15,'Swiss2 Registry'!$B$2:$C$703,2,False)</f>
        <v>Carapinga</v>
      </c>
      <c r="D15" s="105" t="str">
        <f t="shared" si="1"/>
        <v>Game 1</v>
      </c>
      <c r="E15" s="106" t="str">
        <f t="shared" si="3"/>
        <v>Game 2</v>
      </c>
      <c r="F15" s="110" t="str">
        <f t="shared" si="2"/>
        <v>Game 3</v>
      </c>
      <c r="G15" s="104" t="str">
        <f>VLOOKUP(I15,'Swiss2 Registry'!$B$2:$C$703,2,False)</f>
        <v>KeshBa45</v>
      </c>
      <c r="H15" s="84">
        <f t="shared" si="5"/>
        <v>339</v>
      </c>
      <c r="I15" s="84">
        <f>VLOOKUP(H15,'Swiss2 Registry'!$A$2:$B$703,2,False)</f>
        <v>414</v>
      </c>
      <c r="J15" s="83" t="s">
        <v>1781</v>
      </c>
      <c r="K15" s="108" t="str">
        <f t="array" ref="K15">XLOOKUP(CELL("contents",C15),'Swiss Registry'!$B$2:$B$703,'Swiss Registry'!$N$2:$N$703) </f>
        <v>475993004994330629</v>
      </c>
      <c r="L15" s="109" t="str">
        <f t="array" ref="L15">XLOOKUP(CELL("contents",G15),'Swiss Registry'!$B$2:$B$703,'Swiss Registry'!$N$2:$N$703) </f>
        <v>1171463268276113533</v>
      </c>
    </row>
    <row r="16">
      <c r="A16" s="84">
        <f t="shared" si="4"/>
        <v>13</v>
      </c>
      <c r="B16" s="84">
        <f>VLOOKUP(A16,'Swiss2 Registry'!$A$2:$B$703,2,False)</f>
        <v>16</v>
      </c>
      <c r="C16" s="104" t="str">
        <f>VLOOKUP(B16,'Swiss2 Registry'!$B$2:$C$703,2,False)</f>
        <v>Mielke</v>
      </c>
      <c r="D16" s="105" t="str">
        <f t="shared" si="1"/>
        <v>Game 1</v>
      </c>
      <c r="E16" s="106" t="str">
        <f t="shared" si="3"/>
        <v>Game 2</v>
      </c>
      <c r="F16" s="110" t="str">
        <f t="shared" si="2"/>
        <v>Game 3</v>
      </c>
      <c r="G16" s="104" t="str">
        <f>VLOOKUP(I16,'Swiss2 Registry'!$B$2:$C$703,2,False)</f>
        <v>Lunasran</v>
      </c>
      <c r="H16" s="84">
        <f t="shared" si="5"/>
        <v>338</v>
      </c>
      <c r="I16" s="84">
        <f>VLOOKUP(H16,'Swiss2 Registry'!$A$2:$B$703,2,False)</f>
        <v>343</v>
      </c>
      <c r="J16" s="83" t="s">
        <v>1782</v>
      </c>
      <c r="K16" s="108" t="str">
        <f t="array" ref="K16">XLOOKUP(CELL("contents",C16),'Swiss Registry'!$B$2:$B$703,'Swiss Registry'!$N$2:$N$703) </f>
        <v>324650949371232257</v>
      </c>
      <c r="L16" s="109" t="str">
        <f t="array" ref="L16">XLOOKUP(CELL("contents",G16),'Swiss Registry'!$B$2:$B$703,'Swiss Registry'!$N$2:$N$703) </f>
        <v>1088892947367481436</v>
      </c>
    </row>
    <row r="17">
      <c r="A17" s="84">
        <f t="shared" si="4"/>
        <v>14</v>
      </c>
      <c r="B17" s="84">
        <f>VLOOKUP(A17,'Swiss2 Registry'!$A$2:$B$703,2,False)</f>
        <v>17</v>
      </c>
      <c r="C17" s="104" t="str">
        <f>VLOOKUP(B17,'Swiss2 Registry'!$B$2:$C$703,2,False)</f>
        <v>Tyros</v>
      </c>
      <c r="D17" s="105" t="str">
        <f t="shared" si="1"/>
        <v>Game 1</v>
      </c>
      <c r="E17" s="106" t="str">
        <f t="shared" si="3"/>
        <v>Game 2</v>
      </c>
      <c r="F17" s="110" t="str">
        <f t="shared" si="2"/>
        <v>Game 3</v>
      </c>
      <c r="G17" s="104" t="str">
        <f>VLOOKUP(I17,'Swiss2 Registry'!$B$2:$C$703,2,False)</f>
        <v>thefattestofyoshis</v>
      </c>
      <c r="H17" s="84">
        <f t="shared" si="5"/>
        <v>337</v>
      </c>
      <c r="I17" s="84">
        <f>VLOOKUP(H17,'Swiss2 Registry'!$A$2:$B$703,2,False)</f>
        <v>494</v>
      </c>
      <c r="J17" s="83" t="s">
        <v>1783</v>
      </c>
      <c r="K17" s="108" t="str">
        <f t="array" ref="K17">XLOOKUP(CELL("contents",C17),'Swiss Registry'!$B$2:$B$703,'Swiss Registry'!$N$2:$N$703) </f>
        <v>417524121719799819</v>
      </c>
      <c r="L17" s="109" t="str">
        <f t="array" ref="L17">XLOOKUP(CELL("contents",G17),'Swiss Registry'!$B$2:$B$703,'Swiss Registry'!$N$2:$N$703) </f>
        <v>484359933706371074</v>
      </c>
    </row>
    <row r="18">
      <c r="A18" s="84">
        <f t="shared" si="4"/>
        <v>15</v>
      </c>
      <c r="B18" s="84">
        <f>VLOOKUP(A18,'Swiss2 Registry'!$A$2:$B$703,2,False)</f>
        <v>18</v>
      </c>
      <c r="C18" s="104" t="str">
        <f>VLOOKUP(B18,'Swiss2 Registry'!$B$2:$C$703,2,False)</f>
        <v>Pokology</v>
      </c>
      <c r="D18" s="105" t="str">
        <f t="shared" si="1"/>
        <v>Game 1</v>
      </c>
      <c r="E18" s="106" t="str">
        <f t="shared" si="3"/>
        <v>Game 2</v>
      </c>
      <c r="F18" s="110" t="str">
        <f t="shared" si="2"/>
        <v>Game 3</v>
      </c>
      <c r="G18" s="104" t="str">
        <f>VLOOKUP(I18,'Swiss2 Registry'!$B$2:$C$703,2,False)</f>
        <v>Skarpherim</v>
      </c>
      <c r="H18" s="84">
        <f t="shared" si="5"/>
        <v>336</v>
      </c>
      <c r="I18" s="84">
        <f>VLOOKUP(H18,'Swiss2 Registry'!$A$2:$B$703,2,False)</f>
        <v>184</v>
      </c>
      <c r="J18" s="83" t="s">
        <v>1784</v>
      </c>
      <c r="K18" s="108" t="str">
        <f t="array" ref="K18">XLOOKUP(CELL("contents",C18),'Swiss Registry'!$B$2:$B$703,'Swiss Registry'!$N$2:$N$703) </f>
        <v>647891006347542566</v>
      </c>
      <c r="L18" s="109" t="str">
        <f t="array" ref="L18">XLOOKUP(CELL("contents",G18),'Swiss Registry'!$B$2:$B$703,'Swiss Registry'!$N$2:$N$703) </f>
        <v>1167951538963103815</v>
      </c>
    </row>
    <row r="19">
      <c r="A19" s="84">
        <f t="shared" si="4"/>
        <v>16</v>
      </c>
      <c r="B19" s="84">
        <f>VLOOKUP(A19,'Swiss2 Registry'!$A$2:$B$703,2,False)</f>
        <v>19</v>
      </c>
      <c r="C19" s="104" t="str">
        <f>VLOOKUP(B19,'Swiss2 Registry'!$B$2:$C$703,2,False)</f>
        <v>void</v>
      </c>
      <c r="D19" s="105" t="str">
        <f t="shared" si="1"/>
        <v>Game 1</v>
      </c>
      <c r="E19" s="106" t="str">
        <f t="shared" si="3"/>
        <v>Game 2</v>
      </c>
      <c r="F19" s="107" t="str">
        <f t="shared" si="2"/>
        <v/>
      </c>
      <c r="G19" s="104" t="str">
        <f>VLOOKUP(I19,'Swiss2 Registry'!$B$2:$C$703,2,False)</f>
        <v>depressioncherry_66209</v>
      </c>
      <c r="H19" s="84">
        <f t="shared" si="5"/>
        <v>335</v>
      </c>
      <c r="I19" s="84">
        <f>VLOOKUP(H19,'Swiss2 Registry'!$A$2:$B$703,2,False)</f>
        <v>185</v>
      </c>
      <c r="J19" s="83" t="s">
        <v>1785</v>
      </c>
      <c r="K19" s="108" t="str">
        <f t="array" ref="K19">XLOOKUP(CELL("contents",C19),'Swiss Registry'!$B$2:$B$703,'Swiss Registry'!$N$2:$N$703) </f>
        <v>153249462641229824</v>
      </c>
      <c r="L19" s="109" t="str">
        <f t="array" ref="L19">XLOOKUP(CELL("contents",G19),'Swiss Registry'!$B$2:$B$703,'Swiss Registry'!$N$2:$N$703) </f>
        <v>1223996337217863761</v>
      </c>
    </row>
    <row r="20">
      <c r="A20" s="84">
        <f t="shared" si="4"/>
        <v>17</v>
      </c>
      <c r="B20" s="84">
        <f>VLOOKUP(A20,'Swiss2 Registry'!$A$2:$B$703,2,False)</f>
        <v>22</v>
      </c>
      <c r="C20" s="104" t="str">
        <f>VLOOKUP(B20,'Swiss2 Registry'!$B$2:$C$703,2,False)</f>
        <v>laxuy</v>
      </c>
      <c r="D20" s="105" t="str">
        <f t="shared" si="1"/>
        <v>Game 1</v>
      </c>
      <c r="E20" s="106" t="str">
        <f t="shared" si="3"/>
        <v>Game 2</v>
      </c>
      <c r="F20" s="110" t="str">
        <f t="shared" si="2"/>
        <v>Game 3</v>
      </c>
      <c r="G20" s="104" t="str">
        <f>VLOOKUP(I20,'Swiss2 Registry'!$B$2:$C$703,2,False)</f>
        <v>zy___</v>
      </c>
      <c r="H20" s="84">
        <f t="shared" si="5"/>
        <v>334</v>
      </c>
      <c r="I20" s="84">
        <f>VLOOKUP(H20,'Swiss2 Registry'!$A$2:$B$703,2,False)</f>
        <v>601</v>
      </c>
      <c r="J20" s="83" t="s">
        <v>1786</v>
      </c>
      <c r="K20" s="108" t="str">
        <f t="array" ref="K20">XLOOKUP(CELL("contents",C20),'Swiss Registry'!$B$2:$B$703,'Swiss Registry'!$N$2:$N$703) </f>
        <v>162377920117997568</v>
      </c>
      <c r="L20" s="109" t="str">
        <f t="array" ref="L20">XLOOKUP(CELL("contents",G20),'Swiss Registry'!$B$2:$B$703,'Swiss Registry'!$N$2:$N$703) </f>
        <v>401769953910587393</v>
      </c>
    </row>
    <row r="21">
      <c r="A21" s="84">
        <f t="shared" si="4"/>
        <v>18</v>
      </c>
      <c r="B21" s="84">
        <f>VLOOKUP(A21,'Swiss2 Registry'!$A$2:$B$703,2,False)</f>
        <v>24</v>
      </c>
      <c r="C21" s="104" t="str">
        <f>VLOOKUP(B21,'Swiss2 Registry'!$B$2:$C$703,2,False)</f>
        <v>Big Will</v>
      </c>
      <c r="D21" s="105" t="str">
        <f t="shared" si="1"/>
        <v>Game 1</v>
      </c>
      <c r="E21" s="106" t="str">
        <f t="shared" si="3"/>
        <v>Game 2</v>
      </c>
      <c r="F21" s="107" t="str">
        <f t="shared" si="2"/>
        <v/>
      </c>
      <c r="G21" s="104" t="str">
        <f>VLOOKUP(I21,'Swiss2 Registry'!$B$2:$C$703,2,False)</f>
        <v>Eggman</v>
      </c>
      <c r="H21" s="84">
        <f t="shared" si="5"/>
        <v>333</v>
      </c>
      <c r="I21" s="84">
        <f>VLOOKUP(H21,'Swiss2 Registry'!$A$2:$B$703,2,False)</f>
        <v>636</v>
      </c>
      <c r="J21" s="83" t="s">
        <v>1787</v>
      </c>
      <c r="K21" s="108" t="str">
        <f t="array" ref="K21">XLOOKUP(CELL("contents",C21),'Swiss Registry'!$B$2:$B$703,'Swiss Registry'!$N$2:$N$703) </f>
        <v>119592871962607616</v>
      </c>
      <c r="L21" s="109" t="str">
        <f t="array" ref="L21">XLOOKUP(CELL("contents",G21),'Swiss Registry'!$B$2:$B$703,'Swiss Registry'!$N$2:$N$703) </f>
        <v>516714630890913803</v>
      </c>
    </row>
    <row r="22">
      <c r="A22" s="84">
        <f t="shared" si="4"/>
        <v>19</v>
      </c>
      <c r="B22" s="84">
        <f>VLOOKUP(A22,'Swiss2 Registry'!$A$2:$B$703,2,False)</f>
        <v>25</v>
      </c>
      <c r="C22" s="104" t="str">
        <f>VLOOKUP(B22,'Swiss2 Registry'!$B$2:$C$703,2,False)</f>
        <v>JR</v>
      </c>
      <c r="D22" s="105" t="str">
        <f t="shared" si="1"/>
        <v>Game 1</v>
      </c>
      <c r="E22" s="106" t="str">
        <f t="shared" si="3"/>
        <v>Game 2</v>
      </c>
      <c r="F22" s="107" t="str">
        <f t="shared" si="2"/>
        <v/>
      </c>
      <c r="G22" s="104" t="str">
        <f>VLOOKUP(I22,'Swiss2 Registry'!$B$2:$C$703,2,False)</f>
        <v>style_purposes</v>
      </c>
      <c r="H22" s="84">
        <f t="shared" si="5"/>
        <v>332</v>
      </c>
      <c r="I22" s="84">
        <f>VLOOKUP(H22,'Swiss2 Registry'!$A$2:$B$703,2,False)</f>
        <v>107</v>
      </c>
      <c r="J22" s="83" t="s">
        <v>1788</v>
      </c>
      <c r="K22" s="108" t="str">
        <f t="array" ref="K22">XLOOKUP(CELL("contents",C22),'Swiss Registry'!$B$2:$B$703,'Swiss Registry'!$N$2:$N$703) </f>
        <v>319563636483817472</v>
      </c>
      <c r="L22" s="109" t="str">
        <f t="array" ref="L22">XLOOKUP(CELL("contents",G22),'Swiss Registry'!$B$2:$B$703,'Swiss Registry'!$N$2:$N$703) </f>
        <v>608850851150430226</v>
      </c>
    </row>
    <row r="23">
      <c r="A23" s="84">
        <f t="shared" si="4"/>
        <v>20</v>
      </c>
      <c r="B23" s="84">
        <f>VLOOKUP(A23,'Swiss2 Registry'!$A$2:$B$703,2,False)</f>
        <v>27</v>
      </c>
      <c r="C23" s="104" t="str">
        <f>VLOOKUP(B23,'Swiss2 Registry'!$B$2:$C$703,2,False)</f>
        <v>Sheik</v>
      </c>
      <c r="D23" s="105" t="str">
        <f t="shared" si="1"/>
        <v>Game 1</v>
      </c>
      <c r="E23" s="106" t="str">
        <f t="shared" si="3"/>
        <v>Game 2</v>
      </c>
      <c r="F23" s="107" t="str">
        <f t="shared" si="2"/>
        <v/>
      </c>
      <c r="G23" s="104" t="str">
        <f>VLOOKUP(I23,'Swiss2 Registry'!$B$2:$C$703,2,False)</f>
        <v>ashvinbutduck</v>
      </c>
      <c r="H23" s="84">
        <f t="shared" si="5"/>
        <v>331</v>
      </c>
      <c r="I23" s="84">
        <f>VLOOKUP(H23,'Swiss2 Registry'!$A$2:$B$703,2,False)</f>
        <v>248</v>
      </c>
      <c r="J23" s="83" t="s">
        <v>1789</v>
      </c>
      <c r="K23" s="108" t="str">
        <f t="array" ref="K23">XLOOKUP(CELL("contents",C23),'Swiss Registry'!$B$2:$B$703,'Swiss Registry'!$N$2:$N$703) </f>
        <v>700432987858403420</v>
      </c>
      <c r="L23" s="109" t="str">
        <f t="array" ref="L23">XLOOKUP(CELL("contents",G23),'Swiss Registry'!$B$2:$B$703,'Swiss Registry'!$N$2:$N$703) </f>
        <v>601228993894547479</v>
      </c>
    </row>
    <row r="24">
      <c r="A24" s="84">
        <f t="shared" si="4"/>
        <v>21</v>
      </c>
      <c r="B24" s="84">
        <f>VLOOKUP(A24,'Swiss2 Registry'!$A$2:$B$703,2,False)</f>
        <v>29</v>
      </c>
      <c r="C24" s="113">
        <f>VLOOKUP(B24,'Swiss2 Registry'!$B$2:$C$703,2,False)</f>
        <v>48</v>
      </c>
      <c r="D24" s="105" t="str">
        <f t="shared" si="1"/>
        <v>Game 1</v>
      </c>
      <c r="E24" s="106" t="str">
        <f t="shared" si="3"/>
        <v>Game 2</v>
      </c>
      <c r="F24" s="110" t="str">
        <f t="shared" si="2"/>
        <v>Game 3</v>
      </c>
      <c r="G24" s="104" t="str">
        <f>VLOOKUP(I24,'Swiss2 Registry'!$B$2:$C$703,2,False)</f>
        <v>diamonddiancie</v>
      </c>
      <c r="H24" s="84">
        <f t="shared" si="5"/>
        <v>330</v>
      </c>
      <c r="I24" s="84">
        <f>VLOOKUP(H24,'Swiss2 Registry'!$A$2:$B$703,2,False)</f>
        <v>313</v>
      </c>
      <c r="J24" s="83" t="s">
        <v>1790</v>
      </c>
      <c r="K24" s="108" t="str">
        <f t="array" ref="K24">XLOOKUP(CELL("contents",C24),'Swiss Registry'!$B$2:$B$703,'Swiss Registry'!$N$2:$N$703) </f>
        <v>247063915790336004</v>
      </c>
      <c r="L24" s="109" t="str">
        <f t="array" ref="L24">XLOOKUP(CELL("contents",G24),'Swiss Registry'!$B$2:$B$703,'Swiss Registry'!$N$2:$N$703) </f>
        <v>501497739226644522</v>
      </c>
    </row>
    <row r="25">
      <c r="A25" s="84">
        <f t="shared" si="4"/>
        <v>22</v>
      </c>
      <c r="B25" s="84">
        <f>VLOOKUP(A25,'Swiss2 Registry'!$A$2:$B$703,2,False)</f>
        <v>31</v>
      </c>
      <c r="C25" s="104" t="str">
        <f>VLOOKUP(B25,'Swiss2 Registry'!$B$2:$C$703,2,False)</f>
        <v>Spfunkm</v>
      </c>
      <c r="D25" s="105" t="str">
        <f t="shared" si="1"/>
        <v>Game 1</v>
      </c>
      <c r="E25" s="106" t="str">
        <f t="shared" si="3"/>
        <v>Game 2</v>
      </c>
      <c r="F25" s="107" t="str">
        <f t="shared" si="2"/>
        <v/>
      </c>
      <c r="G25" s="104" t="str">
        <f>VLOOKUP(I25,'Swiss2 Registry'!$B$2:$C$703,2,False)</f>
        <v>firecracker1195</v>
      </c>
      <c r="H25" s="84">
        <f t="shared" si="5"/>
        <v>329</v>
      </c>
      <c r="I25" s="84">
        <f>VLOOKUP(H25,'Swiss2 Registry'!$A$2:$B$703,2,False)</f>
        <v>501</v>
      </c>
      <c r="J25" s="83" t="s">
        <v>1791</v>
      </c>
      <c r="K25" s="108" t="str">
        <f t="array" ref="K25">XLOOKUP(CELL("contents",C25),'Swiss Registry'!$B$2:$B$703,'Swiss Registry'!$N$2:$N$703) </f>
        <v>SUB</v>
      </c>
      <c r="L25" s="109" t="str">
        <f t="array" ref="L25">XLOOKUP(CELL("contents",G25),'Swiss Registry'!$B$2:$B$703,'Swiss Registry'!$N$2:$N$703) </f>
        <v>1140316980931461190</v>
      </c>
    </row>
    <row r="26">
      <c r="A26" s="84">
        <f t="shared" si="4"/>
        <v>23</v>
      </c>
      <c r="B26" s="84">
        <f>VLOOKUP(A26,'Swiss2 Registry'!$A$2:$B$703,2,False)</f>
        <v>32</v>
      </c>
      <c r="C26" s="104" t="str">
        <f>VLOOKUP(B26,'Swiss2 Registry'!$B$2:$C$703,2,False)</f>
        <v>Johnald</v>
      </c>
      <c r="D26" s="105" t="str">
        <f t="shared" si="1"/>
        <v>Game 1</v>
      </c>
      <c r="E26" s="106" t="str">
        <f t="shared" si="3"/>
        <v>Game 2</v>
      </c>
      <c r="F26" s="107" t="str">
        <f t="shared" si="2"/>
        <v/>
      </c>
      <c r="G26" s="104" t="str">
        <f>VLOOKUP(I26,'Swiss2 Registry'!$B$2:$C$703,2,False)</f>
        <v>flareliger</v>
      </c>
      <c r="H26" s="84">
        <f t="shared" si="5"/>
        <v>328</v>
      </c>
      <c r="I26" s="84">
        <f>VLOOKUP(H26,'Swiss2 Registry'!$A$2:$B$703,2,False)</f>
        <v>522</v>
      </c>
      <c r="J26" s="83" t="s">
        <v>1792</v>
      </c>
      <c r="K26" s="108" t="str">
        <f t="array" ref="K26">XLOOKUP(CELL("contents",C26),'Swiss Registry'!$B$2:$B$703,'Swiss Registry'!$N$2:$N$703) </f>
        <v>196328307241910272</v>
      </c>
      <c r="L26" s="109" t="str">
        <f t="array" ref="L26">XLOOKUP(CELL("contents",G26),'Swiss Registry'!$B$2:$B$703,'Swiss Registry'!$N$2:$N$703) </f>
        <v>605517695961661523</v>
      </c>
    </row>
    <row r="27">
      <c r="A27" s="84">
        <f t="shared" si="4"/>
        <v>24</v>
      </c>
      <c r="B27" s="84">
        <f>VLOOKUP(A27,'Swiss2 Registry'!$A$2:$B$703,2,False)</f>
        <v>33</v>
      </c>
      <c r="C27" s="104" t="str">
        <f>VLOOKUP(B27,'Swiss2 Registry'!$B$2:$C$703,2,False)</f>
        <v>W_R</v>
      </c>
      <c r="D27" s="105" t="str">
        <f t="shared" si="1"/>
        <v>Game 1</v>
      </c>
      <c r="E27" s="106" t="str">
        <f t="shared" si="3"/>
        <v>Game 2</v>
      </c>
      <c r="F27" s="110" t="str">
        <f t="shared" si="2"/>
        <v>Game 3</v>
      </c>
      <c r="G27" s="104" t="str">
        <f>VLOOKUP(I27,'Swiss2 Registry'!$B$2:$C$703,2,False)</f>
        <v>gorbinator.</v>
      </c>
      <c r="H27" s="84">
        <f t="shared" si="5"/>
        <v>327</v>
      </c>
      <c r="I27" s="84">
        <f>VLOOKUP(H27,'Swiss2 Registry'!$A$2:$B$703,2,False)</f>
        <v>303</v>
      </c>
      <c r="J27" s="92" t="s">
        <v>1793</v>
      </c>
      <c r="K27" s="108" t="str">
        <f t="array" ref="K27">XLOOKUP(CELL("contents",C27),'Swiss Registry'!$B$2:$B$703,'Swiss Registry'!$N$2:$N$703) </f>
        <v>SUB</v>
      </c>
      <c r="L27" s="109" t="str">
        <f t="array" ref="L27">XLOOKUP(CELL("contents",G27),'Swiss Registry'!$B$2:$B$703,'Swiss Registry'!$N$2:$N$703) </f>
        <v>557345709712736266</v>
      </c>
    </row>
    <row r="28">
      <c r="A28" s="84">
        <f t="shared" si="4"/>
        <v>25</v>
      </c>
      <c r="B28" s="84">
        <f>VLOOKUP(A28,'Swiss2 Registry'!$A$2:$B$703,2,False)</f>
        <v>34</v>
      </c>
      <c r="C28" s="104" t="str">
        <f>VLOOKUP(B28,'Swiss2 Registry'!$B$2:$C$703,2,False)</f>
        <v>D3stiny</v>
      </c>
      <c r="D28" s="105" t="str">
        <f t="shared" si="1"/>
        <v>Game 1</v>
      </c>
      <c r="E28" s="106" t="str">
        <f t="shared" si="3"/>
        <v>Game 2</v>
      </c>
      <c r="F28" s="107" t="str">
        <f t="shared" si="2"/>
        <v/>
      </c>
      <c r="G28" s="104" t="str">
        <f>VLOOKUP(I28,'Swiss2 Registry'!$B$2:$C$703,2,False)</f>
        <v>dadaasdcfaw</v>
      </c>
      <c r="H28" s="84">
        <f t="shared" si="5"/>
        <v>326</v>
      </c>
      <c r="I28" s="84">
        <f>VLOOKUP(H28,'Swiss2 Registry'!$A$2:$B$703,2,False)</f>
        <v>212</v>
      </c>
      <c r="J28" s="93" t="s">
        <v>1794</v>
      </c>
      <c r="K28" s="108" t="str">
        <f t="array" ref="K28">XLOOKUP(CELL("contents",C28),'Swiss Registry'!$B$2:$B$703,'Swiss Registry'!$N$2:$N$703) </f>
        <v>836748504621252618</v>
      </c>
      <c r="L28" s="109" t="str">
        <f t="array" ref="L28">XLOOKUP(CELL("contents",G28),'Swiss Registry'!$B$2:$B$703,'Swiss Registry'!$N$2:$N$703) </f>
        <v>327733812467466240</v>
      </c>
    </row>
    <row r="29">
      <c r="A29" s="84">
        <f t="shared" si="4"/>
        <v>26</v>
      </c>
      <c r="B29" s="84">
        <f>VLOOKUP(A29,'Swiss2 Registry'!$A$2:$B$703,2,False)</f>
        <v>35</v>
      </c>
      <c r="C29" s="104" t="str">
        <f>VLOOKUP(B29,'Swiss2 Registry'!$B$2:$C$703,2,False)</f>
        <v>Zacpz</v>
      </c>
      <c r="D29" s="105" t="str">
        <f t="shared" si="1"/>
        <v>Game 1</v>
      </c>
      <c r="E29" s="106" t="str">
        <f t="shared" si="3"/>
        <v>Game 2</v>
      </c>
      <c r="F29" s="107" t="str">
        <f t="shared" si="2"/>
        <v/>
      </c>
      <c r="G29" s="104" t="str">
        <f>VLOOKUP(I29,'Swiss2 Registry'!$B$2:$C$703,2,False)</f>
        <v>_rekkzz_</v>
      </c>
      <c r="H29" s="84">
        <f t="shared" si="5"/>
        <v>325</v>
      </c>
      <c r="I29" s="84">
        <f>VLOOKUP(H29,'Swiss2 Registry'!$A$2:$B$703,2,False)</f>
        <v>578</v>
      </c>
      <c r="J29" s="93" t="s">
        <v>1795</v>
      </c>
      <c r="K29" s="108" t="str">
        <f t="array" ref="K29">XLOOKUP(CELL("contents",C29),'Swiss Registry'!$B$2:$B$703,'Swiss Registry'!$N$2:$N$703) </f>
        <v>719547987277119638</v>
      </c>
      <c r="L29" s="109" t="str">
        <f t="array" ref="L29">XLOOKUP(CELL("contents",G29),'Swiss Registry'!$B$2:$B$703,'Swiss Registry'!$N$2:$N$703) </f>
        <v>1066999557575147581</v>
      </c>
    </row>
    <row r="30">
      <c r="A30" s="84">
        <f t="shared" si="4"/>
        <v>27</v>
      </c>
      <c r="B30" s="84">
        <f>VLOOKUP(A30,'Swiss2 Registry'!$A$2:$B$703,2,False)</f>
        <v>36</v>
      </c>
      <c r="C30" s="104" t="str">
        <f>VLOOKUP(B30,'Swiss2 Registry'!$B$2:$C$703,2,False)</f>
        <v>Segale</v>
      </c>
      <c r="D30" s="105" t="str">
        <f t="shared" si="1"/>
        <v>Game 1</v>
      </c>
      <c r="E30" s="106" t="str">
        <f t="shared" si="3"/>
        <v>Game 2</v>
      </c>
      <c r="F30" s="107" t="str">
        <f t="shared" si="2"/>
        <v/>
      </c>
      <c r="G30" s="104" t="str">
        <f>VLOOKUP(I30,'Swiss2 Registry'!$B$2:$C$703,2,False)</f>
        <v>myrox123</v>
      </c>
      <c r="H30" s="84">
        <f t="shared" si="5"/>
        <v>324</v>
      </c>
      <c r="I30" s="84">
        <f>VLOOKUP(H30,'Swiss2 Registry'!$A$2:$B$703,2,False)</f>
        <v>416</v>
      </c>
      <c r="J30" s="93" t="s">
        <v>1796</v>
      </c>
      <c r="K30" s="108" t="str">
        <f t="array" ref="K30">XLOOKUP(CELL("contents",C30),'Swiss Registry'!$B$2:$B$703,'Swiss Registry'!$N$2:$N$703) </f>
        <v>1059548623416856608</v>
      </c>
      <c r="L30" s="109" t="str">
        <f t="array" ref="L30">XLOOKUP(CELL("contents",G30),'Swiss Registry'!$B$2:$B$703,'Swiss Registry'!$N$2:$N$703) </f>
        <v>401496586649206784</v>
      </c>
    </row>
    <row r="31">
      <c r="A31" s="84">
        <f t="shared" si="4"/>
        <v>28</v>
      </c>
      <c r="B31" s="84">
        <f>VLOOKUP(A31,'Swiss2 Registry'!$A$2:$B$703,2,False)</f>
        <v>37</v>
      </c>
      <c r="C31" s="104" t="str">
        <f>VLOOKUP(B31,'Swiss2 Registry'!$B$2:$C$703,2,False)</f>
        <v>Zerkas</v>
      </c>
      <c r="D31" s="105" t="str">
        <f t="shared" si="1"/>
        <v>Game 1</v>
      </c>
      <c r="E31" s="106" t="str">
        <f t="shared" si="3"/>
        <v>Game 2</v>
      </c>
      <c r="F31" s="107" t="str">
        <f t="shared" si="2"/>
        <v/>
      </c>
      <c r="G31" s="104" t="str">
        <f>VLOOKUP(I31,'Swiss2 Registry'!$B$2:$C$703,2,False)</f>
        <v>dragonsareoptimal</v>
      </c>
      <c r="H31" s="84">
        <f t="shared" si="5"/>
        <v>323</v>
      </c>
      <c r="I31" s="84">
        <f>VLOOKUP(H31,'Swiss2 Registry'!$A$2:$B$703,2,False)</f>
        <v>222</v>
      </c>
      <c r="J31" s="93" t="s">
        <v>1797</v>
      </c>
      <c r="K31" s="108" t="str">
        <f t="array" ref="K31">XLOOKUP(CELL("contents",C31),'Swiss Registry'!$B$2:$B$703,'Swiss Registry'!$N$2:$N$703) </f>
        <v>832336642315518002</v>
      </c>
      <c r="L31" s="109" t="str">
        <f t="array" ref="L31">XLOOKUP(CELL("contents",G31),'Swiss Registry'!$B$2:$B$703,'Swiss Registry'!$N$2:$N$703) </f>
        <v>168945056303022081</v>
      </c>
    </row>
    <row r="32">
      <c r="A32" s="84">
        <f t="shared" si="4"/>
        <v>29</v>
      </c>
      <c r="B32" s="84">
        <f>VLOOKUP(A32,'Swiss2 Registry'!$A$2:$B$703,2,False)</f>
        <v>38</v>
      </c>
      <c r="C32" s="104" t="str">
        <f>VLOOKUP(B32,'Swiss2 Registry'!$B$2:$C$703,2,False)</f>
        <v>Colteor</v>
      </c>
      <c r="D32" s="105" t="str">
        <f t="shared" si="1"/>
        <v>Game 1</v>
      </c>
      <c r="E32" s="106" t="str">
        <f t="shared" si="3"/>
        <v>Game 2</v>
      </c>
      <c r="F32" s="110" t="str">
        <f t="shared" si="2"/>
        <v>Game 3</v>
      </c>
      <c r="G32" s="104" t="str">
        <f>VLOOKUP(I32,'Swiss2 Registry'!$B$2:$C$703,2,False)</f>
        <v>Sophocles</v>
      </c>
      <c r="H32" s="84">
        <f t="shared" si="5"/>
        <v>322</v>
      </c>
      <c r="I32" s="84">
        <f>VLOOKUP(H32,'Swiss2 Registry'!$A$2:$B$703,2,False)</f>
        <v>130</v>
      </c>
      <c r="J32" s="93" t="s">
        <v>1798</v>
      </c>
      <c r="K32" s="108" t="str">
        <f t="array" ref="K32">XLOOKUP(CELL("contents",C32),'Swiss Registry'!$B$2:$B$703,'Swiss Registry'!$N$2:$N$703) </f>
        <v>327152054747529217</v>
      </c>
      <c r="L32" s="109" t="str">
        <f t="array" ref="L32">XLOOKUP(CELL("contents",G32),'Swiss Registry'!$B$2:$B$703,'Swiss Registry'!$N$2:$N$703) </f>
        <v>109151686848679936</v>
      </c>
    </row>
    <row r="33">
      <c r="A33" s="84">
        <f t="shared" si="4"/>
        <v>30</v>
      </c>
      <c r="B33" s="84">
        <f>VLOOKUP(A33,'Swiss2 Registry'!$A$2:$B$703,2,False)</f>
        <v>39</v>
      </c>
      <c r="C33" s="104" t="str">
        <f>VLOOKUP(B33,'Swiss2 Registry'!$B$2:$C$703,2,False)</f>
        <v>earlgr3y</v>
      </c>
      <c r="D33" s="105" t="str">
        <f t="shared" si="1"/>
        <v>Game 1</v>
      </c>
      <c r="E33" s="106" t="str">
        <f t="shared" si="3"/>
        <v>Game 2</v>
      </c>
      <c r="F33" s="107" t="str">
        <f t="shared" si="2"/>
        <v/>
      </c>
      <c r="G33" s="104" t="str">
        <f>VLOOKUP(I33,'Swiss2 Registry'!$B$2:$C$703,2,False)</f>
        <v>Jabba</v>
      </c>
      <c r="H33" s="84">
        <f t="shared" si="5"/>
        <v>321</v>
      </c>
      <c r="I33" s="84">
        <f>VLOOKUP(H33,'Swiss2 Registry'!$A$2:$B$703,2,False)</f>
        <v>339</v>
      </c>
      <c r="J33" s="93" t="s">
        <v>1799</v>
      </c>
      <c r="K33" s="108" t="str">
        <f t="array" ref="K33">XLOOKUP(CELL("contents",C33),'Swiss Registry'!$B$2:$B$703,'Swiss Registry'!$N$2:$N$703) </f>
        <v>1058405539903713330</v>
      </c>
      <c r="L33" s="109" t="str">
        <f t="array" ref="L33">XLOOKUP(CELL("contents",G33),'Swiss Registry'!$B$2:$B$703,'Swiss Registry'!$N$2:$N$703) </f>
        <v>191625883503558656</v>
      </c>
    </row>
    <row r="34">
      <c r="A34" s="84">
        <f t="shared" si="4"/>
        <v>31</v>
      </c>
      <c r="B34" s="84">
        <f>VLOOKUP(A34,'Swiss2 Registry'!$A$2:$B$703,2,False)</f>
        <v>40</v>
      </c>
      <c r="C34" s="104" t="str">
        <f>VLOOKUP(B34,'Swiss2 Registry'!$B$2:$C$703,2,False)</f>
        <v>goldmason</v>
      </c>
      <c r="D34" s="111" t="str">
        <f t="shared" si="1"/>
        <v/>
      </c>
      <c r="E34" s="112" t="str">
        <f t="shared" si="3"/>
        <v>Act: goldmason</v>
      </c>
      <c r="F34" s="107" t="str">
        <f t="shared" si="2"/>
        <v/>
      </c>
      <c r="G34" s="104" t="str">
        <f>VLOOKUP(I34,'Swiss2 Registry'!$B$2:$C$703,2,False)</f>
        <v>Nuskadamo</v>
      </c>
      <c r="H34" s="84">
        <f t="shared" si="5"/>
        <v>320</v>
      </c>
      <c r="I34" s="84">
        <f>VLOOKUP(H34,'Swiss2 Registry'!$A$2:$B$703,2,False)</f>
        <v>391</v>
      </c>
      <c r="J34" s="95" t="s">
        <v>1486</v>
      </c>
      <c r="K34" s="108" t="str">
        <f t="array" ref="K34">XLOOKUP(CELL("contents",C34),'Swiss Registry'!$B$2:$B$703,'Swiss Registry'!$N$2:$N$703) </f>
        <v>140308490609623041</v>
      </c>
      <c r="L34" s="109" t="str">
        <f t="array" ref="L34">XLOOKUP(CELL("contents",G34),'Swiss Registry'!$B$2:$B$703,'Swiss Registry'!$N$2:$N$703) </f>
        <v>SUB</v>
      </c>
    </row>
    <row r="35">
      <c r="A35" s="84">
        <f t="shared" si="4"/>
        <v>32</v>
      </c>
      <c r="B35" s="84">
        <f>VLOOKUP(A35,'Swiss2 Registry'!$A$2:$B$703,2,False)</f>
        <v>41</v>
      </c>
      <c r="C35" s="104" t="str">
        <f>VLOOKUP(B35,'Swiss2 Registry'!$B$2:$C$703,2,False)</f>
        <v>Celdanami</v>
      </c>
      <c r="D35" s="105" t="str">
        <f t="shared" si="1"/>
        <v>Game 1</v>
      </c>
      <c r="E35" s="106" t="str">
        <f t="shared" si="3"/>
        <v>Game 2</v>
      </c>
      <c r="F35" s="110" t="str">
        <f t="shared" si="2"/>
        <v>Game 3</v>
      </c>
      <c r="G35" s="104" t="str">
        <f>VLOOKUP(I35,'Swiss2 Registry'!$B$2:$C$703,2,False)</f>
        <v>mintchocolateguy</v>
      </c>
      <c r="H35" s="84">
        <f t="shared" si="5"/>
        <v>319</v>
      </c>
      <c r="I35" s="84">
        <f>VLOOKUP(H35,'Swiss2 Registry'!$A$2:$B$703,2,False)</f>
        <v>267</v>
      </c>
      <c r="J35" s="93" t="s">
        <v>1800</v>
      </c>
      <c r="K35" s="108" t="str">
        <f t="array" ref="K35">XLOOKUP(CELL("contents",C35),'Swiss Registry'!$B$2:$B$703,'Swiss Registry'!$N$2:$N$703) </f>
        <v>1031364783804526612</v>
      </c>
      <c r="L35" s="109" t="str">
        <f t="array" ref="L35">XLOOKUP(CELL("contents",G35),'Swiss Registry'!$B$2:$B$703,'Swiss Registry'!$N$2:$N$703) </f>
        <v>698335732191723551</v>
      </c>
    </row>
    <row r="36">
      <c r="A36" s="84">
        <f t="shared" si="4"/>
        <v>33</v>
      </c>
      <c r="B36" s="84">
        <f>VLOOKUP(A36,'Swiss2 Registry'!$A$2:$B$703,2,False)</f>
        <v>42</v>
      </c>
      <c r="C36" s="104" t="str">
        <f>VLOOKUP(B36,'Swiss2 Registry'!$B$2:$C$703,2,False)</f>
        <v>ThisGuyMuks</v>
      </c>
      <c r="D36" s="105" t="str">
        <f t="shared" si="1"/>
        <v>Game 1</v>
      </c>
      <c r="E36" s="106" t="str">
        <f t="shared" si="3"/>
        <v>Game 2</v>
      </c>
      <c r="F36" s="107" t="str">
        <f t="shared" si="2"/>
        <v/>
      </c>
      <c r="G36" s="104" t="str">
        <f>VLOOKUP(I36,'Swiss2 Registry'!$B$2:$C$703,2,False)</f>
        <v>@struggles_under_pressure</v>
      </c>
      <c r="H36" s="84">
        <f t="shared" si="5"/>
        <v>318</v>
      </c>
      <c r="I36" s="84">
        <f>VLOOKUP(H36,'Swiss2 Registry'!$A$2:$B$703,2,False)</f>
        <v>302</v>
      </c>
      <c r="J36" s="93" t="s">
        <v>1801</v>
      </c>
      <c r="K36" s="108" t="str">
        <f t="array" ref="K36">XLOOKUP(CELL("contents",C36),'Swiss Registry'!$B$2:$B$703,'Swiss Registry'!$N$2:$N$703) </f>
        <v>397627331637805056</v>
      </c>
      <c r="L36" s="109" t="str">
        <f t="array" ref="L36">XLOOKUP(CELL("contents",G36),'Swiss Registry'!$B$2:$B$703,'Swiss Registry'!$N$2:$N$703) </f>
        <v>883737062904324126</v>
      </c>
    </row>
    <row r="37">
      <c r="A37" s="84">
        <f t="shared" si="4"/>
        <v>34</v>
      </c>
      <c r="B37" s="84">
        <f>VLOOKUP(A37,'Swiss2 Registry'!$A$2:$B$703,2,False)</f>
        <v>43</v>
      </c>
      <c r="C37" s="104" t="str">
        <f>VLOOKUP(B37,'Swiss2 Registry'!$B$2:$C$703,2,False)</f>
        <v>Christos</v>
      </c>
      <c r="D37" s="105" t="str">
        <f t="shared" si="1"/>
        <v>Game 1</v>
      </c>
      <c r="E37" s="106" t="str">
        <f t="shared" si="3"/>
        <v>Game 2</v>
      </c>
      <c r="F37" s="110" t="str">
        <f t="shared" si="2"/>
        <v>Game 3</v>
      </c>
      <c r="G37" s="104" t="str">
        <f>VLOOKUP(I37,'Swiss2 Registry'!$B$2:$C$703,2,False)</f>
        <v>Goose824</v>
      </c>
      <c r="H37" s="84">
        <f t="shared" si="5"/>
        <v>317</v>
      </c>
      <c r="I37" s="84">
        <f>VLOOKUP(H37,'Swiss2 Registry'!$A$2:$B$703,2,False)</f>
        <v>585</v>
      </c>
      <c r="J37" s="93" t="s">
        <v>1802</v>
      </c>
      <c r="K37" s="108" t="str">
        <f t="array" ref="K37">XLOOKUP(CELL("contents",C37),'Swiss Registry'!$B$2:$B$703,'Swiss Registry'!$N$2:$N$703) </f>
        <v>202869299113623563</v>
      </c>
      <c r="L37" s="109" t="str">
        <f t="array" ref="L37">XLOOKUP(CELL("contents",G37),'Swiss Registry'!$B$2:$B$703,'Swiss Registry'!$N$2:$N$703) </f>
        <v>260566711202218005</v>
      </c>
    </row>
    <row r="38">
      <c r="A38" s="84">
        <f t="shared" si="4"/>
        <v>35</v>
      </c>
      <c r="B38" s="84">
        <f>VLOOKUP(A38,'Swiss2 Registry'!$A$2:$B$703,2,False)</f>
        <v>44</v>
      </c>
      <c r="C38" s="104" t="str">
        <f>VLOOKUP(B38,'Swiss2 Registry'!$B$2:$C$703,2,False)</f>
        <v>Dridri457</v>
      </c>
      <c r="D38" s="105" t="str">
        <f t="shared" si="1"/>
        <v>Game 1</v>
      </c>
      <c r="E38" s="106" t="str">
        <f t="shared" si="3"/>
        <v>Game 2</v>
      </c>
      <c r="F38" s="107" t="str">
        <f t="shared" si="2"/>
        <v/>
      </c>
      <c r="G38" s="104" t="str">
        <f>VLOOKUP(I38,'Swiss2 Registry'!$B$2:$C$703,2,False)</f>
        <v>lengloi</v>
      </c>
      <c r="H38" s="84">
        <f t="shared" si="5"/>
        <v>316</v>
      </c>
      <c r="I38" s="84">
        <f>VLOOKUP(H38,'Swiss2 Registry'!$A$2:$B$703,2,False)</f>
        <v>129</v>
      </c>
      <c r="J38" s="93" t="s">
        <v>1803</v>
      </c>
      <c r="K38" s="108" t="str">
        <f t="array" ref="K38">XLOOKUP(CELL("contents",C38),'Swiss Registry'!$B$2:$B$703,'Swiss Registry'!$N$2:$N$703) </f>
        <v>1067112559704014909</v>
      </c>
      <c r="L38" s="109" t="str">
        <f t="array" ref="L38">XLOOKUP(CELL("contents",G38),'Swiss Registry'!$B$2:$B$703,'Swiss Registry'!$N$2:$N$703) </f>
        <v>442724252819390474</v>
      </c>
    </row>
    <row r="39">
      <c r="A39" s="84">
        <f t="shared" si="4"/>
        <v>36</v>
      </c>
      <c r="B39" s="84">
        <f>VLOOKUP(A39,'Swiss2 Registry'!$A$2:$B$703,2,False)</f>
        <v>45</v>
      </c>
      <c r="C39" s="104" t="str">
        <f>VLOOKUP(B39,'Swiss2 Registry'!$B$2:$C$703,2,False)</f>
        <v>DeezCastforms</v>
      </c>
      <c r="D39" s="105" t="str">
        <f t="shared" si="1"/>
        <v>Game 1</v>
      </c>
      <c r="E39" s="106" t="str">
        <f t="shared" si="3"/>
        <v>Game 2</v>
      </c>
      <c r="F39" s="110" t="str">
        <f t="shared" si="2"/>
        <v>Game 3</v>
      </c>
      <c r="G39" s="104" t="str">
        <f>VLOOKUP(I39,'Swiss2 Registry'!$B$2:$C$703,2,False)</f>
        <v>truelawbringer</v>
      </c>
      <c r="H39" s="84">
        <f t="shared" si="5"/>
        <v>315</v>
      </c>
      <c r="I39" s="84">
        <f>VLOOKUP(H39,'Swiss2 Registry'!$A$2:$B$703,2,False)</f>
        <v>290</v>
      </c>
      <c r="J39" s="93" t="s">
        <v>1804</v>
      </c>
      <c r="K39" s="108" t="str">
        <f t="array" ref="K39">XLOOKUP(CELL("contents",C39),'Swiss Registry'!$B$2:$B$703,'Swiss Registry'!$N$2:$N$703) </f>
        <v>358052192915292161</v>
      </c>
      <c r="L39" s="109" t="str">
        <f t="array" ref="L39">XLOOKUP(CELL("contents",G39),'Swiss Registry'!$B$2:$B$703,'Swiss Registry'!$N$2:$N$703) </f>
        <v>213542908421341184</v>
      </c>
    </row>
    <row r="40">
      <c r="A40" s="84">
        <f t="shared" si="4"/>
        <v>37</v>
      </c>
      <c r="B40" s="84">
        <f>VLOOKUP(A40,'Swiss2 Registry'!$A$2:$B$703,2,False)</f>
        <v>46</v>
      </c>
      <c r="C40" s="104" t="str">
        <f>VLOOKUP(B40,'Swiss2 Registry'!$B$2:$C$703,2,False)</f>
        <v>Zelph</v>
      </c>
      <c r="D40" s="105" t="str">
        <f t="shared" si="1"/>
        <v>Game 1</v>
      </c>
      <c r="E40" s="106" t="str">
        <f t="shared" si="3"/>
        <v>Game 2</v>
      </c>
      <c r="F40" s="107" t="str">
        <f t="shared" si="2"/>
        <v/>
      </c>
      <c r="G40" s="104" t="str">
        <f>VLOOKUP(I40,'Swiss2 Registry'!$B$2:$C$703,2,False)</f>
        <v>choicescarf002</v>
      </c>
      <c r="H40" s="84">
        <f t="shared" si="5"/>
        <v>314</v>
      </c>
      <c r="I40" s="84">
        <f>VLOOKUP(H40,'Swiss2 Registry'!$A$2:$B$703,2,False)</f>
        <v>504</v>
      </c>
      <c r="J40" s="93" t="s">
        <v>1805</v>
      </c>
      <c r="K40" s="108" t="str">
        <f t="array" ref="K40">XLOOKUP(CELL("contents",C40),'Swiss Registry'!$B$2:$B$703,'Swiss Registry'!$N$2:$N$703) </f>
        <v>895466276191862855</v>
      </c>
      <c r="L40" s="109" t="str">
        <f t="array" ref="L40">XLOOKUP(CELL("contents",G40),'Swiss Registry'!$B$2:$B$703,'Swiss Registry'!$N$2:$N$703) </f>
        <v>359154373063999490</v>
      </c>
    </row>
    <row r="41">
      <c r="A41" s="84">
        <f t="shared" si="4"/>
        <v>38</v>
      </c>
      <c r="B41" s="84">
        <f>VLOOKUP(A41,'Swiss2 Registry'!$A$2:$B$703,2,False)</f>
        <v>47</v>
      </c>
      <c r="C41" s="104" t="str">
        <f>VLOOKUP(B41,'Swiss2 Registry'!$B$2:$C$703,2,False)</f>
        <v>Figull400</v>
      </c>
      <c r="D41" s="105" t="str">
        <f t="shared" si="1"/>
        <v>Game 1</v>
      </c>
      <c r="E41" s="106" t="str">
        <f t="shared" si="3"/>
        <v>Game 2</v>
      </c>
      <c r="F41" s="110" t="str">
        <f t="shared" si="2"/>
        <v>Game 3</v>
      </c>
      <c r="G41" s="104" t="str">
        <f>VLOOKUP(I41,'Swiss2 Registry'!$B$2:$C$703,2,False)</f>
        <v>Simonf</v>
      </c>
      <c r="H41" s="84">
        <f t="shared" si="5"/>
        <v>313</v>
      </c>
      <c r="I41" s="84">
        <f>VLOOKUP(H41,'Swiss2 Registry'!$A$2:$B$703,2,False)</f>
        <v>633</v>
      </c>
      <c r="J41" s="93" t="s">
        <v>1806</v>
      </c>
      <c r="K41" s="108" t="str">
        <f t="array" ref="K41">XLOOKUP(CELL("contents",C41),'Swiss Registry'!$B$2:$B$703,'Swiss Registry'!$N$2:$N$703) </f>
        <v>758667386822983680</v>
      </c>
      <c r="L41" s="109" t="str">
        <f t="array" ref="L41">XLOOKUP(CELL("contents",G41),'Swiss Registry'!$B$2:$B$703,'Swiss Registry'!$N$2:$N$703) </f>
        <v>158927868745744385</v>
      </c>
    </row>
    <row r="42" ht="15.0" customHeight="1">
      <c r="A42" s="80"/>
      <c r="B42" s="114"/>
      <c r="C42" s="115"/>
      <c r="D42" s="114"/>
      <c r="E42" s="82" t="s">
        <v>1492</v>
      </c>
      <c r="F42" s="81"/>
      <c r="G42" s="81"/>
      <c r="H42" s="80"/>
      <c r="I42" s="81"/>
      <c r="J42" s="83"/>
      <c r="K42" s="116" t="str">
        <f t="array" ref="K42">XLOOKUP(CELL("contents",C42),'Swiss Registry'!$B$2:$B$703,'Swiss Registry'!$N$2:$N$703) </f>
        <v>#N/A</v>
      </c>
      <c r="L42" s="117" t="str">
        <f t="array" ref="L42">XLOOKUP(CELL("contents",G42),'Swiss Registry'!$B$2:$B$703,'Swiss Registry'!$N$2:$N$703) </f>
        <v>#N/A</v>
      </c>
    </row>
    <row r="43">
      <c r="A43" s="84">
        <f>A41+1</f>
        <v>39</v>
      </c>
      <c r="B43" s="84">
        <f>VLOOKUP(A43,'Swiss2 Registry'!$A$2:$B$703,2,False)</f>
        <v>48</v>
      </c>
      <c r="C43" s="104" t="str">
        <f>VLOOKUP(B43,'Swiss2 Registry'!$B$2:$C$703,2,False)</f>
        <v>Don Tonionie</v>
      </c>
      <c r="D43" s="105" t="str">
        <f t="shared" ref="D43:D81" si="6">IF(J43="dead","",IF(J43="a:act","",IF(J43="b:act","",IF(ISURL(HYPERLINK(INDIRECT("Importer!B"&amp;MID(J43,2,4)+1,TRUE))),HYPERLINK(INDIRECT("Importer!B"&amp;MID(J43,2,4)+1,TRUE), "Game 1"),""))))</f>
        <v>Game 1</v>
      </c>
      <c r="E43" s="106" t="str">
        <f>IF(J43="dead","Dead Game",IF(J43="a:act","Act: "&amp;G43,IF(J43="b:act","Act: "&amp;#REF!,IF(ISURL(HYPERLINK(INDIRECT("Importer!B"&amp;MID(J43,6,4)+1,TRUE))),HYPERLINK(INDIRECT("Importer!B"&amp;MID(J43,6,4)+1,TRUE), "Game 2"),""))))</f>
        <v>Game 2</v>
      </c>
      <c r="F43" s="107" t="str">
        <f t="shared" ref="F43:F81" si="7">IF(J43="dead","",IF(J43="a:act","",IF(J43="b:act","",IF(ISURL(HYPERLINK(INDIRECT("Importer!B"&amp;MID(J43,10,4)+1,TRUE))),HYPERLINK(INDIRECT("Importer!B"&amp;MID(J43,10,4)+1,TRUE), "Game 3"),""))))</f>
        <v/>
      </c>
      <c r="G43" s="104" t="str">
        <f>VLOOKUP(I43,'Swiss2 Registry'!$B$2:$C$703,2,False)</f>
        <v>scurrying_snail</v>
      </c>
      <c r="H43" s="84">
        <f>H41-1</f>
        <v>312</v>
      </c>
      <c r="I43" s="84">
        <f>VLOOKUP(H43,'Swiss2 Registry'!$A$2:$B$703,2,False)</f>
        <v>612</v>
      </c>
      <c r="J43" s="83" t="s">
        <v>1807</v>
      </c>
      <c r="K43" s="108" t="str">
        <f t="array" ref="K43">XLOOKUP(CELL("contents",C43),'Swiss Registry'!$B$2:$B$703,'Swiss Registry'!$N$2:$N$703) </f>
        <v>281159058155634700</v>
      </c>
      <c r="L43" s="109" t="str">
        <f t="array" ref="L43">XLOOKUP(CELL("contents",G43),'Swiss Registry'!$B$2:$B$703,'Swiss Registry'!$N$2:$N$703) </f>
        <v>687841888950288396</v>
      </c>
    </row>
    <row r="44">
      <c r="A44" s="84">
        <f t="shared" ref="A44:A81" si="8">A43+1</f>
        <v>40</v>
      </c>
      <c r="B44" s="84">
        <f>VLOOKUP(A44,'Swiss2 Registry'!$A$2:$B$703,2,False)</f>
        <v>49</v>
      </c>
      <c r="C44" s="104" t="str">
        <f>VLOOKUP(B44,'Swiss2 Registry'!$B$2:$C$703,2,False)</f>
        <v>Bhol</v>
      </c>
      <c r="D44" s="105" t="str">
        <f t="shared" si="6"/>
        <v>Game 1</v>
      </c>
      <c r="E44" s="106" t="str">
        <f t="shared" ref="E44:E81" si="9">IF(J44="dead","Dead Game",IF(J44="a:act","Act: "&amp;C44,IF(J44="b:act","Act: "&amp;G44,IF(ISURL(HYPERLINK(INDIRECT("Importer!B"&amp;MID(J44,6,4)+1,TRUE))),HYPERLINK(INDIRECT("Importer!B"&amp;MID(J44,6,4)+1,TRUE), "Game 2"),""))))</f>
        <v>Game 2</v>
      </c>
      <c r="F44" s="107" t="str">
        <f t="shared" si="7"/>
        <v/>
      </c>
      <c r="G44" s="104" t="str">
        <f>VLOOKUP(I44,'Swiss2 Registry'!$B$2:$C$703,2,False)</f>
        <v>lucida</v>
      </c>
      <c r="H44" s="84">
        <f t="shared" ref="H44:H81" si="10">H43-1</f>
        <v>311</v>
      </c>
      <c r="I44" s="84">
        <f>VLOOKUP(H44,'Swiss2 Registry'!$A$2:$B$703,2,False)</f>
        <v>381</v>
      </c>
      <c r="J44" s="83" t="s">
        <v>1808</v>
      </c>
      <c r="K44" s="108" t="str">
        <f t="array" ref="K44">XLOOKUP(CELL("contents",C44),'Swiss Registry'!$B$2:$B$703,'Swiss Registry'!$N$2:$N$703) </f>
        <v>708350647879335966</v>
      </c>
      <c r="L44" s="109" t="str">
        <f t="array" ref="L44">XLOOKUP(CELL("contents",G44),'Swiss Registry'!$B$2:$B$703,'Swiss Registry'!$N$2:$N$703) </f>
        <v>98218676867596288</v>
      </c>
    </row>
    <row r="45">
      <c r="A45" s="84">
        <f t="shared" si="8"/>
        <v>41</v>
      </c>
      <c r="B45" s="84">
        <f>VLOOKUP(A45,'Swiss2 Registry'!$A$2:$B$703,2,False)</f>
        <v>50</v>
      </c>
      <c r="C45" s="104" t="str">
        <f>VLOOKUP(B45,'Swiss2 Registry'!$B$2:$C$703,2,False)</f>
        <v>xTina</v>
      </c>
      <c r="D45" s="105" t="str">
        <f t="shared" si="6"/>
        <v>Game 1</v>
      </c>
      <c r="E45" s="106" t="str">
        <f t="shared" si="9"/>
        <v>Game 2</v>
      </c>
      <c r="F45" s="110" t="str">
        <f t="shared" si="7"/>
        <v>Game 3</v>
      </c>
      <c r="G45" s="104" t="str">
        <f>VLOOKUP(I45,'Swiss2 Registry'!$B$2:$C$703,2,False)</f>
        <v>dhgss</v>
      </c>
      <c r="H45" s="84">
        <f t="shared" si="10"/>
        <v>310</v>
      </c>
      <c r="I45" s="84">
        <f>VLOOKUP(H45,'Swiss2 Registry'!$A$2:$B$703,2,False)</f>
        <v>338</v>
      </c>
      <c r="J45" s="83" t="s">
        <v>1809</v>
      </c>
      <c r="K45" s="108" t="str">
        <f t="array" ref="K45">XLOOKUP(CELL("contents",C45),'Swiss Registry'!$B$2:$B$703,'Swiss Registry'!$N$2:$N$703) </f>
        <v>157273003971969025</v>
      </c>
      <c r="L45" s="109" t="str">
        <f t="array" ref="L45">XLOOKUP(CELL("contents",G45),'Swiss Registry'!$B$2:$B$703,'Swiss Registry'!$N$2:$N$703) </f>
        <v>158287368925872129</v>
      </c>
    </row>
    <row r="46">
      <c r="A46" s="84">
        <f t="shared" si="8"/>
        <v>42</v>
      </c>
      <c r="B46" s="84">
        <f>VLOOKUP(A46,'Swiss2 Registry'!$A$2:$B$703,2,False)</f>
        <v>51</v>
      </c>
      <c r="C46" s="104" t="str">
        <f>VLOOKUP(B46,'Swiss2 Registry'!$B$2:$C$703,2,False)</f>
        <v>Texas Cloverleaf</v>
      </c>
      <c r="D46" s="105" t="str">
        <f t="shared" si="6"/>
        <v>Game 1</v>
      </c>
      <c r="E46" s="106" t="str">
        <f t="shared" si="9"/>
        <v>Game 2</v>
      </c>
      <c r="F46" s="110" t="str">
        <f t="shared" si="7"/>
        <v>Game 3</v>
      </c>
      <c r="G46" s="104" t="str">
        <f>VLOOKUP(I46,'Swiss2 Registry'!$B$2:$C$703,2,False)</f>
        <v>swaggy001066</v>
      </c>
      <c r="H46" s="84">
        <f t="shared" si="10"/>
        <v>309</v>
      </c>
      <c r="I46" s="84">
        <f>VLOOKUP(H46,'Swiss2 Registry'!$A$2:$B$703,2,False)</f>
        <v>132</v>
      </c>
      <c r="J46" s="83" t="s">
        <v>1810</v>
      </c>
      <c r="K46" s="108" t="str">
        <f t="array" ref="K46">XLOOKUP(CELL("contents",C46),'Swiss Registry'!$B$2:$B$703,'Swiss Registry'!$N$2:$N$703) </f>
        <v>166991049653223424</v>
      </c>
      <c r="L46" s="109" t="str">
        <f t="array" ref="L46">XLOOKUP(CELL("contents",G46),'Swiss Registry'!$B$2:$B$703,'Swiss Registry'!$N$2:$N$703) </f>
        <v>1003019485395042344</v>
      </c>
    </row>
    <row r="47">
      <c r="A47" s="84">
        <f t="shared" si="8"/>
        <v>43</v>
      </c>
      <c r="B47" s="84">
        <f>VLOOKUP(A47,'Swiss2 Registry'!$A$2:$B$703,2,False)</f>
        <v>52</v>
      </c>
      <c r="C47" s="104" t="str">
        <f>VLOOKUP(B47,'Swiss2 Registry'!$B$2:$C$703,2,False)</f>
        <v>OOZ</v>
      </c>
      <c r="D47" s="105" t="str">
        <f t="shared" si="6"/>
        <v>Game 1</v>
      </c>
      <c r="E47" s="106" t="str">
        <f t="shared" si="9"/>
        <v>Game 2</v>
      </c>
      <c r="F47" s="107" t="str">
        <f t="shared" si="7"/>
        <v/>
      </c>
      <c r="G47" s="104" t="str">
        <f>VLOOKUP(I47,'Swiss2 Registry'!$B$2:$C$703,2,False)</f>
        <v>jankcity</v>
      </c>
      <c r="H47" s="84">
        <f t="shared" si="10"/>
        <v>308</v>
      </c>
      <c r="I47" s="84">
        <f>VLOOKUP(H47,'Swiss2 Registry'!$A$2:$B$703,2,False)</f>
        <v>698</v>
      </c>
      <c r="J47" s="83" t="s">
        <v>1811</v>
      </c>
      <c r="K47" s="108" t="str">
        <f t="array" ref="K47">XLOOKUP(CELL("contents",C47),'Swiss Registry'!$B$2:$B$703,'Swiss Registry'!$N$2:$N$703) </f>
        <v>163395445421244418</v>
      </c>
      <c r="L47" s="109" t="str">
        <f t="array" ref="L47">XLOOKUP(CELL("contents",G47),'Swiss Registry'!$B$2:$B$703,'Swiss Registry'!$N$2:$N$703) </f>
        <v>532236765914988557</v>
      </c>
    </row>
    <row r="48">
      <c r="A48" s="84">
        <f t="shared" si="8"/>
        <v>44</v>
      </c>
      <c r="B48" s="84">
        <f>VLOOKUP(A48,'Swiss2 Registry'!$A$2:$B$703,2,False)</f>
        <v>53</v>
      </c>
      <c r="C48" s="104" t="str">
        <f>VLOOKUP(B48,'Swiss2 Registry'!$B$2:$C$703,2,False)</f>
        <v>Evakiyama</v>
      </c>
      <c r="D48" s="105" t="str">
        <f t="shared" si="6"/>
        <v>Game 1</v>
      </c>
      <c r="E48" s="106" t="str">
        <f t="shared" si="9"/>
        <v>Game 2</v>
      </c>
      <c r="F48" s="107" t="str">
        <f t="shared" si="7"/>
        <v/>
      </c>
      <c r="G48" s="104" t="str">
        <f>VLOOKUP(I48,'Swiss2 Registry'!$B$2:$C$703,2,False)</f>
        <v>Axselo</v>
      </c>
      <c r="H48" s="84">
        <f t="shared" si="10"/>
        <v>307</v>
      </c>
      <c r="I48" s="84">
        <f>VLOOKUP(H48,'Swiss2 Registry'!$A$2:$B$703,2,False)</f>
        <v>215</v>
      </c>
      <c r="J48" s="83" t="s">
        <v>1812</v>
      </c>
      <c r="K48" s="108" t="str">
        <f t="array" ref="K48">XLOOKUP(CELL("contents",C48),'Swiss Registry'!$B$2:$B$703,'Swiss Registry'!$N$2:$N$703) </f>
        <v>379787698799640576</v>
      </c>
      <c r="L48" s="109" t="str">
        <f t="array" ref="L48">XLOOKUP(CELL("contents",G48),'Swiss Registry'!$B$2:$B$703,'Swiss Registry'!$N$2:$N$703) </f>
        <v>627180078048215060</v>
      </c>
    </row>
    <row r="49">
      <c r="A49" s="84">
        <f t="shared" si="8"/>
        <v>45</v>
      </c>
      <c r="B49" s="84">
        <f>VLOOKUP(A49,'Swiss2 Registry'!$A$2:$B$703,2,False)</f>
        <v>54</v>
      </c>
      <c r="C49" s="104" t="str">
        <f>VLOOKUP(B49,'Swiss2 Registry'!$B$2:$C$703,2,False)</f>
        <v>Futtoka</v>
      </c>
      <c r="D49" s="105" t="str">
        <f t="shared" si="6"/>
        <v>Game 1</v>
      </c>
      <c r="E49" s="106" t="str">
        <f t="shared" si="9"/>
        <v>Game 2</v>
      </c>
      <c r="F49" s="107" t="str">
        <f t="shared" si="7"/>
        <v/>
      </c>
      <c r="G49" s="104" t="str">
        <f>VLOOKUP(I49,'Swiss2 Registry'!$B$2:$C$703,2,False)</f>
        <v>moistmania</v>
      </c>
      <c r="H49" s="84">
        <f t="shared" si="10"/>
        <v>306</v>
      </c>
      <c r="I49" s="84">
        <f>VLOOKUP(H49,'Swiss2 Registry'!$A$2:$B$703,2,False)</f>
        <v>257</v>
      </c>
      <c r="J49" s="83" t="s">
        <v>1813</v>
      </c>
      <c r="K49" s="108" t="str">
        <f t="array" ref="K49">XLOOKUP(CELL("contents",C49),'Swiss Registry'!$B$2:$B$703,'Swiss Registry'!$N$2:$N$703) </f>
        <v>1161228067637833728</v>
      </c>
      <c r="L49" s="109" t="str">
        <f t="array" ref="L49">XLOOKUP(CELL("contents",G49),'Swiss Registry'!$B$2:$B$703,'Swiss Registry'!$N$2:$N$703) </f>
        <v>1133736210683150467</v>
      </c>
    </row>
    <row r="50">
      <c r="A50" s="84">
        <f t="shared" si="8"/>
        <v>46</v>
      </c>
      <c r="B50" s="84">
        <f>VLOOKUP(A50,'Swiss2 Registry'!$A$2:$B$703,2,False)</f>
        <v>55</v>
      </c>
      <c r="C50" s="104" t="str">
        <f>VLOOKUP(B50,'Swiss2 Registry'!$B$2:$C$703,2,False)</f>
        <v>Kai (aplgd)</v>
      </c>
      <c r="D50" s="105" t="str">
        <f t="shared" si="6"/>
        <v>Game 1</v>
      </c>
      <c r="E50" s="106" t="str">
        <f t="shared" si="9"/>
        <v>Game 2</v>
      </c>
      <c r="F50" s="107" t="str">
        <f t="shared" si="7"/>
        <v/>
      </c>
      <c r="G50" s="104" t="str">
        <f>VLOOKUP(I50,'Swiss2 Registry'!$B$2:$C$703,2,False)</f>
        <v>Melee Minion</v>
      </c>
      <c r="H50" s="84">
        <f t="shared" si="10"/>
        <v>305</v>
      </c>
      <c r="I50" s="84">
        <f>VLOOKUP(H50,'Swiss2 Registry'!$A$2:$B$703,2,False)</f>
        <v>319</v>
      </c>
      <c r="J50" s="83" t="s">
        <v>1814</v>
      </c>
      <c r="K50" s="108" t="str">
        <f t="array" ref="K50">XLOOKUP(CELL("contents",C50),'Swiss Registry'!$B$2:$B$703,'Swiss Registry'!$N$2:$N$703) </f>
        <v>782951193495207938</v>
      </c>
      <c r="L50" s="109" t="str">
        <f t="array" ref="L50">XLOOKUP(CELL("contents",G50),'Swiss Registry'!$B$2:$B$703,'Swiss Registry'!$N$2:$N$703) </f>
        <v>140705872316858369</v>
      </c>
    </row>
    <row r="51">
      <c r="A51" s="84">
        <f t="shared" si="8"/>
        <v>47</v>
      </c>
      <c r="B51" s="84">
        <f>VLOOKUP(A51,'Swiss2 Registry'!$A$2:$B$703,2,False)</f>
        <v>56</v>
      </c>
      <c r="C51" s="104" t="str">
        <f>VLOOKUP(B51,'Swiss2 Registry'!$B$2:$C$703,2,False)</f>
        <v>Vayun</v>
      </c>
      <c r="D51" s="105" t="str">
        <f t="shared" si="6"/>
        <v>Game 1</v>
      </c>
      <c r="E51" s="106" t="str">
        <f t="shared" si="9"/>
        <v>Game 2</v>
      </c>
      <c r="F51" s="107" t="str">
        <f t="shared" si="7"/>
        <v/>
      </c>
      <c r="G51" s="104" t="str">
        <f>VLOOKUP(I51,'Swiss2 Registry'!$B$2:$C$703,2,False)</f>
        <v>nekuyagokoro</v>
      </c>
      <c r="H51" s="84">
        <f t="shared" si="10"/>
        <v>304</v>
      </c>
      <c r="I51" s="84">
        <f>VLOOKUP(H51,'Swiss2 Registry'!$A$2:$B$703,2,False)</f>
        <v>179</v>
      </c>
      <c r="J51" s="83" t="s">
        <v>1815</v>
      </c>
      <c r="K51" s="108" t="str">
        <f t="array" ref="K51">XLOOKUP(CELL("contents",C51),'Swiss Registry'!$B$2:$B$703,'Swiss Registry'!$N$2:$N$703) </f>
        <v>773919415153983489</v>
      </c>
      <c r="L51" s="109" t="str">
        <f t="array" ref="L51">XLOOKUP(CELL("contents",G51),'Swiss Registry'!$B$2:$B$703,'Swiss Registry'!$N$2:$N$703) </f>
        <v>138449766794133504</v>
      </c>
    </row>
    <row r="52">
      <c r="A52" s="84">
        <f t="shared" si="8"/>
        <v>48</v>
      </c>
      <c r="B52" s="84">
        <f>VLOOKUP(A52,'Swiss2 Registry'!$A$2:$B$703,2,False)</f>
        <v>57</v>
      </c>
      <c r="C52" s="104" t="str">
        <f>VLOOKUP(B52,'Swiss2 Registry'!$B$2:$C$703,2,False)</f>
        <v>MeEsSm</v>
      </c>
      <c r="D52" s="105" t="str">
        <f t="shared" si="6"/>
        <v>Game 1</v>
      </c>
      <c r="E52" s="106" t="str">
        <f t="shared" si="9"/>
        <v>Game 2</v>
      </c>
      <c r="F52" s="110" t="str">
        <f t="shared" si="7"/>
        <v>Game 3</v>
      </c>
      <c r="G52" s="104" t="str">
        <f>VLOOKUP(I52,'Swiss2 Registry'!$B$2:$C$703,2,False)</f>
        <v>resen</v>
      </c>
      <c r="H52" s="84">
        <f t="shared" si="10"/>
        <v>303</v>
      </c>
      <c r="I52" s="84">
        <f>VLOOKUP(H52,'Swiss2 Registry'!$A$2:$B$703,2,False)</f>
        <v>244</v>
      </c>
      <c r="J52" s="83" t="s">
        <v>1816</v>
      </c>
      <c r="K52" s="108" t="str">
        <f t="array" ref="K52">XLOOKUP(CELL("contents",C52),'Swiss Registry'!$B$2:$B$703,'Swiss Registry'!$N$2:$N$703) </f>
        <v>316388400540286978</v>
      </c>
      <c r="L52" s="109" t="str">
        <f t="array" ref="L52">XLOOKUP(CELL("contents",G52),'Swiss Registry'!$B$2:$B$703,'Swiss Registry'!$N$2:$N$703) </f>
        <v>348536721010458635</v>
      </c>
    </row>
    <row r="53">
      <c r="A53" s="84">
        <f t="shared" si="8"/>
        <v>49</v>
      </c>
      <c r="B53" s="84">
        <f>VLOOKUP(A53,'Swiss2 Registry'!$A$2:$B$703,2,False)</f>
        <v>58</v>
      </c>
      <c r="C53" s="104" t="str">
        <f>VLOOKUP(B53,'Swiss2 Registry'!$B$2:$C$703,2,False)</f>
        <v>kingofironfrisk</v>
      </c>
      <c r="D53" s="105" t="str">
        <f t="shared" si="6"/>
        <v>Game 1</v>
      </c>
      <c r="E53" s="106" t="str">
        <f t="shared" si="9"/>
        <v>Game 2</v>
      </c>
      <c r="F53" s="110" t="str">
        <f t="shared" si="7"/>
        <v>Game 3</v>
      </c>
      <c r="G53" s="104" t="str">
        <f>VLOOKUP(I53,'Swiss2 Registry'!$B$2:$C$703,2,False)</f>
        <v>triiplemonstre</v>
      </c>
      <c r="H53" s="84">
        <f t="shared" si="10"/>
        <v>302</v>
      </c>
      <c r="I53" s="84">
        <f>VLOOKUP(H53,'Swiss2 Registry'!$A$2:$B$703,2,False)</f>
        <v>168</v>
      </c>
      <c r="J53" s="83" t="s">
        <v>1817</v>
      </c>
      <c r="K53" s="108" t="str">
        <f t="array" ref="K53">XLOOKUP(CELL("contents",C53),'Swiss Registry'!$B$2:$B$703,'Swiss Registry'!$N$2:$N$703) </f>
        <v>232531609293684746</v>
      </c>
      <c r="L53" s="109" t="str">
        <f t="array" ref="L53">XLOOKUP(CELL("contents",G53),'Swiss Registry'!$B$2:$B$703,'Swiss Registry'!$N$2:$N$703) </f>
        <v>495893557526134784</v>
      </c>
    </row>
    <row r="54">
      <c r="A54" s="84">
        <f t="shared" si="8"/>
        <v>50</v>
      </c>
      <c r="B54" s="84">
        <f>VLOOKUP(A54,'Swiss2 Registry'!$A$2:$B$703,2,False)</f>
        <v>59</v>
      </c>
      <c r="C54" s="104" t="str">
        <f>VLOOKUP(B54,'Swiss2 Registry'!$B$2:$C$703,2,False)</f>
        <v>OopsAllDeoxys</v>
      </c>
      <c r="D54" s="105" t="str">
        <f t="shared" si="6"/>
        <v>Game 1</v>
      </c>
      <c r="E54" s="106" t="str">
        <f t="shared" si="9"/>
        <v>Game 2</v>
      </c>
      <c r="F54" s="110" t="str">
        <f t="shared" si="7"/>
        <v>Game 3</v>
      </c>
      <c r="G54" s="104" t="str">
        <f>VLOOKUP(I54,'Swiss2 Registry'!$B$2:$C$703,2,False)</f>
        <v>terradayy</v>
      </c>
      <c r="H54" s="84">
        <f t="shared" si="10"/>
        <v>301</v>
      </c>
      <c r="I54" s="84">
        <f>VLOOKUP(H54,'Swiss2 Registry'!$A$2:$B$703,2,False)</f>
        <v>341</v>
      </c>
      <c r="J54" s="83" t="s">
        <v>1818</v>
      </c>
      <c r="K54" s="108" t="str">
        <f t="array" ref="K54">XLOOKUP(CELL("contents",C54),'Swiss Registry'!$B$2:$B$703,'Swiss Registry'!$N$2:$N$703) </f>
        <v>528307805422223380</v>
      </c>
      <c r="L54" s="109" t="str">
        <f t="array" ref="L54">XLOOKUP(CELL("contents",G54),'Swiss Registry'!$B$2:$B$703,'Swiss Registry'!$N$2:$N$703) </f>
        <v>167777634267168768</v>
      </c>
    </row>
    <row r="55">
      <c r="A55" s="84">
        <f t="shared" si="8"/>
        <v>51</v>
      </c>
      <c r="B55" s="84">
        <f>VLOOKUP(A55,'Swiss2 Registry'!$A$2:$B$703,2,False)</f>
        <v>60</v>
      </c>
      <c r="C55" s="104" t="str">
        <f>VLOOKUP(B55,'Swiss2 Registry'!$B$2:$C$703,2,False)</f>
        <v>Exiline</v>
      </c>
      <c r="D55" s="105" t="str">
        <f t="shared" si="6"/>
        <v>Game 1</v>
      </c>
      <c r="E55" s="106" t="str">
        <f t="shared" si="9"/>
        <v>Game 2</v>
      </c>
      <c r="F55" s="107" t="str">
        <f t="shared" si="7"/>
        <v/>
      </c>
      <c r="G55" s="104" t="str">
        <f>VLOOKUP(I55,'Swiss2 Registry'!$B$2:$C$703,2,False)</f>
        <v>witgiz</v>
      </c>
      <c r="H55" s="84">
        <f t="shared" si="10"/>
        <v>300</v>
      </c>
      <c r="I55" s="84">
        <f>VLOOKUP(H55,'Swiss2 Registry'!$A$2:$B$703,2,False)</f>
        <v>588</v>
      </c>
      <c r="J55" s="83" t="s">
        <v>1819</v>
      </c>
      <c r="K55" s="108" t="str">
        <f t="array" ref="K55">XLOOKUP(CELL("contents",C55),'Swiss Registry'!$B$2:$B$703,'Swiss Registry'!$N$2:$N$703) </f>
        <v>155646670988640258</v>
      </c>
      <c r="L55" s="109" t="str">
        <f t="array" ref="L55">XLOOKUP(CELL("contents",G55),'Swiss Registry'!$B$2:$B$703,'Swiss Registry'!$N$2:$N$703) </f>
        <v>745414414429192303</v>
      </c>
    </row>
    <row r="56">
      <c r="A56" s="84">
        <f t="shared" si="8"/>
        <v>52</v>
      </c>
      <c r="B56" s="84">
        <f>VLOOKUP(A56,'Swiss2 Registry'!$A$2:$B$703,2,False)</f>
        <v>64</v>
      </c>
      <c r="C56" s="104" t="str">
        <f>VLOOKUP(B56,'Swiss2 Registry'!$B$2:$C$703,2,False)</f>
        <v>xGangg</v>
      </c>
      <c r="D56" s="105" t="str">
        <f t="shared" si="6"/>
        <v>Game 1</v>
      </c>
      <c r="E56" s="106" t="str">
        <f t="shared" si="9"/>
        <v>Game 2</v>
      </c>
      <c r="F56" s="107" t="str">
        <f t="shared" si="7"/>
        <v/>
      </c>
      <c r="G56" s="104" t="str">
        <f>VLOOKUP(I56,'Swiss2 Registry'!$B$2:$C$703,2,False)</f>
        <v>oskari1707</v>
      </c>
      <c r="H56" s="84">
        <f t="shared" si="10"/>
        <v>299</v>
      </c>
      <c r="I56" s="84">
        <f>VLOOKUP(H56,'Swiss2 Registry'!$A$2:$B$703,2,False)</f>
        <v>517</v>
      </c>
      <c r="J56" s="83" t="s">
        <v>1820</v>
      </c>
      <c r="K56" s="108" t="str">
        <f t="array" ref="K56">XLOOKUP(CELL("contents",C56),'Swiss Registry'!$B$2:$B$703,'Swiss Registry'!$N$2:$N$703) </f>
        <v>219915887254175744</v>
      </c>
      <c r="L56" s="109" t="str">
        <f t="array" ref="L56">XLOOKUP(CELL("contents",G56),'Swiss Registry'!$B$2:$B$703,'Swiss Registry'!$N$2:$N$703) </f>
        <v>920018351684730910</v>
      </c>
    </row>
    <row r="57">
      <c r="A57" s="84">
        <f t="shared" si="8"/>
        <v>53</v>
      </c>
      <c r="B57" s="84">
        <f>VLOOKUP(A57,'Swiss2 Registry'!$A$2:$B$703,2,False)</f>
        <v>65</v>
      </c>
      <c r="C57" s="104" t="str">
        <f>VLOOKUP(B57,'Swiss2 Registry'!$B$2:$C$703,2,False)</f>
        <v>shawtyyyyyyy</v>
      </c>
      <c r="D57" s="105" t="str">
        <f t="shared" si="6"/>
        <v>Game 1</v>
      </c>
      <c r="E57" s="106" t="str">
        <f t="shared" si="9"/>
        <v>Game 2</v>
      </c>
      <c r="F57" s="110" t="str">
        <f t="shared" si="7"/>
        <v>Game 3</v>
      </c>
      <c r="G57" s="104" t="str">
        <f>VLOOKUP(I57,'Swiss2 Registry'!$B$2:$C$703,2,False)</f>
        <v>danielsemmson</v>
      </c>
      <c r="H57" s="84">
        <f t="shared" si="10"/>
        <v>298</v>
      </c>
      <c r="I57" s="84">
        <f>VLOOKUP(H57,'Swiss2 Registry'!$A$2:$B$703,2,False)</f>
        <v>141</v>
      </c>
      <c r="J57" s="83" t="s">
        <v>1821</v>
      </c>
      <c r="K57" s="108" t="str">
        <f t="array" ref="K57">XLOOKUP(CELL("contents",C57),'Swiss Registry'!$B$2:$B$703,'Swiss Registry'!$N$2:$N$703) </f>
        <v>721487439847358505</v>
      </c>
      <c r="L57" s="109" t="str">
        <f t="array" ref="L57">XLOOKUP(CELL("contents",G57),'Swiss Registry'!$B$2:$B$703,'Swiss Registry'!$N$2:$N$703) </f>
        <v>1128107355633107014</v>
      </c>
    </row>
    <row r="58">
      <c r="A58" s="84">
        <f t="shared" si="8"/>
        <v>54</v>
      </c>
      <c r="B58" s="84">
        <f>VLOOKUP(A58,'Swiss2 Registry'!$A$2:$B$703,2,False)</f>
        <v>66</v>
      </c>
      <c r="C58" s="104" t="str">
        <f>VLOOKUP(B58,'Swiss2 Registry'!$B$2:$C$703,2,False)</f>
        <v>Mackenzie</v>
      </c>
      <c r="D58" s="105" t="str">
        <f t="shared" si="6"/>
        <v>Game 1</v>
      </c>
      <c r="E58" s="106" t="str">
        <f t="shared" si="9"/>
        <v>Game 2</v>
      </c>
      <c r="F58" s="110" t="str">
        <f t="shared" si="7"/>
        <v>Game 3</v>
      </c>
      <c r="G58" s="104" t="str">
        <f>VLOOKUP(I58,'Swiss2 Registry'!$B$2:$C$703,2,False)</f>
        <v>@spreek</v>
      </c>
      <c r="H58" s="84">
        <f t="shared" si="10"/>
        <v>297</v>
      </c>
      <c r="I58" s="84">
        <f>VLOOKUP(H58,'Swiss2 Registry'!$A$2:$B$703,2,False)</f>
        <v>640</v>
      </c>
      <c r="J58" s="83" t="s">
        <v>1822</v>
      </c>
      <c r="K58" s="108" t="str">
        <f t="array" ref="K58">XLOOKUP(CELL("contents",C58),'Swiss Registry'!$B$2:$B$703,'Swiss Registry'!$N$2:$N$703) </f>
        <v>173519000842534913</v>
      </c>
      <c r="L58" s="109" t="str">
        <f t="array" ref="L58">XLOOKUP(CELL("contents",G58),'Swiss Registry'!$B$2:$B$703,'Swiss Registry'!$N$2:$N$703) </f>
        <v>136272881666621440</v>
      </c>
    </row>
    <row r="59">
      <c r="A59" s="84">
        <f t="shared" si="8"/>
        <v>55</v>
      </c>
      <c r="B59" s="84">
        <f>VLOOKUP(A59,'Swiss2 Registry'!$A$2:$B$703,2,False)</f>
        <v>69</v>
      </c>
      <c r="C59" s="104" t="str">
        <f>VLOOKUP(B59,'Swiss2 Registry'!$B$2:$C$703,2,False)</f>
        <v>Alice</v>
      </c>
      <c r="D59" s="105" t="str">
        <f t="shared" si="6"/>
        <v>Game 1</v>
      </c>
      <c r="E59" s="106" t="str">
        <f t="shared" si="9"/>
        <v>Game 2</v>
      </c>
      <c r="F59" s="107" t="str">
        <f t="shared" si="7"/>
        <v/>
      </c>
      <c r="G59" s="104" t="str">
        <f>VLOOKUP(I59,'Swiss2 Registry'!$B$2:$C$703,2,False)</f>
        <v>Kenuckz</v>
      </c>
      <c r="H59" s="84">
        <f t="shared" si="10"/>
        <v>296</v>
      </c>
      <c r="I59" s="84">
        <f>VLOOKUP(H59,'Swiss2 Registry'!$A$2:$B$703,2,False)</f>
        <v>567</v>
      </c>
      <c r="J59" s="83" t="s">
        <v>1823</v>
      </c>
      <c r="K59" s="108" t="str">
        <f t="array" ref="K59">XLOOKUP(CELL("contents",C59),'Swiss Registry'!$B$2:$B$703,'Swiss Registry'!$N$2:$N$703) </f>
        <v>236760957034954753</v>
      </c>
      <c r="L59" s="109" t="str">
        <f t="array" ref="L59">XLOOKUP(CELL("contents",G59),'Swiss Registry'!$B$2:$B$703,'Swiss Registry'!$N$2:$N$703) </f>
        <v>152582039177134080</v>
      </c>
    </row>
    <row r="60">
      <c r="A60" s="84">
        <f t="shared" si="8"/>
        <v>56</v>
      </c>
      <c r="B60" s="84">
        <f>VLOOKUP(A60,'Swiss2 Registry'!$A$2:$B$703,2,False)</f>
        <v>71</v>
      </c>
      <c r="C60" s="104" t="str">
        <f>VLOOKUP(B60,'Swiss2 Registry'!$B$2:$C$703,2,False)</f>
        <v>Sanke Carp</v>
      </c>
      <c r="D60" s="105" t="str">
        <f t="shared" si="6"/>
        <v>Game 1</v>
      </c>
      <c r="E60" s="106" t="str">
        <f t="shared" si="9"/>
        <v>Game 2</v>
      </c>
      <c r="F60" s="110" t="str">
        <f t="shared" si="7"/>
        <v>Game 3</v>
      </c>
      <c r="G60" s="104" t="str">
        <f>VLOOKUP(I60,'Swiss2 Registry'!$B$2:$C$703,2,False)</f>
        <v>The_Badger1230</v>
      </c>
      <c r="H60" s="84">
        <f t="shared" si="10"/>
        <v>295</v>
      </c>
      <c r="I60" s="84">
        <f>VLOOKUP(H60,'Swiss2 Registry'!$A$2:$B$703,2,False)</f>
        <v>105</v>
      </c>
      <c r="J60" s="83" t="s">
        <v>1824</v>
      </c>
      <c r="K60" s="108" t="str">
        <f t="array" ref="K60">XLOOKUP(CELL("contents",C60),'Swiss Registry'!$B$2:$B$703,'Swiss Registry'!$N$2:$N$703) </f>
        <v>191955347160825856</v>
      </c>
      <c r="L60" s="109" t="str">
        <f t="array" ref="L60">XLOOKUP(CELL("contents",G60),'Swiss Registry'!$B$2:$B$703,'Swiss Registry'!$N$2:$N$703) </f>
        <v>615213996345131145</v>
      </c>
    </row>
    <row r="61">
      <c r="A61" s="84">
        <f t="shared" si="8"/>
        <v>57</v>
      </c>
      <c r="B61" s="84">
        <f>VLOOKUP(A61,'Swiss2 Registry'!$A$2:$B$703,2,False)</f>
        <v>73</v>
      </c>
      <c r="C61" s="104" t="str">
        <f>VLOOKUP(B61,'Swiss2 Registry'!$B$2:$C$703,2,False)</f>
        <v>Oathkeeper</v>
      </c>
      <c r="D61" s="105" t="str">
        <f t="shared" si="6"/>
        <v>Game 1</v>
      </c>
      <c r="E61" s="106" t="str">
        <f t="shared" si="9"/>
        <v>Game 2</v>
      </c>
      <c r="F61" s="107" t="str">
        <f t="shared" si="7"/>
        <v/>
      </c>
      <c r="G61" s="104" t="str">
        <f>VLOOKUP(I61,'Swiss2 Registry'!$B$2:$C$703,2,False)</f>
        <v>Attazer</v>
      </c>
      <c r="H61" s="84">
        <f t="shared" si="10"/>
        <v>294</v>
      </c>
      <c r="I61" s="84">
        <f>VLOOKUP(H61,'Swiss2 Registry'!$A$2:$B$703,2,False)</f>
        <v>260</v>
      </c>
      <c r="J61" s="83" t="s">
        <v>1825</v>
      </c>
      <c r="K61" s="108" t="str">
        <f t="array" ref="K61">XLOOKUP(CELL("contents",C61),'Swiss Registry'!$B$2:$B$703,'Swiss Registry'!$N$2:$N$703) </f>
        <v>332917759900123137</v>
      </c>
      <c r="L61" s="109" t="str">
        <f t="array" ref="L61">XLOOKUP(CELL("contents",G61),'Swiss Registry'!$B$2:$B$703,'Swiss Registry'!$N$2:$N$703) </f>
        <v>240653064753774592</v>
      </c>
    </row>
    <row r="62">
      <c r="A62" s="84">
        <f t="shared" si="8"/>
        <v>58</v>
      </c>
      <c r="B62" s="84">
        <f>VLOOKUP(A62,'Swiss2 Registry'!$A$2:$B$703,2,False)</f>
        <v>74</v>
      </c>
      <c r="C62" s="104" t="str">
        <f>VLOOKUP(B62,'Swiss2 Registry'!$B$2:$C$703,2,False)</f>
        <v>xXEricXx</v>
      </c>
      <c r="D62" s="105" t="str">
        <f t="shared" si="6"/>
        <v>Game 1</v>
      </c>
      <c r="E62" s="106" t="str">
        <f t="shared" si="9"/>
        <v>Game 2</v>
      </c>
      <c r="F62" s="107" t="str">
        <f t="shared" si="7"/>
        <v/>
      </c>
      <c r="G62" s="104" t="str">
        <f>VLOOKUP(I62,'Swiss2 Registry'!$B$2:$C$703,2,False)</f>
        <v>bohrier</v>
      </c>
      <c r="H62" s="84">
        <f t="shared" si="10"/>
        <v>293</v>
      </c>
      <c r="I62" s="84">
        <f>VLOOKUP(H62,'Swiss2 Registry'!$A$2:$B$703,2,False)</f>
        <v>350</v>
      </c>
      <c r="J62" s="83" t="s">
        <v>1826</v>
      </c>
      <c r="K62" s="108" t="str">
        <f t="array" ref="K62">XLOOKUP(CELL("contents",C62),'Swiss Registry'!$B$2:$B$703,'Swiss Registry'!$N$2:$N$703) </f>
        <v>188804001054064640</v>
      </c>
      <c r="L62" s="109" t="str">
        <f t="array" ref="L62">XLOOKUP(CELL("contents",G62),'Swiss Registry'!$B$2:$B$703,'Swiss Registry'!$N$2:$N$703) </f>
        <v>713435200469860403</v>
      </c>
    </row>
    <row r="63">
      <c r="A63" s="84">
        <f t="shared" si="8"/>
        <v>59</v>
      </c>
      <c r="B63" s="84">
        <f>VLOOKUP(A63,'Swiss2 Registry'!$A$2:$B$703,2,False)</f>
        <v>75</v>
      </c>
      <c r="C63" s="104" t="str">
        <f>VLOOKUP(B63,'Swiss2 Registry'!$B$2:$C$703,2,False)</f>
        <v>Marshy</v>
      </c>
      <c r="D63" s="105" t="str">
        <f t="shared" si="6"/>
        <v>Game 1</v>
      </c>
      <c r="E63" s="106" t="str">
        <f t="shared" si="9"/>
        <v>Game 2</v>
      </c>
      <c r="F63" s="110" t="str">
        <f t="shared" si="7"/>
        <v>Game 3</v>
      </c>
      <c r="G63" s="104" t="str">
        <f>VLOOKUP(I63,'Swiss2 Registry'!$B$2:$C$703,2,False)</f>
        <v>med470</v>
      </c>
      <c r="H63" s="84">
        <f t="shared" si="10"/>
        <v>292</v>
      </c>
      <c r="I63" s="84">
        <f>VLOOKUP(H63,'Swiss2 Registry'!$A$2:$B$703,2,False)</f>
        <v>479</v>
      </c>
      <c r="J63" s="83" t="s">
        <v>1827</v>
      </c>
      <c r="K63" s="108" t="str">
        <f t="array" ref="K63">XLOOKUP(CELL("contents",C63),'Swiss Registry'!$B$2:$B$703,'Swiss Registry'!$N$2:$N$703) </f>
        <v>322051190097575947</v>
      </c>
      <c r="L63" s="109" t="str">
        <f t="array" ref="L63">XLOOKUP(CELL("contents",G63),'Swiss Registry'!$B$2:$B$703,'Swiss Registry'!$N$2:$N$703) </f>
        <v>187473742010646531</v>
      </c>
    </row>
    <row r="64">
      <c r="A64" s="84">
        <f t="shared" si="8"/>
        <v>60</v>
      </c>
      <c r="B64" s="84">
        <f>VLOOKUP(A64,'Swiss2 Registry'!$A$2:$B$703,2,False)</f>
        <v>77</v>
      </c>
      <c r="C64" s="104" t="str">
        <f>VLOOKUP(B64,'Swiss2 Registry'!$B$2:$C$703,2,False)</f>
        <v>Churi</v>
      </c>
      <c r="D64" s="105" t="str">
        <f t="shared" si="6"/>
        <v>Game 1</v>
      </c>
      <c r="E64" s="106" t="str">
        <f t="shared" si="9"/>
        <v>Game 2</v>
      </c>
      <c r="F64" s="107" t="str">
        <f t="shared" si="7"/>
        <v/>
      </c>
      <c r="G64" s="104" t="str">
        <f>VLOOKUP(I64,'Swiss2 Registry'!$B$2:$C$703,2,False)</f>
        <v>voidvolta</v>
      </c>
      <c r="H64" s="84">
        <f t="shared" si="10"/>
        <v>291</v>
      </c>
      <c r="I64" s="84">
        <f>VLOOKUP(H64,'Swiss2 Registry'!$A$2:$B$703,2,False)</f>
        <v>278</v>
      </c>
      <c r="J64" s="83" t="s">
        <v>1828</v>
      </c>
      <c r="K64" s="108" t="str">
        <f t="array" ref="K64">XLOOKUP(CELL("contents",C64),'Swiss Registry'!$B$2:$B$703,'Swiss Registry'!$N$2:$N$703) </f>
        <v>740316248210014380</v>
      </c>
      <c r="L64" s="109" t="str">
        <f t="array" ref="L64">XLOOKUP(CELL("contents",G64),'Swiss Registry'!$B$2:$B$703,'Swiss Registry'!$N$2:$N$703) </f>
        <v>208590765159350273</v>
      </c>
    </row>
    <row r="65">
      <c r="A65" s="84">
        <f t="shared" si="8"/>
        <v>61</v>
      </c>
      <c r="B65" s="84">
        <f>VLOOKUP(A65,'Swiss2 Registry'!$A$2:$B$703,2,False)</f>
        <v>78</v>
      </c>
      <c r="C65" s="104" t="str">
        <f>VLOOKUP(B65,'Swiss2 Registry'!$B$2:$C$703,2,False)</f>
        <v>OOF_MAXIMA</v>
      </c>
      <c r="D65" s="105" t="str">
        <f t="shared" si="6"/>
        <v>Game 1</v>
      </c>
      <c r="E65" s="106" t="str">
        <f t="shared" si="9"/>
        <v>Game 2</v>
      </c>
      <c r="F65" s="107" t="str">
        <f t="shared" si="7"/>
        <v/>
      </c>
      <c r="G65" s="104" t="str">
        <f>VLOOKUP(I65,'Swiss2 Registry'!$B$2:$C$703,2,False)</f>
        <v>Papa Escargo</v>
      </c>
      <c r="H65" s="84">
        <f t="shared" si="10"/>
        <v>290</v>
      </c>
      <c r="I65" s="84">
        <f>VLOOKUP(H65,'Swiss2 Registry'!$A$2:$B$703,2,False)</f>
        <v>276</v>
      </c>
      <c r="J65" s="83" t="s">
        <v>1829</v>
      </c>
      <c r="K65" s="108" t="str">
        <f t="array" ref="K65">XLOOKUP(CELL("contents",C65),'Swiss Registry'!$B$2:$B$703,'Swiss Registry'!$N$2:$N$703) </f>
        <v>400765707467620362</v>
      </c>
      <c r="L65" s="109" t="str">
        <f t="array" ref="L65">XLOOKUP(CELL("contents",G65),'Swiss Registry'!$B$2:$B$703,'Swiss Registry'!$N$2:$N$703) </f>
        <v>510329516531515427</v>
      </c>
    </row>
    <row r="66">
      <c r="A66" s="84">
        <f t="shared" si="8"/>
        <v>62</v>
      </c>
      <c r="B66" s="84">
        <f>VLOOKUP(A66,'Swiss2 Registry'!$A$2:$B$703,2,False)</f>
        <v>79</v>
      </c>
      <c r="C66" s="104" t="str">
        <f>VLOOKUP(B66,'Swiss2 Registry'!$B$2:$C$703,2,False)</f>
        <v>Buzzed</v>
      </c>
      <c r="D66" s="105" t="str">
        <f t="shared" si="6"/>
        <v>Game 1</v>
      </c>
      <c r="E66" s="106" t="str">
        <f t="shared" si="9"/>
        <v>Game 2</v>
      </c>
      <c r="F66" s="107" t="str">
        <f t="shared" si="7"/>
        <v/>
      </c>
      <c r="G66" s="104" t="str">
        <f>VLOOKUP(I66,'Swiss2 Registry'!$B$2:$C$703,2,False)</f>
        <v>mmtimmo</v>
      </c>
      <c r="H66" s="84">
        <f t="shared" si="10"/>
        <v>289</v>
      </c>
      <c r="I66" s="84">
        <f>VLOOKUP(H66,'Swiss2 Registry'!$A$2:$B$703,2,False)</f>
        <v>500</v>
      </c>
      <c r="J66" s="83" t="s">
        <v>1830</v>
      </c>
      <c r="K66" s="108" t="str">
        <f t="array" ref="K66">XLOOKUP(CELL("contents",C66),'Swiss Registry'!$B$2:$B$703,'Swiss Registry'!$N$2:$N$703) </f>
        <v>103393211443085312</v>
      </c>
      <c r="L66" s="109" t="str">
        <f t="array" ref="L66">XLOOKUP(CELL("contents",G66),'Swiss Registry'!$B$2:$B$703,'Swiss Registry'!$N$2:$N$703) </f>
        <v>201614901452603392</v>
      </c>
    </row>
    <row r="67">
      <c r="A67" s="84">
        <f t="shared" si="8"/>
        <v>63</v>
      </c>
      <c r="B67" s="84">
        <f>VLOOKUP(A67,'Swiss2 Registry'!$A$2:$B$703,2,False)</f>
        <v>80</v>
      </c>
      <c r="C67" s="104" t="str">
        <f>VLOOKUP(B67,'Swiss2 Registry'!$B$2:$C$703,2,False)</f>
        <v>Incognition</v>
      </c>
      <c r="D67" s="111" t="str">
        <f t="shared" si="6"/>
        <v/>
      </c>
      <c r="E67" s="112" t="str">
        <f t="shared" si="9"/>
        <v>Act: Incognition</v>
      </c>
      <c r="F67" s="107" t="str">
        <f t="shared" si="7"/>
        <v/>
      </c>
      <c r="G67" s="104" t="str">
        <f>VLOOKUP(I67,'Swiss2 Registry'!$B$2:$C$703,2,False)</f>
        <v>Tiberiusfieri</v>
      </c>
      <c r="H67" s="84">
        <f t="shared" si="10"/>
        <v>288</v>
      </c>
      <c r="I67" s="84">
        <f>VLOOKUP(H67,'Swiss2 Registry'!$A$2:$B$703,2,False)</f>
        <v>334</v>
      </c>
      <c r="J67" s="83" t="s">
        <v>1475</v>
      </c>
      <c r="K67" s="108" t="str">
        <f t="array" ref="K67">XLOOKUP(CELL("contents",C67),'Swiss Registry'!$B$2:$B$703,'Swiss Registry'!$N$2:$N$703) </f>
        <v>248186612213612546</v>
      </c>
      <c r="L67" s="109" t="str">
        <f t="array" ref="L67">XLOOKUP(CELL("contents",G67),'Swiss Registry'!$B$2:$B$703,'Swiss Registry'!$N$2:$N$703) </f>
        <v>820892117370011668</v>
      </c>
    </row>
    <row r="68">
      <c r="A68" s="84">
        <f t="shared" si="8"/>
        <v>64</v>
      </c>
      <c r="B68" s="84">
        <f>VLOOKUP(A68,'Swiss2 Registry'!$A$2:$B$703,2,False)</f>
        <v>81</v>
      </c>
      <c r="C68" s="104" t="str">
        <f>VLOOKUP(B68,'Swiss2 Registry'!$B$2:$C$703,2,False)</f>
        <v>Tempokin</v>
      </c>
      <c r="D68" s="105" t="str">
        <f t="shared" si="6"/>
        <v>Game 1</v>
      </c>
      <c r="E68" s="106" t="str">
        <f t="shared" si="9"/>
        <v>Game 2</v>
      </c>
      <c r="F68" s="107" t="str">
        <f t="shared" si="7"/>
        <v/>
      </c>
      <c r="G68" s="104" t="str">
        <f>VLOOKUP(I68,'Swiss2 Registry'!$B$2:$C$703,2,False)</f>
        <v>Felizelise</v>
      </c>
      <c r="H68" s="84">
        <f t="shared" si="10"/>
        <v>287</v>
      </c>
      <c r="I68" s="84">
        <f>VLOOKUP(H68,'Swiss2 Registry'!$A$2:$B$703,2,False)</f>
        <v>673</v>
      </c>
      <c r="J68" s="83" t="s">
        <v>1831</v>
      </c>
      <c r="K68" s="108" t="str">
        <f t="array" ref="K68">XLOOKUP(CELL("contents",C68),'Swiss Registry'!$B$2:$B$703,'Swiss Registry'!$N$2:$N$703) </f>
        <v>305870832977182722</v>
      </c>
      <c r="L68" s="109" t="str">
        <f t="array" ref="L68">XLOOKUP(CELL("contents",G68),'Swiss Registry'!$B$2:$B$703,'Swiss Registry'!$N$2:$N$703) </f>
        <v>377637716818526208</v>
      </c>
    </row>
    <row r="69">
      <c r="A69" s="84">
        <f t="shared" si="8"/>
        <v>65</v>
      </c>
      <c r="B69" s="84">
        <f>VLOOKUP(A69,'Swiss2 Registry'!$A$2:$B$703,2,False)</f>
        <v>82</v>
      </c>
      <c r="C69" s="104" t="str">
        <f>VLOOKUP(B69,'Swiss2 Registry'!$B$2:$C$703,2,False)</f>
        <v>Egor</v>
      </c>
      <c r="D69" s="105" t="str">
        <f t="shared" si="6"/>
        <v>Game 1</v>
      </c>
      <c r="E69" s="106" t="str">
        <f t="shared" si="9"/>
        <v>Game 2</v>
      </c>
      <c r="F69" s="107" t="str">
        <f t="shared" si="7"/>
        <v/>
      </c>
      <c r="G69" s="104" t="str">
        <f>VLOOKUP(I69,'Swiss2 Registry'!$B$2:$C$703,2,False)</f>
        <v>iwasmoth</v>
      </c>
      <c r="H69" s="84">
        <f t="shared" si="10"/>
        <v>286</v>
      </c>
      <c r="I69" s="84">
        <f>VLOOKUP(H69,'Swiss2 Registry'!$A$2:$B$703,2,False)</f>
        <v>128</v>
      </c>
      <c r="J69" s="83" t="s">
        <v>1832</v>
      </c>
      <c r="K69" s="108" t="str">
        <f t="array" ref="K69">XLOOKUP(CELL("contents",C69),'Swiss Registry'!$B$2:$B$703,'Swiss Registry'!$N$2:$N$703) </f>
        <v>435128937400500224</v>
      </c>
      <c r="L69" s="109" t="str">
        <f t="array" ref="L69">XLOOKUP(CELL("contents",G69),'Swiss Registry'!$B$2:$B$703,'Swiss Registry'!$N$2:$N$703) </f>
        <v>127915546229473280</v>
      </c>
    </row>
    <row r="70">
      <c r="A70" s="84">
        <f t="shared" si="8"/>
        <v>66</v>
      </c>
      <c r="B70" s="84">
        <f>VLOOKUP(A70,'Swiss2 Registry'!$A$2:$B$703,2,False)</f>
        <v>83</v>
      </c>
      <c r="C70" s="104" t="str">
        <f>VLOOKUP(B70,'Swiss2 Registry'!$B$2:$C$703,2,False)</f>
        <v>King Raska</v>
      </c>
      <c r="D70" s="105" t="str">
        <f t="shared" si="6"/>
        <v>Game 1</v>
      </c>
      <c r="E70" s="106" t="str">
        <f t="shared" si="9"/>
        <v>Game 2</v>
      </c>
      <c r="F70" s="110" t="str">
        <f t="shared" si="7"/>
        <v>Game 3</v>
      </c>
      <c r="G70" s="104" t="str">
        <f>VLOOKUP(I70,'Swiss2 Registry'!$B$2:$C$703,2,False)</f>
        <v>br.twfb</v>
      </c>
      <c r="H70" s="84">
        <f t="shared" si="10"/>
        <v>285</v>
      </c>
      <c r="I70" s="84">
        <f>VLOOKUP(H70,'Swiss2 Registry'!$A$2:$B$703,2,False)</f>
        <v>161</v>
      </c>
      <c r="J70" s="83" t="s">
        <v>1833</v>
      </c>
      <c r="K70" s="108" t="str">
        <f t="array" ref="K70">XLOOKUP(CELL("contents",C70),'Swiss Registry'!$B$2:$B$703,'Swiss Registry'!$N$2:$N$703) </f>
        <v>156914061856997376</v>
      </c>
      <c r="L70" s="109" t="str">
        <f t="array" ref="L70">XLOOKUP(CELL("contents",G70),'Swiss Registry'!$B$2:$B$703,'Swiss Registry'!$N$2:$N$703) </f>
        <v>194544710604292097</v>
      </c>
    </row>
    <row r="71">
      <c r="A71" s="84">
        <f t="shared" si="8"/>
        <v>67</v>
      </c>
      <c r="B71" s="84">
        <f>VLOOKUP(A71,'Swiss2 Registry'!$A$2:$B$703,2,False)</f>
        <v>84</v>
      </c>
      <c r="C71" s="104" t="str">
        <f>VLOOKUP(B71,'Swiss2 Registry'!$B$2:$C$703,2,False)</f>
        <v>qsns</v>
      </c>
      <c r="D71" s="105" t="str">
        <f t="shared" si="6"/>
        <v>Game 1</v>
      </c>
      <c r="E71" s="106" t="str">
        <f t="shared" si="9"/>
        <v>Game 2</v>
      </c>
      <c r="F71" s="110" t="str">
        <f t="shared" si="7"/>
        <v>Game 3</v>
      </c>
      <c r="G71" s="104" t="str">
        <f>VLOOKUP(I71,'Swiss2 Registry'!$B$2:$C$703,2,False)</f>
        <v>fastandsleepy</v>
      </c>
      <c r="H71" s="84">
        <f t="shared" si="10"/>
        <v>284</v>
      </c>
      <c r="I71" s="84">
        <f>VLOOKUP(H71,'Swiss2 Registry'!$A$2:$B$703,2,False)</f>
        <v>423</v>
      </c>
      <c r="J71" s="83" t="s">
        <v>1834</v>
      </c>
      <c r="K71" s="108" t="str">
        <f t="array" ref="K71">XLOOKUP(CELL("contents",C71),'Swiss Registry'!$B$2:$B$703,'Swiss Registry'!$N$2:$N$703) </f>
        <v>125692081212620801</v>
      </c>
      <c r="L71" s="109" t="str">
        <f t="array" ref="L71">XLOOKUP(CELL("contents",G71),'Swiss Registry'!$B$2:$B$703,'Swiss Registry'!$N$2:$N$703) </f>
        <v>428574676449624065</v>
      </c>
    </row>
    <row r="72">
      <c r="A72" s="84">
        <f t="shared" si="8"/>
        <v>68</v>
      </c>
      <c r="B72" s="84">
        <f>VLOOKUP(A72,'Swiss2 Registry'!$A$2:$B$703,2,False)</f>
        <v>85</v>
      </c>
      <c r="C72" s="104" t="str">
        <f>VLOOKUP(B72,'Swiss2 Registry'!$B$2:$C$703,2,False)</f>
        <v>Cyberas</v>
      </c>
      <c r="D72" s="105" t="str">
        <f t="shared" si="6"/>
        <v>Game 1</v>
      </c>
      <c r="E72" s="106" t="str">
        <f t="shared" si="9"/>
        <v>Game 2</v>
      </c>
      <c r="F72" s="107" t="str">
        <f t="shared" si="7"/>
        <v/>
      </c>
      <c r="G72" s="104" t="str">
        <f>VLOOKUP(I72,'Swiss2 Registry'!$B$2:$C$703,2,False)</f>
        <v>felipe01788_</v>
      </c>
      <c r="H72" s="84">
        <f t="shared" si="10"/>
        <v>283</v>
      </c>
      <c r="I72" s="84">
        <f>VLOOKUP(H72,'Swiss2 Registry'!$A$2:$B$703,2,False)</f>
        <v>426</v>
      </c>
      <c r="J72" s="83" t="s">
        <v>1835</v>
      </c>
      <c r="K72" s="108" t="str">
        <f t="array" ref="K72">XLOOKUP(CELL("contents",C72),'Swiss Registry'!$B$2:$B$703,'Swiss Registry'!$N$2:$N$703) </f>
        <v>133696854662709248</v>
      </c>
      <c r="L72" s="109" t="str">
        <f t="array" ref="L72">XLOOKUP(CELL("contents",G72),'Swiss Registry'!$B$2:$B$703,'Swiss Registry'!$N$2:$N$703) </f>
        <v>275511949880459264</v>
      </c>
    </row>
    <row r="73">
      <c r="A73" s="84">
        <f t="shared" si="8"/>
        <v>69</v>
      </c>
      <c r="B73" s="84">
        <f>VLOOKUP(A73,'Swiss2 Registry'!$A$2:$B$703,2,False)</f>
        <v>86</v>
      </c>
      <c r="C73" s="104" t="str">
        <f>VLOOKUP(B73,'Swiss2 Registry'!$B$2:$C$703,2,False)</f>
        <v>Cake</v>
      </c>
      <c r="D73" s="105" t="str">
        <f t="shared" si="6"/>
        <v>Game 1</v>
      </c>
      <c r="E73" s="106" t="str">
        <f t="shared" si="9"/>
        <v>Game 2</v>
      </c>
      <c r="F73" s="107" t="str">
        <f t="shared" si="7"/>
        <v/>
      </c>
      <c r="G73" s="104" t="str">
        <f>VLOOKUP(I73,'Swiss2 Registry'!$B$2:$C$703,2,False)</f>
        <v>madelinmorningstar</v>
      </c>
      <c r="H73" s="84">
        <f t="shared" si="10"/>
        <v>282</v>
      </c>
      <c r="I73" s="84">
        <f>VLOOKUP(H73,'Swiss2 Registry'!$A$2:$B$703,2,False)</f>
        <v>453</v>
      </c>
      <c r="J73" s="83" t="s">
        <v>1836</v>
      </c>
      <c r="K73" s="108" t="str">
        <f t="array" ref="K73">XLOOKUP(CELL("contents",C73),'Swiss Registry'!$B$2:$B$703,'Swiss Registry'!$N$2:$N$703) </f>
        <v>1062100541871771689</v>
      </c>
      <c r="L73" s="109" t="str">
        <f t="array" ref="L73">XLOOKUP(CELL("contents",G73),'Swiss Registry'!$B$2:$B$703,'Swiss Registry'!$N$2:$N$703) </f>
        <v>1235691371579572346</v>
      </c>
    </row>
    <row r="74">
      <c r="A74" s="84">
        <f t="shared" si="8"/>
        <v>70</v>
      </c>
      <c r="B74" s="84">
        <f>VLOOKUP(A74,'Swiss2 Registry'!$A$2:$B$703,2,False)</f>
        <v>88</v>
      </c>
      <c r="C74" s="104" t="str">
        <f>VLOOKUP(B74,'Swiss2 Registry'!$B$2:$C$703,2,False)</f>
        <v>TechSavage</v>
      </c>
      <c r="D74" s="105" t="str">
        <f t="shared" si="6"/>
        <v>Game 1</v>
      </c>
      <c r="E74" s="106" t="str">
        <f t="shared" si="9"/>
        <v>Game 2</v>
      </c>
      <c r="F74" s="110" t="str">
        <f t="shared" si="7"/>
        <v>Game 3</v>
      </c>
      <c r="G74" s="104" t="str">
        <f>VLOOKUP(I74,'Swiss2 Registry'!$B$2:$C$703,2,False)</f>
        <v>TRXXJEH</v>
      </c>
      <c r="H74" s="84">
        <f t="shared" si="10"/>
        <v>281</v>
      </c>
      <c r="I74" s="84">
        <f>VLOOKUP(H74,'Swiss2 Registry'!$A$2:$B$703,2,False)</f>
        <v>447</v>
      </c>
      <c r="J74" s="83" t="s">
        <v>1837</v>
      </c>
      <c r="K74" s="108" t="str">
        <f t="array" ref="K74">XLOOKUP(CELL("contents",C74),'Swiss Registry'!$B$2:$B$703,'Swiss Registry'!$N$2:$N$703) </f>
        <v>269901812054753292</v>
      </c>
      <c r="L74" s="109" t="str">
        <f t="array" ref="L74">XLOOKUP(CELL("contents",G74),'Swiss Registry'!$B$2:$B$703,'Swiss Registry'!$N$2:$N$703) </f>
        <v>911230685602275379</v>
      </c>
    </row>
    <row r="75">
      <c r="A75" s="84">
        <f t="shared" si="8"/>
        <v>71</v>
      </c>
      <c r="B75" s="84">
        <f>VLOOKUP(A75,'Swiss2 Registry'!$A$2:$B$703,2,False)</f>
        <v>90</v>
      </c>
      <c r="C75" s="104" t="str">
        <f>VLOOKUP(B75,'Swiss2 Registry'!$B$2:$C$703,2,False)</f>
        <v>Mantis</v>
      </c>
      <c r="D75" s="105" t="str">
        <f t="shared" si="6"/>
        <v>Game 1</v>
      </c>
      <c r="E75" s="106" t="str">
        <f t="shared" si="9"/>
        <v>Game 2</v>
      </c>
      <c r="F75" s="107" t="str">
        <f t="shared" si="7"/>
        <v/>
      </c>
      <c r="G75" s="104" t="str">
        <f>VLOOKUP(I75,'Swiss2 Registry'!$B$2:$C$703,2,False)</f>
        <v>1captainmorgan</v>
      </c>
      <c r="H75" s="84">
        <f t="shared" si="10"/>
        <v>280</v>
      </c>
      <c r="I75" s="84">
        <f>VLOOKUP(H75,'Swiss2 Registry'!$A$2:$B$703,2,False)</f>
        <v>445</v>
      </c>
      <c r="J75" s="83" t="s">
        <v>1838</v>
      </c>
      <c r="K75" s="108" t="str">
        <f t="array" ref="K75">XLOOKUP(CELL("contents",C75),'Swiss Registry'!$B$2:$B$703,'Swiss Registry'!$N$2:$N$703) </f>
        <v>396370625515487242</v>
      </c>
      <c r="L75" s="109" t="str">
        <f t="array" ref="L75">XLOOKUP(CELL("contents",G75),'Swiss Registry'!$B$2:$B$703,'Swiss Registry'!$N$2:$N$703) </f>
        <v>214065054411259905</v>
      </c>
    </row>
    <row r="76">
      <c r="A76" s="84">
        <f t="shared" si="8"/>
        <v>72</v>
      </c>
      <c r="B76" s="84">
        <f>VLOOKUP(A76,'Swiss2 Registry'!$A$2:$B$703,2,False)</f>
        <v>95</v>
      </c>
      <c r="C76" s="104" t="str">
        <f>VLOOKUP(B76,'Swiss2 Registry'!$B$2:$C$703,2,False)</f>
        <v>Otto</v>
      </c>
      <c r="D76" s="105" t="str">
        <f t="shared" si="6"/>
        <v>Game 1</v>
      </c>
      <c r="E76" s="106" t="str">
        <f t="shared" si="9"/>
        <v>Game 2</v>
      </c>
      <c r="F76" s="107" t="str">
        <f t="shared" si="7"/>
        <v/>
      </c>
      <c r="G76" s="104" t="str">
        <f>VLOOKUP(I76,'Swiss2 Registry'!$B$2:$C$703,2,False)</f>
        <v>HunarPG</v>
      </c>
      <c r="H76" s="84">
        <f t="shared" si="10"/>
        <v>279</v>
      </c>
      <c r="I76" s="84">
        <f>VLOOKUP(H76,'Swiss2 Registry'!$A$2:$B$703,2,False)</f>
        <v>379</v>
      </c>
      <c r="J76" s="83" t="s">
        <v>1839</v>
      </c>
      <c r="K76" s="108" t="str">
        <f t="array" ref="K76">XLOOKUP(CELL("contents",C76),'Swiss Registry'!$B$2:$B$703,'Swiss Registry'!$N$2:$N$703) </f>
        <v>286683342131298304</v>
      </c>
      <c r="L76" s="109" t="str">
        <f t="array" ref="L76">XLOOKUP(CELL("contents",G76),'Swiss Registry'!$B$2:$B$703,'Swiss Registry'!$N$2:$N$703) </f>
        <v>851681863474741300</v>
      </c>
    </row>
    <row r="77">
      <c r="A77" s="84">
        <f t="shared" si="8"/>
        <v>73</v>
      </c>
      <c r="B77" s="84">
        <f>VLOOKUP(A77,'Swiss2 Registry'!$A$2:$B$703,2,False)</f>
        <v>96</v>
      </c>
      <c r="C77" s="104" t="str">
        <f>VLOOKUP(B77,'Swiss2 Registry'!$B$2:$C$703,2,False)</f>
        <v>Hinkage</v>
      </c>
      <c r="D77" s="105" t="str">
        <f t="shared" si="6"/>
        <v>Game 1</v>
      </c>
      <c r="E77" s="106" t="str">
        <f t="shared" si="9"/>
        <v>Game 2</v>
      </c>
      <c r="F77" s="110" t="str">
        <f t="shared" si="7"/>
        <v>Game 3</v>
      </c>
      <c r="G77" s="104" t="str">
        <f>VLOOKUP(I77,'Swiss2 Registry'!$B$2:$C$703,2,False)</f>
        <v>tree69420</v>
      </c>
      <c r="H77" s="84">
        <f t="shared" si="10"/>
        <v>278</v>
      </c>
      <c r="I77" s="84">
        <f>VLOOKUP(H77,'Swiss2 Registry'!$A$2:$B$703,2,False)</f>
        <v>177</v>
      </c>
      <c r="J77" s="83" t="s">
        <v>1840</v>
      </c>
      <c r="K77" s="108" t="str">
        <f t="array" ref="K77">XLOOKUP(CELL("contents",C77),'Swiss Registry'!$B$2:$B$703,'Swiss Registry'!$N$2:$N$703) </f>
        <v>252639778036645908</v>
      </c>
      <c r="L77" s="109" t="str">
        <f t="array" ref="L77">XLOOKUP(CELL("contents",G77),'Swiss Registry'!$B$2:$B$703,'Swiss Registry'!$N$2:$N$703) </f>
        <v>798958594116419604</v>
      </c>
    </row>
    <row r="78">
      <c r="A78" s="84">
        <f t="shared" si="8"/>
        <v>74</v>
      </c>
      <c r="B78" s="84">
        <f>VLOOKUP(A78,'Swiss2 Registry'!$A$2:$B$703,2,False)</f>
        <v>97</v>
      </c>
      <c r="C78" s="104" t="str">
        <f>VLOOKUP(B78,'Swiss2 Registry'!$B$2:$C$703,2,False)</f>
        <v>Seradess</v>
      </c>
      <c r="D78" s="105" t="str">
        <f t="shared" si="6"/>
        <v>Game 1</v>
      </c>
      <c r="E78" s="106" t="str">
        <f t="shared" si="9"/>
        <v>Game 2</v>
      </c>
      <c r="F78" s="107" t="str">
        <f t="shared" si="7"/>
        <v/>
      </c>
      <c r="G78" s="104" t="str">
        <f>VLOOKUP(I78,'Swiss2 Registry'!$B$2:$C$703,2,False)</f>
        <v>deftbrixton</v>
      </c>
      <c r="H78" s="84">
        <f t="shared" si="10"/>
        <v>277</v>
      </c>
      <c r="I78" s="84">
        <f>VLOOKUP(H78,'Swiss2 Registry'!$A$2:$B$703,2,False)</f>
        <v>533</v>
      </c>
      <c r="J78" s="83" t="s">
        <v>1841</v>
      </c>
      <c r="K78" s="108" t="str">
        <f t="array" ref="K78">XLOOKUP(CELL("contents",C78),'Swiss Registry'!$B$2:$B$703,'Swiss Registry'!$N$2:$N$703) </f>
        <v>244659660794101763</v>
      </c>
      <c r="L78" s="109" t="str">
        <f t="array" ref="L78">XLOOKUP(CELL("contents",G78),'Swiss Registry'!$B$2:$B$703,'Swiss Registry'!$N$2:$N$703) </f>
        <v>685522474179231877</v>
      </c>
    </row>
    <row r="79">
      <c r="A79" s="84">
        <f t="shared" si="8"/>
        <v>75</v>
      </c>
      <c r="B79" s="84">
        <f>VLOOKUP(A79,'Swiss2 Registry'!$A$2:$B$703,2,False)</f>
        <v>98</v>
      </c>
      <c r="C79" s="104" t="str">
        <f>VLOOKUP(B79,'Swiss2 Registry'!$B$2:$C$703,2,False)</f>
        <v>Dancing Along/Abreaction</v>
      </c>
      <c r="D79" s="105" t="str">
        <f t="shared" si="6"/>
        <v>Game 1</v>
      </c>
      <c r="E79" s="106" t="str">
        <f t="shared" si="9"/>
        <v>Game 2</v>
      </c>
      <c r="F79" s="110" t="str">
        <f t="shared" si="7"/>
        <v>Game 3</v>
      </c>
      <c r="G79" s="104" t="str">
        <f>VLOOKUP(I79,'Swiss2 Registry'!$B$2:$C$703,2,False)</f>
        <v>Ghostmalone.</v>
      </c>
      <c r="H79" s="84">
        <f t="shared" si="10"/>
        <v>276</v>
      </c>
      <c r="I79" s="84">
        <f>VLOOKUP(H79,'Swiss2 Registry'!$A$2:$B$703,2,False)</f>
        <v>264</v>
      </c>
      <c r="J79" s="83" t="s">
        <v>1842</v>
      </c>
      <c r="K79" s="108" t="str">
        <f t="array" ref="K79">XLOOKUP(CELL("contents",C79),'Swiss Registry'!$B$2:$B$703,'Swiss Registry'!$N$2:$N$703) </f>
        <v>386999541255110676</v>
      </c>
      <c r="L79" s="109" t="str">
        <f t="array" ref="L79">XLOOKUP(CELL("contents",G79),'Swiss Registry'!$B$2:$B$703,'Swiss Registry'!$N$2:$N$703) </f>
        <v>329857381746081792</v>
      </c>
    </row>
    <row r="80">
      <c r="A80" s="84">
        <f t="shared" si="8"/>
        <v>76</v>
      </c>
      <c r="B80" s="84">
        <f>VLOOKUP(A80,'Swiss2 Registry'!$A$2:$B$703,2,False)</f>
        <v>99</v>
      </c>
      <c r="C80" s="104" t="str">
        <f>VLOOKUP(B80,'Swiss2 Registry'!$B$2:$C$703,2,False)</f>
        <v>Just_Leo</v>
      </c>
      <c r="D80" s="105" t="str">
        <f t="shared" si="6"/>
        <v>Game 1</v>
      </c>
      <c r="E80" s="106" t="str">
        <f t="shared" si="9"/>
        <v>Game 2</v>
      </c>
      <c r="F80" s="110" t="str">
        <f t="shared" si="7"/>
        <v>Game 3</v>
      </c>
      <c r="G80" s="104" t="str">
        <f>VLOOKUP(I80,'Swiss2 Registry'!$B$2:$C$703,2,False)</f>
        <v>owlman7507</v>
      </c>
      <c r="H80" s="84">
        <f t="shared" si="10"/>
        <v>275</v>
      </c>
      <c r="I80" s="84">
        <f>VLOOKUP(H80,'Swiss2 Registry'!$A$2:$B$703,2,False)</f>
        <v>487</v>
      </c>
      <c r="J80" s="83" t="s">
        <v>1843</v>
      </c>
      <c r="K80" s="108" t="str">
        <f t="array" ref="K80">XLOOKUP(CELL("contents",C80),'Swiss Registry'!$B$2:$B$703,'Swiss Registry'!$N$2:$N$703) </f>
        <v>1136751969478914138</v>
      </c>
      <c r="L80" s="109" t="str">
        <f t="array" ref="L80">XLOOKUP(CELL("contents",G80),'Swiss Registry'!$B$2:$B$703,'Swiss Registry'!$N$2:$N$703) </f>
        <v>684894520751816770</v>
      </c>
    </row>
    <row r="81">
      <c r="A81" s="84">
        <f t="shared" si="8"/>
        <v>77</v>
      </c>
      <c r="B81" s="84">
        <f>VLOOKUP(A81,'Swiss2 Registry'!$A$2:$B$703,2,False)</f>
        <v>100</v>
      </c>
      <c r="C81" s="104" t="str">
        <f>VLOOKUP(B81,'Swiss2 Registry'!$B$2:$C$703,2,False)</f>
        <v>Zinc</v>
      </c>
      <c r="D81" s="105" t="str">
        <f t="shared" si="6"/>
        <v>Game 1</v>
      </c>
      <c r="E81" s="106" t="str">
        <f t="shared" si="9"/>
        <v>Game 2</v>
      </c>
      <c r="F81" s="107" t="str">
        <f t="shared" si="7"/>
        <v/>
      </c>
      <c r="G81" s="104" t="str">
        <f>VLOOKUP(I81,'Swiss2 Registry'!$B$2:$C$703,2,False)</f>
        <v>isaiahterveen</v>
      </c>
      <c r="H81" s="84">
        <f t="shared" si="10"/>
        <v>274</v>
      </c>
      <c r="I81" s="84">
        <f>VLOOKUP(H81,'Swiss2 Registry'!$A$2:$B$703,2,False)</f>
        <v>461</v>
      </c>
      <c r="J81" s="83" t="s">
        <v>1844</v>
      </c>
      <c r="K81" s="108" t="str">
        <f t="array" ref="K81">XLOOKUP(CELL("contents",C81),'Swiss Registry'!$B$2:$B$703,'Swiss Registry'!$N$2:$N$703) </f>
        <v>399291432235696139</v>
      </c>
      <c r="L81" s="109" t="str">
        <f t="array" ref="L81">XLOOKUP(CELL("contents",G81),'Swiss Registry'!$B$2:$B$703,'Swiss Registry'!$N$2:$N$703) </f>
        <v>753283686446661742</v>
      </c>
    </row>
    <row r="82" ht="15.0" customHeight="1">
      <c r="A82" s="80"/>
      <c r="B82" s="114"/>
      <c r="C82" s="115"/>
      <c r="D82" s="114"/>
      <c r="E82" s="82" t="s">
        <v>1531</v>
      </c>
      <c r="F82" s="81"/>
      <c r="G82" s="81"/>
      <c r="H82" s="81"/>
      <c r="I82" s="81"/>
      <c r="J82" s="83"/>
      <c r="K82" s="116" t="str">
        <f t="array" ref="K82">XLOOKUP(CELL("contents",C82),'Swiss Registry'!$B$2:$B$703,'Swiss Registry'!$N$2:$N$703) </f>
        <v>#N/A</v>
      </c>
      <c r="L82" s="117" t="str">
        <f t="array" ref="L82">XLOOKUP(CELL("contents",G82),'Swiss Registry'!$B$2:$B$703,'Swiss Registry'!$N$2:$N$703) </f>
        <v>#N/A</v>
      </c>
    </row>
    <row r="83">
      <c r="A83" s="84">
        <f>A81+1</f>
        <v>78</v>
      </c>
      <c r="B83" s="84">
        <f>VLOOKUP(A83,'Swiss2 Registry'!$A$2:$B$703,2,False)</f>
        <v>101</v>
      </c>
      <c r="C83" s="104" t="str">
        <f>VLOOKUP(B83,'Swiss2 Registry'!$B$2:$C$703,2,False)</f>
        <v>DastardlyDwarf</v>
      </c>
      <c r="D83" s="105" t="str">
        <f t="shared" ref="D83:D121" si="11">IF(J83="dead","",IF(J83="a:act","",IF(J83="b:act","",IF(ISURL(HYPERLINK(INDIRECT("Importer!B"&amp;MID(J83,2,4)+1,TRUE))),HYPERLINK(INDIRECT("Importer!B"&amp;MID(J83,2,4)+1,TRUE), "Game 1"),""))))</f>
        <v>Game 1</v>
      </c>
      <c r="E83" s="106" t="str">
        <f>IF(J83="dead","Dead Game",IF(J83="a:act","Act: "&amp;G83,IF(J83="b:act","Act: "&amp;#REF!,IF(ISURL(HYPERLINK(INDIRECT("Importer!B"&amp;MID(J83,6,4)+1,TRUE))),HYPERLINK(INDIRECT("Importer!B"&amp;MID(J83,6,4)+1,TRUE), "Game 2"),""))))</f>
        <v>Game 2</v>
      </c>
      <c r="F83" s="107" t="str">
        <f t="shared" ref="F83:F121" si="12">IF(J83="dead","",IF(J83="a:act","",IF(J83="b:act","",IF(ISURL(HYPERLINK(INDIRECT("Importer!B"&amp;MID(J83,10,4)+1,TRUE))),HYPERLINK(INDIRECT("Importer!B"&amp;MID(J83,10,4)+1,TRUE), "Game 3"),""))))</f>
        <v/>
      </c>
      <c r="G83" s="104" t="str">
        <f>VLOOKUP(I83,'Swiss2 Registry'!$B$2:$C$703,2,False)</f>
        <v>Sificon</v>
      </c>
      <c r="H83" s="84">
        <f>H81-1</f>
        <v>273</v>
      </c>
      <c r="I83" s="84">
        <f>VLOOKUP(H83,'Swiss2 Registry'!$A$2:$B$703,2,False)</f>
        <v>471</v>
      </c>
      <c r="J83" s="83" t="s">
        <v>1845</v>
      </c>
      <c r="K83" s="108" t="str">
        <f t="array" ref="K83">XLOOKUP(CELL("contents",C83),'Swiss Registry'!$B$2:$B$703,'Swiss Registry'!$N$2:$N$703) </f>
        <v>457317302124412939</v>
      </c>
      <c r="L83" s="109" t="str">
        <f t="array" ref="L83">XLOOKUP(CELL("contents",G83),'Swiss Registry'!$B$2:$B$703,'Swiss Registry'!$N$2:$N$703) </f>
        <v>363775331292676097</v>
      </c>
    </row>
    <row r="84">
      <c r="A84" s="84">
        <f t="shared" ref="A84:A121" si="13">A83+1</f>
        <v>79</v>
      </c>
      <c r="B84" s="84">
        <f>VLOOKUP(A84,'Swiss2 Registry'!$A$2:$B$703,2,False)</f>
        <v>247</v>
      </c>
      <c r="C84" s="104" t="str">
        <f>VLOOKUP(B84,'Swiss2 Registry'!$B$2:$C$703,2,False)</f>
        <v>gogozeppeli1890 (rconquer)</v>
      </c>
      <c r="D84" s="105" t="str">
        <f t="shared" si="11"/>
        <v>Game 1</v>
      </c>
      <c r="E84" s="106" t="str">
        <f t="shared" ref="E84:E121" si="14">IF(J84="dead","Dead Game",IF(J84="a:act","Act: "&amp;C84,IF(J84="b:act","Act: "&amp;G84,IF(ISURL(HYPERLINK(INDIRECT("Importer!B"&amp;MID(J84,6,4)+1,TRUE))),HYPERLINK(INDIRECT("Importer!B"&amp;MID(J84,6,4)+1,TRUE), "Game 2"),""))))</f>
        <v>Game 2</v>
      </c>
      <c r="F84" s="110" t="str">
        <f t="shared" si="12"/>
        <v>Game 3</v>
      </c>
      <c r="G84" s="104" t="str">
        <f>VLOOKUP(I84,'Swiss2 Registry'!$B$2:$C$703,2,False)</f>
        <v>ShotoNC</v>
      </c>
      <c r="H84" s="84">
        <f t="shared" ref="H84:H121" si="15">H83-1</f>
        <v>272</v>
      </c>
      <c r="I84" s="84">
        <f>VLOOKUP(H84,'Swiss2 Registry'!$A$2:$B$703,2,False)</f>
        <v>422</v>
      </c>
      <c r="J84" s="83" t="s">
        <v>1846</v>
      </c>
      <c r="K84" s="108" t="str">
        <f t="array" ref="K84">XLOOKUP(CELL("contents",C84),'Swiss Registry'!$B$2:$B$703,'Swiss Registry'!$N$2:$N$703) </f>
        <v>195721708504743936</v>
      </c>
      <c r="L84" s="109" t="str">
        <f t="array" ref="L84">XLOOKUP(CELL("contents",G84),'Swiss Registry'!$B$2:$B$703,'Swiss Registry'!$N$2:$N$703) </f>
        <v>79029742778454016</v>
      </c>
    </row>
    <row r="85">
      <c r="A85" s="84">
        <f t="shared" si="13"/>
        <v>80</v>
      </c>
      <c r="B85" s="84">
        <f>VLOOKUP(A85,'Swiss2 Registry'!$A$2:$B$703,2,False)</f>
        <v>307</v>
      </c>
      <c r="C85" s="104" t="str">
        <f>VLOOKUP(B85,'Swiss2 Registry'!$B$2:$C$703,2,False)</f>
        <v>ghostreported</v>
      </c>
      <c r="D85" s="105" t="str">
        <f t="shared" si="11"/>
        <v>Game 1</v>
      </c>
      <c r="E85" s="106" t="str">
        <f t="shared" si="14"/>
        <v>Game 2</v>
      </c>
      <c r="F85" s="107" t="str">
        <f t="shared" si="12"/>
        <v/>
      </c>
      <c r="G85" s="104" t="str">
        <f>VLOOKUP(I85,'Swiss2 Registry'!$B$2:$C$703,2,False)</f>
        <v>busyboi</v>
      </c>
      <c r="H85" s="84">
        <f t="shared" si="15"/>
        <v>271</v>
      </c>
      <c r="I85" s="84">
        <f>VLOOKUP(H85,'Swiss2 Registry'!$A$2:$B$703,2,False)</f>
        <v>475</v>
      </c>
      <c r="J85" s="83" t="s">
        <v>1847</v>
      </c>
      <c r="K85" s="108" t="str">
        <f t="array" ref="K85">XLOOKUP(CELL("contents",C85),'Swiss Registry'!$B$2:$B$703,'Swiss Registry'!$N$2:$N$703) </f>
        <v>965685598545403924</v>
      </c>
      <c r="L85" s="109" t="str">
        <f t="array" ref="L85">XLOOKUP(CELL("contents",G85),'Swiss Registry'!$B$2:$B$703,'Swiss Registry'!$N$2:$N$703) </f>
        <v>170563297433747457</v>
      </c>
    </row>
    <row r="86">
      <c r="A86" s="84">
        <f t="shared" si="13"/>
        <v>81</v>
      </c>
      <c r="B86" s="84">
        <f>VLOOKUP(A86,'Swiss2 Registry'!$A$2:$B$703,2,False)</f>
        <v>527</v>
      </c>
      <c r="C86" s="104" t="str">
        <f>VLOOKUP(B86,'Swiss2 Registry'!$B$2:$C$703,2,False)</f>
        <v>cepulo</v>
      </c>
      <c r="D86" s="105" t="str">
        <f t="shared" si="11"/>
        <v>Game 1</v>
      </c>
      <c r="E86" s="106" t="str">
        <f t="shared" si="14"/>
        <v>Game 2</v>
      </c>
      <c r="F86" s="110" t="str">
        <f t="shared" si="12"/>
        <v>Game 3</v>
      </c>
      <c r="G86" s="104" t="str">
        <f>VLOOKUP(I86,'Swiss2 Registry'!$B$2:$C$703,2,False)</f>
        <v>Alargemongoose</v>
      </c>
      <c r="H86" s="84">
        <f t="shared" si="15"/>
        <v>270</v>
      </c>
      <c r="I86" s="84">
        <f>VLOOKUP(H86,'Swiss2 Registry'!$A$2:$B$703,2,False)</f>
        <v>226</v>
      </c>
      <c r="J86" s="83" t="s">
        <v>1848</v>
      </c>
      <c r="K86" s="108" t="str">
        <f t="array" ref="K86">XLOOKUP(CELL("contents",C86),'Swiss Registry'!$B$2:$B$703,'Swiss Registry'!$N$2:$N$703) </f>
        <v>1223051167505059850</v>
      </c>
      <c r="L86" s="109" t="str">
        <f t="array" ref="L86">XLOOKUP(CELL("contents",G86),'Swiss Registry'!$B$2:$B$703,'Swiss Registry'!$N$2:$N$703) </f>
        <v>646736314645086228</v>
      </c>
    </row>
    <row r="87">
      <c r="A87" s="84">
        <f t="shared" si="13"/>
        <v>82</v>
      </c>
      <c r="B87" s="84">
        <f>VLOOKUP(A87,'Swiss2 Registry'!$A$2:$B$703,2,False)</f>
        <v>187</v>
      </c>
      <c r="C87" s="104" t="str">
        <f>VLOOKUP(B87,'Swiss2 Registry'!$B$2:$C$703,2,False)</f>
        <v>nicki4</v>
      </c>
      <c r="D87" s="105" t="str">
        <f t="shared" si="11"/>
        <v>Game 1</v>
      </c>
      <c r="E87" s="106" t="str">
        <f t="shared" si="14"/>
        <v>Game 2</v>
      </c>
      <c r="F87" s="110" t="str">
        <f t="shared" si="12"/>
        <v>Game 3</v>
      </c>
      <c r="G87" s="104" t="str">
        <f>VLOOKUP(I87,'Swiss2 Registry'!$B$2:$C$703,2,False)</f>
        <v>Leeto64</v>
      </c>
      <c r="H87" s="84">
        <f t="shared" si="15"/>
        <v>269</v>
      </c>
      <c r="I87" s="84">
        <f>VLOOKUP(H87,'Swiss2 Registry'!$A$2:$B$703,2,False)</f>
        <v>614</v>
      </c>
      <c r="J87" s="83" t="s">
        <v>1849</v>
      </c>
      <c r="K87" s="108" t="str">
        <f t="array" ref="K87">XLOOKUP(CELL("contents",C87),'Swiss Registry'!$B$2:$B$703,'Swiss Registry'!$N$2:$N$703) </f>
        <v>229576207560212480</v>
      </c>
      <c r="L87" s="109" t="str">
        <f t="array" ref="L87">XLOOKUP(CELL("contents",G87),'Swiss Registry'!$B$2:$B$703,'Swiss Registry'!$N$2:$N$703) </f>
        <v>170563833054625792</v>
      </c>
    </row>
    <row r="88">
      <c r="A88" s="84">
        <f t="shared" si="13"/>
        <v>83</v>
      </c>
      <c r="B88" s="84">
        <f>VLOOKUP(A88,'Swiss2 Registry'!$A$2:$B$703,2,False)</f>
        <v>642</v>
      </c>
      <c r="C88" s="104" t="str">
        <f>VLOOKUP(B88,'Swiss2 Registry'!$B$2:$C$703,2,False)</f>
        <v>b1ur</v>
      </c>
      <c r="D88" s="105" t="str">
        <f t="shared" si="11"/>
        <v>Game 1</v>
      </c>
      <c r="E88" s="106" t="str">
        <f t="shared" si="14"/>
        <v>Game 2</v>
      </c>
      <c r="F88" s="110" t="str">
        <f t="shared" si="12"/>
        <v>Game 3</v>
      </c>
      <c r="G88" s="104" t="str">
        <f>VLOOKUP(I88,'Swiss2 Registry'!$B$2:$C$703,2,False)</f>
        <v>hipimochi</v>
      </c>
      <c r="H88" s="84">
        <f t="shared" si="15"/>
        <v>268</v>
      </c>
      <c r="I88" s="84">
        <f>VLOOKUP(H88,'Swiss2 Registry'!$A$2:$B$703,2,False)</f>
        <v>308</v>
      </c>
      <c r="J88" s="83" t="s">
        <v>1850</v>
      </c>
      <c r="K88" s="108" t="str">
        <f t="array" ref="K88">XLOOKUP(CELL("contents",C88),'Swiss Registry'!$B$2:$B$703,'Swiss Registry'!$N$2:$N$703) </f>
        <v>196380416473563136</v>
      </c>
      <c r="L88" s="109" t="str">
        <f t="array" ref="L88">XLOOKUP(CELL("contents",G88),'Swiss Registry'!$B$2:$B$703,'Swiss Registry'!$N$2:$N$703) </f>
        <v>264931346223333377</v>
      </c>
    </row>
    <row r="89">
      <c r="A89" s="84">
        <f t="shared" si="13"/>
        <v>84</v>
      </c>
      <c r="B89" s="84">
        <f>VLOOKUP(A89,'Swiss2 Registry'!$A$2:$B$703,2,False)</f>
        <v>616</v>
      </c>
      <c r="C89" s="104" t="str">
        <f>VLOOKUP(B89,'Swiss2 Registry'!$B$2:$C$703,2,False)</f>
        <v>Upon_Link_Main</v>
      </c>
      <c r="D89" s="105" t="str">
        <f t="shared" si="11"/>
        <v>Game 1</v>
      </c>
      <c r="E89" s="106" t="str">
        <f t="shared" si="14"/>
        <v>Game 2</v>
      </c>
      <c r="F89" s="107" t="str">
        <f t="shared" si="12"/>
        <v/>
      </c>
      <c r="G89" s="104" t="str">
        <f>VLOOKUP(I89,'Swiss2 Registry'!$B$2:$C$703,2,False)</f>
        <v>michaelmeets</v>
      </c>
      <c r="H89" s="84">
        <f t="shared" si="15"/>
        <v>267</v>
      </c>
      <c r="I89" s="84">
        <f>VLOOKUP(H89,'Swiss2 Registry'!$A$2:$B$703,2,False)</f>
        <v>508</v>
      </c>
      <c r="J89" s="83" t="s">
        <v>1851</v>
      </c>
      <c r="K89" s="108" t="str">
        <f t="array" ref="K89">XLOOKUP(CELL("contents",C89),'Swiss Registry'!$B$2:$B$703,'Swiss Registry'!$N$2:$N$703) </f>
        <v>355216493618921472</v>
      </c>
      <c r="L89" s="109" t="str">
        <f t="array" ref="L89">XLOOKUP(CELL("contents",G89),'Swiss Registry'!$B$2:$B$703,'Swiss Registry'!$N$2:$N$703) </f>
        <v>422543384125636628</v>
      </c>
    </row>
    <row r="90">
      <c r="A90" s="84">
        <f t="shared" si="13"/>
        <v>85</v>
      </c>
      <c r="B90" s="84">
        <f>VLOOKUP(A90,'Swiss2 Registry'!$A$2:$B$703,2,False)</f>
        <v>393</v>
      </c>
      <c r="C90" s="104" t="str">
        <f>VLOOKUP(B90,'Swiss2 Registry'!$B$2:$C$703,2,False)</f>
        <v>thedarvinist</v>
      </c>
      <c r="D90" s="105" t="str">
        <f t="shared" si="11"/>
        <v>Game 1</v>
      </c>
      <c r="E90" s="106" t="str">
        <f t="shared" si="14"/>
        <v>Game 2</v>
      </c>
      <c r="F90" s="107" t="str">
        <f t="shared" si="12"/>
        <v/>
      </c>
      <c r="G90" s="104" t="str">
        <f>VLOOKUP(I90,'Swiss2 Registry'!$B$2:$C$703,2,False)</f>
        <v>UnzipsCrogre</v>
      </c>
      <c r="H90" s="84">
        <f t="shared" si="15"/>
        <v>266</v>
      </c>
      <c r="I90" s="84">
        <f>VLOOKUP(H90,'Swiss2 Registry'!$A$2:$B$703,2,False)</f>
        <v>435</v>
      </c>
      <c r="J90" s="83" t="s">
        <v>1852</v>
      </c>
      <c r="K90" s="108" t="str">
        <f t="array" ref="K90">XLOOKUP(CELL("contents",C90),'Swiss Registry'!$B$2:$B$703,'Swiss Registry'!$N$2:$N$703) </f>
        <v>431455323476328449</v>
      </c>
      <c r="L90" s="109" t="str">
        <f t="array" ref="L90">XLOOKUP(CELL("contents",G90),'Swiss Registry'!$B$2:$B$703,'Swiss Registry'!$N$2:$N$703) </f>
        <v>168150536862826497</v>
      </c>
    </row>
    <row r="91">
      <c r="A91" s="84">
        <f t="shared" si="13"/>
        <v>86</v>
      </c>
      <c r="B91" s="84">
        <f>VLOOKUP(A91,'Swiss2 Registry'!$A$2:$B$703,2,False)</f>
        <v>502</v>
      </c>
      <c r="C91" s="104" t="str">
        <f>VLOOKUP(B91,'Swiss2 Registry'!$B$2:$C$703,2,False)</f>
        <v>hansenator.</v>
      </c>
      <c r="D91" s="105" t="str">
        <f t="shared" si="11"/>
        <v>Game 1</v>
      </c>
      <c r="E91" s="106" t="str">
        <f t="shared" si="14"/>
        <v>Game 2</v>
      </c>
      <c r="F91" s="107" t="str">
        <f t="shared" si="12"/>
        <v/>
      </c>
      <c r="G91" s="104" t="str">
        <f>VLOOKUP(I91,'Swiss2 Registry'!$B$2:$C$703,2,False)</f>
        <v>dicerat8</v>
      </c>
      <c r="H91" s="84">
        <f t="shared" si="15"/>
        <v>265</v>
      </c>
      <c r="I91" s="84">
        <f>VLOOKUP(H91,'Swiss2 Registry'!$A$2:$B$703,2,False)</f>
        <v>120</v>
      </c>
      <c r="J91" s="83" t="s">
        <v>1853</v>
      </c>
      <c r="K91" s="108" t="str">
        <f t="array" ref="K91">XLOOKUP(CELL("contents",C91),'Swiss Registry'!$B$2:$B$703,'Swiss Registry'!$N$2:$N$703) </f>
        <v>95590324126097408</v>
      </c>
      <c r="L91" s="109" t="str">
        <f t="array" ref="L91">XLOOKUP(CELL("contents",G91),'Swiss Registry'!$B$2:$B$703,'Swiss Registry'!$N$2:$N$703) </f>
        <v>811484330421387285</v>
      </c>
    </row>
    <row r="92">
      <c r="A92" s="84">
        <f t="shared" si="13"/>
        <v>87</v>
      </c>
      <c r="B92" s="84">
        <f>VLOOKUP(A92,'Swiss2 Registry'!$A$2:$B$703,2,False)</f>
        <v>194</v>
      </c>
      <c r="C92" s="104" t="str">
        <f>VLOOKUP(B92,'Swiss2 Registry'!$B$2:$C$703,2,False)</f>
        <v>bd31</v>
      </c>
      <c r="D92" s="111" t="str">
        <f t="shared" si="11"/>
        <v/>
      </c>
      <c r="E92" s="112" t="str">
        <f t="shared" si="14"/>
        <v>Act: brestelli</v>
      </c>
      <c r="F92" s="107" t="str">
        <f t="shared" si="12"/>
        <v/>
      </c>
      <c r="G92" s="104" t="str">
        <f>VLOOKUP(I92,'Swiss2 Registry'!$B$2:$C$703,2,False)</f>
        <v>brestelli</v>
      </c>
      <c r="H92" s="84">
        <f t="shared" si="15"/>
        <v>264</v>
      </c>
      <c r="I92" s="84">
        <f>VLOOKUP(H92,'Swiss2 Registry'!$A$2:$B$703,2,False)</f>
        <v>581</v>
      </c>
      <c r="J92" s="83" t="s">
        <v>1523</v>
      </c>
      <c r="K92" s="108" t="str">
        <f t="array" ref="K92">XLOOKUP(CELL("contents",C92),'Swiss Registry'!$B$2:$B$703,'Swiss Registry'!$N$2:$N$703) </f>
        <v>217343749439750145</v>
      </c>
      <c r="L92" s="109" t="str">
        <f t="array" ref="L92">XLOOKUP(CELL("contents",G92),'Swiss Registry'!$B$2:$B$703,'Swiss Registry'!$N$2:$N$703) </f>
        <v>688796987193163984</v>
      </c>
    </row>
    <row r="93">
      <c r="A93" s="84">
        <f t="shared" si="13"/>
        <v>88</v>
      </c>
      <c r="B93" s="84">
        <f>VLOOKUP(A93,'Swiss2 Registry'!$A$2:$B$703,2,False)</f>
        <v>316</v>
      </c>
      <c r="C93" s="104" t="str">
        <f>VLOOKUP(B93,'Swiss2 Registry'!$B$2:$C$703,2,False)</f>
        <v>bloomsmiles</v>
      </c>
      <c r="D93" s="111" t="str">
        <f t="shared" si="11"/>
        <v/>
      </c>
      <c r="E93" s="112" t="str">
        <f t="shared" si="14"/>
        <v>Act: bloomsmiles</v>
      </c>
      <c r="F93" s="107" t="str">
        <f t="shared" si="12"/>
        <v/>
      </c>
      <c r="G93" s="104" t="str">
        <f>VLOOKUP(I93,'Swiss2 Registry'!$B$2:$C$703,2,False)</f>
        <v>Jibca</v>
      </c>
      <c r="H93" s="84">
        <f t="shared" si="15"/>
        <v>263</v>
      </c>
      <c r="I93" s="84">
        <f>VLOOKUP(H93,'Swiss2 Registry'!$A$2:$B$703,2,False)</f>
        <v>298</v>
      </c>
      <c r="J93" s="83" t="s">
        <v>1486</v>
      </c>
      <c r="K93" s="108" t="str">
        <f t="array" ref="K93">XLOOKUP(CELL("contents",C93),'Swiss Registry'!$B$2:$B$703,'Swiss Registry'!$N$2:$N$703) </f>
        <v>428036889908477952</v>
      </c>
      <c r="L93" s="109" t="str">
        <f t="array" ref="L93">XLOOKUP(CELL("contents",G93),'Swiss Registry'!$B$2:$B$703,'Swiss Registry'!$N$2:$N$703) </f>
        <v>907486666267168799</v>
      </c>
    </row>
    <row r="94">
      <c r="A94" s="84">
        <f t="shared" si="13"/>
        <v>89</v>
      </c>
      <c r="B94" s="84">
        <f>VLOOKUP(A94,'Swiss2 Registry'!$A$2:$B$703,2,False)</f>
        <v>241</v>
      </c>
      <c r="C94" s="104" t="str">
        <f>VLOOKUP(B94,'Swiss2 Registry'!$B$2:$C$703,2,False)</f>
        <v>imcob</v>
      </c>
      <c r="D94" s="105" t="str">
        <f t="shared" si="11"/>
        <v>Game 1</v>
      </c>
      <c r="E94" s="106" t="str">
        <f t="shared" si="14"/>
        <v>Game 2</v>
      </c>
      <c r="F94" s="110" t="str">
        <f t="shared" si="12"/>
        <v>Game 3</v>
      </c>
      <c r="G94" s="104" t="str">
        <f>VLOOKUP(I94,'Swiss2 Registry'!$B$2:$C$703,2,False)</f>
        <v>jotaentrena</v>
      </c>
      <c r="H94" s="84">
        <f t="shared" si="15"/>
        <v>262</v>
      </c>
      <c r="I94" s="84">
        <f>VLOOKUP(H94,'Swiss2 Registry'!$A$2:$B$703,2,False)</f>
        <v>548</v>
      </c>
      <c r="J94" s="83" t="s">
        <v>1854</v>
      </c>
      <c r="K94" s="108" t="str">
        <f t="array" ref="K94">XLOOKUP(CELL("contents",C94),'Swiss Registry'!$B$2:$B$703,'Swiss Registry'!$N$2:$N$703) </f>
        <v>477903847159889922</v>
      </c>
      <c r="L94" s="109" t="str">
        <f t="array" ref="L94">XLOOKUP(CELL("contents",G94),'Swiss Registry'!$B$2:$B$703,'Swiss Registry'!$N$2:$N$703) </f>
        <v>423465310478401536</v>
      </c>
    </row>
    <row r="95">
      <c r="A95" s="84">
        <f t="shared" si="13"/>
        <v>90</v>
      </c>
      <c r="B95" s="84">
        <f>VLOOKUP(A95,'Swiss2 Registry'!$A$2:$B$703,2,False)</f>
        <v>363</v>
      </c>
      <c r="C95" s="104" t="str">
        <f>VLOOKUP(B95,'Swiss2 Registry'!$B$2:$C$703,2,False)</f>
        <v>Don7331</v>
      </c>
      <c r="D95" s="105" t="str">
        <f t="shared" si="11"/>
        <v>Game 1</v>
      </c>
      <c r="E95" s="106" t="str">
        <f t="shared" si="14"/>
        <v>Game 2</v>
      </c>
      <c r="F95" s="107" t="str">
        <f t="shared" si="12"/>
        <v/>
      </c>
      <c r="G95" s="104" t="str">
        <f>VLOOKUP(I95,'Swiss2 Registry'!$B$2:$C$703,2,False)</f>
        <v>4lowray</v>
      </c>
      <c r="H95" s="84">
        <f t="shared" si="15"/>
        <v>261</v>
      </c>
      <c r="I95" s="84">
        <f>VLOOKUP(H95,'Swiss2 Registry'!$A$2:$B$703,2,False)</f>
        <v>333</v>
      </c>
      <c r="J95" s="83" t="s">
        <v>1855</v>
      </c>
      <c r="K95" s="108" t="str">
        <f t="array" ref="K95">XLOOKUP(CELL("contents",C95),'Swiss Registry'!$B$2:$B$703,'Swiss Registry'!$N$2:$N$703) </f>
        <v>605567062794043403</v>
      </c>
      <c r="L95" s="109" t="str">
        <f t="array" ref="L95">XLOOKUP(CELL("contents",G95),'Swiss Registry'!$B$2:$B$703,'Swiss Registry'!$N$2:$N$703) </f>
        <v>1083677463932051566</v>
      </c>
    </row>
    <row r="96">
      <c r="A96" s="84">
        <f t="shared" si="13"/>
        <v>91</v>
      </c>
      <c r="B96" s="84">
        <f>VLOOKUP(A96,'Swiss2 Registry'!$A$2:$B$703,2,False)</f>
        <v>570</v>
      </c>
      <c r="C96" s="104" t="str">
        <f>VLOOKUP(B96,'Swiss2 Registry'!$B$2:$C$703,2,False)</f>
        <v>Zacynthius02</v>
      </c>
      <c r="D96" s="105" t="str">
        <f t="shared" si="11"/>
        <v>Game 1</v>
      </c>
      <c r="E96" s="106" t="str">
        <f t="shared" si="14"/>
        <v>Game 2</v>
      </c>
      <c r="F96" s="110" t="str">
        <f t="shared" si="12"/>
        <v>Game 3</v>
      </c>
      <c r="G96" s="104" t="str">
        <f>VLOOKUP(I96,'Swiss2 Registry'!$B$2:$C$703,2,False)</f>
        <v>DanWhoDis</v>
      </c>
      <c r="H96" s="84">
        <f t="shared" si="15"/>
        <v>260</v>
      </c>
      <c r="I96" s="84">
        <f>VLOOKUP(H96,'Swiss2 Registry'!$A$2:$B$703,2,False)</f>
        <v>469</v>
      </c>
      <c r="J96" s="83" t="s">
        <v>1856</v>
      </c>
      <c r="K96" s="108" t="str">
        <f t="array" ref="K96">XLOOKUP(CELL("contents",C96),'Swiss Registry'!$B$2:$B$703,'Swiss Registry'!$N$2:$N$703) </f>
        <v>1144653653752434738</v>
      </c>
      <c r="L96" s="109" t="str">
        <f t="array" ref="L96">XLOOKUP(CELL("contents",G96),'Swiss Registry'!$B$2:$B$703,'Swiss Registry'!$N$2:$N$703) </f>
        <v>226027083472699395</v>
      </c>
    </row>
    <row r="97">
      <c r="A97" s="84">
        <f t="shared" si="13"/>
        <v>92</v>
      </c>
      <c r="B97" s="84">
        <f>VLOOKUP(A97,'Swiss2 Registry'!$A$2:$B$703,2,False)</f>
        <v>534</v>
      </c>
      <c r="C97" s="104" t="str">
        <f>VLOOKUP(B97,'Swiss2 Registry'!$B$2:$C$703,2,False)</f>
        <v>etibamecus.</v>
      </c>
      <c r="D97" s="105" t="str">
        <f t="shared" si="11"/>
        <v>Game 1</v>
      </c>
      <c r="E97" s="106" t="str">
        <f t="shared" si="14"/>
        <v>Game 2</v>
      </c>
      <c r="F97" s="110" t="str">
        <f t="shared" si="12"/>
        <v>Game 3</v>
      </c>
      <c r="G97" s="104" t="str">
        <f>VLOOKUP(I97,'Swiss2 Registry'!$B$2:$C$703,2,False)</f>
        <v>Kydreith33</v>
      </c>
      <c r="H97" s="84">
        <f t="shared" si="15"/>
        <v>259</v>
      </c>
      <c r="I97" s="84">
        <f>VLOOKUP(H97,'Swiss2 Registry'!$A$2:$B$703,2,False)</f>
        <v>283</v>
      </c>
      <c r="J97" s="83" t="s">
        <v>1857</v>
      </c>
      <c r="K97" s="108" t="str">
        <f t="array" ref="K97">XLOOKUP(CELL("contents",C97),'Swiss Registry'!$B$2:$B$703,'Swiss Registry'!$N$2:$N$703) </f>
        <v>375394551445323787</v>
      </c>
      <c r="L97" s="109" t="str">
        <f t="array" ref="L97">XLOOKUP(CELL("contents",G97),'Swiss Registry'!$B$2:$B$703,'Swiss Registry'!$N$2:$N$703) </f>
        <v>420018683759296513</v>
      </c>
    </row>
    <row r="98">
      <c r="A98" s="84">
        <f t="shared" si="13"/>
        <v>93</v>
      </c>
      <c r="B98" s="84">
        <f>VLOOKUP(A98,'Swiss2 Registry'!$A$2:$B$703,2,False)</f>
        <v>388</v>
      </c>
      <c r="C98" s="104" t="str">
        <f>VLOOKUP(B98,'Swiss2 Registry'!$B$2:$C$703,2,False)</f>
        <v>Tyxerns</v>
      </c>
      <c r="D98" s="105" t="str">
        <f t="shared" si="11"/>
        <v>Game 1</v>
      </c>
      <c r="E98" s="106" t="str">
        <f t="shared" si="14"/>
        <v>Game 2</v>
      </c>
      <c r="F98" s="110" t="str">
        <f t="shared" si="12"/>
        <v>Game 3</v>
      </c>
      <c r="G98" s="104" t="str">
        <f>VLOOKUP(I98,'Swiss2 Registry'!$B$2:$C$703,2,False)</f>
        <v>diegoin10</v>
      </c>
      <c r="H98" s="84">
        <f t="shared" si="15"/>
        <v>258</v>
      </c>
      <c r="I98" s="84">
        <f>VLOOKUP(H98,'Swiss2 Registry'!$A$2:$B$703,2,False)</f>
        <v>345</v>
      </c>
      <c r="J98" s="83" t="s">
        <v>1858</v>
      </c>
      <c r="K98" s="108" t="str">
        <f t="array" ref="K98">XLOOKUP(CELL("contents",C98),'Swiss Registry'!$B$2:$B$703,'Swiss Registry'!$N$2:$N$703) </f>
        <v>520352187344355359</v>
      </c>
      <c r="L98" s="109" t="str">
        <f t="array" ref="L98">XLOOKUP(CELL("contents",G98),'Swiss Registry'!$B$2:$B$703,'Swiss Registry'!$N$2:$N$703) </f>
        <v>808756098936733747</v>
      </c>
    </row>
    <row r="99">
      <c r="A99" s="84">
        <f t="shared" si="13"/>
        <v>94</v>
      </c>
      <c r="B99" s="84">
        <f>VLOOKUP(A99,'Swiss2 Registry'!$A$2:$B$703,2,False)</f>
        <v>225</v>
      </c>
      <c r="C99" s="104" t="str">
        <f>VLOOKUP(B99,'Swiss2 Registry'!$B$2:$C$703,2,False)</f>
        <v>realfredrickDOUGLASS</v>
      </c>
      <c r="D99" s="105" t="str">
        <f t="shared" si="11"/>
        <v>Game 1</v>
      </c>
      <c r="E99" s="106" t="str">
        <f t="shared" si="14"/>
        <v>Game 2</v>
      </c>
      <c r="F99" s="110" t="str">
        <f t="shared" si="12"/>
        <v>Game 3</v>
      </c>
      <c r="G99" s="104" t="str">
        <f>VLOOKUP(I99,'Swiss2 Registry'!$B$2:$C$703,2,False)</f>
        <v>heyitsmeriley</v>
      </c>
      <c r="H99" s="84">
        <f t="shared" si="15"/>
        <v>257</v>
      </c>
      <c r="I99" s="84">
        <f>VLOOKUP(H99,'Swiss2 Registry'!$A$2:$B$703,2,False)</f>
        <v>237</v>
      </c>
      <c r="J99" s="83" t="s">
        <v>1859</v>
      </c>
      <c r="K99" s="108" t="str">
        <f t="array" ref="K99">XLOOKUP(CELL("contents",C99),'Swiss Registry'!$B$2:$B$703,'Swiss Registry'!$N$2:$N$703) </f>
        <v>983910013036793886</v>
      </c>
      <c r="L99" s="109" t="str">
        <f t="array" ref="L99">XLOOKUP(CELL("contents",G99),'Swiss Registry'!$B$2:$B$703,'Swiss Registry'!$N$2:$N$703) </f>
        <v>271422310412451840</v>
      </c>
    </row>
    <row r="100">
      <c r="A100" s="84">
        <f t="shared" si="13"/>
        <v>95</v>
      </c>
      <c r="B100" s="84">
        <f>VLOOKUP(A100,'Swiss2 Registry'!$A$2:$B$703,2,False)</f>
        <v>557</v>
      </c>
      <c r="C100" s="104" t="str">
        <f>VLOOKUP(B100,'Swiss2 Registry'!$B$2:$C$703,2,False)</f>
        <v>Cream314</v>
      </c>
      <c r="D100" s="105" t="str">
        <f t="shared" si="11"/>
        <v>Game 1</v>
      </c>
      <c r="E100" s="106" t="str">
        <f t="shared" si="14"/>
        <v>Game 2</v>
      </c>
      <c r="F100" s="107" t="str">
        <f t="shared" si="12"/>
        <v/>
      </c>
      <c r="G100" s="104" t="str">
        <f>VLOOKUP(I100,'Swiss2 Registry'!$B$2:$C$703,2,False)</f>
        <v>ReavenFTW</v>
      </c>
      <c r="H100" s="84">
        <f t="shared" si="15"/>
        <v>256</v>
      </c>
      <c r="I100" s="84">
        <f>VLOOKUP(H100,'Swiss2 Registry'!$A$2:$B$703,2,False)</f>
        <v>131</v>
      </c>
      <c r="J100" s="83" t="s">
        <v>1860</v>
      </c>
      <c r="K100" s="108" t="str">
        <f t="array" ref="K100">XLOOKUP(CELL("contents",C100),'Swiss Registry'!$B$2:$B$703,'Swiss Registry'!$N$2:$N$703) </f>
        <v>272909263205040140</v>
      </c>
      <c r="L100" s="109" t="str">
        <f t="array" ref="L100">XLOOKUP(CELL("contents",G100),'Swiss Registry'!$B$2:$B$703,'Swiss Registry'!$N$2:$N$703) </f>
        <v>491685671480721419</v>
      </c>
    </row>
    <row r="101">
      <c r="A101" s="84">
        <f t="shared" si="13"/>
        <v>96</v>
      </c>
      <c r="B101" s="84">
        <f>VLOOKUP(A101,'Swiss2 Registry'!$A$2:$B$703,2,False)</f>
        <v>631</v>
      </c>
      <c r="C101" s="104" t="str">
        <f>VLOOKUP(B101,'Swiss2 Registry'!$B$2:$C$703,2,False)</f>
        <v>Slimsinatra93</v>
      </c>
      <c r="D101" s="111" t="str">
        <f t="shared" si="11"/>
        <v/>
      </c>
      <c r="E101" s="112" t="str">
        <f t="shared" si="14"/>
        <v>Act: clarissen</v>
      </c>
      <c r="F101" s="107" t="str">
        <f t="shared" si="12"/>
        <v/>
      </c>
      <c r="G101" s="104" t="str">
        <f>VLOOKUP(I101,'Swiss2 Registry'!$B$2:$C$703,2,False)</f>
        <v>clarissen</v>
      </c>
      <c r="H101" s="84">
        <f t="shared" si="15"/>
        <v>255</v>
      </c>
      <c r="I101" s="84">
        <f>VLOOKUP(H101,'Swiss2 Registry'!$A$2:$B$703,2,False)</f>
        <v>609</v>
      </c>
      <c r="J101" s="83" t="s">
        <v>1523</v>
      </c>
      <c r="K101" s="108" t="str">
        <f t="array" ref="K101">XLOOKUP(CELL("contents",C101),'Swiss Registry'!$B$2:$B$703,'Swiss Registry'!$N$2:$N$703) </f>
        <v>418807730627936277</v>
      </c>
      <c r="L101" s="109" t="str">
        <f t="array" ref="L101">XLOOKUP(CELL("contents",G101),'Swiss Registry'!$B$2:$B$703,'Swiss Registry'!$N$2:$N$703) </f>
        <v>443637291165024277</v>
      </c>
    </row>
    <row r="102">
      <c r="A102" s="84">
        <f t="shared" si="13"/>
        <v>97</v>
      </c>
      <c r="B102" s="84">
        <f>VLOOKUP(A102,'Swiss2 Registry'!$A$2:$B$703,2,False)</f>
        <v>584</v>
      </c>
      <c r="C102" s="104" t="str">
        <f>VLOOKUP(B102,'Swiss2 Registry'!$B$2:$C$703,2,False)</f>
        <v>ebitachy</v>
      </c>
      <c r="D102" s="105" t="str">
        <f t="shared" si="11"/>
        <v>Game 1</v>
      </c>
      <c r="E102" s="106" t="str">
        <f t="shared" si="14"/>
        <v>Game 2</v>
      </c>
      <c r="F102" s="107" t="str">
        <f t="shared" si="12"/>
        <v/>
      </c>
      <c r="G102" s="104" t="str">
        <f>VLOOKUP(I102,'Swiss2 Registry'!$B$2:$C$703,2,False)</f>
        <v>danielck9797</v>
      </c>
      <c r="H102" s="84">
        <f t="shared" si="15"/>
        <v>254</v>
      </c>
      <c r="I102" s="84">
        <f>VLOOKUP(H102,'Swiss2 Registry'!$A$2:$B$703,2,False)</f>
        <v>376</v>
      </c>
      <c r="J102" s="83" t="s">
        <v>1861</v>
      </c>
      <c r="K102" s="108" t="str">
        <f t="array" ref="K102">XLOOKUP(CELL("contents",C102),'Swiss Registry'!$B$2:$B$703,'Swiss Registry'!$N$2:$N$703) </f>
        <v>219131577030934529</v>
      </c>
      <c r="L102" s="109" t="str">
        <f t="array" ref="L102">XLOOKUP(CELL("contents",G102),'Swiss Registry'!$B$2:$B$703,'Swiss Registry'!$N$2:$N$703) </f>
        <v>397204999957905408</v>
      </c>
    </row>
    <row r="103">
      <c r="A103" s="84">
        <f t="shared" si="13"/>
        <v>98</v>
      </c>
      <c r="B103" s="84">
        <f>VLOOKUP(A103,'Swiss2 Registry'!$A$2:$B$703,2,False)</f>
        <v>236</v>
      </c>
      <c r="C103" s="104" t="str">
        <f>VLOOKUP(B103,'Swiss2 Registry'!$B$2:$C$703,2,False)</f>
        <v>treyprime</v>
      </c>
      <c r="D103" s="105" t="str">
        <f t="shared" si="11"/>
        <v>Game 1</v>
      </c>
      <c r="E103" s="106" t="str">
        <f t="shared" si="14"/>
        <v>Game 2</v>
      </c>
      <c r="F103" s="110" t="str">
        <f t="shared" si="12"/>
        <v>Game 3</v>
      </c>
      <c r="G103" s="104" t="str">
        <f>VLOOKUP(I103,'Swiss2 Registry'!$B$2:$C$703,2,False)</f>
        <v>datguycactus</v>
      </c>
      <c r="H103" s="84">
        <f t="shared" si="15"/>
        <v>253</v>
      </c>
      <c r="I103" s="84">
        <f>VLOOKUP(H103,'Swiss2 Registry'!$A$2:$B$703,2,False)</f>
        <v>454</v>
      </c>
      <c r="J103" s="83" t="s">
        <v>1862</v>
      </c>
      <c r="K103" s="108" t="str">
        <f t="array" ref="K103">XLOOKUP(CELL("contents",C103),'Swiss Registry'!$B$2:$B$703,'Swiss Registry'!$N$2:$N$703) </f>
        <v>73106121434333184</v>
      </c>
      <c r="L103" s="109" t="str">
        <f t="array" ref="L103">XLOOKUP(CELL("contents",G103),'Swiss Registry'!$B$2:$B$703,'Swiss Registry'!$N$2:$N$703) </f>
        <v>764554384594960404</v>
      </c>
    </row>
    <row r="104">
      <c r="A104" s="84">
        <f t="shared" si="13"/>
        <v>99</v>
      </c>
      <c r="B104" s="84">
        <f>VLOOKUP(A104,'Swiss2 Registry'!$A$2:$B$703,2,False)</f>
        <v>495</v>
      </c>
      <c r="C104" s="104" t="str">
        <f>VLOOKUP(B104,'Swiss2 Registry'!$B$2:$C$703,2,False)</f>
        <v>Raven_queen</v>
      </c>
      <c r="D104" s="105" t="str">
        <f t="shared" si="11"/>
        <v>Game 1</v>
      </c>
      <c r="E104" s="106" t="str">
        <f t="shared" si="14"/>
        <v>Game 2</v>
      </c>
      <c r="F104" s="110" t="str">
        <f t="shared" si="12"/>
        <v>Game 3</v>
      </c>
      <c r="G104" s="104" t="str">
        <f>VLOOKUP(I104,'Swiss2 Registry'!$B$2:$C$703,2,False)</f>
        <v>SoCalSon</v>
      </c>
      <c r="H104" s="84">
        <f t="shared" si="15"/>
        <v>252</v>
      </c>
      <c r="I104" s="84">
        <f>VLOOKUP(H104,'Swiss2 Registry'!$A$2:$B$703,2,False)</f>
        <v>457</v>
      </c>
      <c r="J104" s="83" t="s">
        <v>1863</v>
      </c>
      <c r="K104" s="108" t="str">
        <f t="array" ref="K104">XLOOKUP(CELL("contents",C104),'Swiss Registry'!$B$2:$B$703,'Swiss Registry'!$N$2:$N$703) </f>
        <v>698505458129829940</v>
      </c>
      <c r="L104" s="109" t="str">
        <f t="array" ref="L104">XLOOKUP(CELL("contents",G104),'Swiss Registry'!$B$2:$B$703,'Swiss Registry'!$N$2:$N$703) </f>
        <v>468130505280192512</v>
      </c>
    </row>
    <row r="105">
      <c r="A105" s="84">
        <f t="shared" si="13"/>
        <v>100</v>
      </c>
      <c r="B105" s="84">
        <f>VLOOKUP(A105,'Swiss2 Registry'!$A$2:$B$703,2,False)</f>
        <v>138</v>
      </c>
      <c r="C105" s="104" t="str">
        <f>VLOOKUP(B105,'Swiss2 Registry'!$B$2:$C$703,2,False)</f>
        <v>Drekt93#0078</v>
      </c>
      <c r="D105" s="105" t="str">
        <f t="shared" si="11"/>
        <v>Game 1</v>
      </c>
      <c r="E105" s="106" t="str">
        <f t="shared" si="14"/>
        <v>Game 2</v>
      </c>
      <c r="F105" s="107" t="str">
        <f t="shared" si="12"/>
        <v/>
      </c>
      <c r="G105" s="104" t="str">
        <f>VLOOKUP(I105,'Swiss2 Registry'!$B$2:$C$703,2,False)</f>
        <v>Amir (lordamir &amp; lordamir2)</v>
      </c>
      <c r="H105" s="84">
        <f t="shared" si="15"/>
        <v>251</v>
      </c>
      <c r="I105" s="84">
        <f>VLOOKUP(H105,'Swiss2 Registry'!$A$2:$B$703,2,False)</f>
        <v>157</v>
      </c>
      <c r="J105" s="83" t="s">
        <v>1864</v>
      </c>
      <c r="K105" s="108" t="str">
        <f t="array" ref="K105">XLOOKUP(CELL("contents",C105),'Swiss Registry'!$B$2:$B$703,'Swiss Registry'!$N$2:$N$703) </f>
        <v>140406234460323840</v>
      </c>
      <c r="L105" s="109" t="str">
        <f t="array" ref="L105">XLOOKUP(CELL("contents",G105),'Swiss Registry'!$B$2:$B$703,'Swiss Registry'!$N$2:$N$703) </f>
        <v>480949875953893376</v>
      </c>
    </row>
    <row r="106">
      <c r="A106" s="84">
        <f t="shared" si="13"/>
        <v>101</v>
      </c>
      <c r="B106" s="84">
        <f>VLOOKUP(A106,'Swiss2 Registry'!$A$2:$B$703,2,False)</f>
        <v>586</v>
      </c>
      <c r="C106" s="104" t="str">
        <f>VLOOKUP(B106,'Swiss2 Registry'!$B$2:$C$703,2,False)</f>
        <v>Yoink 0</v>
      </c>
      <c r="D106" s="105" t="str">
        <f t="shared" si="11"/>
        <v>Game 1</v>
      </c>
      <c r="E106" s="106" t="str">
        <f t="shared" si="14"/>
        <v>Game 2</v>
      </c>
      <c r="F106" s="110" t="str">
        <f t="shared" si="12"/>
        <v>Game 3</v>
      </c>
      <c r="G106" s="104" t="str">
        <f>VLOOKUP(I106,'Swiss2 Registry'!$B$2:$C$703,2,False)</f>
        <v>plznostep</v>
      </c>
      <c r="H106" s="84">
        <f t="shared" si="15"/>
        <v>250</v>
      </c>
      <c r="I106" s="84">
        <f>VLOOKUP(H106,'Swiss2 Registry'!$A$2:$B$703,2,False)</f>
        <v>326</v>
      </c>
      <c r="J106" s="83" t="s">
        <v>1865</v>
      </c>
      <c r="K106" s="108" t="str">
        <f t="array" ref="K106">XLOOKUP(CELL("contents",C106),'Swiss Registry'!$B$2:$B$703,'Swiss Registry'!$N$2:$N$703) </f>
        <v>1139533634194391050</v>
      </c>
      <c r="L106" s="109" t="str">
        <f t="array" ref="L106">XLOOKUP(CELL("contents",G106),'Swiss Registry'!$B$2:$B$703,'Swiss Registry'!$N$2:$N$703) </f>
        <v>992491212558839857</v>
      </c>
    </row>
    <row r="107">
      <c r="A107" s="84">
        <f t="shared" si="13"/>
        <v>102</v>
      </c>
      <c r="B107" s="84">
        <f>VLOOKUP(A107,'Swiss2 Registry'!$A$2:$B$703,2,False)</f>
        <v>284</v>
      </c>
      <c r="C107" s="104" t="str">
        <f>VLOOKUP(B107,'Swiss2 Registry'!$B$2:$C$703,2,False)</f>
        <v>jd_orph</v>
      </c>
      <c r="D107" s="105" t="str">
        <f t="shared" si="11"/>
        <v>Game 1</v>
      </c>
      <c r="E107" s="106" t="str">
        <f t="shared" si="14"/>
        <v>Game 2</v>
      </c>
      <c r="F107" s="110" t="str">
        <f t="shared" si="12"/>
        <v>Game 3</v>
      </c>
      <c r="G107" s="104" t="str">
        <f>VLOOKUP(I107,'Swiss2 Registry'!$B$2:$C$703,2,False)</f>
        <v>.verb</v>
      </c>
      <c r="H107" s="84">
        <f t="shared" si="15"/>
        <v>249</v>
      </c>
      <c r="I107" s="84">
        <f>VLOOKUP(H107,'Swiss2 Registry'!$A$2:$B$703,2,False)</f>
        <v>402</v>
      </c>
      <c r="J107" s="83" t="s">
        <v>1866</v>
      </c>
      <c r="K107" s="108" t="str">
        <f t="array" ref="K107">XLOOKUP(CELL("contents",C107),'Swiss Registry'!$B$2:$B$703,'Swiss Registry'!$N$2:$N$703) </f>
        <v>486001893655445534</v>
      </c>
      <c r="L107" s="109" t="str">
        <f t="array" ref="L107">XLOOKUP(CELL("contents",G107),'Swiss Registry'!$B$2:$B$703,'Swiss Registry'!$N$2:$N$703) </f>
        <v>97926747856580608</v>
      </c>
    </row>
    <row r="108">
      <c r="A108" s="84">
        <f t="shared" si="13"/>
        <v>103</v>
      </c>
      <c r="B108" s="84">
        <f>VLOOKUP(A108,'Swiss2 Registry'!$A$2:$B$703,2,False)</f>
        <v>359</v>
      </c>
      <c r="C108" s="104" t="str">
        <f>VLOOKUP(B108,'Swiss2 Registry'!$B$2:$C$703,2,False)</f>
        <v>deckline</v>
      </c>
      <c r="D108" s="105" t="str">
        <f t="shared" si="11"/>
        <v>Game 1</v>
      </c>
      <c r="E108" s="106" t="str">
        <f t="shared" si="14"/>
        <v>Game 2</v>
      </c>
      <c r="F108" s="107" t="str">
        <f t="shared" si="12"/>
        <v/>
      </c>
      <c r="G108" s="104" t="str">
        <f>VLOOKUP(I108,'Swiss2 Registry'!$B$2:$C$703,2,False)</f>
        <v>Saint-ome</v>
      </c>
      <c r="H108" s="84">
        <f t="shared" si="15"/>
        <v>248</v>
      </c>
      <c r="I108" s="84">
        <f>VLOOKUP(H108,'Swiss2 Registry'!$A$2:$B$703,2,False)</f>
        <v>480</v>
      </c>
      <c r="J108" s="83" t="s">
        <v>1867</v>
      </c>
      <c r="K108" s="108" t="str">
        <f t="array" ref="K108">XLOOKUP(CELL("contents",C108),'Swiss Registry'!$B$2:$B$703,'Swiss Registry'!$N$2:$N$703) </f>
        <v>189508379356430336</v>
      </c>
      <c r="L108" s="109" t="str">
        <f t="array" ref="L108">XLOOKUP(CELL("contents",G108),'Swiss Registry'!$B$2:$B$703,'Swiss Registry'!$N$2:$N$703) </f>
        <v>398619797765488645</v>
      </c>
    </row>
    <row r="109">
      <c r="A109" s="84">
        <f t="shared" si="13"/>
        <v>104</v>
      </c>
      <c r="B109" s="84">
        <f>VLOOKUP(A109,'Swiss2 Registry'!$A$2:$B$703,2,False)</f>
        <v>183</v>
      </c>
      <c r="C109" s="104" t="str">
        <f>VLOOKUP(B109,'Swiss2 Registry'!$B$2:$C$703,2,False)</f>
        <v>darth_halux</v>
      </c>
      <c r="D109" s="105" t="str">
        <f t="shared" si="11"/>
        <v>Game 1</v>
      </c>
      <c r="E109" s="106" t="str">
        <f t="shared" si="14"/>
        <v>Game 2</v>
      </c>
      <c r="F109" s="107" t="str">
        <f t="shared" si="12"/>
        <v/>
      </c>
      <c r="G109" s="104" t="str">
        <f>VLOOKUP(I109,'Swiss2 Registry'!$B$2:$C$703,2,False)</f>
        <v>Redmoonie</v>
      </c>
      <c r="H109" s="84">
        <f t="shared" si="15"/>
        <v>247</v>
      </c>
      <c r="I109" s="84">
        <f>VLOOKUP(H109,'Swiss2 Registry'!$A$2:$B$703,2,False)</f>
        <v>172</v>
      </c>
      <c r="J109" s="83" t="s">
        <v>1868</v>
      </c>
      <c r="K109" s="108" t="str">
        <f t="array" ref="K109">XLOOKUP(CELL("contents",C109),'Swiss Registry'!$B$2:$B$703,'Swiss Registry'!$N$2:$N$703) </f>
        <v>303185896054980618</v>
      </c>
      <c r="L109" s="109" t="str">
        <f t="array" ref="L109">XLOOKUP(CELL("contents",G109),'Swiss Registry'!$B$2:$B$703,'Swiss Registry'!$N$2:$N$703) </f>
        <v>903044957298909185</v>
      </c>
    </row>
    <row r="110">
      <c r="A110" s="84">
        <f t="shared" si="13"/>
        <v>105</v>
      </c>
      <c r="B110" s="84">
        <f>VLOOKUP(A110,'Swiss2 Registry'!$A$2:$B$703,2,False)</f>
        <v>126</v>
      </c>
      <c r="C110" s="104" t="str">
        <f>VLOOKUP(B110,'Swiss2 Registry'!$B$2:$C$703,2,False)</f>
        <v>jussydkt</v>
      </c>
      <c r="D110" s="105" t="str">
        <f t="shared" si="11"/>
        <v>Game 1</v>
      </c>
      <c r="E110" s="106" t="str">
        <f t="shared" si="14"/>
        <v>Game 2</v>
      </c>
      <c r="F110" s="110" t="str">
        <f t="shared" si="12"/>
        <v>Game 3</v>
      </c>
      <c r="G110" s="104" t="str">
        <f>VLOOKUP(I110,'Swiss2 Registry'!$B$2:$C$703,2,False)</f>
        <v>FaceOFF</v>
      </c>
      <c r="H110" s="84">
        <f t="shared" si="15"/>
        <v>246</v>
      </c>
      <c r="I110" s="84">
        <f>VLOOKUP(H110,'Swiss2 Registry'!$A$2:$B$703,2,False)</f>
        <v>411</v>
      </c>
      <c r="J110" s="83" t="s">
        <v>1869</v>
      </c>
      <c r="K110" s="108" t="str">
        <f t="array" ref="K110">XLOOKUP(CELL("contents",C110),'Swiss Registry'!$B$2:$B$703,'Swiss Registry'!$N$2:$N$703) </f>
        <v>344773420463947777</v>
      </c>
      <c r="L110" s="109" t="str">
        <f t="array" ref="L110">XLOOKUP(CELL("contents",G110),'Swiss Registry'!$B$2:$B$703,'Swiss Registry'!$N$2:$N$703) </f>
        <v>330062412294127616</v>
      </c>
    </row>
    <row r="111">
      <c r="A111" s="84">
        <f t="shared" si="13"/>
        <v>106</v>
      </c>
      <c r="B111" s="84">
        <f>VLOOKUP(A111,'Swiss2 Registry'!$A$2:$B$703,2,False)</f>
        <v>245</v>
      </c>
      <c r="C111" s="104" t="str">
        <f>VLOOKUP(B111,'Swiss2 Registry'!$B$2:$C$703,2,False)</f>
        <v>durmain (slamonBbq)</v>
      </c>
      <c r="D111" s="105" t="str">
        <f t="shared" si="11"/>
        <v>Game 1</v>
      </c>
      <c r="E111" s="106" t="str">
        <f t="shared" si="14"/>
        <v>Game 2</v>
      </c>
      <c r="F111" s="110" t="str">
        <f t="shared" si="12"/>
        <v>Game 3</v>
      </c>
      <c r="G111" s="104" t="str">
        <f>VLOOKUP(I111,'Swiss2 Registry'!$B$2:$C$703,2,False)</f>
        <v>Scrigman</v>
      </c>
      <c r="H111" s="84">
        <f t="shared" si="15"/>
        <v>245</v>
      </c>
      <c r="I111" s="84">
        <f>VLOOKUP(H111,'Swiss2 Registry'!$A$2:$B$703,2,False)</f>
        <v>150</v>
      </c>
      <c r="J111" s="83" t="s">
        <v>1870</v>
      </c>
      <c r="K111" s="108" t="str">
        <f t="array" ref="K111">XLOOKUP(CELL("contents",C111),'Swiss Registry'!$B$2:$B$703,'Swiss Registry'!$N$2:$N$703) </f>
        <v>166049321983279104</v>
      </c>
      <c r="L111" s="109" t="str">
        <f t="array" ref="L111">XLOOKUP(CELL("contents",G111),'Swiss Registry'!$B$2:$B$703,'Swiss Registry'!$N$2:$N$703) </f>
        <v>211942228153597952</v>
      </c>
    </row>
    <row r="112">
      <c r="A112" s="84">
        <f t="shared" si="13"/>
        <v>107</v>
      </c>
      <c r="B112" s="84">
        <f>VLOOKUP(A112,'Swiss2 Registry'!$A$2:$B$703,2,False)</f>
        <v>472</v>
      </c>
      <c r="C112" s="104" t="str">
        <f>VLOOKUP(B112,'Swiss2 Registry'!$B$2:$C$703,2,False)</f>
        <v>cremozar#6029</v>
      </c>
      <c r="D112" s="105" t="str">
        <f t="shared" si="11"/>
        <v>Game 1</v>
      </c>
      <c r="E112" s="106" t="str">
        <f t="shared" si="14"/>
        <v>Game 2</v>
      </c>
      <c r="F112" s="110" t="str">
        <f t="shared" si="12"/>
        <v>Game 3</v>
      </c>
      <c r="G112" s="104" t="str">
        <f>VLOOKUP(I112,'Swiss2 Registry'!$B$2:$C$703,2,False)</f>
        <v>Superstar</v>
      </c>
      <c r="H112" s="84">
        <f t="shared" si="15"/>
        <v>244</v>
      </c>
      <c r="I112" s="84">
        <f>VLOOKUP(H112,'Swiss2 Registry'!$A$2:$B$703,2,False)</f>
        <v>296</v>
      </c>
      <c r="J112" s="83" t="s">
        <v>1871</v>
      </c>
      <c r="K112" s="108" t="str">
        <f t="array" ref="K112">XLOOKUP(CELL("contents",C112),'Swiss Registry'!$B$2:$B$703,'Swiss Registry'!$N$2:$N$703) </f>
        <v>231155483157856256</v>
      </c>
      <c r="L112" s="109" t="str">
        <f t="array" ref="L112">XLOOKUP(CELL("contents",G112),'Swiss Registry'!$B$2:$B$703,'Swiss Registry'!$N$2:$N$703) </f>
        <v>563859704300699688</v>
      </c>
    </row>
    <row r="113">
      <c r="A113" s="84">
        <f t="shared" si="13"/>
        <v>108</v>
      </c>
      <c r="B113" s="84">
        <f>VLOOKUP(A113,'Swiss2 Registry'!$A$2:$B$703,2,False)</f>
        <v>515</v>
      </c>
      <c r="C113" s="104" t="str">
        <f>VLOOKUP(B113,'Swiss2 Registry'!$B$2:$C$703,2,False)</f>
        <v>Fantasmal_.</v>
      </c>
      <c r="D113" s="105" t="str">
        <f t="shared" si="11"/>
        <v>Game 1</v>
      </c>
      <c r="E113" s="106" t="str">
        <f t="shared" si="14"/>
        <v>Game 2</v>
      </c>
      <c r="F113" s="107" t="str">
        <f t="shared" si="12"/>
        <v/>
      </c>
      <c r="G113" s="104" t="str">
        <f>VLOOKUP(I113,'Swiss2 Registry'!$B$2:$C$703,2,False)</f>
        <v>xerospacious</v>
      </c>
      <c r="H113" s="84">
        <f t="shared" si="15"/>
        <v>243</v>
      </c>
      <c r="I113" s="84">
        <f>VLOOKUP(H113,'Swiss2 Registry'!$A$2:$B$703,2,False)</f>
        <v>197</v>
      </c>
      <c r="J113" s="83" t="s">
        <v>1872</v>
      </c>
      <c r="K113" s="108" t="str">
        <f t="array" ref="K113">XLOOKUP(CELL("contents",C113),'Swiss Registry'!$B$2:$B$703,'Swiss Registry'!$N$2:$N$703) </f>
        <v>1232210933489864785</v>
      </c>
      <c r="L113" s="109" t="str">
        <f t="array" ref="L113">XLOOKUP(CELL("contents",G113),'Swiss Registry'!$B$2:$B$703,'Swiss Registry'!$N$2:$N$703) </f>
        <v>244792682927489025</v>
      </c>
    </row>
    <row r="114">
      <c r="A114" s="84">
        <f t="shared" si="13"/>
        <v>109</v>
      </c>
      <c r="B114" s="84">
        <f>VLOOKUP(A114,'Swiss2 Registry'!$A$2:$B$703,2,False)</f>
        <v>410</v>
      </c>
      <c r="C114" s="104" t="str">
        <f>VLOOKUP(B114,'Swiss2 Registry'!$B$2:$C$703,2,False)</f>
        <v>ultraemeraldman_16197</v>
      </c>
      <c r="D114" s="105" t="str">
        <f t="shared" si="11"/>
        <v>Game 1</v>
      </c>
      <c r="E114" s="106" t="str">
        <f t="shared" si="14"/>
        <v>Game 2</v>
      </c>
      <c r="F114" s="110" t="str">
        <f t="shared" si="12"/>
        <v>Game 3</v>
      </c>
      <c r="G114" s="104" t="str">
        <f>VLOOKUP(I114,'Swiss2 Registry'!$B$2:$C$703,2,False)</f>
        <v>JCK_ionic</v>
      </c>
      <c r="H114" s="84">
        <f t="shared" si="15"/>
        <v>242</v>
      </c>
      <c r="I114" s="84">
        <f>VLOOKUP(H114,'Swiss2 Registry'!$A$2:$B$703,2,False)</f>
        <v>587</v>
      </c>
      <c r="J114" s="83" t="s">
        <v>1873</v>
      </c>
      <c r="K114" s="108" t="str">
        <f t="array" ref="K114">XLOOKUP(CELL("contents",C114),'Swiss Registry'!$B$2:$B$703,'Swiss Registry'!$N$2:$N$703) </f>
        <v>1160240514046631987</v>
      </c>
      <c r="L114" s="109" t="str">
        <f t="array" ref="L114">XLOOKUP(CELL("contents",G114),'Swiss Registry'!$B$2:$B$703,'Swiss Registry'!$N$2:$N$703) </f>
        <v>285602550345105409</v>
      </c>
    </row>
    <row r="115">
      <c r="A115" s="84">
        <f t="shared" si="13"/>
        <v>110</v>
      </c>
      <c r="B115" s="84">
        <f>VLOOKUP(A115,'Swiss2 Registry'!$A$2:$B$703,2,False)</f>
        <v>254</v>
      </c>
      <c r="C115" s="104" t="str">
        <f>VLOOKUP(B115,'Swiss2 Registry'!$B$2:$C$703,2,False)</f>
        <v>.seden</v>
      </c>
      <c r="D115" s="105" t="str">
        <f t="shared" si="11"/>
        <v>Game 1</v>
      </c>
      <c r="E115" s="106" t="str">
        <f t="shared" si="14"/>
        <v>Game 2</v>
      </c>
      <c r="F115" s="110" t="str">
        <f t="shared" si="12"/>
        <v>Game 3</v>
      </c>
      <c r="G115" s="104" t="str">
        <f>VLOOKUP(I115,'Swiss2 Registry'!$B$2:$C$703,2,False)</f>
        <v>btalb</v>
      </c>
      <c r="H115" s="84">
        <f t="shared" si="15"/>
        <v>241</v>
      </c>
      <c r="I115" s="84">
        <f>VLOOKUP(H115,'Swiss2 Registry'!$A$2:$B$703,2,False)</f>
        <v>142</v>
      </c>
      <c r="J115" s="83" t="s">
        <v>1874</v>
      </c>
      <c r="K115" s="108" t="str">
        <f t="array" ref="K115">XLOOKUP(CELL("contents",C115),'Swiss Registry'!$B$2:$B$703,'Swiss Registry'!$N$2:$N$703) </f>
        <v>248581453158285312</v>
      </c>
      <c r="L115" s="109" t="str">
        <f t="array" ref="L115">XLOOKUP(CELL("contents",G115),'Swiss Registry'!$B$2:$B$703,'Swiss Registry'!$N$2:$N$703) </f>
        <v>210558965510045696</v>
      </c>
    </row>
    <row r="116">
      <c r="A116" s="84">
        <f t="shared" si="13"/>
        <v>111</v>
      </c>
      <c r="B116" s="84">
        <f>VLOOKUP(A116,'Swiss2 Registry'!$A$2:$B$703,2,False)</f>
        <v>683</v>
      </c>
      <c r="C116" s="104" t="str">
        <f>VLOOKUP(B116,'Swiss2 Registry'!$B$2:$C$703,2,False)</f>
        <v>ManiacalDolphin</v>
      </c>
      <c r="D116" s="111" t="str">
        <f t="shared" si="11"/>
        <v/>
      </c>
      <c r="E116" s="112" t="str">
        <f t="shared" si="14"/>
        <v>Act: thestonewallsmith</v>
      </c>
      <c r="F116" s="107" t="str">
        <f t="shared" si="12"/>
        <v/>
      </c>
      <c r="G116" s="104" t="str">
        <f>VLOOKUP(I116,'Swiss2 Registry'!$B$2:$C$703,2,False)</f>
        <v>thestonewallsmith</v>
      </c>
      <c r="H116" s="84">
        <f t="shared" si="15"/>
        <v>240</v>
      </c>
      <c r="I116" s="84">
        <f>VLOOKUP(H116,'Swiss2 Registry'!$A$2:$B$703,2,False)</f>
        <v>191</v>
      </c>
      <c r="J116" s="83" t="s">
        <v>1523</v>
      </c>
      <c r="K116" s="108" t="str">
        <f t="array" ref="K116">XLOOKUP(CELL("contents",C116),'Swiss Registry'!$B$2:$B$703,'Swiss Registry'!$N$2:$N$703) </f>
        <v>218904208110387204</v>
      </c>
      <c r="L116" s="109" t="str">
        <f t="array" ref="L116">XLOOKUP(CELL("contents",G116),'Swiss Registry'!$B$2:$B$703,'Swiss Registry'!$N$2:$N$703) </f>
        <v>320335928155701250</v>
      </c>
    </row>
    <row r="117">
      <c r="A117" s="84">
        <f t="shared" si="13"/>
        <v>112</v>
      </c>
      <c r="B117" s="84">
        <f>VLOOKUP(A117,'Swiss2 Registry'!$A$2:$B$703,2,False)</f>
        <v>680</v>
      </c>
      <c r="C117" s="104" t="str">
        <f>VLOOKUP(B117,'Swiss2 Registry'!$B$2:$C$703,2,False)</f>
        <v>jthompson9021</v>
      </c>
      <c r="D117" s="105" t="str">
        <f t="shared" si="11"/>
        <v>Game 1</v>
      </c>
      <c r="E117" s="106" t="str">
        <f t="shared" si="14"/>
        <v>Game 2</v>
      </c>
      <c r="F117" s="107" t="str">
        <f t="shared" si="12"/>
        <v/>
      </c>
      <c r="G117" s="104" t="str">
        <f>VLOOKUP(I117,'Swiss2 Registry'!$B$2:$C$703,2,False)</f>
        <v>Polt99</v>
      </c>
      <c r="H117" s="84">
        <f t="shared" si="15"/>
        <v>239</v>
      </c>
      <c r="I117" s="84">
        <f>VLOOKUP(H117,'Swiss2 Registry'!$A$2:$B$703,2,False)</f>
        <v>397</v>
      </c>
      <c r="J117" s="83" t="s">
        <v>1875</v>
      </c>
      <c r="K117" s="108" t="str">
        <f t="array" ref="K117">XLOOKUP(CELL("contents",C117),'Swiss Registry'!$B$2:$B$703,'Swiss Registry'!$N$2:$N$703) </f>
        <v>198634963766214656</v>
      </c>
      <c r="L117" s="109" t="str">
        <f t="array" ref="L117">XLOOKUP(CELL("contents",G117),'Swiss Registry'!$B$2:$B$703,'Swiss Registry'!$N$2:$N$703) </f>
        <v>760539294652694588</v>
      </c>
    </row>
    <row r="118">
      <c r="A118" s="84">
        <f t="shared" si="13"/>
        <v>113</v>
      </c>
      <c r="B118" s="84">
        <f>VLOOKUP(A118,'Swiss2 Registry'!$A$2:$B$703,2,False)</f>
        <v>550</v>
      </c>
      <c r="C118" s="104" t="str">
        <f>VLOOKUP(B118,'Swiss2 Registry'!$B$2:$C$703,2,False)</f>
        <v>xho_xho_</v>
      </c>
      <c r="D118" s="105" t="str">
        <f t="shared" si="11"/>
        <v>Game 1</v>
      </c>
      <c r="E118" s="106" t="str">
        <f t="shared" si="14"/>
        <v>Game 2</v>
      </c>
      <c r="F118" s="110" t="str">
        <f t="shared" si="12"/>
        <v>Game 3</v>
      </c>
      <c r="G118" s="104" t="str">
        <f>VLOOKUP(I118,'Swiss2 Registry'!$B$2:$C$703,2,False)</f>
        <v>leofox___</v>
      </c>
      <c r="H118" s="84">
        <f t="shared" si="15"/>
        <v>238</v>
      </c>
      <c r="I118" s="84">
        <f>VLOOKUP(H118,'Swiss2 Registry'!$A$2:$B$703,2,False)</f>
        <v>499</v>
      </c>
      <c r="J118" s="83" t="s">
        <v>1876</v>
      </c>
      <c r="K118" s="108" t="str">
        <f t="array" ref="K118">XLOOKUP(CELL("contents",C118),'Swiss Registry'!$B$2:$B$703,'Swiss Registry'!$N$2:$N$703) </f>
        <v>1026473914269978624</v>
      </c>
      <c r="L118" s="109" t="str">
        <f t="array" ref="L118">XLOOKUP(CELL("contents",G118),'Swiss Registry'!$B$2:$B$703,'Swiss Registry'!$N$2:$N$703) </f>
        <v>1186654173094228048</v>
      </c>
    </row>
    <row r="119">
      <c r="A119" s="84">
        <f t="shared" si="13"/>
        <v>114</v>
      </c>
      <c r="B119" s="84">
        <f>VLOOKUP(A119,'Swiss2 Registry'!$A$2:$B$703,2,False)</f>
        <v>243</v>
      </c>
      <c r="C119" s="104" t="str">
        <f>VLOOKUP(B119,'Swiss2 Registry'!$B$2:$C$703,2,False)</f>
        <v>skittleskitty</v>
      </c>
      <c r="D119" s="105" t="str">
        <f t="shared" si="11"/>
        <v>Game 1</v>
      </c>
      <c r="E119" s="106" t="str">
        <f t="shared" si="14"/>
        <v>Game 2</v>
      </c>
      <c r="F119" s="110" t="str">
        <f t="shared" si="12"/>
        <v>Game 3</v>
      </c>
      <c r="G119" s="104" t="str">
        <f>VLOOKUP(I119,'Swiss2 Registry'!$B$2:$C$703,2,False)</f>
        <v>Josito</v>
      </c>
      <c r="H119" s="84">
        <f t="shared" si="15"/>
        <v>237</v>
      </c>
      <c r="I119" s="84">
        <f>VLOOKUP(H119,'Swiss2 Registry'!$A$2:$B$703,2,False)</f>
        <v>641</v>
      </c>
      <c r="J119" s="83" t="s">
        <v>1877</v>
      </c>
      <c r="K119" s="108" t="str">
        <f t="array" ref="K119">XLOOKUP(CELL("contents",C119),'Swiss Registry'!$B$2:$B$703,'Swiss Registry'!$N$2:$N$703) </f>
        <v>280113950140530699</v>
      </c>
      <c r="L119" s="109" t="str">
        <f t="array" ref="L119">XLOOKUP(CELL("contents",G119),'Swiss Registry'!$B$2:$B$703,'Swiss Registry'!$N$2:$N$703) </f>
        <v>206542779122319360</v>
      </c>
    </row>
    <row r="120">
      <c r="A120" s="84">
        <f t="shared" si="13"/>
        <v>115</v>
      </c>
      <c r="B120" s="84">
        <f>VLOOKUP(A120,'Swiss2 Registry'!$A$2:$B$703,2,False)</f>
        <v>599</v>
      </c>
      <c r="C120" s="104" t="str">
        <f>VLOOKUP(B120,'Swiss2 Registry'!$B$2:$C$703,2,False)</f>
        <v>Klird</v>
      </c>
      <c r="D120" s="105" t="str">
        <f t="shared" si="11"/>
        <v>Game 1</v>
      </c>
      <c r="E120" s="106" t="str">
        <f t="shared" si="14"/>
        <v>Game 2</v>
      </c>
      <c r="F120" s="107" t="str">
        <f t="shared" si="12"/>
        <v/>
      </c>
      <c r="G120" s="104" t="str">
        <f>VLOOKUP(I120,'Swiss2 Registry'!$B$2:$C$703,2,False)</f>
        <v>litterofbiscuits</v>
      </c>
      <c r="H120" s="84">
        <f t="shared" si="15"/>
        <v>236</v>
      </c>
      <c r="I120" s="84">
        <f>VLOOKUP(H120,'Swiss2 Registry'!$A$2:$B$703,2,False)</f>
        <v>159</v>
      </c>
      <c r="J120" s="83" t="s">
        <v>1878</v>
      </c>
      <c r="K120" s="108" t="str">
        <f t="array" ref="K120">XLOOKUP(CELL("contents",C120),'Swiss Registry'!$B$2:$B$703,'Swiss Registry'!$N$2:$N$703) </f>
        <v>393218478187741186</v>
      </c>
      <c r="L120" s="109" t="str">
        <f t="array" ref="L120">XLOOKUP(CELL("contents",G120),'Swiss Registry'!$B$2:$B$703,'Swiss Registry'!$N$2:$N$703) </f>
        <v>348980973825818626</v>
      </c>
    </row>
    <row r="121">
      <c r="A121" s="84">
        <f t="shared" si="13"/>
        <v>116</v>
      </c>
      <c r="B121" s="84">
        <f>VLOOKUP(A121,'Swiss2 Registry'!$A$2:$B$703,2,False)</f>
        <v>200</v>
      </c>
      <c r="C121" s="104" t="str">
        <f>VLOOKUP(B121,'Swiss2 Registry'!$B$2:$C$703,2,False)</f>
        <v>squirtle_squadbig_squatto</v>
      </c>
      <c r="D121" s="105" t="str">
        <f t="shared" si="11"/>
        <v>Game 1</v>
      </c>
      <c r="E121" s="106" t="str">
        <f t="shared" si="14"/>
        <v>Game 2</v>
      </c>
      <c r="F121" s="110" t="str">
        <f t="shared" si="12"/>
        <v>Game 3</v>
      </c>
      <c r="G121" s="104" t="str">
        <f>VLOOKUP(I121,'Swiss2 Registry'!$B$2:$C$703,2,False)</f>
        <v>Tefo</v>
      </c>
      <c r="H121" s="84">
        <f t="shared" si="15"/>
        <v>235</v>
      </c>
      <c r="I121" s="84">
        <f>VLOOKUP(H121,'Swiss2 Registry'!$A$2:$B$703,2,False)</f>
        <v>221</v>
      </c>
      <c r="J121" s="83" t="s">
        <v>1879</v>
      </c>
      <c r="K121" s="108" t="str">
        <f t="array" ref="K121">XLOOKUP(CELL("contents",C121),'Swiss Registry'!$B$2:$B$703,'Swiss Registry'!$N$2:$N$703) </f>
        <v>867120639248564234</v>
      </c>
      <c r="L121" s="109" t="str">
        <f t="array" ref="L121">XLOOKUP(CELL("contents",G121),'Swiss Registry'!$B$2:$B$703,'Swiss Registry'!$N$2:$N$703) </f>
        <v>398388682874159106</v>
      </c>
    </row>
    <row r="122" ht="15.0" customHeight="1">
      <c r="A122" s="80"/>
      <c r="B122" s="114"/>
      <c r="C122" s="115"/>
      <c r="D122" s="114"/>
      <c r="E122" s="82" t="s">
        <v>1563</v>
      </c>
      <c r="F122" s="81"/>
      <c r="G122" s="81"/>
      <c r="H122" s="81"/>
      <c r="I122" s="81"/>
      <c r="J122" s="83"/>
      <c r="K122" s="116" t="str">
        <f t="array" ref="K122">XLOOKUP(CELL("contents",C122),'Swiss Registry'!$B$2:$B$703,'Swiss Registry'!$N$2:$N$703) </f>
        <v>#N/A</v>
      </c>
      <c r="L122" s="117" t="str">
        <f t="array" ref="L122">XLOOKUP(CELL("contents",G122),'Swiss Registry'!$B$2:$B$703,'Swiss Registry'!$N$2:$N$703) </f>
        <v>#N/A</v>
      </c>
    </row>
    <row r="123">
      <c r="A123" s="84">
        <f>A121+1</f>
        <v>117</v>
      </c>
      <c r="B123" s="84">
        <f>VLOOKUP(A123,'Swiss2 Registry'!$A$2:$B$703,2,False)</f>
        <v>429</v>
      </c>
      <c r="C123" s="104" t="str">
        <f>VLOOKUP(B123,'Swiss2 Registry'!$B$2:$C$703,2,False)</f>
        <v>Aahaahaah</v>
      </c>
      <c r="D123" s="105" t="str">
        <f t="shared" ref="D123:D161" si="16">IF(J123="dead","",IF(J123="a:act","",IF(J123="b:act","",IF(ISURL(HYPERLINK(INDIRECT("Importer!B"&amp;MID(J123,2,4)+1,TRUE))),HYPERLINK(INDIRECT("Importer!B"&amp;MID(J123,2,4)+1,TRUE), "Game 1"),""))))</f>
        <v>Game 1</v>
      </c>
      <c r="E123" s="106" t="str">
        <f>IF(J123="dead","Dead Game",IF(J123="a:act","Act: "&amp;G123,IF(J123="b:act","Act: "&amp;#REF!,IF(ISURL(HYPERLINK(INDIRECT("Importer!B"&amp;MID(J123,6,4)+1,TRUE))),HYPERLINK(INDIRECT("Importer!B"&amp;MID(J123,6,4)+1,TRUE), "Game 2"),""))))</f>
        <v>Game 2</v>
      </c>
      <c r="F123" s="110" t="str">
        <f t="shared" ref="F123:F161" si="17">IF(J123="dead","",IF(J123="a:act","",IF(J123="b:act","",IF(ISURL(HYPERLINK(INDIRECT("Importer!B"&amp;MID(J123,10,4)+1,TRUE))),HYPERLINK(INDIRECT("Importer!B"&amp;MID(J123,10,4)+1,TRUE), "Game 3"),""))))</f>
        <v>Game 3</v>
      </c>
      <c r="G123" s="104" t="str">
        <f>VLOOKUP(I123,'Swiss2 Registry'!$B$2:$C$703,2,False)</f>
        <v>Typlion</v>
      </c>
      <c r="H123" s="84">
        <f>H121-1</f>
        <v>234</v>
      </c>
      <c r="I123" s="84">
        <f>VLOOKUP(H123,'Swiss2 Registry'!$A$2:$B$703,2,False)</f>
        <v>357</v>
      </c>
      <c r="J123" s="83" t="s">
        <v>1880</v>
      </c>
      <c r="K123" s="108" t="str">
        <f t="array" ref="K123">XLOOKUP(CELL("contents",C123),'Swiss Registry'!$B$2:$B$703,'Swiss Registry'!$N$2:$N$703) </f>
        <v>127698611189448704</v>
      </c>
      <c r="L123" s="109" t="str">
        <f t="array" ref="L123">XLOOKUP(CELL("contents",G123),'Swiss Registry'!$B$2:$B$703,'Swiss Registry'!$N$2:$N$703) </f>
        <v>306096394463215618</v>
      </c>
    </row>
    <row r="124">
      <c r="A124" s="84">
        <f t="shared" ref="A124:A161" si="18">A123+1</f>
        <v>118</v>
      </c>
      <c r="B124" s="84">
        <f>VLOOKUP(A124,'Swiss2 Registry'!$A$2:$B$703,2,False)</f>
        <v>552</v>
      </c>
      <c r="C124" s="104" t="str">
        <f>VLOOKUP(B124,'Swiss2 Registry'!$B$2:$C$703,2,False)</f>
        <v>marcelbruer</v>
      </c>
      <c r="D124" s="105" t="str">
        <f t="shared" si="16"/>
        <v>Game 1</v>
      </c>
      <c r="E124" s="106" t="str">
        <f t="shared" ref="E124:E161" si="19">IF(J124="dead","Dead Game",IF(J124="a:act","Act: "&amp;C124,IF(J124="b:act","Act: "&amp;G124,IF(ISURL(HYPERLINK(INDIRECT("Importer!B"&amp;MID(J124,6,4)+1,TRUE))),HYPERLINK(INDIRECT("Importer!B"&amp;MID(J124,6,4)+1,TRUE), "Game 2"),""))))</f>
        <v>Game 2</v>
      </c>
      <c r="F124" s="110" t="str">
        <f t="shared" si="17"/>
        <v>Game 3</v>
      </c>
      <c r="G124" s="104" t="str">
        <f>VLOOKUP(I124,'Swiss2 Registry'!$B$2:$C$703,2,False)</f>
        <v>TheTwo</v>
      </c>
      <c r="H124" s="84">
        <f t="shared" ref="H124:H161" si="20">H123-1</f>
        <v>233</v>
      </c>
      <c r="I124" s="84">
        <f>VLOOKUP(H124,'Swiss2 Registry'!$A$2:$B$703,2,False)</f>
        <v>111</v>
      </c>
      <c r="J124" s="83" t="s">
        <v>1881</v>
      </c>
      <c r="K124" s="108" t="str">
        <f t="array" ref="K124">XLOOKUP(CELL("contents",C124),'Swiss Registry'!$B$2:$B$703,'Swiss Registry'!$N$2:$N$703) </f>
        <v>192472740651991040</v>
      </c>
      <c r="L124" s="109" t="str">
        <f t="array" ref="L124">XLOOKUP(CELL("contents",G124),'Swiss Registry'!$B$2:$B$703,'Swiss Registry'!$N$2:$N$703) </f>
        <v>680173901170606171</v>
      </c>
    </row>
    <row r="125">
      <c r="A125" s="84">
        <f t="shared" si="18"/>
        <v>119</v>
      </c>
      <c r="B125" s="84">
        <f>VLOOKUP(A125,'Swiss2 Registry'!$A$2:$B$703,2,False)</f>
        <v>554</v>
      </c>
      <c r="C125" s="104" t="str">
        <f>VLOOKUP(B125,'Swiss2 Registry'!$B$2:$C$703,2,False)</f>
        <v>ponzuuu</v>
      </c>
      <c r="D125" s="105" t="str">
        <f t="shared" si="16"/>
        <v>Game 1</v>
      </c>
      <c r="E125" s="106" t="str">
        <f t="shared" si="19"/>
        <v>Game 2</v>
      </c>
      <c r="F125" s="107" t="str">
        <f t="shared" si="17"/>
        <v/>
      </c>
      <c r="G125" s="104" t="str">
        <f>VLOOKUP(I125,'Swiss2 Registry'!$B$2:$C$703,2,False)</f>
        <v>billgatesalt_53189</v>
      </c>
      <c r="H125" s="84">
        <f t="shared" si="20"/>
        <v>232</v>
      </c>
      <c r="I125" s="84">
        <f>VLOOKUP(H125,'Swiss2 Registry'!$A$2:$B$703,2,False)</f>
        <v>271</v>
      </c>
      <c r="J125" s="83" t="s">
        <v>1882</v>
      </c>
      <c r="K125" s="108" t="str">
        <f t="array" ref="K125">XLOOKUP(CELL("contents",C125),'Swiss Registry'!$B$2:$B$703,'Swiss Registry'!$N$2:$N$703) </f>
        <v>186347195966947328</v>
      </c>
      <c r="L125" s="109" t="str">
        <f t="array" ref="L125">XLOOKUP(CELL("contents",G125),'Swiss Registry'!$B$2:$B$703,'Swiss Registry'!$N$2:$N$703) </f>
        <v>1288299733126746152</v>
      </c>
    </row>
    <row r="126">
      <c r="A126" s="84">
        <f t="shared" si="18"/>
        <v>120</v>
      </c>
      <c r="B126" s="84">
        <f>VLOOKUP(A126,'Swiss2 Registry'!$A$2:$B$703,2,False)</f>
        <v>354</v>
      </c>
      <c r="C126" s="104" t="str">
        <f>VLOOKUP(B126,'Swiss2 Registry'!$B$2:$C$703,2,False)</f>
        <v>grahamsandwich</v>
      </c>
      <c r="D126" s="105" t="str">
        <f t="shared" si="16"/>
        <v>Game 1</v>
      </c>
      <c r="E126" s="106" t="str">
        <f t="shared" si="19"/>
        <v>Game 2</v>
      </c>
      <c r="F126" s="110" t="str">
        <f t="shared" si="17"/>
        <v>Game 3</v>
      </c>
      <c r="G126" s="104" t="str">
        <f>VLOOKUP(I126,'Swiss2 Registry'!$B$2:$C$703,2,False)</f>
        <v>ThunderousBagel</v>
      </c>
      <c r="H126" s="84">
        <f t="shared" si="20"/>
        <v>231</v>
      </c>
      <c r="I126" s="84">
        <f>VLOOKUP(H126,'Swiss2 Registry'!$A$2:$B$703,2,False)</f>
        <v>380</v>
      </c>
      <c r="J126" s="83" t="s">
        <v>1883</v>
      </c>
      <c r="K126" s="108" t="str">
        <f t="array" ref="K126">XLOOKUP(CELL("contents",C126),'Swiss Registry'!$B$2:$B$703,'Swiss Registry'!$N$2:$N$703) </f>
        <v>256944534900965376</v>
      </c>
      <c r="L126" s="109" t="str">
        <f t="array" ref="L126">XLOOKUP(CELL("contents",G126),'Swiss Registry'!$B$2:$B$703,'Swiss Registry'!$N$2:$N$703) </f>
        <v>458020570085326851</v>
      </c>
    </row>
    <row r="127">
      <c r="A127" s="84">
        <f t="shared" si="18"/>
        <v>121</v>
      </c>
      <c r="B127" s="84">
        <f>VLOOKUP(A127,'Swiss2 Registry'!$A$2:$B$703,2,False)</f>
        <v>192</v>
      </c>
      <c r="C127" s="104" t="str">
        <f>VLOOKUP(B127,'Swiss2 Registry'!$B$2:$C$703,2,False)</f>
        <v>saltocorto</v>
      </c>
      <c r="D127" s="105" t="str">
        <f t="shared" si="16"/>
        <v>Game 1</v>
      </c>
      <c r="E127" s="106" t="str">
        <f t="shared" si="19"/>
        <v>Game 2</v>
      </c>
      <c r="F127" s="110" t="str">
        <f t="shared" si="17"/>
        <v>Game 3</v>
      </c>
      <c r="G127" s="104" t="str">
        <f>VLOOKUP(I127,'Swiss2 Registry'!$B$2:$C$703,2,False)</f>
        <v>gonzasaurio50</v>
      </c>
      <c r="H127" s="84">
        <f t="shared" si="20"/>
        <v>230</v>
      </c>
      <c r="I127" s="84">
        <f>VLOOKUP(H127,'Swiss2 Registry'!$A$2:$B$703,2,False)</f>
        <v>385</v>
      </c>
      <c r="J127" s="83" t="s">
        <v>1884</v>
      </c>
      <c r="K127" s="108" t="str">
        <f t="array" ref="K127">XLOOKUP(CELL("contents",C127),'Swiss Registry'!$B$2:$B$703,'Swiss Registry'!$N$2:$N$703) </f>
        <v>443892793593692170</v>
      </c>
      <c r="L127" s="109" t="str">
        <f t="array" ref="L127">XLOOKUP(CELL("contents",G127),'Swiss Registry'!$B$2:$B$703,'Swiss Registry'!$N$2:$N$703) </f>
        <v>481894982127714305</v>
      </c>
    </row>
    <row r="128">
      <c r="A128" s="84">
        <f t="shared" si="18"/>
        <v>122</v>
      </c>
      <c r="B128" s="84">
        <f>VLOOKUP(A128,'Swiss2 Registry'!$A$2:$B$703,2,False)</f>
        <v>320</v>
      </c>
      <c r="C128" s="104" t="str">
        <f>VLOOKUP(B128,'Swiss2 Registry'!$B$2:$C$703,2,False)</f>
        <v>jerdgerd</v>
      </c>
      <c r="D128" s="105" t="str">
        <f t="shared" si="16"/>
        <v>Game 1</v>
      </c>
      <c r="E128" s="106" t="str">
        <f t="shared" si="19"/>
        <v>Game 2</v>
      </c>
      <c r="F128" s="107" t="str">
        <f t="shared" si="17"/>
        <v/>
      </c>
      <c r="G128" s="104" t="str">
        <f>VLOOKUP(I128,'Swiss2 Registry'!$B$2:$C$703,2,False)</f>
        <v>funhouse3</v>
      </c>
      <c r="H128" s="84">
        <f t="shared" si="20"/>
        <v>229</v>
      </c>
      <c r="I128" s="84">
        <f>VLOOKUP(H128,'Swiss2 Registry'!$A$2:$B$703,2,False)</f>
        <v>591</v>
      </c>
      <c r="J128" s="83" t="s">
        <v>1885</v>
      </c>
      <c r="K128" s="108" t="str">
        <f t="array" ref="K128">XLOOKUP(CELL("contents",C128),'Swiss Registry'!$B$2:$B$703,'Swiss Registry'!$N$2:$N$703) </f>
        <v>253276541948002304</v>
      </c>
      <c r="L128" s="109" t="str">
        <f t="array" ref="L128">XLOOKUP(CELL("contents",G128),'Swiss Registry'!$B$2:$B$703,'Swiss Registry'!$N$2:$N$703) </f>
        <v>102875527206932480</v>
      </c>
    </row>
    <row r="129">
      <c r="A129" s="84">
        <f t="shared" si="18"/>
        <v>123</v>
      </c>
      <c r="B129" s="84">
        <f>VLOOKUP(A129,'Swiss2 Registry'!$A$2:$B$703,2,False)</f>
        <v>555</v>
      </c>
      <c r="C129" s="104" t="str">
        <f>VLOOKUP(B129,'Swiss2 Registry'!$B$2:$C$703,2,False)</f>
        <v>denizs8</v>
      </c>
      <c r="D129" s="105" t="str">
        <f t="shared" si="16"/>
        <v>Game 1</v>
      </c>
      <c r="E129" s="106" t="str">
        <f t="shared" si="19"/>
        <v>Game 2</v>
      </c>
      <c r="F129" s="107" t="str">
        <f t="shared" si="17"/>
        <v/>
      </c>
      <c r="G129" s="104" t="str">
        <f>VLOOKUP(I129,'Swiss2 Registry'!$B$2:$C$703,2,False)</f>
        <v>dylan69__</v>
      </c>
      <c r="H129" s="84">
        <f t="shared" si="20"/>
        <v>228</v>
      </c>
      <c r="I129" s="84">
        <f>VLOOKUP(H129,'Swiss2 Registry'!$A$2:$B$703,2,False)</f>
        <v>415</v>
      </c>
      <c r="J129" s="83" t="s">
        <v>1886</v>
      </c>
      <c r="K129" s="108" t="str">
        <f t="array" ref="K129">XLOOKUP(CELL("contents",C129),'Swiss Registry'!$B$2:$B$703,'Swiss Registry'!$N$2:$N$703) </f>
        <v>188407578202472448</v>
      </c>
      <c r="L129" s="109" t="str">
        <f t="array" ref="L129">XLOOKUP(CELL("contents",G129),'Swiss Registry'!$B$2:$B$703,'Swiss Registry'!$N$2:$N$703) </f>
        <v>475864364793069568</v>
      </c>
    </row>
    <row r="130">
      <c r="A130" s="84">
        <f t="shared" si="18"/>
        <v>124</v>
      </c>
      <c r="B130" s="84">
        <f>VLOOKUP(A130,'Swiss2 Registry'!$A$2:$B$703,2,False)</f>
        <v>474</v>
      </c>
      <c r="C130" s="104" t="str">
        <f>VLOOKUP(B130,'Swiss2 Registry'!$B$2:$C$703,2,False)</f>
        <v>gstrem_</v>
      </c>
      <c r="D130" s="111" t="str">
        <f t="shared" si="16"/>
        <v/>
      </c>
      <c r="E130" s="112" t="str">
        <f t="shared" si="19"/>
        <v>Act: gstrem_</v>
      </c>
      <c r="F130" s="107" t="str">
        <f t="shared" si="17"/>
        <v/>
      </c>
      <c r="G130" s="104" t="str">
        <f>VLOOKUP(I130,'Swiss2 Registry'!$B$2:$C$703,2,False)</f>
        <v>olliertlol</v>
      </c>
      <c r="H130" s="84">
        <f t="shared" si="20"/>
        <v>227</v>
      </c>
      <c r="I130" s="84">
        <f>VLOOKUP(H130,'Swiss2 Registry'!$A$2:$B$703,2,False)</f>
        <v>514</v>
      </c>
      <c r="J130" s="83" t="s">
        <v>1486</v>
      </c>
      <c r="K130" s="108" t="str">
        <f t="array" ref="K130">XLOOKUP(CELL("contents",C130),'Swiss Registry'!$B$2:$B$703,'Swiss Registry'!$N$2:$N$703) </f>
        <v>575673302429859849</v>
      </c>
      <c r="L130" s="109" t="str">
        <f t="array" ref="L130">XLOOKUP(CELL("contents",G130),'Swiss Registry'!$B$2:$B$703,'Swiss Registry'!$N$2:$N$703) </f>
        <v>1217597446507729028</v>
      </c>
    </row>
    <row r="131">
      <c r="A131" s="84">
        <f t="shared" si="18"/>
        <v>125</v>
      </c>
      <c r="B131" s="84">
        <f>VLOOKUP(A131,'Swiss2 Registry'!$A$2:$B$703,2,False)</f>
        <v>113</v>
      </c>
      <c r="C131" s="104" t="str">
        <f>VLOOKUP(B131,'Swiss2 Registry'!$B$2:$C$703,2,False)</f>
        <v>annuit99</v>
      </c>
      <c r="D131" s="105" t="str">
        <f t="shared" si="16"/>
        <v>Game 1</v>
      </c>
      <c r="E131" s="106" t="str">
        <f t="shared" si="19"/>
        <v>Game 2</v>
      </c>
      <c r="F131" s="110" t="str">
        <f t="shared" si="17"/>
        <v>Game 3</v>
      </c>
      <c r="G131" s="104" t="str">
        <f>VLOOKUP(I131,'Swiss2 Registry'!$B$2:$C$703,2,False)</f>
        <v>woeishuen</v>
      </c>
      <c r="H131" s="84">
        <f t="shared" si="20"/>
        <v>226</v>
      </c>
      <c r="I131" s="84">
        <f>VLOOKUP(H131,'Swiss2 Registry'!$A$2:$B$703,2,False)</f>
        <v>430</v>
      </c>
      <c r="J131" s="83" t="s">
        <v>1887</v>
      </c>
      <c r="K131" s="108" t="str">
        <f t="array" ref="K131">XLOOKUP(CELL("contents",C131),'Swiss Registry'!$B$2:$B$703,'Swiss Registry'!$N$2:$N$703) </f>
        <v>397519983669805060</v>
      </c>
      <c r="L131" s="109" t="str">
        <f t="array" ref="L131">XLOOKUP(CELL("contents",G131),'Swiss Registry'!$B$2:$B$703,'Swiss Registry'!$N$2:$N$703) </f>
        <v>311487498486415360</v>
      </c>
    </row>
    <row r="132">
      <c r="A132" s="84">
        <f t="shared" si="18"/>
        <v>126</v>
      </c>
      <c r="B132" s="84">
        <f>VLOOKUP(A132,'Swiss2 Registry'!$A$2:$B$703,2,False)</f>
        <v>486</v>
      </c>
      <c r="C132" s="104" t="str">
        <f>VLOOKUP(B132,'Swiss2 Registry'!$B$2:$C$703,2,False)</f>
        <v>venomshoc</v>
      </c>
      <c r="D132" s="105" t="str">
        <f t="shared" si="16"/>
        <v>Game 1</v>
      </c>
      <c r="E132" s="106" t="str">
        <f t="shared" si="19"/>
        <v>Game 2</v>
      </c>
      <c r="F132" s="107" t="str">
        <f t="shared" si="17"/>
        <v/>
      </c>
      <c r="G132" s="104" t="str">
        <f>VLOOKUP(I132,'Swiss2 Registry'!$B$2:$C$703,2,False)</f>
        <v>Jsockamisama</v>
      </c>
      <c r="H132" s="84">
        <f t="shared" si="20"/>
        <v>225</v>
      </c>
      <c r="I132" s="84">
        <f>VLOOKUP(H132,'Swiss2 Registry'!$A$2:$B$703,2,False)</f>
        <v>440</v>
      </c>
      <c r="J132" s="83" t="s">
        <v>1888</v>
      </c>
      <c r="K132" s="108" t="str">
        <f t="array" ref="K132">XLOOKUP(CELL("contents",C132),'Swiss Registry'!$B$2:$B$703,'Swiss Registry'!$N$2:$N$703) </f>
        <v>314453127224885249</v>
      </c>
      <c r="L132" s="109" t="str">
        <f t="array" ref="L132">XLOOKUP(CELL("contents",G132),'Swiss Registry'!$B$2:$B$703,'Swiss Registry'!$N$2:$N$703) </f>
        <v>630860220293316619</v>
      </c>
    </row>
    <row r="133">
      <c r="A133" s="84">
        <f t="shared" si="18"/>
        <v>127</v>
      </c>
      <c r="B133" s="84">
        <f>VLOOKUP(A133,'Swiss2 Registry'!$A$2:$B$703,2,False)</f>
        <v>580</v>
      </c>
      <c r="C133" s="104" t="str">
        <f>VLOOKUP(B133,'Swiss2 Registry'!$B$2:$C$703,2,False)</f>
        <v>testemunha2622</v>
      </c>
      <c r="D133" s="111" t="str">
        <f t="shared" si="16"/>
        <v/>
      </c>
      <c r="E133" s="112" t="str">
        <f t="shared" si="19"/>
        <v>Act: sheikhater</v>
      </c>
      <c r="F133" s="107" t="str">
        <f t="shared" si="17"/>
        <v/>
      </c>
      <c r="G133" s="104" t="str">
        <f>VLOOKUP(I133,'Swiss2 Registry'!$B$2:$C$703,2,False)</f>
        <v>sheikhater</v>
      </c>
      <c r="H133" s="84">
        <f t="shared" si="20"/>
        <v>224</v>
      </c>
      <c r="I133" s="84">
        <f>VLOOKUP(H133,'Swiss2 Registry'!$A$2:$B$703,2,False)</f>
        <v>627</v>
      </c>
      <c r="J133" s="83" t="s">
        <v>1523</v>
      </c>
      <c r="K133" s="108" t="str">
        <f t="array" ref="K133">XLOOKUP(CELL("contents",C133),'Swiss Registry'!$B$2:$B$703,'Swiss Registry'!$N$2:$N$703) </f>
        <v>395750485769846784</v>
      </c>
      <c r="L133" s="109" t="str">
        <f t="array" ref="L133">XLOOKUP(CELL("contents",G133),'Swiss Registry'!$B$2:$B$703,'Swiss Registry'!$N$2:$N$703) </f>
        <v>355167649497481218</v>
      </c>
    </row>
    <row r="134">
      <c r="A134" s="84">
        <f t="shared" si="18"/>
        <v>128</v>
      </c>
      <c r="B134" s="84">
        <f>VLOOKUP(A134,'Swiss2 Registry'!$A$2:$B$703,2,False)</f>
        <v>182</v>
      </c>
      <c r="C134" s="104" t="str">
        <f>VLOOKUP(B134,'Swiss2 Registry'!$B$2:$C$703,2,False)</f>
        <v>ilikeeatingcrayons</v>
      </c>
      <c r="D134" s="105" t="str">
        <f t="shared" si="16"/>
        <v>Game 1</v>
      </c>
      <c r="E134" s="106" t="str">
        <f t="shared" si="19"/>
        <v>Game 2</v>
      </c>
      <c r="F134" s="107" t="str">
        <f t="shared" si="17"/>
        <v/>
      </c>
      <c r="G134" s="104" t="str">
        <f>VLOOKUP(I134,'Swiss2 Registry'!$B$2:$C$703,2,False)</f>
        <v>wombatbaby</v>
      </c>
      <c r="H134" s="84">
        <f t="shared" si="20"/>
        <v>223</v>
      </c>
      <c r="I134" s="84">
        <f>VLOOKUP(H134,'Swiss2 Registry'!$A$2:$B$703,2,False)</f>
        <v>490</v>
      </c>
      <c r="J134" s="83" t="s">
        <v>1889</v>
      </c>
      <c r="K134" s="108" t="str">
        <f t="array" ref="K134">XLOOKUP(CELL("contents",C134),'Swiss Registry'!$B$2:$B$703,'Swiss Registry'!$N$2:$N$703) </f>
        <v>538490956991692811</v>
      </c>
      <c r="L134" s="109" t="str">
        <f t="array" ref="L134">XLOOKUP(CELL("contents",G134),'Swiss Registry'!$B$2:$B$703,'Swiss Registry'!$N$2:$N$703) </f>
        <v>460542464130940930</v>
      </c>
    </row>
    <row r="135">
      <c r="A135" s="84">
        <f t="shared" si="18"/>
        <v>129</v>
      </c>
      <c r="B135" s="84">
        <f>VLOOKUP(A135,'Swiss2 Registry'!$A$2:$B$703,2,False)</f>
        <v>525</v>
      </c>
      <c r="C135" s="104" t="str">
        <f>VLOOKUP(B135,'Swiss2 Registry'!$B$2:$C$703,2,False)</f>
        <v>tyler.cox</v>
      </c>
      <c r="D135" s="105" t="str">
        <f t="shared" si="16"/>
        <v>Game 1</v>
      </c>
      <c r="E135" s="106" t="str">
        <f t="shared" si="19"/>
        <v>Game 2</v>
      </c>
      <c r="F135" s="107" t="str">
        <f t="shared" si="17"/>
        <v/>
      </c>
      <c r="G135" s="104" t="str">
        <f>VLOOKUP(I135,'Swiss2 Registry'!$B$2:$C$703,2,False)</f>
        <v>jozin457</v>
      </c>
      <c r="H135" s="84">
        <f t="shared" si="20"/>
        <v>222</v>
      </c>
      <c r="I135" s="84">
        <f>VLOOKUP(H135,'Swiss2 Registry'!$A$2:$B$703,2,False)</f>
        <v>433</v>
      </c>
      <c r="J135" s="83" t="s">
        <v>1890</v>
      </c>
      <c r="K135" s="108" t="str">
        <f t="array" ref="K135">XLOOKUP(CELL("contents",C135),'Swiss Registry'!$B$2:$B$703,'Swiss Registry'!$N$2:$N$703) </f>
        <v>188804160152403968</v>
      </c>
      <c r="L135" s="109" t="str">
        <f t="array" ref="L135">XLOOKUP(CELL("contents",G135),'Swiss Registry'!$B$2:$B$703,'Swiss Registry'!$N$2:$N$703) </f>
        <v>229620219092533248</v>
      </c>
    </row>
    <row r="136">
      <c r="A136" s="84">
        <f t="shared" si="18"/>
        <v>130</v>
      </c>
      <c r="B136" s="84">
        <f>VLOOKUP(A136,'Swiss2 Registry'!$A$2:$B$703,2,False)</f>
        <v>124</v>
      </c>
      <c r="C136" s="104" t="str">
        <f>VLOOKUP(B136,'Swiss2 Registry'!$B$2:$C$703,2,False)</f>
        <v>CheesiMoon</v>
      </c>
      <c r="D136" s="111" t="str">
        <f t="shared" si="16"/>
        <v/>
      </c>
      <c r="E136" s="112" t="str">
        <f t="shared" si="19"/>
        <v>Act: CheesiMoon</v>
      </c>
      <c r="F136" s="107" t="str">
        <f t="shared" si="17"/>
        <v/>
      </c>
      <c r="G136" s="104" t="str">
        <f>VLOOKUP(I136,'Swiss2 Registry'!$B$2:$C$703,2,False)</f>
        <v>I am the Jarl</v>
      </c>
      <c r="H136" s="84">
        <f t="shared" si="20"/>
        <v>221</v>
      </c>
      <c r="I136" s="84">
        <f>VLOOKUP(H136,'Swiss2 Registry'!$A$2:$B$703,2,False)</f>
        <v>220</v>
      </c>
      <c r="J136" s="83" t="s">
        <v>1486</v>
      </c>
      <c r="K136" s="108" t="str">
        <f t="array" ref="K136">XLOOKUP(CELL("contents",C136),'Swiss Registry'!$B$2:$B$703,'Swiss Registry'!$N$2:$N$703) </f>
        <v>231980254887936000</v>
      </c>
      <c r="L136" s="109" t="str">
        <f t="array" ref="L136">XLOOKUP(CELL("contents",G136),'Swiss Registry'!$B$2:$B$703,'Swiss Registry'!$N$2:$N$703) </f>
        <v>800149729161248800</v>
      </c>
    </row>
    <row r="137">
      <c r="A137" s="84">
        <f t="shared" si="18"/>
        <v>131</v>
      </c>
      <c r="B137" s="84">
        <f>VLOOKUP(A137,'Swiss2 Registry'!$A$2:$B$703,2,False)</f>
        <v>196</v>
      </c>
      <c r="C137" s="104" t="str">
        <f>VLOOKUP(B137,'Swiss2 Registry'!$B$2:$C$703,2,False)</f>
        <v>steffmoney</v>
      </c>
      <c r="D137" s="105" t="str">
        <f t="shared" si="16"/>
        <v>Game 1</v>
      </c>
      <c r="E137" s="106" t="str">
        <f t="shared" si="19"/>
        <v>Game 2</v>
      </c>
      <c r="F137" s="110" t="str">
        <f t="shared" si="17"/>
        <v>Game 3</v>
      </c>
      <c r="G137" s="104" t="str">
        <f>VLOOKUP(I137,'Swiss2 Registry'!$B$2:$C$703,2,False)</f>
        <v>sieefffmon</v>
      </c>
      <c r="H137" s="84">
        <f t="shared" si="20"/>
        <v>220</v>
      </c>
      <c r="I137" s="84">
        <f>VLOOKUP(H137,'Swiss2 Registry'!$A$2:$B$703,2,False)</f>
        <v>330</v>
      </c>
      <c r="J137" s="83" t="s">
        <v>1891</v>
      </c>
      <c r="K137" s="108" t="str">
        <f t="array" ref="K137">XLOOKUP(CELL("contents",C137),'Swiss Registry'!$B$2:$B$703,'Swiss Registry'!$N$2:$N$703) </f>
        <v>311143163060289537</v>
      </c>
      <c r="L137" s="109" t="str">
        <f t="array" ref="L137">XLOOKUP(CELL("contents",G137),'Swiss Registry'!$B$2:$B$703,'Swiss Registry'!$N$2:$N$703) </f>
        <v>257242537582919691</v>
      </c>
    </row>
    <row r="138">
      <c r="A138" s="84">
        <f t="shared" si="18"/>
        <v>132</v>
      </c>
      <c r="B138" s="84">
        <f>VLOOKUP(A138,'Swiss2 Registry'!$A$2:$B$703,2,False)</f>
        <v>304</v>
      </c>
      <c r="C138" s="104" t="str">
        <f>VLOOKUP(B138,'Swiss2 Registry'!$B$2:$C$703,2,False)</f>
        <v>jeem16</v>
      </c>
      <c r="D138" s="105" t="str">
        <f t="shared" si="16"/>
        <v>Game 1</v>
      </c>
      <c r="E138" s="106" t="str">
        <f t="shared" si="19"/>
        <v>Game 2</v>
      </c>
      <c r="F138" s="110" t="str">
        <f t="shared" si="17"/>
        <v>Game 3</v>
      </c>
      <c r="G138" s="104" t="str">
        <f>VLOOKUP(I138,'Swiss2 Registry'!$B$2:$C$703,2,False)</f>
        <v>tj_srevlis</v>
      </c>
      <c r="H138" s="84">
        <f t="shared" si="20"/>
        <v>219</v>
      </c>
      <c r="I138" s="84">
        <f>VLOOKUP(H138,'Swiss2 Registry'!$A$2:$B$703,2,False)</f>
        <v>441</v>
      </c>
      <c r="J138" s="83" t="s">
        <v>1892</v>
      </c>
      <c r="K138" s="108" t="str">
        <f t="array" ref="K138">XLOOKUP(CELL("contents",C138),'Swiss Registry'!$B$2:$B$703,'Swiss Registry'!$N$2:$N$703) </f>
        <v>137996807513964544</v>
      </c>
      <c r="L138" s="109" t="str">
        <f t="array" ref="L138">XLOOKUP(CELL("contents",G138),'Swiss Registry'!$B$2:$B$703,'Swiss Registry'!$N$2:$N$703) </f>
        <v>764262621599105045</v>
      </c>
    </row>
    <row r="139">
      <c r="A139" s="84">
        <f t="shared" si="18"/>
        <v>133</v>
      </c>
      <c r="B139" s="84">
        <f>VLOOKUP(A139,'Swiss2 Registry'!$A$2:$B$703,2,False)</f>
        <v>103</v>
      </c>
      <c r="C139" s="104" t="str">
        <f>VLOOKUP(B139,'Swiss2 Registry'!$B$2:$C$703,2,False)</f>
        <v>cocoo7538</v>
      </c>
      <c r="D139" s="105" t="str">
        <f t="shared" si="16"/>
        <v>Game 1</v>
      </c>
      <c r="E139" s="106" t="str">
        <f t="shared" si="19"/>
        <v>Game 2</v>
      </c>
      <c r="F139" s="107" t="str">
        <f t="shared" si="17"/>
        <v/>
      </c>
      <c r="G139" s="104" t="str">
        <f>VLOOKUP(I139,'Swiss2 Registry'!$B$2:$C$703,2,False)</f>
        <v>Mulikki123</v>
      </c>
      <c r="H139" s="84">
        <f t="shared" si="20"/>
        <v>218</v>
      </c>
      <c r="I139" s="84">
        <f>VLOOKUP(H139,'Swiss2 Registry'!$A$2:$B$703,2,False)</f>
        <v>523</v>
      </c>
      <c r="J139" s="83" t="s">
        <v>1893</v>
      </c>
      <c r="K139" s="108" t="str">
        <f t="array" ref="K139">XLOOKUP(CELL("contents",C139),'Swiss Registry'!$B$2:$B$703,'Swiss Registry'!$N$2:$N$703) </f>
        <v>690750151727251466</v>
      </c>
      <c r="L139" s="109" t="str">
        <f t="array" ref="L139">XLOOKUP(CELL("contents",G139),'Swiss Registry'!$B$2:$B$703,'Swiss Registry'!$N$2:$N$703) </f>
        <v>408945189940494339</v>
      </c>
    </row>
    <row r="140">
      <c r="A140" s="84">
        <f t="shared" si="18"/>
        <v>134</v>
      </c>
      <c r="B140" s="84">
        <f>VLOOKUP(A140,'Swiss2 Registry'!$A$2:$B$703,2,False)</f>
        <v>538</v>
      </c>
      <c r="C140" s="104" t="str">
        <f>VLOOKUP(B140,'Swiss2 Registry'!$B$2:$C$703,2,False)</f>
        <v>Shifty1239</v>
      </c>
      <c r="D140" s="105" t="str">
        <f t="shared" si="16"/>
        <v>Game 1</v>
      </c>
      <c r="E140" s="106" t="str">
        <f t="shared" si="19"/>
        <v>Game 2</v>
      </c>
      <c r="F140" s="107" t="str">
        <f t="shared" si="17"/>
        <v/>
      </c>
      <c r="G140" s="104" t="str">
        <f>VLOOKUP(I140,'Swiss2 Registry'!$B$2:$C$703,2,False)</f>
        <v>s_2_w</v>
      </c>
      <c r="H140" s="84">
        <f t="shared" si="20"/>
        <v>217</v>
      </c>
      <c r="I140" s="84">
        <f>VLOOKUP(H140,'Swiss2 Registry'!$A$2:$B$703,2,False)</f>
        <v>543</v>
      </c>
      <c r="J140" s="83" t="s">
        <v>1894</v>
      </c>
      <c r="K140" s="108" t="str">
        <f t="array" ref="K140">XLOOKUP(CELL("contents",C140),'Swiss Registry'!$B$2:$B$703,'Swiss Registry'!$N$2:$N$703) </f>
        <v>121304787051479040</v>
      </c>
      <c r="L140" s="109" t="str">
        <f t="array" ref="L140">XLOOKUP(CELL("contents",G140),'Swiss Registry'!$B$2:$B$703,'Swiss Registry'!$N$2:$N$703) </f>
        <v>849644863661801493</v>
      </c>
    </row>
    <row r="141">
      <c r="A141" s="84">
        <f t="shared" si="18"/>
        <v>135</v>
      </c>
      <c r="B141" s="84">
        <f>VLOOKUP(A141,'Swiss2 Registry'!$A$2:$B$703,2,False)</f>
        <v>568</v>
      </c>
      <c r="C141" s="104" t="str">
        <f>VLOOKUP(B141,'Swiss2 Registry'!$B$2:$C$703,2,False)</f>
        <v>mintyerb</v>
      </c>
      <c r="D141" s="105" t="str">
        <f t="shared" si="16"/>
        <v>Game 1</v>
      </c>
      <c r="E141" s="106" t="str">
        <f t="shared" si="19"/>
        <v>Game 2</v>
      </c>
      <c r="F141" s="107" t="str">
        <f t="shared" si="17"/>
        <v/>
      </c>
      <c r="G141" s="104" t="str">
        <f>VLOOKUP(I141,'Swiss2 Registry'!$B$2:$C$703,2,False)</f>
        <v>heroin4sale</v>
      </c>
      <c r="H141" s="84">
        <f t="shared" si="20"/>
        <v>216</v>
      </c>
      <c r="I141" s="84">
        <f>VLOOKUP(H141,'Swiss2 Registry'!$A$2:$B$703,2,False)</f>
        <v>152</v>
      </c>
      <c r="J141" s="83" t="s">
        <v>1895</v>
      </c>
      <c r="K141" s="108" t="str">
        <f t="array" ref="K141">XLOOKUP(CELL("contents",C141),'Swiss Registry'!$B$2:$B$703,'Swiss Registry'!$N$2:$N$703) </f>
        <v>411341688288575500</v>
      </c>
      <c r="L141" s="109" t="str">
        <f t="array" ref="L141">XLOOKUP(CELL("contents",G141),'Swiss Registry'!$B$2:$B$703,'Swiss Registry'!$N$2:$N$703) </f>
        <v>176298020688625664</v>
      </c>
    </row>
    <row r="142">
      <c r="A142" s="84">
        <f t="shared" si="18"/>
        <v>136</v>
      </c>
      <c r="B142" s="84">
        <f>VLOOKUP(A142,'Swiss2 Registry'!$A$2:$B$703,2,False)</f>
        <v>252</v>
      </c>
      <c r="C142" s="104" t="str">
        <f>VLOOKUP(B142,'Swiss2 Registry'!$B$2:$C$703,2,False)</f>
        <v>JoJ</v>
      </c>
      <c r="D142" s="105" t="str">
        <f t="shared" si="16"/>
        <v>Game 1</v>
      </c>
      <c r="E142" s="106" t="str">
        <f t="shared" si="19"/>
        <v>Game 2</v>
      </c>
      <c r="F142" s="107" t="str">
        <f t="shared" si="17"/>
        <v/>
      </c>
      <c r="G142" s="104" t="str">
        <f>VLOOKUP(I142,'Swiss2 Registry'!$B$2:$C$703,2,False)</f>
        <v>Sorenkazer</v>
      </c>
      <c r="H142" s="84">
        <f t="shared" si="20"/>
        <v>215</v>
      </c>
      <c r="I142" s="84">
        <f>VLOOKUP(H142,'Swiss2 Registry'!$A$2:$B$703,2,False)</f>
        <v>355</v>
      </c>
      <c r="J142" s="83" t="s">
        <v>1896</v>
      </c>
      <c r="K142" s="108" t="str">
        <f t="array" ref="K142">XLOOKUP(CELL("contents",C142),'Swiss Registry'!$B$2:$B$703,'Swiss Registry'!$N$2:$N$703) </f>
        <v>275292063417892865</v>
      </c>
      <c r="L142" s="109" t="str">
        <f t="array" ref="L142">XLOOKUP(CELL("contents",G142),'Swiss Registry'!$B$2:$B$703,'Swiss Registry'!$N$2:$N$703) </f>
        <v>245004928748224513</v>
      </c>
    </row>
    <row r="143">
      <c r="A143" s="84">
        <f t="shared" si="18"/>
        <v>137</v>
      </c>
      <c r="B143" s="84">
        <f>VLOOKUP(A143,'Swiss2 Registry'!$A$2:$B$703,2,False)</f>
        <v>297</v>
      </c>
      <c r="C143" s="104" t="str">
        <f>VLOOKUP(B143,'Swiss2 Registry'!$B$2:$C$703,2,False)</f>
        <v>.germ_</v>
      </c>
      <c r="D143" s="105" t="str">
        <f t="shared" si="16"/>
        <v>Game 1</v>
      </c>
      <c r="E143" s="106" t="str">
        <f t="shared" si="19"/>
        <v>Game 2</v>
      </c>
      <c r="F143" s="110" t="str">
        <f t="shared" si="17"/>
        <v>Game 3</v>
      </c>
      <c r="G143" s="104" t="str">
        <f>VLOOKUP(I143,'Swiss2 Registry'!$B$2:$C$703,2,False)</f>
        <v>Agustin Palacios</v>
      </c>
      <c r="H143" s="84">
        <f t="shared" si="20"/>
        <v>214</v>
      </c>
      <c r="I143" s="84">
        <f>VLOOKUP(H143,'Swiss2 Registry'!$A$2:$B$703,2,False)</f>
        <v>265</v>
      </c>
      <c r="J143" s="83" t="s">
        <v>1897</v>
      </c>
      <c r="K143" s="108" t="str">
        <f t="array" ref="K143">XLOOKUP(CELL("contents",C143),'Swiss Registry'!$B$2:$B$703,'Swiss Registry'!$N$2:$N$703) </f>
        <v>358009888791592981</v>
      </c>
      <c r="L143" s="109" t="str">
        <f t="array" ref="L143">XLOOKUP(CELL("contents",G143),'Swiss Registry'!$B$2:$B$703,'Swiss Registry'!$N$2:$N$703) </f>
        <v>547461638647840805</v>
      </c>
    </row>
    <row r="144">
      <c r="A144" s="84">
        <f t="shared" si="18"/>
        <v>138</v>
      </c>
      <c r="B144" s="84">
        <f>VLOOKUP(A144,'Swiss2 Registry'!$A$2:$B$703,2,False)</f>
        <v>528</v>
      </c>
      <c r="C144" s="104" t="str">
        <f>VLOOKUP(B144,'Swiss2 Registry'!$B$2:$C$703,2,False)</f>
        <v>Kenmarijuana</v>
      </c>
      <c r="D144" s="105" t="str">
        <f t="shared" si="16"/>
        <v>Game 1</v>
      </c>
      <c r="E144" s="106" t="str">
        <f t="shared" si="19"/>
        <v>Game 2</v>
      </c>
      <c r="F144" s="110" t="str">
        <f t="shared" si="17"/>
        <v>Game 3</v>
      </c>
      <c r="G144" s="104" t="str">
        <f>VLOOKUP(I144,'Swiss2 Registry'!$B$2:$C$703,2,False)</f>
        <v>executive_assistant</v>
      </c>
      <c r="H144" s="84">
        <f t="shared" si="20"/>
        <v>213</v>
      </c>
      <c r="I144" s="84">
        <f>VLOOKUP(H144,'Swiss2 Registry'!$A$2:$B$703,2,False)</f>
        <v>375</v>
      </c>
      <c r="J144" s="83" t="s">
        <v>1898</v>
      </c>
      <c r="K144" s="108" t="str">
        <f t="array" ref="K144">XLOOKUP(CELL("contents",C144),'Swiss Registry'!$B$2:$B$703,'Swiss Registry'!$N$2:$N$703) </f>
        <v>508684602261504010</v>
      </c>
      <c r="L144" s="109" t="str">
        <f t="array" ref="L144">XLOOKUP(CELL("contents",G144),'Swiss Registry'!$B$2:$B$703,'Swiss Registry'!$N$2:$N$703) </f>
        <v>446542834766577665</v>
      </c>
    </row>
    <row r="145">
      <c r="A145" s="84">
        <f t="shared" si="18"/>
        <v>139</v>
      </c>
      <c r="B145" s="84">
        <f>VLOOKUP(A145,'Swiss2 Registry'!$A$2:$B$703,2,False)</f>
        <v>563</v>
      </c>
      <c r="C145" s="104" t="str">
        <f>VLOOKUP(B145,'Swiss2 Registry'!$B$2:$C$703,2,False)</f>
        <v>Mintyfresh756</v>
      </c>
      <c r="D145" s="105" t="str">
        <f t="shared" si="16"/>
        <v>Game 1</v>
      </c>
      <c r="E145" s="106" t="str">
        <f t="shared" si="19"/>
        <v>Game 2</v>
      </c>
      <c r="F145" s="107" t="str">
        <f t="shared" si="17"/>
        <v/>
      </c>
      <c r="G145" s="104" t="str">
        <f>VLOOKUP(I145,'Swiss2 Registry'!$B$2:$C$703,2,False)</f>
        <v>catholicguilttrip</v>
      </c>
      <c r="H145" s="84">
        <f t="shared" si="20"/>
        <v>212</v>
      </c>
      <c r="I145" s="84">
        <f>VLOOKUP(H145,'Swiss2 Registry'!$A$2:$B$703,2,False)</f>
        <v>114</v>
      </c>
      <c r="J145" s="83" t="s">
        <v>1899</v>
      </c>
      <c r="K145" s="108" t="str">
        <f t="array" ref="K145">XLOOKUP(CELL("contents",C145),'Swiss Registry'!$B$2:$B$703,'Swiss Registry'!$N$2:$N$703) </f>
        <v>229365099960336384</v>
      </c>
      <c r="L145" s="109" t="str">
        <f t="array" ref="L145">XLOOKUP(CELL("contents",G145),'Swiss Registry'!$B$2:$B$703,'Swiss Registry'!$N$2:$N$703) </f>
        <v>434909483127275521</v>
      </c>
    </row>
    <row r="146">
      <c r="A146" s="84">
        <f t="shared" si="18"/>
        <v>140</v>
      </c>
      <c r="B146" s="84">
        <f>VLOOKUP(A146,'Swiss2 Registry'!$A$2:$B$703,2,False)</f>
        <v>266</v>
      </c>
      <c r="C146" s="104" t="str">
        <f>VLOOKUP(B146,'Swiss2 Registry'!$B$2:$C$703,2,False)</f>
        <v>lemonlc</v>
      </c>
      <c r="D146" s="105" t="str">
        <f t="shared" si="16"/>
        <v>Game 1</v>
      </c>
      <c r="E146" s="106" t="str">
        <f t="shared" si="19"/>
        <v>Game 2</v>
      </c>
      <c r="F146" s="107" t="str">
        <f t="shared" si="17"/>
        <v/>
      </c>
      <c r="G146" s="104" t="str">
        <f>VLOOKUP(I146,'Swiss2 Registry'!$B$2:$C$703,2,False)</f>
        <v>zxgzxg</v>
      </c>
      <c r="H146" s="84">
        <f t="shared" si="20"/>
        <v>211</v>
      </c>
      <c r="I146" s="84">
        <f>VLOOKUP(H146,'Swiss2 Registry'!$A$2:$B$703,2,False)</f>
        <v>275</v>
      </c>
      <c r="J146" s="83" t="s">
        <v>1900</v>
      </c>
      <c r="K146" s="108" t="str">
        <f t="array" ref="K146">XLOOKUP(CELL("contents",C146),'Swiss Registry'!$B$2:$B$703,'Swiss Registry'!$N$2:$N$703) </f>
        <v>1137309984468766750</v>
      </c>
      <c r="L146" s="109" t="str">
        <f t="array" ref="L146">XLOOKUP(CELL("contents",G146),'Swiss Registry'!$B$2:$B$703,'Swiss Registry'!$N$2:$N$703) </f>
        <v>674132846037958657</v>
      </c>
    </row>
    <row r="147">
      <c r="A147" s="84">
        <f t="shared" si="18"/>
        <v>141</v>
      </c>
      <c r="B147" s="84">
        <f>VLOOKUP(A147,'Swiss2 Registry'!$A$2:$B$703,2,False)</f>
        <v>193</v>
      </c>
      <c r="C147" s="104" t="str">
        <f>VLOOKUP(B147,'Swiss2 Registry'!$B$2:$C$703,2,False)</f>
        <v>rovels</v>
      </c>
      <c r="D147" s="105" t="str">
        <f t="shared" si="16"/>
        <v>Game 1</v>
      </c>
      <c r="E147" s="106" t="str">
        <f t="shared" si="19"/>
        <v>Game 2</v>
      </c>
      <c r="F147" s="107" t="str">
        <f t="shared" si="17"/>
        <v/>
      </c>
      <c r="G147" s="104" t="str">
        <f>VLOOKUP(I147,'Swiss2 Registry'!$B$2:$C$703,2,False)</f>
        <v>stolenpaper</v>
      </c>
      <c r="H147" s="84">
        <f t="shared" si="20"/>
        <v>210</v>
      </c>
      <c r="I147" s="84">
        <f>VLOOKUP(H147,'Swiss2 Registry'!$A$2:$B$703,2,False)</f>
        <v>513</v>
      </c>
      <c r="J147" s="83" t="s">
        <v>1901</v>
      </c>
      <c r="K147" s="108" t="str">
        <f t="array" ref="K147">XLOOKUP(CELL("contents",C147),'Swiss Registry'!$B$2:$B$703,'Swiss Registry'!$N$2:$N$703) </f>
        <v>213427649148616704</v>
      </c>
      <c r="L147" s="109" t="str">
        <f t="array" ref="L147">XLOOKUP(CELL("contents",G147),'Swiss Registry'!$B$2:$B$703,'Swiss Registry'!$N$2:$N$703) </f>
        <v>278063602005573632</v>
      </c>
    </row>
    <row r="148">
      <c r="A148" s="84">
        <f t="shared" si="18"/>
        <v>142</v>
      </c>
      <c r="B148" s="84">
        <f>VLOOKUP(A148,'Swiss2 Registry'!$A$2:$B$703,2,False)</f>
        <v>325</v>
      </c>
      <c r="C148" s="104" t="str">
        <f>VLOOKUP(B148,'Swiss2 Registry'!$B$2:$C$703,2,False)</f>
        <v>secondari</v>
      </c>
      <c r="D148" s="105" t="str">
        <f t="shared" si="16"/>
        <v>Game 1</v>
      </c>
      <c r="E148" s="106" t="str">
        <f t="shared" si="19"/>
        <v>Game 2</v>
      </c>
      <c r="F148" s="107" t="str">
        <f t="shared" si="17"/>
        <v/>
      </c>
      <c r="G148" s="104" t="str">
        <f>VLOOKUP(I148,'Swiss2 Registry'!$B$2:$C$703,2,False)</f>
        <v>5darkelves_gmen</v>
      </c>
      <c r="H148" s="84">
        <f t="shared" si="20"/>
        <v>209</v>
      </c>
      <c r="I148" s="84">
        <f>VLOOKUP(H148,'Swiss2 Registry'!$A$2:$B$703,2,False)</f>
        <v>682</v>
      </c>
      <c r="J148" s="83" t="s">
        <v>1902</v>
      </c>
      <c r="K148" s="108" t="str">
        <f t="array" ref="K148">XLOOKUP(CELL("contents",C148),'Swiss Registry'!$B$2:$B$703,'Swiss Registry'!$N$2:$N$703) </f>
        <v>77493060862214144</v>
      </c>
      <c r="L148" s="109" t="str">
        <f t="array" ref="L148">XLOOKUP(CELL("contents",G148),'Swiss Registry'!$B$2:$B$703,'Swiss Registry'!$N$2:$N$703) </f>
        <v>952068071336607775</v>
      </c>
    </row>
    <row r="149">
      <c r="A149" s="84">
        <f t="shared" si="18"/>
        <v>143</v>
      </c>
      <c r="B149" s="84">
        <f>VLOOKUP(A149,'Swiss2 Registry'!$A$2:$B$703,2,False)</f>
        <v>597</v>
      </c>
      <c r="C149" s="104" t="str">
        <f>VLOOKUP(B149,'Swiss2 Registry'!$B$2:$C$703,2,False)</f>
        <v>incognidoqueen</v>
      </c>
      <c r="D149" s="105" t="str">
        <f t="shared" si="16"/>
        <v>Game 1</v>
      </c>
      <c r="E149" s="106" t="str">
        <f t="shared" si="19"/>
        <v>Game 2</v>
      </c>
      <c r="F149" s="110" t="str">
        <f t="shared" si="17"/>
        <v>Game 3</v>
      </c>
      <c r="G149" s="104" t="str">
        <f>VLOOKUP(I149,'Swiss2 Registry'!$B$2:$C$703,2,False)</f>
        <v>Ho_Chi</v>
      </c>
      <c r="H149" s="84">
        <f t="shared" si="20"/>
        <v>208</v>
      </c>
      <c r="I149" s="84">
        <f>VLOOKUP(H149,'Swiss2 Registry'!$A$2:$B$703,2,False)</f>
        <v>286</v>
      </c>
      <c r="J149" s="83" t="s">
        <v>1903</v>
      </c>
      <c r="K149" s="108" t="str">
        <f t="array" ref="K149">XLOOKUP(CELL("contents",C149),'Swiss Registry'!$B$2:$B$703,'Swiss Registry'!$N$2:$N$703) </f>
        <v>425232168743075841</v>
      </c>
      <c r="L149" s="109" t="str">
        <f t="array" ref="L149">XLOOKUP(CELL("contents",G149),'Swiss Registry'!$B$2:$B$703,'Swiss Registry'!$N$2:$N$703) </f>
        <v>427608109519863816</v>
      </c>
    </row>
    <row r="150">
      <c r="A150" s="84">
        <f t="shared" si="18"/>
        <v>144</v>
      </c>
      <c r="B150" s="84">
        <f>VLOOKUP(A150,'Swiss2 Registry'!$A$2:$B$703,2,False)</f>
        <v>536</v>
      </c>
      <c r="C150" s="104" t="str">
        <f>VLOOKUP(B150,'Swiss2 Registry'!$B$2:$C$703,2,False)</f>
        <v>_deacon</v>
      </c>
      <c r="D150" s="105" t="str">
        <f t="shared" si="16"/>
        <v>Game 1</v>
      </c>
      <c r="E150" s="106" t="str">
        <f t="shared" si="19"/>
        <v>Game 2</v>
      </c>
      <c r="F150" s="107" t="str">
        <f t="shared" si="17"/>
        <v/>
      </c>
      <c r="G150" s="104" t="str">
        <f>VLOOKUP(I150,'Swiss2 Registry'!$B$2:$C$703,2,False)</f>
        <v>sligoblues</v>
      </c>
      <c r="H150" s="84">
        <f t="shared" si="20"/>
        <v>207</v>
      </c>
      <c r="I150" s="84">
        <f>VLOOKUP(H150,'Swiss2 Registry'!$A$2:$B$703,2,False)</f>
        <v>693</v>
      </c>
      <c r="J150" s="83" t="s">
        <v>1904</v>
      </c>
      <c r="K150" s="108" t="str">
        <f t="array" ref="K150">XLOOKUP(CELL("contents",C150),'Swiss Registry'!$B$2:$B$703,'Swiss Registry'!$N$2:$N$703) </f>
        <v>193748470564126720</v>
      </c>
      <c r="L150" s="109" t="str">
        <f t="array" ref="L150">XLOOKUP(CELL("contents",G150),'Swiss Registry'!$B$2:$B$703,'Swiss Registry'!$N$2:$N$703) </f>
        <v>583755075298656300</v>
      </c>
    </row>
    <row r="151">
      <c r="A151" s="84">
        <f t="shared" si="18"/>
        <v>145</v>
      </c>
      <c r="B151" s="84">
        <f>VLOOKUP(A151,'Swiss2 Registry'!$A$2:$B$703,2,False)</f>
        <v>147</v>
      </c>
      <c r="C151" s="104" t="str">
        <f>VLOOKUP(B151,'Swiss2 Registry'!$B$2:$C$703,2,False)</f>
        <v>liamworldpeace</v>
      </c>
      <c r="D151" s="105" t="str">
        <f t="shared" si="16"/>
        <v>Game 1</v>
      </c>
      <c r="E151" s="106" t="str">
        <f t="shared" si="19"/>
        <v>Game 2</v>
      </c>
      <c r="F151" s="110" t="str">
        <f t="shared" si="17"/>
        <v>Game 3</v>
      </c>
      <c r="G151" s="104" t="str">
        <f>VLOOKUP(I151,'Swiss2 Registry'!$B$2:$C$703,2,False)</f>
        <v>sbmalus</v>
      </c>
      <c r="H151" s="84">
        <f t="shared" si="20"/>
        <v>206</v>
      </c>
      <c r="I151" s="84">
        <f>VLOOKUP(H151,'Swiss2 Registry'!$A$2:$B$703,2,False)</f>
        <v>564</v>
      </c>
      <c r="J151" s="83" t="s">
        <v>1905</v>
      </c>
      <c r="K151" s="108" t="str">
        <f t="array" ref="K151">XLOOKUP(CELL("contents",C151),'Swiss Registry'!$B$2:$B$703,'Swiss Registry'!$N$2:$N$703) </f>
        <v>136299459914104832</v>
      </c>
      <c r="L151" s="109" t="str">
        <f t="array" ref="L151">XLOOKUP(CELL("contents",G151),'Swiss Registry'!$B$2:$B$703,'Swiss Registry'!$N$2:$N$703) </f>
        <v>492395234429370371</v>
      </c>
    </row>
    <row r="152">
      <c r="A152" s="84">
        <f t="shared" si="18"/>
        <v>146</v>
      </c>
      <c r="B152" s="84">
        <f>VLOOKUP(A152,'Swiss2 Registry'!$A$2:$B$703,2,False)</f>
        <v>121</v>
      </c>
      <c r="C152" s="104" t="str">
        <f>VLOOKUP(B152,'Swiss2 Registry'!$B$2:$C$703,2,False)</f>
        <v>.brever.</v>
      </c>
      <c r="D152" s="111" t="str">
        <f t="shared" si="16"/>
        <v/>
      </c>
      <c r="E152" s="112" t="str">
        <f t="shared" si="19"/>
        <v>Act: .brever.</v>
      </c>
      <c r="F152" s="107" t="str">
        <f t="shared" si="17"/>
        <v/>
      </c>
      <c r="G152" s="104" t="str">
        <f>VLOOKUP(I152,'Swiss2 Registry'!$B$2:$C$703,2,False)</f>
        <v>yadyaksh</v>
      </c>
      <c r="H152" s="84">
        <f t="shared" si="20"/>
        <v>205</v>
      </c>
      <c r="I152" s="84">
        <f>VLOOKUP(H152,'Swiss2 Registry'!$A$2:$B$703,2,False)</f>
        <v>452</v>
      </c>
      <c r="J152" s="83" t="s">
        <v>1486</v>
      </c>
      <c r="K152" s="108" t="str">
        <f t="array" ref="K152">XLOOKUP(CELL("contents",C152),'Swiss Registry'!$B$2:$B$703,'Swiss Registry'!$N$2:$N$703) </f>
        <v>215872454222938112</v>
      </c>
      <c r="L152" s="109" t="str">
        <f t="array" ref="L152">XLOOKUP(CELL("contents",G152),'Swiss Registry'!$B$2:$B$703,'Swiss Registry'!$N$2:$N$703) </f>
        <v>1030027691136647208</v>
      </c>
    </row>
    <row r="153">
      <c r="A153" s="84">
        <f t="shared" si="18"/>
        <v>147</v>
      </c>
      <c r="B153" s="84">
        <f>VLOOKUP(A153,'Swiss2 Registry'!$A$2:$B$703,2,False)</f>
        <v>398</v>
      </c>
      <c r="C153" s="104" t="str">
        <f>VLOOKUP(B153,'Swiss2 Registry'!$B$2:$C$703,2,False)</f>
        <v>wavy_ish</v>
      </c>
      <c r="D153" s="105" t="str">
        <f t="shared" si="16"/>
        <v>Game 1</v>
      </c>
      <c r="E153" s="106" t="str">
        <f t="shared" si="19"/>
        <v>Game 2</v>
      </c>
      <c r="F153" s="107" t="str">
        <f t="shared" si="17"/>
        <v/>
      </c>
      <c r="G153" s="104" t="str">
        <f>VLOOKUP(I153,'Swiss2 Registry'!$B$2:$C$703,2,False)</f>
        <v>Forte_French</v>
      </c>
      <c r="H153" s="84">
        <f t="shared" si="20"/>
        <v>204</v>
      </c>
      <c r="I153" s="84">
        <f>VLOOKUP(H153,'Swiss2 Registry'!$A$2:$B$703,2,False)</f>
        <v>442</v>
      </c>
      <c r="J153" s="83" t="s">
        <v>1906</v>
      </c>
      <c r="K153" s="108" t="str">
        <f t="array" ref="K153">XLOOKUP(CELL("contents",C153),'Swiss Registry'!$B$2:$B$703,'Swiss Registry'!$N$2:$N$703) </f>
        <v>354755541249032192</v>
      </c>
      <c r="L153" s="109" t="str">
        <f t="array" ref="L153">XLOOKUP(CELL("contents",G153),'Swiss Registry'!$B$2:$B$703,'Swiss Registry'!$N$2:$N$703) </f>
        <v>345986385502797844</v>
      </c>
    </row>
    <row r="154">
      <c r="A154" s="84">
        <f t="shared" si="18"/>
        <v>148</v>
      </c>
      <c r="B154" s="84">
        <f>VLOOKUP(A154,'Swiss2 Registry'!$A$2:$B$703,2,False)</f>
        <v>235</v>
      </c>
      <c r="C154" s="104" t="str">
        <f>VLOOKUP(B154,'Swiss2 Registry'!$B$2:$C$703,2,False)</f>
        <v>greencatkid</v>
      </c>
      <c r="D154" s="105" t="str">
        <f t="shared" si="16"/>
        <v>Game 1</v>
      </c>
      <c r="E154" s="106" t="str">
        <f t="shared" si="19"/>
        <v>Game 2</v>
      </c>
      <c r="F154" s="107" t="str">
        <f t="shared" si="17"/>
        <v/>
      </c>
      <c r="G154" s="104" t="str">
        <f>VLOOKUP(I154,'Swiss2 Registry'!$B$2:$C$703,2,False)</f>
        <v>luukthegamer</v>
      </c>
      <c r="H154" s="84">
        <f t="shared" si="20"/>
        <v>203</v>
      </c>
      <c r="I154" s="84">
        <f>VLOOKUP(H154,'Swiss2 Registry'!$A$2:$B$703,2,False)</f>
        <v>489</v>
      </c>
      <c r="J154" s="83" t="s">
        <v>1907</v>
      </c>
      <c r="K154" s="108" t="str">
        <f t="array" ref="K154">XLOOKUP(CELL("contents",C154),'Swiss Registry'!$B$2:$B$703,'Swiss Registry'!$N$2:$N$703) </f>
        <v>265277015777607691</v>
      </c>
      <c r="L154" s="109" t="str">
        <f t="array" ref="L154">XLOOKUP(CELL("contents",G154),'Swiss Registry'!$B$2:$B$703,'Swiss Registry'!$N$2:$N$703) </f>
        <v>407167044174217218</v>
      </c>
    </row>
    <row r="155">
      <c r="A155" s="84">
        <f t="shared" si="18"/>
        <v>149</v>
      </c>
      <c r="B155" s="84">
        <f>VLOOKUP(A155,'Swiss2 Registry'!$A$2:$B$703,2,False)</f>
        <v>361</v>
      </c>
      <c r="C155" s="104" t="str">
        <f>VLOOKUP(B155,'Swiss2 Registry'!$B$2:$C$703,2,False)</f>
        <v>Guebor</v>
      </c>
      <c r="D155" s="105" t="str">
        <f t="shared" si="16"/>
        <v>Game 1</v>
      </c>
      <c r="E155" s="106" t="str">
        <f t="shared" si="19"/>
        <v>Game 2</v>
      </c>
      <c r="F155" s="107" t="str">
        <f t="shared" si="17"/>
        <v/>
      </c>
      <c r="G155" s="104" t="str">
        <f>VLOOKUP(I155,'Swiss2 Registry'!$B$2:$C$703,2,False)</f>
        <v>kuru1432</v>
      </c>
      <c r="H155" s="84">
        <f t="shared" si="20"/>
        <v>202</v>
      </c>
      <c r="I155" s="84">
        <f>VLOOKUP(H155,'Swiss2 Registry'!$A$2:$B$703,2,False)</f>
        <v>295</v>
      </c>
      <c r="J155" s="83" t="s">
        <v>1908</v>
      </c>
      <c r="K155" s="108" t="str">
        <f t="array" ref="K155">XLOOKUP(CELL("contents",C155),'Swiss Registry'!$B$2:$B$703,'Swiss Registry'!$N$2:$N$703) </f>
        <v>172722236384477184</v>
      </c>
      <c r="L155" s="109" t="str">
        <f t="array" ref="L155">XLOOKUP(CELL("contents",G155),'Swiss Registry'!$B$2:$B$703,'Swiss Registry'!$N$2:$N$703) </f>
        <v>194274180454154240</v>
      </c>
    </row>
    <row r="156">
      <c r="A156" s="84">
        <f t="shared" si="18"/>
        <v>150</v>
      </c>
      <c r="B156" s="84">
        <f>VLOOKUP(A156,'Swiss2 Registry'!$A$2:$B$703,2,False)</f>
        <v>505</v>
      </c>
      <c r="C156" s="104" t="str">
        <f>VLOOKUP(B156,'Swiss2 Registry'!$B$2:$C$703,2,False)</f>
        <v>etymon_</v>
      </c>
      <c r="D156" s="105" t="str">
        <f t="shared" si="16"/>
        <v>Game 1</v>
      </c>
      <c r="E156" s="106" t="str">
        <f t="shared" si="19"/>
        <v>Game 2</v>
      </c>
      <c r="F156" s="107" t="str">
        <f t="shared" si="17"/>
        <v/>
      </c>
      <c r="G156" s="104" t="str">
        <f>VLOOKUP(I156,'Swiss2 Registry'!$B$2:$C$703,2,False)</f>
        <v>PuruglyIsUgly</v>
      </c>
      <c r="H156" s="84">
        <f t="shared" si="20"/>
        <v>201</v>
      </c>
      <c r="I156" s="84">
        <f>VLOOKUP(H156,'Swiss2 Registry'!$A$2:$B$703,2,False)</f>
        <v>218</v>
      </c>
      <c r="J156" s="83" t="s">
        <v>1909</v>
      </c>
      <c r="K156" s="108" t="str">
        <f t="array" ref="K156">XLOOKUP(CELL("contents",C156),'Swiss Registry'!$B$2:$B$703,'Swiss Registry'!$N$2:$N$703) </f>
        <v>790249278408359947</v>
      </c>
      <c r="L156" s="109" t="str">
        <f t="array" ref="L156">XLOOKUP(CELL("contents",G156),'Swiss Registry'!$B$2:$B$703,'Swiss Registry'!$N$2:$N$703) </f>
        <v>600422095641378837</v>
      </c>
    </row>
    <row r="157">
      <c r="A157" s="84">
        <f t="shared" si="18"/>
        <v>151</v>
      </c>
      <c r="B157" s="84">
        <f>VLOOKUP(A157,'Swiss2 Registry'!$A$2:$B$703,2,False)</f>
        <v>448</v>
      </c>
      <c r="C157" s="104" t="str">
        <f>VLOOKUP(B157,'Swiss2 Registry'!$B$2:$C$703,2,False)</f>
        <v>egocheck</v>
      </c>
      <c r="D157" s="105" t="str">
        <f t="shared" si="16"/>
        <v>Game 1</v>
      </c>
      <c r="E157" s="106" t="str">
        <f t="shared" si="19"/>
        <v>Game 2</v>
      </c>
      <c r="F157" s="107" t="str">
        <f t="shared" si="17"/>
        <v/>
      </c>
      <c r="G157" s="104" t="str">
        <f>VLOOKUP(I157,'Swiss2 Registry'!$B$2:$C$703,2,False)</f>
        <v>adv_fella</v>
      </c>
      <c r="H157" s="84">
        <f t="shared" si="20"/>
        <v>200</v>
      </c>
      <c r="I157" s="84">
        <f>VLOOKUP(H157,'Swiss2 Registry'!$A$2:$B$703,2,False)</f>
        <v>593</v>
      </c>
      <c r="J157" s="83" t="s">
        <v>1910</v>
      </c>
      <c r="K157" s="108" t="str">
        <f t="array" ref="K157">XLOOKUP(CELL("contents",C157),'Swiss Registry'!$B$2:$B$703,'Swiss Registry'!$N$2:$N$703) </f>
        <v>352554361001345026</v>
      </c>
      <c r="L157" s="109" t="str">
        <f t="array" ref="L157">XLOOKUP(CELL("contents",G157),'Swiss Registry'!$B$2:$B$703,'Swiss Registry'!$N$2:$N$703) </f>
        <v>1045171502057799710</v>
      </c>
    </row>
    <row r="158">
      <c r="A158" s="84">
        <f t="shared" si="18"/>
        <v>152</v>
      </c>
      <c r="B158" s="84">
        <f>VLOOKUP(A158,'Swiss2 Registry'!$A$2:$B$703,2,False)</f>
        <v>173</v>
      </c>
      <c r="C158" s="104" t="str">
        <f>VLOOKUP(B158,'Swiss2 Registry'!$B$2:$C$703,2,False)</f>
        <v>temraneee</v>
      </c>
      <c r="D158" s="105" t="str">
        <f t="shared" si="16"/>
        <v>Game 1</v>
      </c>
      <c r="E158" s="106" t="str">
        <f t="shared" si="19"/>
        <v>Game 2</v>
      </c>
      <c r="F158" s="107" t="str">
        <f t="shared" si="17"/>
        <v/>
      </c>
      <c r="G158" s="104" t="str">
        <f>VLOOKUP(I158,'Swiss2 Registry'!$B$2:$C$703,2,False)</f>
        <v>skitz_money</v>
      </c>
      <c r="H158" s="84">
        <f t="shared" si="20"/>
        <v>199</v>
      </c>
      <c r="I158" s="84">
        <f>VLOOKUP(H158,'Swiss2 Registry'!$A$2:$B$703,2,False)</f>
        <v>418</v>
      </c>
      <c r="J158" s="83" t="s">
        <v>1911</v>
      </c>
      <c r="K158" s="108" t="str">
        <f t="array" ref="K158">XLOOKUP(CELL("contents",C158),'Swiss Registry'!$B$2:$B$703,'Swiss Registry'!$N$2:$N$703) </f>
        <v>131822654574297088</v>
      </c>
      <c r="L158" s="109" t="str">
        <f t="array" ref="L158">XLOOKUP(CELL("contents",G158),'Swiss Registry'!$B$2:$B$703,'Swiss Registry'!$N$2:$N$703) </f>
        <v>175361436610985984</v>
      </c>
    </row>
    <row r="159">
      <c r="A159" s="84">
        <f t="shared" si="18"/>
        <v>153</v>
      </c>
      <c r="B159" s="84">
        <f>VLOOKUP(A159,'Swiss2 Registry'!$A$2:$B$703,2,False)</f>
        <v>352</v>
      </c>
      <c r="C159" s="104" t="str">
        <f>VLOOKUP(B159,'Swiss2 Registry'!$B$2:$C$703,2,False)</f>
        <v>Dwightasaurus</v>
      </c>
      <c r="D159" s="105" t="str">
        <f t="shared" si="16"/>
        <v>Game 1</v>
      </c>
      <c r="E159" s="106" t="str">
        <f t="shared" si="19"/>
        <v>Game 2</v>
      </c>
      <c r="F159" s="110" t="str">
        <f t="shared" si="17"/>
        <v>Game 3</v>
      </c>
      <c r="G159" s="104" t="str">
        <f>VLOOKUP(I159,'Swiss2 Registry'!$B$2:$C$703,2,False)</f>
        <v>derevien</v>
      </c>
      <c r="H159" s="84">
        <f t="shared" si="20"/>
        <v>198</v>
      </c>
      <c r="I159" s="84">
        <f>VLOOKUP(H159,'Swiss2 Registry'!$A$2:$B$703,2,False)</f>
        <v>541</v>
      </c>
      <c r="J159" s="83" t="s">
        <v>1912</v>
      </c>
      <c r="K159" s="108" t="str">
        <f t="array" ref="K159">XLOOKUP(CELL("contents",C159),'Swiss Registry'!$B$2:$B$703,'Swiss Registry'!$N$2:$N$703) </f>
        <v>393205826900197377</v>
      </c>
      <c r="L159" s="109" t="str">
        <f t="array" ref="L159">XLOOKUP(CELL("contents",G159),'Swiss Registry'!$B$2:$B$703,'Swiss Registry'!$N$2:$N$703) </f>
        <v>219178413062225922</v>
      </c>
    </row>
    <row r="160">
      <c r="A160" s="84">
        <f t="shared" si="18"/>
        <v>154</v>
      </c>
      <c r="B160" s="84">
        <f>VLOOKUP(A160,'Swiss2 Registry'!$A$2:$B$703,2,False)</f>
        <v>492</v>
      </c>
      <c r="C160" s="104" t="str">
        <f>VLOOKUP(B160,'Swiss2 Registry'!$B$2:$C$703,2,False)</f>
        <v>cisconduct</v>
      </c>
      <c r="D160" s="105" t="str">
        <f t="shared" si="16"/>
        <v>Game 1</v>
      </c>
      <c r="E160" s="106" t="str">
        <f t="shared" si="19"/>
        <v>Game 2</v>
      </c>
      <c r="F160" s="107" t="str">
        <f t="shared" si="17"/>
        <v/>
      </c>
      <c r="G160" s="104" t="str">
        <f>VLOOKUP(I160,'Swiss2 Registry'!$B$2:$C$703,2,False)</f>
        <v>f1remaster (Hikari)</v>
      </c>
      <c r="H160" s="84">
        <f t="shared" si="20"/>
        <v>197</v>
      </c>
      <c r="I160" s="84">
        <f>VLOOKUP(H160,'Swiss2 Registry'!$A$2:$B$703,2,False)</f>
        <v>329</v>
      </c>
      <c r="J160" s="83" t="s">
        <v>1913</v>
      </c>
      <c r="K160" s="108" t="str">
        <f t="array" ref="K160">XLOOKUP(CELL("contents",C160),'Swiss Registry'!$B$2:$B$703,'Swiss Registry'!$N$2:$N$703) </f>
        <v>703804773228609587</v>
      </c>
      <c r="L160" s="109" t="str">
        <f t="array" ref="L160">XLOOKUP(CELL("contents",G160),'Swiss Registry'!$B$2:$B$703,'Swiss Registry'!$N$2:$N$703) </f>
        <v>295050390435659787</v>
      </c>
    </row>
    <row r="161">
      <c r="A161" s="84">
        <f t="shared" si="18"/>
        <v>155</v>
      </c>
      <c r="B161" s="84">
        <f>VLOOKUP(A161,'Swiss2 Registry'!$A$2:$B$703,2,False)</f>
        <v>294</v>
      </c>
      <c r="C161" s="104" t="str">
        <f>VLOOKUP(B161,'Swiss2 Registry'!$B$2:$C$703,2,False)</f>
        <v>dorugang</v>
      </c>
      <c r="D161" s="105" t="str">
        <f t="shared" si="16"/>
        <v>Game 1</v>
      </c>
      <c r="E161" s="106" t="str">
        <f t="shared" si="19"/>
        <v>Game 2</v>
      </c>
      <c r="F161" s="110" t="str">
        <f t="shared" si="17"/>
        <v>Game 3</v>
      </c>
      <c r="G161" s="104" t="str">
        <f>VLOOKUP(I161,'Swiss2 Registry'!$B$2:$C$703,2,False)</f>
        <v>S.k.magnet</v>
      </c>
      <c r="H161" s="84">
        <f t="shared" si="20"/>
        <v>196</v>
      </c>
      <c r="I161" s="84">
        <f>VLOOKUP(H161,'Swiss2 Registry'!$A$2:$B$703,2,False)</f>
        <v>576</v>
      </c>
      <c r="J161" s="83" t="s">
        <v>1914</v>
      </c>
      <c r="K161" s="108" t="str">
        <f t="array" ref="K161">XLOOKUP(CELL("contents",C161),'Swiss Registry'!$B$2:$B$703,'Swiss Registry'!$N$2:$N$703) </f>
        <v>1203049772785868861</v>
      </c>
      <c r="L161" s="109" t="str">
        <f t="array" ref="L161">XLOOKUP(CELL("contents",G161),'Swiss Registry'!$B$2:$B$703,'Swiss Registry'!$N$2:$N$703) </f>
        <v>1147160651219869766</v>
      </c>
    </row>
    <row r="162" ht="15.0" customHeight="1">
      <c r="A162" s="80"/>
      <c r="B162" s="114"/>
      <c r="C162" s="115"/>
      <c r="D162" s="114"/>
      <c r="E162" s="96" t="s">
        <v>1593</v>
      </c>
      <c r="F162" s="81"/>
      <c r="G162" s="81"/>
      <c r="H162" s="81"/>
      <c r="I162" s="81"/>
      <c r="J162" s="81"/>
      <c r="K162" s="116" t="str">
        <f t="array" ref="K162">XLOOKUP(CELL("contents",C162),'Swiss Registry'!$B$2:$B$703,'Swiss Registry'!$N$2:$N$703) </f>
        <v>#N/A</v>
      </c>
      <c r="L162" s="117" t="str">
        <f t="array" ref="L162">XLOOKUP(CELL("contents",G162),'Swiss Registry'!$B$2:$B$703,'Swiss Registry'!$N$2:$N$703) </f>
        <v>#N/A</v>
      </c>
    </row>
    <row r="163">
      <c r="A163" s="84">
        <f>A161+1</f>
        <v>156</v>
      </c>
      <c r="B163" s="84">
        <f>VLOOKUP(A163,'Swiss2 Registry'!$A$2:$B$703,2,False)</f>
        <v>569</v>
      </c>
      <c r="C163" s="104" t="str">
        <f>VLOOKUP(B163,'Swiss2 Registry'!$B$2:$C$703,2,False)</f>
        <v>swope</v>
      </c>
      <c r="D163" s="105" t="str">
        <f t="shared" ref="D163:D201" si="21">IF(J163="dead","",IF(J163="a:act","",IF(J163="b:act","",IF(ISURL(HYPERLINK(INDIRECT("Importer!B"&amp;MID(J163,2,4)+1,TRUE))),HYPERLINK(INDIRECT("Importer!B"&amp;MID(J163,2,4)+1,TRUE), "Game 1"),""))))</f>
        <v>Game 1</v>
      </c>
      <c r="E163" s="106" t="str">
        <f>IF(J163="dead","Dead Game",IF(J163="a:act","Act: "&amp;G163,IF(J163="b:act","Act: "&amp;#REF!,IF(ISURL(HYPERLINK(INDIRECT("Importer!B"&amp;MID(J163,6,4)+1,TRUE))),HYPERLINK(INDIRECT("Importer!B"&amp;MID(J163,6,4)+1,TRUE), "Game 2"),""))))</f>
        <v>Game 2</v>
      </c>
      <c r="F163" s="107" t="str">
        <f t="shared" ref="F163:F201" si="22">IF(J163="dead","",IF(J163="a:act","",IF(J163="b:act","",IF(ISURL(HYPERLINK(INDIRECT("Importer!B"&amp;MID(J163,10,4)+1,TRUE))),HYPERLINK(INDIRECT("Importer!B"&amp;MID(J163,10,4)+1,TRUE), "Game 3"),""))))</f>
        <v/>
      </c>
      <c r="G163" s="104" t="str">
        <f>VLOOKUP(I163,'Swiss2 Registry'!$B$2:$C$703,2,False)</f>
        <v>_uka</v>
      </c>
      <c r="H163" s="84">
        <f>H161-1</f>
        <v>195</v>
      </c>
      <c r="I163" s="84">
        <f>VLOOKUP(H163,'Swiss2 Registry'!$A$2:$B$703,2,False)</f>
        <v>227</v>
      </c>
      <c r="J163" s="83" t="s">
        <v>1915</v>
      </c>
      <c r="K163" s="108" t="str">
        <f t="array" ref="K163">XLOOKUP(CELL("contents",C163),'Swiss Registry'!$B$2:$B$703,'Swiss Registry'!$N$2:$N$703) </f>
        <v>141349140188626944</v>
      </c>
      <c r="L163" s="109" t="str">
        <f t="array" ref="L163">XLOOKUP(CELL("contents",G163),'Swiss Registry'!$B$2:$B$703,'Swiss Registry'!$N$2:$N$703) </f>
        <v>277419088588832768</v>
      </c>
    </row>
    <row r="164">
      <c r="A164" s="84">
        <f t="shared" ref="A164:A182" si="23">A163+1</f>
        <v>157</v>
      </c>
      <c r="B164" s="84">
        <f>VLOOKUP(A164,'Swiss2 Registry'!$A$2:$B$703,2,False)</f>
        <v>336</v>
      </c>
      <c r="C164" s="104" t="str">
        <f>VLOOKUP(B164,'Swiss2 Registry'!$B$2:$C$703,2,False)</f>
        <v>nadiddhrabb</v>
      </c>
      <c r="D164" s="105" t="str">
        <f t="shared" si="21"/>
        <v>Game 1</v>
      </c>
      <c r="E164" s="106" t="str">
        <f t="shared" ref="E164:E201" si="24">IF(J164="dead","Dead Game",IF(J164="a:act","Act: "&amp;C164,IF(J164="b:act","Act: "&amp;G164,IF(ISURL(HYPERLINK(INDIRECT("Importer!B"&amp;MID(J164,6,4)+1,TRUE))),HYPERLINK(INDIRECT("Importer!B"&amp;MID(J164,6,4)+1,TRUE), "Game 2"),""))))</f>
        <v>Game 2</v>
      </c>
      <c r="F164" s="110" t="str">
        <f t="shared" si="22"/>
        <v>Game 3</v>
      </c>
      <c r="G164" s="104" t="str">
        <f>VLOOKUP(I164,'Swiss2 Registry'!$B$2:$C$703,2,False)</f>
        <v>J0af</v>
      </c>
      <c r="H164" s="84">
        <f t="shared" ref="H164:H182" si="25">H163-1</f>
        <v>194</v>
      </c>
      <c r="I164" s="84">
        <f>VLOOKUP(H164,'Swiss2 Registry'!$A$2:$B$703,2,False)</f>
        <v>230</v>
      </c>
      <c r="J164" s="83" t="s">
        <v>1916</v>
      </c>
      <c r="K164" s="108" t="str">
        <f t="array" ref="K164">XLOOKUP(CELL("contents",C164),'Swiss Registry'!$B$2:$B$703,'Swiss Registry'!$N$2:$N$703) </f>
        <v>708579140605050922</v>
      </c>
      <c r="L164" s="109" t="str">
        <f t="array" ref="L164">XLOOKUP(CELL("contents",G164),'Swiss Registry'!$B$2:$B$703,'Swiss Registry'!$N$2:$N$703) </f>
        <v>144056588959744001</v>
      </c>
    </row>
    <row r="165">
      <c r="A165" s="84">
        <f t="shared" si="23"/>
        <v>158</v>
      </c>
      <c r="B165" s="84">
        <f>VLOOKUP(A165,'Swiss2 Registry'!$A$2:$B$703,2,False)</f>
        <v>269</v>
      </c>
      <c r="C165" s="104" t="str">
        <f>VLOOKUP(B165,'Swiss2 Registry'!$B$2:$C$703,2,False)</f>
        <v>monchooo</v>
      </c>
      <c r="D165" s="105" t="str">
        <f t="shared" si="21"/>
        <v>Game 1</v>
      </c>
      <c r="E165" s="106" t="str">
        <f t="shared" si="24"/>
        <v>Game 2</v>
      </c>
      <c r="F165" s="107" t="str">
        <f t="shared" si="22"/>
        <v/>
      </c>
      <c r="G165" s="104" t="str">
        <f>VLOOKUP(I165,'Swiss2 Registry'!$B$2:$C$703,2,False)</f>
        <v>larkindred</v>
      </c>
      <c r="H165" s="84">
        <f t="shared" si="25"/>
        <v>193</v>
      </c>
      <c r="I165" s="84">
        <f>VLOOKUP(H165,'Swiss2 Registry'!$A$2:$B$703,2,False)</f>
        <v>450</v>
      </c>
      <c r="J165" s="83" t="s">
        <v>1917</v>
      </c>
      <c r="K165" s="108" t="str">
        <f t="array" ref="K165">XLOOKUP(CELL("contents",C165),'Swiss Registry'!$B$2:$B$703,'Swiss Registry'!$N$2:$N$703) </f>
        <v>202168691893207041</v>
      </c>
      <c r="L165" s="109" t="str">
        <f t="array" ref="L165">XLOOKUP(CELL("contents",G165),'Swiss Registry'!$B$2:$B$703,'Swiss Registry'!$N$2:$N$703) </f>
        <v>519615198294704153</v>
      </c>
    </row>
    <row r="166">
      <c r="A166" s="84">
        <f t="shared" si="23"/>
        <v>159</v>
      </c>
      <c r="B166" s="84">
        <f>VLOOKUP(A166,'Swiss2 Registry'!$A$2:$B$703,2,False)</f>
        <v>321</v>
      </c>
      <c r="C166" s="104" t="str">
        <f>VLOOKUP(B166,'Swiss2 Registry'!$B$2:$C$703,2,False)</f>
        <v>almarkowbender</v>
      </c>
      <c r="D166" s="105" t="str">
        <f t="shared" si="21"/>
        <v>Game 1</v>
      </c>
      <c r="E166" s="106" t="str">
        <f t="shared" si="24"/>
        <v>Game 2</v>
      </c>
      <c r="F166" s="110" t="str">
        <f t="shared" si="22"/>
        <v>Game 3</v>
      </c>
      <c r="G166" s="104" t="str">
        <f>VLOOKUP(I166,'Swiss2 Registry'!$B$2:$C$703,2,False)</f>
        <v>iNeedJuuce</v>
      </c>
      <c r="H166" s="84">
        <f t="shared" si="25"/>
        <v>192</v>
      </c>
      <c r="I166" s="84">
        <f>VLOOKUP(H166,'Swiss2 Registry'!$A$2:$B$703,2,False)</f>
        <v>337</v>
      </c>
      <c r="J166" s="83" t="s">
        <v>1918</v>
      </c>
      <c r="K166" s="108" t="str">
        <f t="array" ref="K166">XLOOKUP(CELL("contents",C166),'Swiss Registry'!$B$2:$B$703,'Swiss Registry'!$N$2:$N$703) </f>
        <v>341270044979757056</v>
      </c>
      <c r="L166" s="109" t="str">
        <f t="array" ref="L166">XLOOKUP(CELL("contents",G166),'Swiss Registry'!$B$2:$B$703,'Swiss Registry'!$N$2:$N$703) </f>
        <v>618933361523687456</v>
      </c>
    </row>
    <row r="167">
      <c r="A167" s="84">
        <f t="shared" si="23"/>
        <v>160</v>
      </c>
      <c r="B167" s="84">
        <f>VLOOKUP(A167,'Swiss2 Registry'!$A$2:$B$703,2,False)</f>
        <v>484</v>
      </c>
      <c r="C167" s="104" t="str">
        <f>VLOOKUP(B167,'Swiss2 Registry'!$B$2:$C$703,2,False)</f>
        <v>LevysChair</v>
      </c>
      <c r="D167" s="105" t="str">
        <f t="shared" si="21"/>
        <v>Game 1</v>
      </c>
      <c r="E167" s="106" t="str">
        <f t="shared" si="24"/>
        <v>Game 2</v>
      </c>
      <c r="F167" s="110" t="str">
        <f t="shared" si="22"/>
        <v>Game 3</v>
      </c>
      <c r="G167" s="104" t="str">
        <f>VLOOKUP(I167,'Swiss2 Registry'!$B$2:$C$703,2,False)</f>
        <v>darth0068</v>
      </c>
      <c r="H167" s="84">
        <f t="shared" si="25"/>
        <v>191</v>
      </c>
      <c r="I167" s="84">
        <f>VLOOKUP(H167,'Swiss2 Registry'!$A$2:$B$703,2,False)</f>
        <v>392</v>
      </c>
      <c r="J167" s="83" t="s">
        <v>1919</v>
      </c>
      <c r="K167" s="108" t="str">
        <f t="array" ref="K167">XLOOKUP(CELL("contents",C167),'Swiss Registry'!$B$2:$B$703,'Swiss Registry'!$N$2:$N$703) </f>
        <v>287039271523844096</v>
      </c>
      <c r="L167" s="109" t="str">
        <f t="array" ref="L167">XLOOKUP(CELL("contents",G167),'Swiss Registry'!$B$2:$B$703,'Swiss Registry'!$N$2:$N$703) </f>
        <v>672056990951800862</v>
      </c>
    </row>
    <row r="168">
      <c r="A168" s="84">
        <f t="shared" si="23"/>
        <v>161</v>
      </c>
      <c r="B168" s="84">
        <f>VLOOKUP(A168,'Swiss2 Registry'!$A$2:$B$703,2,False)</f>
        <v>389</v>
      </c>
      <c r="C168" s="104" t="str">
        <f>VLOOKUP(B168,'Swiss2 Registry'!$B$2:$C$703,2,False)</f>
        <v>Cyber-DJ</v>
      </c>
      <c r="D168" s="105" t="str">
        <f t="shared" si="21"/>
        <v>Game 1</v>
      </c>
      <c r="E168" s="106" t="str">
        <f t="shared" si="24"/>
        <v>Game 2</v>
      </c>
      <c r="F168" s="110" t="str">
        <f t="shared" si="22"/>
        <v>Game 3</v>
      </c>
      <c r="G168" s="104" t="str">
        <f>VLOOKUP(I168,'Swiss2 Registry'!$B$2:$C$703,2,False)</f>
        <v>SgtPingwen</v>
      </c>
      <c r="H168" s="84">
        <f t="shared" si="25"/>
        <v>190</v>
      </c>
      <c r="I168" s="84">
        <f>VLOOKUP(H168,'Swiss2 Registry'!$A$2:$B$703,2,False)</f>
        <v>317</v>
      </c>
      <c r="J168" s="83" t="s">
        <v>1920</v>
      </c>
      <c r="K168" s="108" t="str">
        <f t="array" ref="K168">XLOOKUP(CELL("contents",C168),'Swiss Registry'!$B$2:$B$703,'Swiss Registry'!$N$2:$N$703) </f>
        <v>1217308528272871476</v>
      </c>
      <c r="L168" s="109" t="str">
        <f t="array" ref="L168">XLOOKUP(CELL("contents",G168),'Swiss Registry'!$B$2:$B$703,'Swiss Registry'!$N$2:$N$703) </f>
        <v>115227471175090181</v>
      </c>
    </row>
    <row r="169">
      <c r="A169" s="84">
        <f t="shared" si="23"/>
        <v>162</v>
      </c>
      <c r="B169" s="84">
        <f>VLOOKUP(A169,'Swiss2 Registry'!$A$2:$B$703,2,False)</f>
        <v>701</v>
      </c>
      <c r="C169" s="104" t="str">
        <f>VLOOKUP(B169,'Swiss2 Registry'!$B$2:$C$703,2,False)</f>
        <v>jaden_17522</v>
      </c>
      <c r="D169" s="105" t="str">
        <f t="shared" si="21"/>
        <v>Game 1</v>
      </c>
      <c r="E169" s="106" t="str">
        <f t="shared" si="24"/>
        <v>Game 2</v>
      </c>
      <c r="F169" s="110" t="str">
        <f t="shared" si="22"/>
        <v>Game 3</v>
      </c>
      <c r="G169" s="104" t="str">
        <f>VLOOKUP(I169,'Swiss2 Registry'!$B$2:$C$703,2,False)</f>
        <v>Derde</v>
      </c>
      <c r="H169" s="84">
        <f t="shared" si="25"/>
        <v>189</v>
      </c>
      <c r="I169" s="84">
        <f>VLOOKUP(H169,'Swiss2 Registry'!$A$2:$B$703,2,False)</f>
        <v>174</v>
      </c>
      <c r="J169" s="83" t="s">
        <v>1921</v>
      </c>
      <c r="K169" s="108" t="str">
        <f t="array" ref="K169">XLOOKUP(CELL("contents",C169),'Swiss Registry'!$B$2:$B$703,'Swiss Registry'!$N$2:$N$703) </f>
        <v>1215851373057413160</v>
      </c>
      <c r="L169" s="109" t="str">
        <f t="array" ref="L169">XLOOKUP(CELL("contents",G169),'Swiss Registry'!$B$2:$B$703,'Swiss Registry'!$N$2:$N$703) </f>
        <v>788102162861260891</v>
      </c>
    </row>
    <row r="170">
      <c r="A170" s="84">
        <f t="shared" si="23"/>
        <v>163</v>
      </c>
      <c r="B170" s="84">
        <f>VLOOKUP(A170,'Swiss2 Registry'!$A$2:$B$703,2,False)</f>
        <v>238</v>
      </c>
      <c r="C170" s="104" t="str">
        <f>VLOOKUP(B170,'Swiss2 Registry'!$B$2:$C$703,2,False)</f>
        <v>.GeneralRevan</v>
      </c>
      <c r="D170" s="105" t="str">
        <f t="shared" si="21"/>
        <v>Game 1</v>
      </c>
      <c r="E170" s="106" t="str">
        <f t="shared" si="24"/>
        <v>Game 2</v>
      </c>
      <c r="F170" s="107" t="str">
        <f t="shared" si="22"/>
        <v/>
      </c>
      <c r="G170" s="104" t="str">
        <f>VLOOKUP(I170,'Swiss2 Registry'!$B$2:$C$703,2,False)</f>
        <v>janis105</v>
      </c>
      <c r="H170" s="84">
        <f t="shared" si="25"/>
        <v>188</v>
      </c>
      <c r="I170" s="84">
        <f>VLOOKUP(H170,'Swiss2 Registry'!$A$2:$B$703,2,False)</f>
        <v>158</v>
      </c>
      <c r="J170" s="83" t="s">
        <v>1922</v>
      </c>
      <c r="K170" s="108" t="str">
        <f t="array" ref="K170">XLOOKUP(CELL("contents",C170),'Swiss Registry'!$B$2:$B$703,'Swiss Registry'!$N$2:$N$703) </f>
        <v>306988395660443648</v>
      </c>
      <c r="L170" s="109" t="str">
        <f t="array" ref="L170">XLOOKUP(CELL("contents",G170),'Swiss Registry'!$B$2:$B$703,'Swiss Registry'!$N$2:$N$703) </f>
        <v>379358371221864449</v>
      </c>
    </row>
    <row r="171">
      <c r="A171" s="84">
        <f t="shared" si="23"/>
        <v>164</v>
      </c>
      <c r="B171" s="84">
        <f>VLOOKUP(A171,'Swiss2 Registry'!$A$2:$B$703,2,False)</f>
        <v>154</v>
      </c>
      <c r="C171" s="104" t="str">
        <f>VLOOKUP(B171,'Swiss2 Registry'!$B$2:$C$703,2,False)</f>
        <v>Mamakoko</v>
      </c>
      <c r="D171" s="105" t="str">
        <f t="shared" si="21"/>
        <v>Game 1</v>
      </c>
      <c r="E171" s="106" t="str">
        <f t="shared" si="24"/>
        <v>Game 2</v>
      </c>
      <c r="F171" s="110" t="str">
        <f t="shared" si="22"/>
        <v>Game 3</v>
      </c>
      <c r="G171" s="104" t="str">
        <f>VLOOKUP(I171,'Swiss2 Registry'!$B$2:$C$703,2,False)</f>
        <v>wiilink100</v>
      </c>
      <c r="H171" s="84">
        <f t="shared" si="25"/>
        <v>187</v>
      </c>
      <c r="I171" s="84">
        <f>VLOOKUP(H171,'Swiss2 Registry'!$A$2:$B$703,2,False)</f>
        <v>240</v>
      </c>
      <c r="J171" s="83" t="s">
        <v>1923</v>
      </c>
      <c r="K171" s="108" t="str">
        <f t="array" ref="K171">XLOOKUP(CELL("contents",C171),'Swiss Registry'!$B$2:$B$703,'Swiss Registry'!$N$2:$N$703) </f>
        <v>652184640559382538</v>
      </c>
      <c r="L171" s="109" t="str">
        <f t="array" ref="L171">XLOOKUP(CELL("contents",G171),'Swiss Registry'!$B$2:$B$703,'Swiss Registry'!$N$2:$N$703) </f>
        <v>160990967980097536</v>
      </c>
    </row>
    <row r="172">
      <c r="A172" s="84">
        <f t="shared" si="23"/>
        <v>165</v>
      </c>
      <c r="B172" s="84">
        <f>VLOOKUP(A172,'Swiss2 Registry'!$A$2:$B$703,2,False)</f>
        <v>547</v>
      </c>
      <c r="C172" s="104" t="str">
        <f>VLOOKUP(B172,'Swiss2 Registry'!$B$2:$C$703,2,False)</f>
        <v>lexi.pup</v>
      </c>
      <c r="D172" s="105" t="str">
        <f t="shared" si="21"/>
        <v>Game 1</v>
      </c>
      <c r="E172" s="106" t="str">
        <f t="shared" si="24"/>
        <v>Game 2</v>
      </c>
      <c r="F172" s="107" t="str">
        <f t="shared" si="22"/>
        <v/>
      </c>
      <c r="G172" s="104" t="str">
        <f>VLOOKUP(I172,'Swiss2 Registry'!$B$2:$C$703,2,False)</f>
        <v>nichard_</v>
      </c>
      <c r="H172" s="84">
        <f t="shared" si="25"/>
        <v>186</v>
      </c>
      <c r="I172" s="84">
        <f>VLOOKUP(H172,'Swiss2 Registry'!$A$2:$B$703,2,False)</f>
        <v>610</v>
      </c>
      <c r="J172" s="83" t="s">
        <v>1924</v>
      </c>
      <c r="K172" s="108" t="str">
        <f t="array" ref="K172">XLOOKUP(CELL("contents",C172),'Swiss Registry'!$B$2:$B$703,'Swiss Registry'!$N$2:$N$703) </f>
        <v>768313209161383936</v>
      </c>
      <c r="L172" s="109" t="str">
        <f t="array" ref="L172">XLOOKUP(CELL("contents",G172),'Swiss Registry'!$B$2:$B$703,'Swiss Registry'!$N$2:$N$703) </f>
        <v>737461610175528960</v>
      </c>
    </row>
    <row r="173">
      <c r="A173" s="84">
        <f t="shared" si="23"/>
        <v>166</v>
      </c>
      <c r="B173" s="84">
        <f>VLOOKUP(A173,'Swiss2 Registry'!$A$2:$B$703,2,False)</f>
        <v>233</v>
      </c>
      <c r="C173" s="104" t="str">
        <f>VLOOKUP(B173,'Swiss2 Registry'!$B$2:$C$703,2,False)</f>
        <v>Beignet</v>
      </c>
      <c r="D173" s="105" t="str">
        <f t="shared" si="21"/>
        <v>Game 1</v>
      </c>
      <c r="E173" s="106" t="str">
        <f t="shared" si="24"/>
        <v>Game 2</v>
      </c>
      <c r="F173" s="107" t="str">
        <f t="shared" si="22"/>
        <v/>
      </c>
      <c r="G173" s="104" t="str">
        <f>VLOOKUP(I173,'Swiss2 Registry'!$B$2:$C$703,2,False)</f>
        <v>themightyq99</v>
      </c>
      <c r="H173" s="84">
        <f t="shared" si="25"/>
        <v>185</v>
      </c>
      <c r="I173" s="84">
        <f>VLOOKUP(H173,'Swiss2 Registry'!$A$2:$B$703,2,False)</f>
        <v>356</v>
      </c>
      <c r="J173" s="83" t="s">
        <v>1925</v>
      </c>
      <c r="K173" s="108" t="str">
        <f t="array" ref="K173">XLOOKUP(CELL("contents",C173),'Swiss Registry'!$B$2:$B$703,'Swiss Registry'!$N$2:$N$703) </f>
        <v>473550253396721694</v>
      </c>
      <c r="L173" s="109" t="str">
        <f t="array" ref="L173">XLOOKUP(CELL("contents",G173),'Swiss Registry'!$B$2:$B$703,'Swiss Registry'!$N$2:$N$703) </f>
        <v>1212585146042028052</v>
      </c>
    </row>
    <row r="174">
      <c r="A174" s="84">
        <f t="shared" si="23"/>
        <v>167</v>
      </c>
      <c r="B174" s="84">
        <f>VLOOKUP(A174,'Swiss2 Registry'!$A$2:$B$703,2,False)</f>
        <v>539</v>
      </c>
      <c r="C174" s="104" t="str">
        <f>VLOOKUP(B174,'Swiss2 Registry'!$B$2:$C$703,2,False)</f>
        <v>tehpenguinofdoom</v>
      </c>
      <c r="D174" s="105" t="str">
        <f t="shared" si="21"/>
        <v>Game 1</v>
      </c>
      <c r="E174" s="106" t="str">
        <f t="shared" si="24"/>
        <v>Game 2</v>
      </c>
      <c r="F174" s="110" t="str">
        <f t="shared" si="22"/>
        <v>Game 3</v>
      </c>
      <c r="G174" s="104" t="str">
        <f>VLOOKUP(I174,'Swiss2 Registry'!$B$2:$C$703,2,False)</f>
        <v>Chris2324</v>
      </c>
      <c r="H174" s="84">
        <f t="shared" si="25"/>
        <v>184</v>
      </c>
      <c r="I174" s="84">
        <f>VLOOKUP(H174,'Swiss2 Registry'!$A$2:$B$703,2,False)</f>
        <v>371</v>
      </c>
      <c r="J174" s="83" t="s">
        <v>1926</v>
      </c>
      <c r="K174" s="108" t="str">
        <f t="array" ref="K174">XLOOKUP(CELL("contents",C174),'Swiss Registry'!$B$2:$B$703,'Swiss Registry'!$N$2:$N$703) </f>
        <v>884242717255807047</v>
      </c>
      <c r="L174" s="109" t="str">
        <f t="array" ref="L174">XLOOKUP(CELL("contents",G174),'Swiss Registry'!$B$2:$B$703,'Swiss Registry'!$N$2:$N$703) </f>
        <v>162755790644576257</v>
      </c>
    </row>
    <row r="175">
      <c r="A175" s="84">
        <f t="shared" si="23"/>
        <v>168</v>
      </c>
      <c r="B175" s="84">
        <f>VLOOKUP(A175,'Swiss2 Registry'!$A$2:$B$703,2,False)</f>
        <v>677</v>
      </c>
      <c r="C175" s="104" t="str">
        <f>VLOOKUP(B175,'Swiss2 Registry'!$B$2:$C$703,2,False)</f>
        <v>garcilp</v>
      </c>
      <c r="D175" s="105" t="str">
        <f t="shared" si="21"/>
        <v>Game 1</v>
      </c>
      <c r="E175" s="106" t="str">
        <f t="shared" si="24"/>
        <v>Game 2</v>
      </c>
      <c r="F175" s="107" t="str">
        <f t="shared" si="22"/>
        <v/>
      </c>
      <c r="G175" s="104" t="str">
        <f>VLOOKUP(I175,'Swiss2 Registry'!$B$2:$C$703,2,False)</f>
        <v>otael</v>
      </c>
      <c r="H175" s="84">
        <f t="shared" si="25"/>
        <v>183</v>
      </c>
      <c r="I175" s="84">
        <f>VLOOKUP(H175,'Swiss2 Registry'!$A$2:$B$703,2,False)</f>
        <v>560</v>
      </c>
      <c r="J175" s="83" t="s">
        <v>1927</v>
      </c>
      <c r="K175" s="108" t="str">
        <f t="array" ref="K175">XLOOKUP(CELL("contents",C175),'Swiss Registry'!$B$2:$B$703,'Swiss Registry'!$N$2:$N$703) </f>
        <v>121071467692556291</v>
      </c>
      <c r="L175" s="109" t="str">
        <f t="array" ref="L175">XLOOKUP(CELL("contents",G175),'Swiss Registry'!$B$2:$B$703,'Swiss Registry'!$N$2:$N$703) </f>
        <v>123122853632540672</v>
      </c>
    </row>
    <row r="176">
      <c r="A176" s="84">
        <f t="shared" si="23"/>
        <v>169</v>
      </c>
      <c r="B176" s="84">
        <f>VLOOKUP(A176,'Swiss2 Registry'!$A$2:$B$703,2,False)</f>
        <v>540</v>
      </c>
      <c r="C176" s="104" t="str">
        <f>VLOOKUP(B176,'Swiss2 Registry'!$B$2:$C$703,2,False)</f>
        <v>tub69</v>
      </c>
      <c r="D176" s="105" t="str">
        <f t="shared" si="21"/>
        <v>Game 1</v>
      </c>
      <c r="E176" s="106" t="str">
        <f t="shared" si="24"/>
        <v>Game 2</v>
      </c>
      <c r="F176" s="107" t="str">
        <f t="shared" si="22"/>
        <v/>
      </c>
      <c r="G176" s="104" t="str">
        <f>VLOOKUP(I176,'Swiss2 Registry'!$B$2:$C$703,2,False)</f>
        <v>rbvengeance (Nicknamed RBV in the server, you can use this as a shorthand)</v>
      </c>
      <c r="H176" s="84">
        <f t="shared" si="25"/>
        <v>182</v>
      </c>
      <c r="I176" s="84">
        <f>VLOOKUP(H176,'Swiss2 Registry'!$A$2:$B$703,2,False)</f>
        <v>239</v>
      </c>
      <c r="J176" s="83" t="s">
        <v>1928</v>
      </c>
      <c r="K176" s="108" t="str">
        <f t="array" ref="K176">XLOOKUP(CELL("contents",C176),'Swiss Registry'!$B$2:$B$703,'Swiss Registry'!$N$2:$N$703) </f>
        <v>283982333520904192</v>
      </c>
      <c r="L176" s="109" t="str">
        <f t="array" ref="L176">XLOOKUP(CELL("contents",G176),'Swiss Registry'!$B$2:$B$703,'Swiss Registry'!$N$2:$N$703) </f>
        <v>184058713424920576</v>
      </c>
    </row>
    <row r="177">
      <c r="A177" s="84">
        <f t="shared" si="23"/>
        <v>170</v>
      </c>
      <c r="B177" s="84">
        <f>VLOOKUP(A177,'Swiss2 Registry'!$A$2:$B$703,2,False)</f>
        <v>594</v>
      </c>
      <c r="C177" s="104" t="str">
        <f>VLOOKUP(B177,'Swiss2 Registry'!$B$2:$C$703,2,False)</f>
        <v>blunderpolicy</v>
      </c>
      <c r="D177" s="105" t="str">
        <f t="shared" si="21"/>
        <v>Game 1</v>
      </c>
      <c r="E177" s="106" t="str">
        <f t="shared" si="24"/>
        <v>Game 2</v>
      </c>
      <c r="F177" s="107" t="str">
        <f t="shared" si="22"/>
        <v/>
      </c>
      <c r="G177" s="104" t="str">
        <f>VLOOKUP(I177,'Swiss2 Registry'!$B$2:$C$703,2,False)</f>
        <v>Rainer7849</v>
      </c>
      <c r="H177" s="84">
        <f t="shared" si="25"/>
        <v>181</v>
      </c>
      <c r="I177" s="84">
        <f>VLOOKUP(H177,'Swiss2 Registry'!$A$2:$B$703,2,False)</f>
        <v>299</v>
      </c>
      <c r="J177" s="83" t="s">
        <v>1929</v>
      </c>
      <c r="K177" s="108" t="str">
        <f t="array" ref="K177">XLOOKUP(CELL("contents",C177),'Swiss Registry'!$B$2:$B$703,'Swiss Registry'!$N$2:$N$703) </f>
        <v>306969912566611968</v>
      </c>
      <c r="L177" s="109" t="str">
        <f t="array" ref="L177">XLOOKUP(CELL("contents",G177),'Swiss Registry'!$B$2:$B$703,'Swiss Registry'!$N$2:$N$703) </f>
        <v>452288242931335179</v>
      </c>
    </row>
    <row r="178">
      <c r="A178" s="84">
        <f t="shared" si="23"/>
        <v>171</v>
      </c>
      <c r="B178" s="84">
        <f>VLOOKUP(A178,'Swiss2 Registry'!$A$2:$B$703,2,False)</f>
        <v>331</v>
      </c>
      <c r="C178" s="104" t="str">
        <f>VLOOKUP(B178,'Swiss2 Registry'!$B$2:$C$703,2,False)</f>
        <v>pac_rojo</v>
      </c>
      <c r="D178" s="105" t="str">
        <f t="shared" si="21"/>
        <v>Game 1</v>
      </c>
      <c r="E178" s="106" t="str">
        <f t="shared" si="24"/>
        <v>Game 2</v>
      </c>
      <c r="F178" s="107" t="str">
        <f t="shared" si="22"/>
        <v/>
      </c>
      <c r="G178" s="104" t="str">
        <f>VLOOKUP(I178,'Swiss2 Registry'!$B$2:$C$703,2,False)</f>
        <v>EatYourToastSon</v>
      </c>
      <c r="H178" s="84">
        <f t="shared" si="25"/>
        <v>180</v>
      </c>
      <c r="I178" s="84">
        <f>VLOOKUP(H178,'Swiss2 Registry'!$A$2:$B$703,2,False)</f>
        <v>611</v>
      </c>
      <c r="J178" s="83" t="s">
        <v>1930</v>
      </c>
      <c r="K178" s="108" t="str">
        <f t="array" ref="K178">XLOOKUP(CELL("contents",C178),'Swiss Registry'!$B$2:$B$703,'Swiss Registry'!$N$2:$N$703) </f>
        <v>658992933772591105</v>
      </c>
      <c r="L178" s="109" t="str">
        <f t="array" ref="L178">XLOOKUP(CELL("contents",G178),'Swiss Registry'!$B$2:$B$703,'Swiss Registry'!$N$2:$N$703) </f>
        <v>508374686359486495</v>
      </c>
    </row>
    <row r="179">
      <c r="A179" s="84">
        <f t="shared" si="23"/>
        <v>172</v>
      </c>
      <c r="B179" s="84">
        <f>VLOOKUP(A179,'Swiss2 Registry'!$A$2:$B$703,2,False)</f>
        <v>137</v>
      </c>
      <c r="C179" s="104" t="str">
        <f>VLOOKUP(B179,'Swiss2 Registry'!$B$2:$C$703,2,False)</f>
        <v>Wizzyhatg</v>
      </c>
      <c r="D179" s="105" t="str">
        <f t="shared" si="21"/>
        <v>Game 1</v>
      </c>
      <c r="E179" s="106" t="str">
        <f t="shared" si="24"/>
        <v>Game 2</v>
      </c>
      <c r="F179" s="107" t="str">
        <f t="shared" si="22"/>
        <v/>
      </c>
      <c r="G179" s="104" t="str">
        <f>VLOOKUP(I179,'Swiss2 Registry'!$B$2:$C$703,2,False)</f>
        <v>gudemuch</v>
      </c>
      <c r="H179" s="84">
        <f t="shared" si="25"/>
        <v>179</v>
      </c>
      <c r="I179" s="84">
        <f>VLOOKUP(H179,'Swiss2 Registry'!$A$2:$B$703,2,False)</f>
        <v>498</v>
      </c>
      <c r="J179" s="83" t="s">
        <v>1931</v>
      </c>
      <c r="K179" s="108" t="str">
        <f t="array" ref="K179">XLOOKUP(CELL("contents",C179),'Swiss Registry'!$B$2:$B$703,'Swiss Registry'!$N$2:$N$703) </f>
        <v>193484979798409216</v>
      </c>
      <c r="L179" s="109" t="str">
        <f t="array" ref="L179">XLOOKUP(CELL("contents",G179),'Swiss Registry'!$B$2:$B$703,'Swiss Registry'!$N$2:$N$703) </f>
        <v>689102490154696705</v>
      </c>
    </row>
    <row r="180">
      <c r="A180" s="84">
        <f t="shared" si="23"/>
        <v>173</v>
      </c>
      <c r="B180" s="84">
        <f>VLOOKUP(A180,'Swiss2 Registry'!$A$2:$B$703,2,False)</f>
        <v>171</v>
      </c>
      <c r="C180" s="104" t="str">
        <f>VLOOKUP(B180,'Swiss2 Registry'!$B$2:$C$703,2,False)</f>
        <v>knexhawk</v>
      </c>
      <c r="D180" s="105" t="str">
        <f t="shared" si="21"/>
        <v>Game 1</v>
      </c>
      <c r="E180" s="106" t="str">
        <f t="shared" si="24"/>
        <v>Game 2</v>
      </c>
      <c r="F180" s="110" t="str">
        <f t="shared" si="22"/>
        <v>Game 3</v>
      </c>
      <c r="G180" s="104" t="str">
        <f>VLOOKUP(I180,'Swiss2 Registry'!$B$2:$C$703,2,False)</f>
        <v>bruh504</v>
      </c>
      <c r="H180" s="84">
        <f t="shared" si="25"/>
        <v>178</v>
      </c>
      <c r="I180" s="84">
        <f>VLOOKUP(H180,'Swiss2 Registry'!$A$2:$B$703,2,False)</f>
        <v>279</v>
      </c>
      <c r="J180" s="83" t="s">
        <v>1932</v>
      </c>
      <c r="K180" s="108" t="str">
        <f t="array" ref="K180">XLOOKUP(CELL("contents",C180),'Swiss Registry'!$B$2:$B$703,'Swiss Registry'!$N$2:$N$703) </f>
        <v>481499066245578762</v>
      </c>
      <c r="L180" s="109" t="str">
        <f t="array" ref="L180">XLOOKUP(CELL("contents",G180),'Swiss Registry'!$B$2:$B$703,'Swiss Registry'!$N$2:$N$703) </f>
        <v>392333717269643266</v>
      </c>
    </row>
    <row r="181">
      <c r="A181" s="84">
        <f t="shared" si="23"/>
        <v>174</v>
      </c>
      <c r="B181" s="84">
        <f>VLOOKUP(A181,'Swiss2 Registry'!$A$2:$B$703,2,False)</f>
        <v>206</v>
      </c>
      <c r="C181" s="104" t="str">
        <f>VLOOKUP(B181,'Swiss2 Registry'!$B$2:$C$703,2,False)</f>
        <v>ccgeek_</v>
      </c>
      <c r="D181" s="105" t="str">
        <f t="shared" si="21"/>
        <v>Game 1</v>
      </c>
      <c r="E181" s="106" t="str">
        <f t="shared" si="24"/>
        <v>Game 2</v>
      </c>
      <c r="F181" s="110" t="str">
        <f t="shared" si="22"/>
        <v>Game 3</v>
      </c>
      <c r="G181" s="104" t="str">
        <f>VLOOKUP(I181,'Swiss2 Registry'!$B$2:$C$703,2,False)</f>
        <v>ditdus.</v>
      </c>
      <c r="H181" s="84">
        <f t="shared" si="25"/>
        <v>177</v>
      </c>
      <c r="I181" s="84">
        <f>VLOOKUP(H181,'Swiss2 Registry'!$A$2:$B$703,2,False)</f>
        <v>431</v>
      </c>
      <c r="J181" s="83" t="s">
        <v>1933</v>
      </c>
      <c r="K181" s="108" t="str">
        <f t="array" ref="K181">XLOOKUP(CELL("contents",C181),'Swiss Registry'!$B$2:$B$703,'Swiss Registry'!$N$2:$N$703) </f>
        <v>861286170708279336</v>
      </c>
      <c r="L181" s="109" t="str">
        <f t="array" ref="L181">XLOOKUP(CELL("contents",G181),'Swiss Registry'!$B$2:$B$703,'Swiss Registry'!$N$2:$N$703) </f>
        <v>1287828167775485963</v>
      </c>
    </row>
    <row r="182">
      <c r="A182" s="84">
        <f t="shared" si="23"/>
        <v>175</v>
      </c>
      <c r="B182" s="84">
        <f>VLOOKUP(A182,'Swiss2 Registry'!$A$2:$B$703,2,False)</f>
        <v>559</v>
      </c>
      <c r="C182" s="104" t="str">
        <f>VLOOKUP(B182,'Swiss2 Registry'!$B$2:$C$703,2,False)</f>
        <v>Mimien97</v>
      </c>
      <c r="D182" s="105" t="str">
        <f t="shared" si="21"/>
        <v>Game 1</v>
      </c>
      <c r="E182" s="106" t="str">
        <f t="shared" si="24"/>
        <v>Game 2</v>
      </c>
      <c r="F182" s="107" t="str">
        <f t="shared" si="22"/>
        <v/>
      </c>
      <c r="G182" s="104" t="str">
        <f>VLOOKUP(I182,'Swiss2 Registry'!$B$2:$C$703,2,False)</f>
        <v>Ehtis</v>
      </c>
      <c r="H182" s="84">
        <f t="shared" si="25"/>
        <v>176</v>
      </c>
      <c r="I182" s="84">
        <f>VLOOKUP(H182,'Swiss2 Registry'!$A$2:$B$703,2,False)</f>
        <v>675</v>
      </c>
      <c r="J182" s="83" t="s">
        <v>1934</v>
      </c>
      <c r="K182" s="108" t="str">
        <f t="array" ref="K182">XLOOKUP(CELL("contents",C182),'Swiss Registry'!$B$2:$B$703,'Swiss Registry'!$N$2:$N$703) </f>
        <v>441260054461546496</v>
      </c>
      <c r="L182" s="109" t="str">
        <f t="array" ref="L182">XLOOKUP(CELL("contents",G182),'Swiss Registry'!$B$2:$B$703,'Swiss Registry'!$N$2:$N$703) </f>
        <v>318819800639995904</v>
      </c>
    </row>
    <row r="183">
      <c r="A183" s="84">
        <v>353.0</v>
      </c>
      <c r="B183" s="84">
        <f>VLOOKUP(A183,'Swiss2 Registry'!$A$2:$B$703,2,False)</f>
        <v>5</v>
      </c>
      <c r="C183" s="104" t="str">
        <f>VLOOKUP(B183,'Swiss2 Registry'!$B$2:$C$703,2,False)</f>
        <v>Caloom</v>
      </c>
      <c r="D183" s="105" t="str">
        <f t="shared" si="21"/>
        <v>Game 1</v>
      </c>
      <c r="E183" s="106" t="str">
        <f t="shared" si="24"/>
        <v>Game 2</v>
      </c>
      <c r="F183" s="107" t="str">
        <f t="shared" si="22"/>
        <v/>
      </c>
      <c r="G183" s="104" t="str">
        <f>VLOOKUP(I183,'Swiss2 Registry'!$B$2:$C$703,2,False)</f>
        <v>xamvius</v>
      </c>
      <c r="H183" s="84">
        <v>702.0</v>
      </c>
      <c r="I183" s="84">
        <f>VLOOKUP(H183,'Swiss2 Registry'!$A$2:$B$703,2,False)</f>
        <v>280</v>
      </c>
      <c r="J183" s="83" t="s">
        <v>1935</v>
      </c>
      <c r="K183" s="108" t="str">
        <f t="array" ref="K183">XLOOKUP(CELL("contents",C183),'Swiss Registry'!$B$2:$B$703,'Swiss Registry'!$N$2:$N$703) </f>
        <v>428981810811109386</v>
      </c>
      <c r="L183" s="109" t="str">
        <f t="array" ref="L183">XLOOKUP(CELL("contents",G183),'Swiss Registry'!$B$2:$B$703,'Swiss Registry'!$N$2:$N$703) </f>
        <v>173625348469030913</v>
      </c>
    </row>
    <row r="184">
      <c r="A184" s="84">
        <f t="shared" ref="A184:A201" si="26">A183+1</f>
        <v>354</v>
      </c>
      <c r="B184" s="84">
        <f>VLOOKUP(A184,'Swiss2 Registry'!$A$2:$B$703,2,False)</f>
        <v>10</v>
      </c>
      <c r="C184" s="104" t="str">
        <f>VLOOKUP(B184,'Swiss2 Registry'!$B$2:$C$703,2,False)</f>
        <v>Cyberodin</v>
      </c>
      <c r="D184" s="111" t="str">
        <f t="shared" si="21"/>
        <v/>
      </c>
      <c r="E184" s="112" t="str">
        <f t="shared" si="24"/>
        <v>Act: Cyberodin</v>
      </c>
      <c r="F184" s="107" t="str">
        <f t="shared" si="22"/>
        <v/>
      </c>
      <c r="G184" s="104" t="str">
        <f>VLOOKUP(I184,'Swiss2 Registry'!$B$2:$C$703,2,False)</f>
        <v>SUB 17</v>
      </c>
      <c r="H184" s="84">
        <f t="shared" ref="H184:H201" si="27">H183-1</f>
        <v>701</v>
      </c>
      <c r="I184" s="84">
        <f>VLOOKUP(H184,'Swiss2 Registry'!$A$2:$B$703,2,False)</f>
        <v>347</v>
      </c>
      <c r="J184" s="83" t="s">
        <v>1486</v>
      </c>
      <c r="K184" s="108" t="str">
        <f t="array" ref="K184">XLOOKUP(CELL("contents",C184),'Swiss Registry'!$B$2:$B$703,'Swiss Registry'!$N$2:$N$703) </f>
        <v>259426043285340160</v>
      </c>
      <c r="L184" s="117" t="str">
        <f t="array" ref="L184">XLOOKUP(CELL("contents",G184),'Swiss Registry'!$B$2:$B$703,'Swiss Registry'!$N$2:$N$703) </f>
        <v>SUB</v>
      </c>
    </row>
    <row r="185">
      <c r="A185" s="84">
        <f t="shared" si="26"/>
        <v>355</v>
      </c>
      <c r="B185" s="84">
        <f>VLOOKUP(A185,'Swiss2 Registry'!$A$2:$B$703,2,False)</f>
        <v>20</v>
      </c>
      <c r="C185" s="104" t="str">
        <f>VLOOKUP(B185,'Swiss2 Registry'!$B$2:$C$703,2,False)</f>
        <v>Mayo</v>
      </c>
      <c r="D185" s="105" t="str">
        <f t="shared" si="21"/>
        <v>Game 1</v>
      </c>
      <c r="E185" s="106" t="str">
        <f t="shared" si="24"/>
        <v>Game 2</v>
      </c>
      <c r="F185" s="107" t="str">
        <f t="shared" si="22"/>
        <v/>
      </c>
      <c r="G185" s="104" t="str">
        <f>VLOOKUP(I185,'Swiss2 Registry'!$B$2:$C$703,2,False)</f>
        <v>nick_parenti</v>
      </c>
      <c r="H185" s="84">
        <f t="shared" si="27"/>
        <v>700</v>
      </c>
      <c r="I185" s="84">
        <f>VLOOKUP(H185,'Swiss2 Registry'!$A$2:$B$703,2,False)</f>
        <v>300</v>
      </c>
      <c r="J185" s="83" t="s">
        <v>1936</v>
      </c>
      <c r="K185" s="108" t="str">
        <f t="array" ref="K185">XLOOKUP(CELL("contents",C185),'Swiss Registry'!$B$2:$B$703,'Swiss Registry'!$N$2:$N$703) </f>
        <v>244639333187846144</v>
      </c>
      <c r="L185" s="109" t="str">
        <f t="array" ref="L185">XLOOKUP(CELL("contents",G185),'Swiss Registry'!$B$2:$B$703,'Swiss Registry'!$N$2:$N$703) </f>
        <v>1065105750982152223</v>
      </c>
    </row>
    <row r="186">
      <c r="A186" s="84">
        <f t="shared" si="26"/>
        <v>356</v>
      </c>
      <c r="B186" s="84">
        <f>VLOOKUP(A186,'Swiss2 Registry'!$A$2:$B$703,2,False)</f>
        <v>21</v>
      </c>
      <c r="C186" s="104" t="str">
        <f>VLOOKUP(B186,'Swiss2 Registry'!$B$2:$C$703,2,False)</f>
        <v>Adam</v>
      </c>
      <c r="D186" s="105" t="str">
        <f t="shared" si="21"/>
        <v>Game 1</v>
      </c>
      <c r="E186" s="106" t="str">
        <f t="shared" si="24"/>
        <v>Game 2</v>
      </c>
      <c r="F186" s="107" t="str">
        <f t="shared" si="22"/>
        <v/>
      </c>
      <c r="G186" s="104" t="str">
        <f>VLOOKUP(I186,'Swiss2 Registry'!$B$2:$C$703,2,False)</f>
        <v>JxJ</v>
      </c>
      <c r="H186" s="84">
        <f t="shared" si="27"/>
        <v>699</v>
      </c>
      <c r="I186" s="84">
        <f>VLOOKUP(H186,'Swiss2 Registry'!$A$2:$B$703,2,False)</f>
        <v>203</v>
      </c>
      <c r="J186" s="83" t="s">
        <v>1937</v>
      </c>
      <c r="K186" s="108" t="str">
        <f t="array" ref="K186">XLOOKUP(CELL("contents",C186),'Swiss Registry'!$B$2:$B$703,'Swiss Registry'!$N$2:$N$703) </f>
        <v>714861229935689862</v>
      </c>
      <c r="L186" s="109" t="str">
        <f t="array" ref="L186">XLOOKUP(CELL("contents",G186),'Swiss Registry'!$B$2:$B$703,'Swiss Registry'!$N$2:$N$703) </f>
        <v>431270421652832258</v>
      </c>
    </row>
    <row r="187">
      <c r="A187" s="84">
        <f t="shared" si="26"/>
        <v>357</v>
      </c>
      <c r="B187" s="84">
        <f>VLOOKUP(A187,'Swiss2 Registry'!$A$2:$B$703,2,False)</f>
        <v>23</v>
      </c>
      <c r="C187" s="104" t="str">
        <f>VLOOKUP(B187,'Swiss2 Registry'!$B$2:$C$703,2,False)</f>
        <v>udm31</v>
      </c>
      <c r="D187" s="105" t="str">
        <f t="shared" si="21"/>
        <v>Game 1</v>
      </c>
      <c r="E187" s="106" t="str">
        <f t="shared" si="24"/>
        <v>Game 2</v>
      </c>
      <c r="F187" s="107" t="str">
        <f t="shared" si="22"/>
        <v/>
      </c>
      <c r="G187" s="104" t="str">
        <f>VLOOKUP(I187,'Swiss2 Registry'!$B$2:$C$703,2,False)</f>
        <v>mcgowin (ID: lgv#9084)</v>
      </c>
      <c r="H187" s="84">
        <f t="shared" si="27"/>
        <v>698</v>
      </c>
      <c r="I187" s="84">
        <f>VLOOKUP(H187,'Swiss2 Registry'!$A$2:$B$703,2,False)</f>
        <v>199</v>
      </c>
      <c r="J187" s="83" t="s">
        <v>1938</v>
      </c>
      <c r="K187" s="108" t="str">
        <f t="array" ref="K187">XLOOKUP(CELL("contents",C187),'Swiss Registry'!$B$2:$B$703,'Swiss Registry'!$N$2:$N$703) </f>
        <v>892364236523708427</v>
      </c>
      <c r="L187" s="109" t="str">
        <f t="array" ref="L187">XLOOKUP(CELL("contents",G187),'Swiss Registry'!$B$2:$B$703,'Swiss Registry'!$N$2:$N$703) </f>
        <v>389896862444027916</v>
      </c>
    </row>
    <row r="188">
      <c r="A188" s="84">
        <f t="shared" si="26"/>
        <v>358</v>
      </c>
      <c r="B188" s="84">
        <f>VLOOKUP(A188,'Swiss2 Registry'!$A$2:$B$703,2,False)</f>
        <v>26</v>
      </c>
      <c r="C188" s="104" t="str">
        <f>VLOOKUP(B188,'Swiss2 Registry'!$B$2:$C$703,2,False)</f>
        <v>keepingiticy</v>
      </c>
      <c r="D188" s="111" t="str">
        <f t="shared" si="21"/>
        <v/>
      </c>
      <c r="E188" s="112" t="str">
        <f t="shared" si="24"/>
        <v>Act: keepingiticy</v>
      </c>
      <c r="F188" s="107" t="str">
        <f t="shared" si="22"/>
        <v/>
      </c>
      <c r="G188" s="104" t="str">
        <f>VLOOKUP(I188,'Swiss2 Registry'!$B$2:$C$703,2,False)</f>
        <v>SUB 3</v>
      </c>
      <c r="H188" s="84">
        <f t="shared" si="27"/>
        <v>697</v>
      </c>
      <c r="I188" s="84">
        <f>VLOOKUP(H188,'Swiss2 Registry'!$A$2:$B$703,2,False)</f>
        <v>123</v>
      </c>
      <c r="J188" s="83" t="s">
        <v>1486</v>
      </c>
      <c r="K188" s="108" t="str">
        <f t="array" ref="K188">XLOOKUP(CELL("contents",C188),'Swiss Registry'!$B$2:$B$703,'Swiss Registry'!$N$2:$N$703) </f>
        <v>174532509701373952</v>
      </c>
      <c r="L188" s="117" t="str">
        <f t="array" ref="L188">XLOOKUP(CELL("contents",G188),'Swiss Registry'!$B$2:$B$703,'Swiss Registry'!$N$2:$N$703) </f>
        <v>SUB</v>
      </c>
    </row>
    <row r="189">
      <c r="A189" s="84">
        <f t="shared" si="26"/>
        <v>359</v>
      </c>
      <c r="B189" s="84">
        <f>VLOOKUP(A189,'Swiss2 Registry'!$A$2:$B$703,2,False)</f>
        <v>28</v>
      </c>
      <c r="C189" s="104" t="str">
        <f>VLOOKUP(B189,'Swiss2 Registry'!$B$2:$C$703,2,False)</f>
        <v>Typhoon Carter</v>
      </c>
      <c r="D189" s="105" t="str">
        <f t="shared" si="21"/>
        <v>Game 1</v>
      </c>
      <c r="E189" s="106" t="str">
        <f t="shared" si="24"/>
        <v>Game 2</v>
      </c>
      <c r="F189" s="110" t="str">
        <f t="shared" si="22"/>
        <v>Game 3</v>
      </c>
      <c r="G189" s="104" t="str">
        <f>VLOOKUP(I189,'Swiss2 Registry'!$B$2:$C$703,2,False)</f>
        <v>javiercar#9743</v>
      </c>
      <c r="H189" s="84">
        <f t="shared" si="27"/>
        <v>696</v>
      </c>
      <c r="I189" s="84">
        <f>VLOOKUP(H189,'Swiss2 Registry'!$A$2:$B$703,2,False)</f>
        <v>438</v>
      </c>
      <c r="J189" s="83" t="s">
        <v>1939</v>
      </c>
      <c r="K189" s="108" t="str">
        <f t="array" ref="K189">XLOOKUP(CELL("contents",C189),'Swiss Registry'!$B$2:$B$703,'Swiss Registry'!$N$2:$N$703) </f>
        <v>313800288647774211</v>
      </c>
      <c r="L189" s="109" t="str">
        <f t="array" ref="L189">XLOOKUP(CELL("contents",G189),'Swiss Registry'!$B$2:$B$703,'Swiss Registry'!$N$2:$N$703) </f>
        <v>297884550976241685</v>
      </c>
    </row>
    <row r="190">
      <c r="A190" s="84">
        <f t="shared" si="26"/>
        <v>360</v>
      </c>
      <c r="B190" s="84">
        <f>VLOOKUP(A190,'Swiss2 Registry'!$A$2:$B$703,2,False)</f>
        <v>30</v>
      </c>
      <c r="C190" s="104" t="str">
        <f>VLOOKUP(B190,'Swiss2 Registry'!$B$2:$C$703,2,False)</f>
        <v>eliandiditagain</v>
      </c>
      <c r="D190" s="105" t="str">
        <f t="shared" si="21"/>
        <v>Game 1</v>
      </c>
      <c r="E190" s="106" t="str">
        <f t="shared" si="24"/>
        <v>Game 2</v>
      </c>
      <c r="F190" s="107" t="str">
        <f t="shared" si="22"/>
        <v/>
      </c>
      <c r="G190" s="104" t="str">
        <f>VLOOKUP(I190,'Swiss2 Registry'!$B$2:$C$703,2,False)</f>
        <v>starii88</v>
      </c>
      <c r="H190" s="84">
        <f t="shared" si="27"/>
        <v>695</v>
      </c>
      <c r="I190" s="84">
        <f>VLOOKUP(H190,'Swiss2 Registry'!$A$2:$B$703,2,False)</f>
        <v>437</v>
      </c>
      <c r="J190" s="83" t="s">
        <v>1940</v>
      </c>
      <c r="K190" s="108" t="str">
        <f t="array" ref="K190">XLOOKUP(CELL("contents",C190),'Swiss Registry'!$B$2:$B$703,'Swiss Registry'!$N$2:$N$703) </f>
        <v>268922335946342400</v>
      </c>
      <c r="L190" s="109" t="str">
        <f t="array" ref="L190">XLOOKUP(CELL("contents",G190),'Swiss Registry'!$B$2:$B$703,'Swiss Registry'!$N$2:$N$703) </f>
        <v>343404916636647428</v>
      </c>
    </row>
    <row r="191">
      <c r="A191" s="84">
        <f t="shared" si="26"/>
        <v>361</v>
      </c>
      <c r="B191" s="84">
        <f>VLOOKUP(A191,'Swiss2 Registry'!$A$2:$B$703,2,False)</f>
        <v>61</v>
      </c>
      <c r="C191" s="104" t="str">
        <f>VLOOKUP(B191,'Swiss2 Registry'!$B$2:$C$703,2,False)</f>
        <v>Zpanther</v>
      </c>
      <c r="D191" s="105" t="str">
        <f t="shared" si="21"/>
        <v>Game 1</v>
      </c>
      <c r="E191" s="106" t="str">
        <f t="shared" si="24"/>
        <v>Game 2</v>
      </c>
      <c r="F191" s="110" t="str">
        <f t="shared" si="22"/>
        <v>Game 3</v>
      </c>
      <c r="G191" s="104" t="str">
        <f>VLOOKUP(I191,'Swiss2 Registry'!$B$2:$C$703,2,False)</f>
        <v>jpmockman</v>
      </c>
      <c r="H191" s="84">
        <f t="shared" si="27"/>
        <v>694</v>
      </c>
      <c r="I191" s="84">
        <f>VLOOKUP(H191,'Swiss2 Registry'!$A$2:$B$703,2,False)</f>
        <v>281</v>
      </c>
      <c r="J191" s="83" t="s">
        <v>1941</v>
      </c>
      <c r="K191" s="108" t="str">
        <f t="array" ref="K191">XLOOKUP(CELL("contents",C191),'Swiss Registry'!$B$2:$B$703,'Swiss Registry'!$N$2:$N$703) </f>
        <v>884609024937574432</v>
      </c>
      <c r="L191" s="109" t="str">
        <f t="array" ref="L191">XLOOKUP(CELL("contents",G191),'Swiss Registry'!$B$2:$B$703,'Swiss Registry'!$N$2:$N$703) </f>
        <v>935729080282796103</v>
      </c>
    </row>
    <row r="192">
      <c r="A192" s="84">
        <f t="shared" si="26"/>
        <v>362</v>
      </c>
      <c r="B192" s="84">
        <f>VLOOKUP(A192,'Swiss2 Registry'!$A$2:$B$703,2,False)</f>
        <v>62</v>
      </c>
      <c r="C192" s="104" t="str">
        <f>VLOOKUP(B192,'Swiss2 Registry'!$B$2:$C$703,2,False)</f>
        <v>Nicole</v>
      </c>
      <c r="D192" s="111" t="str">
        <f t="shared" si="21"/>
        <v/>
      </c>
      <c r="E192" s="112" t="str">
        <f t="shared" si="24"/>
        <v>Act: Nicole</v>
      </c>
      <c r="F192" s="107" t="str">
        <f t="shared" si="22"/>
        <v/>
      </c>
      <c r="G192" s="104" t="str">
        <f>VLOOKUP(I192,'Swiss2 Registry'!$B$2:$C$703,2,False)</f>
        <v>SUB 10</v>
      </c>
      <c r="H192" s="84">
        <f t="shared" si="27"/>
        <v>693</v>
      </c>
      <c r="I192" s="84">
        <f>VLOOKUP(H192,'Swiss2 Registry'!$A$2:$B$703,2,False)</f>
        <v>455</v>
      </c>
      <c r="J192" s="83" t="s">
        <v>1486</v>
      </c>
      <c r="K192" s="108" t="str">
        <f t="array" ref="K192">XLOOKUP(CELL("contents",C192),'Swiss Registry'!$B$2:$B$703,'Swiss Registry'!$N$2:$N$703) </f>
        <v>372784289420410882</v>
      </c>
      <c r="L192" s="117" t="str">
        <f t="array" ref="L192">XLOOKUP(CELL("contents",G192),'Swiss Registry'!$B$2:$B$703,'Swiss Registry'!$N$2:$N$703) </f>
        <v>SUB</v>
      </c>
    </row>
    <row r="193">
      <c r="A193" s="84">
        <f t="shared" si="26"/>
        <v>363</v>
      </c>
      <c r="B193" s="84">
        <f>VLOOKUP(A193,'Swiss2 Registry'!$A$2:$B$703,2,False)</f>
        <v>63</v>
      </c>
      <c r="C193" s="104" t="str">
        <f>VLOOKUP(B193,'Swiss2 Registry'!$B$2:$C$703,2,False)</f>
        <v>Rambode</v>
      </c>
      <c r="D193" s="105" t="str">
        <f t="shared" si="21"/>
        <v>Game 1</v>
      </c>
      <c r="E193" s="106" t="str">
        <f t="shared" si="24"/>
        <v>Game 2</v>
      </c>
      <c r="F193" s="107" t="str">
        <f t="shared" si="22"/>
        <v/>
      </c>
      <c r="G193" s="104" t="str">
        <f>VLOOKUP(I193,'Swiss2 Registry'!$B$2:$C$703,2,False)</f>
        <v>lindonh</v>
      </c>
      <c r="H193" s="84">
        <f t="shared" si="27"/>
        <v>692</v>
      </c>
      <c r="I193" s="84">
        <f>VLOOKUP(H193,'Swiss2 Registry'!$A$2:$B$703,2,False)</f>
        <v>600</v>
      </c>
      <c r="J193" s="83" t="s">
        <v>1942</v>
      </c>
      <c r="K193" s="108" t="str">
        <f t="array" ref="K193">XLOOKUP(CELL("contents",C193),'Swiss Registry'!$B$2:$B$703,'Swiss Registry'!$N$2:$N$703) </f>
        <v>205091412088324096</v>
      </c>
      <c r="L193" s="109" t="str">
        <f t="array" ref="L193">XLOOKUP(CELL("contents",G193),'Swiss Registry'!$B$2:$B$703,'Swiss Registry'!$N$2:$N$703) </f>
        <v>420784558519091200</v>
      </c>
    </row>
    <row r="194">
      <c r="A194" s="84">
        <f t="shared" si="26"/>
        <v>364</v>
      </c>
      <c r="B194" s="84">
        <f>VLOOKUP(A194,'Swiss2 Registry'!$A$2:$B$703,2,False)</f>
        <v>67</v>
      </c>
      <c r="C194" s="104" t="str">
        <f>VLOOKUP(B194,'Swiss2 Registry'!$B$2:$C$703,2,False)</f>
        <v>A Welcome Guest</v>
      </c>
      <c r="D194" s="105" t="str">
        <f t="shared" si="21"/>
        <v>Game 1</v>
      </c>
      <c r="E194" s="106" t="str">
        <f t="shared" si="24"/>
        <v>Game 2</v>
      </c>
      <c r="F194" s="110" t="str">
        <f t="shared" si="22"/>
        <v>Game 3</v>
      </c>
      <c r="G194" s="104" t="str">
        <f>VLOOKUP(I194,'Swiss2 Registry'!$B$2:$C$703,2,False)</f>
        <v>dustyfans</v>
      </c>
      <c r="H194" s="84">
        <f t="shared" si="27"/>
        <v>691</v>
      </c>
      <c r="I194" s="84">
        <f>VLOOKUP(H194,'Swiss2 Registry'!$A$2:$B$703,2,False)</f>
        <v>630</v>
      </c>
      <c r="J194" s="83" t="s">
        <v>1943</v>
      </c>
      <c r="K194" s="108" t="str">
        <f t="array" ref="K194">XLOOKUP(CELL("contents",C194),'Swiss Registry'!$B$2:$B$703,'Swiss Registry'!$N$2:$N$703) </f>
        <v>622589229557481513</v>
      </c>
      <c r="L194" s="109" t="str">
        <f t="array" ref="L194">XLOOKUP(CELL("contents",G194),'Swiss Registry'!$B$2:$B$703,'Swiss Registry'!$N$2:$N$703) </f>
        <v>325004772493230092</v>
      </c>
    </row>
    <row r="195">
      <c r="A195" s="84">
        <f t="shared" si="26"/>
        <v>365</v>
      </c>
      <c r="B195" s="84">
        <f>VLOOKUP(A195,'Swiss2 Registry'!$A$2:$B$703,2,False)</f>
        <v>68</v>
      </c>
      <c r="C195" s="104" t="str">
        <f>VLOOKUP(B195,'Swiss2 Registry'!$B$2:$C$703,2,False)</f>
        <v>Kingu</v>
      </c>
      <c r="D195" s="105" t="str">
        <f t="shared" si="21"/>
        <v>Game 1</v>
      </c>
      <c r="E195" s="106" t="str">
        <f t="shared" si="24"/>
        <v>Game 2</v>
      </c>
      <c r="F195" s="107" t="str">
        <f t="shared" si="22"/>
        <v/>
      </c>
      <c r="G195" s="104" t="str">
        <f>VLOOKUP(I195,'Swiss2 Registry'!$B$2:$C$703,2,False)</f>
        <v>tamafuyu</v>
      </c>
      <c r="H195" s="84">
        <f t="shared" si="27"/>
        <v>690</v>
      </c>
      <c r="I195" s="84">
        <f>VLOOKUP(H195,'Swiss2 Registry'!$A$2:$B$703,2,False)</f>
        <v>573</v>
      </c>
      <c r="J195" s="83" t="s">
        <v>1944</v>
      </c>
      <c r="K195" s="108" t="str">
        <f t="array" ref="K195">XLOOKUP(CELL("contents",C195),'Swiss Registry'!$B$2:$B$703,'Swiss Registry'!$N$2:$N$703) </f>
        <v>356868732964044802</v>
      </c>
      <c r="L195" s="109" t="str">
        <f t="array" ref="L195">XLOOKUP(CELL("contents",G195),'Swiss Registry'!$B$2:$B$703,'Swiss Registry'!$N$2:$N$703) </f>
        <v>98886753485623296</v>
      </c>
    </row>
    <row r="196">
      <c r="A196" s="84">
        <f t="shared" si="26"/>
        <v>366</v>
      </c>
      <c r="B196" s="84">
        <f>VLOOKUP(A196,'Swiss2 Registry'!$A$2:$B$703,2,False)</f>
        <v>70</v>
      </c>
      <c r="C196" s="104" t="str">
        <f>VLOOKUP(B196,'Swiss2 Registry'!$B$2:$C$703,2,False)</f>
        <v>H&gt;L</v>
      </c>
      <c r="D196" s="105" t="str">
        <f t="shared" si="21"/>
        <v>Game 1</v>
      </c>
      <c r="E196" s="106" t="str">
        <f t="shared" si="24"/>
        <v>Game 2</v>
      </c>
      <c r="F196" s="107" t="str">
        <f t="shared" si="22"/>
        <v/>
      </c>
      <c r="G196" s="104" t="str">
        <f>VLOOKUP(I196,'Swiss2 Registry'!$B$2:$C$703,2,False)</f>
        <v>Filthy Cubone</v>
      </c>
      <c r="H196" s="84">
        <f t="shared" si="27"/>
        <v>689</v>
      </c>
      <c r="I196" s="84">
        <f>VLOOKUP(H196,'Swiss2 Registry'!$A$2:$B$703,2,False)</f>
        <v>639</v>
      </c>
      <c r="J196" s="83" t="s">
        <v>1945</v>
      </c>
      <c r="K196" s="108" t="str">
        <f t="array" ref="K196">XLOOKUP(CELL("contents",C196),'Swiss Registry'!$B$2:$B$703,'Swiss Registry'!$N$2:$N$703) </f>
        <v>669658442071408672</v>
      </c>
      <c r="L196" s="109" t="str">
        <f t="array" ref="L196">XLOOKUP(CELL("contents",G196),'Swiss Registry'!$B$2:$B$703,'Swiss Registry'!$N$2:$N$703) </f>
        <v>185564749528825867</v>
      </c>
    </row>
    <row r="197">
      <c r="A197" s="84">
        <f t="shared" si="26"/>
        <v>367</v>
      </c>
      <c r="B197" s="84">
        <f>VLOOKUP(A197,'Swiss2 Registry'!$A$2:$B$703,2,False)</f>
        <v>72</v>
      </c>
      <c r="C197" s="104" t="str">
        <f>VLOOKUP(B197,'Swiss2 Registry'!$B$2:$C$703,2,False)</f>
        <v>Roy Yamaha</v>
      </c>
      <c r="D197" s="105" t="str">
        <f t="shared" si="21"/>
        <v>Game 1</v>
      </c>
      <c r="E197" s="106" t="str">
        <f t="shared" si="24"/>
        <v>Game 2</v>
      </c>
      <c r="F197" s="110" t="str">
        <f t="shared" si="22"/>
        <v>Game 3</v>
      </c>
      <c r="G197" s="104" t="str">
        <f>VLOOKUP(I197,'Swiss2 Registry'!$B$2:$C$703,2,False)</f>
        <v>Calm Stiege</v>
      </c>
      <c r="H197" s="84">
        <f t="shared" si="27"/>
        <v>688</v>
      </c>
      <c r="I197" s="84">
        <f>VLOOKUP(H197,'Swiss2 Registry'!$A$2:$B$703,2,False)</f>
        <v>160</v>
      </c>
      <c r="J197" s="83" t="s">
        <v>1946</v>
      </c>
      <c r="K197" s="108" t="str">
        <f t="array" ref="K197">XLOOKUP(CELL("contents",C197),'Swiss Registry'!$B$2:$B$703,'Swiss Registry'!$N$2:$N$703) </f>
        <v>973581296846663711</v>
      </c>
      <c r="L197" s="109" t="str">
        <f t="array" ref="L197">XLOOKUP(CELL("contents",G197),'Swiss Registry'!$B$2:$B$703,'Swiss Registry'!$N$2:$N$703) </f>
        <v>486649841347330048</v>
      </c>
    </row>
    <row r="198">
      <c r="A198" s="84">
        <f t="shared" si="26"/>
        <v>368</v>
      </c>
      <c r="B198" s="84">
        <f>VLOOKUP(A198,'Swiss2 Registry'!$A$2:$B$703,2,False)</f>
        <v>76</v>
      </c>
      <c r="C198" s="104" t="str">
        <f>VLOOKUP(B198,'Swiss2 Registry'!$B$2:$C$703,2,False)</f>
        <v>Smallow</v>
      </c>
      <c r="D198" s="105" t="str">
        <f t="shared" si="21"/>
        <v>Game 1</v>
      </c>
      <c r="E198" s="106" t="str">
        <f t="shared" si="24"/>
        <v>Game 2</v>
      </c>
      <c r="F198" s="107" t="str">
        <f t="shared" si="22"/>
        <v/>
      </c>
      <c r="G198" s="104" t="str">
        <f>VLOOKUP(I198,'Swiss2 Registry'!$B$2:$C$703,2,False)</f>
        <v>doh#5604</v>
      </c>
      <c r="H198" s="84">
        <f t="shared" si="27"/>
        <v>687</v>
      </c>
      <c r="I198" s="84">
        <f>VLOOKUP(H198,'Swiss2 Registry'!$A$2:$B$703,2,False)</f>
        <v>405</v>
      </c>
      <c r="J198" s="83" t="s">
        <v>1947</v>
      </c>
      <c r="K198" s="108" t="str">
        <f t="array" ref="K198">XLOOKUP(CELL("contents",C198),'Swiss Registry'!$B$2:$B$703,'Swiss Registry'!$N$2:$N$703) </f>
        <v>SUB</v>
      </c>
      <c r="L198" s="109" t="str">
        <f t="array" ref="L198">XLOOKUP(CELL("contents",G198),'Swiss Registry'!$B$2:$B$703,'Swiss Registry'!$N$2:$N$703) </f>
        <v>612030143174803466</v>
      </c>
    </row>
    <row r="199">
      <c r="A199" s="84">
        <f t="shared" si="26"/>
        <v>369</v>
      </c>
      <c r="B199" s="84">
        <f>VLOOKUP(A199,'Swiss2 Registry'!$A$2:$B$703,2,False)</f>
        <v>87</v>
      </c>
      <c r="C199" s="104" t="str">
        <f>VLOOKUP(B199,'Swiss2 Registry'!$B$2:$C$703,2,False)</f>
        <v>Zcarlett</v>
      </c>
      <c r="D199" s="105" t="str">
        <f t="shared" si="21"/>
        <v>Game 1</v>
      </c>
      <c r="E199" s="106" t="str">
        <f t="shared" si="24"/>
        <v>Game 2</v>
      </c>
      <c r="F199" s="110" t="str">
        <f t="shared" si="22"/>
        <v>Game 3</v>
      </c>
      <c r="G199" s="104" t="str">
        <f>VLOOKUP(I199,'Swiss2 Registry'!$B$2:$C$703,2,False)</f>
        <v>chtx</v>
      </c>
      <c r="H199" s="84">
        <f t="shared" si="27"/>
        <v>686</v>
      </c>
      <c r="I199" s="84">
        <f>VLOOKUP(H199,'Swiss2 Registry'!$A$2:$B$703,2,False)</f>
        <v>377</v>
      </c>
      <c r="J199" s="83" t="s">
        <v>1948</v>
      </c>
      <c r="K199" s="108" t="str">
        <f t="array" ref="K199">XLOOKUP(CELL("contents",C199),'Swiss Registry'!$B$2:$B$703,'Swiss Registry'!$N$2:$N$703) </f>
        <v>513029374392533043</v>
      </c>
      <c r="L199" s="109" t="str">
        <f t="array" ref="L199">XLOOKUP(CELL("contents",G199),'Swiss Registry'!$B$2:$B$703,'Swiss Registry'!$N$2:$N$703) </f>
        <v>883745894825099354</v>
      </c>
    </row>
    <row r="200">
      <c r="A200" s="84">
        <f t="shared" si="26"/>
        <v>370</v>
      </c>
      <c r="B200" s="84">
        <f>VLOOKUP(A200,'Swiss2 Registry'!$A$2:$B$703,2,False)</f>
        <v>89</v>
      </c>
      <c r="C200" s="104" t="str">
        <f>VLOOKUP(B200,'Swiss2 Registry'!$B$2:$C$703,2,False)</f>
        <v>Alecss</v>
      </c>
      <c r="D200" s="105" t="str">
        <f t="shared" si="21"/>
        <v>Game 1</v>
      </c>
      <c r="E200" s="106" t="str">
        <f t="shared" si="24"/>
        <v>Game 2</v>
      </c>
      <c r="F200" s="107" t="str">
        <f t="shared" si="22"/>
        <v/>
      </c>
      <c r="G200" s="104" t="str">
        <f>VLOOKUP(I200,'Swiss2 Registry'!$B$2:$C$703,2,False)</f>
        <v>air602</v>
      </c>
      <c r="H200" s="84">
        <f t="shared" si="27"/>
        <v>685</v>
      </c>
      <c r="I200" s="84">
        <f>VLOOKUP(H200,'Swiss2 Registry'!$A$2:$B$703,2,False)</f>
        <v>372</v>
      </c>
      <c r="J200" s="83" t="s">
        <v>1949</v>
      </c>
      <c r="K200" s="108" t="str">
        <f t="array" ref="K200">XLOOKUP(CELL("contents",C200),'Swiss Registry'!$B$2:$B$703,'Swiss Registry'!$N$2:$N$703) </f>
        <v>1066130063470374962</v>
      </c>
      <c r="L200" s="109" t="str">
        <f t="array" ref="L200">XLOOKUP(CELL("contents",G200),'Swiss Registry'!$B$2:$B$703,'Swiss Registry'!$N$2:$N$703) </f>
        <v>336743385945735171</v>
      </c>
    </row>
    <row r="201">
      <c r="A201" s="84">
        <f t="shared" si="26"/>
        <v>371</v>
      </c>
      <c r="B201" s="84">
        <f>VLOOKUP(A201,'Swiss2 Registry'!$A$2:$B$703,2,False)</f>
        <v>91</v>
      </c>
      <c r="C201" s="104" t="str">
        <f>VLOOKUP(B201,'Swiss2 Registry'!$B$2:$C$703,2,False)</f>
        <v>Younglemonhope</v>
      </c>
      <c r="D201" s="105" t="str">
        <f t="shared" si="21"/>
        <v>Game 1</v>
      </c>
      <c r="E201" s="106" t="str">
        <f t="shared" si="24"/>
        <v>Game 2</v>
      </c>
      <c r="F201" s="107" t="str">
        <f t="shared" si="22"/>
        <v/>
      </c>
      <c r="G201" s="104" t="str">
        <f>VLOOKUP(I201,'Swiss2 Registry'!$B$2:$C$703,2,False)</f>
        <v>.lucky_7.</v>
      </c>
      <c r="H201" s="84">
        <f t="shared" si="27"/>
        <v>684</v>
      </c>
      <c r="I201" s="84">
        <f>VLOOKUP(H201,'Swiss2 Registry'!$A$2:$B$703,2,False)</f>
        <v>401</v>
      </c>
      <c r="J201" s="83" t="s">
        <v>1950</v>
      </c>
      <c r="K201" s="108" t="str">
        <f t="array" ref="K201">XLOOKUP(CELL("contents",C201),'Swiss Registry'!$B$2:$B$703,'Swiss Registry'!$N$2:$N$703) </f>
        <v>111211333336256512</v>
      </c>
      <c r="L201" s="109" t="str">
        <f t="array" ref="L201">XLOOKUP(CELL("contents",G201),'Swiss Registry'!$B$2:$B$703,'Swiss Registry'!$N$2:$N$703) </f>
        <v>324637010193285121</v>
      </c>
    </row>
    <row r="202" ht="15.0" customHeight="1">
      <c r="A202" s="80"/>
      <c r="B202" s="114"/>
      <c r="C202" s="115"/>
      <c r="D202" s="114"/>
      <c r="E202" s="82" t="s">
        <v>1951</v>
      </c>
      <c r="F202" s="81"/>
      <c r="G202" s="81"/>
      <c r="H202" s="81"/>
      <c r="I202" s="81"/>
      <c r="J202" s="81"/>
      <c r="K202" s="116" t="str">
        <f t="array" ref="K202">XLOOKUP(CELL("contents",C202),'Swiss Registry'!$B$2:$B$703,'Swiss Registry'!$N$2:$N$703) </f>
        <v>#N/A</v>
      </c>
      <c r="L202" s="117" t="str">
        <f t="array" ref="L202">XLOOKUP(CELL("contents",G202),'Swiss Registry'!$B$2:$B$703,'Swiss Registry'!$N$2:$N$703) </f>
        <v>#N/A</v>
      </c>
    </row>
    <row r="203">
      <c r="A203" s="84">
        <f>A201+1</f>
        <v>372</v>
      </c>
      <c r="B203" s="84">
        <f>VLOOKUP(A203,'Swiss2 Registry'!$A$2:$B$703,2,False)</f>
        <v>92</v>
      </c>
      <c r="C203" s="104" t="str">
        <f>VLOOKUP(B203,'Swiss2 Registry'!$B$2:$C$703,2,False)</f>
        <v>Cryolite</v>
      </c>
      <c r="D203" s="111" t="str">
        <f t="shared" ref="D203:D241" si="28">IF(J203="dead","",IF(J203="a:act","",IF(J203="b:act","",IF(ISURL(HYPERLINK(INDIRECT("Importer!B"&amp;MID(J203,2,4)+1,TRUE))),HYPERLINK(INDIRECT("Importer!B"&amp;MID(J203,2,4)+1,TRUE), "Game 1"),""))))</f>
        <v/>
      </c>
      <c r="E203" s="112" t="str">
        <f t="shared" ref="E203:E241" si="29">IF(J203="dead","Dead Game",IF(J203="a:act","Act: "&amp;C203,IF(J203="b:act","Act: "&amp;G203,IF(ISURL(HYPERLINK(INDIRECT("Importer!B"&amp;MID(J203,6,4)+1,TRUE))),HYPERLINK(INDIRECT("Importer!B"&amp;MID(J203,6,4)+1,TRUE), "Game 2"),""))))</f>
        <v>Act: Cryolite</v>
      </c>
      <c r="F203" s="107" t="str">
        <f t="shared" ref="F203:F241" si="30">IF(J203="dead","",IF(J203="a:act","",IF(J203="b:act","",IF(ISURL(HYPERLINK(INDIRECT("Importer!B"&amp;MID(J203,10,4)+1,TRUE))),HYPERLINK(INDIRECT("Importer!B"&amp;MID(J203,10,4)+1,TRUE), "Game 3"),""))))</f>
        <v/>
      </c>
      <c r="G203" s="104" t="str">
        <f>VLOOKUP(I203,'Swiss2 Registry'!$B$2:$C$703,2,False)</f>
        <v>msousa</v>
      </c>
      <c r="H203" s="84">
        <f>H201-1</f>
        <v>683</v>
      </c>
      <c r="I203" s="84">
        <f>VLOOKUP(H203,'Swiss2 Registry'!$A$2:$B$703,2,False)</f>
        <v>512</v>
      </c>
      <c r="J203" s="83" t="s">
        <v>1475</v>
      </c>
      <c r="K203" s="108" t="str">
        <f t="array" ref="K203">XLOOKUP(CELL("contents",C203),'Swiss Registry'!$B$2:$B$703,'Swiss Registry'!$N$2:$N$703) </f>
        <v>413599141537513473</v>
      </c>
      <c r="L203" s="109" t="str">
        <f t="array" ref="L203">XLOOKUP(CELL("contents",G203),'Swiss Registry'!$B$2:$B$703,'Swiss Registry'!$N$2:$N$703) </f>
        <v>489109056183599104</v>
      </c>
    </row>
    <row r="204">
      <c r="A204" s="84">
        <f t="shared" ref="A204:A241" si="31">A203+1</f>
        <v>373</v>
      </c>
      <c r="B204" s="84">
        <f>VLOOKUP(A204,'Swiss2 Registry'!$A$2:$B$703,2,False)</f>
        <v>93</v>
      </c>
      <c r="C204" s="104" t="str">
        <f>VLOOKUP(B204,'Swiss2 Registry'!$B$2:$C$703,2,False)</f>
        <v>Shadowtime2000</v>
      </c>
      <c r="D204" s="111" t="str">
        <f t="shared" si="28"/>
        <v/>
      </c>
      <c r="E204" s="112" t="str">
        <f t="shared" si="29"/>
        <v>Act: Shadowtime2000</v>
      </c>
      <c r="F204" s="107" t="str">
        <f t="shared" si="30"/>
        <v/>
      </c>
      <c r="G204" s="104" t="str">
        <f>VLOOKUP(I204,'Swiss2 Registry'!$B$2:$C$703,2,False)</f>
        <v>SUB 11</v>
      </c>
      <c r="H204" s="84">
        <f t="shared" ref="H204:H241" si="32">H203-1</f>
        <v>682</v>
      </c>
      <c r="I204" s="84">
        <f>VLOOKUP(H204,'Swiss2 Registry'!$A$2:$B$703,2,False)</f>
        <v>293</v>
      </c>
      <c r="J204" s="83" t="s">
        <v>1475</v>
      </c>
      <c r="K204" s="108" t="str">
        <f t="array" ref="K204">XLOOKUP(CELL("contents",C204),'Swiss Registry'!$B$2:$B$703,'Swiss Registry'!$N$2:$N$703) </f>
        <v>537051269253300275</v>
      </c>
      <c r="L204" s="117" t="str">
        <f t="array" ref="L204">XLOOKUP(CELL("contents",G204),'Swiss Registry'!$B$2:$B$703,'Swiss Registry'!$N$2:$N$703) </f>
        <v>SUB</v>
      </c>
    </row>
    <row r="205">
      <c r="A205" s="84">
        <f t="shared" si="31"/>
        <v>374</v>
      </c>
      <c r="B205" s="84">
        <f>VLOOKUP(A205,'Swiss2 Registry'!$A$2:$B$703,2,False)</f>
        <v>94</v>
      </c>
      <c r="C205" s="104" t="str">
        <f>VLOOKUP(B205,'Swiss2 Registry'!$B$2:$C$703,2,False)</f>
        <v>ratdogreborn</v>
      </c>
      <c r="D205" s="105" t="str">
        <f t="shared" si="28"/>
        <v>Game 1</v>
      </c>
      <c r="E205" s="106" t="str">
        <f t="shared" si="29"/>
        <v>Game 2</v>
      </c>
      <c r="F205" s="107" t="str">
        <f t="shared" si="30"/>
        <v/>
      </c>
      <c r="G205" s="104" t="str">
        <f>VLOOKUP(I205,'Swiss2 Registry'!$B$2:$C$703,2,False)</f>
        <v>ByrneBaby</v>
      </c>
      <c r="H205" s="84">
        <f t="shared" si="32"/>
        <v>681</v>
      </c>
      <c r="I205" s="84">
        <f>VLOOKUP(H205,'Swiss2 Registry'!$A$2:$B$703,2,False)</f>
        <v>624</v>
      </c>
      <c r="J205" s="83" t="s">
        <v>1952</v>
      </c>
      <c r="K205" s="108" t="str">
        <f t="array" ref="K205">XLOOKUP(CELL("contents",C205),'Swiss Registry'!$B$2:$B$703,'Swiss Registry'!$N$2:$N$703) </f>
        <v>197429652208222208</v>
      </c>
      <c r="L205" s="109" t="str">
        <f t="array" ref="L205">XLOOKUP(CELL("contents",G205),'Swiss Registry'!$B$2:$B$703,'Swiss Registry'!$N$2:$N$703) </f>
        <v>181090608230694912</v>
      </c>
    </row>
    <row r="206">
      <c r="A206" s="84">
        <f t="shared" si="31"/>
        <v>375</v>
      </c>
      <c r="B206" s="84">
        <f>VLOOKUP(A206,'Swiss2 Registry'!$A$2:$B$703,2,False)</f>
        <v>102</v>
      </c>
      <c r="C206" s="104" t="str">
        <f>VLOOKUP(B206,'Swiss2 Registry'!$B$2:$C$703,2,False)</f>
        <v>Frutiepie</v>
      </c>
      <c r="D206" s="111" t="str">
        <f t="shared" si="28"/>
        <v/>
      </c>
      <c r="E206" s="112" t="str">
        <f t="shared" si="29"/>
        <v>Act: LoDart210</v>
      </c>
      <c r="F206" s="107" t="str">
        <f t="shared" si="30"/>
        <v/>
      </c>
      <c r="G206" s="104" t="str">
        <f>VLOOKUP(I206,'Swiss2 Registry'!$B$2:$C$703,2,False)</f>
        <v>LoDart210</v>
      </c>
      <c r="H206" s="84">
        <f t="shared" si="32"/>
        <v>680</v>
      </c>
      <c r="I206" s="84">
        <f>VLOOKUP(H206,'Swiss2 Registry'!$A$2:$B$703,2,False)</f>
        <v>125</v>
      </c>
      <c r="J206" s="83" t="s">
        <v>1462</v>
      </c>
      <c r="K206" s="108" t="str">
        <f t="array" ref="K206">XLOOKUP(CELL("contents",C206),'Swiss Registry'!$B$2:$B$703,'Swiss Registry'!$N$2:$N$703) </f>
        <v>146457814892675072</v>
      </c>
      <c r="L206" s="109" t="str">
        <f t="array" ref="L206">XLOOKUP(CELL("contents",G206),'Swiss Registry'!$B$2:$B$703,'Swiss Registry'!$N$2:$N$703) </f>
        <v>109153054686728192</v>
      </c>
    </row>
    <row r="207">
      <c r="A207" s="84">
        <f t="shared" si="31"/>
        <v>376</v>
      </c>
      <c r="B207" s="84">
        <f>VLOOKUP(A207,'Swiss2 Registry'!$A$2:$B$703,2,False)</f>
        <v>104</v>
      </c>
      <c r="C207" s="104" t="str">
        <f>VLOOKUP(B207,'Swiss2 Registry'!$B$2:$C$703,2,False)</f>
        <v>YlisseanStarlight</v>
      </c>
      <c r="D207" s="105" t="str">
        <f t="shared" si="28"/>
        <v>Game 1</v>
      </c>
      <c r="E207" s="106" t="str">
        <f t="shared" si="29"/>
        <v>Game 2</v>
      </c>
      <c r="F207" s="110" t="str">
        <f t="shared" si="30"/>
        <v>Game 3</v>
      </c>
      <c r="G207" s="104" t="str">
        <f>VLOOKUP(I207,'Swiss2 Registry'!$B$2:$C$703,2,False)</f>
        <v>HakkihanTunbak (I recently joined the discord)</v>
      </c>
      <c r="H207" s="84">
        <f t="shared" si="32"/>
        <v>679</v>
      </c>
      <c r="I207" s="84">
        <f>VLOOKUP(H207,'Swiss2 Registry'!$A$2:$B$703,2,False)</f>
        <v>399</v>
      </c>
      <c r="J207" s="83" t="s">
        <v>1953</v>
      </c>
      <c r="K207" s="108" t="str">
        <f t="array" ref="K207">XLOOKUP(CELL("contents",C207),'Swiss Registry'!$B$2:$B$703,'Swiss Registry'!$N$2:$N$703) </f>
        <v>308326695117783040</v>
      </c>
      <c r="L207" s="109" t="str">
        <f t="array" ref="L207">XLOOKUP(CELL("contents",G207),'Swiss Registry'!$B$2:$B$703,'Swiss Registry'!$N$2:$N$703) </f>
        <v>332243794584141834</v>
      </c>
    </row>
    <row r="208">
      <c r="A208" s="84">
        <f t="shared" si="31"/>
        <v>377</v>
      </c>
      <c r="B208" s="84">
        <f>VLOOKUP(A208,'Swiss2 Registry'!$A$2:$B$703,2,False)</f>
        <v>106</v>
      </c>
      <c r="C208" s="104" t="str">
        <f>VLOOKUP(B208,'Swiss2 Registry'!$B$2:$C$703,2,False)</f>
        <v>sharkhammer</v>
      </c>
      <c r="D208" s="111" t="str">
        <f t="shared" si="28"/>
        <v/>
      </c>
      <c r="E208" s="112" t="str">
        <f t="shared" si="29"/>
        <v>Act: sharkhammer</v>
      </c>
      <c r="F208" s="107" t="str">
        <f t="shared" si="30"/>
        <v/>
      </c>
      <c r="G208" s="104" t="str">
        <f>VLOOKUP(I208,'Swiss2 Registry'!$B$2:$C$703,2,False)</f>
        <v>CHICKENBOOB</v>
      </c>
      <c r="H208" s="84">
        <f t="shared" si="32"/>
        <v>678</v>
      </c>
      <c r="I208" s="84">
        <f>VLOOKUP(H208,'Swiss2 Registry'!$A$2:$B$703,2,False)</f>
        <v>139</v>
      </c>
      <c r="J208" s="83" t="s">
        <v>1475</v>
      </c>
      <c r="K208" s="108" t="str">
        <f t="array" ref="K208">XLOOKUP(CELL("contents",C208),'Swiss Registry'!$B$2:$B$703,'Swiss Registry'!$N$2:$N$703) </f>
        <v>127856725544927232</v>
      </c>
      <c r="L208" s="117" t="str">
        <f t="array" ref="L208">XLOOKUP(CELL("contents",G208),'Swiss Registry'!$B$2:$B$703,'Swiss Registry'!$N$2:$N$703) </f>
        <v>SUB</v>
      </c>
    </row>
    <row r="209">
      <c r="A209" s="84">
        <f t="shared" si="31"/>
        <v>378</v>
      </c>
      <c r="B209" s="84">
        <f>VLOOKUP(A209,'Swiss2 Registry'!$A$2:$B$703,2,False)</f>
        <v>477</v>
      </c>
      <c r="C209" s="104" t="str">
        <f>VLOOKUP(B209,'Swiss2 Registry'!$B$2:$C$703,2,False)</f>
        <v>mugua (purple Pikmin pfp)</v>
      </c>
      <c r="D209" s="105" t="str">
        <f t="shared" si="28"/>
        <v>Game 1</v>
      </c>
      <c r="E209" s="106" t="str">
        <f t="shared" si="29"/>
        <v>Game 2</v>
      </c>
      <c r="F209" s="110" t="str">
        <f t="shared" si="30"/>
        <v>Game 3</v>
      </c>
      <c r="G209" s="104" t="str">
        <f>VLOOKUP(I209,'Swiss2 Registry'!$B$2:$C$703,2,False)</f>
        <v>bobjoecarl</v>
      </c>
      <c r="H209" s="84">
        <f t="shared" si="32"/>
        <v>677</v>
      </c>
      <c r="I209" s="84">
        <f>VLOOKUP(H209,'Swiss2 Registry'!$A$2:$B$703,2,False)</f>
        <v>367</v>
      </c>
      <c r="J209" s="83" t="s">
        <v>1954</v>
      </c>
      <c r="K209" s="108" t="str">
        <f t="array" ref="K209">XLOOKUP(CELL("contents",C209),'Swiss Registry'!$B$2:$B$703,'Swiss Registry'!$N$2:$N$703) </f>
        <v>177874513466359809</v>
      </c>
      <c r="L209" s="109" t="str">
        <f t="array" ref="L209">XLOOKUP(CELL("contents",G209),'Swiss Registry'!$B$2:$B$703,'Swiss Registry'!$N$2:$N$703) </f>
        <v>280531406734622730</v>
      </c>
    </row>
    <row r="210">
      <c r="A210" s="84">
        <f t="shared" si="31"/>
        <v>379</v>
      </c>
      <c r="B210" s="84">
        <f>VLOOKUP(A210,'Swiss2 Registry'!$A$2:$B$703,2,False)</f>
        <v>134</v>
      </c>
      <c r="C210" s="104" t="str">
        <f>VLOOKUP(B210,'Swiss2 Registry'!$B$2:$C$703,2,False)</f>
        <v>Svejk97</v>
      </c>
      <c r="D210" s="105" t="str">
        <f t="shared" si="28"/>
        <v>Game 1</v>
      </c>
      <c r="E210" s="106" t="str">
        <f t="shared" si="29"/>
        <v>Game 2</v>
      </c>
      <c r="F210" s="107" t="str">
        <f t="shared" si="30"/>
        <v/>
      </c>
      <c r="G210" s="104" t="str">
        <f>VLOOKUP(I210,'Swiss2 Registry'!$B$2:$C$703,2,False)</f>
        <v>chipi</v>
      </c>
      <c r="H210" s="84">
        <f t="shared" si="32"/>
        <v>676</v>
      </c>
      <c r="I210" s="84">
        <f>VLOOKUP(H210,'Swiss2 Registry'!$A$2:$B$703,2,False)</f>
        <v>165</v>
      </c>
      <c r="J210" s="83" t="s">
        <v>1955</v>
      </c>
      <c r="K210" s="108" t="str">
        <f t="array" ref="K210">XLOOKUP(CELL("contents",C210),'Swiss Registry'!$B$2:$B$703,'Swiss Registry'!$N$2:$N$703) </f>
        <v>1288951419465891851</v>
      </c>
      <c r="L210" s="109" t="str">
        <f t="array" ref="L210">XLOOKUP(CELL("contents",G210),'Swiss Registry'!$B$2:$B$703,'Swiss Registry'!$N$2:$N$703) </f>
        <v>194576469383446529</v>
      </c>
    </row>
    <row r="211">
      <c r="A211" s="84">
        <f t="shared" si="31"/>
        <v>380</v>
      </c>
      <c r="B211" s="84">
        <f>VLOOKUP(A211,'Swiss2 Registry'!$A$2:$B$703,2,False)</f>
        <v>425</v>
      </c>
      <c r="C211" s="104" t="str">
        <f>VLOOKUP(B211,'Swiss2 Registry'!$B$2:$C$703,2,False)</f>
        <v>peabnut</v>
      </c>
      <c r="D211" s="111" t="str">
        <f t="shared" si="28"/>
        <v/>
      </c>
      <c r="E211" s="112" t="str">
        <f t="shared" si="29"/>
        <v>Act: hypebeasthegel</v>
      </c>
      <c r="F211" s="107" t="str">
        <f t="shared" si="30"/>
        <v/>
      </c>
      <c r="G211" s="104" t="str">
        <f>VLOOKUP(I211,'Swiss2 Registry'!$B$2:$C$703,2,False)</f>
        <v>hypebeasthegel</v>
      </c>
      <c r="H211" s="84">
        <f t="shared" si="32"/>
        <v>675</v>
      </c>
      <c r="I211" s="84">
        <f>VLOOKUP(H211,'Swiss2 Registry'!$A$2:$B$703,2,False)</f>
        <v>702</v>
      </c>
      <c r="J211" s="83" t="s">
        <v>1462</v>
      </c>
      <c r="K211" s="108" t="str">
        <f t="array" ref="K211">XLOOKUP(CELL("contents",C211),'Swiss Registry'!$B$2:$B$703,'Swiss Registry'!$N$2:$N$703) </f>
        <v>119958521591627777</v>
      </c>
      <c r="L211" s="109" t="str">
        <f t="array" ref="L211">XLOOKUP(CELL("contents",G211),'Swiss Registry'!$B$2:$B$703,'Swiss Registry'!$N$2:$N$703) </f>
        <v>401566713252020225</v>
      </c>
    </row>
    <row r="212">
      <c r="A212" s="84">
        <f t="shared" si="31"/>
        <v>381</v>
      </c>
      <c r="B212" s="84">
        <f>VLOOKUP(A212,'Swiss2 Registry'!$A$2:$B$703,2,False)</f>
        <v>135</v>
      </c>
      <c r="C212" s="104" t="str">
        <f>VLOOKUP(B212,'Swiss2 Registry'!$B$2:$C$703,2,False)</f>
        <v>Graham (graaahaaam)</v>
      </c>
      <c r="D212" s="111" t="str">
        <f t="shared" si="28"/>
        <v/>
      </c>
      <c r="E212" s="112" t="str">
        <f t="shared" si="29"/>
        <v>Act: Graham (graaahaaam)</v>
      </c>
      <c r="F212" s="107" t="str">
        <f t="shared" si="30"/>
        <v/>
      </c>
      <c r="G212" s="104" t="str">
        <f>VLOOKUP(I212,'Swiss2 Registry'!$B$2:$C$703,2,False)</f>
        <v>SUB 6</v>
      </c>
      <c r="H212" s="84">
        <f t="shared" si="32"/>
        <v>674</v>
      </c>
      <c r="I212" s="84">
        <f>VLOOKUP(H212,'Swiss2 Registry'!$A$2:$B$703,2,False)</f>
        <v>180</v>
      </c>
      <c r="J212" s="83" t="s">
        <v>1475</v>
      </c>
      <c r="K212" s="108" t="str">
        <f t="array" ref="K212">XLOOKUP(CELL("contents",C212),'Swiss Registry'!$B$2:$B$703,'Swiss Registry'!$N$2:$N$703) </f>
        <v>116227974885277697</v>
      </c>
      <c r="L212" s="117" t="str">
        <f t="array" ref="L212">XLOOKUP(CELL("contents",G212),'Swiss Registry'!$B$2:$B$703,'Swiss Registry'!$N$2:$N$703) </f>
        <v>SUB</v>
      </c>
    </row>
    <row r="213">
      <c r="A213" s="84">
        <f t="shared" si="31"/>
        <v>382</v>
      </c>
      <c r="B213" s="84">
        <f>VLOOKUP(A213,'Swiss2 Registry'!$A$2:$B$703,2,False)</f>
        <v>273</v>
      </c>
      <c r="C213" s="104" t="str">
        <f>VLOOKUP(B213,'Swiss2 Registry'!$B$2:$C$703,2,False)</f>
        <v>dabebri</v>
      </c>
      <c r="D213" s="105" t="str">
        <f t="shared" si="28"/>
        <v>Game 1</v>
      </c>
      <c r="E213" s="106" t="str">
        <f t="shared" si="29"/>
        <v>Game 2</v>
      </c>
      <c r="F213" s="110" t="str">
        <f t="shared" si="30"/>
        <v>Game 3</v>
      </c>
      <c r="G213" s="104" t="str">
        <f>VLOOKUP(I213,'Swiss2 Registry'!$B$2:$C$703,2,False)</f>
        <v>Coco / Yuii</v>
      </c>
      <c r="H213" s="84">
        <f t="shared" si="32"/>
        <v>673</v>
      </c>
      <c r="I213" s="84">
        <f>VLOOKUP(H213,'Swiss2 Registry'!$A$2:$B$703,2,False)</f>
        <v>661</v>
      </c>
      <c r="J213" s="83" t="s">
        <v>1956</v>
      </c>
      <c r="K213" s="108" t="str">
        <f t="array" ref="K213">XLOOKUP(CELL("contents",C213),'Swiss Registry'!$B$2:$B$703,'Swiss Registry'!$N$2:$N$703) </f>
        <v>603589154462236678</v>
      </c>
      <c r="L213" s="109" t="str">
        <f t="array" ref="L213">XLOOKUP(CELL("contents",G213),'Swiss Registry'!$B$2:$B$703,'Swiss Registry'!$N$2:$N$703) </f>
        <v>285392368146841611</v>
      </c>
    </row>
    <row r="214">
      <c r="A214" s="84">
        <f t="shared" si="31"/>
        <v>383</v>
      </c>
      <c r="B214" s="84">
        <f>VLOOKUP(A214,'Swiss2 Registry'!$A$2:$B$703,2,False)</f>
        <v>259</v>
      </c>
      <c r="C214" s="104" t="str">
        <f>VLOOKUP(B214,'Swiss2 Registry'!$B$2:$C$703,2,False)</f>
        <v>Birthdayninja</v>
      </c>
      <c r="D214" s="105" t="str">
        <f t="shared" si="28"/>
        <v>Game 1</v>
      </c>
      <c r="E214" s="106" t="str">
        <f t="shared" si="29"/>
        <v>Game 2</v>
      </c>
      <c r="F214" s="107" t="str">
        <f t="shared" si="30"/>
        <v/>
      </c>
      <c r="G214" s="104" t="str">
        <f>VLOOKUP(I214,'Swiss2 Registry'!$B$2:$C$703,2,False)</f>
        <v>big_jerry</v>
      </c>
      <c r="H214" s="84">
        <f t="shared" si="32"/>
        <v>672</v>
      </c>
      <c r="I214" s="84">
        <f>VLOOKUP(H214,'Swiss2 Registry'!$A$2:$B$703,2,False)</f>
        <v>658</v>
      </c>
      <c r="J214" s="83" t="s">
        <v>1957</v>
      </c>
      <c r="K214" s="108" t="str">
        <f t="array" ref="K214">XLOOKUP(CELL("contents",C214),'Swiss Registry'!$B$2:$B$703,'Swiss Registry'!$N$2:$N$703) </f>
        <v>132786516031307776</v>
      </c>
      <c r="L214" s="109" t="str">
        <f t="array" ref="L214">XLOOKUP(CELL("contents",G214),'Swiss Registry'!$B$2:$B$703,'Swiss Registry'!$N$2:$N$703) </f>
        <v>131588523852562432</v>
      </c>
    </row>
    <row r="215">
      <c r="A215" s="84">
        <f t="shared" si="31"/>
        <v>384</v>
      </c>
      <c r="B215" s="84">
        <f>VLOOKUP(A215,'Swiss2 Registry'!$A$2:$B$703,2,False)</f>
        <v>153</v>
      </c>
      <c r="C215" s="104" t="str">
        <f>VLOOKUP(B215,'Swiss2 Registry'!$B$2:$C$703,2,False)</f>
        <v>Loneling</v>
      </c>
      <c r="D215" s="111" t="str">
        <f t="shared" si="28"/>
        <v/>
      </c>
      <c r="E215" s="112" t="str">
        <f t="shared" si="29"/>
        <v>Act: Spedonic</v>
      </c>
      <c r="F215" s="107" t="str">
        <f t="shared" si="30"/>
        <v/>
      </c>
      <c r="G215" s="104" t="str">
        <f>VLOOKUP(I215,'Swiss2 Registry'!$B$2:$C$703,2,False)</f>
        <v>Spedonic</v>
      </c>
      <c r="H215" s="84">
        <f t="shared" si="32"/>
        <v>671</v>
      </c>
      <c r="I215" s="84">
        <f>VLOOKUP(H215,'Swiss2 Registry'!$A$2:$B$703,2,False)</f>
        <v>685</v>
      </c>
      <c r="J215" s="83" t="s">
        <v>1462</v>
      </c>
      <c r="K215" s="108" t="str">
        <f t="array" ref="K215">XLOOKUP(CELL("contents",C215),'Swiss Registry'!$B$2:$B$703,'Swiss Registry'!$N$2:$N$703) </f>
        <v>1260035840294260737</v>
      </c>
      <c r="L215" s="109" t="str">
        <f t="array" ref="L215">XLOOKUP(CELL("contents",G215),'Swiss Registry'!$B$2:$B$703,'Swiss Registry'!$N$2:$N$703) </f>
        <v>200135331620716544</v>
      </c>
    </row>
    <row r="216">
      <c r="A216" s="84">
        <f t="shared" si="31"/>
        <v>385</v>
      </c>
      <c r="B216" s="84">
        <f>VLOOKUP(A216,'Swiss2 Registry'!$A$2:$B$703,2,False)</f>
        <v>205</v>
      </c>
      <c r="C216" s="104" t="str">
        <f>VLOOKUP(B216,'Swiss2 Registry'!$B$2:$C$703,2,False)</f>
        <v>SUB 29</v>
      </c>
      <c r="D216" s="111" t="str">
        <f t="shared" si="28"/>
        <v/>
      </c>
      <c r="E216" s="112" t="str">
        <f t="shared" si="29"/>
        <v>Act: jensendale</v>
      </c>
      <c r="F216" s="107" t="str">
        <f t="shared" si="30"/>
        <v/>
      </c>
      <c r="G216" s="104" t="str">
        <f>VLOOKUP(I216,'Swiss2 Registry'!$B$2:$C$703,2,False)</f>
        <v>jensendale</v>
      </c>
      <c r="H216" s="84">
        <f t="shared" si="32"/>
        <v>670</v>
      </c>
      <c r="I216" s="84">
        <f>VLOOKUP(H216,'Swiss2 Registry'!$A$2:$B$703,2,False)</f>
        <v>229</v>
      </c>
      <c r="J216" s="83" t="s">
        <v>1462</v>
      </c>
      <c r="K216" s="108" t="str">
        <f t="array" ref="K216">XLOOKUP(CELL("contents",C216),'Swiss Registry'!$B$2:$B$703,'Swiss Registry'!$N$2:$N$703) </f>
        <v>SUB</v>
      </c>
      <c r="L216" s="109" t="str">
        <f t="array" ref="L216">XLOOKUP(CELL("contents",G216),'Swiss Registry'!$B$2:$B$703,'Swiss Registry'!$N$2:$N$703) </f>
        <v>1153475592411418724</v>
      </c>
    </row>
    <row r="217">
      <c r="A217" s="84">
        <f t="shared" si="31"/>
        <v>386</v>
      </c>
      <c r="B217" s="84">
        <f>VLOOKUP(A217,'Swiss2 Registry'!$A$2:$B$703,2,False)</f>
        <v>395</v>
      </c>
      <c r="C217" s="104" t="str">
        <f>VLOOKUP(B217,'Swiss2 Registry'!$B$2:$C$703,2,False)</f>
        <v>cleffacutie</v>
      </c>
      <c r="D217" s="105" t="str">
        <f t="shared" si="28"/>
        <v>Game 1</v>
      </c>
      <c r="E217" s="106" t="str">
        <f t="shared" si="29"/>
        <v>Game 2</v>
      </c>
      <c r="F217" s="107" t="str">
        <f t="shared" si="30"/>
        <v/>
      </c>
      <c r="G217" s="104" t="str">
        <f>VLOOKUP(I217,'Swiss2 Registry'!$B$2:$C$703,2,False)</f>
        <v>Basharapplejuice</v>
      </c>
      <c r="H217" s="84">
        <f t="shared" si="32"/>
        <v>669</v>
      </c>
      <c r="I217" s="84">
        <f>VLOOKUP(H217,'Swiss2 Registry'!$A$2:$B$703,2,False)</f>
        <v>140</v>
      </c>
      <c r="J217" s="83" t="s">
        <v>1958</v>
      </c>
      <c r="K217" s="108" t="str">
        <f t="array" ref="K217">XLOOKUP(CELL("contents",C217),'Swiss Registry'!$B$2:$B$703,'Swiss Registry'!$N$2:$N$703) </f>
        <v>318104021946859520</v>
      </c>
      <c r="L217" s="109" t="str">
        <f t="array" ref="L217">XLOOKUP(CELL("contents",G217),'Swiss Registry'!$B$2:$B$703,'Swiss Registry'!$N$2:$N$703) </f>
        <v>215651907459481601</v>
      </c>
    </row>
    <row r="218">
      <c r="A218" s="84">
        <f t="shared" si="31"/>
        <v>387</v>
      </c>
      <c r="B218" s="84">
        <f>VLOOKUP(A218,'Swiss2 Registry'!$A$2:$B$703,2,False)</f>
        <v>155</v>
      </c>
      <c r="C218" s="104" t="str">
        <f>VLOOKUP(B218,'Swiss2 Registry'!$B$2:$C$703,2,False)</f>
        <v>anashensoul</v>
      </c>
      <c r="D218" s="105" t="str">
        <f t="shared" si="28"/>
        <v>Game 1</v>
      </c>
      <c r="E218" s="106" t="str">
        <f t="shared" si="29"/>
        <v>Game 2</v>
      </c>
      <c r="F218" s="107" t="str">
        <f t="shared" si="30"/>
        <v/>
      </c>
      <c r="G218" s="104" t="str">
        <f>VLOOKUP(I218,'Swiss2 Registry'!$B$2:$C$703,2,False)</f>
        <v>.alig.</v>
      </c>
      <c r="H218" s="84">
        <f t="shared" si="32"/>
        <v>668</v>
      </c>
      <c r="I218" s="84">
        <f>VLOOKUP(H218,'Swiss2 Registry'!$A$2:$B$703,2,False)</f>
        <v>211</v>
      </c>
      <c r="J218" s="83" t="s">
        <v>1959</v>
      </c>
      <c r="K218" s="108" t="str">
        <f t="array" ref="K218">XLOOKUP(CELL("contents",C218),'Swiss Registry'!$B$2:$B$703,'Swiss Registry'!$N$2:$N$703) </f>
        <v>212292910882750466</v>
      </c>
      <c r="L218" s="109" t="str">
        <f t="array" ref="L218">XLOOKUP(CELL("contents",G218),'Swiss Registry'!$B$2:$B$703,'Swiss Registry'!$N$2:$N$703) </f>
        <v>192192076841091072</v>
      </c>
    </row>
    <row r="219">
      <c r="A219" s="84">
        <f t="shared" si="31"/>
        <v>388</v>
      </c>
      <c r="B219" s="84">
        <f>VLOOKUP(A219,'Swiss2 Registry'!$A$2:$B$703,2,False)</f>
        <v>186</v>
      </c>
      <c r="C219" s="104" t="str">
        <f>VLOOKUP(B219,'Swiss2 Registry'!$B$2:$C$703,2,False)</f>
        <v>YellowHat#0714</v>
      </c>
      <c r="D219" s="111" t="str">
        <f t="shared" si="28"/>
        <v/>
      </c>
      <c r="E219" s="112" t="str">
        <f t="shared" si="29"/>
        <v>Act: vy_apostrophe</v>
      </c>
      <c r="F219" s="107" t="str">
        <f t="shared" si="30"/>
        <v/>
      </c>
      <c r="G219" s="104" t="str">
        <f>VLOOKUP(I219,'Swiss2 Registry'!$B$2:$C$703,2,False)</f>
        <v>vy_apostrophe</v>
      </c>
      <c r="H219" s="84">
        <f t="shared" si="32"/>
        <v>667</v>
      </c>
      <c r="I219" s="84">
        <f>VLOOKUP(H219,'Swiss2 Registry'!$A$2:$B$703,2,False)</f>
        <v>224</v>
      </c>
      <c r="J219" s="83" t="s">
        <v>1462</v>
      </c>
      <c r="K219" s="108" t="str">
        <f t="array" ref="K219">XLOOKUP(CELL("contents",C219),'Swiss Registry'!$B$2:$B$703,'Swiss Registry'!$N$2:$N$703) </f>
        <v>215286443734597633</v>
      </c>
      <c r="L219" s="109" t="str">
        <f t="array" ref="L219">XLOOKUP(CELL("contents",G219),'Swiss Registry'!$B$2:$B$703,'Swiss Registry'!$N$2:$N$703) </f>
        <v>739260362091659315</v>
      </c>
    </row>
    <row r="220">
      <c r="A220" s="84">
        <f t="shared" si="31"/>
        <v>389</v>
      </c>
      <c r="B220" s="84">
        <f>VLOOKUP(A220,'Swiss2 Registry'!$A$2:$B$703,2,False)</f>
        <v>382</v>
      </c>
      <c r="C220" s="104" t="str">
        <f>VLOOKUP(B220,'Swiss2 Registry'!$B$2:$C$703,2,False)</f>
        <v>Albatross115</v>
      </c>
      <c r="D220" s="111" t="str">
        <f t="shared" si="28"/>
        <v/>
      </c>
      <c r="E220" s="112" t="str">
        <f t="shared" si="29"/>
        <v>Act: SqueamishCube</v>
      </c>
      <c r="F220" s="107" t="str">
        <f t="shared" si="30"/>
        <v/>
      </c>
      <c r="G220" s="104" t="str">
        <f>VLOOKUP(I220,'Swiss2 Registry'!$B$2:$C$703,2,False)</f>
        <v>SqueamishCube</v>
      </c>
      <c r="H220" s="84">
        <f t="shared" si="32"/>
        <v>666</v>
      </c>
      <c r="I220" s="84">
        <f>VLOOKUP(H220,'Swiss2 Registry'!$A$2:$B$703,2,False)</f>
        <v>112</v>
      </c>
      <c r="J220" s="83" t="s">
        <v>1462</v>
      </c>
      <c r="K220" s="108" t="str">
        <f t="array" ref="K220">XLOOKUP(CELL("contents",C220),'Swiss Registry'!$B$2:$B$703,'Swiss Registry'!$N$2:$N$703) </f>
        <v>370740769385873410</v>
      </c>
      <c r="L220" s="109" t="str">
        <f t="array" ref="L220">XLOOKUP(CELL("contents",G220),'Swiss Registry'!$B$2:$B$703,'Swiss Registry'!$N$2:$N$703) </f>
        <v>423951482795065368</v>
      </c>
    </row>
    <row r="221">
      <c r="A221" s="84">
        <f t="shared" si="31"/>
        <v>390</v>
      </c>
      <c r="B221" s="84">
        <f>VLOOKUP(A221,'Swiss2 Registry'!$A$2:$B$703,2,False)</f>
        <v>478</v>
      </c>
      <c r="C221" s="104" t="str">
        <f>VLOOKUP(B221,'Swiss2 Registry'!$B$2:$C$703,2,False)</f>
        <v>sopphaking</v>
      </c>
      <c r="D221" s="111" t="str">
        <f t="shared" si="28"/>
        <v/>
      </c>
      <c r="E221" s="112" t="str">
        <f t="shared" si="29"/>
        <v>Act: erfder (old style Erfder#3147)</v>
      </c>
      <c r="F221" s="107" t="str">
        <f t="shared" si="30"/>
        <v/>
      </c>
      <c r="G221" s="104" t="str">
        <f>VLOOKUP(I221,'Swiss2 Registry'!$B$2:$C$703,2,False)</f>
        <v>erfder (old style Erfder#3147)</v>
      </c>
      <c r="H221" s="84">
        <f t="shared" si="32"/>
        <v>665</v>
      </c>
      <c r="I221" s="84">
        <f>VLOOKUP(H221,'Swiss2 Registry'!$A$2:$B$703,2,False)</f>
        <v>483</v>
      </c>
      <c r="J221" s="83" t="s">
        <v>1462</v>
      </c>
      <c r="K221" s="108" t="str">
        <f t="array" ref="K221">XLOOKUP(CELL("contents",C221),'Swiss Registry'!$B$2:$B$703,'Swiss Registry'!$N$2:$N$703) </f>
        <v>215057324631392256</v>
      </c>
      <c r="L221" s="109" t="str">
        <f t="array" ref="L221">XLOOKUP(CELL("contents",G221),'Swiss Registry'!$B$2:$B$703,'Swiss Registry'!$N$2:$N$703) </f>
        <v>172402233676136448</v>
      </c>
    </row>
    <row r="222">
      <c r="A222" s="84">
        <f t="shared" si="31"/>
        <v>391</v>
      </c>
      <c r="B222" s="84">
        <f>VLOOKUP(A222,'Swiss2 Registry'!$A$2:$B$703,2,False)</f>
        <v>223</v>
      </c>
      <c r="C222" s="104" t="str">
        <f>VLOOKUP(B222,'Swiss2 Registry'!$B$2:$C$703,2,False)</f>
        <v>halbertsimpson</v>
      </c>
      <c r="D222" s="111" t="str">
        <f t="shared" si="28"/>
        <v/>
      </c>
      <c r="E222" s="112" t="str">
        <f t="shared" si="29"/>
        <v>Act: halbertsimpson</v>
      </c>
      <c r="F222" s="107" t="str">
        <f t="shared" si="30"/>
        <v/>
      </c>
      <c r="G222" s="104" t="str">
        <f>VLOOKUP(I222,'Swiss2 Registry'!$B$2:$C$703,2,False)</f>
        <v>Vassimobin</v>
      </c>
      <c r="H222" s="84">
        <f t="shared" si="32"/>
        <v>664</v>
      </c>
      <c r="I222" s="84">
        <f>VLOOKUP(H222,'Swiss2 Registry'!$A$2:$B$703,2,False)</f>
        <v>628</v>
      </c>
      <c r="J222" s="83" t="s">
        <v>1475</v>
      </c>
      <c r="K222" s="108" t="str">
        <f t="array" ref="K222">XLOOKUP(CELL("contents",C222),'Swiss Registry'!$B$2:$B$703,'Swiss Registry'!$N$2:$N$703) </f>
        <v>1011611946824503427</v>
      </c>
      <c r="L222" s="109" t="str">
        <f t="array" ref="L222">XLOOKUP(CELL("contents",G222),'Swiss Registry'!$B$2:$B$703,'Swiss Registry'!$N$2:$N$703) </f>
        <v>521813775586951183</v>
      </c>
    </row>
    <row r="223">
      <c r="A223" s="84">
        <f t="shared" si="31"/>
        <v>392</v>
      </c>
      <c r="B223" s="84">
        <f>VLOOKUP(A223,'Swiss2 Registry'!$A$2:$B$703,2,False)</f>
        <v>613</v>
      </c>
      <c r="C223" s="104" t="str">
        <f>VLOOKUP(B223,'Swiss2 Registry'!$B$2:$C$703,2,False)</f>
        <v>Ghostfall22</v>
      </c>
      <c r="D223" s="105" t="str">
        <f t="shared" si="28"/>
        <v>Game 1</v>
      </c>
      <c r="E223" s="106" t="str">
        <f t="shared" si="29"/>
        <v>Game 2</v>
      </c>
      <c r="F223" s="107" t="str">
        <f t="shared" si="30"/>
        <v/>
      </c>
      <c r="G223" s="104" t="str">
        <f>VLOOKUP(I223,'Swiss2 Registry'!$B$2:$C$703,2,False)</f>
        <v>Fairy</v>
      </c>
      <c r="H223" s="84">
        <f t="shared" si="32"/>
        <v>663</v>
      </c>
      <c r="I223" s="84">
        <f>VLOOKUP(H223,'Swiss2 Registry'!$A$2:$B$703,2,False)</f>
        <v>650</v>
      </c>
      <c r="J223" s="83" t="s">
        <v>1960</v>
      </c>
      <c r="K223" s="108" t="str">
        <f t="array" ref="K223">XLOOKUP(CELL("contents",C223),'Swiss Registry'!$B$2:$B$703,'Swiss Registry'!$N$2:$N$703) </f>
        <v>894720722683985930</v>
      </c>
      <c r="L223" s="109" t="str">
        <f t="array" ref="L223">XLOOKUP(CELL("contents",G223),'Swiss Registry'!$B$2:$B$703,'Swiss Registry'!$N$2:$N$703) </f>
        <v>108255159053713408</v>
      </c>
    </row>
    <row r="224">
      <c r="A224" s="84">
        <f t="shared" si="31"/>
        <v>393</v>
      </c>
      <c r="B224" s="84">
        <f>VLOOKUP(A224,'Swiss2 Registry'!$A$2:$B$703,2,False)</f>
        <v>373</v>
      </c>
      <c r="C224" s="104" t="str">
        <f>VLOOKUP(B224,'Swiss2 Registry'!$B$2:$C$703,2,False)</f>
        <v>SUB 15</v>
      </c>
      <c r="D224" s="111" t="str">
        <f t="shared" si="28"/>
        <v/>
      </c>
      <c r="E224" s="112" t="str">
        <f t="shared" si="29"/>
        <v>Act: lucyisafish</v>
      </c>
      <c r="F224" s="107" t="str">
        <f t="shared" si="30"/>
        <v/>
      </c>
      <c r="G224" s="104" t="str">
        <f>VLOOKUP(I224,'Swiss2 Registry'!$B$2:$C$703,2,False)</f>
        <v>lucyisafish</v>
      </c>
      <c r="H224" s="84">
        <f t="shared" si="32"/>
        <v>662</v>
      </c>
      <c r="I224" s="84">
        <f>VLOOKUP(H224,'Swiss2 Registry'!$A$2:$B$703,2,False)</f>
        <v>268</v>
      </c>
      <c r="J224" s="83" t="s">
        <v>1462</v>
      </c>
      <c r="K224" s="116" t="str">
        <f t="array" ref="K224">XLOOKUP(CELL("contents",C224),'Swiss Registry'!$B$2:$B$703,'Swiss Registry'!$N$2:$N$703) </f>
        <v>SUB</v>
      </c>
      <c r="L224" s="109" t="str">
        <f t="array" ref="L224">XLOOKUP(CELL("contents",G224),'Swiss Registry'!$B$2:$B$703,'Swiss Registry'!$N$2:$N$703) </f>
        <v>930202977854193705</v>
      </c>
    </row>
    <row r="225">
      <c r="A225" s="84">
        <f t="shared" si="31"/>
        <v>394</v>
      </c>
      <c r="B225" s="84">
        <f>VLOOKUP(A225,'Swiss2 Registry'!$A$2:$B$703,2,False)</f>
        <v>149</v>
      </c>
      <c r="C225" s="104" t="str">
        <f>VLOOKUP(B225,'Swiss2 Registry'!$B$2:$C$703,2,False)</f>
        <v>Rezzo</v>
      </c>
      <c r="D225" s="105" t="str">
        <f t="shared" si="28"/>
        <v>Game 1</v>
      </c>
      <c r="E225" s="106" t="str">
        <f t="shared" si="29"/>
        <v>Game 2</v>
      </c>
      <c r="F225" s="110" t="str">
        <f t="shared" si="30"/>
        <v>Game 3</v>
      </c>
      <c r="G225" s="104" t="str">
        <f>VLOOKUP(I225,'Swiss2 Registry'!$B$2:$C$703,2,False)</f>
        <v>countsligo</v>
      </c>
      <c r="H225" s="84">
        <f t="shared" si="32"/>
        <v>661</v>
      </c>
      <c r="I225" s="84">
        <f>VLOOKUP(H225,'Swiss2 Registry'!$A$2:$B$703,2,False)</f>
        <v>346</v>
      </c>
      <c r="J225" s="83" t="s">
        <v>1961</v>
      </c>
      <c r="K225" s="108" t="str">
        <f t="array" ref="K225">XLOOKUP(CELL("contents",C225),'Swiss Registry'!$B$2:$B$703,'Swiss Registry'!$N$2:$N$703) </f>
        <v>208377004209209344</v>
      </c>
      <c r="L225" s="109" t="str">
        <f t="array" ref="L225">XLOOKUP(CELL("contents",G225),'Swiss Registry'!$B$2:$B$703,'Swiss Registry'!$N$2:$N$703) </f>
        <v>442172713763602432</v>
      </c>
    </row>
    <row r="226">
      <c r="A226" s="84">
        <f t="shared" si="31"/>
        <v>395</v>
      </c>
      <c r="B226" s="84">
        <f>VLOOKUP(A226,'Swiss2 Registry'!$A$2:$B$703,2,False)</f>
        <v>322</v>
      </c>
      <c r="C226" s="104" t="str">
        <f>VLOOKUP(B226,'Swiss2 Registry'!$B$2:$C$703,2,False)</f>
        <v>theepiccd56</v>
      </c>
      <c r="D226" s="105" t="str">
        <f t="shared" si="28"/>
        <v>Game 1</v>
      </c>
      <c r="E226" s="106" t="str">
        <f t="shared" si="29"/>
        <v>Game 2</v>
      </c>
      <c r="F226" s="107" t="str">
        <f t="shared" si="30"/>
        <v/>
      </c>
      <c r="G226" s="104" t="str">
        <f>VLOOKUP(I226,'Swiss2 Registry'!$B$2:$C$703,2,False)</f>
        <v>glucoseguardian1</v>
      </c>
      <c r="H226" s="84">
        <f t="shared" si="32"/>
        <v>660</v>
      </c>
      <c r="I226" s="84">
        <f>VLOOKUP(H226,'Swiss2 Registry'!$A$2:$B$703,2,False)</f>
        <v>396</v>
      </c>
      <c r="J226" s="83" t="s">
        <v>1962</v>
      </c>
      <c r="K226" s="108" t="str">
        <f t="array" ref="K226">XLOOKUP(CELL("contents",C226),'Swiss Registry'!$B$2:$B$703,'Swiss Registry'!$N$2:$N$703) </f>
        <v>148946268033515521</v>
      </c>
      <c r="L226" s="109" t="str">
        <f t="array" ref="L226">XLOOKUP(CELL("contents",G226),'Swiss Registry'!$B$2:$B$703,'Swiss Registry'!$N$2:$N$703) </f>
        <v>735113182120640562</v>
      </c>
    </row>
    <row r="227">
      <c r="A227" s="84">
        <f t="shared" si="31"/>
        <v>396</v>
      </c>
      <c r="B227" s="84">
        <f>VLOOKUP(A227,'Swiss2 Registry'!$A$2:$B$703,2,False)</f>
        <v>549</v>
      </c>
      <c r="C227" s="104" t="str">
        <f>VLOOKUP(B227,'Swiss2 Registry'!$B$2:$C$703,2,False)</f>
        <v>loopingpyre</v>
      </c>
      <c r="D227" s="105" t="str">
        <f t="shared" si="28"/>
        <v>Game 1</v>
      </c>
      <c r="E227" s="106" t="str">
        <f t="shared" si="29"/>
        <v>Game 2</v>
      </c>
      <c r="F227" s="107" t="str">
        <f t="shared" si="30"/>
        <v/>
      </c>
      <c r="G227" s="104" t="str">
        <f>VLOOKUP(I227,'Swiss2 Registry'!$B$2:$C$703,2,False)</f>
        <v>Genofool</v>
      </c>
      <c r="H227" s="84">
        <f t="shared" si="32"/>
        <v>659</v>
      </c>
      <c r="I227" s="84">
        <f>VLOOKUP(H227,'Swiss2 Registry'!$A$2:$B$703,2,False)</f>
        <v>688</v>
      </c>
      <c r="J227" s="83" t="s">
        <v>1963</v>
      </c>
      <c r="K227" s="108" t="str">
        <f t="array" ref="K227">XLOOKUP(CELL("contents",C227),'Swiss Registry'!$B$2:$B$703,'Swiss Registry'!$N$2:$N$703) </f>
        <v>181680584165163008</v>
      </c>
      <c r="L227" s="109" t="str">
        <f t="array" ref="L227">XLOOKUP(CELL("contents",G227),'Swiss Registry'!$B$2:$B$703,'Swiss Registry'!$N$2:$N$703) </f>
        <v>82969260036456448</v>
      </c>
    </row>
    <row r="228">
      <c r="A228" s="84">
        <f t="shared" si="31"/>
        <v>397</v>
      </c>
      <c r="B228" s="84">
        <f>VLOOKUP(A228,'Swiss2 Registry'!$A$2:$B$703,2,False)</f>
        <v>181</v>
      </c>
      <c r="C228" s="104" t="str">
        <f>VLOOKUP(B228,'Swiss2 Registry'!$B$2:$C$703,2,False)</f>
        <v>bigyunakafan</v>
      </c>
      <c r="D228" s="105" t="str">
        <f t="shared" si="28"/>
        <v>Game 1</v>
      </c>
      <c r="E228" s="106" t="str">
        <f t="shared" si="29"/>
        <v>Game 2</v>
      </c>
      <c r="F228" s="110" t="str">
        <f t="shared" si="30"/>
        <v>Game 3</v>
      </c>
      <c r="G228" s="104" t="str">
        <f>VLOOKUP(I228,'Swiss2 Registry'!$B$2:$C$703,2,False)</f>
        <v>gpd_123</v>
      </c>
      <c r="H228" s="84">
        <f t="shared" si="32"/>
        <v>658</v>
      </c>
      <c r="I228" s="84">
        <f>VLOOKUP(H228,'Swiss2 Registry'!$A$2:$B$703,2,False)</f>
        <v>503</v>
      </c>
      <c r="J228" s="83" t="s">
        <v>1964</v>
      </c>
      <c r="K228" s="108" t="str">
        <f t="array" ref="K228">XLOOKUP(CELL("contents",C228),'Swiss Registry'!$B$2:$B$703,'Swiss Registry'!$N$2:$N$703) </f>
        <v>322807253465956353</v>
      </c>
      <c r="L228" s="109" t="str">
        <f t="array" ref="L228">XLOOKUP(CELL("contents",G228),'Swiss Registry'!$B$2:$B$703,'Swiss Registry'!$N$2:$N$703) </f>
        <v>1287682191584792579</v>
      </c>
    </row>
    <row r="229">
      <c r="A229" s="84">
        <f t="shared" si="31"/>
        <v>398</v>
      </c>
      <c r="B229" s="84">
        <f>VLOOKUP(A229,'Swiss2 Registry'!$A$2:$B$703,2,False)</f>
        <v>531</v>
      </c>
      <c r="C229" s="104" t="str">
        <f>VLOOKUP(B229,'Swiss2 Registry'!$B$2:$C$703,2,False)</f>
        <v>yallen</v>
      </c>
      <c r="D229" s="111" t="str">
        <f t="shared" si="28"/>
        <v/>
      </c>
      <c r="E229" s="112" t="str">
        <f t="shared" si="29"/>
        <v>Act: yallen</v>
      </c>
      <c r="F229" s="107" t="str">
        <f t="shared" si="30"/>
        <v/>
      </c>
      <c r="G229" s="104" t="str">
        <f>VLOOKUP(I229,'Swiss2 Registry'!$B$2:$C$703,2,False)</f>
        <v>ellieofficialvevo</v>
      </c>
      <c r="H229" s="84">
        <f t="shared" si="32"/>
        <v>657</v>
      </c>
      <c r="I229" s="84">
        <f>VLOOKUP(H229,'Swiss2 Registry'!$A$2:$B$703,2,False)</f>
        <v>378</v>
      </c>
      <c r="J229" s="83" t="s">
        <v>1475</v>
      </c>
      <c r="K229" s="108" t="str">
        <f t="array" ref="K229">XLOOKUP(CELL("contents",C229),'Swiss Registry'!$B$2:$B$703,'Swiss Registry'!$N$2:$N$703) </f>
        <v>444702392383176724</v>
      </c>
      <c r="L229" s="109" t="str">
        <f t="array" ref="L229">XLOOKUP(CELL("contents",G229),'Swiss Registry'!$B$2:$B$703,'Swiss Registry'!$N$2:$N$703) </f>
        <v>615996540036841493</v>
      </c>
    </row>
    <row r="230">
      <c r="A230" s="84">
        <f t="shared" si="31"/>
        <v>399</v>
      </c>
      <c r="B230" s="84">
        <f>VLOOKUP(A230,'Swiss2 Registry'!$A$2:$B$703,2,False)</f>
        <v>272</v>
      </c>
      <c r="C230" s="104" t="str">
        <f>VLOOKUP(B230,'Swiss2 Registry'!$B$2:$C$703,2,False)</f>
        <v>lawn1826</v>
      </c>
      <c r="D230" s="105" t="str">
        <f t="shared" si="28"/>
        <v>Game 1</v>
      </c>
      <c r="E230" s="106" t="str">
        <f t="shared" si="29"/>
        <v>Game 2</v>
      </c>
      <c r="F230" s="107" t="str">
        <f t="shared" si="30"/>
        <v/>
      </c>
      <c r="G230" s="104" t="str">
        <f>VLOOKUP(I230,'Swiss2 Registry'!$B$2:$C$703,2,False)</f>
        <v>KingWafl</v>
      </c>
      <c r="H230" s="84">
        <f t="shared" si="32"/>
        <v>656</v>
      </c>
      <c r="I230" s="84">
        <f>VLOOKUP(H230,'Swiss2 Registry'!$A$2:$B$703,2,False)</f>
        <v>667</v>
      </c>
      <c r="J230" s="83" t="s">
        <v>1965</v>
      </c>
      <c r="K230" s="108" t="str">
        <f t="array" ref="K230">XLOOKUP(CELL("contents",C230),'Swiss Registry'!$B$2:$B$703,'Swiss Registry'!$N$2:$N$703) </f>
        <v>249416067099656192</v>
      </c>
      <c r="L230" s="109" t="str">
        <f t="array" ref="L230">XLOOKUP(CELL("contents",G230),'Swiss Registry'!$B$2:$B$703,'Swiss Registry'!$N$2:$N$703) </f>
        <v>298196806171492363</v>
      </c>
    </row>
    <row r="231">
      <c r="A231" s="84">
        <f t="shared" si="31"/>
        <v>400</v>
      </c>
      <c r="B231" s="84">
        <f>VLOOKUP(A231,'Swiss2 Registry'!$A$2:$B$703,2,False)</f>
        <v>672</v>
      </c>
      <c r="C231" s="104" t="str">
        <f>VLOOKUP(B231,'Swiss2 Registry'!$B$2:$C$703,2,False)</f>
        <v>cheerful_dragon_75260</v>
      </c>
      <c r="D231" s="105" t="str">
        <f t="shared" si="28"/>
        <v>Game 1</v>
      </c>
      <c r="E231" s="106" t="str">
        <f t="shared" si="29"/>
        <v>Game 2</v>
      </c>
      <c r="F231" s="110" t="str">
        <f t="shared" si="30"/>
        <v>Game 3</v>
      </c>
      <c r="G231" s="104" t="str">
        <f>VLOOKUP(I231,'Swiss2 Registry'!$B$2:$C$703,2,False)</f>
        <v>inkyno1</v>
      </c>
      <c r="H231" s="84">
        <f t="shared" si="32"/>
        <v>655</v>
      </c>
      <c r="I231" s="84">
        <f>VLOOKUP(H231,'Swiss2 Registry'!$A$2:$B$703,2,False)</f>
        <v>195</v>
      </c>
      <c r="J231" s="83" t="s">
        <v>1966</v>
      </c>
      <c r="K231" s="108" t="str">
        <f t="array" ref="K231">XLOOKUP(CELL("contents",C231),'Swiss Registry'!$B$2:$B$703,'Swiss Registry'!$N$2:$N$703) </f>
        <v>309900516324802560</v>
      </c>
      <c r="L231" s="109" t="str">
        <f t="array" ref="L231">XLOOKUP(CELL("contents",G231),'Swiss Registry'!$B$2:$B$703,'Swiss Registry'!$N$2:$N$703) </f>
        <v>240200903359987713</v>
      </c>
    </row>
    <row r="232">
      <c r="A232" s="84">
        <f t="shared" si="31"/>
        <v>401</v>
      </c>
      <c r="B232" s="84">
        <f>VLOOKUP(A232,'Swiss2 Registry'!$A$2:$B$703,2,False)</f>
        <v>202</v>
      </c>
      <c r="C232" s="104" t="str">
        <f>VLOOKUP(B232,'Swiss2 Registry'!$B$2:$C$703,2,False)</f>
        <v>bergenseren</v>
      </c>
      <c r="D232" s="111" t="str">
        <f t="shared" si="28"/>
        <v/>
      </c>
      <c r="E232" s="112" t="str">
        <f t="shared" si="29"/>
        <v>Act: Antinomy</v>
      </c>
      <c r="F232" s="107" t="str">
        <f t="shared" si="30"/>
        <v/>
      </c>
      <c r="G232" s="104" t="str">
        <f>VLOOKUP(I232,'Swiss2 Registry'!$B$2:$C$703,2,False)</f>
        <v>Antinomy</v>
      </c>
      <c r="H232" s="84">
        <f t="shared" si="32"/>
        <v>654</v>
      </c>
      <c r="I232" s="84">
        <f>VLOOKUP(H232,'Swiss2 Registry'!$A$2:$B$703,2,False)</f>
        <v>458</v>
      </c>
      <c r="J232" s="83" t="s">
        <v>1462</v>
      </c>
      <c r="K232" s="108" t="str">
        <f t="array" ref="K232">XLOOKUP(CELL("contents",C232),'Swiss Registry'!$B$2:$B$703,'Swiss Registry'!$N$2:$N$703) </f>
        <v>219960350546591744</v>
      </c>
      <c r="L232" s="109" t="str">
        <f t="array" ref="L232">XLOOKUP(CELL("contents",G232),'Swiss Registry'!$B$2:$B$703,'Swiss Registry'!$N$2:$N$703) </f>
        <v>85928431623106560</v>
      </c>
    </row>
    <row r="233">
      <c r="A233" s="84">
        <f t="shared" si="31"/>
        <v>402</v>
      </c>
      <c r="B233" s="84">
        <f>VLOOKUP(A233,'Swiss2 Registry'!$A$2:$B$703,2,False)</f>
        <v>353</v>
      </c>
      <c r="C233" s="104" t="str">
        <f>VLOOKUP(B233,'Swiss2 Registry'!$B$2:$C$703,2,False)</f>
        <v>Nunleft</v>
      </c>
      <c r="D233" s="105" t="str">
        <f t="shared" si="28"/>
        <v>Game 1</v>
      </c>
      <c r="E233" s="106" t="str">
        <f t="shared" si="29"/>
        <v>Game 2</v>
      </c>
      <c r="F233" s="107" t="str">
        <f t="shared" si="30"/>
        <v/>
      </c>
      <c r="G233" s="104" t="str">
        <f>VLOOKUP(I233,'Swiss2 Registry'!$B$2:$C$703,2,False)</f>
        <v>wolfturds</v>
      </c>
      <c r="H233" s="84">
        <f t="shared" si="32"/>
        <v>653</v>
      </c>
      <c r="I233" s="84">
        <f>VLOOKUP(H233,'Swiss2 Registry'!$A$2:$B$703,2,False)</f>
        <v>618</v>
      </c>
      <c r="J233" s="83" t="s">
        <v>1967</v>
      </c>
      <c r="K233" s="108" t="str">
        <f t="array" ref="K233">XLOOKUP(CELL("contents",C233),'Swiss Registry'!$B$2:$B$703,'Swiss Registry'!$N$2:$N$703) </f>
        <v>168635669982216192</v>
      </c>
      <c r="L233" s="109" t="str">
        <f t="array" ref="L233">XLOOKUP(CELL("contents",G233),'Swiss Registry'!$B$2:$B$703,'Swiss Registry'!$N$2:$N$703) </f>
        <v>305122620498509824</v>
      </c>
    </row>
    <row r="234">
      <c r="A234" s="84">
        <f t="shared" si="31"/>
        <v>403</v>
      </c>
      <c r="B234" s="84">
        <f>VLOOKUP(A234,'Swiss2 Registry'!$A$2:$B$703,2,False)</f>
        <v>664</v>
      </c>
      <c r="C234" s="104" t="str">
        <f>VLOOKUP(B234,'Swiss2 Registry'!$B$2:$C$703,2,False)</f>
        <v>ChetManley</v>
      </c>
      <c r="D234" s="105" t="str">
        <f t="shared" si="28"/>
        <v>Game 1</v>
      </c>
      <c r="E234" s="106" t="str">
        <f t="shared" si="29"/>
        <v>Game 2</v>
      </c>
      <c r="F234" s="110" t="str">
        <f t="shared" si="30"/>
        <v>Game 3</v>
      </c>
      <c r="G234" s="104" t="str">
        <f>VLOOKUP(I234,'Swiss2 Registry'!$B$2:$C$703,2,False)</f>
        <v>kingkpak#0546</v>
      </c>
      <c r="H234" s="84">
        <f t="shared" si="32"/>
        <v>652</v>
      </c>
      <c r="I234" s="84">
        <f>VLOOKUP(H234,'Swiss2 Registry'!$A$2:$B$703,2,False)</f>
        <v>464</v>
      </c>
      <c r="J234" s="83" t="s">
        <v>1968</v>
      </c>
      <c r="K234" s="108" t="str">
        <f t="array" ref="K234">XLOOKUP(CELL("contents",C234),'Swiss Registry'!$B$2:$B$703,'Swiss Registry'!$N$2:$N$703) </f>
        <v>179698264436768768</v>
      </c>
      <c r="L234" s="109" t="str">
        <f t="array" ref="L234">XLOOKUP(CELL("contents",G234),'Swiss Registry'!$B$2:$B$703,'Swiss Registry'!$N$2:$N$703) </f>
        <v>142466801882759168</v>
      </c>
    </row>
    <row r="235">
      <c r="A235" s="84">
        <f t="shared" si="31"/>
        <v>404</v>
      </c>
      <c r="B235" s="84">
        <f>VLOOKUP(A235,'Swiss2 Registry'!$A$2:$B$703,2,False)</f>
        <v>188</v>
      </c>
      <c r="C235" s="104" t="str">
        <f>VLOOKUP(B235,'Swiss2 Registry'!$B$2:$C$703,2,False)</f>
        <v>Rebatca</v>
      </c>
      <c r="D235" s="105" t="str">
        <f t="shared" si="28"/>
        <v>Game 1</v>
      </c>
      <c r="E235" s="106" t="str">
        <f t="shared" si="29"/>
        <v>Game 2</v>
      </c>
      <c r="F235" s="107" t="str">
        <f t="shared" si="30"/>
        <v/>
      </c>
      <c r="G235" s="104" t="str">
        <f>VLOOKUP(I235,'Swiss2 Registry'!$B$2:$C$703,2,False)</f>
        <v>sprasle</v>
      </c>
      <c r="H235" s="84">
        <f t="shared" si="32"/>
        <v>651</v>
      </c>
      <c r="I235" s="84">
        <f>VLOOKUP(H235,'Swiss2 Registry'!$A$2:$B$703,2,False)</f>
        <v>201</v>
      </c>
      <c r="J235" s="83" t="s">
        <v>1969</v>
      </c>
      <c r="K235" s="108" t="str">
        <f t="array" ref="K235">XLOOKUP(CELL("contents",C235),'Swiss Registry'!$B$2:$B$703,'Swiss Registry'!$N$2:$N$703) </f>
        <v>186748597398667264</v>
      </c>
      <c r="L235" s="109" t="str">
        <f t="array" ref="L235">XLOOKUP(CELL("contents",G235),'Swiss Registry'!$B$2:$B$703,'Swiss Registry'!$N$2:$N$703) </f>
        <v>146822995908755456</v>
      </c>
    </row>
    <row r="236">
      <c r="A236" s="84">
        <f t="shared" si="31"/>
        <v>405</v>
      </c>
      <c r="B236" s="84">
        <f>VLOOKUP(A236,'Swiss2 Registry'!$A$2:$B$703,2,False)</f>
        <v>551</v>
      </c>
      <c r="C236" s="104" t="str">
        <f>VLOOKUP(B236,'Swiss2 Registry'!$B$2:$C$703,2,False)</f>
        <v>Bedal.r</v>
      </c>
      <c r="D236" s="105" t="str">
        <f t="shared" si="28"/>
        <v>Game 1</v>
      </c>
      <c r="E236" s="106" t="str">
        <f t="shared" si="29"/>
        <v>Game 2</v>
      </c>
      <c r="F236" s="107" t="str">
        <f t="shared" si="30"/>
        <v/>
      </c>
      <c r="G236" s="104" t="str">
        <f>VLOOKUP(I236,'Swiss2 Registry'!$B$2:$C$703,2,False)</f>
        <v>swordpeace3232</v>
      </c>
      <c r="H236" s="84">
        <f t="shared" si="32"/>
        <v>650</v>
      </c>
      <c r="I236" s="84">
        <f>VLOOKUP(H236,'Swiss2 Registry'!$A$2:$B$703,2,False)</f>
        <v>582</v>
      </c>
      <c r="J236" s="83" t="s">
        <v>1970</v>
      </c>
      <c r="K236" s="108" t="str">
        <f t="array" ref="K236">XLOOKUP(CELL("contents",C236),'Swiss Registry'!$B$2:$B$703,'Swiss Registry'!$N$2:$N$703) </f>
        <v>420576111848718336</v>
      </c>
      <c r="L236" s="109" t="str">
        <f t="array" ref="L236">XLOOKUP(CELL("contents",G236),'Swiss Registry'!$B$2:$B$703,'Swiss Registry'!$N$2:$N$703) </f>
        <v>578664990714888212</v>
      </c>
    </row>
    <row r="237">
      <c r="A237" s="84">
        <f t="shared" si="31"/>
        <v>406</v>
      </c>
      <c r="B237" s="84">
        <f>VLOOKUP(A237,'Swiss2 Registry'!$A$2:$B$703,2,False)</f>
        <v>645</v>
      </c>
      <c r="C237" s="104" t="str">
        <f>VLOOKUP(B237,'Swiss2 Registry'!$B$2:$C$703,2,False)</f>
        <v>v1ctor23</v>
      </c>
      <c r="D237" s="111" t="str">
        <f t="shared" si="28"/>
        <v/>
      </c>
      <c r="E237" s="112" t="str">
        <f t="shared" si="29"/>
        <v>Act: CraterLake</v>
      </c>
      <c r="F237" s="107" t="str">
        <f t="shared" si="30"/>
        <v/>
      </c>
      <c r="G237" s="104" t="str">
        <f>VLOOKUP(I237,'Swiss2 Registry'!$B$2:$C$703,2,False)</f>
        <v>CraterLake</v>
      </c>
      <c r="H237" s="84">
        <f t="shared" si="32"/>
        <v>649</v>
      </c>
      <c r="I237" s="84">
        <f>VLOOKUP(H237,'Swiss2 Registry'!$A$2:$B$703,2,False)</f>
        <v>545</v>
      </c>
      <c r="J237" s="83" t="s">
        <v>1523</v>
      </c>
      <c r="K237" s="108" t="str">
        <f t="array" ref="K237">XLOOKUP(CELL("contents",C237),'Swiss Registry'!$B$2:$B$703,'Swiss Registry'!$N$2:$N$703) </f>
        <v>803357219600072714</v>
      </c>
      <c r="L237" s="109" t="str">
        <f t="array" ref="L237">XLOOKUP(CELL("contents",G237),'Swiss Registry'!$B$2:$B$703,'Swiss Registry'!$N$2:$N$703) </f>
        <v>147742295389765633</v>
      </c>
    </row>
    <row r="238">
      <c r="A238" s="84">
        <f t="shared" si="31"/>
        <v>407</v>
      </c>
      <c r="B238" s="84">
        <f>VLOOKUP(A238,'Swiss2 Registry'!$A$2:$B$703,2,False)</f>
        <v>638</v>
      </c>
      <c r="C238" s="104" t="str">
        <f>VLOOKUP(B238,'Swiss2 Registry'!$B$2:$C$703,2,False)</f>
        <v>the_app</v>
      </c>
      <c r="D238" s="105" t="str">
        <f t="shared" si="28"/>
        <v>Game 1</v>
      </c>
      <c r="E238" s="106" t="str">
        <f t="shared" si="29"/>
        <v>Game 2</v>
      </c>
      <c r="F238" s="110" t="str">
        <f t="shared" si="30"/>
        <v>Game 3</v>
      </c>
      <c r="G238" s="104" t="str">
        <f>VLOOKUP(I238,'Swiss2 Registry'!$B$2:$C$703,2,False)</f>
        <v>solars_power</v>
      </c>
      <c r="H238" s="84">
        <f t="shared" si="32"/>
        <v>648</v>
      </c>
      <c r="I238" s="84">
        <f>VLOOKUP(H238,'Swiss2 Registry'!$A$2:$B$703,2,False)</f>
        <v>651</v>
      </c>
      <c r="J238" s="83" t="s">
        <v>1971</v>
      </c>
      <c r="K238" s="108" t="str">
        <f t="array" ref="K238">XLOOKUP(CELL("contents",C238),'Swiss Registry'!$B$2:$B$703,'Swiss Registry'!$N$2:$N$703) </f>
        <v>289874645539094529</v>
      </c>
      <c r="L238" s="109" t="str">
        <f t="array" ref="L238">XLOOKUP(CELL("contents",G238),'Swiss Registry'!$B$2:$B$703,'Swiss Registry'!$N$2:$N$703) </f>
        <v>1288501552113254518</v>
      </c>
    </row>
    <row r="239">
      <c r="A239" s="84">
        <f t="shared" si="31"/>
        <v>408</v>
      </c>
      <c r="B239" s="84">
        <f>VLOOKUP(A239,'Swiss2 Registry'!$A$2:$B$703,2,False)</f>
        <v>446</v>
      </c>
      <c r="C239" s="104" t="str">
        <f>VLOOKUP(B239,'Swiss2 Registry'!$B$2:$C$703,2,False)</f>
        <v>MrBluestacks</v>
      </c>
      <c r="D239" s="111" t="str">
        <f t="shared" si="28"/>
        <v/>
      </c>
      <c r="E239" s="112" t="str">
        <f t="shared" si="29"/>
        <v>Act: MrBluestacks</v>
      </c>
      <c r="F239" s="107" t="str">
        <f t="shared" si="30"/>
        <v/>
      </c>
      <c r="G239" s="104" t="str">
        <f>VLOOKUP(I239,'Swiss2 Registry'!$B$2:$C$703,2,False)</f>
        <v>2coinsglued</v>
      </c>
      <c r="H239" s="84">
        <f t="shared" si="32"/>
        <v>647</v>
      </c>
      <c r="I239" s="84">
        <f>VLOOKUP(H239,'Swiss2 Registry'!$A$2:$B$703,2,False)</f>
        <v>209</v>
      </c>
      <c r="J239" s="83" t="s">
        <v>1475</v>
      </c>
      <c r="K239" s="108" t="str">
        <f t="array" ref="K239">XLOOKUP(CELL("contents",C239),'Swiss Registry'!$B$2:$B$703,'Swiss Registry'!$N$2:$N$703) </f>
        <v>225833081435586561</v>
      </c>
      <c r="L239" s="109" t="str">
        <f t="array" ref="L239">XLOOKUP(CELL("contents",G239),'Swiss Registry'!$B$2:$B$703,'Swiss Registry'!$N$2:$N$703) </f>
        <v>SUB</v>
      </c>
    </row>
    <row r="240">
      <c r="A240" s="84">
        <f t="shared" si="31"/>
        <v>409</v>
      </c>
      <c r="B240" s="84">
        <f>VLOOKUP(A240,'Swiss2 Registry'!$A$2:$B$703,2,False)</f>
        <v>617</v>
      </c>
      <c r="C240" s="104" t="str">
        <f>VLOOKUP(B240,'Swiss2 Registry'!$B$2:$C$703,2,False)</f>
        <v>Ktools#9665</v>
      </c>
      <c r="D240" s="111" t="str">
        <f t="shared" si="28"/>
        <v/>
      </c>
      <c r="E240" s="112" t="str">
        <f t="shared" si="29"/>
        <v>Act: Ktools#9665</v>
      </c>
      <c r="F240" s="107" t="str">
        <f t="shared" si="30"/>
        <v/>
      </c>
      <c r="G240" s="104" t="str">
        <f>VLOOKUP(I240,'Swiss2 Registry'!$B$2:$C$703,2,False)</f>
        <v>SUB 4</v>
      </c>
      <c r="H240" s="84">
        <f t="shared" si="32"/>
        <v>646</v>
      </c>
      <c r="I240" s="84">
        <f>VLOOKUP(H240,'Swiss2 Registry'!$A$2:$B$703,2,False)</f>
        <v>565</v>
      </c>
      <c r="J240" s="83" t="s">
        <v>1475</v>
      </c>
      <c r="K240" s="108" t="str">
        <f t="array" ref="K240">XLOOKUP(CELL("contents",C240),'Swiss Registry'!$B$2:$B$703,'Swiss Registry'!$N$2:$N$703) </f>
        <v>225653665149616129</v>
      </c>
      <c r="L240" s="117" t="str">
        <f t="array" ref="L240">XLOOKUP(CELL("contents",G240),'Swiss Registry'!$B$2:$B$703,'Swiss Registry'!$N$2:$N$703) </f>
        <v>SUB</v>
      </c>
    </row>
    <row r="241">
      <c r="A241" s="84">
        <f t="shared" si="31"/>
        <v>410</v>
      </c>
      <c r="B241" s="84">
        <f>VLOOKUP(A241,'Swiss2 Registry'!$A$2:$B$703,2,False)</f>
        <v>653</v>
      </c>
      <c r="C241" s="104" t="str">
        <f>VLOOKUP(B241,'Swiss2 Registry'!$B$2:$C$703,2,False)</f>
        <v>lraven17</v>
      </c>
      <c r="D241" s="105" t="str">
        <f t="shared" si="28"/>
        <v>Game 1</v>
      </c>
      <c r="E241" s="106" t="str">
        <f t="shared" si="29"/>
        <v>Game 2</v>
      </c>
      <c r="F241" s="107" t="str">
        <f t="shared" si="30"/>
        <v/>
      </c>
      <c r="G241" s="104" t="str">
        <f>VLOOKUP(I241,'Swiss2 Registry'!$B$2:$C$703,2,False)</f>
        <v>Salamaster</v>
      </c>
      <c r="H241" s="84">
        <f t="shared" si="32"/>
        <v>645</v>
      </c>
      <c r="I241" s="84">
        <f>VLOOKUP(H241,'Swiss2 Registry'!$A$2:$B$703,2,False)</f>
        <v>669</v>
      </c>
      <c r="J241" s="83" t="s">
        <v>1972</v>
      </c>
      <c r="K241" s="108" t="str">
        <f t="array" ref="K241">XLOOKUP(CELL("contents",C241),'Swiss Registry'!$B$2:$B$703,'Swiss Registry'!$N$2:$N$703) </f>
        <v>888491487254421555</v>
      </c>
      <c r="L241" s="109" t="str">
        <f t="array" ref="L241">XLOOKUP(CELL("contents",G241),'Swiss Registry'!$B$2:$B$703,'Swiss Registry'!$N$2:$N$703) </f>
        <v>188476137071050752</v>
      </c>
    </row>
    <row r="242" ht="15.0" customHeight="1">
      <c r="A242" s="80"/>
      <c r="B242" s="114"/>
      <c r="C242" s="115"/>
      <c r="D242" s="114"/>
      <c r="E242" s="82" t="s">
        <v>1973</v>
      </c>
      <c r="F242" s="81"/>
      <c r="G242" s="81"/>
      <c r="H242" s="81"/>
      <c r="I242" s="81"/>
      <c r="J242" s="81"/>
      <c r="K242" s="116" t="str">
        <f t="array" ref="K242">XLOOKUP(CELL("contents",C242),'Swiss Registry'!$B$2:$B$703,'Swiss Registry'!$N$2:$N$703) </f>
        <v>#N/A</v>
      </c>
      <c r="L242" s="117" t="str">
        <f t="array" ref="L242">XLOOKUP(CELL("contents",G242),'Swiss Registry'!$B$2:$B$703,'Swiss Registry'!$N$2:$N$703) </f>
        <v>#N/A</v>
      </c>
    </row>
    <row r="243">
      <c r="A243" s="84">
        <f>A241+1</f>
        <v>411</v>
      </c>
      <c r="B243" s="84">
        <f>VLOOKUP(A243,'Swiss2 Registry'!$A$2:$B$703,2,False)</f>
        <v>312</v>
      </c>
      <c r="C243" s="104" t="str">
        <f>VLOOKUP(B243,'Swiss2 Registry'!$B$2:$C$703,2,False)</f>
        <v>enkiduofficial</v>
      </c>
      <c r="D243" s="105" t="str">
        <f t="shared" ref="D243:D281" si="33">IF(J243="dead","",IF(J243="a:act","",IF(J243="b:act","",IF(ISURL(HYPERLINK(INDIRECT("Importer!B"&amp;MID(J243,2,4)+1,TRUE))),HYPERLINK(INDIRECT("Importer!B"&amp;MID(J243,2,4)+1,TRUE), "Game 1"),""))))</f>
        <v>Game 1</v>
      </c>
      <c r="E243" s="106" t="str">
        <f>IF(J243="dead","Dead Game",IF(J243="a:act","Act: "&amp;G243,IF(J243="b:act","Act: "&amp;#REF!,IF(ISURL(HYPERLINK(INDIRECT("Importer!B"&amp;MID(J243,6,4)+1,TRUE))),HYPERLINK(INDIRECT("Importer!B"&amp;MID(J243,6,4)+1,TRUE), "Game 2"),""))))</f>
        <v>Game 2</v>
      </c>
      <c r="F243" s="110" t="str">
        <f t="shared" ref="F243:F281" si="34">IF(J243="dead","",IF(J243="a:act","",IF(J243="b:act","",IF(ISURL(HYPERLINK(INDIRECT("Importer!B"&amp;MID(J243,10,4)+1,TRUE))),HYPERLINK(INDIRECT("Importer!B"&amp;MID(J243,10,4)+1,TRUE), "Game 3"),""))))</f>
        <v>Game 3</v>
      </c>
      <c r="G243" s="104" t="str">
        <f>VLOOKUP(I243,'Swiss2 Registry'!$B$2:$C$703,2,False)</f>
        <v>ViciousCricket</v>
      </c>
      <c r="H243" s="84">
        <f>H241-1</f>
        <v>644</v>
      </c>
      <c r="I243" s="84">
        <f>VLOOKUP(H243,'Swiss2 Registry'!$A$2:$B$703,2,False)</f>
        <v>670</v>
      </c>
      <c r="J243" s="83" t="s">
        <v>1974</v>
      </c>
      <c r="K243" s="108" t="str">
        <f t="array" ref="K243">XLOOKUP(CELL("contents",C243),'Swiss Registry'!$B$2:$B$703,'Swiss Registry'!$N$2:$N$703) </f>
        <v>501160456476688389</v>
      </c>
      <c r="L243" s="109" t="str">
        <f t="array" ref="L243">XLOOKUP(CELL("contents",G243),'Swiss Registry'!$B$2:$B$703,'Swiss Registry'!$N$2:$N$703) </f>
        <v>828280967377584128</v>
      </c>
    </row>
    <row r="244">
      <c r="A244" s="84">
        <f t="shared" ref="A244:A281" si="35">A243+1</f>
        <v>412</v>
      </c>
      <c r="B244" s="84">
        <f>VLOOKUP(A244,'Swiss2 Registry'!$A$2:$B$703,2,False)</f>
        <v>605</v>
      </c>
      <c r="C244" s="104" t="str">
        <f>VLOOKUP(B244,'Swiss2 Registry'!$B$2:$C$703,2,False)</f>
        <v>grillking</v>
      </c>
      <c r="D244" s="111" t="str">
        <f t="shared" si="33"/>
        <v/>
      </c>
      <c r="E244" s="112" t="str">
        <f t="shared" ref="E244:E281" si="36">IF(J244="dead","Dead Game",IF(J244="a:act","Act: "&amp;C244,IF(J244="b:act","Act: "&amp;G244,IF(ISURL(HYPERLINK(INDIRECT("Importer!B"&amp;MID(J244,6,4)+1,TRUE))),HYPERLINK(INDIRECT("Importer!B"&amp;MID(J244,6,4)+1,TRUE), "Game 2"),""))))</f>
        <v>Act: grillking</v>
      </c>
      <c r="F244" s="107" t="str">
        <f t="shared" si="34"/>
        <v/>
      </c>
      <c r="G244" s="104" t="str">
        <f>VLOOKUP(I244,'Swiss2 Registry'!$B$2:$C$703,2,False)</f>
        <v>evilartnboy</v>
      </c>
      <c r="H244" s="84">
        <f t="shared" ref="H244:H281" si="37">H243-1</f>
        <v>643</v>
      </c>
      <c r="I244" s="84">
        <f>VLOOKUP(H244,'Swiss2 Registry'!$A$2:$B$703,2,False)</f>
        <v>328</v>
      </c>
      <c r="J244" s="83" t="s">
        <v>1486</v>
      </c>
      <c r="K244" s="108" t="str">
        <f t="array" ref="K244">XLOOKUP(CELL("contents",C244),'Swiss Registry'!$B$2:$B$703,'Swiss Registry'!$N$2:$N$703) </f>
        <v>213514916487757827</v>
      </c>
      <c r="L244" s="109" t="str">
        <f t="array" ref="L244">XLOOKUP(CELL("contents",G244),'Swiss Registry'!$B$2:$B$703,'Swiss Registry'!$N$2:$N$703) </f>
        <v>299338441492135937</v>
      </c>
    </row>
    <row r="245">
      <c r="A245" s="84">
        <f t="shared" si="35"/>
        <v>413</v>
      </c>
      <c r="B245" s="84">
        <f>VLOOKUP(A245,'Swiss2 Registry'!$A$2:$B$703,2,False)</f>
        <v>620</v>
      </c>
      <c r="C245" s="104" t="str">
        <f>VLOOKUP(B245,'Swiss2 Registry'!$B$2:$C$703,2,False)</f>
        <v>Sotina</v>
      </c>
      <c r="D245" s="111" t="str">
        <f t="shared" si="33"/>
        <v/>
      </c>
      <c r="E245" s="112" t="str">
        <f t="shared" si="36"/>
        <v>Act: Greyaz</v>
      </c>
      <c r="F245" s="107" t="str">
        <f t="shared" si="34"/>
        <v/>
      </c>
      <c r="G245" s="104" t="str">
        <f>VLOOKUP(I245,'Swiss2 Registry'!$B$2:$C$703,2,False)</f>
        <v>Greyaz</v>
      </c>
      <c r="H245" s="84">
        <f t="shared" si="37"/>
        <v>642</v>
      </c>
      <c r="I245" s="84">
        <f>VLOOKUP(H245,'Swiss2 Registry'!$A$2:$B$703,2,False)</f>
        <v>684</v>
      </c>
      <c r="J245" s="83" t="s">
        <v>1523</v>
      </c>
      <c r="K245" s="108" t="str">
        <f t="array" ref="K245">XLOOKUP(CELL("contents",C245),'Swiss Registry'!$B$2:$B$703,'Swiss Registry'!$N$2:$N$703) </f>
        <v>252882652347105281</v>
      </c>
      <c r="L245" s="109" t="str">
        <f t="array" ref="L245">XLOOKUP(CELL("contents",G245),'Swiss Registry'!$B$2:$B$703,'Swiss Registry'!$N$2:$N$703) </f>
        <v>267764029538304000</v>
      </c>
    </row>
    <row r="246">
      <c r="A246" s="84">
        <f t="shared" si="35"/>
        <v>414</v>
      </c>
      <c r="B246" s="84">
        <f>VLOOKUP(A246,'Swiss2 Registry'!$A$2:$B$703,2,False)</f>
        <v>529</v>
      </c>
      <c r="C246" s="104" t="str">
        <f>VLOOKUP(B246,'Swiss2 Registry'!$B$2:$C$703,2,False)</f>
        <v>pat2678</v>
      </c>
      <c r="D246" s="105" t="str">
        <f t="shared" si="33"/>
        <v>Game 1</v>
      </c>
      <c r="E246" s="106" t="str">
        <f t="shared" si="36"/>
        <v>Game 2</v>
      </c>
      <c r="F246" s="107" t="str">
        <f t="shared" si="34"/>
        <v/>
      </c>
      <c r="G246" s="104" t="str">
        <f>VLOOKUP(I246,'Swiss2 Registry'!$B$2:$C$703,2,False)</f>
        <v>wonderfulwhiscash</v>
      </c>
      <c r="H246" s="84">
        <f t="shared" si="37"/>
        <v>641</v>
      </c>
      <c r="I246" s="84">
        <f>VLOOKUP(H246,'Swiss2 Registry'!$A$2:$B$703,2,False)</f>
        <v>699</v>
      </c>
      <c r="J246" s="83" t="s">
        <v>1975</v>
      </c>
      <c r="K246" s="108" t="str">
        <f t="array" ref="K246">XLOOKUP(CELL("contents",C246),'Swiss Registry'!$B$2:$B$703,'Swiss Registry'!$N$2:$N$703) </f>
        <v>380589919070060544</v>
      </c>
      <c r="L246" s="109" t="str">
        <f t="array" ref="L246">XLOOKUP(CELL("contents",G246),'Swiss Registry'!$B$2:$B$703,'Swiss Registry'!$N$2:$N$703) </f>
        <v>1073864488266256424</v>
      </c>
    </row>
    <row r="247">
      <c r="A247" s="84">
        <f t="shared" si="35"/>
        <v>415</v>
      </c>
      <c r="B247" s="84">
        <f>VLOOKUP(A247,'Swiss2 Registry'!$A$2:$B$703,2,False)</f>
        <v>691</v>
      </c>
      <c r="C247" s="104" t="str">
        <f>VLOOKUP(B247,'Swiss2 Registry'!$B$2:$C$703,2,False)</f>
        <v>aldrichunfaithful</v>
      </c>
      <c r="D247" s="105" t="str">
        <f t="shared" si="33"/>
        <v>Game 1</v>
      </c>
      <c r="E247" s="106" t="str">
        <f t="shared" si="36"/>
        <v>Game 2</v>
      </c>
      <c r="F247" s="110" t="str">
        <f t="shared" si="34"/>
        <v>Game 3</v>
      </c>
      <c r="G247" s="104" t="str">
        <f>VLOOKUP(I247,'Swiss2 Registry'!$B$2:$C$703,2,False)</f>
        <v>.aj2.0</v>
      </c>
      <c r="H247" s="84">
        <f t="shared" si="37"/>
        <v>640</v>
      </c>
      <c r="I247" s="84">
        <f>VLOOKUP(H247,'Swiss2 Registry'!$A$2:$B$703,2,False)</f>
        <v>451</v>
      </c>
      <c r="J247" s="83" t="s">
        <v>1976</v>
      </c>
      <c r="K247" s="108" t="str">
        <f t="array" ref="K247">XLOOKUP(CELL("contents",C247),'Swiss Registry'!$B$2:$B$703,'Swiss Registry'!$N$2:$N$703) </f>
        <v>743954201222053955</v>
      </c>
      <c r="L247" s="109" t="str">
        <f t="array" ref="L247">XLOOKUP(CELL("contents",G247),'Swiss Registry'!$B$2:$B$703,'Swiss Registry'!$N$2:$N$703) </f>
        <v>736549979220607107</v>
      </c>
    </row>
    <row r="248">
      <c r="A248" s="84">
        <f t="shared" si="35"/>
        <v>416</v>
      </c>
      <c r="B248" s="84">
        <f>VLOOKUP(A248,'Swiss2 Registry'!$A$2:$B$703,2,False)</f>
        <v>659</v>
      </c>
      <c r="C248" s="104" t="str">
        <f>VLOOKUP(B248,'Swiss2 Registry'!$B$2:$C$703,2,False)</f>
        <v>romeugoat._25355</v>
      </c>
      <c r="D248" s="111" t="str">
        <f t="shared" si="33"/>
        <v/>
      </c>
      <c r="E248" s="112" t="str">
        <f t="shared" si="36"/>
        <v>Act: papajefe</v>
      </c>
      <c r="F248" s="107" t="str">
        <f t="shared" si="34"/>
        <v/>
      </c>
      <c r="G248" s="104" t="str">
        <f>VLOOKUP(I248,'Swiss2 Registry'!$B$2:$C$703,2,False)</f>
        <v>papajefe</v>
      </c>
      <c r="H248" s="84">
        <f t="shared" si="37"/>
        <v>639</v>
      </c>
      <c r="I248" s="84">
        <f>VLOOKUP(H248,'Swiss2 Registry'!$A$2:$B$703,2,False)</f>
        <v>335</v>
      </c>
      <c r="J248" s="83" t="s">
        <v>1523</v>
      </c>
      <c r="K248" s="108" t="str">
        <f t="array" ref="K248">XLOOKUP(CELL("contents",C248),'Swiss Registry'!$B$2:$B$703,'Swiss Registry'!$N$2:$N$703) </f>
        <v>1258422832770191392</v>
      </c>
      <c r="L248" s="109" t="str">
        <f t="array" ref="L248">XLOOKUP(CELL("contents",G248),'Swiss Registry'!$B$2:$B$703,'Swiss Registry'!$N$2:$N$703) </f>
        <v>124733623705272323</v>
      </c>
    </row>
    <row r="249">
      <c r="A249" s="84">
        <f t="shared" si="35"/>
        <v>417</v>
      </c>
      <c r="B249" s="84">
        <f>VLOOKUP(A249,'Swiss2 Registry'!$A$2:$B$703,2,False)</f>
        <v>488</v>
      </c>
      <c r="C249" s="104" t="str">
        <f>VLOOKUP(B249,'Swiss2 Registry'!$B$2:$C$703,2,False)</f>
        <v>lemann8184</v>
      </c>
      <c r="D249" s="105" t="str">
        <f t="shared" si="33"/>
        <v>Game 1</v>
      </c>
      <c r="E249" s="106" t="str">
        <f t="shared" si="36"/>
        <v>Game 2</v>
      </c>
      <c r="F249" s="107" t="str">
        <f t="shared" si="34"/>
        <v/>
      </c>
      <c r="G249" s="104" t="str">
        <f>VLOOKUP(I249,'Swiss2 Registry'!$B$2:$C$703,2,False)</f>
        <v>shadowinger</v>
      </c>
      <c r="H249" s="84">
        <f t="shared" si="37"/>
        <v>638</v>
      </c>
      <c r="I249" s="84">
        <f>VLOOKUP(H249,'Swiss2 Registry'!$A$2:$B$703,2,False)</f>
        <v>151</v>
      </c>
      <c r="J249" s="83" t="s">
        <v>1977</v>
      </c>
      <c r="K249" s="108" t="str">
        <f t="array" ref="K249">XLOOKUP(CELL("contents",C249),'Swiss Registry'!$B$2:$B$703,'Swiss Registry'!$N$2:$N$703) </f>
        <v>475717768117747714</v>
      </c>
      <c r="L249" s="109" t="str">
        <f t="array" ref="L249">XLOOKUP(CELL("contents",G249),'Swiss Registry'!$B$2:$B$703,'Swiss Registry'!$N$2:$N$703) </f>
        <v>417742328602820608</v>
      </c>
    </row>
    <row r="250">
      <c r="A250" s="84">
        <f t="shared" si="35"/>
        <v>418</v>
      </c>
      <c r="B250" s="84">
        <f>VLOOKUP(A250,'Swiss2 Registry'!$A$2:$B$703,2,False)</f>
        <v>491</v>
      </c>
      <c r="C250" s="104" t="str">
        <f>VLOOKUP(B250,'Swiss2 Registry'!$B$2:$C$703,2,False)</f>
        <v>SUB 8</v>
      </c>
      <c r="D250" s="111" t="str">
        <f t="shared" si="33"/>
        <v/>
      </c>
      <c r="E250" s="112" t="str">
        <f t="shared" si="36"/>
        <v>Act: @aevitostrath or Timehacker Aevitos</v>
      </c>
      <c r="F250" s="107" t="str">
        <f t="shared" si="34"/>
        <v/>
      </c>
      <c r="G250" s="104" t="str">
        <f>VLOOKUP(I250,'Swiss2 Registry'!$B$2:$C$703,2,False)</f>
        <v>@aevitostrath or Timehacker Aevitos</v>
      </c>
      <c r="H250" s="84">
        <f t="shared" si="37"/>
        <v>637</v>
      </c>
      <c r="I250" s="84">
        <f>VLOOKUP(H250,'Swiss2 Registry'!$A$2:$B$703,2,False)</f>
        <v>459</v>
      </c>
      <c r="J250" s="83" t="s">
        <v>1523</v>
      </c>
      <c r="K250" s="116" t="str">
        <f t="array" ref="K250">XLOOKUP(CELL("contents",C250),'Swiss Registry'!$B$2:$B$703,'Swiss Registry'!$N$2:$N$703) </f>
        <v>SUB</v>
      </c>
      <c r="L250" s="109" t="str">
        <f t="array" ref="L250">XLOOKUP(CELL("contents",G250),'Swiss Registry'!$B$2:$B$703,'Swiss Registry'!$N$2:$N$703) </f>
        <v>1024789648263893047</v>
      </c>
    </row>
    <row r="251">
      <c r="A251" s="84">
        <f t="shared" si="35"/>
        <v>419</v>
      </c>
      <c r="B251" s="84">
        <f>VLOOKUP(A251,'Swiss2 Registry'!$A$2:$B$703,2,False)</f>
        <v>407</v>
      </c>
      <c r="C251" s="104" t="str">
        <f>VLOOKUP(B251,'Swiss2 Registry'!$B$2:$C$703,2,False)</f>
        <v>.turkeyleg</v>
      </c>
      <c r="D251" s="105" t="str">
        <f t="shared" si="33"/>
        <v>Game 1</v>
      </c>
      <c r="E251" s="106" t="str">
        <f t="shared" si="36"/>
        <v>Game 2</v>
      </c>
      <c r="F251" s="107" t="str">
        <f t="shared" si="34"/>
        <v/>
      </c>
      <c r="G251" s="104" t="str">
        <f>VLOOKUP(I251,'Swiss2 Registry'!$B$2:$C$703,2,False)</f>
        <v>perogee</v>
      </c>
      <c r="H251" s="84">
        <f t="shared" si="37"/>
        <v>636</v>
      </c>
      <c r="I251" s="84">
        <f>VLOOKUP(H251,'Swiss2 Registry'!$A$2:$B$703,2,False)</f>
        <v>634</v>
      </c>
      <c r="J251" s="83" t="s">
        <v>1978</v>
      </c>
      <c r="K251" s="108" t="str">
        <f t="array" ref="K251">XLOOKUP(CELL("contents",C251),'Swiss Registry'!$B$2:$B$703,'Swiss Registry'!$N$2:$N$703) </f>
        <v>457524456177401858</v>
      </c>
      <c r="L251" s="109" t="str">
        <f t="array" ref="L251">XLOOKUP(CELL("contents",G251),'Swiss Registry'!$B$2:$B$703,'Swiss Registry'!$N$2:$N$703) </f>
        <v>196443684068261897</v>
      </c>
    </row>
    <row r="252">
      <c r="A252" s="84">
        <f t="shared" si="35"/>
        <v>420</v>
      </c>
      <c r="B252" s="84">
        <f>VLOOKUP(A252,'Swiss2 Registry'!$A$2:$B$703,2,False)</f>
        <v>535</v>
      </c>
      <c r="C252" s="104" t="str">
        <f>VLOOKUP(B252,'Swiss2 Registry'!$B$2:$C$703,2,False)</f>
        <v>scootymcbooty123</v>
      </c>
      <c r="D252" s="105" t="str">
        <f t="shared" si="33"/>
        <v>Game 1</v>
      </c>
      <c r="E252" s="106" t="str">
        <f t="shared" si="36"/>
        <v>Game 2</v>
      </c>
      <c r="F252" s="107" t="str">
        <f t="shared" si="34"/>
        <v/>
      </c>
      <c r="G252" s="104" t="str">
        <f>VLOOKUP(I252,'Swiss2 Registry'!$B$2:$C$703,2,False)</f>
        <v>tsuki.no.miko</v>
      </c>
      <c r="H252" s="84">
        <f t="shared" si="37"/>
        <v>635</v>
      </c>
      <c r="I252" s="84">
        <f>VLOOKUP(H252,'Swiss2 Registry'!$A$2:$B$703,2,False)</f>
        <v>626</v>
      </c>
      <c r="J252" s="83" t="s">
        <v>1979</v>
      </c>
      <c r="K252" s="108" t="str">
        <f t="array" ref="K252">XLOOKUP(CELL("contents",C252),'Swiss Registry'!$B$2:$B$703,'Swiss Registry'!$N$2:$N$703) </f>
        <v>1016157273816584242</v>
      </c>
      <c r="L252" s="109" t="str">
        <f t="array" ref="L252">XLOOKUP(CELL("contents",G252),'Swiss Registry'!$B$2:$B$703,'Swiss Registry'!$N$2:$N$703) </f>
        <v>285250442479403010</v>
      </c>
    </row>
    <row r="253">
      <c r="A253" s="84">
        <f t="shared" si="35"/>
        <v>421</v>
      </c>
      <c r="B253" s="84">
        <f>VLOOKUP(A253,'Swiss2 Registry'!$A$2:$B$703,2,False)</f>
        <v>217</v>
      </c>
      <c r="C253" s="104" t="str">
        <f>VLOOKUP(B253,'Swiss2 Registry'!$B$2:$C$703,2,False)</f>
        <v>kebinsan</v>
      </c>
      <c r="D253" s="105" t="str">
        <f t="shared" si="33"/>
        <v>Game 1</v>
      </c>
      <c r="E253" s="106" t="str">
        <f t="shared" si="36"/>
        <v>Game 2</v>
      </c>
      <c r="F253" s="107" t="str">
        <f t="shared" si="34"/>
        <v/>
      </c>
      <c r="G253" s="104" t="str">
        <f>VLOOKUP(I253,'Swiss2 Registry'!$B$2:$C$703,2,False)</f>
        <v>bugthatlovesfish</v>
      </c>
      <c r="H253" s="84">
        <f t="shared" si="37"/>
        <v>634</v>
      </c>
      <c r="I253" s="84">
        <f>VLOOKUP(H253,'Swiss2 Registry'!$A$2:$B$703,2,False)</f>
        <v>697</v>
      </c>
      <c r="J253" s="83" t="s">
        <v>1980</v>
      </c>
      <c r="K253" s="108" t="str">
        <f t="array" ref="K253">XLOOKUP(CELL("contents",C253),'Swiss Registry'!$B$2:$B$703,'Swiss Registry'!$N$2:$N$703) </f>
        <v>161516689433952256</v>
      </c>
      <c r="L253" s="109" t="str">
        <f t="array" ref="L253">XLOOKUP(CELL("contents",G253),'Swiss Registry'!$B$2:$B$703,'Swiss Registry'!$N$2:$N$703) </f>
        <v>248102672555704322</v>
      </c>
    </row>
    <row r="254">
      <c r="A254" s="84">
        <f t="shared" si="35"/>
        <v>422</v>
      </c>
      <c r="B254" s="84">
        <f>VLOOKUP(A254,'Swiss2 Registry'!$A$2:$B$703,2,False)</f>
        <v>619</v>
      </c>
      <c r="C254" s="104" t="str">
        <f>VLOOKUP(B254,'Swiss2 Registry'!$B$2:$C$703,2,False)</f>
        <v>kinou_pkm</v>
      </c>
      <c r="D254" s="105" t="str">
        <f t="shared" si="33"/>
        <v>Game 1</v>
      </c>
      <c r="E254" s="106" t="str">
        <f t="shared" si="36"/>
        <v>Game 2</v>
      </c>
      <c r="F254" s="110" t="str">
        <f t="shared" si="34"/>
        <v>Game 3</v>
      </c>
      <c r="G254" s="104" t="str">
        <f>VLOOKUP(I254,'Swiss2 Registry'!$B$2:$C$703,2,False)</f>
        <v>DeathbyDunsparce</v>
      </c>
      <c r="H254" s="84">
        <f t="shared" si="37"/>
        <v>633</v>
      </c>
      <c r="I254" s="84">
        <f>VLOOKUP(H254,'Swiss2 Registry'!$A$2:$B$703,2,False)</f>
        <v>646</v>
      </c>
      <c r="J254" s="83" t="s">
        <v>1981</v>
      </c>
      <c r="K254" s="108" t="str">
        <f t="array" ref="K254">XLOOKUP(CELL("contents",C254),'Swiss Registry'!$B$2:$B$703,'Swiss Registry'!$N$2:$N$703) </f>
        <v>760122389345337405</v>
      </c>
      <c r="L254" s="109" t="str">
        <f t="array" ref="L254">XLOOKUP(CELL("contents",G254),'Swiss Registry'!$B$2:$B$703,'Swiss Registry'!$N$2:$N$703) </f>
        <v>313084425498001409</v>
      </c>
    </row>
    <row r="255">
      <c r="A255" s="84">
        <f t="shared" si="35"/>
        <v>423</v>
      </c>
      <c r="B255" s="84">
        <f>VLOOKUP(A255,'Swiss2 Registry'!$A$2:$B$703,2,False)</f>
        <v>219</v>
      </c>
      <c r="C255" s="104" t="str">
        <f>VLOOKUP(B255,'Swiss2 Registry'!$B$2:$C$703,2,False)</f>
        <v>girlevader</v>
      </c>
      <c r="D255" s="111" t="str">
        <f t="shared" si="33"/>
        <v/>
      </c>
      <c r="E255" s="112" t="str">
        <f t="shared" si="36"/>
        <v>Act: girlevader</v>
      </c>
      <c r="F255" s="107" t="str">
        <f t="shared" si="34"/>
        <v/>
      </c>
      <c r="G255" s="104" t="str">
        <f>VLOOKUP(I255,'Swiss2 Registry'!$B$2:$C$703,2,False)</f>
        <v>rizzarroflame</v>
      </c>
      <c r="H255" s="84">
        <f t="shared" si="37"/>
        <v>632</v>
      </c>
      <c r="I255" s="84">
        <f>VLOOKUP(H255,'Swiss2 Registry'!$A$2:$B$703,2,False)</f>
        <v>493</v>
      </c>
      <c r="J255" s="83" t="s">
        <v>1486</v>
      </c>
      <c r="K255" s="108" t="str">
        <f t="array" ref="K255">XLOOKUP(CELL("contents",C255),'Swiss Registry'!$B$2:$B$703,'Swiss Registry'!$N$2:$N$703) </f>
        <v>1100068954283724900</v>
      </c>
      <c r="L255" s="109" t="str">
        <f t="array" ref="L255">XLOOKUP(CELL("contents",G255),'Swiss Registry'!$B$2:$B$703,'Swiss Registry'!$N$2:$N$703) </f>
        <v>252382699904303104</v>
      </c>
    </row>
    <row r="256">
      <c r="A256" s="84">
        <f t="shared" si="35"/>
        <v>424</v>
      </c>
      <c r="B256" s="84">
        <f>VLOOKUP(A256,'Swiss2 Registry'!$A$2:$B$703,2,False)</f>
        <v>324</v>
      </c>
      <c r="C256" s="104" t="str">
        <f>VLOOKUP(B256,'Swiss2 Registry'!$B$2:$C$703,2,False)</f>
        <v>theamazingeevee</v>
      </c>
      <c r="D256" s="105" t="str">
        <f t="shared" si="33"/>
        <v>Game 1</v>
      </c>
      <c r="E256" s="106" t="str">
        <f t="shared" si="36"/>
        <v>Game 2</v>
      </c>
      <c r="F256" s="110" t="str">
        <f t="shared" si="34"/>
        <v>Game 3</v>
      </c>
      <c r="G256" s="104" t="str">
        <f>VLOOKUP(I256,'Swiss2 Registry'!$B$2:$C$703,2,False)</f>
        <v>tavi_tavi</v>
      </c>
      <c r="H256" s="84">
        <f t="shared" si="37"/>
        <v>631</v>
      </c>
      <c r="I256" s="84">
        <f>VLOOKUP(H256,'Swiss2 Registry'!$A$2:$B$703,2,False)</f>
        <v>251</v>
      </c>
      <c r="J256" s="83" t="s">
        <v>1982</v>
      </c>
      <c r="K256" s="108" t="str">
        <f t="array" ref="K256">XLOOKUP(CELL("contents",C256),'Swiss Registry'!$B$2:$B$703,'Swiss Registry'!$N$2:$N$703) </f>
        <v>101148936957366272</v>
      </c>
      <c r="L256" s="109" t="str">
        <f t="array" ref="L256">XLOOKUP(CELL("contents",G256),'Swiss Registry'!$B$2:$B$703,'Swiss Registry'!$N$2:$N$703) </f>
        <v>332692132143824896</v>
      </c>
    </row>
    <row r="257">
      <c r="A257" s="84">
        <f t="shared" si="35"/>
        <v>425</v>
      </c>
      <c r="B257" s="84">
        <f>VLOOKUP(A257,'Swiss2 Registry'!$A$2:$B$703,2,False)</f>
        <v>116</v>
      </c>
      <c r="C257" s="104" t="str">
        <f>VLOOKUP(B257,'Swiss2 Registry'!$B$2:$C$703,2,False)</f>
        <v>viel06</v>
      </c>
      <c r="D257" s="105" t="str">
        <f t="shared" si="33"/>
        <v>Game 1</v>
      </c>
      <c r="E257" s="106" t="str">
        <f t="shared" si="36"/>
        <v>Game 2</v>
      </c>
      <c r="F257" s="107" t="str">
        <f t="shared" si="34"/>
        <v/>
      </c>
      <c r="G257" s="104" t="str">
        <f>VLOOKUP(I257,'Swiss2 Registry'!$B$2:$C$703,2,False)</f>
        <v>Colby2D</v>
      </c>
      <c r="H257" s="84">
        <f t="shared" si="37"/>
        <v>630</v>
      </c>
      <c r="I257" s="84">
        <f>VLOOKUP(H257,'Swiss2 Registry'!$A$2:$B$703,2,False)</f>
        <v>476</v>
      </c>
      <c r="J257" s="83" t="s">
        <v>1983</v>
      </c>
      <c r="K257" s="108" t="str">
        <f t="array" ref="K257">XLOOKUP(CELL("contents",C257),'Swiss Registry'!$B$2:$B$703,'Swiss Registry'!$N$2:$N$703) </f>
        <v>462758066685870080</v>
      </c>
      <c r="L257" s="109" t="str">
        <f t="array" ref="L257">XLOOKUP(CELL("contents",G257),'Swiss Registry'!$B$2:$B$703,'Swiss Registry'!$N$2:$N$703) </f>
        <v>255541617597874176</v>
      </c>
    </row>
    <row r="258">
      <c r="A258" s="84">
        <f t="shared" si="35"/>
        <v>426</v>
      </c>
      <c r="B258" s="84">
        <f>VLOOKUP(A258,'Swiss2 Registry'!$A$2:$B$703,2,False)</f>
        <v>169</v>
      </c>
      <c r="C258" s="104" t="str">
        <f>VLOOKUP(B258,'Swiss2 Registry'!$B$2:$C$703,2,False)</f>
        <v>kvistsivk</v>
      </c>
      <c r="D258" s="105" t="str">
        <f t="shared" si="33"/>
        <v>Game 1</v>
      </c>
      <c r="E258" s="106" t="str">
        <f t="shared" si="36"/>
        <v>Game 2</v>
      </c>
      <c r="F258" s="107" t="str">
        <f t="shared" si="34"/>
        <v/>
      </c>
      <c r="G258" s="104" t="str">
        <f>VLOOKUP(I258,'Swiss2 Registry'!$B$2:$C$703,2,False)</f>
        <v>GroundBack</v>
      </c>
      <c r="H258" s="84">
        <f t="shared" si="37"/>
        <v>629</v>
      </c>
      <c r="I258" s="84">
        <f>VLOOKUP(H258,'Swiss2 Registry'!$A$2:$B$703,2,False)</f>
        <v>656</v>
      </c>
      <c r="J258" s="83" t="s">
        <v>1984</v>
      </c>
      <c r="K258" s="108" t="str">
        <f t="array" ref="K258">XLOOKUP(CELL("contents",C258),'Swiss Registry'!$B$2:$B$703,'Swiss Registry'!$N$2:$N$703) </f>
        <v>1168036455071875245</v>
      </c>
      <c r="L258" s="109" t="str">
        <f t="array" ref="L258">XLOOKUP(CELL("contents",G258),'Swiss Registry'!$B$2:$B$703,'Swiss Registry'!$N$2:$N$703) </f>
        <v>433831408243441666</v>
      </c>
    </row>
    <row r="259">
      <c r="A259" s="84">
        <f t="shared" si="35"/>
        <v>427</v>
      </c>
      <c r="B259" s="84">
        <f>VLOOKUP(A259,'Swiss2 Registry'!$A$2:$B$703,2,False)</f>
        <v>109</v>
      </c>
      <c r="C259" s="104" t="str">
        <f>VLOOKUP(B259,'Swiss2 Registry'!$B$2:$C$703,2,False)</f>
        <v>Gthorpe1993</v>
      </c>
      <c r="D259" s="105" t="str">
        <f t="shared" si="33"/>
        <v>Game 1</v>
      </c>
      <c r="E259" s="106" t="str">
        <f t="shared" si="36"/>
        <v>Game 2</v>
      </c>
      <c r="F259" s="107" t="str">
        <f t="shared" si="34"/>
        <v/>
      </c>
      <c r="G259" s="104" t="str">
        <f>VLOOKUP(I259,'Swiss2 Registry'!$B$2:$C$703,2,False)</f>
        <v>justbestlevels</v>
      </c>
      <c r="H259" s="84">
        <f t="shared" si="37"/>
        <v>628</v>
      </c>
      <c r="I259" s="84">
        <f>VLOOKUP(H259,'Swiss2 Registry'!$A$2:$B$703,2,False)</f>
        <v>687</v>
      </c>
      <c r="J259" s="83" t="s">
        <v>1985</v>
      </c>
      <c r="K259" s="108" t="str">
        <f t="array" ref="K259">XLOOKUP(CELL("contents",C259),'Swiss Registry'!$B$2:$B$703,'Swiss Registry'!$N$2:$N$703) </f>
        <v>1156599439226572913</v>
      </c>
      <c r="L259" s="109" t="str">
        <f t="array" ref="L259">XLOOKUP(CELL("contents",G259),'Swiss Registry'!$B$2:$B$703,'Swiss Registry'!$N$2:$N$703) </f>
        <v>1266216530601971775</v>
      </c>
    </row>
    <row r="260">
      <c r="A260" s="84">
        <f t="shared" si="35"/>
        <v>428</v>
      </c>
      <c r="B260" s="84">
        <f>VLOOKUP(A260,'Swiss2 Registry'!$A$2:$B$703,2,False)</f>
        <v>607</v>
      </c>
      <c r="C260" s="104" t="str">
        <f>VLOOKUP(B260,'Swiss2 Registry'!$B$2:$C$703,2,False)</f>
        <v>@xlimexheep</v>
      </c>
      <c r="D260" s="105" t="str">
        <f t="shared" si="33"/>
        <v>Game 1</v>
      </c>
      <c r="E260" s="106" t="str">
        <f t="shared" si="36"/>
        <v>Game 2</v>
      </c>
      <c r="F260" s="107" t="str">
        <f t="shared" si="34"/>
        <v/>
      </c>
      <c r="G260" s="104" t="str">
        <f>VLOOKUP(I260,'Swiss2 Registry'!$B$2:$C$703,2,False)</f>
        <v>BlerpDerpSkerp</v>
      </c>
      <c r="H260" s="84">
        <f t="shared" si="37"/>
        <v>627</v>
      </c>
      <c r="I260" s="84">
        <f>VLOOKUP(H260,'Swiss2 Registry'!$A$2:$B$703,2,False)</f>
        <v>496</v>
      </c>
      <c r="J260" s="83" t="s">
        <v>1986</v>
      </c>
      <c r="K260" s="108" t="str">
        <f t="array" ref="K260">XLOOKUP(CELL("contents",C260),'Swiss Registry'!$B$2:$B$703,'Swiss Registry'!$N$2:$N$703) </f>
        <v>172204426302324736</v>
      </c>
      <c r="L260" s="109" t="str">
        <f t="array" ref="L260">XLOOKUP(CELL("contents",G260),'Swiss Registry'!$B$2:$B$703,'Swiss Registry'!$N$2:$N$703) </f>
        <v>821778881463451659</v>
      </c>
    </row>
    <row r="261">
      <c r="A261" s="84">
        <f t="shared" si="35"/>
        <v>429</v>
      </c>
      <c r="B261" s="84">
        <f>VLOOKUP(A261,'Swiss2 Registry'!$A$2:$B$703,2,False)</f>
        <v>344</v>
      </c>
      <c r="C261" s="104" t="str">
        <f>VLOOKUP(B261,'Swiss2 Registry'!$B$2:$C$703,2,False)</f>
        <v>Samnyg</v>
      </c>
      <c r="D261" s="105" t="str">
        <f t="shared" si="33"/>
        <v>Game 1</v>
      </c>
      <c r="E261" s="106" t="str">
        <f t="shared" si="36"/>
        <v>Game 2</v>
      </c>
      <c r="F261" s="110" t="str">
        <f t="shared" si="34"/>
        <v>Game 3</v>
      </c>
      <c r="G261" s="104" t="str">
        <f>VLOOKUP(I261,'Swiss2 Registry'!$B$2:$C$703,2,False)</f>
        <v>elysyr</v>
      </c>
      <c r="H261" s="84">
        <f t="shared" si="37"/>
        <v>626</v>
      </c>
      <c r="I261" s="84">
        <f>VLOOKUP(H261,'Swiss2 Registry'!$A$2:$B$703,2,False)</f>
        <v>519</v>
      </c>
      <c r="J261" s="83" t="s">
        <v>1987</v>
      </c>
      <c r="K261" s="108" t="str">
        <f t="array" ref="K261">XLOOKUP(CELL("contents",C261),'Swiss Registry'!$B$2:$B$703,'Swiss Registry'!$N$2:$N$703) </f>
        <v>1024088105533317191</v>
      </c>
      <c r="L261" s="109" t="str">
        <f t="array" ref="L261">XLOOKUP(CELL("contents",G261),'Swiss Registry'!$B$2:$B$703,'Swiss Registry'!$N$2:$N$703) </f>
        <v>1252241314897068095</v>
      </c>
    </row>
    <row r="262">
      <c r="A262" s="84">
        <f t="shared" si="35"/>
        <v>430</v>
      </c>
      <c r="B262" s="84">
        <f>VLOOKUP(A262,'Swiss2 Registry'!$A$2:$B$703,2,False)</f>
        <v>362</v>
      </c>
      <c r="C262" s="104" t="str">
        <f>VLOOKUP(B262,'Swiss2 Registry'!$B$2:$C$703,2,False)</f>
        <v>James67</v>
      </c>
      <c r="D262" s="105" t="str">
        <f t="shared" si="33"/>
        <v>Game 1</v>
      </c>
      <c r="E262" s="106" t="str">
        <f t="shared" si="36"/>
        <v>Game 2</v>
      </c>
      <c r="F262" s="107" t="str">
        <f t="shared" si="34"/>
        <v/>
      </c>
      <c r="G262" s="104" t="str">
        <f>VLOOKUP(I262,'Swiss2 Registry'!$B$2:$C$703,2,False)</f>
        <v>Kenava</v>
      </c>
      <c r="H262" s="84">
        <f t="shared" si="37"/>
        <v>625</v>
      </c>
      <c r="I262" s="84">
        <f>VLOOKUP(H262,'Swiss2 Registry'!$A$2:$B$703,2,False)</f>
        <v>198</v>
      </c>
      <c r="J262" s="83" t="s">
        <v>1988</v>
      </c>
      <c r="K262" s="108" t="str">
        <f t="array" ref="K262">XLOOKUP(CELL("contents",C262),'Swiss Registry'!$B$2:$B$703,'Swiss Registry'!$N$2:$N$703) </f>
        <v>349259766528344076</v>
      </c>
      <c r="L262" s="109" t="str">
        <f t="array" ref="L262">XLOOKUP(CELL("contents",G262),'Swiss Registry'!$B$2:$B$703,'Swiss Registry'!$N$2:$N$703) </f>
        <v>727218490024394774</v>
      </c>
    </row>
    <row r="263">
      <c r="A263" s="84">
        <f t="shared" si="35"/>
        <v>431</v>
      </c>
      <c r="B263" s="84">
        <f>VLOOKUP(A263,'Swiss2 Registry'!$A$2:$B$703,2,False)</f>
        <v>660</v>
      </c>
      <c r="C263" s="104" t="str">
        <f>VLOOKUP(B263,'Swiss2 Registry'!$B$2:$C$703,2,False)</f>
        <v>sapphire918</v>
      </c>
      <c r="D263" s="111" t="str">
        <f t="shared" si="33"/>
        <v/>
      </c>
      <c r="E263" s="112" t="str">
        <f t="shared" si="36"/>
        <v>Act: sapphire918</v>
      </c>
      <c r="F263" s="107" t="str">
        <f t="shared" si="34"/>
        <v/>
      </c>
      <c r="G263" s="104" t="str">
        <f>VLOOKUP(I263,'Swiss2 Registry'!$B$2:$C$703,2,False)</f>
        <v>SUB 12</v>
      </c>
      <c r="H263" s="84">
        <f t="shared" si="37"/>
        <v>624</v>
      </c>
      <c r="I263" s="84">
        <f>VLOOKUP(H263,'Swiss2 Registry'!$A$2:$B$703,2,False)</f>
        <v>306</v>
      </c>
      <c r="J263" s="83" t="s">
        <v>1486</v>
      </c>
      <c r="K263" s="108" t="str">
        <f t="array" ref="K263">XLOOKUP(CELL("contents",C263),'Swiss Registry'!$B$2:$B$703,'Swiss Registry'!$N$2:$N$703) </f>
        <v>247172567494819840</v>
      </c>
      <c r="L263" s="117" t="str">
        <f t="array" ref="L263">XLOOKUP(CELL("contents",G263),'Swiss Registry'!$B$2:$B$703,'Swiss Registry'!$N$2:$N$703) </f>
        <v>SUB</v>
      </c>
    </row>
    <row r="264">
      <c r="A264" s="84">
        <f t="shared" si="35"/>
        <v>432</v>
      </c>
      <c r="B264" s="84">
        <f>VLOOKUP(A264,'Swiss2 Registry'!$A$2:$B$703,2,False)</f>
        <v>665</v>
      </c>
      <c r="C264" s="104" t="str">
        <f>VLOOKUP(B264,'Swiss2 Registry'!$B$2:$C$703,2,False)</f>
        <v>Ale8150</v>
      </c>
      <c r="D264" s="105" t="str">
        <f t="shared" si="33"/>
        <v>Game 1</v>
      </c>
      <c r="E264" s="106" t="str">
        <f t="shared" si="36"/>
        <v>Game 2</v>
      </c>
      <c r="F264" s="107" t="str">
        <f t="shared" si="34"/>
        <v/>
      </c>
      <c r="G264" s="104" t="str">
        <f>VLOOKUP(I264,'Swiss2 Registry'!$B$2:$C$703,2,False)</f>
        <v>cow3492</v>
      </c>
      <c r="H264" s="84">
        <f t="shared" si="37"/>
        <v>623</v>
      </c>
      <c r="I264" s="84">
        <f>VLOOKUP(H264,'Swiss2 Registry'!$A$2:$B$703,2,False)</f>
        <v>623</v>
      </c>
      <c r="J264" s="83" t="s">
        <v>1989</v>
      </c>
      <c r="K264" s="108" t="str">
        <f t="array" ref="K264">XLOOKUP(CELL("contents",C264),'Swiss Registry'!$B$2:$B$703,'Swiss Registry'!$N$2:$N$703) </f>
        <v>534764907887984641</v>
      </c>
      <c r="L264" s="109" t="str">
        <f t="array" ref="L264">XLOOKUP(CELL("contents",G264),'Swiss Registry'!$B$2:$B$703,'Swiss Registry'!$N$2:$N$703) </f>
        <v>709052801598357585</v>
      </c>
    </row>
    <row r="265">
      <c r="A265" s="84">
        <f t="shared" si="35"/>
        <v>433</v>
      </c>
      <c r="B265" s="84">
        <f>VLOOKUP(A265,'Swiss2 Registry'!$A$2:$B$703,2,False)</f>
        <v>310</v>
      </c>
      <c r="C265" s="104" t="str">
        <f>VLOOKUP(B265,'Swiss2 Registry'!$B$2:$C$703,2,False)</f>
        <v>tanao</v>
      </c>
      <c r="D265" s="105" t="str">
        <f t="shared" si="33"/>
        <v>Game 1</v>
      </c>
      <c r="E265" s="106" t="str">
        <f t="shared" si="36"/>
        <v>Game 2</v>
      </c>
      <c r="F265" s="110" t="str">
        <f t="shared" si="34"/>
        <v>Game 3</v>
      </c>
      <c r="G265" s="104" t="str">
        <f>VLOOKUP(I265,'Swiss2 Registry'!$B$2:$C$703,2,False)</f>
        <v>FISH (gypsytea)</v>
      </c>
      <c r="H265" s="84">
        <f t="shared" si="37"/>
        <v>622</v>
      </c>
      <c r="I265" s="84">
        <f>VLOOKUP(H265,'Swiss2 Registry'!$A$2:$B$703,2,False)</f>
        <v>577</v>
      </c>
      <c r="J265" s="83" t="s">
        <v>1990</v>
      </c>
      <c r="K265" s="108" t="str">
        <f t="array" ref="K265">XLOOKUP(CELL("contents",C265),'Swiss Registry'!$B$2:$B$703,'Swiss Registry'!$N$2:$N$703) </f>
        <v>136404228787798017</v>
      </c>
      <c r="L265" s="109" t="str">
        <f t="array" ref="L265">XLOOKUP(CELL("contents",G265),'Swiss Registry'!$B$2:$B$703,'Swiss Registry'!$N$2:$N$703) </f>
        <v>1074009502556360836</v>
      </c>
    </row>
    <row r="266">
      <c r="A266" s="84">
        <f t="shared" si="35"/>
        <v>434</v>
      </c>
      <c r="B266" s="84">
        <f>VLOOKUP(A266,'Swiss2 Registry'!$A$2:$B$703,2,False)</f>
        <v>370</v>
      </c>
      <c r="C266" s="104" t="str">
        <f>VLOOKUP(B266,'Swiss2 Registry'!$B$2:$C$703,2,False)</f>
        <v>Baptista</v>
      </c>
      <c r="D266" s="105" t="str">
        <f t="shared" si="33"/>
        <v>Game 1</v>
      </c>
      <c r="E266" s="106" t="str">
        <f t="shared" si="36"/>
        <v>Game 2</v>
      </c>
      <c r="F266" s="107" t="str">
        <f t="shared" si="34"/>
        <v/>
      </c>
      <c r="G266" s="104" t="str">
        <f>VLOOKUP(I266,'Swiss2 Registry'!$B$2:$C$703,2,False)</f>
        <v>Ezcrime</v>
      </c>
      <c r="H266" s="84">
        <f t="shared" si="37"/>
        <v>621</v>
      </c>
      <c r="I266" s="84">
        <f>VLOOKUP(H266,'Swiss2 Registry'!$A$2:$B$703,2,False)</f>
        <v>681</v>
      </c>
      <c r="J266" s="83" t="s">
        <v>1991</v>
      </c>
      <c r="K266" s="108" t="str">
        <f t="array" ref="K266">XLOOKUP(CELL("contents",C266),'Swiss Registry'!$B$2:$B$703,'Swiss Registry'!$N$2:$N$703) </f>
        <v>344223527399981069</v>
      </c>
      <c r="L266" s="109" t="str">
        <f t="array" ref="L266">XLOOKUP(CELL("contents",G266),'Swiss Registry'!$B$2:$B$703,'Swiss Registry'!$N$2:$N$703) </f>
        <v>855540512782155823</v>
      </c>
    </row>
    <row r="267">
      <c r="A267" s="84">
        <f t="shared" si="35"/>
        <v>435</v>
      </c>
      <c r="B267" s="84">
        <f>VLOOKUP(A267,'Swiss2 Registry'!$A$2:$B$703,2,False)</f>
        <v>463</v>
      </c>
      <c r="C267" s="104" t="str">
        <f>VLOOKUP(B267,'Swiss2 Registry'!$B$2:$C$703,2,False)</f>
        <v>thegreatest23</v>
      </c>
      <c r="D267" s="105" t="str">
        <f t="shared" si="33"/>
        <v>Game 1</v>
      </c>
      <c r="E267" s="106" t="str">
        <f t="shared" si="36"/>
        <v>Game 2</v>
      </c>
      <c r="F267" s="107" t="str">
        <f t="shared" si="34"/>
        <v/>
      </c>
      <c r="G267" s="104" t="str">
        <f>VLOOKUP(I267,'Swiss2 Registry'!$B$2:$C$703,2,False)</f>
        <v>berkyderky</v>
      </c>
      <c r="H267" s="84">
        <f t="shared" si="37"/>
        <v>620</v>
      </c>
      <c r="I267" s="84">
        <f>VLOOKUP(H267,'Swiss2 Registry'!$A$2:$B$703,2,False)</f>
        <v>470</v>
      </c>
      <c r="J267" s="83" t="s">
        <v>1992</v>
      </c>
      <c r="K267" s="108" t="str">
        <f t="array" ref="K267">XLOOKUP(CELL("contents",C267),'Swiss Registry'!$B$2:$B$703,'Swiss Registry'!$N$2:$N$703) </f>
        <v>477886359105961995</v>
      </c>
      <c r="L267" s="109" t="str">
        <f t="array" ref="L267">XLOOKUP(CELL("contents",G267),'Swiss Registry'!$B$2:$B$703,'Swiss Registry'!$N$2:$N$703) </f>
        <v>175687108864901121</v>
      </c>
    </row>
    <row r="268">
      <c r="A268" s="84">
        <f t="shared" si="35"/>
        <v>436</v>
      </c>
      <c r="B268" s="84">
        <f>VLOOKUP(A268,'Swiss2 Registry'!$A$2:$B$703,2,False)</f>
        <v>332</v>
      </c>
      <c r="C268" s="104" t="str">
        <f>VLOOKUP(B268,'Swiss2 Registry'!$B$2:$C$703,2,False)</f>
        <v>SUB 26</v>
      </c>
      <c r="D268" s="105" t="str">
        <f t="shared" si="33"/>
        <v>Game 1</v>
      </c>
      <c r="E268" s="106" t="str">
        <f t="shared" si="36"/>
        <v>Game 2</v>
      </c>
      <c r="F268" s="107" t="str">
        <f t="shared" si="34"/>
        <v/>
      </c>
      <c r="G268" s="104" t="str">
        <f>VLOOKUP(I268,'Swiss2 Registry'!$B$2:$C$703,2,False)</f>
        <v>Stuckkkk</v>
      </c>
      <c r="H268" s="84">
        <f t="shared" si="37"/>
        <v>619</v>
      </c>
      <c r="I268" s="84">
        <f>VLOOKUP(H268,'Swiss2 Registry'!$A$2:$B$703,2,False)</f>
        <v>648</v>
      </c>
      <c r="J268" s="83" t="s">
        <v>1993</v>
      </c>
      <c r="K268" s="108" t="str">
        <f t="array" ref="K268">XLOOKUP(CELL("contents",C268),'Swiss Registry'!$B$2:$B$703,'Swiss Registry'!$N$2:$N$703) </f>
        <v>SUB</v>
      </c>
      <c r="L268" s="109" t="str">
        <f t="array" ref="L268">XLOOKUP(CELL("contents",G268),'Swiss Registry'!$B$2:$B$703,'Swiss Registry'!$N$2:$N$703) </f>
        <v>321430793153019924</v>
      </c>
    </row>
    <row r="269">
      <c r="A269" s="84">
        <f t="shared" si="35"/>
        <v>437</v>
      </c>
      <c r="B269" s="84">
        <f>VLOOKUP(A269,'Swiss2 Registry'!$A$2:$B$703,2,False)</f>
        <v>465</v>
      </c>
      <c r="C269" s="104" t="str">
        <f>VLOOKUP(B269,'Swiss2 Registry'!$B$2:$C$703,2,False)</f>
        <v>Moneybaggslowbro</v>
      </c>
      <c r="D269" s="111" t="str">
        <f t="shared" si="33"/>
        <v/>
      </c>
      <c r="E269" s="112" t="str">
        <f t="shared" si="36"/>
        <v>Act: Moneybaggslowbro</v>
      </c>
      <c r="F269" s="107" t="str">
        <f t="shared" si="34"/>
        <v/>
      </c>
      <c r="G269" s="104" t="str">
        <f>VLOOKUP(I269,'Swiss2 Registry'!$B$2:$C$703,2,False)</f>
        <v>giantking20</v>
      </c>
      <c r="H269" s="84">
        <f t="shared" si="37"/>
        <v>618</v>
      </c>
      <c r="I269" s="84">
        <f>VLOOKUP(H269,'Swiss2 Registry'!$A$2:$B$703,2,False)</f>
        <v>615</v>
      </c>
      <c r="J269" s="83" t="s">
        <v>1486</v>
      </c>
      <c r="K269" s="108" t="str">
        <f t="array" ref="K269">XLOOKUP(CELL("contents",C269),'Swiss Registry'!$B$2:$B$703,'Swiss Registry'!$N$2:$N$703) </f>
        <v>284366067126632448</v>
      </c>
      <c r="L269" s="109" t="str">
        <f t="array" ref="L269">XLOOKUP(CELL("contents",G269),'Swiss Registry'!$B$2:$B$703,'Swiss Registry'!$N$2:$N$703) </f>
        <v>611974176751747105</v>
      </c>
    </row>
    <row r="270">
      <c r="A270" s="84">
        <f t="shared" si="35"/>
        <v>438</v>
      </c>
      <c r="B270" s="84">
        <f>VLOOKUP(A270,'Swiss2 Registry'!$A$2:$B$703,2,False)</f>
        <v>167</v>
      </c>
      <c r="C270" s="104" t="str">
        <f>VLOOKUP(B270,'Swiss2 Registry'!$B$2:$C$703,2,False)</f>
        <v>kylemckell</v>
      </c>
      <c r="D270" s="105" t="str">
        <f t="shared" si="33"/>
        <v>Game 1</v>
      </c>
      <c r="E270" s="106" t="str">
        <f t="shared" si="36"/>
        <v>Game 2</v>
      </c>
      <c r="F270" s="110" t="str">
        <f t="shared" si="34"/>
        <v>Game 3</v>
      </c>
      <c r="G270" s="104" t="str">
        <f>VLOOKUP(I270,'Swiss2 Registry'!$B$2:$C$703,2,False)</f>
        <v>avongarde_ult</v>
      </c>
      <c r="H270" s="84">
        <f t="shared" si="37"/>
        <v>617</v>
      </c>
      <c r="I270" s="84">
        <f>VLOOKUP(H270,'Swiss2 Registry'!$A$2:$B$703,2,False)</f>
        <v>537</v>
      </c>
      <c r="J270" s="83" t="s">
        <v>1994</v>
      </c>
      <c r="K270" s="108" t="str">
        <f t="array" ref="K270">XLOOKUP(CELL("contents",C270),'Swiss Registry'!$B$2:$B$703,'Swiss Registry'!$N$2:$N$703) </f>
        <v>147505520025141248</v>
      </c>
      <c r="L270" s="109" t="str">
        <f t="array" ref="L270">XLOOKUP(CELL("contents",G270),'Swiss Registry'!$B$2:$B$703,'Swiss Registry'!$N$2:$N$703) </f>
        <v>194425839222390785</v>
      </c>
    </row>
    <row r="271">
      <c r="A271" s="84">
        <f t="shared" si="35"/>
        <v>439</v>
      </c>
      <c r="B271" s="84">
        <f>VLOOKUP(A271,'Swiss2 Registry'!$A$2:$B$703,2,False)</f>
        <v>521</v>
      </c>
      <c r="C271" s="104" t="str">
        <f>VLOOKUP(B271,'Swiss2 Registry'!$B$2:$C$703,2,False)</f>
        <v>Grain_Jar</v>
      </c>
      <c r="D271" s="105" t="str">
        <f t="shared" si="33"/>
        <v>Game 1</v>
      </c>
      <c r="E271" s="106" t="str">
        <f t="shared" si="36"/>
        <v>Game 2</v>
      </c>
      <c r="F271" s="107" t="str">
        <f t="shared" si="34"/>
        <v/>
      </c>
      <c r="G271" s="104" t="str">
        <f>VLOOKUP(I271,'Swiss2 Registry'!$B$2:$C$703,2,False)</f>
        <v>Peppeppeia</v>
      </c>
      <c r="H271" s="84">
        <f t="shared" si="37"/>
        <v>616</v>
      </c>
      <c r="I271" s="84">
        <f>VLOOKUP(H271,'Swiss2 Registry'!$A$2:$B$703,2,False)</f>
        <v>520</v>
      </c>
      <c r="J271" s="83" t="s">
        <v>1995</v>
      </c>
      <c r="K271" s="108" t="str">
        <f t="array" ref="K271">XLOOKUP(CELL("contents",C271),'Swiss Registry'!$B$2:$B$703,'Swiss Registry'!$N$2:$N$703) </f>
        <v>348920220192210955</v>
      </c>
      <c r="L271" s="109" t="str">
        <f t="array" ref="L271">XLOOKUP(CELL("contents",G271),'Swiss Registry'!$B$2:$B$703,'Swiss Registry'!$N$2:$N$703) </f>
        <v>222619348668383242</v>
      </c>
    </row>
    <row r="272">
      <c r="A272" s="84">
        <f t="shared" si="35"/>
        <v>440</v>
      </c>
      <c r="B272" s="84">
        <f>VLOOKUP(A272,'Swiss2 Registry'!$A$2:$B$703,2,False)</f>
        <v>511</v>
      </c>
      <c r="C272" s="104" t="str">
        <f>VLOOKUP(B272,'Swiss2 Registry'!$B$2:$C$703,2,False)</f>
        <v>dfr2248</v>
      </c>
      <c r="D272" s="105" t="str">
        <f t="shared" si="33"/>
        <v>Game 1</v>
      </c>
      <c r="E272" s="106" t="str">
        <f t="shared" si="36"/>
        <v>Game 2</v>
      </c>
      <c r="F272" s="107" t="str">
        <f t="shared" si="34"/>
        <v/>
      </c>
      <c r="G272" s="104" t="str">
        <f>VLOOKUP(I272,'Swiss2 Registry'!$B$2:$C$703,2,False)</f>
        <v>loffelbiskuit</v>
      </c>
      <c r="H272" s="84">
        <f t="shared" si="37"/>
        <v>615</v>
      </c>
      <c r="I272" s="84">
        <f>VLOOKUP(H272,'Swiss2 Registry'!$A$2:$B$703,2,False)</f>
        <v>592</v>
      </c>
      <c r="J272" s="83" t="s">
        <v>1996</v>
      </c>
      <c r="K272" s="108" t="str">
        <f t="array" ref="K272">XLOOKUP(CELL("contents",C272),'Swiss Registry'!$B$2:$B$703,'Swiss Registry'!$N$2:$N$703) </f>
        <v>1067809125418934324</v>
      </c>
      <c r="L272" s="109" t="str">
        <f t="array" ref="L272">XLOOKUP(CELL("contents",G272),'Swiss Registry'!$B$2:$B$703,'Swiss Registry'!$N$2:$N$703) </f>
        <v>850393740366577665</v>
      </c>
    </row>
    <row r="273">
      <c r="A273" s="84">
        <f t="shared" si="35"/>
        <v>441</v>
      </c>
      <c r="B273" s="84">
        <f>VLOOKUP(A273,'Swiss2 Registry'!$A$2:$B$703,2,False)</f>
        <v>579</v>
      </c>
      <c r="C273" s="104" t="str">
        <f>VLOOKUP(B273,'Swiss2 Registry'!$B$2:$C$703,2,False)</f>
        <v>Drby</v>
      </c>
      <c r="D273" s="105" t="str">
        <f t="shared" si="33"/>
        <v>Game 1</v>
      </c>
      <c r="E273" s="106" t="str">
        <f t="shared" si="36"/>
        <v>Game 2</v>
      </c>
      <c r="F273" s="110" t="str">
        <f t="shared" si="34"/>
        <v>Game 3</v>
      </c>
      <c r="G273" s="104" t="str">
        <f>VLOOKUP(I273,'Swiss2 Registry'!$B$2:$C$703,2,False)</f>
        <v>MenaCicada</v>
      </c>
      <c r="H273" s="84">
        <f t="shared" si="37"/>
        <v>614</v>
      </c>
      <c r="I273" s="84">
        <f>VLOOKUP(H273,'Swiss2 Registry'!$A$2:$B$703,2,False)</f>
        <v>649</v>
      </c>
      <c r="J273" s="83" t="s">
        <v>1997</v>
      </c>
      <c r="K273" s="108" t="str">
        <f t="array" ref="K273">XLOOKUP(CELL("contents",C273),'Swiss Registry'!$B$2:$B$703,'Swiss Registry'!$N$2:$N$703) </f>
        <v>246760558680997888</v>
      </c>
      <c r="L273" s="109" t="str">
        <f t="array" ref="L273">XLOOKUP(CELL("contents",G273),'Swiss Registry'!$B$2:$B$703,'Swiss Registry'!$N$2:$N$703) </f>
        <v>533411497616080896</v>
      </c>
    </row>
    <row r="274">
      <c r="A274" s="84">
        <f t="shared" si="35"/>
        <v>442</v>
      </c>
      <c r="B274" s="84">
        <f>VLOOKUP(A274,'Swiss2 Registry'!$A$2:$B$703,2,False)</f>
        <v>256</v>
      </c>
      <c r="C274" s="104" t="str">
        <f>VLOOKUP(B274,'Swiss2 Registry'!$B$2:$C$703,2,False)</f>
        <v>bdicap</v>
      </c>
      <c r="D274" s="111" t="str">
        <f t="shared" si="33"/>
        <v/>
      </c>
      <c r="E274" s="112" t="str">
        <f t="shared" si="36"/>
        <v>Act: Daeronchick</v>
      </c>
      <c r="F274" s="107" t="str">
        <f t="shared" si="34"/>
        <v/>
      </c>
      <c r="G274" s="104" t="str">
        <f>VLOOKUP(I274,'Swiss2 Registry'!$B$2:$C$703,2,False)</f>
        <v>Daeronchick</v>
      </c>
      <c r="H274" s="84">
        <f t="shared" si="37"/>
        <v>613</v>
      </c>
      <c r="I274" s="84">
        <f>VLOOKUP(H274,'Swiss2 Registry'!$A$2:$B$703,2,False)</f>
        <v>421</v>
      </c>
      <c r="J274" s="83" t="s">
        <v>1523</v>
      </c>
      <c r="K274" s="108" t="str">
        <f t="array" ref="K274">XLOOKUP(CELL("contents",C274),'Swiss Registry'!$B$2:$B$703,'Swiss Registry'!$N$2:$N$703) </f>
        <v>503269288249917460</v>
      </c>
      <c r="L274" s="109" t="str">
        <f t="array" ref="L274">XLOOKUP(CELL("contents",G274),'Swiss Registry'!$B$2:$B$703,'Swiss Registry'!$N$2:$N$703) </f>
        <v>409376335505522690</v>
      </c>
    </row>
    <row r="275">
      <c r="A275" s="84">
        <f t="shared" si="35"/>
        <v>443</v>
      </c>
      <c r="B275" s="84">
        <f>VLOOKUP(A275,'Swiss2 Registry'!$A$2:$B$703,2,False)</f>
        <v>374</v>
      </c>
      <c r="C275" s="104" t="str">
        <f>VLOOKUP(B275,'Swiss2 Registry'!$B$2:$C$703,2,False)</f>
        <v>SUB 13</v>
      </c>
      <c r="D275" s="111" t="str">
        <f t="shared" si="33"/>
        <v/>
      </c>
      <c r="E275" s="112" t="str">
        <f t="shared" si="36"/>
        <v>Act: roofb</v>
      </c>
      <c r="F275" s="107" t="str">
        <f t="shared" si="34"/>
        <v/>
      </c>
      <c r="G275" s="104" t="str">
        <f>VLOOKUP(I275,'Swiss2 Registry'!$B$2:$C$703,2,False)</f>
        <v>roofb</v>
      </c>
      <c r="H275" s="84">
        <f t="shared" si="37"/>
        <v>612</v>
      </c>
      <c r="I275" s="84">
        <f>VLOOKUP(H275,'Swiss2 Registry'!$A$2:$B$703,2,False)</f>
        <v>358</v>
      </c>
      <c r="J275" s="83" t="s">
        <v>1523</v>
      </c>
      <c r="K275" s="116" t="str">
        <f t="array" ref="K275">XLOOKUP(CELL("contents",C275),'Swiss Registry'!$B$2:$B$703,'Swiss Registry'!$N$2:$N$703) </f>
        <v>SUB</v>
      </c>
      <c r="L275" s="109" t="str">
        <f t="array" ref="L275">XLOOKUP(CELL("contents",G275),'Swiss Registry'!$B$2:$B$703,'Swiss Registry'!$N$2:$N$703) </f>
        <v>SUB</v>
      </c>
    </row>
    <row r="276">
      <c r="A276" s="84">
        <f t="shared" si="35"/>
        <v>444</v>
      </c>
      <c r="B276" s="84">
        <f>VLOOKUP(A276,'Swiss2 Registry'!$A$2:$B$703,2,False)</f>
        <v>228</v>
      </c>
      <c r="C276" s="104" t="str">
        <f>VLOOKUP(B276,'Swiss2 Registry'!$B$2:$C$703,2,False)</f>
        <v>kewta</v>
      </c>
      <c r="D276" s="105" t="str">
        <f t="shared" si="33"/>
        <v>Game 1</v>
      </c>
      <c r="E276" s="106" t="str">
        <f t="shared" si="36"/>
        <v>Game 2</v>
      </c>
      <c r="F276" s="107" t="str">
        <f t="shared" si="34"/>
        <v/>
      </c>
      <c r="G276" s="104" t="str">
        <f>VLOOKUP(I276,'Swiss2 Registry'!$B$2:$C$703,2,False)</f>
        <v>charku</v>
      </c>
      <c r="H276" s="84">
        <f t="shared" si="37"/>
        <v>611</v>
      </c>
      <c r="I276" s="84">
        <f>VLOOKUP(H276,'Swiss2 Registry'!$A$2:$B$703,2,False)</f>
        <v>263</v>
      </c>
      <c r="J276" s="83" t="s">
        <v>1998</v>
      </c>
      <c r="K276" s="108" t="str">
        <f t="array" ref="K276">XLOOKUP(CELL("contents",C276),'Swiss Registry'!$B$2:$B$703,'Swiss Registry'!$N$2:$N$703) </f>
        <v>214076469641478144</v>
      </c>
      <c r="L276" s="109" t="str">
        <f t="array" ref="L276">XLOOKUP(CELL("contents",G276),'Swiss Registry'!$B$2:$B$703,'Swiss Registry'!$N$2:$N$703) </f>
        <v>492288203596759042</v>
      </c>
    </row>
    <row r="277">
      <c r="A277" s="84">
        <f t="shared" si="35"/>
        <v>445</v>
      </c>
      <c r="B277" s="84">
        <f>VLOOKUP(A277,'Swiss2 Registry'!$A$2:$B$703,2,False)</f>
        <v>292</v>
      </c>
      <c r="C277" s="104" t="str">
        <f>VLOOKUP(B277,'Swiss2 Registry'!$B$2:$C$703,2,False)</f>
        <v>clinkbug</v>
      </c>
      <c r="D277" s="105" t="str">
        <f t="shared" si="33"/>
        <v>Game 1</v>
      </c>
      <c r="E277" s="106" t="str">
        <f t="shared" si="36"/>
        <v>Game 2</v>
      </c>
      <c r="F277" s="110" t="str">
        <f t="shared" si="34"/>
        <v>Game 3</v>
      </c>
      <c r="G277" s="104" t="str">
        <f>VLOOKUP(I277,'Swiss2 Registry'!$B$2:$C$703,2,False)</f>
        <v>chad.lagos</v>
      </c>
      <c r="H277" s="84">
        <f t="shared" si="37"/>
        <v>610</v>
      </c>
      <c r="I277" s="84">
        <f>VLOOKUP(H277,'Swiss2 Registry'!$A$2:$B$703,2,False)</f>
        <v>315</v>
      </c>
      <c r="J277" s="83" t="s">
        <v>1999</v>
      </c>
      <c r="K277" s="108" t="str">
        <f t="array" ref="K277">XLOOKUP(CELL("contents",C277),'Swiss Registry'!$B$2:$B$703,'Swiss Registry'!$N$2:$N$703) </f>
        <v>803823426427027496</v>
      </c>
      <c r="L277" s="109" t="str">
        <f t="array" ref="L277">XLOOKUP(CELL("contents",G277),'Swiss Registry'!$B$2:$B$703,'Swiss Registry'!$N$2:$N$703) </f>
        <v>688935874020638730</v>
      </c>
    </row>
    <row r="278">
      <c r="A278" s="84">
        <f t="shared" si="35"/>
        <v>446</v>
      </c>
      <c r="B278" s="84">
        <f>VLOOKUP(A278,'Swiss2 Registry'!$A$2:$B$703,2,False)</f>
        <v>287</v>
      </c>
      <c r="C278" s="104" t="str">
        <f>VLOOKUP(B278,'Swiss2 Registry'!$B$2:$C$703,2,False)</f>
        <v>green.9082</v>
      </c>
      <c r="D278" s="111" t="str">
        <f t="shared" si="33"/>
        <v/>
      </c>
      <c r="E278" s="112" t="str">
        <f t="shared" si="36"/>
        <v>Act: SpeccyGames</v>
      </c>
      <c r="F278" s="107" t="str">
        <f t="shared" si="34"/>
        <v/>
      </c>
      <c r="G278" s="104" t="str">
        <f>VLOOKUP(I278,'Swiss2 Registry'!$B$2:$C$703,2,False)</f>
        <v>SpeccyGames</v>
      </c>
      <c r="H278" s="84">
        <f t="shared" si="37"/>
        <v>609</v>
      </c>
      <c r="I278" s="84">
        <f>VLOOKUP(H278,'Swiss2 Registry'!$A$2:$B$703,2,False)</f>
        <v>214</v>
      </c>
      <c r="J278" s="83" t="s">
        <v>1523</v>
      </c>
      <c r="K278" s="108" t="str">
        <f t="array" ref="K278">XLOOKUP(CELL("contents",C278),'Swiss Registry'!$B$2:$B$703,'Swiss Registry'!$N$2:$N$703) </f>
        <v>627563478973939723</v>
      </c>
      <c r="L278" s="109" t="str">
        <f t="array" ref="L278">XLOOKUP(CELL("contents",G278),'Swiss Registry'!$B$2:$B$703,'Swiss Registry'!$N$2:$N$703) </f>
        <v>228257509809455104</v>
      </c>
    </row>
    <row r="279">
      <c r="A279" s="84">
        <f t="shared" si="35"/>
        <v>447</v>
      </c>
      <c r="B279" s="84">
        <f>VLOOKUP(A279,'Swiss2 Registry'!$A$2:$B$703,2,False)</f>
        <v>242</v>
      </c>
      <c r="C279" s="104" t="str">
        <f>VLOOKUP(B279,'Swiss2 Registry'!$B$2:$C$703,2,False)</f>
        <v>le_penseur</v>
      </c>
      <c r="D279" s="111" t="str">
        <f t="shared" si="33"/>
        <v/>
      </c>
      <c r="E279" s="112" t="str">
        <f t="shared" si="36"/>
        <v>Act: dragonlord6954</v>
      </c>
      <c r="F279" s="107" t="str">
        <f t="shared" si="34"/>
        <v/>
      </c>
      <c r="G279" s="104" t="str">
        <f>VLOOKUP(I279,'Swiss2 Registry'!$B$2:$C$703,2,False)</f>
        <v>dragonlord6954</v>
      </c>
      <c r="H279" s="84">
        <f t="shared" si="37"/>
        <v>608</v>
      </c>
      <c r="I279" s="84">
        <f>VLOOKUP(H279,'Swiss2 Registry'!$A$2:$B$703,2,False)</f>
        <v>400</v>
      </c>
      <c r="J279" s="83" t="s">
        <v>1523</v>
      </c>
      <c r="K279" s="108" t="str">
        <f t="array" ref="K279">XLOOKUP(CELL("contents",C279),'Swiss Registry'!$B$2:$B$703,'Swiss Registry'!$N$2:$N$703) </f>
        <v>221628271257845760</v>
      </c>
      <c r="L279" s="109" t="str">
        <f t="array" ref="L279">XLOOKUP(CELL("contents",G279),'Swiss Registry'!$B$2:$B$703,'Swiss Registry'!$N$2:$N$703) </f>
        <v>1071049773546733670</v>
      </c>
    </row>
    <row r="280">
      <c r="A280" s="84">
        <f t="shared" si="35"/>
        <v>448</v>
      </c>
      <c r="B280" s="84">
        <f>VLOOKUP(A280,'Swiss2 Registry'!$A$2:$B$703,2,False)</f>
        <v>553</v>
      </c>
      <c r="C280" s="104" t="str">
        <f>VLOOKUP(B280,'Swiss2 Registry'!$B$2:$C$703,2,False)</f>
        <v>jheff97</v>
      </c>
      <c r="D280" s="105" t="str">
        <f t="shared" si="33"/>
        <v>Game 1</v>
      </c>
      <c r="E280" s="106" t="str">
        <f t="shared" si="36"/>
        <v>Game 2</v>
      </c>
      <c r="F280" s="107" t="str">
        <f t="shared" si="34"/>
        <v/>
      </c>
      <c r="G280" s="104" t="str">
        <f>VLOOKUP(I280,'Swiss2 Registry'!$B$2:$C$703,2,False)</f>
        <v>diegoyuhhi</v>
      </c>
      <c r="H280" s="84">
        <f t="shared" si="37"/>
        <v>607</v>
      </c>
      <c r="I280" s="84">
        <f>VLOOKUP(H280,'Swiss2 Registry'!$A$2:$B$703,2,False)</f>
        <v>117</v>
      </c>
      <c r="J280" s="83" t="s">
        <v>2000</v>
      </c>
      <c r="K280" s="108" t="str">
        <f t="array" ref="K280">XLOOKUP(CELL("contents",C280),'Swiss Registry'!$B$2:$B$703,'Swiss Registry'!$N$2:$N$703) </f>
        <v>598994740465369098</v>
      </c>
      <c r="L280" s="109" t="str">
        <f t="array" ref="L280">XLOOKUP(CELL("contents",G280),'Swiss Registry'!$B$2:$B$703,'Swiss Registry'!$N$2:$N$703) </f>
        <v>533729841275600906</v>
      </c>
    </row>
    <row r="281">
      <c r="A281" s="84">
        <f t="shared" si="35"/>
        <v>449</v>
      </c>
      <c r="B281" s="84">
        <f>VLOOKUP(A281,'Swiss2 Registry'!$A$2:$B$703,2,False)</f>
        <v>654</v>
      </c>
      <c r="C281" s="104" t="str">
        <f>VLOOKUP(B281,'Swiss2 Registry'!$B$2:$C$703,2,False)</f>
        <v>krungus_01138</v>
      </c>
      <c r="D281" s="105" t="str">
        <f t="shared" si="33"/>
        <v>Game 1</v>
      </c>
      <c r="E281" s="106" t="str">
        <f t="shared" si="36"/>
        <v>Game 2</v>
      </c>
      <c r="F281" s="110" t="str">
        <f t="shared" si="34"/>
        <v>Game 3</v>
      </c>
      <c r="G281" s="104" t="str">
        <f>VLOOKUP(I281,'Swiss2 Registry'!$B$2:$C$703,2,False)</f>
        <v>irrelevantone</v>
      </c>
      <c r="H281" s="84">
        <f t="shared" si="37"/>
        <v>606</v>
      </c>
      <c r="I281" s="84">
        <f>VLOOKUP(H281,'Swiss2 Registry'!$A$2:$B$703,2,False)</f>
        <v>689</v>
      </c>
      <c r="J281" s="83" t="s">
        <v>2001</v>
      </c>
      <c r="K281" s="108" t="str">
        <f t="array" ref="K281">XLOOKUP(CELL("contents",C281),'Swiss Registry'!$B$2:$B$703,'Swiss Registry'!$N$2:$N$703) </f>
        <v>1281415539327242375</v>
      </c>
      <c r="L281" s="109" t="str">
        <f t="array" ref="L281">XLOOKUP(CELL("contents",G281),'Swiss Registry'!$B$2:$B$703,'Swiss Registry'!$N$2:$N$703) </f>
        <v>284150733152976896</v>
      </c>
    </row>
    <row r="282" ht="15.0" customHeight="1">
      <c r="A282" s="80"/>
      <c r="B282" s="114"/>
      <c r="C282" s="115"/>
      <c r="D282" s="114"/>
      <c r="E282" s="82" t="s">
        <v>1702</v>
      </c>
      <c r="F282" s="81"/>
      <c r="G282" s="81"/>
      <c r="H282" s="81"/>
      <c r="I282" s="81"/>
      <c r="J282" s="81"/>
      <c r="K282" s="116" t="str">
        <f t="array" ref="K282">XLOOKUP(CELL("contents",C282),'Swiss Registry'!$B$2:$B$703,'Swiss Registry'!$N$2:$N$703) </f>
        <v>#N/A</v>
      </c>
      <c r="L282" s="117" t="str">
        <f t="array" ref="L282">XLOOKUP(CELL("contents",G282),'Swiss Registry'!$B$2:$B$703,'Swiss Registry'!$N$2:$N$703) </f>
        <v>#N/A</v>
      </c>
    </row>
    <row r="283">
      <c r="A283" s="84">
        <f>A281+1</f>
        <v>450</v>
      </c>
      <c r="B283" s="84">
        <f>VLOOKUP(A283,'Swiss2 Registry'!$A$2:$B$703,2,False)</f>
        <v>544</v>
      </c>
      <c r="C283" s="104" t="str">
        <f>VLOOKUP(B283,'Swiss2 Registry'!$B$2:$C$703,2,False)</f>
        <v>almbkn</v>
      </c>
      <c r="D283" s="105" t="str">
        <f t="shared" ref="D283:D321" si="38">IF(J283="dead","",IF(J283="a:act","",IF(J283="b:act","",IF(ISURL(HYPERLINK(INDIRECT("Importer!B"&amp;MID(J283,2,4)+1,TRUE))),HYPERLINK(INDIRECT("Importer!B"&amp;MID(J283,2,4)+1,TRUE), "Game 1"),""))))</f>
        <v>Game 1</v>
      </c>
      <c r="E283" s="106" t="str">
        <f>IF(J283="dead","Dead Game",IF(J283="a:act","Act: "&amp;G283,IF(J283="b:act","Act: "&amp;#REF!,IF(ISURL(HYPERLINK(INDIRECT("Importer!B"&amp;MID(J283,6,4)+1,TRUE))),HYPERLINK(INDIRECT("Importer!B"&amp;MID(J283,6,4)+1,TRUE), "Game 2"),""))))</f>
        <v>Game 2</v>
      </c>
      <c r="F283" s="110" t="str">
        <f t="shared" ref="F283:F321" si="39">IF(J283="dead","",IF(J283="a:act","",IF(J283="b:act","",IF(ISURL(HYPERLINK(INDIRECT("Importer!B"&amp;MID(J283,10,4)+1,TRUE))),HYPERLINK(INDIRECT("Importer!B"&amp;MID(J283,10,4)+1,TRUE), "Game 3"),""))))</f>
        <v>Game 3</v>
      </c>
      <c r="G283" s="104" t="str">
        <f>VLOOKUP(I283,'Swiss2 Registry'!$B$2:$C$703,2,False)</f>
        <v>millingwinds</v>
      </c>
      <c r="H283" s="84">
        <f>H281-1</f>
        <v>605</v>
      </c>
      <c r="I283" s="84">
        <f>VLOOKUP(H283,'Swiss2 Registry'!$A$2:$B$703,2,False)</f>
        <v>365</v>
      </c>
      <c r="J283" s="83" t="s">
        <v>2002</v>
      </c>
      <c r="K283" s="108" t="str">
        <f t="array" ref="K283">XLOOKUP(CELL("contents",C283),'Swiss Registry'!$B$2:$B$703,'Swiss Registry'!$N$2:$N$703) </f>
        <v>152476072473133056</v>
      </c>
      <c r="L283" s="109" t="str">
        <f t="array" ref="L283">XLOOKUP(CELL("contents",G283),'Swiss Registry'!$B$2:$B$703,'Swiss Registry'!$N$2:$N$703) </f>
        <v>732108291253075968</v>
      </c>
    </row>
    <row r="284">
      <c r="A284" s="84">
        <f t="shared" ref="A284:A321" si="40">A283+1</f>
        <v>451</v>
      </c>
      <c r="B284" s="84">
        <f>VLOOKUP(A284,'Swiss2 Registry'!$A$2:$B$703,2,False)</f>
        <v>629</v>
      </c>
      <c r="C284" s="104" t="str">
        <f>VLOOKUP(B284,'Swiss2 Registry'!$B$2:$C$703,2,False)</f>
        <v>Ragnarocco244</v>
      </c>
      <c r="D284" s="105" t="str">
        <f t="shared" si="38"/>
        <v>Game 1</v>
      </c>
      <c r="E284" s="106" t="str">
        <f t="shared" ref="E284:E321" si="41">IF(J284="dead","Dead Game",IF(J284="a:act","Act: "&amp;C284,IF(J284="b:act","Act: "&amp;G284,IF(ISURL(HYPERLINK(INDIRECT("Importer!B"&amp;MID(J284,6,4)+1,TRUE))),HYPERLINK(INDIRECT("Importer!B"&amp;MID(J284,6,4)+1,TRUE), "Game 2"),""))))</f>
        <v>Game 2</v>
      </c>
      <c r="F284" s="110" t="str">
        <f t="shared" si="39"/>
        <v>Game 3</v>
      </c>
      <c r="G284" s="104" t="str">
        <f>VLOOKUP(I284,'Swiss2 Registry'!$B$2:$C$703,2,False)</f>
        <v>CoffeePour</v>
      </c>
      <c r="H284" s="84">
        <f t="shared" ref="H284:H321" si="42">H283-1</f>
        <v>604</v>
      </c>
      <c r="I284" s="84">
        <f>VLOOKUP(H284,'Swiss2 Registry'!$A$2:$B$703,2,False)</f>
        <v>546</v>
      </c>
      <c r="J284" s="83" t="s">
        <v>2003</v>
      </c>
      <c r="K284" s="108" t="str">
        <f t="array" ref="K284">XLOOKUP(CELL("contents",C284),'Swiss Registry'!$B$2:$B$703,'Swiss Registry'!$N$2:$N$703) </f>
        <v>198491831141531648</v>
      </c>
      <c r="L284" s="109" t="str">
        <f t="array" ref="L284">XLOOKUP(CELL("contents",G284),'Swiss Registry'!$B$2:$B$703,'Swiss Registry'!$N$2:$N$703) </f>
        <v>896214559092801617</v>
      </c>
    </row>
    <row r="285">
      <c r="A285" s="84">
        <f t="shared" si="40"/>
        <v>452</v>
      </c>
      <c r="B285" s="84">
        <f>VLOOKUP(A285,'Swiss2 Registry'!$A$2:$B$703,2,False)</f>
        <v>428</v>
      </c>
      <c r="C285" s="104" t="str">
        <f>VLOOKUP(B285,'Swiss2 Registry'!$B$2:$C$703,2,False)</f>
        <v>yuramas</v>
      </c>
      <c r="D285" s="105" t="str">
        <f t="shared" si="38"/>
        <v>Game 1</v>
      </c>
      <c r="E285" s="106" t="str">
        <f t="shared" si="41"/>
        <v>Game 2</v>
      </c>
      <c r="F285" s="107" t="str">
        <f t="shared" si="39"/>
        <v/>
      </c>
      <c r="G285" s="104" t="str">
        <f>VLOOKUP(I285,'Swiss2 Registry'!$B$2:$C$703,2,False)</f>
        <v>bashedayo</v>
      </c>
      <c r="H285" s="84">
        <f t="shared" si="42"/>
        <v>603</v>
      </c>
      <c r="I285" s="84">
        <f>VLOOKUP(H285,'Swiss2 Registry'!$A$2:$B$703,2,False)</f>
        <v>115</v>
      </c>
      <c r="J285" s="83" t="s">
        <v>2004</v>
      </c>
      <c r="K285" s="108" t="str">
        <f t="array" ref="K285">XLOOKUP(CELL("contents",C285),'Swiss Registry'!$B$2:$B$703,'Swiss Registry'!$N$2:$N$703) </f>
        <v>551444761064636416</v>
      </c>
      <c r="L285" s="109" t="str">
        <f t="array" ref="L285">XLOOKUP(CELL("contents",G285),'Swiss Registry'!$B$2:$B$703,'Swiss Registry'!$N$2:$N$703) </f>
        <v>409502844773859341</v>
      </c>
    </row>
    <row r="286">
      <c r="A286" s="84">
        <f t="shared" si="40"/>
        <v>453</v>
      </c>
      <c r="B286" s="84">
        <f>VLOOKUP(A286,'Swiss2 Registry'!$A$2:$B$703,2,False)</f>
        <v>148</v>
      </c>
      <c r="C286" s="104" t="str">
        <f>VLOOKUP(B286,'Swiss2 Registry'!$B$2:$C$703,2,False)</f>
        <v>SUB 20</v>
      </c>
      <c r="D286" s="111" t="str">
        <f t="shared" si="38"/>
        <v/>
      </c>
      <c r="E286" s="112" t="str">
        <f t="shared" si="41"/>
        <v>Act: mafx</v>
      </c>
      <c r="F286" s="107" t="str">
        <f t="shared" si="39"/>
        <v/>
      </c>
      <c r="G286" s="104" t="str">
        <f>VLOOKUP(I286,'Swiss2 Registry'!$B$2:$C$703,2,False)</f>
        <v>mafx</v>
      </c>
      <c r="H286" s="84">
        <f t="shared" si="42"/>
        <v>602</v>
      </c>
      <c r="I286" s="84">
        <f>VLOOKUP(H286,'Swiss2 Registry'!$A$2:$B$703,2,False)</f>
        <v>204</v>
      </c>
      <c r="J286" s="83" t="s">
        <v>1523</v>
      </c>
      <c r="K286" s="108" t="str">
        <f t="array" ref="K286">XLOOKUP(CELL("contents",C286),'Swiss Registry'!$B$2:$B$703,'Swiss Registry'!$N$2:$N$703) </f>
        <v>SUB</v>
      </c>
      <c r="L286" s="109" t="str">
        <f t="array" ref="L286">XLOOKUP(CELL("contents",G286),'Swiss Registry'!$B$2:$B$703,'Swiss Registry'!$N$2:$N$703) </f>
        <v>219614904515035136</v>
      </c>
    </row>
    <row r="287">
      <c r="A287" s="84">
        <f t="shared" si="40"/>
        <v>454</v>
      </c>
      <c r="B287" s="84">
        <f>VLOOKUP(A287,'Swiss2 Registry'!$A$2:$B$703,2,False)</f>
        <v>360</v>
      </c>
      <c r="C287" s="104" t="str">
        <f>VLOOKUP(B287,'Swiss2 Registry'!$B$2:$C$703,2,False)</f>
        <v>poots6476</v>
      </c>
      <c r="D287" s="105" t="str">
        <f t="shared" si="38"/>
        <v>Game 1</v>
      </c>
      <c r="E287" s="106" t="str">
        <f t="shared" si="41"/>
        <v>Game 2</v>
      </c>
      <c r="F287" s="110" t="str">
        <f t="shared" si="39"/>
        <v>Game 3</v>
      </c>
      <c r="G287" s="104" t="str">
        <f>VLOOKUP(I287,'Swiss2 Registry'!$B$2:$C$703,2,False)</f>
        <v>toruwu</v>
      </c>
      <c r="H287" s="84">
        <f t="shared" si="42"/>
        <v>601</v>
      </c>
      <c r="I287" s="84">
        <f>VLOOKUP(H287,'Swiss2 Registry'!$A$2:$B$703,2,False)</f>
        <v>632</v>
      </c>
      <c r="J287" s="83" t="s">
        <v>2005</v>
      </c>
      <c r="K287" s="108" t="str">
        <f t="array" ref="K287">XLOOKUP(CELL("contents",C287),'Swiss Registry'!$B$2:$B$703,'Swiss Registry'!$N$2:$N$703) </f>
        <v>177568483909959680</v>
      </c>
      <c r="L287" s="109" t="str">
        <f t="array" ref="L287">XLOOKUP(CELL("contents",G287),'Swiss Registry'!$B$2:$B$703,'Swiss Registry'!$N$2:$N$703) </f>
        <v>184302283574476801</v>
      </c>
    </row>
    <row r="288">
      <c r="A288" s="84">
        <f t="shared" si="40"/>
        <v>455</v>
      </c>
      <c r="B288" s="84">
        <f>VLOOKUP(A288,'Swiss2 Registry'!$A$2:$B$703,2,False)</f>
        <v>250</v>
      </c>
      <c r="C288" s="104" t="str">
        <f>VLOOKUP(B288,'Swiss2 Registry'!$B$2:$C$703,2,False)</f>
        <v>@geosesarma</v>
      </c>
      <c r="D288" s="105" t="str">
        <f t="shared" si="38"/>
        <v>Game 1</v>
      </c>
      <c r="E288" s="106" t="str">
        <f t="shared" si="41"/>
        <v>Game 2</v>
      </c>
      <c r="F288" s="107" t="str">
        <f t="shared" si="39"/>
        <v/>
      </c>
      <c r="G288" s="104" t="str">
        <f>VLOOKUP(I288,'Swiss2 Registry'!$B$2:$C$703,2,False)</f>
        <v>realshelly</v>
      </c>
      <c r="H288" s="84">
        <f t="shared" si="42"/>
        <v>600</v>
      </c>
      <c r="I288" s="84">
        <f>VLOOKUP(H288,'Swiss2 Registry'!$A$2:$B$703,2,False)</f>
        <v>443</v>
      </c>
      <c r="J288" s="83" t="s">
        <v>2006</v>
      </c>
      <c r="K288" s="108" t="str">
        <f t="array" ref="K288">XLOOKUP(CELL("contents",C288),'Swiss Registry'!$B$2:$B$703,'Swiss Registry'!$N$2:$N$703) </f>
        <v>153953672051556352</v>
      </c>
      <c r="L288" s="109" t="str">
        <f t="array" ref="L288">XLOOKUP(CELL("contents",G288),'Swiss Registry'!$B$2:$B$703,'Swiss Registry'!$N$2:$N$703) </f>
        <v>746177750548873278</v>
      </c>
    </row>
    <row r="289">
      <c r="A289" s="84">
        <f t="shared" si="40"/>
        <v>456</v>
      </c>
      <c r="B289" s="84">
        <f>VLOOKUP(A289,'Swiss2 Registry'!$A$2:$B$703,2,False)</f>
        <v>301</v>
      </c>
      <c r="C289" s="104" t="str">
        <f>VLOOKUP(B289,'Swiss2 Registry'!$B$2:$C$703,2,False)</f>
        <v>rajime.</v>
      </c>
      <c r="D289" s="105" t="str">
        <f t="shared" si="38"/>
        <v>Game 1</v>
      </c>
      <c r="E289" s="106" t="str">
        <f t="shared" si="41"/>
        <v>Game 2</v>
      </c>
      <c r="F289" s="107" t="str">
        <f t="shared" si="39"/>
        <v/>
      </c>
      <c r="G289" s="104" t="str">
        <f>VLOOKUP(I289,'Swiss2 Registry'!$B$2:$C$703,2,False)</f>
        <v>fayestra</v>
      </c>
      <c r="H289" s="84">
        <f t="shared" si="42"/>
        <v>599</v>
      </c>
      <c r="I289" s="84">
        <f>VLOOKUP(H289,'Swiss2 Registry'!$A$2:$B$703,2,False)</f>
        <v>572</v>
      </c>
      <c r="J289" s="83" t="s">
        <v>2007</v>
      </c>
      <c r="K289" s="108" t="str">
        <f t="array" ref="K289">XLOOKUP(CELL("contents",C289),'Swiss Registry'!$B$2:$B$703,'Swiss Registry'!$N$2:$N$703) </f>
        <v>556855693928431638</v>
      </c>
      <c r="L289" s="109" t="str">
        <f t="array" ref="L289">XLOOKUP(CELL("contents",G289),'Swiss Registry'!$B$2:$B$703,'Swiss Registry'!$N$2:$N$703) </f>
        <v>169948103938408448</v>
      </c>
    </row>
    <row r="290">
      <c r="A290" s="84">
        <f t="shared" si="40"/>
        <v>457</v>
      </c>
      <c r="B290" s="84">
        <f>VLOOKUP(A290,'Swiss2 Registry'!$A$2:$B$703,2,False)</f>
        <v>277</v>
      </c>
      <c r="C290" s="104" t="str">
        <f>VLOOKUP(B290,'Swiss2 Registry'!$B$2:$C$703,2,False)</f>
        <v>usbreon</v>
      </c>
      <c r="D290" s="105" t="str">
        <f t="shared" si="38"/>
        <v>Game 1</v>
      </c>
      <c r="E290" s="106" t="str">
        <f t="shared" si="41"/>
        <v>Game 2</v>
      </c>
      <c r="F290" s="110" t="str">
        <f t="shared" si="39"/>
        <v>Game 3</v>
      </c>
      <c r="G290" s="104" t="str">
        <f>VLOOKUP(I290,'Swiss2 Registry'!$B$2:$C$703,2,False)</f>
        <v>martconqueso</v>
      </c>
      <c r="H290" s="84">
        <f t="shared" si="42"/>
        <v>598</v>
      </c>
      <c r="I290" s="84">
        <f>VLOOKUP(H290,'Swiss2 Registry'!$A$2:$B$703,2,False)</f>
        <v>162</v>
      </c>
      <c r="J290" s="83" t="s">
        <v>2008</v>
      </c>
      <c r="K290" s="108" t="str">
        <f t="array" ref="K290">XLOOKUP(CELL("contents",C290),'Swiss Registry'!$B$2:$B$703,'Swiss Registry'!$N$2:$N$703) </f>
        <v>125596608422215680</v>
      </c>
      <c r="L290" s="109" t="str">
        <f t="array" ref="L290">XLOOKUP(CELL("contents",G290),'Swiss Registry'!$B$2:$B$703,'Swiss Registry'!$N$2:$N$703) </f>
        <v>220939914915741696</v>
      </c>
    </row>
    <row r="291">
      <c r="A291" s="84">
        <f t="shared" si="40"/>
        <v>458</v>
      </c>
      <c r="B291" s="84">
        <f>VLOOKUP(A291,'Swiss2 Registry'!$A$2:$B$703,2,False)</f>
        <v>481</v>
      </c>
      <c r="C291" s="104" t="str">
        <f>VLOOKUP(B291,'Swiss2 Registry'!$B$2:$C$703,2,False)</f>
        <v>SentientSanchez</v>
      </c>
      <c r="D291" s="105" t="str">
        <f t="shared" si="38"/>
        <v>Game 1</v>
      </c>
      <c r="E291" s="106" t="str">
        <f t="shared" si="41"/>
        <v>Game 2</v>
      </c>
      <c r="F291" s="110" t="str">
        <f t="shared" si="39"/>
        <v>Game 3</v>
      </c>
      <c r="G291" s="104" t="str">
        <f>VLOOKUP(I291,'Swiss2 Registry'!$B$2:$C$703,2,False)</f>
        <v>aquaa</v>
      </c>
      <c r="H291" s="84">
        <f t="shared" si="42"/>
        <v>597</v>
      </c>
      <c r="I291" s="84">
        <f>VLOOKUP(H291,'Swiss2 Registry'!$A$2:$B$703,2,False)</f>
        <v>143</v>
      </c>
      <c r="J291" s="83" t="s">
        <v>2009</v>
      </c>
      <c r="K291" s="108" t="str">
        <f t="array" ref="K291">XLOOKUP(CELL("contents",C291),'Swiss Registry'!$B$2:$B$703,'Swiss Registry'!$N$2:$N$703) </f>
        <v>730510085079433268</v>
      </c>
      <c r="L291" s="109" t="str">
        <f t="array" ref="L291">XLOOKUP(CELL("contents",G291),'Swiss Registry'!$B$2:$B$703,'Swiss Registry'!$N$2:$N$703) </f>
        <v>86675967501697024</v>
      </c>
    </row>
    <row r="292">
      <c r="A292" s="84">
        <f t="shared" si="40"/>
        <v>459</v>
      </c>
      <c r="B292" s="84">
        <f>VLOOKUP(A292,'Swiss2 Registry'!$A$2:$B$703,2,False)</f>
        <v>348</v>
      </c>
      <c r="C292" s="104" t="str">
        <f>VLOOKUP(B292,'Swiss2 Registry'!$B$2:$C$703,2,False)</f>
        <v>SUB 16</v>
      </c>
      <c r="D292" s="111" t="str">
        <f t="shared" si="38"/>
        <v/>
      </c>
      <c r="E292" s="112" t="str">
        <f t="shared" si="41"/>
        <v>Act: Somnanana</v>
      </c>
      <c r="F292" s="107" t="str">
        <f t="shared" si="39"/>
        <v/>
      </c>
      <c r="G292" s="104" t="str">
        <f>VLOOKUP(I292,'Swiss2 Registry'!$B$2:$C$703,2,False)</f>
        <v>Somnanana</v>
      </c>
      <c r="H292" s="84">
        <f t="shared" si="42"/>
        <v>596</v>
      </c>
      <c r="I292" s="84">
        <f>VLOOKUP(H292,'Swiss2 Registry'!$A$2:$B$703,2,False)</f>
        <v>606</v>
      </c>
      <c r="J292" s="83" t="s">
        <v>1523</v>
      </c>
      <c r="K292" s="116" t="str">
        <f t="array" ref="K292">XLOOKUP(CELL("contents",C292),'Swiss Registry'!$B$2:$B$703,'Swiss Registry'!$N$2:$N$703) </f>
        <v>SUB</v>
      </c>
      <c r="L292" s="109" t="str">
        <f t="array" ref="L292">XLOOKUP(CELL("contents",G292),'Swiss Registry'!$B$2:$B$703,'Swiss Registry'!$N$2:$N$703) </f>
        <v>334000783152513024</v>
      </c>
    </row>
    <row r="293">
      <c r="A293" s="84">
        <f t="shared" si="40"/>
        <v>460</v>
      </c>
      <c r="B293" s="84">
        <f>VLOOKUP(A293,'Swiss2 Registry'!$A$2:$B$703,2,False)</f>
        <v>532</v>
      </c>
      <c r="C293" s="104" t="str">
        <f>VLOOKUP(B293,'Swiss2 Registry'!$B$2:$C$703,2,False)</f>
        <v>bigjon.</v>
      </c>
      <c r="D293" s="105" t="str">
        <f t="shared" si="38"/>
        <v>Game 1</v>
      </c>
      <c r="E293" s="106" t="str">
        <f t="shared" si="41"/>
        <v>Game 2</v>
      </c>
      <c r="F293" s="107" t="str">
        <f t="shared" si="39"/>
        <v/>
      </c>
      <c r="G293" s="104" t="str">
        <f>VLOOKUP(I293,'Swiss2 Registry'!$B$2:$C$703,2,False)</f>
        <v>wyli.olivete</v>
      </c>
      <c r="H293" s="84">
        <f t="shared" si="42"/>
        <v>595</v>
      </c>
      <c r="I293" s="84">
        <f>VLOOKUP(H293,'Swiss2 Registry'!$A$2:$B$703,2,False)</f>
        <v>327</v>
      </c>
      <c r="J293" s="83" t="s">
        <v>2010</v>
      </c>
      <c r="K293" s="108" t="str">
        <f t="array" ref="K293">XLOOKUP(CELL("contents",C293),'Swiss Registry'!$B$2:$B$703,'Swiss Registry'!$N$2:$N$703) </f>
        <v>289528250823213056</v>
      </c>
      <c r="L293" s="109" t="str">
        <f t="array" ref="L293">XLOOKUP(CELL("contents",G293),'Swiss Registry'!$B$2:$B$703,'Swiss Registry'!$N$2:$N$703) </f>
        <v>600915748629643276</v>
      </c>
    </row>
    <row r="294">
      <c r="A294" s="84">
        <f t="shared" si="40"/>
        <v>461</v>
      </c>
      <c r="B294" s="84">
        <f>VLOOKUP(A294,'Swiss2 Registry'!$A$2:$B$703,2,False)</f>
        <v>249</v>
      </c>
      <c r="C294" s="104" t="str">
        <f>VLOOKUP(B294,'Swiss2 Registry'!$B$2:$C$703,2,False)</f>
        <v>gambling.goddess</v>
      </c>
      <c r="D294" s="111" t="str">
        <f t="shared" si="38"/>
        <v/>
      </c>
      <c r="E294" s="112" t="str">
        <f t="shared" si="41"/>
        <v>Act: gambling.goddess</v>
      </c>
      <c r="F294" s="107" t="str">
        <f t="shared" si="39"/>
        <v/>
      </c>
      <c r="G294" s="104" t="str">
        <f>VLOOKUP(I294,'Swiss2 Registry'!$B$2:$C$703,2,False)</f>
        <v>SUB 2</v>
      </c>
      <c r="H294" s="84">
        <f t="shared" si="42"/>
        <v>594</v>
      </c>
      <c r="I294" s="84">
        <f>VLOOKUP(H294,'Swiss2 Registry'!$A$2:$B$703,2,False)</f>
        <v>119</v>
      </c>
      <c r="J294" s="83" t="s">
        <v>1486</v>
      </c>
      <c r="K294" s="108" t="str">
        <f t="array" ref="K294">XLOOKUP(CELL("contents",C294),'Swiss Registry'!$B$2:$B$703,'Swiss Registry'!$N$2:$N$703) </f>
        <v>1254224283958378530</v>
      </c>
      <c r="L294" s="117" t="str">
        <f t="array" ref="L294">XLOOKUP(CELL("contents",G294),'Swiss Registry'!$B$2:$B$703,'Swiss Registry'!$N$2:$N$703) </f>
        <v>SUB</v>
      </c>
    </row>
    <row r="295">
      <c r="A295" s="84">
        <f t="shared" si="40"/>
        <v>462</v>
      </c>
      <c r="B295" s="84">
        <f>VLOOKUP(A295,'Swiss2 Registry'!$A$2:$B$703,2,False)</f>
        <v>427</v>
      </c>
      <c r="C295" s="104" t="str">
        <f>VLOOKUP(B295,'Swiss2 Registry'!$B$2:$C$703,2,False)</f>
        <v>comseal</v>
      </c>
      <c r="D295" s="105" t="str">
        <f t="shared" si="38"/>
        <v>Game 1</v>
      </c>
      <c r="E295" s="106" t="str">
        <f t="shared" si="41"/>
        <v>Game 2</v>
      </c>
      <c r="F295" s="107" t="str">
        <f t="shared" si="39"/>
        <v/>
      </c>
      <c r="G295" s="104" t="str">
        <f>VLOOKUP(I295,'Swiss2 Registry'!$B$2:$C$703,2,False)</f>
        <v>elanieunderscore</v>
      </c>
      <c r="H295" s="84">
        <f t="shared" si="42"/>
        <v>593</v>
      </c>
      <c r="I295" s="84">
        <f>VLOOKUP(H295,'Swiss2 Registry'!$A$2:$B$703,2,False)</f>
        <v>170</v>
      </c>
      <c r="J295" s="83" t="s">
        <v>2011</v>
      </c>
      <c r="K295" s="108" t="str">
        <f t="array" ref="K295">XLOOKUP(CELL("contents",C295),'Swiss Registry'!$B$2:$B$703,'Swiss Registry'!$N$2:$N$703) </f>
        <v>282867212270698496</v>
      </c>
      <c r="L295" s="109" t="str">
        <f t="array" ref="L295">XLOOKUP(CELL("contents",G295),'Swiss Registry'!$B$2:$B$703,'Swiss Registry'!$N$2:$N$703) </f>
        <v>1069898912141414422</v>
      </c>
    </row>
    <row r="296">
      <c r="A296" s="84">
        <f t="shared" si="40"/>
        <v>463</v>
      </c>
      <c r="B296" s="84">
        <f>VLOOKUP(A296,'Swiss2 Registry'!$A$2:$B$703,2,False)</f>
        <v>590</v>
      </c>
      <c r="C296" s="104" t="str">
        <f>VLOOKUP(B296,'Swiss2 Registry'!$B$2:$C$703,2,False)</f>
        <v>tommy4830</v>
      </c>
      <c r="D296" s="105" t="str">
        <f t="shared" si="38"/>
        <v>Game 1</v>
      </c>
      <c r="E296" s="106" t="str">
        <f t="shared" si="41"/>
        <v>Game 2</v>
      </c>
      <c r="F296" s="110" t="str">
        <f t="shared" si="39"/>
        <v>Game 3</v>
      </c>
      <c r="G296" s="104" t="str">
        <f>VLOOKUP(I296,'Swiss2 Registry'!$B$2:$C$703,2,False)</f>
        <v>Redrame</v>
      </c>
      <c r="H296" s="84">
        <f t="shared" si="42"/>
        <v>592</v>
      </c>
      <c r="I296" s="84">
        <f>VLOOKUP(H296,'Swiss2 Registry'!$A$2:$B$703,2,False)</f>
        <v>318</v>
      </c>
      <c r="J296" s="83" t="s">
        <v>2012</v>
      </c>
      <c r="K296" s="108" t="str">
        <f t="array" ref="K296">XLOOKUP(CELL("contents",C296),'Swiss Registry'!$B$2:$B$703,'Swiss Registry'!$N$2:$N$703) </f>
        <v>229884850377719808</v>
      </c>
      <c r="L296" s="109" t="str">
        <f t="array" ref="L296">XLOOKUP(CELL("contents",G296),'Swiss Registry'!$B$2:$B$703,'Swiss Registry'!$N$2:$N$703) </f>
        <v>127968794130907137</v>
      </c>
    </row>
    <row r="297">
      <c r="A297" s="84">
        <f t="shared" si="40"/>
        <v>464</v>
      </c>
      <c r="B297" s="84">
        <f>VLOOKUP(A297,'Swiss2 Registry'!$A$2:$B$703,2,False)</f>
        <v>530</v>
      </c>
      <c r="C297" s="104" t="str">
        <f>VLOOKUP(B297,'Swiss2 Registry'!$B$2:$C$703,2,False)</f>
        <v>tibetanator</v>
      </c>
      <c r="D297" s="105" t="str">
        <f t="shared" si="38"/>
        <v>Game 1</v>
      </c>
      <c r="E297" s="106" t="str">
        <f t="shared" si="41"/>
        <v>Game 2</v>
      </c>
      <c r="F297" s="107" t="str">
        <f t="shared" si="39"/>
        <v/>
      </c>
      <c r="G297" s="104" t="str">
        <f>VLOOKUP(I297,'Swiss2 Registry'!$B$2:$C$703,2,False)</f>
        <v>walterbite</v>
      </c>
      <c r="H297" s="84">
        <f t="shared" si="42"/>
        <v>591</v>
      </c>
      <c r="I297" s="84">
        <f>VLOOKUP(H297,'Swiss2 Registry'!$A$2:$B$703,2,False)</f>
        <v>692</v>
      </c>
      <c r="J297" s="83" t="s">
        <v>2013</v>
      </c>
      <c r="K297" s="108" t="str">
        <f t="array" ref="K297">XLOOKUP(CELL("contents",C297),'Swiss Registry'!$B$2:$B$703,'Swiss Registry'!$N$2:$N$703) </f>
        <v>734152855501668363</v>
      </c>
      <c r="L297" s="109" t="str">
        <f t="array" ref="L297">XLOOKUP(CELL("contents",G297),'Swiss Registry'!$B$2:$B$703,'Swiss Registry'!$N$2:$N$703) </f>
        <v>155855401097625602</v>
      </c>
    </row>
    <row r="298">
      <c r="A298" s="84">
        <f t="shared" si="40"/>
        <v>465</v>
      </c>
      <c r="B298" s="84">
        <f>VLOOKUP(A298,'Swiss2 Registry'!$A$2:$B$703,2,False)</f>
        <v>178</v>
      </c>
      <c r="C298" s="104" t="str">
        <f>VLOOKUP(B298,'Swiss2 Registry'!$B$2:$C$703,2,False)</f>
        <v>pinjarrapanther</v>
      </c>
      <c r="D298" s="111" t="str">
        <f t="shared" si="38"/>
        <v/>
      </c>
      <c r="E298" s="112" t="str">
        <f t="shared" si="41"/>
        <v>Act: pinjarrapanther</v>
      </c>
      <c r="F298" s="107" t="str">
        <f t="shared" si="39"/>
        <v/>
      </c>
      <c r="G298" s="104" t="str">
        <f>VLOOKUP(I298,'Swiss2 Registry'!$B$2:$C$703,2,False)</f>
        <v>dinkdank_</v>
      </c>
      <c r="H298" s="84">
        <f t="shared" si="42"/>
        <v>590</v>
      </c>
      <c r="I298" s="84">
        <f>VLOOKUP(H298,'Swiss2 Registry'!$A$2:$B$703,2,False)</f>
        <v>621</v>
      </c>
      <c r="J298" s="83" t="s">
        <v>2014</v>
      </c>
      <c r="K298" s="108" t="str">
        <f t="array" ref="K298">XLOOKUP(CELL("contents",C298),'Swiss Registry'!$B$2:$B$703,'Swiss Registry'!$N$2:$N$703) </f>
        <v>220831983591227393</v>
      </c>
      <c r="L298" s="109" t="str">
        <f t="array" ref="L298">XLOOKUP(CELL("contents",G298),'Swiss Registry'!$B$2:$B$703,'Swiss Registry'!$N$2:$N$703) </f>
        <v>722616383233589266</v>
      </c>
    </row>
    <row r="299">
      <c r="A299" s="84">
        <f t="shared" si="40"/>
        <v>466</v>
      </c>
      <c r="B299" s="84">
        <f>VLOOKUP(A299,'Swiss2 Registry'!$A$2:$B$703,2,False)</f>
        <v>404</v>
      </c>
      <c r="C299" s="104" t="str">
        <f>VLOOKUP(B299,'Swiss2 Registry'!$B$2:$C$703,2,False)</f>
        <v>jew9318</v>
      </c>
      <c r="D299" s="105" t="str">
        <f t="shared" si="38"/>
        <v>Game 1</v>
      </c>
      <c r="E299" s="106" t="str">
        <f t="shared" si="41"/>
        <v>Game 2</v>
      </c>
      <c r="F299" s="110" t="str">
        <f t="shared" si="39"/>
        <v>Game 3</v>
      </c>
      <c r="G299" s="104" t="str">
        <f>VLOOKUP(I299,'Swiss2 Registry'!$B$2:$C$703,2,False)</f>
        <v>chrisdrums19</v>
      </c>
      <c r="H299" s="84">
        <f t="shared" si="42"/>
        <v>589</v>
      </c>
      <c r="I299" s="84">
        <f>VLOOKUP(H299,'Swiss2 Registry'!$A$2:$B$703,2,False)</f>
        <v>439</v>
      </c>
      <c r="J299" s="83" t="s">
        <v>2015</v>
      </c>
      <c r="K299" s="108" t="str">
        <f t="array" ref="K299">XLOOKUP(CELL("contents",C299),'Swiss Registry'!$B$2:$B$703,'Swiss Registry'!$N$2:$N$703) </f>
        <v>155599548624928768</v>
      </c>
      <c r="L299" s="109" t="str">
        <f t="array" ref="L299">XLOOKUP(CELL("contents",G299),'Swiss Registry'!$B$2:$B$703,'Swiss Registry'!$N$2:$N$703) </f>
        <v>213534987708923905</v>
      </c>
    </row>
    <row r="300">
      <c r="A300" s="84">
        <f t="shared" si="40"/>
        <v>467</v>
      </c>
      <c r="B300" s="84">
        <f>VLOOKUP(A300,'Swiss2 Registry'!$A$2:$B$703,2,False)</f>
        <v>462</v>
      </c>
      <c r="C300" s="104" t="str">
        <f>VLOOKUP(B300,'Swiss2 Registry'!$B$2:$C$703,2,False)</f>
        <v>MoxieKrok</v>
      </c>
      <c r="D300" s="105" t="str">
        <f t="shared" si="38"/>
        <v>Game 1</v>
      </c>
      <c r="E300" s="106" t="str">
        <f t="shared" si="41"/>
        <v>Game 2</v>
      </c>
      <c r="F300" s="110" t="str">
        <f t="shared" si="39"/>
        <v>Game 3</v>
      </c>
      <c r="G300" s="104" t="str">
        <f>VLOOKUP(I300,'Swiss2 Registry'!$B$2:$C$703,2,False)</f>
        <v>sanbaibeepo</v>
      </c>
      <c r="H300" s="84">
        <f t="shared" si="42"/>
        <v>588</v>
      </c>
      <c r="I300" s="84">
        <f>VLOOKUP(H300,'Swiss2 Registry'!$A$2:$B$703,2,False)</f>
        <v>289</v>
      </c>
      <c r="J300" s="83" t="s">
        <v>2016</v>
      </c>
      <c r="K300" s="108" t="str">
        <f t="array" ref="K300">XLOOKUP(CELL("contents",C300),'Swiss Registry'!$B$2:$B$703,'Swiss Registry'!$N$2:$N$703) </f>
        <v>125066316477497344</v>
      </c>
      <c r="L300" s="109" t="str">
        <f t="array" ref="L300">XLOOKUP(CELL("contents",G300),'Swiss Registry'!$B$2:$B$703,'Swiss Registry'!$N$2:$N$703) </f>
        <v>139195151946874881</v>
      </c>
    </row>
    <row r="301">
      <c r="A301" s="84">
        <f t="shared" si="40"/>
        <v>468</v>
      </c>
      <c r="B301" s="84">
        <f>VLOOKUP(A301,'Swiss2 Registry'!$A$2:$B$703,2,False)</f>
        <v>351</v>
      </c>
      <c r="C301" s="104" t="str">
        <f>VLOOKUP(B301,'Swiss2 Registry'!$B$2:$C$703,2,False)</f>
        <v>kinglazi</v>
      </c>
      <c r="D301" s="111" t="str">
        <f t="shared" si="38"/>
        <v/>
      </c>
      <c r="E301" s="112" t="str">
        <f t="shared" si="41"/>
        <v>Act: kinglazi</v>
      </c>
      <c r="F301" s="107" t="str">
        <f t="shared" si="39"/>
        <v/>
      </c>
      <c r="G301" s="104" t="str">
        <f>VLOOKUP(I301,'Swiss2 Registry'!$B$2:$C$703,2,False)</f>
        <v>SUB 9</v>
      </c>
      <c r="H301" s="84">
        <f t="shared" si="42"/>
        <v>587</v>
      </c>
      <c r="I301" s="84">
        <f>VLOOKUP(H301,'Swiss2 Registry'!$A$2:$B$703,2,False)</f>
        <v>246</v>
      </c>
      <c r="J301" s="83" t="s">
        <v>1486</v>
      </c>
      <c r="K301" s="108" t="str">
        <f t="array" ref="K301">XLOOKUP(CELL("contents",C301),'Swiss Registry'!$B$2:$B$703,'Swiss Registry'!$N$2:$N$703) </f>
        <v>266204930774269962</v>
      </c>
      <c r="L301" s="117" t="str">
        <f t="array" ref="L301">XLOOKUP(CELL("contents",G301),'Swiss Registry'!$B$2:$B$703,'Swiss Registry'!$N$2:$N$703) </f>
        <v>SUB</v>
      </c>
    </row>
    <row r="302">
      <c r="A302" s="84">
        <f t="shared" si="40"/>
        <v>469</v>
      </c>
      <c r="B302" s="84">
        <f>VLOOKUP(A302,'Swiss2 Registry'!$A$2:$B$703,2,False)</f>
        <v>603</v>
      </c>
      <c r="C302" s="104" t="str">
        <f>VLOOKUP(B302,'Swiss2 Registry'!$B$2:$C$703,2,False)</f>
        <v>fuckboylenny</v>
      </c>
      <c r="D302" s="105" t="str">
        <f t="shared" si="38"/>
        <v>Game 1</v>
      </c>
      <c r="E302" s="106" t="str">
        <f t="shared" si="41"/>
        <v>Game 2</v>
      </c>
      <c r="F302" s="110" t="str">
        <f t="shared" si="39"/>
        <v>Game 3</v>
      </c>
      <c r="G302" s="104" t="str">
        <f>VLOOKUP(I302,'Swiss2 Registry'!$B$2:$C$703,2,False)</f>
        <v>Stockings</v>
      </c>
      <c r="H302" s="84">
        <f t="shared" si="42"/>
        <v>586</v>
      </c>
      <c r="I302" s="84">
        <f>VLOOKUP(H302,'Swiss2 Registry'!$A$2:$B$703,2,False)</f>
        <v>145</v>
      </c>
      <c r="J302" s="83" t="s">
        <v>2017</v>
      </c>
      <c r="K302" s="108" t="str">
        <f t="array" ref="K302">XLOOKUP(CELL("contents",C302),'Swiss Registry'!$B$2:$B$703,'Swiss Registry'!$N$2:$N$703) </f>
        <v>1287687998716117037</v>
      </c>
      <c r="L302" s="109" t="str">
        <f t="array" ref="L302">XLOOKUP(CELL("contents",G302),'Swiss Registry'!$B$2:$B$703,'Swiss Registry'!$N$2:$N$703) </f>
        <v>163080133283020800</v>
      </c>
    </row>
    <row r="303">
      <c r="A303" s="84">
        <f t="shared" si="40"/>
        <v>470</v>
      </c>
      <c r="B303" s="84">
        <f>VLOOKUP(A303,'Swiss2 Registry'!$A$2:$B$703,2,False)</f>
        <v>156</v>
      </c>
      <c r="C303" s="104" t="str">
        <f>VLOOKUP(B303,'Swiss2 Registry'!$B$2:$C$703,2,False)</f>
        <v>coutt</v>
      </c>
      <c r="D303" s="105" t="str">
        <f t="shared" si="38"/>
        <v>Game 1</v>
      </c>
      <c r="E303" s="106" t="str">
        <f t="shared" si="41"/>
        <v>Game 2</v>
      </c>
      <c r="F303" s="110" t="str">
        <f t="shared" si="39"/>
        <v>Game 3</v>
      </c>
      <c r="G303" s="104" t="str">
        <f>VLOOKUP(I303,'Swiss2 Registry'!$B$2:$C$703,2,False)</f>
        <v>WraxiusGaming</v>
      </c>
      <c r="H303" s="84">
        <f t="shared" si="42"/>
        <v>585</v>
      </c>
      <c r="I303" s="84">
        <f>VLOOKUP(H303,'Swiss2 Registry'!$A$2:$B$703,2,False)</f>
        <v>694</v>
      </c>
      <c r="J303" s="83" t="s">
        <v>2018</v>
      </c>
      <c r="K303" s="108" t="str">
        <f t="array" ref="K303">XLOOKUP(CELL("contents",C303),'Swiss Registry'!$B$2:$B$703,'Swiss Registry'!$N$2:$N$703) </f>
        <v>262651676291235840</v>
      </c>
      <c r="L303" s="109" t="str">
        <f t="array" ref="L303">XLOOKUP(CELL("contents",G303),'Swiss Registry'!$B$2:$B$703,'Swiss Registry'!$N$2:$N$703) </f>
        <v>476882845525213184</v>
      </c>
    </row>
    <row r="304">
      <c r="A304" s="84">
        <f t="shared" si="40"/>
        <v>471</v>
      </c>
      <c r="B304" s="84">
        <f>VLOOKUP(A304,'Swiss2 Registry'!$A$2:$B$703,2,False)</f>
        <v>460</v>
      </c>
      <c r="C304" s="104" t="str">
        <f>VLOOKUP(B304,'Swiss2 Registry'!$B$2:$C$703,2,False)</f>
        <v>onewhorants</v>
      </c>
      <c r="D304" s="105" t="str">
        <f t="shared" si="38"/>
        <v>Game 1</v>
      </c>
      <c r="E304" s="106" t="str">
        <f t="shared" si="41"/>
        <v>Game 2</v>
      </c>
      <c r="F304" s="107" t="str">
        <f t="shared" si="39"/>
        <v/>
      </c>
      <c r="G304" s="104" t="str">
        <f>VLOOKUP(I304,'Swiss2 Registry'!$B$2:$C$703,2,False)</f>
        <v>Hidan.0/idfk</v>
      </c>
      <c r="H304" s="84">
        <f t="shared" si="42"/>
        <v>584</v>
      </c>
      <c r="I304" s="84">
        <f>VLOOKUP(H304,'Swiss2 Registry'!$A$2:$B$703,2,False)</f>
        <v>456</v>
      </c>
      <c r="J304" s="83" t="s">
        <v>2019</v>
      </c>
      <c r="K304" s="108" t="str">
        <f t="array" ref="K304">XLOOKUP(CELL("contents",C304),'Swiss Registry'!$B$2:$B$703,'Swiss Registry'!$N$2:$N$703) </f>
        <v>257001953056260096</v>
      </c>
      <c r="L304" s="109" t="str">
        <f t="array" ref="L304">XLOOKUP(CELL("contents",G304),'Swiss Registry'!$B$2:$B$703,'Swiss Registry'!$N$2:$N$703) </f>
        <v>732393591011278950</v>
      </c>
    </row>
    <row r="305">
      <c r="A305" s="84">
        <f t="shared" si="40"/>
        <v>472</v>
      </c>
      <c r="B305" s="84">
        <f>VLOOKUP(A305,'Swiss2 Registry'!$A$2:$B$703,2,False)</f>
        <v>571</v>
      </c>
      <c r="C305" s="104" t="str">
        <f>VLOOKUP(B305,'Swiss2 Registry'!$B$2:$C$703,2,False)</f>
        <v>ltg04</v>
      </c>
      <c r="D305" s="105" t="str">
        <f t="shared" si="38"/>
        <v>Game 1</v>
      </c>
      <c r="E305" s="106" t="str">
        <f t="shared" si="41"/>
        <v>Game 2</v>
      </c>
      <c r="F305" s="107" t="str">
        <f t="shared" si="39"/>
        <v/>
      </c>
      <c r="G305" s="104" t="str">
        <f>VLOOKUP(I305,'Swiss2 Registry'!$B$2:$C$703,2,False)</f>
        <v>Apostic</v>
      </c>
      <c r="H305" s="84">
        <f t="shared" si="42"/>
        <v>583</v>
      </c>
      <c r="I305" s="84">
        <f>VLOOKUP(H305,'Swiss2 Registry'!$A$2:$B$703,2,False)</f>
        <v>146</v>
      </c>
      <c r="J305" s="83" t="s">
        <v>2020</v>
      </c>
      <c r="K305" s="108" t="str">
        <f t="array" ref="K305">XLOOKUP(CELL("contents",C305),'Swiss Registry'!$B$2:$B$703,'Swiss Registry'!$N$2:$N$703) </f>
        <v>314526869506621440</v>
      </c>
      <c r="L305" s="109" t="str">
        <f t="array" ref="L305">XLOOKUP(CELL("contents",G305),'Swiss Registry'!$B$2:$B$703,'Swiss Registry'!$N$2:$N$703) </f>
        <v>151905700229021696</v>
      </c>
    </row>
    <row r="306">
      <c r="A306" s="84">
        <f t="shared" si="40"/>
        <v>473</v>
      </c>
      <c r="B306" s="84">
        <f>VLOOKUP(A306,'Swiss2 Registry'!$A$2:$B$703,2,False)</f>
        <v>253</v>
      </c>
      <c r="C306" s="104" t="str">
        <f>VLOOKUP(B306,'Swiss2 Registry'!$B$2:$C$703,2,False)</f>
        <v>Pulcsii</v>
      </c>
      <c r="D306" s="105" t="str">
        <f t="shared" si="38"/>
        <v>Game 1</v>
      </c>
      <c r="E306" s="106" t="str">
        <f t="shared" si="41"/>
        <v>Game 2</v>
      </c>
      <c r="F306" s="107" t="str">
        <f t="shared" si="39"/>
        <v/>
      </c>
      <c r="G306" s="104" t="str">
        <f>VLOOKUP(I306,'Swiss2 Registry'!$B$2:$C$703,2,False)</f>
        <v>doc.steel</v>
      </c>
      <c r="H306" s="84">
        <f t="shared" si="42"/>
        <v>582</v>
      </c>
      <c r="I306" s="84">
        <f>VLOOKUP(H306,'Swiss2 Registry'!$A$2:$B$703,2,False)</f>
        <v>261</v>
      </c>
      <c r="J306" s="83" t="s">
        <v>2021</v>
      </c>
      <c r="K306" s="108" t="str">
        <f t="array" ref="K306">XLOOKUP(CELL("contents",C306),'Swiss Registry'!$B$2:$B$703,'Swiss Registry'!$N$2:$N$703) </f>
        <v>374258157855309826</v>
      </c>
      <c r="L306" s="109" t="str">
        <f t="array" ref="L306">XLOOKUP(CELL("contents",G306),'Swiss Registry'!$B$2:$B$703,'Swiss Registry'!$N$2:$N$703) </f>
        <v>549319366538428453</v>
      </c>
    </row>
    <row r="307">
      <c r="A307" s="84">
        <f t="shared" si="40"/>
        <v>474</v>
      </c>
      <c r="B307" s="84">
        <f>VLOOKUP(A307,'Swiss2 Registry'!$A$2:$B$703,2,False)</f>
        <v>589</v>
      </c>
      <c r="C307" s="104" t="str">
        <f>VLOOKUP(B307,'Swiss2 Registry'!$B$2:$C$703,2,False)</f>
        <v>Carfrogs</v>
      </c>
      <c r="D307" s="105" t="str">
        <f t="shared" si="38"/>
        <v>Game 1</v>
      </c>
      <c r="E307" s="106" t="str">
        <f t="shared" si="41"/>
        <v>Game 2</v>
      </c>
      <c r="F307" s="110" t="str">
        <f t="shared" si="39"/>
        <v>Game 3</v>
      </c>
      <c r="G307" s="104" t="str">
        <f>VLOOKUP(I307,'Swiss2 Registry'!$B$2:$C$703,2,False)</f>
        <v>Melninja</v>
      </c>
      <c r="H307" s="84">
        <f t="shared" si="42"/>
        <v>581</v>
      </c>
      <c r="I307" s="84">
        <f>VLOOKUP(H307,'Swiss2 Registry'!$A$2:$B$703,2,False)</f>
        <v>510</v>
      </c>
      <c r="J307" s="83" t="s">
        <v>2022</v>
      </c>
      <c r="K307" s="108" t="str">
        <f t="array" ref="K307">XLOOKUP(CELL("contents",C307),'Swiss Registry'!$B$2:$B$703,'Swiss Registry'!$N$2:$N$703) </f>
        <v>513234552706301993</v>
      </c>
      <c r="L307" s="109" t="str">
        <f t="array" ref="L307">XLOOKUP(CELL("contents",G307),'Swiss Registry'!$B$2:$B$703,'Swiss Registry'!$N$2:$N$703) </f>
        <v>303553097584607249</v>
      </c>
    </row>
    <row r="308">
      <c r="A308" s="84">
        <f t="shared" si="40"/>
        <v>475</v>
      </c>
      <c r="B308" s="84">
        <f>VLOOKUP(A308,'Swiss2 Registry'!$A$2:$B$703,2,False)</f>
        <v>509</v>
      </c>
      <c r="C308" s="104" t="str">
        <f>VLOOKUP(B308,'Swiss2 Registry'!$B$2:$C$703,2,False)</f>
        <v>SUB 7</v>
      </c>
      <c r="D308" s="111" t="str">
        <f t="shared" si="38"/>
        <v/>
      </c>
      <c r="E308" s="112" t="str">
        <f t="shared" si="41"/>
        <v>Act: Lhions</v>
      </c>
      <c r="F308" s="107" t="str">
        <f t="shared" si="39"/>
        <v/>
      </c>
      <c r="G308" s="104" t="str">
        <f>VLOOKUP(I308,'Swiss2 Registry'!$B$2:$C$703,2,False)</f>
        <v>Lhions</v>
      </c>
      <c r="H308" s="84">
        <f t="shared" si="42"/>
        <v>580</v>
      </c>
      <c r="I308" s="84">
        <f>VLOOKUP(H308,'Swiss2 Registry'!$A$2:$B$703,2,False)</f>
        <v>556</v>
      </c>
      <c r="J308" s="83" t="s">
        <v>1523</v>
      </c>
      <c r="K308" s="116" t="str">
        <f t="array" ref="K308">XLOOKUP(CELL("contents",C308),'Swiss Registry'!$B$2:$B$703,'Swiss Registry'!$N$2:$N$703) </f>
        <v>SUB</v>
      </c>
      <c r="L308" s="109" t="str">
        <f t="array" ref="L308">XLOOKUP(CELL("contents",G308),'Swiss Registry'!$B$2:$B$703,'Swiss Registry'!$N$2:$N$703) </f>
        <v>220957448066957312</v>
      </c>
    </row>
    <row r="309">
      <c r="A309" s="84">
        <f t="shared" si="40"/>
        <v>476</v>
      </c>
      <c r="B309" s="84">
        <f>VLOOKUP(A309,'Swiss2 Registry'!$A$2:$B$703,2,False)</f>
        <v>473</v>
      </c>
      <c r="C309" s="104" t="str">
        <f>VLOOKUP(B309,'Swiss2 Registry'!$B$2:$C$703,2,False)</f>
        <v>hachimaki.</v>
      </c>
      <c r="D309" s="105" t="str">
        <f t="shared" si="38"/>
        <v>Game 1</v>
      </c>
      <c r="E309" s="106" t="str">
        <f t="shared" si="41"/>
        <v>Game 2</v>
      </c>
      <c r="F309" s="107" t="str">
        <f t="shared" si="39"/>
        <v/>
      </c>
      <c r="G309" s="104" t="str">
        <f>VLOOKUP(I309,'Swiss2 Registry'!$B$2:$C$703,2,False)</f>
        <v>Microsoft_J</v>
      </c>
      <c r="H309" s="84">
        <f t="shared" si="42"/>
        <v>579</v>
      </c>
      <c r="I309" s="84">
        <f>VLOOKUP(H309,'Swiss2 Registry'!$A$2:$B$703,2,False)</f>
        <v>625</v>
      </c>
      <c r="J309" s="83" t="s">
        <v>2023</v>
      </c>
      <c r="K309" s="108" t="str">
        <f t="array" ref="K309">XLOOKUP(CELL("contents",C309),'Swiss Registry'!$B$2:$B$703,'Swiss Registry'!$N$2:$N$703) </f>
        <v>165579227897266176</v>
      </c>
      <c r="L309" s="109" t="str">
        <f t="array" ref="L309">XLOOKUP(CELL("contents",G309),'Swiss Registry'!$B$2:$B$703,'Swiss Registry'!$N$2:$N$703) </f>
        <v>178809494728343552</v>
      </c>
    </row>
    <row r="310">
      <c r="A310" s="84">
        <f t="shared" si="40"/>
        <v>477</v>
      </c>
      <c r="B310" s="84">
        <f>VLOOKUP(A310,'Swiss2 Registry'!$A$2:$B$703,2,False)</f>
        <v>110</v>
      </c>
      <c r="C310" s="104" t="str">
        <f>VLOOKUP(B310,'Swiss2 Registry'!$B$2:$C$703,2,False)</f>
        <v>Stao</v>
      </c>
      <c r="D310" s="105" t="str">
        <f t="shared" si="38"/>
        <v>Game 1</v>
      </c>
      <c r="E310" s="106" t="str">
        <f t="shared" si="41"/>
        <v>Game 2</v>
      </c>
      <c r="F310" s="107" t="str">
        <f t="shared" si="39"/>
        <v/>
      </c>
      <c r="G310" s="104" t="str">
        <f>VLOOKUP(I310,'Swiss2 Registry'!$B$2:$C$703,2,False)</f>
        <v>emerald_harrold</v>
      </c>
      <c r="H310" s="84">
        <f t="shared" si="42"/>
        <v>578</v>
      </c>
      <c r="I310" s="84">
        <f>VLOOKUP(H310,'Swiss2 Registry'!$A$2:$B$703,2,False)</f>
        <v>595</v>
      </c>
      <c r="J310" s="83" t="s">
        <v>2024</v>
      </c>
      <c r="K310" s="108" t="str">
        <f t="array" ref="K310">XLOOKUP(CELL("contents",C310),'Swiss Registry'!$B$2:$B$703,'Swiss Registry'!$N$2:$N$703) </f>
        <v>135837929368059904</v>
      </c>
      <c r="L310" s="109" t="str">
        <f t="array" ref="L310">XLOOKUP(CELL("contents",G310),'Swiss Registry'!$B$2:$B$703,'Swiss Registry'!$N$2:$N$703) </f>
        <v>895687390142812161</v>
      </c>
    </row>
    <row r="311">
      <c r="A311" s="84">
        <f t="shared" si="40"/>
        <v>478</v>
      </c>
      <c r="B311" s="84">
        <f>VLOOKUP(A311,'Swiss2 Registry'!$A$2:$B$703,2,False)</f>
        <v>666</v>
      </c>
      <c r="C311" s="104" t="str">
        <f>VLOOKUP(B311,'Swiss2 Registry'!$B$2:$C$703,2,False)</f>
        <v>YamHam</v>
      </c>
      <c r="D311" s="105" t="str">
        <f t="shared" si="38"/>
        <v>Game 1</v>
      </c>
      <c r="E311" s="106" t="str">
        <f t="shared" si="41"/>
        <v>Game 2</v>
      </c>
      <c r="F311" s="107" t="str">
        <f t="shared" si="39"/>
        <v/>
      </c>
      <c r="G311" s="104" t="str">
        <f>VLOOKUP(I311,'Swiss2 Registry'!$B$2:$C$703,2,False)</f>
        <v>brunocoolgamers</v>
      </c>
      <c r="H311" s="84">
        <f t="shared" si="42"/>
        <v>577</v>
      </c>
      <c r="I311" s="84">
        <f>VLOOKUP(H311,'Swiss2 Registry'!$A$2:$B$703,2,False)</f>
        <v>285</v>
      </c>
      <c r="J311" s="83" t="s">
        <v>2025</v>
      </c>
      <c r="K311" s="108" t="str">
        <f t="array" ref="K311">XLOOKUP(CELL("contents",C311),'Swiss Registry'!$B$2:$B$703,'Swiss Registry'!$N$2:$N$703) </f>
        <v>143746978201862144</v>
      </c>
      <c r="L311" s="109" t="str">
        <f t="array" ref="L311">XLOOKUP(CELL("contents",G311),'Swiss Registry'!$B$2:$B$703,'Swiss Registry'!$N$2:$N$703) </f>
        <v>885228601514033172</v>
      </c>
    </row>
    <row r="312">
      <c r="A312" s="84">
        <f t="shared" si="40"/>
        <v>479</v>
      </c>
      <c r="B312" s="84">
        <f>VLOOKUP(A312,'Swiss2 Registry'!$A$2:$B$703,2,False)</f>
        <v>432</v>
      </c>
      <c r="C312" s="104" t="str">
        <f>VLOOKUP(B312,'Swiss2 Registry'!$B$2:$C$703,2,False)</f>
        <v>saiyanpride.</v>
      </c>
      <c r="D312" s="105" t="str">
        <f t="shared" si="38"/>
        <v>Game 1</v>
      </c>
      <c r="E312" s="106" t="str">
        <f t="shared" si="41"/>
        <v>Game 2</v>
      </c>
      <c r="F312" s="107" t="str">
        <f t="shared" si="39"/>
        <v/>
      </c>
      <c r="G312" s="104" t="str">
        <f>VLOOKUP(I312,'Swiss2 Registry'!$B$2:$C$703,2,False)</f>
        <v>nihiliros</v>
      </c>
      <c r="H312" s="84">
        <f t="shared" si="42"/>
        <v>576</v>
      </c>
      <c r="I312" s="84">
        <f>VLOOKUP(H312,'Swiss2 Registry'!$A$2:$B$703,2,False)</f>
        <v>524</v>
      </c>
      <c r="J312" s="83" t="s">
        <v>2026</v>
      </c>
      <c r="K312" s="108" t="str">
        <f t="array" ref="K312">XLOOKUP(CELL("contents",C312),'Swiss Registry'!$B$2:$B$703,'Swiss Registry'!$N$2:$N$703) </f>
        <v>779576321550450710</v>
      </c>
      <c r="L312" s="109" t="str">
        <f t="array" ref="L312">XLOOKUP(CELL("contents",G312),'Swiss Registry'!$B$2:$B$703,'Swiss Registry'!$N$2:$N$703) </f>
        <v>236509304507596801</v>
      </c>
    </row>
    <row r="313">
      <c r="A313" s="84">
        <f t="shared" si="40"/>
        <v>480</v>
      </c>
      <c r="B313" s="84">
        <f>VLOOKUP(A313,'Swiss2 Registry'!$A$2:$B$703,2,False)</f>
        <v>671</v>
      </c>
      <c r="C313" s="104" t="str">
        <f>VLOOKUP(B313,'Swiss2 Registry'!$B$2:$C$703,2,False)</f>
        <v>tahat_t</v>
      </c>
      <c r="D313" s="111" t="str">
        <f t="shared" si="38"/>
        <v/>
      </c>
      <c r="E313" s="112" t="str">
        <f t="shared" si="41"/>
        <v>Act: tahat_t</v>
      </c>
      <c r="F313" s="107" t="str">
        <f t="shared" si="39"/>
        <v/>
      </c>
      <c r="G313" s="104" t="str">
        <f>VLOOKUP(I313,'Swiss2 Registry'!$B$2:$C$703,2,False)</f>
        <v>triskeriaki</v>
      </c>
      <c r="H313" s="84">
        <f t="shared" si="42"/>
        <v>575</v>
      </c>
      <c r="I313" s="84">
        <f>VLOOKUP(H313,'Swiss2 Registry'!$A$2:$B$703,2,False)</f>
        <v>314</v>
      </c>
      <c r="J313" s="83" t="s">
        <v>2014</v>
      </c>
      <c r="K313" s="108" t="str">
        <f t="array" ref="K313">XLOOKUP(CELL("contents",C313),'Swiss Registry'!$B$2:$B$703,'Swiss Registry'!$N$2:$N$703) </f>
        <v>1095502363118284891</v>
      </c>
      <c r="L313" s="109" t="str">
        <f t="array" ref="L313">XLOOKUP(CELL("contents",G313),'Swiss Registry'!$B$2:$B$703,'Swiss Registry'!$N$2:$N$703) </f>
        <v>316007672510021634</v>
      </c>
    </row>
    <row r="314">
      <c r="A314" s="84">
        <f t="shared" si="40"/>
        <v>481</v>
      </c>
      <c r="B314" s="84">
        <f>VLOOKUP(A314,'Swiss2 Registry'!$A$2:$B$703,2,False)</f>
        <v>408</v>
      </c>
      <c r="C314" s="104" t="str">
        <f>VLOOKUP(B314,'Swiss2 Registry'!$B$2:$C$703,2,False)</f>
        <v>SUB 18</v>
      </c>
      <c r="D314" s="111" t="str">
        <f t="shared" si="38"/>
        <v/>
      </c>
      <c r="E314" s="112" t="str">
        <f t="shared" si="41"/>
        <v>Act: @pek__</v>
      </c>
      <c r="F314" s="107" t="str">
        <f t="shared" si="39"/>
        <v/>
      </c>
      <c r="G314" s="104" t="str">
        <f>VLOOKUP(I314,'Swiss2 Registry'!$B$2:$C$703,2,False)</f>
        <v>@pek__</v>
      </c>
      <c r="H314" s="84">
        <f t="shared" si="42"/>
        <v>574</v>
      </c>
      <c r="I314" s="84">
        <f>VLOOKUP(H314,'Swiss2 Registry'!$A$2:$B$703,2,False)</f>
        <v>696</v>
      </c>
      <c r="J314" s="83" t="s">
        <v>1523</v>
      </c>
      <c r="K314" s="108" t="str">
        <f t="array" ref="K314">XLOOKUP(CELL("contents",C314),'Swiss Registry'!$B$2:$B$703,'Swiss Registry'!$N$2:$N$703) </f>
        <v>SUB</v>
      </c>
      <c r="L314" s="109" t="str">
        <f t="array" ref="L314">XLOOKUP(CELL("contents",G314),'Swiss Registry'!$B$2:$B$703,'Swiss Registry'!$N$2:$N$703) </f>
        <v>195931152521887744</v>
      </c>
    </row>
    <row r="315">
      <c r="A315" s="84">
        <f t="shared" si="40"/>
        <v>482</v>
      </c>
      <c r="B315" s="84">
        <f>VLOOKUP(A315,'Swiss2 Registry'!$A$2:$B$703,2,False)</f>
        <v>542</v>
      </c>
      <c r="C315" s="104" t="str">
        <f>VLOOKUP(B315,'Swiss2 Registry'!$B$2:$C$703,2,False)</f>
        <v>Luca Dylan</v>
      </c>
      <c r="D315" s="111" t="str">
        <f t="shared" si="38"/>
        <v/>
      </c>
      <c r="E315" s="112" t="str">
        <f t="shared" si="41"/>
        <v>Act: Goodnightloulou</v>
      </c>
      <c r="F315" s="107" t="str">
        <f t="shared" si="39"/>
        <v/>
      </c>
      <c r="G315" s="104" t="str">
        <f>VLOOKUP(I315,'Swiss2 Registry'!$B$2:$C$703,2,False)</f>
        <v>Goodnightloulou</v>
      </c>
      <c r="H315" s="84">
        <f t="shared" si="42"/>
        <v>573</v>
      </c>
      <c r="I315" s="84">
        <f>VLOOKUP(H315,'Swiss2 Registry'!$A$2:$B$703,2,False)</f>
        <v>561</v>
      </c>
      <c r="J315" s="83" t="s">
        <v>1523</v>
      </c>
      <c r="K315" s="108" t="str">
        <f t="array" ref="K315">XLOOKUP(CELL("contents",C315),'Swiss Registry'!$B$2:$B$703,'Swiss Registry'!$N$2:$N$703) </f>
        <v>695567810511896586</v>
      </c>
      <c r="L315" s="109" t="str">
        <f t="array" ref="L315">XLOOKUP(CELL("contents",G315),'Swiss Registry'!$B$2:$B$703,'Swiss Registry'!$N$2:$N$703) </f>
        <v>1003852969177006150</v>
      </c>
    </row>
    <row r="316">
      <c r="A316" s="84">
        <f t="shared" si="40"/>
        <v>483</v>
      </c>
      <c r="B316" s="84">
        <f>VLOOKUP(A316,'Swiss2 Registry'!$A$2:$B$703,2,False)</f>
        <v>349</v>
      </c>
      <c r="C316" s="104" t="str">
        <f>VLOOKUP(B316,'Swiss2 Registry'!$B$2:$C$703,2,False)</f>
        <v>Reptikrook</v>
      </c>
      <c r="D316" s="111" t="str">
        <f t="shared" si="38"/>
        <v/>
      </c>
      <c r="E316" s="112" t="str">
        <f t="shared" si="41"/>
        <v>Act: Reptikrook</v>
      </c>
      <c r="F316" s="107" t="str">
        <f t="shared" si="39"/>
        <v/>
      </c>
      <c r="G316" s="104" t="str">
        <f>VLOOKUP(I316,'Swiss2 Registry'!$B$2:$C$703,2,False)</f>
        <v>SUB 19</v>
      </c>
      <c r="H316" s="84">
        <f t="shared" si="42"/>
        <v>572</v>
      </c>
      <c r="I316" s="84">
        <f>VLOOKUP(H316,'Swiss2 Registry'!$A$2:$B$703,2,False)</f>
        <v>526</v>
      </c>
      <c r="J316" s="83" t="s">
        <v>2014</v>
      </c>
      <c r="K316" s="108" t="str">
        <f t="array" ref="K316">XLOOKUP(CELL("contents",C316),'Swiss Registry'!$B$2:$B$703,'Swiss Registry'!$N$2:$N$703) </f>
        <v>477623186104516629</v>
      </c>
      <c r="L316" s="109" t="str">
        <f t="array" ref="L316">XLOOKUP(CELL("contents",G316),'Swiss Registry'!$B$2:$B$703,'Swiss Registry'!$N$2:$N$703) </f>
        <v>SUB</v>
      </c>
    </row>
    <row r="317">
      <c r="A317" s="84">
        <f t="shared" si="40"/>
        <v>484</v>
      </c>
      <c r="B317" s="84">
        <f>VLOOKUP(A317,'Swiss2 Registry'!$A$2:$B$703,2,False)</f>
        <v>413</v>
      </c>
      <c r="C317" s="104" t="str">
        <f>VLOOKUP(B317,'Swiss2 Registry'!$B$2:$C$703,2,False)</f>
        <v>_honua</v>
      </c>
      <c r="D317" s="111" t="str">
        <f t="shared" si="38"/>
        <v/>
      </c>
      <c r="E317" s="112" t="str">
        <f t="shared" si="41"/>
        <v>Act: Dig Boshi</v>
      </c>
      <c r="F317" s="107" t="str">
        <f t="shared" si="39"/>
        <v/>
      </c>
      <c r="G317" s="104" t="str">
        <f>VLOOKUP(I317,'Swiss2 Registry'!$B$2:$C$703,2,False)</f>
        <v>Dig Boshi</v>
      </c>
      <c r="H317" s="84">
        <f t="shared" si="42"/>
        <v>571</v>
      </c>
      <c r="I317" s="84">
        <f>VLOOKUP(H317,'Swiss2 Registry'!$A$2:$B$703,2,False)</f>
        <v>643</v>
      </c>
      <c r="J317" s="83" t="s">
        <v>1523</v>
      </c>
      <c r="K317" s="108" t="str">
        <f t="array" ref="K317">XLOOKUP(CELL("contents",C317),'Swiss Registry'!$B$2:$B$703,'Swiss Registry'!$N$2:$N$703) </f>
        <v>197962442704158720</v>
      </c>
      <c r="L317" s="109" t="str">
        <f t="array" ref="L317">XLOOKUP(CELL("contents",G317),'Swiss Registry'!$B$2:$B$703,'Swiss Registry'!$N$2:$N$703) </f>
        <v>1041574782090620938</v>
      </c>
    </row>
    <row r="318">
      <c r="A318" s="84">
        <f t="shared" si="40"/>
        <v>485</v>
      </c>
      <c r="B318" s="84">
        <f>VLOOKUP(A318,'Swiss2 Registry'!$A$2:$B$703,2,False)</f>
        <v>189</v>
      </c>
      <c r="C318" s="104" t="str">
        <f>VLOOKUP(B318,'Swiss2 Registry'!$B$2:$C$703,2,False)</f>
        <v>shinyhunter8013</v>
      </c>
      <c r="D318" s="111" t="str">
        <f t="shared" si="38"/>
        <v/>
      </c>
      <c r="E318" s="112" t="str">
        <f t="shared" si="41"/>
        <v>Act: moggie776</v>
      </c>
      <c r="F318" s="107" t="str">
        <f t="shared" si="39"/>
        <v/>
      </c>
      <c r="G318" s="104" t="str">
        <f>VLOOKUP(I318,'Swiss2 Registry'!$B$2:$C$703,2,False)</f>
        <v>moggie776</v>
      </c>
      <c r="H318" s="84">
        <f t="shared" si="42"/>
        <v>570</v>
      </c>
      <c r="I318" s="84">
        <f>VLOOKUP(H318,'Swiss2 Registry'!$A$2:$B$703,2,False)</f>
        <v>231</v>
      </c>
      <c r="J318" s="83" t="s">
        <v>2027</v>
      </c>
      <c r="K318" s="108" t="str">
        <f t="array" ref="K318">XLOOKUP(CELL("contents",C318),'Swiss Registry'!$B$2:$B$703,'Swiss Registry'!$N$2:$N$703) </f>
        <v>418536676609097740</v>
      </c>
      <c r="L318" s="109" t="str">
        <f t="array" ref="L318">XLOOKUP(CELL("contents",G318),'Swiss Registry'!$B$2:$B$703,'Swiss Registry'!$N$2:$N$703) </f>
        <v>662243961477398528</v>
      </c>
    </row>
    <row r="319">
      <c r="A319" s="84">
        <f t="shared" si="40"/>
        <v>486</v>
      </c>
      <c r="B319" s="84">
        <f>VLOOKUP(A319,'Swiss2 Registry'!$A$2:$B$703,2,False)</f>
        <v>190</v>
      </c>
      <c r="C319" s="104" t="str">
        <f>VLOOKUP(B319,'Swiss2 Registry'!$B$2:$C$703,2,False)</f>
        <v>ilovemygrandma444</v>
      </c>
      <c r="D319" s="105" t="str">
        <f t="shared" si="38"/>
        <v>Game 1</v>
      </c>
      <c r="E319" s="106" t="str">
        <f t="shared" si="41"/>
        <v>Game 2</v>
      </c>
      <c r="F319" s="110" t="str">
        <f t="shared" si="39"/>
        <v>Game 3</v>
      </c>
      <c r="G319" s="104" t="str">
        <f>VLOOKUP(I319,'Swiss2 Registry'!$B$2:$C$703,2,False)</f>
        <v>goldthe1andonly</v>
      </c>
      <c r="H319" s="84">
        <f t="shared" si="42"/>
        <v>569</v>
      </c>
      <c r="I319" s="84">
        <f>VLOOKUP(H319,'Swiss2 Registry'!$A$2:$B$703,2,False)</f>
        <v>468</v>
      </c>
      <c r="J319" s="83" t="s">
        <v>2028</v>
      </c>
      <c r="K319" s="108" t="str">
        <f t="array" ref="K319">XLOOKUP(CELL("contents",C319),'Swiss Registry'!$B$2:$B$703,'Swiss Registry'!$N$2:$N$703) </f>
        <v>330668313388515330</v>
      </c>
      <c r="L319" s="109" t="str">
        <f t="array" ref="L319">XLOOKUP(CELL("contents",G319),'Swiss Registry'!$B$2:$B$703,'Swiss Registry'!$N$2:$N$703) </f>
        <v>345724126478073867</v>
      </c>
    </row>
    <row r="320">
      <c r="A320" s="84">
        <f t="shared" si="40"/>
        <v>487</v>
      </c>
      <c r="B320" s="84">
        <f>VLOOKUP(A320,'Swiss2 Registry'!$A$2:$B$703,2,False)</f>
        <v>366</v>
      </c>
      <c r="C320" s="104" t="str">
        <f>VLOOKUP(B320,'Swiss2 Registry'!$B$2:$C$703,2,False)</f>
        <v>dimiswooner</v>
      </c>
      <c r="D320" s="105" t="str">
        <f t="shared" si="38"/>
        <v>Game 1</v>
      </c>
      <c r="E320" s="106" t="str">
        <f t="shared" si="41"/>
        <v>Game 2</v>
      </c>
      <c r="F320" s="107" t="str">
        <f t="shared" si="39"/>
        <v/>
      </c>
      <c r="G320" s="104" t="str">
        <f>VLOOKUP(I320,'Swiss2 Registry'!$B$2:$C$703,2,False)</f>
        <v>ambiguousity_</v>
      </c>
      <c r="H320" s="84">
        <f t="shared" si="42"/>
        <v>568</v>
      </c>
      <c r="I320" s="84">
        <f>VLOOKUP(H320,'Swiss2 Registry'!$A$2:$B$703,2,False)</f>
        <v>122</v>
      </c>
      <c r="J320" s="83" t="s">
        <v>2029</v>
      </c>
      <c r="K320" s="108" t="str">
        <f t="array" ref="K320">XLOOKUP(CELL("contents",C320),'Swiss Registry'!$B$2:$B$703,'Swiss Registry'!$N$2:$N$703) </f>
        <v>593100232607137793</v>
      </c>
      <c r="L320" s="109" t="str">
        <f t="array" ref="L320">XLOOKUP(CELL("contents",G320),'Swiss Registry'!$B$2:$B$703,'Swiss Registry'!$N$2:$N$703) </f>
        <v>852656606717149226</v>
      </c>
    </row>
    <row r="321">
      <c r="A321" s="84">
        <f t="shared" si="40"/>
        <v>488</v>
      </c>
      <c r="B321" s="84">
        <f>VLOOKUP(A321,'Swiss2 Registry'!$A$2:$B$703,2,False)</f>
        <v>420</v>
      </c>
      <c r="C321" s="104" t="str">
        <f>VLOOKUP(B321,'Swiss2 Registry'!$B$2:$C$703,2,False)</f>
        <v>prestonv</v>
      </c>
      <c r="D321" s="105" t="str">
        <f t="shared" si="38"/>
        <v>Game 1</v>
      </c>
      <c r="E321" s="106" t="str">
        <f t="shared" si="41"/>
        <v>Game 2</v>
      </c>
      <c r="F321" s="107" t="str">
        <f t="shared" si="39"/>
        <v/>
      </c>
      <c r="G321" s="104" t="str">
        <f>VLOOKUP(I321,'Swiss2 Registry'!$B$2:$C$703,2,False)</f>
        <v>jahim_</v>
      </c>
      <c r="H321" s="84">
        <f t="shared" si="42"/>
        <v>567</v>
      </c>
      <c r="I321" s="84">
        <f>VLOOKUP(H321,'Swiss2 Registry'!$A$2:$B$703,2,False)</f>
        <v>216</v>
      </c>
      <c r="J321" s="83" t="s">
        <v>2030</v>
      </c>
      <c r="K321" s="108" t="str">
        <f t="array" ref="K321">XLOOKUP(CELL("contents",C321),'Swiss Registry'!$B$2:$B$703,'Swiss Registry'!$N$2:$N$703) </f>
        <v>477959212073484308</v>
      </c>
      <c r="L321" s="109" t="str">
        <f t="array" ref="L321">XLOOKUP(CELL("contents",G321),'Swiss Registry'!$B$2:$B$703,'Swiss Registry'!$N$2:$N$703) </f>
        <v>663747291709964321</v>
      </c>
    </row>
    <row r="322" ht="15.0" customHeight="1">
      <c r="A322" s="80"/>
      <c r="B322" s="81"/>
      <c r="C322" s="81"/>
      <c r="D322" s="81"/>
      <c r="E322" s="82" t="s">
        <v>2031</v>
      </c>
      <c r="F322" s="81"/>
      <c r="G322" s="81"/>
      <c r="H322" s="81"/>
      <c r="I322" s="81"/>
      <c r="J322" s="81"/>
      <c r="K322" s="116" t="str">
        <f t="array" ref="K322">XLOOKUP(CELL("contents",C322),'Swiss Registry'!$B$2:$B$703,'Swiss Registry'!$N$2:$N$703) </f>
        <v>#N/A</v>
      </c>
      <c r="L322" s="117" t="str">
        <f t="array" ref="L322">XLOOKUP(CELL("contents",G322),'Swiss Registry'!$B$2:$B$703,'Swiss Registry'!$N$2:$N$703) </f>
        <v>#N/A</v>
      </c>
    </row>
    <row r="323">
      <c r="A323" s="84">
        <f>A321+1</f>
        <v>489</v>
      </c>
      <c r="B323" s="84">
        <f>VLOOKUP(A323,'Swiss2 Registry'!$A$2:$B$703,2,False)</f>
        <v>608</v>
      </c>
      <c r="C323" s="104" t="str">
        <f>VLOOKUP(B323,'Swiss2 Registry'!$B$2:$C$703,2,False)</f>
        <v>Fierros47</v>
      </c>
      <c r="D323" s="105" t="str">
        <f t="shared" ref="D323:D361" si="43">IF(J323="dead","",IF(J323="a:act","",IF(J323="b:act","",IF(ISURL(HYPERLINK(INDIRECT("Importer!B"&amp;MID(J323,2,4)+1,TRUE))),HYPERLINK(INDIRECT("Importer!B"&amp;MID(J323,2,4)+1,TRUE), "Game 1"),""))))</f>
        <v>Game 1</v>
      </c>
      <c r="E323" s="106" t="str">
        <f>IF(J323="dead","Dead Game",IF(J323="a:act","Act: "&amp;G323,IF(J323="b:act","Act: "&amp;#REF!,IF(ISURL(HYPERLINK(INDIRECT("Importer!B"&amp;MID(J323,6,4)+1,TRUE))),HYPERLINK(INDIRECT("Importer!B"&amp;MID(J323,6,4)+1,TRUE), "Game 2"),""))))</f>
        <v>Game 2</v>
      </c>
      <c r="F323" s="110" t="str">
        <f t="shared" ref="F323:F361" si="44">IF(J323="dead","",IF(J323="a:act","",IF(J323="b:act","",IF(ISURL(HYPERLINK(INDIRECT("Importer!B"&amp;MID(J323,10,4)+1,TRUE))),HYPERLINK(INDIRECT("Importer!B"&amp;MID(J323,10,4)+1,TRUE), "Game 3"),""))))</f>
        <v>Game 3</v>
      </c>
      <c r="G323" s="104" t="str">
        <f>VLOOKUP(I323,'Swiss2 Registry'!$B$2:$C$703,2,False)</f>
        <v>treeshhhh</v>
      </c>
      <c r="H323" s="84">
        <f>H321-1</f>
        <v>566</v>
      </c>
      <c r="I323" s="84">
        <f>VLOOKUP(H323,'Swiss2 Registry'!$A$2:$B$703,2,False)</f>
        <v>383</v>
      </c>
      <c r="J323" s="83" t="s">
        <v>2032</v>
      </c>
      <c r="K323" s="108" t="str">
        <f t="array" ref="K323">XLOOKUP(CELL("contents",C323),'Swiss Registry'!$B$2:$B$703,'Swiss Registry'!$N$2:$N$703) </f>
        <v>348679052720078850</v>
      </c>
      <c r="L323" s="109" t="str">
        <f t="array" ref="L323">XLOOKUP(CELL("contents",G323),'Swiss Registry'!$B$2:$B$703,'Swiss Registry'!$N$2:$N$703) </f>
        <v>844002548070875156</v>
      </c>
    </row>
    <row r="324">
      <c r="A324" s="84">
        <f t="shared" ref="A324:A361" si="45">A323+1</f>
        <v>490</v>
      </c>
      <c r="B324" s="84">
        <f>VLOOKUP(A324,'Swiss2 Registry'!$A$2:$B$703,2,False)</f>
        <v>305</v>
      </c>
      <c r="C324" s="104" t="str">
        <f>VLOOKUP(B324,'Swiss2 Registry'!$B$2:$C$703,2,False)</f>
        <v>SUB 24</v>
      </c>
      <c r="D324" s="111" t="str">
        <f t="shared" si="43"/>
        <v/>
      </c>
      <c r="E324" s="112" t="str">
        <f t="shared" ref="E324:E361" si="46">IF(J324="dead","Dead Game",IF(J324="a:act","Act: "&amp;C324,IF(J324="b:act","Act: "&amp;G324,IF(ISURL(HYPERLINK(INDIRECT("Importer!B"&amp;MID(J324,6,4)+1,TRUE))),HYPERLINK(INDIRECT("Importer!B"&amp;MID(J324,6,4)+1,TRUE), "Game 2"),""))))</f>
        <v>Act: ChocoboJoe</v>
      </c>
      <c r="F324" s="107" t="str">
        <f t="shared" si="44"/>
        <v/>
      </c>
      <c r="G324" s="104" t="str">
        <f>VLOOKUP(I324,'Swiss2 Registry'!$B$2:$C$703,2,False)</f>
        <v>ChocoboJoe</v>
      </c>
      <c r="H324" s="84">
        <f t="shared" ref="H324:H361" si="47">H323-1</f>
        <v>565</v>
      </c>
      <c r="I324" s="84">
        <f>VLOOKUP(H324,'Swiss2 Registry'!$A$2:$B$703,2,False)</f>
        <v>566</v>
      </c>
      <c r="J324" s="83" t="s">
        <v>1523</v>
      </c>
      <c r="K324" s="116" t="str">
        <f t="array" ref="K324">XLOOKUP(CELL("contents",C324),'Swiss Registry'!$B$2:$B$703,'Swiss Registry'!$N$2:$N$703) </f>
        <v>SUB</v>
      </c>
      <c r="L324" s="109" t="str">
        <f t="array" ref="L324">XLOOKUP(CELL("contents",G324),'Swiss Registry'!$B$2:$B$703,'Swiss Registry'!$N$2:$N$703) </f>
        <v>301575831858446356</v>
      </c>
    </row>
    <row r="325">
      <c r="A325" s="84">
        <f t="shared" si="45"/>
        <v>491</v>
      </c>
      <c r="B325" s="84">
        <f>VLOOKUP(A325,'Swiss2 Registry'!$A$2:$B$703,2,False)</f>
        <v>662</v>
      </c>
      <c r="C325" s="104" t="str">
        <f>VLOOKUP(B325,'Swiss2 Registry'!$B$2:$C$703,2,False)</f>
        <v>milkshook00</v>
      </c>
      <c r="D325" s="105" t="str">
        <f t="shared" si="43"/>
        <v>Game 1</v>
      </c>
      <c r="E325" s="106" t="str">
        <f t="shared" si="46"/>
        <v>Game 2</v>
      </c>
      <c r="F325" s="107" t="str">
        <f t="shared" si="44"/>
        <v/>
      </c>
      <c r="G325" s="104" t="str">
        <f>VLOOKUP(I325,'Swiss2 Registry'!$B$2:$C$703,2,False)</f>
        <v>kool_kat.</v>
      </c>
      <c r="H325" s="84">
        <f t="shared" si="47"/>
        <v>564</v>
      </c>
      <c r="I325" s="84">
        <f>VLOOKUP(H325,'Swiss2 Registry'!$A$2:$B$703,2,False)</f>
        <v>340</v>
      </c>
      <c r="J325" s="83" t="s">
        <v>2033</v>
      </c>
      <c r="K325" s="108" t="str">
        <f t="array" ref="K325">XLOOKUP(CELL("contents",C325),'Swiss Registry'!$B$2:$B$703,'Swiss Registry'!$N$2:$N$703) </f>
        <v>167697420719882241</v>
      </c>
      <c r="L325" s="109" t="str">
        <f t="array" ref="L325">XLOOKUP(CELL("contents",G325),'Swiss Registry'!$B$2:$B$703,'Swiss Registry'!$N$2:$N$703) </f>
        <v>253880731401453578</v>
      </c>
    </row>
    <row r="326">
      <c r="A326" s="84">
        <f t="shared" si="45"/>
        <v>492</v>
      </c>
      <c r="B326" s="84">
        <f>VLOOKUP(A326,'Swiss2 Registry'!$A$2:$B$703,2,False)</f>
        <v>384</v>
      </c>
      <c r="C326" s="104" t="str">
        <f>VLOOKUP(B326,'Swiss2 Registry'!$B$2:$C$703,2,False)</f>
        <v>poosh_i</v>
      </c>
      <c r="D326" s="105" t="str">
        <f t="shared" si="43"/>
        <v>Game 1</v>
      </c>
      <c r="E326" s="106" t="str">
        <f t="shared" si="46"/>
        <v>Game 2</v>
      </c>
      <c r="F326" s="110" t="str">
        <f t="shared" si="44"/>
        <v>Game 3</v>
      </c>
      <c r="G326" s="104" t="str">
        <f>VLOOKUP(I326,'Swiss2 Registry'!$B$2:$C$703,2,False)</f>
        <v>strawbbz</v>
      </c>
      <c r="H326" s="84">
        <f t="shared" si="47"/>
        <v>563</v>
      </c>
      <c r="I326" s="84">
        <f>VLOOKUP(H326,'Swiss2 Registry'!$A$2:$B$703,2,False)</f>
        <v>507</v>
      </c>
      <c r="J326" s="83" t="s">
        <v>2034</v>
      </c>
      <c r="K326" s="108" t="str">
        <f t="array" ref="K326">XLOOKUP(CELL("contents",C326),'Swiss Registry'!$B$2:$B$703,'Swiss Registry'!$N$2:$N$703) </f>
        <v>157452846374191104</v>
      </c>
      <c r="L326" s="109" t="str">
        <f t="array" ref="L326">XLOOKUP(CELL("contents",G326),'Swiss Registry'!$B$2:$B$703,'Swiss Registry'!$N$2:$N$703) </f>
        <v>303671100980854788</v>
      </c>
    </row>
    <row r="327">
      <c r="A327" s="84">
        <f t="shared" si="45"/>
        <v>493</v>
      </c>
      <c r="B327" s="84">
        <f>VLOOKUP(A327,'Swiss2 Registry'!$A$2:$B$703,2,False)</f>
        <v>364</v>
      </c>
      <c r="C327" s="104" t="str">
        <f>VLOOKUP(B327,'Swiss2 Registry'!$B$2:$C$703,2,False)</f>
        <v>Psychokinetic4</v>
      </c>
      <c r="D327" s="105" t="str">
        <f t="shared" si="43"/>
        <v>Game 1</v>
      </c>
      <c r="E327" s="106" t="str">
        <f t="shared" si="46"/>
        <v>Game 2</v>
      </c>
      <c r="F327" s="110" t="str">
        <f t="shared" si="44"/>
        <v>Game 3</v>
      </c>
      <c r="G327" s="104" t="str">
        <f>VLOOKUP(I327,'Swiss2 Registry'!$B$2:$C$703,2,False)</f>
        <v>Pressle54</v>
      </c>
      <c r="H327" s="84">
        <f t="shared" si="47"/>
        <v>562</v>
      </c>
      <c r="I327" s="84">
        <f>VLOOKUP(H327,'Swiss2 Registry'!$A$2:$B$703,2,False)</f>
        <v>506</v>
      </c>
      <c r="J327" s="83" t="s">
        <v>2035</v>
      </c>
      <c r="K327" s="108" t="str">
        <f t="array" ref="K327">XLOOKUP(CELL("contents",C327),'Swiss Registry'!$B$2:$B$703,'Swiss Registry'!$N$2:$N$703) </f>
        <v>197151675914518528</v>
      </c>
      <c r="L327" s="109" t="str">
        <f t="array" ref="L327">XLOOKUP(CELL("contents",G327),'Swiss Registry'!$B$2:$B$703,'Swiss Registry'!$N$2:$N$703) </f>
        <v>311097288326119434</v>
      </c>
    </row>
    <row r="328">
      <c r="A328" s="84">
        <f t="shared" si="45"/>
        <v>494</v>
      </c>
      <c r="B328" s="84">
        <f>VLOOKUP(A328,'Swiss2 Registry'!$A$2:$B$703,2,False)</f>
        <v>679</v>
      </c>
      <c r="C328" s="104" t="str">
        <f>VLOOKUP(B328,'Swiss2 Registry'!$B$2:$C$703,2,False)</f>
        <v>bydy2</v>
      </c>
      <c r="D328" s="105" t="str">
        <f t="shared" si="43"/>
        <v>Game 1</v>
      </c>
      <c r="E328" s="106" t="str">
        <f t="shared" si="46"/>
        <v>Game 2</v>
      </c>
      <c r="F328" s="107" t="str">
        <f t="shared" si="44"/>
        <v/>
      </c>
      <c r="G328" s="104" t="str">
        <f>VLOOKUP(I328,'Swiss2 Registry'!$B$2:$C$703,2,False)</f>
        <v>renlyyynnn</v>
      </c>
      <c r="H328" s="84">
        <f t="shared" si="47"/>
        <v>561</v>
      </c>
      <c r="I328" s="84">
        <f>VLOOKUP(H328,'Swiss2 Registry'!$A$2:$B$703,2,False)</f>
        <v>700</v>
      </c>
      <c r="J328" s="83" t="s">
        <v>2036</v>
      </c>
      <c r="K328" s="108" t="str">
        <f t="array" ref="K328">XLOOKUP(CELL("contents",C328),'Swiss Registry'!$B$2:$B$703,'Swiss Registry'!$N$2:$N$703) </f>
        <v>245276997687836672</v>
      </c>
      <c r="L328" s="109" t="str">
        <f t="array" ref="L328">XLOOKUP(CELL("contents",G328),'Swiss Registry'!$B$2:$B$703,'Swiss Registry'!$N$2:$N$703) </f>
        <v>925782763364298833</v>
      </c>
    </row>
    <row r="329">
      <c r="A329" s="84">
        <f t="shared" si="45"/>
        <v>495</v>
      </c>
      <c r="B329" s="84">
        <f>VLOOKUP(A329,'Swiss2 Registry'!$A$2:$B$703,2,False)</f>
        <v>406</v>
      </c>
      <c r="C329" s="104" t="str">
        <f>VLOOKUP(B329,'Swiss2 Registry'!$B$2:$C$703,2,False)</f>
        <v>epiclyepicgamer</v>
      </c>
      <c r="D329" s="105" t="str">
        <f t="shared" si="43"/>
        <v>Game 1</v>
      </c>
      <c r="E329" s="106" t="str">
        <f t="shared" si="46"/>
        <v>Game 2</v>
      </c>
      <c r="F329" s="110" t="str">
        <f t="shared" si="44"/>
        <v>Game 3</v>
      </c>
      <c r="G329" s="104" t="str">
        <f>VLOOKUP(I329,'Swiss2 Registry'!$B$2:$C$703,2,False)</f>
        <v>Hypermoth</v>
      </c>
      <c r="H329" s="84">
        <f t="shared" si="47"/>
        <v>560</v>
      </c>
      <c r="I329" s="84">
        <f>VLOOKUP(H329,'Swiss2 Registry'!$A$2:$B$703,2,False)</f>
        <v>674</v>
      </c>
      <c r="J329" s="83" t="s">
        <v>2037</v>
      </c>
      <c r="K329" s="108" t="str">
        <f t="array" ref="K329">XLOOKUP(CELL("contents",C329),'Swiss Registry'!$B$2:$B$703,'Swiss Registry'!$N$2:$N$703) </f>
        <v>839557955140976701</v>
      </c>
      <c r="L329" s="109" t="str">
        <f t="array" ref="L329">XLOOKUP(CELL("contents",G329),'Swiss Registry'!$B$2:$B$703,'Swiss Registry'!$N$2:$N$703) </f>
        <v>160179454256087041</v>
      </c>
    </row>
    <row r="330">
      <c r="A330" s="84">
        <f t="shared" si="45"/>
        <v>496</v>
      </c>
      <c r="B330" s="84">
        <f>VLOOKUP(A330,'Swiss2 Registry'!$A$2:$B$703,2,False)</f>
        <v>596</v>
      </c>
      <c r="C330" s="104" t="str">
        <f>VLOOKUP(B330,'Swiss2 Registry'!$B$2:$C$703,2,False)</f>
        <v>SUB 28</v>
      </c>
      <c r="D330" s="105" t="str">
        <f t="shared" si="43"/>
        <v>Game 1</v>
      </c>
      <c r="E330" s="106" t="str">
        <f t="shared" si="46"/>
        <v>Game 2</v>
      </c>
      <c r="F330" s="110" t="str">
        <f t="shared" si="44"/>
        <v>Game 3</v>
      </c>
      <c r="G330" s="104" t="str">
        <f>VLOOKUP(I330,'Swiss2 Registry'!$B$2:$C$703,2,False)</f>
        <v>socialinclusion</v>
      </c>
      <c r="H330" s="84">
        <f t="shared" si="47"/>
        <v>559</v>
      </c>
      <c r="I330" s="84">
        <f>VLOOKUP(H330,'Swiss2 Registry'!$A$2:$B$703,2,False)</f>
        <v>676</v>
      </c>
      <c r="J330" s="83" t="s">
        <v>2038</v>
      </c>
      <c r="K330" s="108" t="str">
        <f t="array" ref="K330">XLOOKUP(CELL("contents",C330),'Swiss Registry'!$B$2:$B$703,'Swiss Registry'!$N$2:$N$703) </f>
        <v>SUB</v>
      </c>
      <c r="L330" s="109" t="str">
        <f t="array" ref="L330">XLOOKUP(CELL("contents",G330),'Swiss Registry'!$B$2:$B$703,'Swiss Registry'!$N$2:$N$703) </f>
        <v>1287659687881474109</v>
      </c>
    </row>
    <row r="331">
      <c r="A331" s="84">
        <f t="shared" si="45"/>
        <v>497</v>
      </c>
      <c r="B331" s="84">
        <f>VLOOKUP(A331,'Swiss2 Registry'!$A$2:$B$703,2,False)</f>
        <v>232</v>
      </c>
      <c r="C331" s="104" t="str">
        <f>VLOOKUP(B331,'Swiss2 Registry'!$B$2:$C$703,2,False)</f>
        <v>valyns</v>
      </c>
      <c r="D331" s="111" t="str">
        <f t="shared" si="43"/>
        <v/>
      </c>
      <c r="E331" s="112" t="str">
        <f t="shared" si="46"/>
        <v>Act: UsernameABCD</v>
      </c>
      <c r="F331" s="107" t="str">
        <f t="shared" si="44"/>
        <v/>
      </c>
      <c r="G331" s="104" t="str">
        <f>VLOOKUP(I331,'Swiss2 Registry'!$B$2:$C$703,2,False)</f>
        <v>UsernameABCD</v>
      </c>
      <c r="H331" s="84">
        <f t="shared" si="47"/>
        <v>558</v>
      </c>
      <c r="I331" s="84">
        <f>VLOOKUP(H331,'Swiss2 Registry'!$A$2:$B$703,2,False)</f>
        <v>208</v>
      </c>
      <c r="J331" s="83" t="s">
        <v>1523</v>
      </c>
      <c r="K331" s="108" t="str">
        <f t="array" ref="K331">XLOOKUP(CELL("contents",C331),'Swiss Registry'!$B$2:$B$703,'Swiss Registry'!$N$2:$N$703) </f>
        <v>118138165855911936</v>
      </c>
      <c r="L331" s="109" t="str">
        <f t="array" ref="L331">XLOOKUP(CELL("contents",G331),'Swiss Registry'!$B$2:$B$703,'Swiss Registry'!$N$2:$N$703) </f>
        <v>341334237485465614</v>
      </c>
    </row>
    <row r="332">
      <c r="A332" s="84">
        <f t="shared" si="45"/>
        <v>498</v>
      </c>
      <c r="B332" s="84">
        <f>VLOOKUP(A332,'Swiss2 Registry'!$A$2:$B$703,2,False)</f>
        <v>412</v>
      </c>
      <c r="C332" s="104" t="str">
        <f>VLOOKUP(B332,'Swiss2 Registry'!$B$2:$C$703,2,False)</f>
        <v>Yatagarasuwu</v>
      </c>
      <c r="D332" s="105" t="str">
        <f t="shared" si="43"/>
        <v>Game 1</v>
      </c>
      <c r="E332" s="106" t="str">
        <f t="shared" si="46"/>
        <v>Game 2</v>
      </c>
      <c r="F332" s="110" t="str">
        <f t="shared" si="44"/>
        <v>Game 3</v>
      </c>
      <c r="G332" s="104" t="str">
        <f>VLOOKUP(I332,'Swiss2 Registry'!$B$2:$C$703,2,False)</f>
        <v>Himura</v>
      </c>
      <c r="H332" s="84">
        <f t="shared" si="47"/>
        <v>557</v>
      </c>
      <c r="I332" s="84">
        <f>VLOOKUP(H332,'Swiss2 Registry'!$A$2:$B$703,2,False)</f>
        <v>133</v>
      </c>
      <c r="J332" s="83" t="s">
        <v>2039</v>
      </c>
      <c r="K332" s="108" t="str">
        <f t="array" ref="K332">XLOOKUP(CELL("contents",C332),'Swiss Registry'!$B$2:$B$703,'Swiss Registry'!$N$2:$N$703) </f>
        <v>260941235768786944</v>
      </c>
      <c r="L332" s="109" t="str">
        <f t="array" ref="L332">XLOOKUP(CELL("contents",G332),'Swiss Registry'!$B$2:$B$703,'Swiss Registry'!$N$2:$N$703) </f>
        <v>437955382024077312</v>
      </c>
    </row>
    <row r="333">
      <c r="A333" s="84">
        <f t="shared" si="45"/>
        <v>499</v>
      </c>
      <c r="B333" s="84">
        <f>VLOOKUP(A333,'Swiss2 Registry'!$A$2:$B$703,2,False)</f>
        <v>497</v>
      </c>
      <c r="C333" s="104" t="str">
        <f>VLOOKUP(B333,'Swiss2 Registry'!$B$2:$C$703,2,False)</f>
        <v>GSC_Lover_Boy</v>
      </c>
      <c r="D333" s="105" t="str">
        <f t="shared" si="43"/>
        <v>Game 1</v>
      </c>
      <c r="E333" s="106" t="str">
        <f t="shared" si="46"/>
        <v>Game 2</v>
      </c>
      <c r="F333" s="110" t="str">
        <f t="shared" si="44"/>
        <v>Game 3</v>
      </c>
      <c r="G333" s="104" t="str">
        <f>VLOOKUP(I333,'Swiss2 Registry'!$B$2:$C$703,2,False)</f>
        <v>lemon04</v>
      </c>
      <c r="H333" s="84">
        <f t="shared" si="47"/>
        <v>556</v>
      </c>
      <c r="I333" s="84">
        <f>VLOOKUP(H333,'Swiss2 Registry'!$A$2:$B$703,2,False)</f>
        <v>270</v>
      </c>
      <c r="J333" s="83" t="s">
        <v>2040</v>
      </c>
      <c r="K333" s="108" t="str">
        <f t="array" ref="K333">XLOOKUP(CELL("contents",C333),'Swiss Registry'!$B$2:$B$703,'Swiss Registry'!$N$2:$N$703) </f>
        <v>1287881690001440810</v>
      </c>
      <c r="L333" s="109" t="str">
        <f t="array" ref="L333">XLOOKUP(CELL("contents",G333),'Swiss Registry'!$B$2:$B$703,'Swiss Registry'!$N$2:$N$703) </f>
        <v>177840825986711552</v>
      </c>
    </row>
    <row r="334">
      <c r="A334" s="84">
        <f t="shared" si="45"/>
        <v>500</v>
      </c>
      <c r="B334" s="84">
        <f>VLOOKUP(A334,'Swiss2 Registry'!$A$2:$B$703,2,False)</f>
        <v>655</v>
      </c>
      <c r="C334" s="104" t="str">
        <f>VLOOKUP(B334,'Swiss2 Registry'!$B$2:$C$703,2,False)</f>
        <v>DonlyPhans</v>
      </c>
      <c r="D334" s="105" t="str">
        <f t="shared" si="43"/>
        <v>Game 1</v>
      </c>
      <c r="E334" s="106" t="str">
        <f t="shared" si="46"/>
        <v>Game 2</v>
      </c>
      <c r="F334" s="110" t="str">
        <f t="shared" si="44"/>
        <v>Game 3</v>
      </c>
      <c r="G334" s="104" t="str">
        <f>VLOOKUP(I334,'Swiss2 Registry'!$B$2:$C$703,2,False)</f>
        <v>.FunkyCop</v>
      </c>
      <c r="H334" s="84">
        <f t="shared" si="47"/>
        <v>555</v>
      </c>
      <c r="I334" s="84">
        <f>VLOOKUP(H334,'Swiss2 Registry'!$A$2:$B$703,2,False)</f>
        <v>255</v>
      </c>
      <c r="J334" s="83" t="s">
        <v>2041</v>
      </c>
      <c r="K334" s="108" t="str">
        <f t="array" ref="K334">XLOOKUP(CELL("contents",C334),'Swiss Registry'!$B$2:$B$703,'Swiss Registry'!$N$2:$N$703) </f>
        <v>859201439577276416</v>
      </c>
      <c r="L334" s="109" t="str">
        <f t="array" ref="L334">XLOOKUP(CELL("contents",G334),'Swiss Registry'!$B$2:$B$703,'Swiss Registry'!$N$2:$N$703) </f>
        <v>227532710363660288</v>
      </c>
    </row>
    <row r="335">
      <c r="A335" s="84">
        <f t="shared" si="45"/>
        <v>501</v>
      </c>
      <c r="B335" s="84">
        <f>VLOOKUP(A335,'Swiss2 Registry'!$A$2:$B$703,2,False)</f>
        <v>424</v>
      </c>
      <c r="C335" s="104" t="str">
        <f>VLOOKUP(B335,'Swiss2 Registry'!$B$2:$C$703,2,False)</f>
        <v>Lawrencelot</v>
      </c>
      <c r="D335" s="105" t="str">
        <f t="shared" si="43"/>
        <v>Game 1</v>
      </c>
      <c r="E335" s="106" t="str">
        <f t="shared" si="46"/>
        <v>Game 2</v>
      </c>
      <c r="F335" s="110" t="str">
        <f t="shared" si="44"/>
        <v>Game 3</v>
      </c>
      <c r="G335" s="104" t="str">
        <f>VLOOKUP(I335,'Swiss2 Registry'!$B$2:$C$703,2,False)</f>
        <v>warupeach</v>
      </c>
      <c r="H335" s="84">
        <f t="shared" si="47"/>
        <v>554</v>
      </c>
      <c r="I335" s="84">
        <f>VLOOKUP(H335,'Swiss2 Registry'!$A$2:$B$703,2,False)</f>
        <v>575</v>
      </c>
      <c r="J335" s="83" t="s">
        <v>2042</v>
      </c>
      <c r="K335" s="108" t="str">
        <f t="array" ref="K335">XLOOKUP(CELL("contents",C335),'Swiss Registry'!$B$2:$B$703,'Swiss Registry'!$N$2:$N$703) </f>
        <v>374642536989327370</v>
      </c>
      <c r="L335" s="109" t="str">
        <f t="array" ref="L335">XLOOKUP(CELL("contents",G335),'Swiss Registry'!$B$2:$B$703,'Swiss Registry'!$N$2:$N$703) </f>
        <v>1260741423414775869</v>
      </c>
    </row>
    <row r="336">
      <c r="A336" s="84">
        <f t="shared" si="45"/>
        <v>502</v>
      </c>
      <c r="B336" s="84">
        <f>VLOOKUP(A336,'Swiss2 Registry'!$A$2:$B$703,2,False)</f>
        <v>668</v>
      </c>
      <c r="C336" s="104" t="str">
        <f>VLOOKUP(B336,'Swiss2 Registry'!$B$2:$C$703,2,False)</f>
        <v>SUB 23</v>
      </c>
      <c r="D336" s="111" t="str">
        <f t="shared" si="43"/>
        <v/>
      </c>
      <c r="E336" s="112" t="str">
        <f t="shared" si="46"/>
        <v>Act: itsaregionaldialect</v>
      </c>
      <c r="F336" s="107" t="str">
        <f t="shared" si="44"/>
        <v/>
      </c>
      <c r="G336" s="104" t="str">
        <f>VLOOKUP(I336,'Swiss2 Registry'!$B$2:$C$703,2,False)</f>
        <v>itsaregionaldialect</v>
      </c>
      <c r="H336" s="84">
        <f t="shared" si="47"/>
        <v>553</v>
      </c>
      <c r="I336" s="84">
        <f>VLOOKUP(H336,'Swiss2 Registry'!$A$2:$B$703,2,False)</f>
        <v>657</v>
      </c>
      <c r="J336" s="83" t="s">
        <v>1523</v>
      </c>
      <c r="K336" s="108" t="str">
        <f t="array" ref="K336">XLOOKUP(CELL("contents",C336),'Swiss Registry'!$B$2:$B$703,'Swiss Registry'!$N$2:$N$703) </f>
        <v>SUB</v>
      </c>
      <c r="L336" s="109" t="str">
        <f t="array" ref="L336">XLOOKUP(CELL("contents",G336),'Swiss Registry'!$B$2:$B$703,'Swiss Registry'!$N$2:$N$703) </f>
        <v>SUB</v>
      </c>
    </row>
    <row r="337">
      <c r="A337" s="84">
        <f t="shared" si="45"/>
        <v>503</v>
      </c>
      <c r="B337" s="84">
        <f>VLOOKUP(A337,'Swiss2 Registry'!$A$2:$B$703,2,False)</f>
        <v>516</v>
      </c>
      <c r="C337" s="104" t="str">
        <f>VLOOKUP(B337,'Swiss2 Registry'!$B$2:$C$703,2,False)</f>
        <v>dazey</v>
      </c>
      <c r="D337" s="105" t="str">
        <f t="shared" si="43"/>
        <v>Game 1</v>
      </c>
      <c r="E337" s="106" t="str">
        <f t="shared" si="46"/>
        <v>Game 2</v>
      </c>
      <c r="F337" s="107" t="str">
        <f t="shared" si="44"/>
        <v/>
      </c>
      <c r="G337" s="104" t="str">
        <f>VLOOKUP(I337,'Swiss2 Registry'!$B$2:$C$703,2,False)</f>
        <v>Vholtninja</v>
      </c>
      <c r="H337" s="84">
        <f t="shared" si="47"/>
        <v>552</v>
      </c>
      <c r="I337" s="84">
        <f>VLOOKUP(H337,'Swiss2 Registry'!$A$2:$B$703,2,False)</f>
        <v>518</v>
      </c>
      <c r="J337" s="83" t="s">
        <v>2043</v>
      </c>
      <c r="K337" s="108" t="str">
        <f t="array" ref="K337">XLOOKUP(CELL("contents",C337),'Swiss Registry'!$B$2:$B$703,'Swiss Registry'!$N$2:$N$703) </f>
        <v>72877098267586560</v>
      </c>
      <c r="L337" s="109" t="str">
        <f t="array" ref="L337">XLOOKUP(CELL("contents",G337),'Swiss Registry'!$B$2:$B$703,'Swiss Registry'!$N$2:$N$703) </f>
        <v>495147477398192128</v>
      </c>
    </row>
    <row r="338">
      <c r="A338" s="84">
        <f t="shared" si="45"/>
        <v>504</v>
      </c>
      <c r="B338" s="84">
        <f>VLOOKUP(A338,'Swiss2 Registry'!$A$2:$B$703,2,False)</f>
        <v>323</v>
      </c>
      <c r="C338" s="104" t="str">
        <f>VLOOKUP(B338,'Swiss2 Registry'!$B$2:$C$703,2,False)</f>
        <v>Witchgender</v>
      </c>
      <c r="D338" s="105" t="str">
        <f t="shared" si="43"/>
        <v>Game 1</v>
      </c>
      <c r="E338" s="106" t="str">
        <f t="shared" si="46"/>
        <v>Game 2</v>
      </c>
      <c r="F338" s="110" t="str">
        <f t="shared" si="44"/>
        <v>Game 3</v>
      </c>
      <c r="G338" s="104" t="str">
        <f>VLOOKUP(I338,'Swiss2 Registry'!$B$2:$C$703,2,False)</f>
        <v>CodeRedSP</v>
      </c>
      <c r="H338" s="84">
        <f t="shared" si="47"/>
        <v>551</v>
      </c>
      <c r="I338" s="84">
        <f>VLOOKUP(H338,'Swiss2 Registry'!$A$2:$B$703,2,False)</f>
        <v>485</v>
      </c>
      <c r="J338" s="83" t="s">
        <v>2044</v>
      </c>
      <c r="K338" s="108" t="str">
        <f t="array" ref="K338">XLOOKUP(CELL("contents",C338),'Swiss Registry'!$B$2:$B$703,'Swiss Registry'!$N$2:$N$703) </f>
        <v>398504218102857728</v>
      </c>
      <c r="L338" s="109" t="str">
        <f t="array" ref="L338">XLOOKUP(CELL("contents",G338),'Swiss Registry'!$B$2:$B$703,'Swiss Registry'!$N$2:$N$703) </f>
        <v>1288584285833527439</v>
      </c>
    </row>
    <row r="339">
      <c r="A339" s="84">
        <f t="shared" si="45"/>
        <v>505</v>
      </c>
      <c r="B339" s="84">
        <f>VLOOKUP(A339,'Swiss2 Registry'!$A$2:$B$703,2,False)</f>
        <v>434</v>
      </c>
      <c r="C339" s="104" t="str">
        <f>VLOOKUP(B339,'Swiss2 Registry'!$B$2:$C$703,2,False)</f>
        <v>nemesis_deno</v>
      </c>
      <c r="D339" s="105" t="str">
        <f t="shared" si="43"/>
        <v>Game 1</v>
      </c>
      <c r="E339" s="106" t="str">
        <f t="shared" si="46"/>
        <v>Game 2</v>
      </c>
      <c r="F339" s="110" t="str">
        <f t="shared" si="44"/>
        <v>Game 3</v>
      </c>
      <c r="G339" s="104" t="str">
        <f>VLOOKUP(I339,'Swiss2 Registry'!$B$2:$C$703,2,False)</f>
        <v>caps lock 3009</v>
      </c>
      <c r="H339" s="84">
        <f t="shared" si="47"/>
        <v>550</v>
      </c>
      <c r="I339" s="84">
        <f>VLOOKUP(H339,'Swiss2 Registry'!$A$2:$B$703,2,False)</f>
        <v>387</v>
      </c>
      <c r="J339" s="83" t="s">
        <v>2045</v>
      </c>
      <c r="K339" s="108" t="str">
        <f t="array" ref="K339">XLOOKUP(CELL("contents",C339),'Swiss Registry'!$B$2:$B$703,'Swiss Registry'!$N$2:$N$703) </f>
        <v>465952239350186006</v>
      </c>
      <c r="L339" s="109" t="str">
        <f t="array" ref="L339">XLOOKUP(CELL("contents",G339),'Swiss Registry'!$B$2:$B$703,'Swiss Registry'!$N$2:$N$703) </f>
        <v>735968904328904897</v>
      </c>
    </row>
    <row r="340">
      <c r="A340" s="84">
        <f t="shared" si="45"/>
        <v>506</v>
      </c>
      <c r="B340" s="84">
        <f>VLOOKUP(A340,'Swiss2 Registry'!$A$2:$B$703,2,False)</f>
        <v>652</v>
      </c>
      <c r="C340" s="104" t="str">
        <f>VLOOKUP(B340,'Swiss2 Registry'!$B$2:$C$703,2,False)</f>
        <v>Master_Penguini</v>
      </c>
      <c r="D340" s="105" t="str">
        <f t="shared" si="43"/>
        <v>Game 1</v>
      </c>
      <c r="E340" s="106" t="str">
        <f t="shared" si="46"/>
        <v>Game 2</v>
      </c>
      <c r="F340" s="107" t="str">
        <f t="shared" si="44"/>
        <v/>
      </c>
      <c r="G340" s="104" t="str">
        <f>VLOOKUP(I340,'Swiss2 Registry'!$B$2:$C$703,2,False)</f>
        <v>bevreeze</v>
      </c>
      <c r="H340" s="84">
        <f t="shared" si="47"/>
        <v>549</v>
      </c>
      <c r="I340" s="84">
        <f>VLOOKUP(H340,'Swiss2 Registry'!$A$2:$B$703,2,False)</f>
        <v>342</v>
      </c>
      <c r="J340" s="83" t="s">
        <v>2046</v>
      </c>
      <c r="K340" s="108" t="str">
        <f t="array" ref="K340">XLOOKUP(CELL("contents",C340),'Swiss Registry'!$B$2:$B$703,'Swiss Registry'!$N$2:$N$703) </f>
        <v>202851295176949760</v>
      </c>
      <c r="L340" s="109" t="str">
        <f t="array" ref="L340">XLOOKUP(CELL("contents",G340),'Swiss Registry'!$B$2:$B$703,'Swiss Registry'!$N$2:$N$703) </f>
        <v>283298397723688960</v>
      </c>
    </row>
    <row r="341">
      <c r="A341" s="84">
        <f t="shared" si="45"/>
        <v>507</v>
      </c>
      <c r="B341" s="84">
        <f>VLOOKUP(A341,'Swiss2 Registry'!$A$2:$B$703,2,False)</f>
        <v>602</v>
      </c>
      <c r="C341" s="104" t="str">
        <f>VLOOKUP(B341,'Swiss2 Registry'!$B$2:$C$703,2,False)</f>
        <v>zoyotte</v>
      </c>
      <c r="D341" s="111" t="str">
        <f t="shared" si="43"/>
        <v/>
      </c>
      <c r="E341" s="112" t="str">
        <f t="shared" si="46"/>
        <v>Act: zoyotte</v>
      </c>
      <c r="F341" s="107" t="str">
        <f t="shared" si="44"/>
        <v/>
      </c>
      <c r="G341" s="104" t="str">
        <f>VLOOKUP(I341,'Swiss2 Registry'!$B$2:$C$703,2,False)</f>
        <v>soulive</v>
      </c>
      <c r="H341" s="84">
        <f t="shared" si="47"/>
        <v>548</v>
      </c>
      <c r="I341" s="84">
        <f>VLOOKUP(H341,'Swiss2 Registry'!$A$2:$B$703,2,False)</f>
        <v>234</v>
      </c>
      <c r="J341" s="83" t="s">
        <v>1486</v>
      </c>
      <c r="K341" s="108" t="str">
        <f t="array" ref="K341">XLOOKUP(CELL("contents",C341),'Swiss Registry'!$B$2:$B$703,'Swiss Registry'!$N$2:$N$703) </f>
        <v>429574111350489088</v>
      </c>
      <c r="L341" s="109" t="str">
        <f t="array" ref="L341">XLOOKUP(CELL("contents",G341),'Swiss Registry'!$B$2:$B$703,'Swiss Registry'!$N$2:$N$703) </f>
        <v>563757688710889482</v>
      </c>
    </row>
    <row r="342">
      <c r="A342" s="84">
        <f t="shared" si="45"/>
        <v>508</v>
      </c>
      <c r="B342" s="84">
        <f>VLOOKUP(A342,'Swiss2 Registry'!$A$2:$B$703,2,False)</f>
        <v>176</v>
      </c>
      <c r="C342" s="104" t="str">
        <f>VLOOKUP(B342,'Swiss2 Registry'!$B$2:$C$703,2,False)</f>
        <v>Eternum</v>
      </c>
      <c r="D342" s="105" t="str">
        <f t="shared" si="43"/>
        <v>Game 1</v>
      </c>
      <c r="E342" s="106" t="str">
        <f t="shared" si="46"/>
        <v>Game 2</v>
      </c>
      <c r="F342" s="107" t="str">
        <f t="shared" si="44"/>
        <v/>
      </c>
      <c r="G342" s="104" t="str">
        <f>VLOOKUP(I342,'Swiss2 Registry'!$B$2:$C$703,2,False)</f>
        <v>sdj</v>
      </c>
      <c r="H342" s="84">
        <f t="shared" si="47"/>
        <v>547</v>
      </c>
      <c r="I342" s="84">
        <f>VLOOKUP(H342,'Swiss2 Registry'!$A$2:$B$703,2,False)</f>
        <v>647</v>
      </c>
      <c r="J342" s="83" t="s">
        <v>2047</v>
      </c>
      <c r="K342" s="108" t="str">
        <f t="array" ref="K342">XLOOKUP(CELL("contents",C342),'Swiss Registry'!$B$2:$B$703,'Swiss Registry'!$N$2:$N$703) </f>
        <v>216003172471275522</v>
      </c>
      <c r="L342" s="109" t="str">
        <f t="array" ref="L342">XLOOKUP(CELL("contents",G342),'Swiss Registry'!$B$2:$B$703,'Swiss Registry'!$N$2:$N$703) </f>
        <v>229267701514764288</v>
      </c>
    </row>
    <row r="343">
      <c r="A343" s="84">
        <f t="shared" si="45"/>
        <v>509</v>
      </c>
      <c r="B343" s="84">
        <f>VLOOKUP(A343,'Swiss2 Registry'!$A$2:$B$703,2,False)</f>
        <v>163</v>
      </c>
      <c r="C343" s="104" t="str">
        <f>VLOOKUP(B343,'Swiss2 Registry'!$B$2:$C$703,2,False)</f>
        <v>tonii5531</v>
      </c>
      <c r="D343" s="105" t="str">
        <f t="shared" si="43"/>
        <v>Game 1</v>
      </c>
      <c r="E343" s="106" t="str">
        <f t="shared" si="46"/>
        <v>Game 2</v>
      </c>
      <c r="F343" s="110" t="str">
        <f t="shared" si="44"/>
        <v>Game 3</v>
      </c>
      <c r="G343" s="104" t="str">
        <f>VLOOKUP(I343,'Swiss2 Registry'!$B$2:$C$703,2,False)</f>
        <v>Pietro Giuffra</v>
      </c>
      <c r="H343" s="84">
        <f t="shared" si="47"/>
        <v>546</v>
      </c>
      <c r="I343" s="84">
        <f>VLOOKUP(H343,'Swiss2 Registry'!$A$2:$B$703,2,False)</f>
        <v>262</v>
      </c>
      <c r="J343" s="83" t="s">
        <v>2048</v>
      </c>
      <c r="K343" s="108" t="str">
        <f t="array" ref="K343">XLOOKUP(CELL("contents",C343),'Swiss Registry'!$B$2:$B$703,'Swiss Registry'!$N$2:$N$703) </f>
        <v>472908398451752991</v>
      </c>
      <c r="L343" s="109" t="str">
        <f t="array" ref="L343">XLOOKUP(CELL("contents",G343),'Swiss Registry'!$B$2:$B$703,'Swiss Registry'!$N$2:$N$703) </f>
        <v>1208461833623834698</v>
      </c>
    </row>
    <row r="344">
      <c r="A344" s="84">
        <f t="shared" si="45"/>
        <v>510</v>
      </c>
      <c r="B344" s="84">
        <f>VLOOKUP(A344,'Swiss2 Registry'!$A$2:$B$703,2,False)</f>
        <v>637</v>
      </c>
      <c r="C344" s="104" t="str">
        <f>VLOOKUP(B344,'Swiss2 Registry'!$B$2:$C$703,2,False)</f>
        <v>lacoot</v>
      </c>
      <c r="D344" s="105" t="str">
        <f t="shared" si="43"/>
        <v>Game 1</v>
      </c>
      <c r="E344" s="106" t="str">
        <f t="shared" si="46"/>
        <v>Game 2</v>
      </c>
      <c r="F344" s="107" t="str">
        <f t="shared" si="44"/>
        <v/>
      </c>
      <c r="G344" s="104" t="str">
        <f>VLOOKUP(I344,'Swiss2 Registry'!$B$2:$C$703,2,False)</f>
        <v>crustaceus</v>
      </c>
      <c r="H344" s="84">
        <f t="shared" si="47"/>
        <v>545</v>
      </c>
      <c r="I344" s="84">
        <f>VLOOKUP(H344,'Swiss2 Registry'!$A$2:$B$703,2,False)</f>
        <v>574</v>
      </c>
      <c r="J344" s="83" t="s">
        <v>2049</v>
      </c>
      <c r="K344" s="108" t="str">
        <f t="array" ref="K344">XLOOKUP(CELL("contents",C344),'Swiss Registry'!$B$2:$B$703,'Swiss Registry'!$N$2:$N$703) </f>
        <v>97354702949191680</v>
      </c>
      <c r="L344" s="109" t="str">
        <f t="array" ref="L344">XLOOKUP(CELL("contents",G344),'Swiss Registry'!$B$2:$B$703,'Swiss Registry'!$N$2:$N$703) </f>
        <v>119952719183216640</v>
      </c>
    </row>
    <row r="345">
      <c r="A345" s="84">
        <f t="shared" si="45"/>
        <v>511</v>
      </c>
      <c r="B345" s="84">
        <f>VLOOKUP(A345,'Swiss2 Registry'!$A$2:$B$703,2,False)</f>
        <v>598</v>
      </c>
      <c r="C345" s="104" t="str">
        <f>VLOOKUP(B345,'Swiss2 Registry'!$B$2:$C$703,2,False)</f>
        <v>draccus_comun</v>
      </c>
      <c r="D345" s="105" t="str">
        <f t="shared" si="43"/>
        <v>Game 1</v>
      </c>
      <c r="E345" s="106" t="str">
        <f t="shared" si="46"/>
        <v>Game 2</v>
      </c>
      <c r="F345" s="107" t="str">
        <f t="shared" si="44"/>
        <v/>
      </c>
      <c r="G345" s="104" t="str">
        <f>VLOOKUP(I345,'Swiss2 Registry'!$B$2:$C$703,2,False)</f>
        <v>allmovingshadows</v>
      </c>
      <c r="H345" s="84">
        <f t="shared" si="47"/>
        <v>544</v>
      </c>
      <c r="I345" s="84">
        <f>VLOOKUP(H345,'Swiss2 Registry'!$A$2:$B$703,2,False)</f>
        <v>136</v>
      </c>
      <c r="J345" s="83" t="s">
        <v>2050</v>
      </c>
      <c r="K345" s="108" t="str">
        <f t="array" ref="K345">XLOOKUP(CELL("contents",C345),'Swiss Registry'!$B$2:$B$703,'Swiss Registry'!$N$2:$N$703) </f>
        <v>1288506532857909365</v>
      </c>
      <c r="L345" s="109" t="str">
        <f t="array" ref="L345">XLOOKUP(CELL("contents",G345),'Swiss Registry'!$B$2:$B$703,'Swiss Registry'!$N$2:$N$703) </f>
        <v>1218021450191994892</v>
      </c>
    </row>
    <row r="346">
      <c r="A346" s="84">
        <f t="shared" si="45"/>
        <v>512</v>
      </c>
      <c r="B346" s="84">
        <f>VLOOKUP(A346,'Swiss2 Registry'!$A$2:$B$703,2,False)</f>
        <v>144</v>
      </c>
      <c r="C346" s="104" t="str">
        <f>VLOOKUP(B346,'Swiss2 Registry'!$B$2:$C$703,2,False)</f>
        <v>Forest4269</v>
      </c>
      <c r="D346" s="105" t="str">
        <f t="shared" si="43"/>
        <v>Game 1</v>
      </c>
      <c r="E346" s="106" t="str">
        <f t="shared" si="46"/>
        <v>Game 2</v>
      </c>
      <c r="F346" s="110" t="str">
        <f t="shared" si="44"/>
        <v>Game 3</v>
      </c>
      <c r="G346" s="104" t="str">
        <f>VLOOKUP(I346,'Swiss2 Registry'!$B$2:$C$703,2,False)</f>
        <v>Blanched</v>
      </c>
      <c r="H346" s="84">
        <f t="shared" si="47"/>
        <v>543</v>
      </c>
      <c r="I346" s="84">
        <f>VLOOKUP(H346,'Swiss2 Registry'!$A$2:$B$703,2,False)</f>
        <v>695</v>
      </c>
      <c r="J346" s="83" t="s">
        <v>2051</v>
      </c>
      <c r="K346" s="108" t="str">
        <f t="array" ref="K346">XLOOKUP(CELL("contents",C346),'Swiss Registry'!$B$2:$B$703,'Swiss Registry'!$N$2:$N$703) </f>
        <v>139115501732233216</v>
      </c>
      <c r="L346" s="109" t="str">
        <f t="array" ref="L346">XLOOKUP(CELL("contents",G346),'Swiss Registry'!$B$2:$B$703,'Swiss Registry'!$N$2:$N$703) </f>
        <v>270997842628182026</v>
      </c>
    </row>
    <row r="347">
      <c r="A347" s="84">
        <f t="shared" si="45"/>
        <v>513</v>
      </c>
      <c r="B347" s="84">
        <f>VLOOKUP(A347,'Swiss2 Registry'!$A$2:$B$703,2,False)</f>
        <v>409</v>
      </c>
      <c r="C347" s="104" t="str">
        <f>VLOOKUP(B347,'Swiss2 Registry'!$B$2:$C$703,2,False)</f>
        <v>biff_the_banana</v>
      </c>
      <c r="D347" s="105" t="str">
        <f t="shared" si="43"/>
        <v>Game 1</v>
      </c>
      <c r="E347" s="106" t="str">
        <f t="shared" si="46"/>
        <v>Game 2</v>
      </c>
      <c r="F347" s="110" t="str">
        <f t="shared" si="44"/>
        <v>Game 3</v>
      </c>
      <c r="G347" s="104" t="str">
        <f>VLOOKUP(I347,'Swiss2 Registry'!$B$2:$C$703,2,False)</f>
        <v>luca</v>
      </c>
      <c r="H347" s="84">
        <f t="shared" si="47"/>
        <v>542</v>
      </c>
      <c r="I347" s="84">
        <f>VLOOKUP(H347,'Swiss2 Registry'!$A$2:$B$703,2,False)</f>
        <v>311</v>
      </c>
      <c r="J347" s="83" t="s">
        <v>2052</v>
      </c>
      <c r="K347" s="108" t="str">
        <f t="array" ref="K347">XLOOKUP(CELL("contents",C347),'Swiss Registry'!$B$2:$B$703,'Swiss Registry'!$N$2:$N$703) </f>
        <v>254196036694704129</v>
      </c>
      <c r="L347" s="109" t="str">
        <f t="array" ref="L347">XLOOKUP(CELL("contents",G347),'Swiss Registry'!$B$2:$B$703,'Swiss Registry'!$N$2:$N$703) </f>
        <v>66965595282743296</v>
      </c>
    </row>
    <row r="348">
      <c r="A348" s="84">
        <f t="shared" si="45"/>
        <v>514</v>
      </c>
      <c r="B348" s="84">
        <f>VLOOKUP(A348,'Swiss2 Registry'!$A$2:$B$703,2,False)</f>
        <v>390</v>
      </c>
      <c r="C348" s="104" t="str">
        <f>VLOOKUP(B348,'Swiss2 Registry'!$B$2:$C$703,2,False)</f>
        <v>Wifike</v>
      </c>
      <c r="D348" s="111" t="str">
        <f t="shared" si="43"/>
        <v/>
      </c>
      <c r="E348" s="112" t="str">
        <f t="shared" si="46"/>
        <v>Act: wwwmonmon</v>
      </c>
      <c r="F348" s="107" t="str">
        <f t="shared" si="44"/>
        <v/>
      </c>
      <c r="G348" s="104" t="str">
        <f>VLOOKUP(I348,'Swiss2 Registry'!$B$2:$C$703,2,False)</f>
        <v>wwwmonmon</v>
      </c>
      <c r="H348" s="84">
        <f t="shared" si="47"/>
        <v>541</v>
      </c>
      <c r="I348" s="84">
        <f>VLOOKUP(H348,'Swiss2 Registry'!$A$2:$B$703,2,False)</f>
        <v>466</v>
      </c>
      <c r="J348" s="83" t="s">
        <v>1523</v>
      </c>
      <c r="K348" s="108" t="str">
        <f t="array" ref="K348">XLOOKUP(CELL("contents",C348),'Swiss Registry'!$B$2:$B$703,'Swiss Registry'!$N$2:$N$703) </f>
        <v>849829490254544947</v>
      </c>
      <c r="L348" s="109" t="str">
        <f t="array" ref="L348">XLOOKUP(CELL("contents",G348),'Swiss Registry'!$B$2:$B$703,'Swiss Registry'!$N$2:$N$703) </f>
        <v>579395206680412172</v>
      </c>
    </row>
    <row r="349">
      <c r="A349" s="84">
        <f t="shared" si="45"/>
        <v>515</v>
      </c>
      <c r="B349" s="84">
        <f>VLOOKUP(A349,'Swiss2 Registry'!$A$2:$B$703,2,False)</f>
        <v>419</v>
      </c>
      <c r="C349" s="104" t="str">
        <f>VLOOKUP(B349,'Swiss2 Registry'!$B$2:$C$703,2,False)</f>
        <v>SUB 22</v>
      </c>
      <c r="D349" s="111" t="str">
        <f t="shared" si="43"/>
        <v/>
      </c>
      <c r="E349" s="112" t="str">
        <f t="shared" si="46"/>
        <v>Act: Musical_box</v>
      </c>
      <c r="F349" s="107" t="str">
        <f t="shared" si="44"/>
        <v/>
      </c>
      <c r="G349" s="104" t="str">
        <f>VLOOKUP(I349,'Swiss2 Registry'!$B$2:$C$703,2,False)</f>
        <v>Musical_box</v>
      </c>
      <c r="H349" s="84">
        <f t="shared" si="47"/>
        <v>540</v>
      </c>
      <c r="I349" s="84">
        <f>VLOOKUP(H349,'Swiss2 Registry'!$A$2:$B$703,2,False)</f>
        <v>309</v>
      </c>
      <c r="J349" s="83" t="s">
        <v>1523</v>
      </c>
      <c r="K349" s="108" t="str">
        <f t="array" ref="K349">XLOOKUP(CELL("contents",C349),'Swiss Registry'!$B$2:$B$703,'Swiss Registry'!$N$2:$N$703) </f>
        <v>SUB</v>
      </c>
      <c r="L349" s="109" t="str">
        <f t="array" ref="L349">XLOOKUP(CELL("contents",G349),'Swiss Registry'!$B$2:$B$703,'Swiss Registry'!$N$2:$N$703) </f>
        <v>426204261290868736</v>
      </c>
    </row>
    <row r="350">
      <c r="A350" s="84">
        <f t="shared" si="45"/>
        <v>516</v>
      </c>
      <c r="B350" s="84">
        <f>VLOOKUP(A350,'Swiss2 Registry'!$A$2:$B$703,2,False)</f>
        <v>622</v>
      </c>
      <c r="C350" s="104" t="str">
        <f>VLOOKUP(B350,'Swiss2 Registry'!$B$2:$C$703,2,False)</f>
        <v>Nicko8</v>
      </c>
      <c r="D350" s="105" t="str">
        <f t="shared" si="43"/>
        <v>Game 1</v>
      </c>
      <c r="E350" s="106" t="str">
        <f t="shared" si="46"/>
        <v>Game 2</v>
      </c>
      <c r="F350" s="107" t="str">
        <f t="shared" si="44"/>
        <v/>
      </c>
      <c r="G350" s="104" t="str">
        <f>VLOOKUP(I350,'Swiss2 Registry'!$B$2:$C$703,2,False)</f>
        <v>hangerguardian</v>
      </c>
      <c r="H350" s="84">
        <f t="shared" si="47"/>
        <v>539</v>
      </c>
      <c r="I350" s="84">
        <f>VLOOKUP(H350,'Swiss2 Registry'!$A$2:$B$703,2,False)</f>
        <v>663</v>
      </c>
      <c r="J350" s="83" t="s">
        <v>2053</v>
      </c>
      <c r="K350" s="108" t="str">
        <f t="array" ref="K350">XLOOKUP(CELL("contents",C350),'Swiss Registry'!$B$2:$B$703,'Swiss Registry'!$N$2:$N$703) </f>
        <v>148744968666742784</v>
      </c>
      <c r="L350" s="109" t="str">
        <f t="array" ref="L350">XLOOKUP(CELL("contents",G350),'Swiss Registry'!$B$2:$B$703,'Swiss Registry'!$N$2:$N$703) </f>
        <v>191370461894934528</v>
      </c>
    </row>
    <row r="351">
      <c r="A351" s="84">
        <f t="shared" si="45"/>
        <v>517</v>
      </c>
      <c r="B351" s="84">
        <f>VLOOKUP(A351,'Swiss2 Registry'!$A$2:$B$703,2,False)</f>
        <v>118</v>
      </c>
      <c r="C351" s="104" t="str">
        <f>VLOOKUP(B351,'Swiss2 Registry'!$B$2:$C$703,2,False)</f>
        <v>cashzachary</v>
      </c>
      <c r="D351" s="105" t="str">
        <f t="shared" si="43"/>
        <v>Game 1</v>
      </c>
      <c r="E351" s="106" t="str">
        <f t="shared" si="46"/>
        <v>Game 2</v>
      </c>
      <c r="F351" s="107" t="str">
        <f t="shared" si="44"/>
        <v/>
      </c>
      <c r="G351" s="104" t="str">
        <f>VLOOKUP(I351,'Swiss2 Registry'!$B$2:$C$703,2,False)</f>
        <v>zioplys</v>
      </c>
      <c r="H351" s="84">
        <f t="shared" si="47"/>
        <v>538</v>
      </c>
      <c r="I351" s="84">
        <f>VLOOKUP(H351,'Swiss2 Registry'!$A$2:$B$703,2,False)</f>
        <v>436</v>
      </c>
      <c r="J351" s="83" t="s">
        <v>2054</v>
      </c>
      <c r="K351" s="108" t="str">
        <f t="array" ref="K351">XLOOKUP(CELL("contents",C351),'Swiss Registry'!$B$2:$B$703,'Swiss Registry'!$N$2:$N$703) </f>
        <v>1238981053226549308</v>
      </c>
      <c r="L351" s="109" t="str">
        <f t="array" ref="L351">XLOOKUP(CELL("contents",G351),'Swiss Registry'!$B$2:$B$703,'Swiss Registry'!$N$2:$N$703) </f>
        <v>274221914312933379</v>
      </c>
    </row>
    <row r="352">
      <c r="A352" s="84">
        <f t="shared" si="45"/>
        <v>518</v>
      </c>
      <c r="B352" s="84">
        <f>VLOOKUP(A352,'Swiss2 Registry'!$A$2:$B$703,2,False)</f>
        <v>258</v>
      </c>
      <c r="C352" s="104" t="str">
        <f>VLOOKUP(B352,'Swiss2 Registry'!$B$2:$C$703,2,False)</f>
        <v>kalarse</v>
      </c>
      <c r="D352" s="105" t="str">
        <f t="shared" si="43"/>
        <v>Game 1</v>
      </c>
      <c r="E352" s="106" t="str">
        <f t="shared" si="46"/>
        <v>Game 2</v>
      </c>
      <c r="F352" s="107" t="str">
        <f t="shared" si="44"/>
        <v/>
      </c>
      <c r="G352" s="104" t="str">
        <f>VLOOKUP(I352,'Swiss2 Registry'!$B$2:$C$703,2,False)</f>
        <v>Latlat1</v>
      </c>
      <c r="H352" s="84">
        <f t="shared" si="47"/>
        <v>537</v>
      </c>
      <c r="I352" s="84">
        <f>VLOOKUP(H352,'Swiss2 Registry'!$A$2:$B$703,2,False)</f>
        <v>678</v>
      </c>
      <c r="J352" s="83" t="s">
        <v>2055</v>
      </c>
      <c r="K352" s="108" t="str">
        <f t="array" ref="K352">XLOOKUP(CELL("contents",C352),'Swiss Registry'!$B$2:$B$703,'Swiss Registry'!$N$2:$N$703) </f>
        <v>105796893690376192</v>
      </c>
      <c r="L352" s="109" t="str">
        <f t="array" ref="L352">XLOOKUP(CELL("contents",G352),'Swiss Registry'!$B$2:$B$703,'Swiss Registry'!$N$2:$N$703) </f>
        <v>186768858357432320</v>
      </c>
    </row>
    <row r="353">
      <c r="A353" s="84">
        <f t="shared" si="45"/>
        <v>519</v>
      </c>
      <c r="B353" s="84">
        <f>VLOOKUP(A353,'Swiss2 Registry'!$A$2:$B$703,2,False)</f>
        <v>449</v>
      </c>
      <c r="C353" s="104" t="str">
        <f>VLOOKUP(B353,'Swiss2 Registry'!$B$2:$C$703,2,False)</f>
        <v>biluv_v</v>
      </c>
      <c r="D353" s="105" t="str">
        <f t="shared" si="43"/>
        <v>Game 1</v>
      </c>
      <c r="E353" s="106" t="str">
        <f t="shared" si="46"/>
        <v>Game 2</v>
      </c>
      <c r="F353" s="107" t="str">
        <f t="shared" si="44"/>
        <v/>
      </c>
      <c r="G353" s="104" t="str">
        <f>VLOOKUP(I353,'Swiss2 Registry'!$B$2:$C$703,2,False)</f>
        <v>SUB 25</v>
      </c>
      <c r="H353" s="84">
        <f t="shared" si="47"/>
        <v>536</v>
      </c>
      <c r="I353" s="84">
        <f>VLOOKUP(H353,'Swiss2 Registry'!$A$2:$B$703,2,False)</f>
        <v>386</v>
      </c>
      <c r="J353" s="83" t="s">
        <v>2056</v>
      </c>
      <c r="K353" s="108" t="str">
        <f t="array" ref="K353">XLOOKUP(CELL("contents",C353),'Swiss Registry'!$B$2:$B$703,'Swiss Registry'!$N$2:$N$703) </f>
        <v>1073292922390319195</v>
      </c>
      <c r="L353" s="109" t="str">
        <f t="array" ref="L353">XLOOKUP(CELL("contents",G353),'Swiss Registry'!$B$2:$B$703,'Swiss Registry'!$N$2:$N$703) </f>
        <v>SUB</v>
      </c>
    </row>
    <row r="354">
      <c r="A354" s="84">
        <f t="shared" si="45"/>
        <v>520</v>
      </c>
      <c r="B354" s="84">
        <f>VLOOKUP(A354,'Swiss2 Registry'!$A$2:$B$703,2,False)</f>
        <v>644</v>
      </c>
      <c r="C354" s="104" t="str">
        <f>VLOOKUP(B354,'Swiss2 Registry'!$B$2:$C$703,2,False)</f>
        <v>scrapmetal56</v>
      </c>
      <c r="D354" s="105" t="str">
        <f t="shared" si="43"/>
        <v>Game 1</v>
      </c>
      <c r="E354" s="106" t="str">
        <f t="shared" si="46"/>
        <v>Game 2</v>
      </c>
      <c r="F354" s="107" t="str">
        <f t="shared" si="44"/>
        <v/>
      </c>
      <c r="G354" s="104" t="str">
        <f>VLOOKUP(I354,'Swiss2 Registry'!$B$2:$C$703,2,False)</f>
        <v>no8ull</v>
      </c>
      <c r="H354" s="84">
        <f t="shared" si="47"/>
        <v>535</v>
      </c>
      <c r="I354" s="84">
        <f>VLOOKUP(H354,'Swiss2 Registry'!$A$2:$B$703,2,False)</f>
        <v>482</v>
      </c>
      <c r="J354" s="83" t="s">
        <v>2057</v>
      </c>
      <c r="K354" s="108" t="str">
        <f t="array" ref="K354">XLOOKUP(CELL("contents",C354),'Swiss Registry'!$B$2:$B$703,'Swiss Registry'!$N$2:$N$703) </f>
        <v>289371283995492352</v>
      </c>
      <c r="L354" s="109" t="str">
        <f t="array" ref="L354">XLOOKUP(CELL("contents",G354),'Swiss Registry'!$B$2:$B$703,'Swiss Registry'!$N$2:$N$703) </f>
        <v>647900479602425856</v>
      </c>
    </row>
    <row r="355">
      <c r="A355" s="84">
        <f t="shared" si="45"/>
        <v>521</v>
      </c>
      <c r="B355" s="84">
        <f>VLOOKUP(A355,'Swiss2 Registry'!$A$2:$B$703,2,False)</f>
        <v>288</v>
      </c>
      <c r="C355" s="104" t="str">
        <f>VLOOKUP(B355,'Swiss2 Registry'!$B$2:$C$703,2,False)</f>
        <v>mewunderscoretwo</v>
      </c>
      <c r="D355" s="105" t="str">
        <f t="shared" si="43"/>
        <v>Game 1</v>
      </c>
      <c r="E355" s="106" t="str">
        <f t="shared" si="46"/>
        <v>Game 2</v>
      </c>
      <c r="F355" s="107" t="str">
        <f t="shared" si="44"/>
        <v/>
      </c>
      <c r="G355" s="104" t="str">
        <f>VLOOKUP(I355,'Swiss2 Registry'!$B$2:$C$703,2,False)</f>
        <v>SUB 27</v>
      </c>
      <c r="H355" s="84">
        <f t="shared" si="47"/>
        <v>534</v>
      </c>
      <c r="I355" s="84">
        <f>VLOOKUP(H355,'Swiss2 Registry'!$A$2:$B$703,2,False)</f>
        <v>562</v>
      </c>
      <c r="J355" s="83" t="s">
        <v>2058</v>
      </c>
      <c r="K355" s="108" t="str">
        <f t="array" ref="K355">XLOOKUP(CELL("contents",C355),'Swiss Registry'!$B$2:$B$703,'Swiss Registry'!$N$2:$N$703) </f>
        <v>234366103998955521</v>
      </c>
      <c r="L355" s="109" t="str">
        <f t="array" ref="L355">XLOOKUP(CELL("contents",G355),'Swiss Registry'!$B$2:$B$703,'Swiss Registry'!$N$2:$N$703) </f>
        <v>SUB</v>
      </c>
    </row>
    <row r="356">
      <c r="A356" s="84">
        <f t="shared" si="45"/>
        <v>522</v>
      </c>
      <c r="B356" s="84">
        <f>VLOOKUP(A356,'Swiss2 Registry'!$A$2:$B$703,2,False)</f>
        <v>686</v>
      </c>
      <c r="C356" s="104" t="str">
        <f>VLOOKUP(B356,'Swiss2 Registry'!$B$2:$C$703,2,False)</f>
        <v>Print Screen</v>
      </c>
      <c r="D356" s="105" t="str">
        <f t="shared" si="43"/>
        <v>Game 1</v>
      </c>
      <c r="E356" s="106" t="str">
        <f t="shared" si="46"/>
        <v>Game 2</v>
      </c>
      <c r="F356" s="107" t="str">
        <f t="shared" si="44"/>
        <v/>
      </c>
      <c r="G356" s="104" t="str">
        <f>VLOOKUP(I356,'Swiss2 Registry'!$B$2:$C$703,2,False)</f>
        <v>sensei_moon</v>
      </c>
      <c r="H356" s="84">
        <f t="shared" si="47"/>
        <v>533</v>
      </c>
      <c r="I356" s="84">
        <f>VLOOKUP(H356,'Swiss2 Registry'!$A$2:$B$703,2,False)</f>
        <v>604</v>
      </c>
      <c r="J356" s="83" t="s">
        <v>2059</v>
      </c>
      <c r="K356" s="108" t="str">
        <f t="array" ref="K356">XLOOKUP(CELL("contents",C356),'Swiss Registry'!$B$2:$B$703,'Swiss Registry'!$N$2:$N$703) </f>
        <v>138348102535872513</v>
      </c>
      <c r="L356" s="109" t="str">
        <f t="array" ref="L356">XLOOKUP(CELL("contents",G356),'Swiss Registry'!$B$2:$B$703,'Swiss Registry'!$N$2:$N$703) </f>
        <v>385834807839555584</v>
      </c>
    </row>
    <row r="357">
      <c r="A357" s="84">
        <f t="shared" si="45"/>
        <v>523</v>
      </c>
      <c r="B357" s="84">
        <f>VLOOKUP(A357,'Swiss2 Registry'!$A$2:$B$703,2,False)</f>
        <v>417</v>
      </c>
      <c r="C357" s="104" t="str">
        <f>VLOOKUP(B357,'Swiss2 Registry'!$B$2:$C$703,2,False)</f>
        <v>peacemaker040</v>
      </c>
      <c r="D357" s="111" t="str">
        <f t="shared" si="43"/>
        <v/>
      </c>
      <c r="E357" s="112" t="str">
        <f t="shared" si="46"/>
        <v>Act: peacemaker040</v>
      </c>
      <c r="F357" s="107" t="str">
        <f t="shared" si="44"/>
        <v/>
      </c>
      <c r="G357" s="104" t="str">
        <f>VLOOKUP(I357,'Swiss2 Registry'!$B$2:$C$703,2,False)</f>
        <v>SUB 21</v>
      </c>
      <c r="H357" s="84">
        <f t="shared" si="47"/>
        <v>532</v>
      </c>
      <c r="I357" s="84">
        <f>VLOOKUP(H357,'Swiss2 Registry'!$A$2:$B$703,2,False)</f>
        <v>175</v>
      </c>
      <c r="J357" s="83" t="s">
        <v>1486</v>
      </c>
      <c r="K357" s="108" t="str">
        <f t="array" ref="K357">XLOOKUP(CELL("contents",C357),'Swiss Registry'!$B$2:$B$703,'Swiss Registry'!$N$2:$N$703) </f>
        <v>1080995333867307078</v>
      </c>
      <c r="L357" s="109" t="str">
        <f t="array" ref="L357">XLOOKUP(CELL("contents",G357),'Swiss Registry'!$B$2:$B$703,'Swiss Registry'!$N$2:$N$703) </f>
        <v>SUB</v>
      </c>
    </row>
    <row r="358">
      <c r="A358" s="84">
        <f t="shared" si="45"/>
        <v>524</v>
      </c>
      <c r="B358" s="84">
        <f>VLOOKUP(A358,'Swiss2 Registry'!$A$2:$B$703,2,False)</f>
        <v>274</v>
      </c>
      <c r="C358" s="104" t="str">
        <f>VLOOKUP(B358,'Swiss2 Registry'!$B$2:$C$703,2,False)</f>
        <v>IAmGolden.</v>
      </c>
      <c r="D358" s="111" t="str">
        <f t="shared" si="43"/>
        <v/>
      </c>
      <c r="E358" s="112" t="str">
        <f t="shared" si="46"/>
        <v>Act: doomlsinger</v>
      </c>
      <c r="F358" s="107" t="str">
        <f t="shared" si="44"/>
        <v/>
      </c>
      <c r="G358" s="104" t="str">
        <f>VLOOKUP(I358,'Swiss2 Registry'!$B$2:$C$703,2,False)</f>
        <v>doomlsinger</v>
      </c>
      <c r="H358" s="84">
        <f t="shared" si="47"/>
        <v>531</v>
      </c>
      <c r="I358" s="84">
        <f>VLOOKUP(H358,'Swiss2 Registry'!$A$2:$B$703,2,False)</f>
        <v>467</v>
      </c>
      <c r="J358" s="83" t="s">
        <v>1523</v>
      </c>
      <c r="K358" s="108" t="str">
        <f t="array" ref="K358">XLOOKUP(CELL("contents",C358),'Swiss Registry'!$B$2:$B$703,'Swiss Registry'!$N$2:$N$703) </f>
        <v>334676623343484928</v>
      </c>
      <c r="L358" s="109" t="str">
        <f t="array" ref="L358">XLOOKUP(CELL("contents",G358),'Swiss Registry'!$B$2:$B$703,'Swiss Registry'!$N$2:$N$703) </f>
        <v>384034011602747394</v>
      </c>
    </row>
    <row r="359">
      <c r="A359" s="84">
        <f t="shared" si="45"/>
        <v>525</v>
      </c>
      <c r="B359" s="84">
        <f>VLOOKUP(A359,'Swiss2 Registry'!$A$2:$B$703,2,False)</f>
        <v>690</v>
      </c>
      <c r="C359" s="104" t="str">
        <f>VLOOKUP(B359,'Swiss2 Registry'!$B$2:$C$703,2,False)</f>
        <v>allance05</v>
      </c>
      <c r="D359" s="105" t="str">
        <f t="shared" si="43"/>
        <v>Game 1</v>
      </c>
      <c r="E359" s="106" t="str">
        <f t="shared" si="46"/>
        <v>Game 2</v>
      </c>
      <c r="F359" s="110" t="str">
        <f t="shared" si="44"/>
        <v>Game 3</v>
      </c>
      <c r="G359" s="104" t="str">
        <f>VLOOKUP(I359,'Swiss2 Registry'!$B$2:$C$703,2,False)</f>
        <v>frogsella</v>
      </c>
      <c r="H359" s="84">
        <f t="shared" si="47"/>
        <v>530</v>
      </c>
      <c r="I359" s="84">
        <f>VLOOKUP(H359,'Swiss2 Registry'!$A$2:$B$703,2,False)</f>
        <v>583</v>
      </c>
      <c r="J359" s="83" t="s">
        <v>2060</v>
      </c>
      <c r="K359" s="108" t="str">
        <f t="array" ref="K359">XLOOKUP(CELL("contents",C359),'Swiss Registry'!$B$2:$B$703,'Swiss Registry'!$N$2:$N$703) </f>
        <v>783282113288863754</v>
      </c>
      <c r="L359" s="109" t="str">
        <f t="array" ref="L359">XLOOKUP(CELL("contents",G359),'Swiss Registry'!$B$2:$B$703,'Swiss Registry'!$N$2:$N$703) </f>
        <v>229061659698659328</v>
      </c>
    </row>
    <row r="360">
      <c r="A360" s="84">
        <f t="shared" si="45"/>
        <v>526</v>
      </c>
      <c r="B360" s="84">
        <f>VLOOKUP(A360,'Swiss2 Registry'!$A$2:$B$703,2,False)</f>
        <v>164</v>
      </c>
      <c r="C360" s="104" t="str">
        <f>VLOOKUP(B360,'Swiss2 Registry'!$B$2:$C$703,2,False)</f>
        <v>Repiloid</v>
      </c>
      <c r="D360" s="111" t="str">
        <f t="shared" si="43"/>
        <v/>
      </c>
      <c r="E360" s="112" t="str">
        <f t="shared" si="46"/>
        <v>Act: Repiloid</v>
      </c>
      <c r="F360" s="107" t="str">
        <f t="shared" si="44"/>
        <v/>
      </c>
      <c r="G360" s="104" t="str">
        <f>VLOOKUP(I360,'Swiss2 Registry'!$B$2:$C$703,2,False)</f>
        <v>SUB 14</v>
      </c>
      <c r="H360" s="84">
        <f t="shared" si="47"/>
        <v>529</v>
      </c>
      <c r="I360" s="84">
        <f>VLOOKUP(H360,'Swiss2 Registry'!$A$2:$B$703,2,False)</f>
        <v>369</v>
      </c>
      <c r="J360" s="83" t="s">
        <v>1486</v>
      </c>
      <c r="K360" s="108" t="str">
        <f t="array" ref="K360">XLOOKUP(CELL("contents",C360),'Swiss Registry'!$B$2:$B$703,'Swiss Registry'!$N$2:$N$703) </f>
        <v>SUB</v>
      </c>
      <c r="L360" s="117" t="str">
        <f t="array" ref="L360">XLOOKUP(CELL("contents",G360),'Swiss Registry'!$B$2:$B$703,'Swiss Registry'!$N$2:$N$703) </f>
        <v>SUB</v>
      </c>
    </row>
    <row r="361">
      <c r="A361" s="84">
        <f t="shared" si="45"/>
        <v>527</v>
      </c>
      <c r="B361" s="84">
        <f>VLOOKUP(A361,'Swiss2 Registry'!$A$2:$B$703,2,False)</f>
        <v>127</v>
      </c>
      <c r="C361" s="104" t="str">
        <f>VLOOKUP(B361,'Swiss2 Registry'!$B$2:$C$703,2,False)</f>
        <v>blisy</v>
      </c>
      <c r="D361" s="105" t="str">
        <f t="shared" si="43"/>
        <v>Game 1</v>
      </c>
      <c r="E361" s="106" t="str">
        <f t="shared" si="46"/>
        <v>Game 2</v>
      </c>
      <c r="F361" s="107" t="str">
        <f t="shared" si="44"/>
        <v/>
      </c>
      <c r="G361" s="104" t="str">
        <f>VLOOKUP(I361,'Swiss2 Registry'!$B$2:$C$703,2,False)</f>
        <v>Pabby_1805</v>
      </c>
      <c r="H361" s="84">
        <f t="shared" si="47"/>
        <v>528</v>
      </c>
      <c r="I361" s="84">
        <f>VLOOKUP(H361,'Swiss2 Registry'!$A$2:$B$703,2,False)</f>
        <v>213</v>
      </c>
      <c r="J361" s="83" t="s">
        <v>2061</v>
      </c>
      <c r="K361" s="108" t="str">
        <f t="array" ref="K361">XLOOKUP(CELL("contents",C361),'Swiss Registry'!$B$2:$B$703,'Swiss Registry'!$N$2:$N$703) </f>
        <v>291688941491322880</v>
      </c>
      <c r="L361" s="109" t="str">
        <f t="array" ref="L361">XLOOKUP(CELL("contents",G361),'Swiss Registry'!$B$2:$B$703,'Swiss Registry'!$N$2:$N$703) </f>
        <v>211573220791287809</v>
      </c>
    </row>
  </sheetData>
  <mergeCells count="1">
    <mergeCell ref="D1:F1"/>
  </mergeCells>
  <conditionalFormatting sqref="C3:C321 C323:C361">
    <cfRule type="expression" dxfId="5" priority="1">
      <formula>IF(LEFT(J3:J361,1)="A",TRUE,FALSE)</formula>
    </cfRule>
  </conditionalFormatting>
  <conditionalFormatting sqref="G3:G41 K3:L361 G43:G81 G83:G121 G123:G161 G163:G201 G203:G241 G243:G281 G283:G321 G323:G361">
    <cfRule type="expression" dxfId="5" priority="2">
      <formula>IF(LEFT(J3:J361,1)="B",TRUE,FALSE)</formula>
    </cfRule>
  </conditionalFormatting>
  <conditionalFormatting sqref="C3:C321 C323:C361">
    <cfRule type="expression" dxfId="6" priority="3">
      <formula>IF(LEFT(J3:J361,1)="B",TRUE,FALSE)</formula>
    </cfRule>
  </conditionalFormatting>
  <conditionalFormatting sqref="G3:G41 K3:L361 G43:G81 G83:G121 G123:G161 G163:G201 G203:G241 G243:G281 G283:G321 G323:G361">
    <cfRule type="expression" dxfId="6" priority="4">
      <formula>IF(LEFT(J3:J361,1)="A",TRUE,FALSE)</formula>
    </cfRule>
  </conditionalFormatting>
  <drawing r:id="rId2"/>
  <legacyDrawing r:id="rId3"/>
  <tableParts count="9">
    <tablePart r:id="rId13"/>
    <tablePart r:id="rId14"/>
    <tablePart r:id="rId15"/>
    <tablePart r:id="rId16"/>
    <tablePart r:id="rId17"/>
    <tablePart r:id="rId18"/>
    <tablePart r:id="rId19"/>
    <tablePart r:id="rId20"/>
    <tablePart r:id="rId2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2.75"/>
    <col customWidth="1" hidden="1" min="9" max="10" width="18.75"/>
  </cols>
  <sheetData>
    <row r="1">
      <c r="A1" s="118"/>
      <c r="B1" s="119" t="s">
        <v>1454</v>
      </c>
      <c r="C1" s="76" t="s">
        <v>2062</v>
      </c>
      <c r="D1" s="77"/>
      <c r="E1" s="78"/>
      <c r="F1" s="120" t="s">
        <v>1454</v>
      </c>
      <c r="G1" s="121"/>
      <c r="H1" s="74" t="s">
        <v>1456</v>
      </c>
      <c r="I1" s="100" t="s">
        <v>1768</v>
      </c>
      <c r="J1" s="101" t="s">
        <v>1769</v>
      </c>
    </row>
    <row r="2" ht="15.0" customHeight="1">
      <c r="A2" s="80"/>
      <c r="B2" s="122"/>
      <c r="C2" s="81"/>
      <c r="D2" s="82" t="s">
        <v>1457</v>
      </c>
      <c r="E2" s="81"/>
      <c r="F2" s="123"/>
      <c r="G2" s="124"/>
      <c r="H2" s="83"/>
      <c r="I2" s="83"/>
      <c r="J2" s="83"/>
    </row>
    <row r="3">
      <c r="A3" s="84">
        <v>1.0</v>
      </c>
      <c r="B3" s="125" t="str">
        <f>VLOOKUP(A3,'Swiss Registry'!$A$2:$B$703,2,False)</f>
        <v>Fakes</v>
      </c>
      <c r="C3" s="105" t="str">
        <f t="shared" ref="C3:C41" si="1">IF(H3="dead","",IF(H3="a:act","",IF(H3="b:act","",IF(ISURL(HYPERLINK(INDIRECT("Importer!B"&amp;MID(H3,2,4)+1,TRUE))),HYPERLINK(INDIRECT("Importer!B"&amp;MID(H3,2,4)+1,TRUE), "Game 1"),""))))</f>
        <v>Game 1</v>
      </c>
      <c r="D3" s="106" t="str">
        <f>IF(H3="dead","Dead Game",IF(H3="a:act","Act: "&amp;F3,IF(H3="b:act","Act: "&amp;#REF!,IF(ISURL(HYPERLINK(INDIRECT("Importer!B"&amp;MID(H3,6,4)+1,TRUE))),HYPERLINK(INDIRECT("Importer!B"&amp;MID(H3,6,4)+1,TRUE), "Game 2"),""))))</f>
        <v>Game 2</v>
      </c>
      <c r="E3" s="107" t="str">
        <f t="shared" ref="E3:E41" si="2">IF(H3="dead","",IF(H3="a:act","",IF(H3="b:act","",IF(ISURL(HYPERLINK(INDIRECT("Importer!B"&amp;MID(H3,10,4)+1,TRUE))),HYPERLINK(INDIRECT("Importer!B"&amp;MID(H3,10,4)+1,TRUE), "Game 3"),""))))</f>
        <v/>
      </c>
      <c r="F3" s="126" t="str">
        <f>VLOOKUP(G3,'Swiss Registry'!$A$2:$B$703,2,False)</f>
        <v>SgtPingwen</v>
      </c>
      <c r="G3" s="127">
        <v>317.0</v>
      </c>
      <c r="H3" s="93" t="s">
        <v>2063</v>
      </c>
      <c r="I3" s="108" t="str">
        <f t="array" ref="I3">XLOOKUP(CELL("contents",B3),'Swiss Registry'!$B$2:$B$703,'Swiss Registry'!$N$2:$N$703) </f>
        <v>917864414269550693</v>
      </c>
      <c r="J3" s="109" t="str">
        <f t="array" ref="J3">XLOOKUP(CELL("contents",F3),'Swiss Registry'!$B$2:$B$703,'Swiss Registry'!$N$2:$N$703) </f>
        <v>115227471175090181</v>
      </c>
    </row>
    <row r="4">
      <c r="A4" s="84">
        <v>3.0</v>
      </c>
      <c r="B4" s="125" t="str">
        <f>VLOOKUP(A4,'Swiss Registry'!$A$2:$B$703,2,False)</f>
        <v>Triangles</v>
      </c>
      <c r="C4" s="105" t="str">
        <f t="shared" si="1"/>
        <v>Game 1</v>
      </c>
      <c r="D4" s="106" t="str">
        <f t="shared" ref="D4:D41" si="3">IF(H4="dead","Dead Game",IF(H4="a:act","Act: "&amp;B4,IF(H4="b:act","Act: "&amp;F4,IF(ISURL(HYPERLINK(INDIRECT("Importer!B"&amp;MID(H4,6,4)+1,TRUE))),HYPERLINK(INDIRECT("Importer!B"&amp;MID(H4,6,4)+1,TRUE), "Game 2"),""))))</f>
        <v>Game 2</v>
      </c>
      <c r="E4" s="107" t="str">
        <f t="shared" si="2"/>
        <v/>
      </c>
      <c r="F4" s="126" t="str">
        <f>VLOOKUP(G4,'Swiss Registry'!$A$2:$B$703,2,False)</f>
        <v>marcelbruer</v>
      </c>
      <c r="G4" s="127">
        <v>552.0</v>
      </c>
      <c r="H4" s="93" t="s">
        <v>2064</v>
      </c>
      <c r="I4" s="108" t="str">
        <f t="array" ref="I4">XLOOKUP(CELL("contents",B4),'Swiss Registry'!$B$2:$B$703,'Swiss Registry'!$N$2:$N$703) </f>
        <v>587394354725912717</v>
      </c>
      <c r="J4" s="109" t="str">
        <f t="array" ref="J4">XLOOKUP(CELL("contents",F4),'Swiss Registry'!$B$2:$B$703,'Swiss Registry'!$N$2:$N$703) </f>
        <v>192472740651991040</v>
      </c>
    </row>
    <row r="5">
      <c r="A5" s="84">
        <v>4.0</v>
      </c>
      <c r="B5" s="125" t="str">
        <f>VLOOKUP(A5,'Swiss Registry'!$A$2:$B$703,2,False)</f>
        <v>pkLeech</v>
      </c>
      <c r="C5" s="105" t="str">
        <f t="shared" si="1"/>
        <v>Game 1</v>
      </c>
      <c r="D5" s="106" t="str">
        <f t="shared" si="3"/>
        <v>Game 2</v>
      </c>
      <c r="E5" s="110" t="str">
        <f t="shared" si="2"/>
        <v>Game 3</v>
      </c>
      <c r="F5" s="126" t="str">
        <f>VLOOKUP(G5,'Swiss Registry'!$A$2:$B$703,2,False)</f>
        <v>gonzasaurio50</v>
      </c>
      <c r="G5" s="127">
        <v>385.0</v>
      </c>
      <c r="H5" s="93" t="s">
        <v>2065</v>
      </c>
      <c r="I5" s="108" t="str">
        <f t="array" ref="I5">XLOOKUP(CELL("contents",B5),'Swiss Registry'!$B$2:$B$703,'Swiss Registry'!$N$2:$N$703) </f>
        <v>461288985944391708</v>
      </c>
      <c r="J5" s="109" t="str">
        <f t="array" ref="J5">XLOOKUP(CELL("contents",F5),'Swiss Registry'!$B$2:$B$703,'Swiss Registry'!$N$2:$N$703) </f>
        <v>481894982127714305</v>
      </c>
    </row>
    <row r="6">
      <c r="A6" s="84">
        <v>6.0</v>
      </c>
      <c r="B6" s="125" t="str">
        <f>VLOOKUP(A6,'Swiss Registry'!$A$2:$B$703,2,False)</f>
        <v>Fear</v>
      </c>
      <c r="C6" s="105" t="str">
        <f t="shared" si="1"/>
        <v>Game 1</v>
      </c>
      <c r="D6" s="106" t="str">
        <f t="shared" si="3"/>
        <v>Game 2</v>
      </c>
      <c r="E6" s="107" t="str">
        <f t="shared" si="2"/>
        <v/>
      </c>
      <c r="F6" s="126" t="str">
        <f>VLOOKUP(G6,'Swiss Registry'!$A$2:$B$703,2,False)</f>
        <v>br.twfb</v>
      </c>
      <c r="G6" s="127">
        <v>161.0</v>
      </c>
      <c r="H6" s="93" t="s">
        <v>2066</v>
      </c>
      <c r="I6" s="108" t="str">
        <f t="array" ref="I6">XLOOKUP(CELL("contents",B6),'Swiss Registry'!$B$2:$B$703,'Swiss Registry'!$N$2:$N$703) </f>
        <v>125981893828149248</v>
      </c>
      <c r="J6" s="109" t="str">
        <f t="array" ref="J6">XLOOKUP(CELL("contents",F6),'Swiss Registry'!$B$2:$B$703,'Swiss Registry'!$N$2:$N$703) </f>
        <v>194544710604292097</v>
      </c>
    </row>
    <row r="7">
      <c r="A7" s="84">
        <v>7.0</v>
      </c>
      <c r="B7" s="125" t="str">
        <f>VLOOKUP(A7,'Swiss Registry'!$A$2:$B$703,2,False)</f>
        <v>jumpy23</v>
      </c>
      <c r="C7" s="105" t="str">
        <f t="shared" si="1"/>
        <v>Game 1</v>
      </c>
      <c r="D7" s="106" t="str">
        <f t="shared" si="3"/>
        <v>Game 2</v>
      </c>
      <c r="E7" s="107" t="str">
        <f t="shared" si="2"/>
        <v/>
      </c>
      <c r="F7" s="126" t="str">
        <f>VLOOKUP(G7,'Swiss Registry'!$A$2:$B$703,2,False)</f>
        <v>sbmalus</v>
      </c>
      <c r="G7" s="127">
        <v>564.0</v>
      </c>
      <c r="H7" s="93" t="s">
        <v>2067</v>
      </c>
      <c r="I7" s="108" t="str">
        <f t="array" ref="I7">XLOOKUP(CELL("contents",B7),'Swiss Registry'!$B$2:$B$703,'Swiss Registry'!$N$2:$N$703) </f>
        <v>127527434865082368</v>
      </c>
      <c r="J7" s="109" t="str">
        <f t="array" ref="J7">XLOOKUP(CELL("contents",F7),'Swiss Registry'!$B$2:$B$703,'Swiss Registry'!$N$2:$N$703) </f>
        <v>492395234429370371</v>
      </c>
    </row>
    <row r="8">
      <c r="A8" s="84">
        <v>8.0</v>
      </c>
      <c r="B8" s="125" t="str">
        <f>VLOOKUP(A8,'Swiss Registry'!$A$2:$B$703,2,False)</f>
        <v>Leo</v>
      </c>
      <c r="C8" s="105" t="str">
        <f t="shared" si="1"/>
        <v>Game 1</v>
      </c>
      <c r="D8" s="106" t="str">
        <f t="shared" si="3"/>
        <v>Game 2</v>
      </c>
      <c r="E8" s="107" t="str">
        <f t="shared" si="2"/>
        <v/>
      </c>
      <c r="F8" s="126" t="str">
        <f>VLOOKUP(G8,'Swiss Registry'!$A$2:$B$703,2,False)</f>
        <v>sieefffmon</v>
      </c>
      <c r="G8" s="127">
        <v>330.0</v>
      </c>
      <c r="H8" s="93" t="s">
        <v>2068</v>
      </c>
      <c r="I8" s="108" t="str">
        <f t="array" ref="I8">XLOOKUP(CELL("contents",B8),'Swiss Registry'!$B$2:$B$703,'Swiss Registry'!$N$2:$N$703) </f>
        <v>221637804185223170</v>
      </c>
      <c r="J8" s="109" t="str">
        <f t="array" ref="J8">XLOOKUP(CELL("contents",F8),'Swiss Registry'!$B$2:$B$703,'Swiss Registry'!$N$2:$N$703) </f>
        <v>257242537582919691</v>
      </c>
    </row>
    <row r="9">
      <c r="A9" s="84">
        <v>9.0</v>
      </c>
      <c r="B9" s="125" t="str">
        <f>VLOOKUP(A9,'Swiss Registry'!$A$2:$B$703,2,False)</f>
        <v>Kollin</v>
      </c>
      <c r="C9" s="111" t="str">
        <f t="shared" si="1"/>
        <v/>
      </c>
      <c r="D9" s="112" t="str">
        <f t="shared" si="3"/>
        <v>Act: Kollin</v>
      </c>
      <c r="E9" s="107" t="str">
        <f t="shared" si="2"/>
        <v/>
      </c>
      <c r="F9" s="126" t="str">
        <f>VLOOKUP(G9,'Swiss Registry'!$A$2:$B$703,2,False)</f>
        <v>ThunderousBagel</v>
      </c>
      <c r="G9" s="127">
        <v>380.0</v>
      </c>
      <c r="H9" s="93" t="s">
        <v>1475</v>
      </c>
      <c r="I9" s="108" t="str">
        <f t="array" ref="I9">XLOOKUP(CELL("contents",B9),'Swiss Registry'!$B$2:$B$703,'Swiss Registry'!$N$2:$N$703) </f>
        <v>83000775151714304</v>
      </c>
      <c r="J9" s="109" t="str">
        <f t="array" ref="J9">XLOOKUP(CELL("contents",F9),'Swiss Registry'!$B$2:$B$703,'Swiss Registry'!$N$2:$N$703) </f>
        <v>458020570085326851</v>
      </c>
    </row>
    <row r="10">
      <c r="A10" s="84">
        <v>11.0</v>
      </c>
      <c r="B10" s="125" t="str">
        <f>VLOOKUP(A10,'Swiss Registry'!$A$2:$B$703,2,False)</f>
        <v>Blues</v>
      </c>
      <c r="C10" s="111" t="str">
        <f t="shared" si="1"/>
        <v/>
      </c>
      <c r="D10" s="112" t="str">
        <f t="shared" si="3"/>
        <v>Act: heyitsmeriley</v>
      </c>
      <c r="E10" s="107" t="str">
        <f t="shared" si="2"/>
        <v/>
      </c>
      <c r="F10" s="126" t="str">
        <f>VLOOKUP(G10,'Swiss Registry'!$A$2:$B$703,2,False)</f>
        <v>heyitsmeriley</v>
      </c>
      <c r="G10" s="127">
        <v>237.0</v>
      </c>
      <c r="H10" s="93" t="s">
        <v>1523</v>
      </c>
      <c r="I10" s="108" t="str">
        <f t="array" ref="I10">XLOOKUP(CELL("contents",B10),'Swiss Registry'!$B$2:$B$703,'Swiss Registry'!$N$2:$N$703) </f>
        <v>687987394292482066</v>
      </c>
      <c r="J10" s="109" t="str">
        <f t="array" ref="J10">XLOOKUP(CELL("contents",F10),'Swiss Registry'!$B$2:$B$703,'Swiss Registry'!$N$2:$N$703) </f>
        <v>271422310412451840</v>
      </c>
    </row>
    <row r="11">
      <c r="A11" s="84">
        <v>13.0</v>
      </c>
      <c r="B11" s="125" t="str">
        <f>VLOOKUP(A11,'Swiss Registry'!$A$2:$B$703,2,False)</f>
        <v>River</v>
      </c>
      <c r="C11" s="105" t="str">
        <f t="shared" si="1"/>
        <v>Game 1</v>
      </c>
      <c r="D11" s="106" t="str">
        <f t="shared" si="3"/>
        <v>Game 2</v>
      </c>
      <c r="E11" s="107" t="str">
        <f t="shared" si="2"/>
        <v/>
      </c>
      <c r="F11" s="126" t="str">
        <f>VLOOKUP(G11,'Swiss Registry'!$A$2:$B$703,2,False)</f>
        <v>nicki4</v>
      </c>
      <c r="G11" s="127">
        <v>187.0</v>
      </c>
      <c r="H11" s="93" t="s">
        <v>2069</v>
      </c>
      <c r="I11" s="108" t="str">
        <f t="array" ref="I11">XLOOKUP(CELL("contents",B11),'Swiss Registry'!$B$2:$B$703,'Swiss Registry'!$N$2:$N$703) </f>
        <v>543280883000541224</v>
      </c>
      <c r="J11" s="109" t="str">
        <f t="array" ref="J11">XLOOKUP(CELL("contents",F11),'Swiss Registry'!$B$2:$B$703,'Swiss Registry'!$N$2:$N$703) </f>
        <v>229576207560212480</v>
      </c>
    </row>
    <row r="12">
      <c r="A12" s="84">
        <v>14.0</v>
      </c>
      <c r="B12" s="125" t="str">
        <f>VLOOKUP(A12,'Swiss Registry'!$A$2:$B$703,2,False)</f>
        <v>Voyager</v>
      </c>
      <c r="C12" s="105" t="str">
        <f t="shared" si="1"/>
        <v>Game 1</v>
      </c>
      <c r="D12" s="106" t="str">
        <f t="shared" si="3"/>
        <v>Game 2</v>
      </c>
      <c r="E12" s="110" t="str">
        <f t="shared" si="2"/>
        <v>Game 3</v>
      </c>
      <c r="F12" s="126" t="str">
        <f>VLOOKUP(G12,'Swiss Registry'!$A$2:$B$703,2,False)</f>
        <v>Sorenkazer</v>
      </c>
      <c r="G12" s="127">
        <v>355.0</v>
      </c>
      <c r="H12" s="93" t="s">
        <v>2070</v>
      </c>
      <c r="I12" s="108" t="str">
        <f t="array" ref="I12">XLOOKUP(CELL("contents",B12),'Swiss Registry'!$B$2:$B$703,'Swiss Registry'!$N$2:$N$703) </f>
        <v>554730792488534056</v>
      </c>
      <c r="J12" s="109" t="str">
        <f t="array" ref="J12">XLOOKUP(CELL("contents",F12),'Swiss Registry'!$B$2:$B$703,'Swiss Registry'!$N$2:$N$703) </f>
        <v>245004928748224513</v>
      </c>
    </row>
    <row r="13">
      <c r="A13" s="84">
        <v>15.0</v>
      </c>
      <c r="B13" s="125" t="str">
        <f>VLOOKUP(A13,'Swiss Registry'!$A$2:$B$703,2,False)</f>
        <v>Carapinga</v>
      </c>
      <c r="C13" s="105" t="str">
        <f t="shared" si="1"/>
        <v>Game 1</v>
      </c>
      <c r="D13" s="106" t="str">
        <f t="shared" si="3"/>
        <v>Game 2</v>
      </c>
      <c r="E13" s="107" t="str">
        <f t="shared" si="2"/>
        <v/>
      </c>
      <c r="F13" s="126" t="str">
        <f>VLOOKUP(G13,'Swiss Registry'!$A$2:$B$703,2,False)</f>
        <v>skittleskitty</v>
      </c>
      <c r="G13" s="127">
        <v>243.0</v>
      </c>
      <c r="H13" s="93" t="s">
        <v>2071</v>
      </c>
      <c r="I13" s="108" t="str">
        <f t="array" ref="I13">XLOOKUP(CELL("contents",B13),'Swiss Registry'!$B$2:$B$703,'Swiss Registry'!$N$2:$N$703) </f>
        <v>475993004994330629</v>
      </c>
      <c r="J13" s="109" t="str">
        <f t="array" ref="J13">XLOOKUP(CELL("contents",F13),'Swiss Registry'!$B$2:$B$703,'Swiss Registry'!$N$2:$N$703) </f>
        <v>280113950140530699</v>
      </c>
    </row>
    <row r="14">
      <c r="A14" s="84">
        <v>16.0</v>
      </c>
      <c r="B14" s="125" t="str">
        <f>VLOOKUP(A14,'Swiss Registry'!$A$2:$B$703,2,False)</f>
        <v>Mielke</v>
      </c>
      <c r="C14" s="105" t="str">
        <f t="shared" si="1"/>
        <v>Game 1</v>
      </c>
      <c r="D14" s="106" t="str">
        <f t="shared" si="3"/>
        <v>Game 2</v>
      </c>
      <c r="E14" s="107" t="str">
        <f t="shared" si="2"/>
        <v/>
      </c>
      <c r="F14" s="126" t="str">
        <f>VLOOKUP(G14,'Swiss Registry'!$A$2:$B$703,2,False)</f>
        <v>Dwightasaurus</v>
      </c>
      <c r="G14" s="127">
        <v>352.0</v>
      </c>
      <c r="H14" s="93" t="s">
        <v>2072</v>
      </c>
      <c r="I14" s="108" t="str">
        <f t="array" ref="I14">XLOOKUP(CELL("contents",B14),'Swiss Registry'!$B$2:$B$703,'Swiss Registry'!$N$2:$N$703) </f>
        <v>324650949371232257</v>
      </c>
      <c r="J14" s="109" t="str">
        <f t="array" ref="J14">XLOOKUP(CELL("contents",F14),'Swiss Registry'!$B$2:$B$703,'Swiss Registry'!$N$2:$N$703) </f>
        <v>393205826900197377</v>
      </c>
    </row>
    <row r="15">
      <c r="A15" s="84">
        <v>17.0</v>
      </c>
      <c r="B15" s="125" t="str">
        <f>VLOOKUP(A15,'Swiss Registry'!$A$2:$B$703,2,False)</f>
        <v>Tyros</v>
      </c>
      <c r="C15" s="105" t="str">
        <f t="shared" si="1"/>
        <v>Game 1</v>
      </c>
      <c r="D15" s="106" t="str">
        <f t="shared" si="3"/>
        <v>Game 2</v>
      </c>
      <c r="E15" s="110" t="str">
        <f t="shared" si="2"/>
        <v>Game 3</v>
      </c>
      <c r="F15" s="126" t="str">
        <f>VLOOKUP(G15,'Swiss Registry'!$A$2:$B$703,2,False)</f>
        <v>pac_rojo</v>
      </c>
      <c r="G15" s="127">
        <v>331.0</v>
      </c>
      <c r="H15" s="93" t="s">
        <v>2073</v>
      </c>
      <c r="I15" s="108" t="str">
        <f t="array" ref="I15">XLOOKUP(CELL("contents",B15),'Swiss Registry'!$B$2:$B$703,'Swiss Registry'!$N$2:$N$703) </f>
        <v>417524121719799819</v>
      </c>
      <c r="J15" s="109" t="str">
        <f t="array" ref="J15">XLOOKUP(CELL("contents",F15),'Swiss Registry'!$B$2:$B$703,'Swiss Registry'!$N$2:$N$703) </f>
        <v>658992933772591105</v>
      </c>
    </row>
    <row r="16">
      <c r="A16" s="84">
        <v>18.0</v>
      </c>
      <c r="B16" s="125" t="str">
        <f>VLOOKUP(A16,'Swiss Registry'!$A$2:$B$703,2,False)</f>
        <v>Pokology</v>
      </c>
      <c r="C16" s="105" t="str">
        <f t="shared" si="1"/>
        <v>Game 1</v>
      </c>
      <c r="D16" s="106" t="str">
        <f t="shared" si="3"/>
        <v>Game 2</v>
      </c>
      <c r="E16" s="110" t="str">
        <f t="shared" si="2"/>
        <v>Game 3</v>
      </c>
      <c r="F16" s="126" t="str">
        <f>VLOOKUP(G16,'Swiss Registry'!$A$2:$B$703,2,False)</f>
        <v>brestelli</v>
      </c>
      <c r="G16" s="127">
        <v>581.0</v>
      </c>
      <c r="H16" s="93" t="s">
        <v>2074</v>
      </c>
      <c r="I16" s="108" t="str">
        <f t="array" ref="I16">XLOOKUP(CELL("contents",B16),'Swiss Registry'!$B$2:$B$703,'Swiss Registry'!$N$2:$N$703) </f>
        <v>647891006347542566</v>
      </c>
      <c r="J16" s="109" t="str">
        <f t="array" ref="J16">XLOOKUP(CELL("contents",F16),'Swiss Registry'!$B$2:$B$703,'Swiss Registry'!$N$2:$N$703) </f>
        <v>688796987193163984</v>
      </c>
    </row>
    <row r="17">
      <c r="A17" s="84">
        <v>22.0</v>
      </c>
      <c r="B17" s="125" t="str">
        <f>VLOOKUP(A17,'Swiss Registry'!$A$2:$B$703,2,False)</f>
        <v>laxuy</v>
      </c>
      <c r="C17" s="105" t="str">
        <f t="shared" si="1"/>
        <v>Game 1</v>
      </c>
      <c r="D17" s="106" t="str">
        <f t="shared" si="3"/>
        <v>Game 2</v>
      </c>
      <c r="E17" s="107" t="str">
        <f t="shared" si="2"/>
        <v/>
      </c>
      <c r="F17" s="126" t="str">
        <f>VLOOKUP(G17,'Swiss Registry'!$A$2:$B$703,2,False)</f>
        <v>garcilp</v>
      </c>
      <c r="G17" s="127">
        <v>677.0</v>
      </c>
      <c r="H17" s="93" t="s">
        <v>2075</v>
      </c>
      <c r="I17" s="108" t="str">
        <f t="array" ref="I17">XLOOKUP(CELL("contents",B17),'Swiss Registry'!$B$2:$B$703,'Swiss Registry'!$N$2:$N$703) </f>
        <v>162377920117997568</v>
      </c>
      <c r="J17" s="109" t="str">
        <f t="array" ref="J17">XLOOKUP(CELL("contents",F17),'Swiss Registry'!$B$2:$B$703,'Swiss Registry'!$N$2:$N$703) </f>
        <v>121071467692556291</v>
      </c>
    </row>
    <row r="18">
      <c r="A18" s="84">
        <v>25.0</v>
      </c>
      <c r="B18" s="125" t="str">
        <f>VLOOKUP(A18,'Swiss Registry'!$A$2:$B$703,2,False)</f>
        <v>JR</v>
      </c>
      <c r="C18" s="105" t="str">
        <f t="shared" si="1"/>
        <v>Game 1</v>
      </c>
      <c r="D18" s="106" t="str">
        <f t="shared" si="3"/>
        <v>Game 2</v>
      </c>
      <c r="E18" s="107" t="str">
        <f t="shared" si="2"/>
        <v/>
      </c>
      <c r="F18" s="126" t="str">
        <f>VLOOKUP(G18,'Swiss Registry'!$A$2:$B$703,2,False)</f>
        <v>mintchocolateguy</v>
      </c>
      <c r="G18" s="127">
        <v>267.0</v>
      </c>
      <c r="H18" s="93" t="s">
        <v>2076</v>
      </c>
      <c r="I18" s="108" t="str">
        <f t="array" ref="I18">XLOOKUP(CELL("contents",B18),'Swiss Registry'!$B$2:$B$703,'Swiss Registry'!$N$2:$N$703) </f>
        <v>319563636483817472</v>
      </c>
      <c r="J18" s="109" t="str">
        <f t="array" ref="J18">XLOOKUP(CELL("contents",F18),'Swiss Registry'!$B$2:$B$703,'Swiss Registry'!$N$2:$N$703) </f>
        <v>698335732191723551</v>
      </c>
    </row>
    <row r="19">
      <c r="A19" s="84">
        <v>27.0</v>
      </c>
      <c r="B19" s="125" t="str">
        <f>VLOOKUP(A19,'Swiss Registry'!$A$2:$B$703,2,False)</f>
        <v>Sheik</v>
      </c>
      <c r="C19" s="105" t="str">
        <f t="shared" si="1"/>
        <v>Game 1</v>
      </c>
      <c r="D19" s="106" t="str">
        <f t="shared" si="3"/>
        <v>Game 2</v>
      </c>
      <c r="E19" s="107" t="str">
        <f t="shared" si="2"/>
        <v/>
      </c>
      <c r="F19" s="126" t="str">
        <f>VLOOKUP(G19,'Swiss Registry'!$A$2:$B$703,2,False)</f>
        <v>Sificon</v>
      </c>
      <c r="G19" s="127">
        <v>471.0</v>
      </c>
      <c r="H19" s="93" t="s">
        <v>2077</v>
      </c>
      <c r="I19" s="108" t="str">
        <f t="array" ref="I19">XLOOKUP(CELL("contents",B19),'Swiss Registry'!$B$2:$B$703,'Swiss Registry'!$N$2:$N$703) </f>
        <v>700432987858403420</v>
      </c>
      <c r="J19" s="109" t="str">
        <f t="array" ref="J19">XLOOKUP(CELL("contents",F19),'Swiss Registry'!$B$2:$B$703,'Swiss Registry'!$N$2:$N$703) </f>
        <v>363775331292676097</v>
      </c>
    </row>
    <row r="20">
      <c r="A20" s="84">
        <v>29.0</v>
      </c>
      <c r="B20" s="125">
        <f>VLOOKUP(A20,'Swiss Registry'!$A$2:$B$703,2,False)</f>
        <v>48</v>
      </c>
      <c r="C20" s="105" t="str">
        <f t="shared" si="1"/>
        <v>Game 1</v>
      </c>
      <c r="D20" s="106" t="str">
        <f t="shared" si="3"/>
        <v>Game 2</v>
      </c>
      <c r="E20" s="107" t="str">
        <f t="shared" si="2"/>
        <v/>
      </c>
      <c r="F20" s="126" t="str">
        <f>VLOOKUP(G20,'Swiss Registry'!$A$2:$B$703,2,False)</f>
        <v>owlman7507</v>
      </c>
      <c r="G20" s="127">
        <v>487.0</v>
      </c>
      <c r="H20" s="93" t="s">
        <v>2078</v>
      </c>
      <c r="I20" s="108" t="str">
        <f t="array" ref="I20">XLOOKUP(CELL("contents",B20),'Swiss Registry'!$B$2:$B$703,'Swiss Registry'!$N$2:$N$703) </f>
        <v>247063915790336004</v>
      </c>
      <c r="J20" s="109" t="str">
        <f t="array" ref="J20">XLOOKUP(CELL("contents",F20),'Swiss Registry'!$B$2:$B$703,'Swiss Registry'!$N$2:$N$703) </f>
        <v>684894520751816770</v>
      </c>
    </row>
    <row r="21">
      <c r="A21" s="84">
        <v>31.0</v>
      </c>
      <c r="B21" s="125" t="str">
        <f>VLOOKUP(A21,'Swiss Registry'!$A$2:$B$703,2,False)</f>
        <v>Spfunkm</v>
      </c>
      <c r="C21" s="111" t="str">
        <f t="shared" si="1"/>
        <v/>
      </c>
      <c r="D21" s="112" t="str">
        <f t="shared" si="3"/>
        <v>Act: Agustin Palacios</v>
      </c>
      <c r="E21" s="107" t="str">
        <f t="shared" si="2"/>
        <v/>
      </c>
      <c r="F21" s="126" t="str">
        <f>VLOOKUP(G21,'Swiss Registry'!$A$2:$B$703,2,False)</f>
        <v>Agustin Palacios</v>
      </c>
      <c r="G21" s="127">
        <v>265.0</v>
      </c>
      <c r="H21" s="93" t="s">
        <v>1523</v>
      </c>
      <c r="I21" s="108" t="str">
        <f t="array" ref="I21">XLOOKUP(CELL("contents",B21),'Swiss Registry'!$B$2:$B$703,'Swiss Registry'!$N$2:$N$703) </f>
        <v>SUB</v>
      </c>
      <c r="J21" s="109" t="str">
        <f t="array" ref="J21">XLOOKUP(CELL("contents",F21),'Swiss Registry'!$B$2:$B$703,'Swiss Registry'!$N$2:$N$703) </f>
        <v>547461638647840805</v>
      </c>
    </row>
    <row r="22">
      <c r="A22" s="84">
        <v>32.0</v>
      </c>
      <c r="B22" s="125" t="str">
        <f>VLOOKUP(A22,'Swiss Registry'!$A$2:$B$703,2,False)</f>
        <v>Johnald</v>
      </c>
      <c r="C22" s="105" t="str">
        <f t="shared" si="1"/>
        <v>Game 1</v>
      </c>
      <c r="D22" s="106" t="str">
        <f t="shared" si="3"/>
        <v>Game 2</v>
      </c>
      <c r="E22" s="107" t="str">
        <f t="shared" si="2"/>
        <v/>
      </c>
      <c r="F22" s="126" t="str">
        <f>VLOOKUP(G22,'Swiss Registry'!$A$2:$B$703,2,False)</f>
        <v>Rainer7849</v>
      </c>
      <c r="G22" s="127">
        <v>299.0</v>
      </c>
      <c r="H22" s="93" t="s">
        <v>2079</v>
      </c>
      <c r="I22" s="108" t="str">
        <f t="array" ref="I22">XLOOKUP(CELL("contents",B22),'Swiss Registry'!$B$2:$B$703,'Swiss Registry'!$N$2:$N$703) </f>
        <v>196328307241910272</v>
      </c>
      <c r="J22" s="109" t="str">
        <f t="array" ref="J22">XLOOKUP(CELL("contents",F22),'Swiss Registry'!$B$2:$B$703,'Swiss Registry'!$N$2:$N$703) </f>
        <v>452288242931335179</v>
      </c>
    </row>
    <row r="23">
      <c r="A23" s="84">
        <v>34.0</v>
      </c>
      <c r="B23" s="125" t="str">
        <f>VLOOKUP(A23,'Swiss Registry'!$A$2:$B$703,2,False)</f>
        <v>D3stiny</v>
      </c>
      <c r="C23" s="105" t="str">
        <f t="shared" si="1"/>
        <v>Game 1</v>
      </c>
      <c r="D23" s="106" t="str">
        <f t="shared" si="3"/>
        <v>Game 2</v>
      </c>
      <c r="E23" s="110" t="str">
        <f t="shared" si="2"/>
        <v>Game 3</v>
      </c>
      <c r="F23" s="126" t="str">
        <f>VLOOKUP(G23,'Swiss Registry'!$A$2:$B$703,2,False)</f>
        <v>etibamecus.</v>
      </c>
      <c r="G23" s="127">
        <v>534.0</v>
      </c>
      <c r="H23" s="93" t="s">
        <v>2080</v>
      </c>
      <c r="I23" s="108" t="str">
        <f t="array" ref="I23">XLOOKUP(CELL("contents",B23),'Swiss Registry'!$B$2:$B$703,'Swiss Registry'!$N$2:$N$703) </f>
        <v>836748504621252618</v>
      </c>
      <c r="J23" s="109" t="str">
        <f t="array" ref="J23">XLOOKUP(CELL("contents",F23),'Swiss Registry'!$B$2:$B$703,'Swiss Registry'!$N$2:$N$703) </f>
        <v>375394551445323787</v>
      </c>
    </row>
    <row r="24">
      <c r="A24" s="84">
        <v>35.0</v>
      </c>
      <c r="B24" s="125" t="str">
        <f>VLOOKUP(A24,'Swiss Registry'!$A$2:$B$703,2,False)</f>
        <v>Zacpz</v>
      </c>
      <c r="C24" s="105" t="str">
        <f t="shared" si="1"/>
        <v>Game 1</v>
      </c>
      <c r="D24" s="106" t="str">
        <f t="shared" si="3"/>
        <v>Game 2</v>
      </c>
      <c r="E24" s="107" t="str">
        <f t="shared" si="2"/>
        <v/>
      </c>
      <c r="F24" s="126" t="str">
        <f>VLOOKUP(G24,'Swiss Registry'!$A$2:$B$703,2,False)</f>
        <v>venomshoc</v>
      </c>
      <c r="G24" s="127">
        <v>486.0</v>
      </c>
      <c r="H24" s="93" t="s">
        <v>2081</v>
      </c>
      <c r="I24" s="108" t="str">
        <f t="array" ref="I24">XLOOKUP(CELL("contents",B24),'Swiss Registry'!$B$2:$B$703,'Swiss Registry'!$N$2:$N$703) </f>
        <v>719547987277119638</v>
      </c>
      <c r="J24" s="109" t="str">
        <f t="array" ref="J24">XLOOKUP(CELL("contents",F24),'Swiss Registry'!$B$2:$B$703,'Swiss Registry'!$N$2:$N$703) </f>
        <v>314453127224885249</v>
      </c>
    </row>
    <row r="25">
      <c r="A25" s="84">
        <v>36.0</v>
      </c>
      <c r="B25" s="125" t="str">
        <f>VLOOKUP(A25,'Swiss Registry'!$A$2:$B$703,2,False)</f>
        <v>Segale</v>
      </c>
      <c r="C25" s="105" t="str">
        <f t="shared" si="1"/>
        <v>Game 1</v>
      </c>
      <c r="D25" s="106" t="str">
        <f t="shared" si="3"/>
        <v>Game 2</v>
      </c>
      <c r="E25" s="110" t="str">
        <f t="shared" si="2"/>
        <v>Game 3</v>
      </c>
      <c r="F25" s="126" t="str">
        <f>VLOOKUP(G25,'Swiss Registry'!$A$2:$B$703,2,False)</f>
        <v>mintyerb</v>
      </c>
      <c r="G25" s="127">
        <v>568.0</v>
      </c>
      <c r="H25" s="93" t="s">
        <v>2082</v>
      </c>
      <c r="I25" s="108" t="str">
        <f t="array" ref="I25">XLOOKUP(CELL("contents",B25),'Swiss Registry'!$B$2:$B$703,'Swiss Registry'!$N$2:$N$703) </f>
        <v>1059548623416856608</v>
      </c>
      <c r="J25" s="109" t="str">
        <f t="array" ref="J25">XLOOKUP(CELL("contents",F25),'Swiss Registry'!$B$2:$B$703,'Swiss Registry'!$N$2:$N$703) </f>
        <v>411341688288575500</v>
      </c>
    </row>
    <row r="26">
      <c r="A26" s="84">
        <v>39.0</v>
      </c>
      <c r="B26" s="125" t="str">
        <f>VLOOKUP(A26,'Swiss Registry'!$A$2:$B$703,2,False)</f>
        <v>earlgr3y</v>
      </c>
      <c r="C26" s="105" t="str">
        <f t="shared" si="1"/>
        <v>Game 1</v>
      </c>
      <c r="D26" s="106" t="str">
        <f t="shared" si="3"/>
        <v>Game 2</v>
      </c>
      <c r="E26" s="110" t="str">
        <f t="shared" si="2"/>
        <v>Game 3</v>
      </c>
      <c r="F26" s="126" t="str">
        <f>VLOOKUP(G26,'Swiss Registry'!$A$2:$B$703,2,False)</f>
        <v>sligoblues</v>
      </c>
      <c r="G26" s="127">
        <v>693.0</v>
      </c>
      <c r="H26" s="93" t="s">
        <v>2083</v>
      </c>
      <c r="I26" s="108" t="str">
        <f t="array" ref="I26">XLOOKUP(CELL("contents",B26),'Swiss Registry'!$B$2:$B$703,'Swiss Registry'!$N$2:$N$703) </f>
        <v>1058405539903713330</v>
      </c>
      <c r="J26" s="109" t="str">
        <f t="array" ref="J26">XLOOKUP(CELL("contents",F26),'Swiss Registry'!$B$2:$B$703,'Swiss Registry'!$N$2:$N$703) </f>
        <v>583755075298656300</v>
      </c>
    </row>
    <row r="27">
      <c r="A27" s="84">
        <v>40.0</v>
      </c>
      <c r="B27" s="125" t="str">
        <f>VLOOKUP(A27,'Swiss Registry'!$A$2:$B$703,2,False)</f>
        <v>goldmason</v>
      </c>
      <c r="C27" s="105" t="str">
        <f t="shared" si="1"/>
        <v>Game 1</v>
      </c>
      <c r="D27" s="106" t="str">
        <f t="shared" si="3"/>
        <v>Game 2</v>
      </c>
      <c r="E27" s="107" t="str">
        <f t="shared" si="2"/>
        <v/>
      </c>
      <c r="F27" s="126" t="str">
        <f>VLOOKUP(G27,'Swiss Registry'!$A$2:$B$703,2,False)</f>
        <v>GreenCity</v>
      </c>
      <c r="G27" s="127">
        <v>108.0</v>
      </c>
      <c r="H27" s="93" t="s">
        <v>2084</v>
      </c>
      <c r="I27" s="108" t="str">
        <f t="array" ref="I27">XLOOKUP(CELL("contents",B27),'Swiss Registry'!$B$2:$B$703,'Swiss Registry'!$N$2:$N$703) </f>
        <v>140308490609623041</v>
      </c>
      <c r="J27" s="109" t="str">
        <f t="array" ref="J27">XLOOKUP(CELL("contents",F27),'Swiss Registry'!$B$2:$B$703,'Swiss Registry'!$N$2:$N$703) </f>
        <v>SUB</v>
      </c>
    </row>
    <row r="28">
      <c r="A28" s="84">
        <v>42.0</v>
      </c>
      <c r="B28" s="125" t="str">
        <f>VLOOKUP(A28,'Swiss Registry'!$A$2:$B$703,2,False)</f>
        <v>ThisGuyMuks</v>
      </c>
      <c r="C28" s="105" t="str">
        <f t="shared" si="1"/>
        <v>Game 1</v>
      </c>
      <c r="D28" s="106" t="str">
        <f t="shared" si="3"/>
        <v>Game 2</v>
      </c>
      <c r="E28" s="107" t="str">
        <f t="shared" si="2"/>
        <v/>
      </c>
      <c r="F28" s="126" t="str">
        <f>VLOOKUP(G28,'Swiss Registry'!$A$2:$B$703,2,False)</f>
        <v>diegoin10</v>
      </c>
      <c r="G28" s="127">
        <v>345.0</v>
      </c>
      <c r="H28" s="93" t="s">
        <v>2085</v>
      </c>
      <c r="I28" s="108" t="str">
        <f t="array" ref="I28">XLOOKUP(CELL("contents",B28),'Swiss Registry'!$B$2:$B$703,'Swiss Registry'!$N$2:$N$703) </f>
        <v>397627331637805056</v>
      </c>
      <c r="J28" s="109" t="str">
        <f t="array" ref="J28">XLOOKUP(CELL("contents",F28),'Swiss Registry'!$B$2:$B$703,'Swiss Registry'!$N$2:$N$703) </f>
        <v>808756098936733747</v>
      </c>
    </row>
    <row r="29">
      <c r="A29" s="84">
        <v>45.0</v>
      </c>
      <c r="B29" s="125" t="str">
        <f>VLOOKUP(A29,'Swiss Registry'!$A$2:$B$703,2,False)</f>
        <v>DeezCastforms</v>
      </c>
      <c r="C29" s="105" t="str">
        <f t="shared" si="1"/>
        <v>Game 1</v>
      </c>
      <c r="D29" s="106" t="str">
        <f t="shared" si="3"/>
        <v>Game 2</v>
      </c>
      <c r="E29" s="110" t="str">
        <f t="shared" si="2"/>
        <v>Game 3</v>
      </c>
      <c r="F29" s="126" t="str">
        <f>VLOOKUP(G29,'Swiss Registry'!$A$2:$B$703,2,False)</f>
        <v>f1remaster (Hikari)</v>
      </c>
      <c r="G29" s="127">
        <v>329.0</v>
      </c>
      <c r="H29" s="93" t="s">
        <v>2086</v>
      </c>
      <c r="I29" s="108" t="str">
        <f t="array" ref="I29">XLOOKUP(CELL("contents",B29),'Swiss Registry'!$B$2:$B$703,'Swiss Registry'!$N$2:$N$703) </f>
        <v>358052192915292161</v>
      </c>
      <c r="J29" s="109" t="str">
        <f t="array" ref="J29">XLOOKUP(CELL("contents",F29),'Swiss Registry'!$B$2:$B$703,'Swiss Registry'!$N$2:$N$703) </f>
        <v>295050390435659787</v>
      </c>
    </row>
    <row r="30">
      <c r="A30" s="84">
        <v>46.0</v>
      </c>
      <c r="B30" s="125" t="str">
        <f>VLOOKUP(A30,'Swiss Registry'!$A$2:$B$703,2,False)</f>
        <v>Zelph</v>
      </c>
      <c r="C30" s="105" t="str">
        <f t="shared" si="1"/>
        <v>Game 1</v>
      </c>
      <c r="D30" s="106" t="str">
        <f t="shared" si="3"/>
        <v>Game 2</v>
      </c>
      <c r="E30" s="107" t="str">
        <f t="shared" si="2"/>
        <v/>
      </c>
      <c r="F30" s="126" t="str">
        <f>VLOOKUP(G30,'Swiss Registry'!$A$2:$B$703,2,False)</f>
        <v>.GeneralRevan</v>
      </c>
      <c r="G30" s="127">
        <v>238.0</v>
      </c>
      <c r="H30" s="93" t="s">
        <v>2087</v>
      </c>
      <c r="I30" s="108" t="str">
        <f t="array" ref="I30">XLOOKUP(CELL("contents",B30),'Swiss Registry'!$B$2:$B$703,'Swiss Registry'!$N$2:$N$703) </f>
        <v>895466276191862855</v>
      </c>
      <c r="J30" s="109" t="str">
        <f t="array" ref="J30">XLOOKUP(CELL("contents",F30),'Swiss Registry'!$B$2:$B$703,'Swiss Registry'!$N$2:$N$703) </f>
        <v>306988395660443648</v>
      </c>
    </row>
    <row r="31">
      <c r="A31" s="84">
        <v>47.0</v>
      </c>
      <c r="B31" s="125" t="str">
        <f>VLOOKUP(A31,'Swiss Registry'!$A$2:$B$703,2,False)</f>
        <v>Figull400</v>
      </c>
      <c r="C31" s="105" t="str">
        <f t="shared" si="1"/>
        <v>Game 1</v>
      </c>
      <c r="D31" s="106" t="str">
        <f t="shared" si="3"/>
        <v>Game 2</v>
      </c>
      <c r="E31" s="107" t="str">
        <f t="shared" si="2"/>
        <v/>
      </c>
      <c r="F31" s="126" t="str">
        <f>VLOOKUP(G31,'Swiss Registry'!$A$2:$B$703,2,False)</f>
        <v>tyler.cox</v>
      </c>
      <c r="G31" s="127">
        <v>525.0</v>
      </c>
      <c r="H31" s="93" t="s">
        <v>2088</v>
      </c>
      <c r="I31" s="108" t="str">
        <f t="array" ref="I31">XLOOKUP(CELL("contents",B31),'Swiss Registry'!$B$2:$B$703,'Swiss Registry'!$N$2:$N$703) </f>
        <v>758667386822983680</v>
      </c>
      <c r="J31" s="109" t="str">
        <f t="array" ref="J31">XLOOKUP(CELL("contents",F31),'Swiss Registry'!$B$2:$B$703,'Swiss Registry'!$N$2:$N$703) </f>
        <v>188804160152403968</v>
      </c>
    </row>
    <row r="32">
      <c r="A32" s="84">
        <v>48.0</v>
      </c>
      <c r="B32" s="125" t="str">
        <f>VLOOKUP(A32,'Swiss Registry'!$A$2:$B$703,2,False)</f>
        <v>Don Tonionie</v>
      </c>
      <c r="C32" s="105" t="str">
        <f t="shared" si="1"/>
        <v>Game 1</v>
      </c>
      <c r="D32" s="106" t="str">
        <f t="shared" si="3"/>
        <v>Game 2</v>
      </c>
      <c r="E32" s="110" t="str">
        <f t="shared" si="2"/>
        <v>Game 3</v>
      </c>
      <c r="F32" s="126" t="str">
        <f>VLOOKUP(G32,'Swiss Registry'!$A$2:$B$703,2,False)</f>
        <v>woeishuen</v>
      </c>
      <c r="G32" s="127">
        <v>430.0</v>
      </c>
      <c r="H32" s="93" t="s">
        <v>2089</v>
      </c>
      <c r="I32" s="108" t="str">
        <f t="array" ref="I32">XLOOKUP(CELL("contents",B32),'Swiss Registry'!$B$2:$B$703,'Swiss Registry'!$N$2:$N$703) </f>
        <v>281159058155634700</v>
      </c>
      <c r="J32" s="109" t="str">
        <f t="array" ref="J32">XLOOKUP(CELL("contents",F32),'Swiss Registry'!$B$2:$B$703,'Swiss Registry'!$N$2:$N$703) </f>
        <v>311487498486415360</v>
      </c>
    </row>
    <row r="33">
      <c r="A33" s="84">
        <v>49.0</v>
      </c>
      <c r="B33" s="125" t="str">
        <f>VLOOKUP(A33,'Swiss Registry'!$A$2:$B$703,2,False)</f>
        <v>Bhol</v>
      </c>
      <c r="C33" s="105" t="str">
        <f t="shared" si="1"/>
        <v>Game 1</v>
      </c>
      <c r="D33" s="106" t="str">
        <f t="shared" si="3"/>
        <v>Game 2</v>
      </c>
      <c r="E33" s="107" t="str">
        <f t="shared" si="2"/>
        <v/>
      </c>
      <c r="F33" s="126" t="str">
        <f>VLOOKUP(G33,'Swiss Registry'!$A$2:$B$703,2,False)</f>
        <v>tub69</v>
      </c>
      <c r="G33" s="127">
        <v>540.0</v>
      </c>
      <c r="H33" s="93" t="s">
        <v>2090</v>
      </c>
      <c r="I33" s="108" t="str">
        <f t="array" ref="I33">XLOOKUP(CELL("contents",B33),'Swiss Registry'!$B$2:$B$703,'Swiss Registry'!$N$2:$N$703) </f>
        <v>708350647879335966</v>
      </c>
      <c r="J33" s="109" t="str">
        <f t="array" ref="J33">XLOOKUP(CELL("contents",F33),'Swiss Registry'!$B$2:$B$703,'Swiss Registry'!$N$2:$N$703) </f>
        <v>283982333520904192</v>
      </c>
    </row>
    <row r="34">
      <c r="A34" s="84">
        <v>53.0</v>
      </c>
      <c r="B34" s="125" t="str">
        <f>VLOOKUP(A34,'Swiss Registry'!$A$2:$B$703,2,False)</f>
        <v>Evakiyama</v>
      </c>
      <c r="C34" s="105" t="str">
        <f t="shared" si="1"/>
        <v>Game 1</v>
      </c>
      <c r="D34" s="106" t="str">
        <f t="shared" si="3"/>
        <v>Game 2</v>
      </c>
      <c r="E34" s="107" t="str">
        <f t="shared" si="2"/>
        <v/>
      </c>
      <c r="F34" s="126" t="str">
        <f>VLOOKUP(G34,'Swiss Registry'!$A$2:$B$703,2,False)</f>
        <v>darth0068</v>
      </c>
      <c r="G34" s="127">
        <v>392.0</v>
      </c>
      <c r="H34" s="93" t="s">
        <v>2091</v>
      </c>
      <c r="I34" s="108" t="str">
        <f t="array" ref="I34">XLOOKUP(CELL("contents",B34),'Swiss Registry'!$B$2:$B$703,'Swiss Registry'!$N$2:$N$703) </f>
        <v>379787698799640576</v>
      </c>
      <c r="J34" s="109" t="str">
        <f t="array" ref="J34">XLOOKUP(CELL("contents",F34),'Swiss Registry'!$B$2:$B$703,'Swiss Registry'!$N$2:$N$703) </f>
        <v>672056990951800862</v>
      </c>
    </row>
    <row r="35">
      <c r="A35" s="84">
        <v>55.0</v>
      </c>
      <c r="B35" s="125" t="str">
        <f>VLOOKUP(A35,'Swiss Registry'!$A$2:$B$703,2,False)</f>
        <v>Kai (aplgd)</v>
      </c>
      <c r="C35" s="105" t="str">
        <f t="shared" si="1"/>
        <v>Game 1</v>
      </c>
      <c r="D35" s="106" t="str">
        <f t="shared" si="3"/>
        <v>Game 2</v>
      </c>
      <c r="E35" s="110" t="str">
        <f t="shared" si="2"/>
        <v>Game 3</v>
      </c>
      <c r="F35" s="126" t="str">
        <f>VLOOKUP(G35,'Swiss Registry'!$A$2:$B$703,2,False)</f>
        <v>Superstar</v>
      </c>
      <c r="G35" s="127">
        <v>296.0</v>
      </c>
      <c r="H35" s="93" t="s">
        <v>2092</v>
      </c>
      <c r="I35" s="108" t="str">
        <f t="array" ref="I35">XLOOKUP(CELL("contents",B35),'Swiss Registry'!$B$2:$B$703,'Swiss Registry'!$N$2:$N$703) </f>
        <v>782951193495207938</v>
      </c>
      <c r="J35" s="109" t="str">
        <f t="array" ref="J35">XLOOKUP(CELL("contents",F35),'Swiss Registry'!$B$2:$B$703,'Swiss Registry'!$N$2:$N$703) </f>
        <v>563859704300699688</v>
      </c>
    </row>
    <row r="36">
      <c r="A36" s="84">
        <v>57.0</v>
      </c>
      <c r="B36" s="125" t="str">
        <f>VLOOKUP(A36,'Swiss Registry'!$A$2:$B$703,2,False)</f>
        <v>MeEsSm</v>
      </c>
      <c r="C36" s="105" t="str">
        <f t="shared" si="1"/>
        <v>Game 1</v>
      </c>
      <c r="D36" s="106" t="str">
        <f t="shared" si="3"/>
        <v>Game 2</v>
      </c>
      <c r="E36" s="107" t="str">
        <f t="shared" si="2"/>
        <v/>
      </c>
      <c r="F36" s="126" t="str">
        <f>VLOOKUP(G36,'Swiss Registry'!$A$2:$B$703,2,False)</f>
        <v>CheesiMoon</v>
      </c>
      <c r="G36" s="127">
        <v>124.0</v>
      </c>
      <c r="H36" s="93" t="s">
        <v>2093</v>
      </c>
      <c r="I36" s="108" t="str">
        <f t="array" ref="I36">XLOOKUP(CELL("contents",B36),'Swiss Registry'!$B$2:$B$703,'Swiss Registry'!$N$2:$N$703) </f>
        <v>316388400540286978</v>
      </c>
      <c r="J36" s="109" t="str">
        <f t="array" ref="J36">XLOOKUP(CELL("contents",F36),'Swiss Registry'!$B$2:$B$703,'Swiss Registry'!$N$2:$N$703) </f>
        <v>231980254887936000</v>
      </c>
    </row>
    <row r="37">
      <c r="A37" s="84">
        <v>59.0</v>
      </c>
      <c r="B37" s="125" t="str">
        <f>VLOOKUP(A37,'Swiss Registry'!$A$2:$B$703,2,False)</f>
        <v>OopsAllDeoxys</v>
      </c>
      <c r="C37" s="105" t="str">
        <f t="shared" si="1"/>
        <v>Game 1</v>
      </c>
      <c r="D37" s="106" t="str">
        <f t="shared" si="3"/>
        <v>Game 2</v>
      </c>
      <c r="E37" s="110" t="str">
        <f t="shared" si="2"/>
        <v>Game 3</v>
      </c>
      <c r="F37" s="126" t="str">
        <f>VLOOKUP(G37,'Swiss Registry'!$A$2:$B$703,2,False)</f>
        <v>xho_xho_</v>
      </c>
      <c r="G37" s="127">
        <v>550.0</v>
      </c>
      <c r="H37" s="93" t="s">
        <v>2094</v>
      </c>
      <c r="I37" s="108" t="str">
        <f t="array" ref="I37">XLOOKUP(CELL("contents",B37),'Swiss Registry'!$B$2:$B$703,'Swiss Registry'!$N$2:$N$703) </f>
        <v>528307805422223380</v>
      </c>
      <c r="J37" s="109" t="str">
        <f t="array" ref="J37">XLOOKUP(CELL("contents",F37),'Swiss Registry'!$B$2:$B$703,'Swiss Registry'!$N$2:$N$703) </f>
        <v>1026473914269978624</v>
      </c>
    </row>
    <row r="38">
      <c r="A38" s="84">
        <v>60.0</v>
      </c>
      <c r="B38" s="125" t="str">
        <f>VLOOKUP(A38,'Swiss Registry'!$A$2:$B$703,2,False)</f>
        <v>Exiline</v>
      </c>
      <c r="C38" s="105" t="str">
        <f t="shared" si="1"/>
        <v>Game 1</v>
      </c>
      <c r="D38" s="106" t="str">
        <f t="shared" si="3"/>
        <v>Game 2</v>
      </c>
      <c r="E38" s="107" t="str">
        <f t="shared" si="2"/>
        <v/>
      </c>
      <c r="F38" s="126" t="str">
        <f>VLOOKUP(G38,'Swiss Registry'!$A$2:$B$703,2,False)</f>
        <v>Redmoonie</v>
      </c>
      <c r="G38" s="127">
        <v>172.0</v>
      </c>
      <c r="H38" s="93" t="s">
        <v>2095</v>
      </c>
      <c r="I38" s="108" t="str">
        <f t="array" ref="I38">XLOOKUP(CELL("contents",B38),'Swiss Registry'!$B$2:$B$703,'Swiss Registry'!$N$2:$N$703) </f>
        <v>155646670988640258</v>
      </c>
      <c r="J38" s="109" t="str">
        <f t="array" ref="J38">XLOOKUP(CELL("contents",F38),'Swiss Registry'!$B$2:$B$703,'Swiss Registry'!$N$2:$N$703) </f>
        <v>903044957298909185</v>
      </c>
    </row>
    <row r="39">
      <c r="A39" s="84">
        <v>65.0</v>
      </c>
      <c r="B39" s="125" t="str">
        <f>VLOOKUP(A39,'Swiss Registry'!$A$2:$B$703,2,False)</f>
        <v>shawtyyyyyyy</v>
      </c>
      <c r="C39" s="105" t="str">
        <f t="shared" si="1"/>
        <v>Game 1</v>
      </c>
      <c r="D39" s="106" t="str">
        <f t="shared" si="3"/>
        <v>Game 2</v>
      </c>
      <c r="E39" s="110" t="str">
        <f t="shared" si="2"/>
        <v>Game 3</v>
      </c>
      <c r="F39" s="126" t="str">
        <f>VLOOKUP(G39,'Swiss Registry'!$A$2:$B$703,2,False)</f>
        <v>Forte_French</v>
      </c>
      <c r="G39" s="127">
        <v>442.0</v>
      </c>
      <c r="H39" s="93" t="s">
        <v>2096</v>
      </c>
      <c r="I39" s="108" t="str">
        <f t="array" ref="I39">XLOOKUP(CELL("contents",B39),'Swiss Registry'!$B$2:$B$703,'Swiss Registry'!$N$2:$N$703) </f>
        <v>721487439847358505</v>
      </c>
      <c r="J39" s="109" t="str">
        <f t="array" ref="J39">XLOOKUP(CELL("contents",F39),'Swiss Registry'!$B$2:$B$703,'Swiss Registry'!$N$2:$N$703) </f>
        <v>345986385502797844</v>
      </c>
    </row>
    <row r="40">
      <c r="A40" s="84">
        <v>69.0</v>
      </c>
      <c r="B40" s="125" t="str">
        <f>VLOOKUP(A40,'Swiss Registry'!$A$2:$B$703,2,False)</f>
        <v>Alice</v>
      </c>
      <c r="C40" s="105" t="str">
        <f t="shared" si="1"/>
        <v>Game 1</v>
      </c>
      <c r="D40" s="106" t="str">
        <f t="shared" si="3"/>
        <v>Game 2</v>
      </c>
      <c r="E40" s="107" t="str">
        <f t="shared" si="2"/>
        <v/>
      </c>
      <c r="F40" s="126" t="str">
        <f>VLOOKUP(G40,'Swiss Registry'!$A$2:$B$703,2,False)</f>
        <v>Goose824</v>
      </c>
      <c r="G40" s="127">
        <v>585.0</v>
      </c>
      <c r="H40" s="93" t="s">
        <v>2097</v>
      </c>
      <c r="I40" s="108" t="str">
        <f t="array" ref="I40">XLOOKUP(CELL("contents",B40),'Swiss Registry'!$B$2:$B$703,'Swiss Registry'!$N$2:$N$703) </f>
        <v>236760957034954753</v>
      </c>
      <c r="J40" s="109" t="str">
        <f t="array" ref="J40">XLOOKUP(CELL("contents",F40),'Swiss Registry'!$B$2:$B$703,'Swiss Registry'!$N$2:$N$703) </f>
        <v>260566711202218005</v>
      </c>
    </row>
    <row r="41">
      <c r="A41" s="84">
        <v>71.0</v>
      </c>
      <c r="B41" s="125" t="str">
        <f>VLOOKUP(A41,'Swiss Registry'!$A$2:$B$703,2,False)</f>
        <v>Sanke Carp</v>
      </c>
      <c r="C41" s="105" t="str">
        <f t="shared" si="1"/>
        <v>Game 1</v>
      </c>
      <c r="D41" s="106" t="str">
        <f t="shared" si="3"/>
        <v>Game 2</v>
      </c>
      <c r="E41" s="107" t="str">
        <f t="shared" si="2"/>
        <v/>
      </c>
      <c r="F41" s="126" t="str">
        <f>VLOOKUP(G41,'Swiss Registry'!$A$2:$B$703,2,False)</f>
        <v>Sophocles</v>
      </c>
      <c r="G41" s="127">
        <v>130.0</v>
      </c>
      <c r="H41" s="93" t="s">
        <v>2098</v>
      </c>
      <c r="I41" s="108" t="str">
        <f t="array" ref="I41">XLOOKUP(CELL("contents",B41),'Swiss Registry'!$B$2:$B$703,'Swiss Registry'!$N$2:$N$703) </f>
        <v>191955347160825856</v>
      </c>
      <c r="J41" s="109" t="str">
        <f t="array" ref="J41">XLOOKUP(CELL("contents",F41),'Swiss Registry'!$B$2:$B$703,'Swiss Registry'!$N$2:$N$703) </f>
        <v>109151686848679936</v>
      </c>
    </row>
    <row r="42" ht="15.0" customHeight="1">
      <c r="A42" s="128"/>
      <c r="B42" s="122"/>
      <c r="C42" s="114"/>
      <c r="D42" s="82" t="s">
        <v>1492</v>
      </c>
      <c r="E42" s="81"/>
      <c r="F42" s="123"/>
      <c r="G42" s="129">
        <v>543.0</v>
      </c>
      <c r="H42" s="93"/>
      <c r="I42" s="83"/>
      <c r="J42" s="83"/>
    </row>
    <row r="43">
      <c r="A43" s="130">
        <v>74.0</v>
      </c>
      <c r="B43" s="125" t="str">
        <f>VLOOKUP(A43,'Swiss Registry'!$A$2:$B$703,2,False)</f>
        <v>xXEricXx</v>
      </c>
      <c r="C43" s="105" t="str">
        <f t="shared" ref="C43:C81" si="4">IF(H43="dead","",IF(H43="a:act","",IF(H43="b:act","",IF(ISURL(HYPERLINK(INDIRECT("Importer!B"&amp;MID(H43,2,4)+1,TRUE))),HYPERLINK(INDIRECT("Importer!B"&amp;MID(H43,2,4)+1,TRUE), "Game 1"),""))))</f>
        <v>Game 1</v>
      </c>
      <c r="D43" s="106" t="str">
        <f>IF(H43="dead","Dead Game",IF(H43="a:act","Act: "&amp;F43,IF(H43="b:act","Act: "&amp;#REF!,IF(ISURL(HYPERLINK(INDIRECT("Importer!B"&amp;MID(H43,6,4)+1,TRUE))),HYPERLINK(INDIRECT("Importer!B"&amp;MID(H43,6,4)+1,TRUE), "Game 2"),""))))</f>
        <v>Game 2</v>
      </c>
      <c r="E43" s="107" t="str">
        <f t="shared" ref="E43:E81" si="5">IF(H43="dead","",IF(H43="a:act","",IF(H43="b:act","",IF(ISURL(HYPERLINK(INDIRECT("Importer!B"&amp;MID(H43,10,4)+1,TRUE))),HYPERLINK(INDIRECT("Importer!B"&amp;MID(H43,10,4)+1,TRUE), "Game 3"),""))))</f>
        <v/>
      </c>
      <c r="F43" s="126" t="str">
        <f>VLOOKUP(G43,'Swiss Registry'!$A$2:$B$703,2,False)</f>
        <v>s_2_w</v>
      </c>
      <c r="G43" s="131">
        <v>543.0</v>
      </c>
      <c r="H43" s="93" t="s">
        <v>2099</v>
      </c>
      <c r="I43" s="108" t="str">
        <f t="array" ref="I43">XLOOKUP(CELL("contents",B43),'Swiss Registry'!$B$2:$B$703,'Swiss Registry'!$N$2:$N$703) </f>
        <v>188804001054064640</v>
      </c>
      <c r="J43" s="109" t="str">
        <f t="array" ref="J43">XLOOKUP(CELL("contents",F43),'Swiss Registry'!$B$2:$B$703,'Swiss Registry'!$N$2:$N$703) </f>
        <v>849644863661801493</v>
      </c>
    </row>
    <row r="44">
      <c r="A44" s="130">
        <v>75.0</v>
      </c>
      <c r="B44" s="125" t="str">
        <f>VLOOKUP(A44,'Swiss Registry'!$A$2:$B$703,2,False)</f>
        <v>Marshy</v>
      </c>
      <c r="C44" s="105" t="str">
        <f t="shared" si="4"/>
        <v>Game 1</v>
      </c>
      <c r="D44" s="106" t="str">
        <f t="shared" ref="D44:D81" si="6">IF(H44="dead","Dead Game",IF(H44="a:act","Act: "&amp;B44,IF(H44="b:act","Act: "&amp;F44,IF(ISURL(HYPERLINK(INDIRECT("Importer!B"&amp;MID(H44,6,4)+1,TRUE))),HYPERLINK(INDIRECT("Importer!B"&amp;MID(H44,6,4)+1,TRUE), "Game 2"),""))))</f>
        <v>Game 2</v>
      </c>
      <c r="E44" s="107" t="str">
        <f t="shared" si="5"/>
        <v/>
      </c>
      <c r="F44" s="126" t="str">
        <f>VLOOKUP(G44,'Swiss Registry'!$A$2:$B$703,2,False)</f>
        <v>moistmania</v>
      </c>
      <c r="G44" s="131">
        <v>257.0</v>
      </c>
      <c r="H44" s="93" t="s">
        <v>2100</v>
      </c>
      <c r="I44" s="108" t="str">
        <f t="array" ref="I44">XLOOKUP(CELL("contents",B44),'Swiss Registry'!$B$2:$B$703,'Swiss Registry'!$N$2:$N$703) </f>
        <v>322051190097575947</v>
      </c>
      <c r="J44" s="109" t="str">
        <f t="array" ref="J44">XLOOKUP(CELL("contents",F44),'Swiss Registry'!$B$2:$B$703,'Swiss Registry'!$N$2:$N$703) </f>
        <v>1133736210683150467</v>
      </c>
    </row>
    <row r="45">
      <c r="A45" s="130">
        <v>77.0</v>
      </c>
      <c r="B45" s="125" t="str">
        <f>VLOOKUP(A45,'Swiss Registry'!$A$2:$B$703,2,False)</f>
        <v>Churi</v>
      </c>
      <c r="C45" s="105" t="str">
        <f t="shared" si="4"/>
        <v>Game 1</v>
      </c>
      <c r="D45" s="106" t="str">
        <f t="shared" si="6"/>
        <v>Game 2</v>
      </c>
      <c r="E45" s="107" t="str">
        <f t="shared" si="5"/>
        <v/>
      </c>
      <c r="F45" s="126" t="str">
        <f>VLOOKUP(G45,'Swiss Registry'!$A$2:$B$703,2,False)</f>
        <v>gudemuch</v>
      </c>
      <c r="G45" s="131">
        <v>498.0</v>
      </c>
      <c r="H45" s="93" t="s">
        <v>2101</v>
      </c>
      <c r="I45" s="108" t="str">
        <f t="array" ref="I45">XLOOKUP(CELL("contents",B45),'Swiss Registry'!$B$2:$B$703,'Swiss Registry'!$N$2:$N$703) </f>
        <v>740316248210014380</v>
      </c>
      <c r="J45" s="109" t="str">
        <f t="array" ref="J45">XLOOKUP(CELL("contents",F45),'Swiss Registry'!$B$2:$B$703,'Swiss Registry'!$N$2:$N$703) </f>
        <v>689102490154696705</v>
      </c>
    </row>
    <row r="46">
      <c r="A46" s="130">
        <v>80.0</v>
      </c>
      <c r="B46" s="125" t="str">
        <f>VLOOKUP(A46,'Swiss Registry'!$A$2:$B$703,2,False)</f>
        <v>Incognition</v>
      </c>
      <c r="C46" s="105" t="str">
        <f t="shared" si="4"/>
        <v>Game 1</v>
      </c>
      <c r="D46" s="106" t="str">
        <f t="shared" si="6"/>
        <v>Game 2</v>
      </c>
      <c r="E46" s="107" t="str">
        <f t="shared" si="5"/>
        <v/>
      </c>
      <c r="F46" s="126" t="str">
        <f>VLOOKUP(G46,'Swiss Registry'!$A$2:$B$703,2,False)</f>
        <v>tehpenguinofdoom</v>
      </c>
      <c r="G46" s="131">
        <v>539.0</v>
      </c>
      <c r="H46" s="93" t="s">
        <v>2102</v>
      </c>
      <c r="I46" s="108" t="str">
        <f t="array" ref="I46">XLOOKUP(CELL("contents",B46),'Swiss Registry'!$B$2:$B$703,'Swiss Registry'!$N$2:$N$703) </f>
        <v>248186612213612546</v>
      </c>
      <c r="J46" s="109" t="str">
        <f t="array" ref="J46">XLOOKUP(CELL("contents",F46),'Swiss Registry'!$B$2:$B$703,'Swiss Registry'!$N$2:$N$703) </f>
        <v>884242717255807047</v>
      </c>
    </row>
    <row r="47">
      <c r="A47" s="130">
        <v>81.0</v>
      </c>
      <c r="B47" s="125" t="str">
        <f>VLOOKUP(A47,'Swiss Registry'!$A$2:$B$703,2,False)</f>
        <v>Tempokin</v>
      </c>
      <c r="C47" s="105" t="str">
        <f t="shared" si="4"/>
        <v>Game 1</v>
      </c>
      <c r="D47" s="106" t="str">
        <f t="shared" si="6"/>
        <v>Game 2</v>
      </c>
      <c r="E47" s="107" t="str">
        <f t="shared" si="5"/>
        <v/>
      </c>
      <c r="F47" s="126" t="str">
        <f>VLOOKUP(G47,'Swiss Registry'!$A$2:$B$703,2,False)</f>
        <v>clarissen</v>
      </c>
      <c r="G47" s="131">
        <v>609.0</v>
      </c>
      <c r="H47" s="93" t="s">
        <v>2103</v>
      </c>
      <c r="I47" s="108" t="str">
        <f t="array" ref="I47">XLOOKUP(CELL("contents",B47),'Swiss Registry'!$B$2:$B$703,'Swiss Registry'!$N$2:$N$703) </f>
        <v>305870832977182722</v>
      </c>
      <c r="J47" s="109" t="str">
        <f t="array" ref="J47">XLOOKUP(CELL("contents",F47),'Swiss Registry'!$B$2:$B$703,'Swiss Registry'!$N$2:$N$703) </f>
        <v>443637291165024277</v>
      </c>
    </row>
    <row r="48">
      <c r="A48" s="130">
        <v>82.0</v>
      </c>
      <c r="B48" s="125" t="str">
        <f>VLOOKUP(A48,'Swiss Registry'!$A$2:$B$703,2,False)</f>
        <v>Egor</v>
      </c>
      <c r="C48" s="105" t="str">
        <f t="shared" si="4"/>
        <v>Game 1</v>
      </c>
      <c r="D48" s="106" t="str">
        <f t="shared" si="6"/>
        <v>Game 2</v>
      </c>
      <c r="E48" s="107" t="str">
        <f t="shared" si="5"/>
        <v/>
      </c>
      <c r="F48" s="126" t="str">
        <f>VLOOKUP(G48,'Swiss Registry'!$A$2:$B$703,2,False)</f>
        <v>Ehtis</v>
      </c>
      <c r="G48" s="131">
        <v>675.0</v>
      </c>
      <c r="H48" s="93" t="s">
        <v>2104</v>
      </c>
      <c r="I48" s="108" t="str">
        <f t="array" ref="I48">XLOOKUP(CELL("contents",B48),'Swiss Registry'!$B$2:$B$703,'Swiss Registry'!$N$2:$N$703) </f>
        <v>435128937400500224</v>
      </c>
      <c r="J48" s="109" t="str">
        <f t="array" ref="J48">XLOOKUP(CELL("contents",F48),'Swiss Registry'!$B$2:$B$703,'Swiss Registry'!$N$2:$N$703) </f>
        <v>318819800639995904</v>
      </c>
    </row>
    <row r="49">
      <c r="A49" s="130">
        <v>85.0</v>
      </c>
      <c r="B49" s="125" t="str">
        <f>VLOOKUP(A49,'Swiss Registry'!$A$2:$B$703,2,False)</f>
        <v>Cyberas</v>
      </c>
      <c r="C49" s="105" t="str">
        <f t="shared" si="4"/>
        <v>Game 1</v>
      </c>
      <c r="D49" s="106" t="str">
        <f t="shared" si="6"/>
        <v>Game 2</v>
      </c>
      <c r="E49" s="107" t="str">
        <f t="shared" si="5"/>
        <v/>
      </c>
      <c r="F49" s="126" t="str">
        <f>VLOOKUP(G49,'Swiss Registry'!$A$2:$B$703,2,False)</f>
        <v>triiplemonstre</v>
      </c>
      <c r="G49" s="131">
        <v>168.0</v>
      </c>
      <c r="H49" s="93" t="s">
        <v>2105</v>
      </c>
      <c r="I49" s="108" t="str">
        <f t="array" ref="I49">XLOOKUP(CELL("contents",B49),'Swiss Registry'!$B$2:$B$703,'Swiss Registry'!$N$2:$N$703) </f>
        <v>133696854662709248</v>
      </c>
      <c r="J49" s="109" t="str">
        <f t="array" ref="J49">XLOOKUP(CELL("contents",F49),'Swiss Registry'!$B$2:$B$703,'Swiss Registry'!$N$2:$N$703) </f>
        <v>495893557526134784</v>
      </c>
    </row>
    <row r="50">
      <c r="A50" s="130">
        <v>86.0</v>
      </c>
      <c r="B50" s="125" t="str">
        <f>VLOOKUP(A50,'Swiss Registry'!$A$2:$B$703,2,False)</f>
        <v>Cake</v>
      </c>
      <c r="C50" s="111" t="str">
        <f t="shared" si="4"/>
        <v/>
      </c>
      <c r="D50" s="112" t="str">
        <f t="shared" si="6"/>
        <v>Act: Cake</v>
      </c>
      <c r="E50" s="107" t="str">
        <f t="shared" si="5"/>
        <v/>
      </c>
      <c r="F50" s="126" t="str">
        <f>VLOOKUP(G50,'Swiss Registry'!$A$2:$B$703,2,False)</f>
        <v>jerdgerd</v>
      </c>
      <c r="G50" s="131">
        <v>320.0</v>
      </c>
      <c r="H50" s="93" t="s">
        <v>1475</v>
      </c>
      <c r="I50" s="108" t="str">
        <f t="array" ref="I50">XLOOKUP(CELL("contents",B50),'Swiss Registry'!$B$2:$B$703,'Swiss Registry'!$N$2:$N$703) </f>
        <v>1062100541871771689</v>
      </c>
      <c r="J50" s="109" t="str">
        <f t="array" ref="J50">XLOOKUP(CELL("contents",F50),'Swiss Registry'!$B$2:$B$703,'Swiss Registry'!$N$2:$N$703) </f>
        <v>253276541948002304</v>
      </c>
    </row>
    <row r="51">
      <c r="A51" s="130">
        <v>90.0</v>
      </c>
      <c r="B51" s="125" t="str">
        <f>VLOOKUP(A51,'Swiss Registry'!$A$2:$B$703,2,False)</f>
        <v>Mantis</v>
      </c>
      <c r="C51" s="105" t="str">
        <f t="shared" si="4"/>
        <v>Game 1</v>
      </c>
      <c r="D51" s="106" t="str">
        <f t="shared" si="6"/>
        <v>Game 2</v>
      </c>
      <c r="E51" s="110" t="str">
        <f t="shared" si="5"/>
        <v>Game 3</v>
      </c>
      <c r="F51" s="126" t="str">
        <f>VLOOKUP(G51,'Swiss Registry'!$A$2:$B$703,2,False)</f>
        <v>Scrigman</v>
      </c>
      <c r="G51" s="131">
        <v>150.0</v>
      </c>
      <c r="H51" s="93" t="s">
        <v>2106</v>
      </c>
      <c r="I51" s="108" t="str">
        <f t="array" ref="I51">XLOOKUP(CELL("contents",B51),'Swiss Registry'!$B$2:$B$703,'Swiss Registry'!$N$2:$N$703) </f>
        <v>396370625515487242</v>
      </c>
      <c r="J51" s="109" t="str">
        <f t="array" ref="J51">XLOOKUP(CELL("contents",F51),'Swiss Registry'!$B$2:$B$703,'Swiss Registry'!$N$2:$N$703) </f>
        <v>211942228153597952</v>
      </c>
    </row>
    <row r="52">
      <c r="A52" s="130">
        <v>95.0</v>
      </c>
      <c r="B52" s="125" t="str">
        <f>VLOOKUP(A52,'Swiss Registry'!$A$2:$B$703,2,False)</f>
        <v>Otto</v>
      </c>
      <c r="C52" s="111" t="str">
        <f t="shared" si="4"/>
        <v/>
      </c>
      <c r="D52" s="112" t="str">
        <f t="shared" si="6"/>
        <v>Act: Otto</v>
      </c>
      <c r="E52" s="107" t="str">
        <f t="shared" si="5"/>
        <v/>
      </c>
      <c r="F52" s="126" t="str">
        <f>VLOOKUP(G52,'Swiss Registry'!$A$2:$B$703,2,False)</f>
        <v>Beignet</v>
      </c>
      <c r="G52" s="131">
        <v>233.0</v>
      </c>
      <c r="H52" s="93" t="s">
        <v>1486</v>
      </c>
      <c r="I52" s="108" t="str">
        <f t="array" ref="I52">XLOOKUP(CELL("contents",B52),'Swiss Registry'!$B$2:$B$703,'Swiss Registry'!$N$2:$N$703) </f>
        <v>286683342131298304</v>
      </c>
      <c r="J52" s="109" t="str">
        <f t="array" ref="J52">XLOOKUP(CELL("contents",F52),'Swiss Registry'!$B$2:$B$703,'Swiss Registry'!$N$2:$N$703) </f>
        <v>473550253396721694</v>
      </c>
    </row>
    <row r="53">
      <c r="A53" s="130">
        <v>97.0</v>
      </c>
      <c r="B53" s="125" t="str">
        <f>VLOOKUP(A53,'Swiss Registry'!$A$2:$B$703,2,False)</f>
        <v>Seradess</v>
      </c>
      <c r="C53" s="105" t="str">
        <f t="shared" si="4"/>
        <v>Game 1</v>
      </c>
      <c r="D53" s="106" t="str">
        <f t="shared" si="6"/>
        <v>Game 2</v>
      </c>
      <c r="E53" s="110" t="str">
        <f t="shared" si="5"/>
        <v>Game 3</v>
      </c>
      <c r="F53" s="126" t="str">
        <f>VLOOKUP(G53,'Swiss Registry'!$A$2:$B$703,2,False)</f>
        <v>jotaentrena</v>
      </c>
      <c r="G53" s="131">
        <v>548.0</v>
      </c>
      <c r="H53" s="93" t="s">
        <v>2107</v>
      </c>
      <c r="I53" s="108" t="str">
        <f t="array" ref="I53">XLOOKUP(CELL("contents",B53),'Swiss Registry'!$B$2:$B$703,'Swiss Registry'!$N$2:$N$703) </f>
        <v>244659660794101763</v>
      </c>
      <c r="J53" s="109" t="str">
        <f t="array" ref="J53">XLOOKUP(CELL("contents",F53),'Swiss Registry'!$B$2:$B$703,'Swiss Registry'!$N$2:$N$703) </f>
        <v>423465310478401536</v>
      </c>
    </row>
    <row r="54">
      <c r="A54" s="130">
        <v>100.0</v>
      </c>
      <c r="B54" s="125" t="str">
        <f>VLOOKUP(A54,'Swiss Registry'!$A$2:$B$703,2,False)</f>
        <v>Zinc</v>
      </c>
      <c r="C54" s="105" t="str">
        <f t="shared" si="4"/>
        <v>Game 1</v>
      </c>
      <c r="D54" s="106" t="str">
        <f t="shared" si="6"/>
        <v>Game 2</v>
      </c>
      <c r="E54" s="107" t="str">
        <f t="shared" si="5"/>
        <v/>
      </c>
      <c r="F54" s="126" t="str">
        <f>VLOOKUP(G54,'Swiss Registry'!$A$2:$B$703,2,False)</f>
        <v>ccgeek_</v>
      </c>
      <c r="G54" s="131">
        <v>206.0</v>
      </c>
      <c r="H54" s="93" t="s">
        <v>2108</v>
      </c>
      <c r="I54" s="108" t="str">
        <f t="array" ref="I54">XLOOKUP(CELL("contents",B54),'Swiss Registry'!$B$2:$B$703,'Swiss Registry'!$N$2:$N$703) </f>
        <v>399291432235696139</v>
      </c>
      <c r="J54" s="109" t="str">
        <f t="array" ref="J54">XLOOKUP(CELL("contents",F54),'Swiss Registry'!$B$2:$B$703,'Swiss Registry'!$N$2:$N$703) </f>
        <v>861286170708279336</v>
      </c>
    </row>
    <row r="55">
      <c r="A55" s="130">
        <v>558.0</v>
      </c>
      <c r="B55" s="125" t="str">
        <f>VLOOKUP(A55,'Swiss Registry'!$A$2:$B$703,2,False)</f>
        <v>luisin</v>
      </c>
      <c r="C55" s="105" t="str">
        <f t="shared" si="4"/>
        <v>Game 1</v>
      </c>
      <c r="D55" s="106" t="str">
        <f t="shared" si="6"/>
        <v>Game 2</v>
      </c>
      <c r="E55" s="107" t="str">
        <f t="shared" si="5"/>
        <v/>
      </c>
      <c r="F55" s="126" t="str">
        <f>VLOOKUP(G55,'Swiss Registry'!$A$2:$B$703,2,False)</f>
        <v>J0af</v>
      </c>
      <c r="G55" s="131">
        <v>230.0</v>
      </c>
      <c r="H55" s="93" t="s">
        <v>2109</v>
      </c>
      <c r="I55" s="108" t="str">
        <f t="array" ref="I55">XLOOKUP(CELL("contents",B55),'Swiss Registry'!$B$2:$B$703,'Swiss Registry'!$N$2:$N$703) </f>
        <v>623656981244149798</v>
      </c>
      <c r="J55" s="109" t="str">
        <f t="array" ref="J55">XLOOKUP(CELL("contents",F55),'Swiss Registry'!$B$2:$B$703,'Swiss Registry'!$N$2:$N$703) </f>
        <v>144056588959744001</v>
      </c>
    </row>
    <row r="56">
      <c r="A56" s="130">
        <v>157.0</v>
      </c>
      <c r="B56" s="125" t="str">
        <f>VLOOKUP(A56,'Swiss Registry'!$A$2:$B$703,2,False)</f>
        <v>Amir (lordamir &amp; lordamir2)</v>
      </c>
      <c r="C56" s="105" t="str">
        <f t="shared" si="4"/>
        <v>Game 1</v>
      </c>
      <c r="D56" s="106" t="str">
        <f t="shared" si="6"/>
        <v>Game 2</v>
      </c>
      <c r="E56" s="110" t="str">
        <f t="shared" si="5"/>
        <v>Game 3</v>
      </c>
      <c r="F56" s="126" t="str">
        <f>VLOOKUP(G56,'Swiss Registry'!$A$2:$B$703,2,False)</f>
        <v>mmtimmo</v>
      </c>
      <c r="G56" s="131">
        <v>500.0</v>
      </c>
      <c r="H56" s="93" t="s">
        <v>2110</v>
      </c>
      <c r="I56" s="108" t="str">
        <f t="array" ref="I56">XLOOKUP(CELL("contents",B56),'Swiss Registry'!$B$2:$B$703,'Swiss Registry'!$N$2:$N$703) </f>
        <v>480949875953893376</v>
      </c>
      <c r="J56" s="109" t="str">
        <f t="array" ref="J56">XLOOKUP(CELL("contents",F56),'Swiss Registry'!$B$2:$B$703,'Swiss Registry'!$N$2:$N$703) </f>
        <v>201614901452603392</v>
      </c>
    </row>
    <row r="57">
      <c r="A57" s="130">
        <v>171.0</v>
      </c>
      <c r="B57" s="125" t="str">
        <f>VLOOKUP(A57,'Swiss Registry'!$A$2:$B$703,2,False)</f>
        <v>knexhawk</v>
      </c>
      <c r="C57" s="105" t="str">
        <f t="shared" si="4"/>
        <v>Game 1</v>
      </c>
      <c r="D57" s="106" t="str">
        <f t="shared" si="6"/>
        <v>Game 2</v>
      </c>
      <c r="E57" s="110" t="str">
        <f t="shared" si="5"/>
        <v>Game 3</v>
      </c>
      <c r="F57" s="126" t="str">
        <f>VLOOKUP(G57,'Swiss Registry'!$A$2:$B$703,2,False)</f>
        <v>jaden_17522</v>
      </c>
      <c r="G57" s="131">
        <v>701.0</v>
      </c>
      <c r="H57" s="93" t="s">
        <v>2111</v>
      </c>
      <c r="I57" s="108" t="str">
        <f t="array" ref="I57">XLOOKUP(CELL("contents",B57),'Swiss Registry'!$B$2:$B$703,'Swiss Registry'!$N$2:$N$703) </f>
        <v>481499066245578762</v>
      </c>
      <c r="J57" s="109" t="str">
        <f t="array" ref="J57">XLOOKUP(CELL("contents",F57),'Swiss Registry'!$B$2:$B$703,'Swiss Registry'!$N$2:$N$703) </f>
        <v>1215851373057413160</v>
      </c>
    </row>
    <row r="58">
      <c r="A58" s="130">
        <v>402.0</v>
      </c>
      <c r="B58" s="125" t="str">
        <f>VLOOKUP(A58,'Swiss Registry'!$A$2:$B$703,2,False)</f>
        <v>.verb</v>
      </c>
      <c r="C58" s="105" t="str">
        <f t="shared" si="4"/>
        <v>Game 1</v>
      </c>
      <c r="D58" s="106" t="str">
        <f t="shared" si="6"/>
        <v>Game 2</v>
      </c>
      <c r="E58" s="107" t="str">
        <f t="shared" si="5"/>
        <v/>
      </c>
      <c r="F58" s="126" t="str">
        <f>VLOOKUP(G58,'Swiss Registry'!$A$2:$B$703,2,False)</f>
        <v>swaggy001066</v>
      </c>
      <c r="G58" s="131">
        <v>132.0</v>
      </c>
      <c r="H58" s="93" t="s">
        <v>2112</v>
      </c>
      <c r="I58" s="108" t="str">
        <f t="array" ref="I58">XLOOKUP(CELL("contents",B58),'Swiss Registry'!$B$2:$B$703,'Swiss Registry'!$N$2:$N$703) </f>
        <v>97926747856580608</v>
      </c>
      <c r="J58" s="109" t="str">
        <f t="array" ref="J58">XLOOKUP(CELL("contents",F58),'Swiss Registry'!$B$2:$B$703,'Swiss Registry'!$N$2:$N$703) </f>
        <v>1003019485395042344</v>
      </c>
    </row>
    <row r="59">
      <c r="A59" s="130">
        <v>586.0</v>
      </c>
      <c r="B59" s="125" t="str">
        <f>VLOOKUP(A59,'Swiss Registry'!$A$2:$B$703,2,False)</f>
        <v>Yoink 0</v>
      </c>
      <c r="C59" s="105" t="str">
        <f t="shared" si="4"/>
        <v>Game 1</v>
      </c>
      <c r="D59" s="106" t="str">
        <f t="shared" si="6"/>
        <v>Game 2</v>
      </c>
      <c r="E59" s="110" t="str">
        <f t="shared" si="5"/>
        <v>Game 3</v>
      </c>
      <c r="F59" s="126" t="str">
        <f>VLOOKUP(G59,'Swiss Registry'!$A$2:$B$703,2,False)</f>
        <v>cepulo</v>
      </c>
      <c r="G59" s="131">
        <v>527.0</v>
      </c>
      <c r="H59" s="93" t="s">
        <v>2113</v>
      </c>
      <c r="I59" s="108" t="str">
        <f t="array" ref="I59">XLOOKUP(CELL("contents",B59),'Swiss Registry'!$B$2:$B$703,'Swiss Registry'!$N$2:$N$703) </f>
        <v>1139533634194391050</v>
      </c>
      <c r="J59" s="109" t="str">
        <f t="array" ref="J59">XLOOKUP(CELL("contents",F59),'Swiss Registry'!$B$2:$B$703,'Swiss Registry'!$N$2:$N$703) </f>
        <v>1223051167505059850</v>
      </c>
    </row>
    <row r="60">
      <c r="A60" s="84">
        <v>56.0</v>
      </c>
      <c r="B60" s="125" t="str">
        <f>VLOOKUP(A60,'Swiss Registry'!$A$2:$B$703,2,False)</f>
        <v>Vayun</v>
      </c>
      <c r="C60" s="105" t="str">
        <f t="shared" si="4"/>
        <v>Game 1</v>
      </c>
      <c r="D60" s="106" t="str">
        <f t="shared" si="6"/>
        <v>Game 2</v>
      </c>
      <c r="E60" s="107" t="str">
        <f t="shared" si="5"/>
        <v/>
      </c>
      <c r="F60" s="126" t="str">
        <f>VLOOKUP(G60,'Swiss Registry'!$A$2:$B$703,2,False)</f>
        <v>Don7331</v>
      </c>
      <c r="G60" s="131">
        <v>363.0</v>
      </c>
      <c r="H60" s="93" t="s">
        <v>2114</v>
      </c>
      <c r="I60" s="108" t="str">
        <f t="array" ref="I60">XLOOKUP(CELL("contents",B60),'Swiss Registry'!$B$2:$B$703,'Swiss Registry'!$N$2:$N$703) </f>
        <v>773919415153983489</v>
      </c>
      <c r="J60" s="109" t="str">
        <f t="array" ref="J60">XLOOKUP(CELL("contents",F60),'Swiss Registry'!$B$2:$B$703,'Swiss Registry'!$N$2:$N$703) </f>
        <v>605567062794043403</v>
      </c>
    </row>
    <row r="61">
      <c r="A61" s="130">
        <v>357.0</v>
      </c>
      <c r="B61" s="125" t="str">
        <f>VLOOKUP(A61,'Swiss Registry'!$A$2:$B$703,2,False)</f>
        <v>Typlion</v>
      </c>
      <c r="C61" s="105" t="str">
        <f t="shared" si="4"/>
        <v>Game 1</v>
      </c>
      <c r="D61" s="106" t="str">
        <f t="shared" si="6"/>
        <v>Game 2</v>
      </c>
      <c r="E61" s="110" t="str">
        <f t="shared" si="5"/>
        <v>Game 3</v>
      </c>
      <c r="F61" s="126" t="str">
        <f>VLOOKUP(G61,'Swiss Registry'!$A$2:$B$703,2,False)</f>
        <v>Papa Escargo</v>
      </c>
      <c r="G61" s="131">
        <v>276.0</v>
      </c>
      <c r="H61" s="93" t="s">
        <v>2115</v>
      </c>
      <c r="I61" s="108" t="str">
        <f t="array" ref="I61">XLOOKUP(CELL("contents",B61),'Swiss Registry'!$B$2:$B$703,'Swiss Registry'!$N$2:$N$703) </f>
        <v>306096394463215618</v>
      </c>
      <c r="J61" s="109" t="str">
        <f t="array" ref="J61">XLOOKUP(CELL("contents",F61),'Swiss Registry'!$B$2:$B$703,'Swiss Registry'!$N$2:$N$703) </f>
        <v>510329516531515427</v>
      </c>
    </row>
    <row r="62">
      <c r="A62" s="130">
        <v>375.0</v>
      </c>
      <c r="B62" s="125" t="str">
        <f>VLOOKUP(A62,'Swiss Registry'!$A$2:$B$703,2,False)</f>
        <v>executive_assistant</v>
      </c>
      <c r="C62" s="105" t="str">
        <f t="shared" si="4"/>
        <v>Game 1</v>
      </c>
      <c r="D62" s="106" t="str">
        <f t="shared" si="6"/>
        <v>Game 2</v>
      </c>
      <c r="E62" s="110" t="str">
        <f t="shared" si="5"/>
        <v>Game 3</v>
      </c>
      <c r="F62" s="126" t="str">
        <f>VLOOKUP(G62,'Swiss Registry'!$A$2:$B$703,2,False)</f>
        <v>Mintyfresh756</v>
      </c>
      <c r="G62" s="131">
        <v>563.0</v>
      </c>
      <c r="H62" s="93" t="s">
        <v>2116</v>
      </c>
      <c r="I62" s="108" t="str">
        <f t="array" ref="I62">XLOOKUP(CELL("contents",B62),'Swiss Registry'!$B$2:$B$703,'Swiss Registry'!$N$2:$N$703) </f>
        <v>446542834766577665</v>
      </c>
      <c r="J62" s="109" t="str">
        <f t="array" ref="J62">XLOOKUP(CELL("contents",F62),'Swiss Registry'!$B$2:$B$703,'Swiss Registry'!$N$2:$N$703) </f>
        <v>229365099960336384</v>
      </c>
    </row>
    <row r="63">
      <c r="A63" s="130">
        <v>264.0</v>
      </c>
      <c r="B63" s="125" t="str">
        <f>VLOOKUP(A63,'Swiss Registry'!$A$2:$B$703,2,False)</f>
        <v>Ghostmalone.</v>
      </c>
      <c r="C63" s="105" t="str">
        <f t="shared" si="4"/>
        <v>Game 1</v>
      </c>
      <c r="D63" s="106" t="str">
        <f t="shared" si="6"/>
        <v>Game 2</v>
      </c>
      <c r="E63" s="107" t="str">
        <f t="shared" si="5"/>
        <v/>
      </c>
      <c r="F63" s="126" t="str">
        <f>VLOOKUP(G63,'Swiss Registry'!$A$2:$B$703,2,False)</f>
        <v>wiilink100</v>
      </c>
      <c r="G63" s="131">
        <v>240.0</v>
      </c>
      <c r="H63" s="93" t="s">
        <v>2117</v>
      </c>
      <c r="I63" s="108" t="str">
        <f t="array" ref="I63">XLOOKUP(CELL("contents",B63),'Swiss Registry'!$B$2:$B$703,'Swiss Registry'!$N$2:$N$703) </f>
        <v>329857381746081792</v>
      </c>
      <c r="J63" s="109" t="str">
        <f t="array" ref="J63">XLOOKUP(CELL("contents",F63),'Swiss Registry'!$B$2:$B$703,'Swiss Registry'!$N$2:$N$703) </f>
        <v>160990967980097536</v>
      </c>
    </row>
    <row r="64">
      <c r="A64" s="130">
        <v>423.0</v>
      </c>
      <c r="B64" s="125" t="str">
        <f>VLOOKUP(A64,'Swiss Registry'!$A$2:$B$703,2,False)</f>
        <v>fastandsleepy</v>
      </c>
      <c r="C64" s="105" t="str">
        <f t="shared" si="4"/>
        <v>Game 1</v>
      </c>
      <c r="D64" s="106" t="str">
        <f t="shared" si="6"/>
        <v>Game 2</v>
      </c>
      <c r="E64" s="107" t="str">
        <f t="shared" si="5"/>
        <v/>
      </c>
      <c r="F64" s="126" t="str">
        <f>VLOOKUP(G64,'Swiss Registry'!$A$2:$B$703,2,False)</f>
        <v>ShotoNC</v>
      </c>
      <c r="G64" s="131">
        <v>422.0</v>
      </c>
      <c r="H64" s="93" t="s">
        <v>2118</v>
      </c>
      <c r="I64" s="108" t="str">
        <f t="array" ref="I64">XLOOKUP(CELL("contents",B64),'Swiss Registry'!$B$2:$B$703,'Swiss Registry'!$N$2:$N$703) </f>
        <v>428574676449624065</v>
      </c>
      <c r="J64" s="109" t="str">
        <f t="array" ref="J64">XLOOKUP(CELL("contents",F64),'Swiss Registry'!$B$2:$B$703,'Swiss Registry'!$N$2:$N$703) </f>
        <v>79029742778454016</v>
      </c>
    </row>
    <row r="65">
      <c r="A65" s="130">
        <v>177.0</v>
      </c>
      <c r="B65" s="125" t="str">
        <f>VLOOKUP(A65,'Swiss Registry'!$A$2:$B$703,2,False)</f>
        <v>tree69420</v>
      </c>
      <c r="C65" s="105" t="str">
        <f t="shared" si="4"/>
        <v>Game 1</v>
      </c>
      <c r="D65" s="106" t="str">
        <f t="shared" si="6"/>
        <v>Game 2</v>
      </c>
      <c r="E65" s="107" t="str">
        <f t="shared" si="5"/>
        <v/>
      </c>
      <c r="F65" s="126" t="str">
        <f>VLOOKUP(G65,'Swiss Registry'!$A$2:$B$703,2,False)</f>
        <v>dragonsareoptimal</v>
      </c>
      <c r="G65" s="131">
        <v>222.0</v>
      </c>
      <c r="H65" s="93" t="s">
        <v>2119</v>
      </c>
      <c r="I65" s="108" t="str">
        <f t="array" ref="I65">XLOOKUP(CELL("contents",B65),'Swiss Registry'!$B$2:$B$703,'Swiss Registry'!$N$2:$N$703) </f>
        <v>798958594116419604</v>
      </c>
      <c r="J65" s="109" t="str">
        <f t="array" ref="J65">XLOOKUP(CELL("contents",F65),'Swiss Registry'!$B$2:$B$703,'Swiss Registry'!$N$2:$N$703) </f>
        <v>168945056303022081</v>
      </c>
    </row>
    <row r="66">
      <c r="A66" s="130">
        <v>121.0</v>
      </c>
      <c r="B66" s="125" t="str">
        <f>VLOOKUP(A66,'Swiss Registry'!$A$2:$B$703,2,False)</f>
        <v>.brever.</v>
      </c>
      <c r="C66" s="105" t="str">
        <f t="shared" si="4"/>
        <v>Game 1</v>
      </c>
      <c r="D66" s="106" t="str">
        <f t="shared" si="6"/>
        <v>Game 2</v>
      </c>
      <c r="E66" s="107" t="str">
        <f t="shared" si="5"/>
        <v/>
      </c>
      <c r="F66" s="126" t="str">
        <f>VLOOKUP(G66,'Swiss Registry'!$A$2:$B$703,2,False)</f>
        <v>TRXXJEH</v>
      </c>
      <c r="G66" s="131">
        <v>447.0</v>
      </c>
      <c r="H66" s="93" t="s">
        <v>2120</v>
      </c>
      <c r="I66" s="108" t="str">
        <f t="array" ref="I66">XLOOKUP(CELL("contents",B66),'Swiss Registry'!$B$2:$B$703,'Swiss Registry'!$N$2:$N$703) </f>
        <v>215872454222938112</v>
      </c>
      <c r="J66" s="109" t="str">
        <f t="array" ref="J66">XLOOKUP(CELL("contents",F66),'Swiss Registry'!$B$2:$B$703,'Swiss Registry'!$N$2:$N$703) </f>
        <v>911230685602275379</v>
      </c>
    </row>
    <row r="67">
      <c r="A67" s="130">
        <v>142.0</v>
      </c>
      <c r="B67" s="125" t="str">
        <f>VLOOKUP(A67,'Swiss Registry'!$A$2:$B$703,2,False)</f>
        <v>btalb</v>
      </c>
      <c r="C67" s="105" t="str">
        <f t="shared" si="4"/>
        <v>Game 1</v>
      </c>
      <c r="D67" s="106" t="str">
        <f t="shared" si="6"/>
        <v>Game 2</v>
      </c>
      <c r="E67" s="107" t="str">
        <f t="shared" si="5"/>
        <v/>
      </c>
      <c r="F67" s="126" t="str">
        <f>VLOOKUP(G67,'Swiss Registry'!$A$2:$B$703,2,False)</f>
        <v>S.k.magnet</v>
      </c>
      <c r="G67" s="131">
        <v>576.0</v>
      </c>
      <c r="H67" s="93" t="s">
        <v>2121</v>
      </c>
      <c r="I67" s="108" t="str">
        <f t="array" ref="I67">XLOOKUP(CELL("contents",B67),'Swiss Registry'!$B$2:$B$703,'Swiss Registry'!$N$2:$N$703) </f>
        <v>210558965510045696</v>
      </c>
      <c r="J67" s="109" t="str">
        <f t="array" ref="J67">XLOOKUP(CELL("contents",F67),'Swiss Registry'!$B$2:$B$703,'Swiss Registry'!$N$2:$N$703) </f>
        <v>1147160651219869766</v>
      </c>
    </row>
    <row r="68">
      <c r="A68" s="130">
        <v>636.0</v>
      </c>
      <c r="B68" s="125" t="str">
        <f>VLOOKUP(A68,'Swiss Registry'!$A$2:$B$703,2,False)</f>
        <v>Eggman</v>
      </c>
      <c r="C68" s="111" t="str">
        <f t="shared" si="4"/>
        <v/>
      </c>
      <c r="D68" s="112" t="str">
        <f t="shared" si="6"/>
        <v>Act: rovels</v>
      </c>
      <c r="E68" s="107" t="str">
        <f t="shared" si="5"/>
        <v/>
      </c>
      <c r="F68" s="126" t="str">
        <f>VLOOKUP(G68,'Swiss Registry'!$A$2:$B$703,2,False)</f>
        <v>rovels</v>
      </c>
      <c r="G68" s="131">
        <v>193.0</v>
      </c>
      <c r="H68" s="93" t="s">
        <v>1523</v>
      </c>
      <c r="I68" s="108" t="str">
        <f t="array" ref="I68">XLOOKUP(CELL("contents",B68),'Swiss Registry'!$B$2:$B$703,'Swiss Registry'!$N$2:$N$703) </f>
        <v>516714630890913803</v>
      </c>
      <c r="J68" s="109" t="str">
        <f t="array" ref="J68">XLOOKUP(CELL("contents",F68),'Swiss Registry'!$B$2:$B$703,'Swiss Registry'!$N$2:$N$703) </f>
        <v>213427649148616704</v>
      </c>
    </row>
    <row r="69">
      <c r="A69" s="130">
        <v>418.0</v>
      </c>
      <c r="B69" s="125" t="str">
        <f>VLOOKUP(A69,'Swiss Registry'!$A$2:$B$703,2,False)</f>
        <v>skitz_money</v>
      </c>
      <c r="C69" s="105" t="str">
        <f t="shared" si="4"/>
        <v>Game 1</v>
      </c>
      <c r="D69" s="106" t="str">
        <f t="shared" si="6"/>
        <v>Game 2</v>
      </c>
      <c r="E69" s="110" t="str">
        <f t="shared" si="5"/>
        <v>Game 3</v>
      </c>
      <c r="F69" s="126" t="str">
        <f>VLOOKUP(G69,'Swiss Registry'!$A$2:$B$703,2,False)</f>
        <v>depressioncherry_66209</v>
      </c>
      <c r="G69" s="131">
        <v>185.0</v>
      </c>
      <c r="H69" s="93" t="s">
        <v>2122</v>
      </c>
      <c r="I69" s="108" t="str">
        <f t="array" ref="I69">XLOOKUP(CELL("contents",B69),'Swiss Registry'!$B$2:$B$703,'Swiss Registry'!$N$2:$N$703) </f>
        <v>175361436610985984</v>
      </c>
      <c r="J69" s="109" t="str">
        <f t="array" ref="J69">XLOOKUP(CELL("contents",F69),'Swiss Registry'!$B$2:$B$703,'Swiss Registry'!$N$2:$N$703) </f>
        <v>1223996337217863761</v>
      </c>
    </row>
    <row r="70">
      <c r="A70" s="130">
        <v>555.0</v>
      </c>
      <c r="B70" s="125" t="str">
        <f>VLOOKUP(A70,'Swiss Registry'!$A$2:$B$703,2,False)</f>
        <v>denizs8</v>
      </c>
      <c r="C70" s="105" t="str">
        <f t="shared" si="4"/>
        <v>Game 1</v>
      </c>
      <c r="D70" s="106" t="str">
        <f t="shared" si="6"/>
        <v>Game 2</v>
      </c>
      <c r="E70" s="107" t="str">
        <f t="shared" si="5"/>
        <v/>
      </c>
      <c r="F70" s="126" t="str">
        <f>VLOOKUP(G70,'Swiss Registry'!$A$2:$B$703,2,False)</f>
        <v>b1ur</v>
      </c>
      <c r="G70" s="131">
        <v>642.0</v>
      </c>
      <c r="H70" s="93" t="s">
        <v>2123</v>
      </c>
      <c r="I70" s="108" t="str">
        <f t="array" ref="I70">XLOOKUP(CELL("contents",B70),'Swiss Registry'!$B$2:$B$703,'Swiss Registry'!$N$2:$N$703) </f>
        <v>188407578202472448</v>
      </c>
      <c r="J70" s="109" t="str">
        <f t="array" ref="J70">XLOOKUP(CELL("contents",F70),'Swiss Registry'!$B$2:$B$703,'Swiss Registry'!$N$2:$N$703) </f>
        <v>196380416473563136</v>
      </c>
    </row>
    <row r="71">
      <c r="A71" s="130">
        <v>307.0</v>
      </c>
      <c r="B71" s="125" t="str">
        <f>VLOOKUP(A71,'Swiss Registry'!$A$2:$B$703,2,False)</f>
        <v>ghostreported</v>
      </c>
      <c r="C71" s="105" t="str">
        <f t="shared" si="4"/>
        <v>Game 1</v>
      </c>
      <c r="D71" s="106" t="str">
        <f t="shared" si="6"/>
        <v>Game 2</v>
      </c>
      <c r="E71" s="107" t="str">
        <f t="shared" si="5"/>
        <v/>
      </c>
      <c r="F71" s="126" t="str">
        <f>VLOOKUP(G71,'Swiss Registry'!$A$2:$B$703,2,False)</f>
        <v>ilikeeatingcrayons</v>
      </c>
      <c r="G71" s="131">
        <v>182.0</v>
      </c>
      <c r="H71" s="93" t="s">
        <v>2124</v>
      </c>
      <c r="I71" s="108" t="str">
        <f t="array" ref="I71">XLOOKUP(CELL("contents",B71),'Swiss Registry'!$B$2:$B$703,'Swiss Registry'!$N$2:$N$703) </f>
        <v>965685598545403924</v>
      </c>
      <c r="J71" s="109" t="str">
        <f t="array" ref="J71">XLOOKUP(CELL("contents",F71),'Swiss Registry'!$B$2:$B$703,'Swiss Registry'!$N$2:$N$703) </f>
        <v>538490956991692811</v>
      </c>
    </row>
    <row r="72">
      <c r="A72" s="130">
        <v>337.0</v>
      </c>
      <c r="B72" s="125" t="str">
        <f>VLOOKUP(A72,'Swiss Registry'!$A$2:$B$703,2,False)</f>
        <v>iNeedJuuce</v>
      </c>
      <c r="C72" s="105" t="str">
        <f t="shared" si="4"/>
        <v>Game 1</v>
      </c>
      <c r="D72" s="106" t="str">
        <f t="shared" si="6"/>
        <v>Game 2</v>
      </c>
      <c r="E72" s="107" t="str">
        <f t="shared" si="5"/>
        <v/>
      </c>
      <c r="F72" s="126" t="str">
        <f>VLOOKUP(G72,'Swiss Registry'!$A$2:$B$703,2,False)</f>
        <v>secondari</v>
      </c>
      <c r="G72" s="131">
        <v>325.0</v>
      </c>
      <c r="H72" s="93" t="s">
        <v>2125</v>
      </c>
      <c r="I72" s="108" t="str">
        <f t="array" ref="I72">XLOOKUP(CELL("contents",B72),'Swiss Registry'!$B$2:$B$703,'Swiss Registry'!$N$2:$N$703) </f>
        <v>618933361523687456</v>
      </c>
      <c r="J72" s="109" t="str">
        <f t="array" ref="J72">XLOOKUP(CELL("contents",F72),'Swiss Registry'!$B$2:$B$703,'Swiss Registry'!$N$2:$N$703) </f>
        <v>77493060862214144</v>
      </c>
    </row>
    <row r="73">
      <c r="A73" s="130">
        <v>454.0</v>
      </c>
      <c r="B73" s="125" t="str">
        <f>VLOOKUP(A73,'Swiss Registry'!$A$2:$B$703,2,False)</f>
        <v>datguycactus</v>
      </c>
      <c r="C73" s="105" t="str">
        <f t="shared" si="4"/>
        <v>Game 1</v>
      </c>
      <c r="D73" s="106" t="str">
        <f t="shared" si="6"/>
        <v>Game 2</v>
      </c>
      <c r="E73" s="107" t="str">
        <f t="shared" si="5"/>
        <v/>
      </c>
      <c r="F73" s="126" t="str">
        <f>VLOOKUP(G73,'Swiss Registry'!$A$2:$B$703,2,False)</f>
        <v>adv_fella</v>
      </c>
      <c r="G73" s="131">
        <v>593.0</v>
      </c>
      <c r="H73" s="93" t="s">
        <v>2126</v>
      </c>
      <c r="I73" s="108" t="str">
        <f t="array" ref="I73">XLOOKUP(CELL("contents",B73),'Swiss Registry'!$B$2:$B$703,'Swiss Registry'!$N$2:$N$703) </f>
        <v>764554384594960404</v>
      </c>
      <c r="J73" s="109" t="str">
        <f t="array" ref="J73">XLOOKUP(CELL("contents",F73),'Swiss Registry'!$B$2:$B$703,'Swiss Registry'!$N$2:$N$703) </f>
        <v>1045171502057799710</v>
      </c>
    </row>
    <row r="74">
      <c r="A74" s="130">
        <v>235.0</v>
      </c>
      <c r="B74" s="125" t="str">
        <f>VLOOKUP(A74,'Swiss Registry'!$A$2:$B$703,2,False)</f>
        <v>greencatkid</v>
      </c>
      <c r="C74" s="105" t="str">
        <f t="shared" si="4"/>
        <v>Game 1</v>
      </c>
      <c r="D74" s="106" t="str">
        <f t="shared" si="6"/>
        <v>Game 2</v>
      </c>
      <c r="E74" s="110" t="str">
        <f t="shared" si="5"/>
        <v>Game 3</v>
      </c>
      <c r="F74" s="126" t="str">
        <f>VLOOKUP(G74,'Swiss Registry'!$A$2:$B$703,2,False)</f>
        <v>cocoo7538</v>
      </c>
      <c r="G74" s="131">
        <v>103.0</v>
      </c>
      <c r="H74" s="93" t="s">
        <v>2127</v>
      </c>
      <c r="I74" s="108" t="str">
        <f t="array" ref="I74">XLOOKUP(CELL("contents",B74),'Swiss Registry'!$B$2:$B$703,'Swiss Registry'!$N$2:$N$703) </f>
        <v>265277015777607691</v>
      </c>
      <c r="J74" s="109" t="str">
        <f t="array" ref="J74">XLOOKUP(CELL("contents",F74),'Swiss Registry'!$B$2:$B$703,'Swiss Registry'!$N$2:$N$703) </f>
        <v>690750151727251466</v>
      </c>
    </row>
    <row r="75">
      <c r="A75" s="130">
        <v>599.0</v>
      </c>
      <c r="B75" s="125" t="str">
        <f>VLOOKUP(A75,'Swiss Registry'!$A$2:$B$703,2,False)</f>
        <v>Klird</v>
      </c>
      <c r="C75" s="105" t="str">
        <f t="shared" si="4"/>
        <v>Game 1</v>
      </c>
      <c r="D75" s="106" t="str">
        <f t="shared" si="6"/>
        <v>Game 2</v>
      </c>
      <c r="E75" s="110" t="str">
        <f t="shared" si="5"/>
        <v>Game 3</v>
      </c>
      <c r="F75" s="126" t="str">
        <f>VLOOKUP(G75,'Swiss Registry'!$A$2:$B$703,2,False)</f>
        <v>Saint-ome</v>
      </c>
      <c r="G75" s="131">
        <v>480.0</v>
      </c>
      <c r="H75" s="93" t="s">
        <v>2128</v>
      </c>
      <c r="I75" s="108" t="str">
        <f t="array" ref="I75">XLOOKUP(CELL("contents",B75),'Swiss Registry'!$B$2:$B$703,'Swiss Registry'!$N$2:$N$703) </f>
        <v>393218478187741186</v>
      </c>
      <c r="J75" s="109" t="str">
        <f t="array" ref="J75">XLOOKUP(CELL("contents",F75),'Swiss Registry'!$B$2:$B$703,'Swiss Registry'!$N$2:$N$703) </f>
        <v>398619797765488645</v>
      </c>
    </row>
    <row r="76">
      <c r="A76" s="130">
        <v>338.0</v>
      </c>
      <c r="B76" s="125" t="str">
        <f>VLOOKUP(A76,'Swiss Registry'!$A$2:$B$703,2,False)</f>
        <v>dhgss</v>
      </c>
      <c r="C76" s="105" t="str">
        <f t="shared" si="4"/>
        <v>Game 1</v>
      </c>
      <c r="D76" s="106" t="str">
        <f t="shared" si="6"/>
        <v>Game 2</v>
      </c>
      <c r="E76" s="107" t="str">
        <f t="shared" si="5"/>
        <v/>
      </c>
      <c r="F76" s="126" t="str">
        <f>VLOOKUP(G76,'Swiss Registry'!$A$2:$B$703,2,False)</f>
        <v>JCK_ionic</v>
      </c>
      <c r="G76" s="131">
        <v>587.0</v>
      </c>
      <c r="H76" s="93" t="s">
        <v>2129</v>
      </c>
      <c r="I76" s="108" t="str">
        <f t="array" ref="I76">XLOOKUP(CELL("contents",B76),'Swiss Registry'!$B$2:$B$703,'Swiss Registry'!$N$2:$N$703) </f>
        <v>158287368925872129</v>
      </c>
      <c r="J76" s="109" t="str">
        <f t="array" ref="J76">XLOOKUP(CELL("contents",F76),'Swiss Registry'!$B$2:$B$703,'Swiss Registry'!$N$2:$N$703) </f>
        <v>285602550345105409</v>
      </c>
    </row>
    <row r="77">
      <c r="A77" s="130">
        <v>698.0</v>
      </c>
      <c r="B77" s="125" t="str">
        <f>VLOOKUP(A77,'Swiss Registry'!$A$2:$B$703,2,False)</f>
        <v>jankcity</v>
      </c>
      <c r="C77" s="105" t="str">
        <f t="shared" si="4"/>
        <v>Game 1</v>
      </c>
      <c r="D77" s="106" t="str">
        <f t="shared" si="6"/>
        <v>Game 2</v>
      </c>
      <c r="E77" s="107" t="str">
        <f t="shared" si="5"/>
        <v/>
      </c>
      <c r="F77" s="126" t="str">
        <f>VLOOKUP(G77,'Swiss Registry'!$A$2:$B$703,2,False)</f>
        <v>thedarvinist</v>
      </c>
      <c r="G77" s="131">
        <v>393.0</v>
      </c>
      <c r="H77" s="93" t="s">
        <v>2130</v>
      </c>
      <c r="I77" s="108" t="str">
        <f t="array" ref="I77">XLOOKUP(CELL("contents",B77),'Swiss Registry'!$B$2:$B$703,'Swiss Registry'!$N$2:$N$703) </f>
        <v>532236765914988557</v>
      </c>
      <c r="J77" s="109" t="str">
        <f t="array" ref="J77">XLOOKUP(CELL("contents",F77),'Swiss Registry'!$B$2:$B$703,'Swiss Registry'!$N$2:$N$703) </f>
        <v>431455323476328449</v>
      </c>
    </row>
    <row r="78">
      <c r="A78" s="130">
        <v>411.0</v>
      </c>
      <c r="B78" s="125" t="str">
        <f>VLOOKUP(A78,'Swiss Registry'!$A$2:$B$703,2,False)</f>
        <v>FaceOFF</v>
      </c>
      <c r="C78" s="105" t="str">
        <f t="shared" si="4"/>
        <v>Game 1</v>
      </c>
      <c r="D78" s="106" t="str">
        <f t="shared" si="6"/>
        <v>Game 2</v>
      </c>
      <c r="E78" s="107" t="str">
        <f t="shared" si="5"/>
        <v/>
      </c>
      <c r="F78" s="126" t="str">
        <f>VLOOKUP(G78,'Swiss Registry'!$A$2:$B$703,2,False)</f>
        <v>lexi.pup</v>
      </c>
      <c r="G78" s="131">
        <v>547.0</v>
      </c>
      <c r="H78" s="93" t="s">
        <v>2131</v>
      </c>
      <c r="I78" s="108" t="str">
        <f t="array" ref="I78">XLOOKUP(CELL("contents",B78),'Swiss Registry'!$B$2:$B$703,'Swiss Registry'!$N$2:$N$703) </f>
        <v>330062412294127616</v>
      </c>
      <c r="J78" s="109" t="str">
        <f t="array" ref="J78">XLOOKUP(CELL("contents",F78),'Swiss Registry'!$B$2:$B$703,'Swiss Registry'!$N$2:$N$703) </f>
        <v>768313209161383936</v>
      </c>
    </row>
    <row r="79">
      <c r="A79" s="130">
        <v>474.0</v>
      </c>
      <c r="B79" s="125" t="str">
        <f>VLOOKUP(A79,'Swiss Registry'!$A$2:$B$703,2,False)</f>
        <v>gstrem_</v>
      </c>
      <c r="C79" s="105" t="str">
        <f t="shared" si="4"/>
        <v>Game 1</v>
      </c>
      <c r="D79" s="106" t="str">
        <f t="shared" si="6"/>
        <v>Game 2</v>
      </c>
      <c r="E79" s="110" t="str">
        <f t="shared" si="5"/>
        <v>Game 3</v>
      </c>
      <c r="F79" s="126" t="str">
        <f>VLOOKUP(G79,'Swiss Registry'!$A$2:$B$703,2,False)</f>
        <v>DanWhoDis</v>
      </c>
      <c r="G79" s="131">
        <v>469.0</v>
      </c>
      <c r="H79" s="93" t="s">
        <v>2132</v>
      </c>
      <c r="I79" s="108" t="str">
        <f t="array" ref="I79">XLOOKUP(CELL("contents",B79),'Swiss Registry'!$B$2:$B$703,'Swiss Registry'!$N$2:$N$703) </f>
        <v>575673302429859849</v>
      </c>
      <c r="J79" s="109" t="str">
        <f t="array" ref="J79">XLOOKUP(CELL("contents",F79),'Swiss Registry'!$B$2:$B$703,'Swiss Registry'!$N$2:$N$703) </f>
        <v>226027083472699395</v>
      </c>
    </row>
    <row r="80">
      <c r="A80" s="130">
        <v>271.0</v>
      </c>
      <c r="B80" s="125" t="str">
        <f>VLOOKUP(A80,'Swiss Registry'!$A$2:$B$703,2,False)</f>
        <v>billgatesalt_53189</v>
      </c>
      <c r="C80" s="105" t="str">
        <f t="shared" si="4"/>
        <v>Game 1</v>
      </c>
      <c r="D80" s="106" t="str">
        <f t="shared" si="6"/>
        <v>Game 2</v>
      </c>
      <c r="E80" s="110" t="str">
        <f t="shared" si="5"/>
        <v>Game 3</v>
      </c>
      <c r="F80" s="126" t="str">
        <f>VLOOKUP(G80,'Swiss Registry'!$A$2:$B$703,2,False)</f>
        <v>Fantasmal_.</v>
      </c>
      <c r="G80" s="131">
        <v>515.0</v>
      </c>
      <c r="H80" s="93" t="s">
        <v>2133</v>
      </c>
      <c r="I80" s="108" t="str">
        <f t="array" ref="I80">XLOOKUP(CELL("contents",B80),'Swiss Registry'!$B$2:$B$703,'Swiss Registry'!$N$2:$N$703) </f>
        <v>1288299733126746152</v>
      </c>
      <c r="J80" s="109" t="str">
        <f t="array" ref="J80">XLOOKUP(CELL("contents",F80),'Swiss Registry'!$B$2:$B$703,'Swiss Registry'!$N$2:$N$703) </f>
        <v>1232210933489864785</v>
      </c>
    </row>
    <row r="81">
      <c r="A81" s="130">
        <v>191.0</v>
      </c>
      <c r="B81" s="125" t="str">
        <f>VLOOKUP(A81,'Swiss Registry'!$A$2:$B$703,2,False)</f>
        <v>thestonewallsmith</v>
      </c>
      <c r="C81" s="105" t="str">
        <f t="shared" si="4"/>
        <v>Game 1</v>
      </c>
      <c r="D81" s="106" t="str">
        <f t="shared" si="6"/>
        <v>Game 2</v>
      </c>
      <c r="E81" s="107" t="str">
        <f t="shared" si="5"/>
        <v/>
      </c>
      <c r="F81" s="126" t="str">
        <f>VLOOKUP(G81,'Swiss Registry'!$A$2:$B$703,2,False)</f>
        <v>squirtle_squadbig_squatto</v>
      </c>
      <c r="G81" s="131">
        <v>200.0</v>
      </c>
      <c r="H81" s="93" t="s">
        <v>2134</v>
      </c>
      <c r="I81" s="108" t="str">
        <f t="array" ref="I81">XLOOKUP(CELL("contents",B81),'Swiss Registry'!$B$2:$B$703,'Swiss Registry'!$N$2:$N$703) </f>
        <v>320335928155701250</v>
      </c>
      <c r="J81" s="109" t="str">
        <f t="array" ref="J81">XLOOKUP(CELL("contents",F81),'Swiss Registry'!$B$2:$B$703,'Swiss Registry'!$N$2:$N$703) </f>
        <v>867120639248564234</v>
      </c>
    </row>
    <row r="82" ht="15.0" customHeight="1">
      <c r="A82" s="80"/>
      <c r="B82" s="122"/>
      <c r="C82" s="114"/>
      <c r="D82" s="82" t="s">
        <v>1531</v>
      </c>
      <c r="E82" s="81"/>
      <c r="F82" s="123"/>
      <c r="G82" s="132"/>
      <c r="H82" s="93"/>
      <c r="I82" s="83"/>
      <c r="J82" s="83"/>
    </row>
    <row r="83">
      <c r="A83" s="130">
        <v>227.0</v>
      </c>
      <c r="B83" s="125" t="str">
        <f>VLOOKUP(A83,'Swiss Registry'!$A$2:$B$703,2,False)</f>
        <v>_uka</v>
      </c>
      <c r="C83" s="105" t="str">
        <f t="shared" ref="C83:C121" si="7">IF(H83="dead","",IF(H83="a:act","",IF(H83="b:act","",IF(ISURL(HYPERLINK(INDIRECT("Importer!B"&amp;MID(H83,2,4)+1,TRUE))),HYPERLINK(INDIRECT("Importer!B"&amp;MID(H83,2,4)+1,TRUE), "Game 1"),""))))</f>
        <v>Game 1</v>
      </c>
      <c r="D83" s="106" t="str">
        <f>IF(H83="dead","Dead Game",IF(H83="a:act","Act: "&amp;F83,IF(H83="b:act","Act: "&amp;#REF!,IF(ISURL(HYPERLINK(INDIRECT("Importer!B"&amp;MID(H83,6,4)+1,TRUE))),HYPERLINK(INDIRECT("Importer!B"&amp;MID(H83,6,4)+1,TRUE), "Game 2"),""))))</f>
        <v>Game 2</v>
      </c>
      <c r="E83" s="110" t="str">
        <f t="shared" ref="E83:E121" si="8">IF(H83="dead","",IF(H83="a:act","",IF(H83="b:act","",IF(ISURL(HYPERLINK(INDIRECT("Importer!B"&amp;MID(H83,10,4)+1,TRUE))),HYPERLINK(INDIRECT("Importer!B"&amp;MID(H83,10,4)+1,TRUE), "Game 3"),""))))</f>
        <v>Game 3</v>
      </c>
      <c r="F83" s="126" t="str">
        <f>VLOOKUP(G83,'Swiss Registry'!$A$2:$B$703,2,False)</f>
        <v>lengloi</v>
      </c>
      <c r="G83" s="131">
        <v>129.0</v>
      </c>
      <c r="H83" s="93" t="s">
        <v>2135</v>
      </c>
      <c r="I83" s="108" t="str">
        <f t="array" ref="I83">XLOOKUP(CELL("contents",B83),'Swiss Registry'!$B$2:$B$703,'Swiss Registry'!$N$2:$N$703) </f>
        <v>277419088588832768</v>
      </c>
      <c r="J83" s="109" t="str">
        <f t="array" ref="J83">XLOOKUP(CELL("contents",F83),'Swiss Registry'!$B$2:$B$703,'Swiss Registry'!$N$2:$N$703) </f>
        <v>442724252819390474</v>
      </c>
    </row>
    <row r="84">
      <c r="A84" s="130">
        <v>557.0</v>
      </c>
      <c r="B84" s="125" t="str">
        <f>VLOOKUP(A84,'Swiss Registry'!$A$2:$B$703,2,False)</f>
        <v>Cream314</v>
      </c>
      <c r="C84" s="105" t="str">
        <f t="shared" si="7"/>
        <v>Game 1</v>
      </c>
      <c r="D84" s="106" t="str">
        <f t="shared" ref="D84:D121" si="9">IF(H84="dead","Dead Game",IF(H84="a:act","Act: "&amp;B84,IF(H84="b:act","Act: "&amp;F84,IF(ISURL(HYPERLINK(INDIRECT("Importer!B"&amp;MID(H84,6,4)+1,TRUE))),HYPERLINK(INDIRECT("Importer!B"&amp;MID(H84,6,4)+1,TRUE), "Game 2"),""))))</f>
        <v>Game 2</v>
      </c>
      <c r="E84" s="107" t="str">
        <f t="shared" si="8"/>
        <v/>
      </c>
      <c r="F84" s="126" t="str">
        <f>VLOOKUP(G84,'Swiss Registry'!$A$2:$B$703,2,False)</f>
        <v>PuruglyIsUgly</v>
      </c>
      <c r="G84" s="131">
        <v>218.0</v>
      </c>
      <c r="H84" s="93" t="s">
        <v>2136</v>
      </c>
      <c r="I84" s="108" t="str">
        <f t="array" ref="I84">XLOOKUP(CELL("contents",B84),'Swiss Registry'!$B$2:$B$703,'Swiss Registry'!$N$2:$N$703) </f>
        <v>272909263205040140</v>
      </c>
      <c r="J84" s="109" t="str">
        <f t="array" ref="J84">XLOOKUP(CELL("contents",F84),'Swiss Registry'!$B$2:$B$703,'Swiss Registry'!$N$2:$N$703) </f>
        <v>600422095641378837</v>
      </c>
    </row>
    <row r="85">
      <c r="A85" s="130">
        <v>260.0</v>
      </c>
      <c r="B85" s="125" t="str">
        <f>VLOOKUP(A85,'Swiss Registry'!$A$2:$B$703,2,False)</f>
        <v>Attazer</v>
      </c>
      <c r="C85" s="105" t="str">
        <f t="shared" si="7"/>
        <v>Game 1</v>
      </c>
      <c r="D85" s="106" t="str">
        <f t="shared" si="9"/>
        <v>Game 2</v>
      </c>
      <c r="E85" s="110" t="str">
        <f t="shared" si="8"/>
        <v>Game 3</v>
      </c>
      <c r="F85" s="126" t="str">
        <f>VLOOKUP(G85,'Swiss Registry'!$A$2:$B$703,2,False)</f>
        <v>SoCalSon</v>
      </c>
      <c r="G85" s="131">
        <v>457.0</v>
      </c>
      <c r="H85" s="93" t="s">
        <v>2137</v>
      </c>
      <c r="I85" s="108" t="str">
        <f t="array" ref="I85">XLOOKUP(CELL("contents",B85),'Swiss Registry'!$B$2:$B$703,'Swiss Registry'!$N$2:$N$703) </f>
        <v>240653064753774592</v>
      </c>
      <c r="J85" s="109" t="str">
        <f t="array" ref="J85">XLOOKUP(CELL("contents",F85),'Swiss Registry'!$B$2:$B$703,'Swiss Registry'!$N$2:$N$703) </f>
        <v>468130505280192512</v>
      </c>
    </row>
    <row r="86">
      <c r="A86" s="130">
        <v>303.0</v>
      </c>
      <c r="B86" s="125" t="str">
        <f>VLOOKUP(A86,'Swiss Registry'!$A$2:$B$703,2,False)</f>
        <v>gorbinator.</v>
      </c>
      <c r="C86" s="105" t="str">
        <f t="shared" si="7"/>
        <v>Game 1</v>
      </c>
      <c r="D86" s="106" t="str">
        <f t="shared" si="9"/>
        <v>Game 2</v>
      </c>
      <c r="E86" s="110" t="str">
        <f t="shared" si="8"/>
        <v>Game 3</v>
      </c>
      <c r="F86" s="126" t="str">
        <f>VLOOKUP(G86,'Swiss Registry'!$A$2:$B$703,2,False)</f>
        <v>@spreek</v>
      </c>
      <c r="G86" s="131">
        <v>640.0</v>
      </c>
      <c r="H86" s="93" t="s">
        <v>2138</v>
      </c>
      <c r="I86" s="108" t="str">
        <f t="array" ref="I86">XLOOKUP(CELL("contents",B86),'Swiss Registry'!$B$2:$B$703,'Swiss Registry'!$N$2:$N$703) </f>
        <v>557345709712736266</v>
      </c>
      <c r="J86" s="109" t="str">
        <f t="array" ref="J86">XLOOKUP(CELL("contents",F86),'Swiss Registry'!$B$2:$B$703,'Swiss Registry'!$N$2:$N$703) </f>
        <v>136272881666621440</v>
      </c>
    </row>
    <row r="87">
      <c r="A87" s="130">
        <v>295.0</v>
      </c>
      <c r="B87" s="125" t="str">
        <f>VLOOKUP(A87,'Swiss Registry'!$A$2:$B$703,2,False)</f>
        <v>kuru1432</v>
      </c>
      <c r="C87" s="111" t="str">
        <f t="shared" si="7"/>
        <v/>
      </c>
      <c r="D87" s="112" t="str">
        <f t="shared" si="9"/>
        <v>Act: monchooo</v>
      </c>
      <c r="E87" s="107" t="str">
        <f t="shared" si="8"/>
        <v/>
      </c>
      <c r="F87" s="126" t="str">
        <f>VLOOKUP(G87,'Swiss Registry'!$A$2:$B$703,2,False)</f>
        <v>monchooo</v>
      </c>
      <c r="G87" s="131">
        <v>269.0</v>
      </c>
      <c r="H87" s="93" t="s">
        <v>1523</v>
      </c>
      <c r="I87" s="108" t="str">
        <f t="array" ref="I87">XLOOKUP(CELL("contents",B87),'Swiss Registry'!$B$2:$B$703,'Swiss Registry'!$N$2:$N$703) </f>
        <v>194274180454154240</v>
      </c>
      <c r="J87" s="109" t="str">
        <f t="array" ref="J87">XLOOKUP(CELL("contents",F87),'Swiss Registry'!$B$2:$B$703,'Swiss Registry'!$N$2:$N$703) </f>
        <v>202168691893207041</v>
      </c>
    </row>
    <row r="88">
      <c r="A88" s="130">
        <v>316.0</v>
      </c>
      <c r="B88" s="125" t="str">
        <f>VLOOKUP(A88,'Swiss Registry'!$A$2:$B$703,2,False)</f>
        <v>bloomsmiles</v>
      </c>
      <c r="C88" s="111" t="str">
        <f t="shared" si="7"/>
        <v/>
      </c>
      <c r="D88" s="112" t="str">
        <f t="shared" si="9"/>
        <v>Act: danielck9797</v>
      </c>
      <c r="E88" s="107" t="str">
        <f t="shared" si="8"/>
        <v/>
      </c>
      <c r="F88" s="126" t="str">
        <f>VLOOKUP(G88,'Swiss Registry'!$A$2:$B$703,2,False)</f>
        <v>danielck9797</v>
      </c>
      <c r="G88" s="131">
        <v>376.0</v>
      </c>
      <c r="H88" s="93" t="s">
        <v>1523</v>
      </c>
      <c r="I88" s="108" t="str">
        <f t="array" ref="I88">XLOOKUP(CELL("contents",B88),'Swiss Registry'!$B$2:$B$703,'Swiss Registry'!$N$2:$N$703) </f>
        <v>428036889908477952</v>
      </c>
      <c r="J88" s="109" t="str">
        <f t="array" ref="J88">XLOOKUP(CELL("contents",F88),'Swiss Registry'!$B$2:$B$703,'Swiss Registry'!$N$2:$N$703) </f>
        <v>397204999957905408</v>
      </c>
    </row>
    <row r="89">
      <c r="A89" s="130">
        <v>627.0</v>
      </c>
      <c r="B89" s="125" t="str">
        <f>VLOOKUP(A89,'Swiss Registry'!$A$2:$B$703,2,False)</f>
        <v>sheikhater</v>
      </c>
      <c r="C89" s="105" t="str">
        <f t="shared" si="7"/>
        <v>Game 1</v>
      </c>
      <c r="D89" s="106" t="str">
        <f t="shared" si="9"/>
        <v>Game 2</v>
      </c>
      <c r="E89" s="107" t="str">
        <f t="shared" si="8"/>
        <v/>
      </c>
      <c r="F89" s="126" t="str">
        <f>VLOOKUP(G89,'Swiss Registry'!$A$2:$B$703,2,False)</f>
        <v>Upon_Link_Main</v>
      </c>
      <c r="G89" s="131">
        <v>616.0</v>
      </c>
      <c r="H89" s="93" t="s">
        <v>2139</v>
      </c>
      <c r="I89" s="108" t="str">
        <f t="array" ref="I89">XLOOKUP(CELL("contents",B89),'Swiss Registry'!$B$2:$B$703,'Swiss Registry'!$N$2:$N$703) </f>
        <v>355167649497481218</v>
      </c>
      <c r="J89" s="109" t="str">
        <f t="array" ref="J89">XLOOKUP(CELL("contents",F89),'Swiss Registry'!$B$2:$B$703,'Swiss Registry'!$N$2:$N$703) </f>
        <v>355216493618921472</v>
      </c>
    </row>
    <row r="90">
      <c r="A90" s="130">
        <v>517.0</v>
      </c>
      <c r="B90" s="125" t="str">
        <f>VLOOKUP(A90,'Swiss Registry'!$A$2:$B$703,2,False)</f>
        <v>oskari1707</v>
      </c>
      <c r="C90" s="105" t="str">
        <f t="shared" si="7"/>
        <v>Game 1</v>
      </c>
      <c r="D90" s="106" t="str">
        <f t="shared" si="9"/>
        <v>Game 2</v>
      </c>
      <c r="E90" s="107" t="str">
        <f t="shared" si="8"/>
        <v/>
      </c>
      <c r="F90" s="126" t="str">
        <f>VLOOKUP(G90,'Swiss Registry'!$A$2:$B$703,2,False)</f>
        <v>lemonlc</v>
      </c>
      <c r="G90" s="131">
        <v>266.0</v>
      </c>
      <c r="H90" s="93" t="s">
        <v>2140</v>
      </c>
      <c r="I90" s="108" t="str">
        <f t="array" ref="I90">XLOOKUP(CELL("contents",B90),'Swiss Registry'!$B$2:$B$703,'Swiss Registry'!$N$2:$N$703) </f>
        <v>920018351684730910</v>
      </c>
      <c r="J90" s="109" t="str">
        <f t="array" ref="J90">XLOOKUP(CELL("contents",F90),'Swiss Registry'!$B$2:$B$703,'Swiss Registry'!$N$2:$N$703) </f>
        <v>1137309984468766750</v>
      </c>
    </row>
    <row r="91">
      <c r="A91" s="130">
        <v>120.0</v>
      </c>
      <c r="B91" s="125" t="str">
        <f>VLOOKUP(A91,'Swiss Registry'!$A$2:$B$703,2,False)</f>
        <v>dicerat8</v>
      </c>
      <c r="C91" s="105" t="str">
        <f t="shared" si="7"/>
        <v>Game 1</v>
      </c>
      <c r="D91" s="106" t="str">
        <f t="shared" si="9"/>
        <v>Game 2</v>
      </c>
      <c r="E91" s="110" t="str">
        <f t="shared" si="8"/>
        <v>Game 3</v>
      </c>
      <c r="F91" s="126" t="str">
        <f>VLOOKUP(G91,'Swiss Registry'!$A$2:$B$703,2,False)</f>
        <v>jthompson9021</v>
      </c>
      <c r="G91" s="131">
        <v>680.0</v>
      </c>
      <c r="H91" s="93" t="s">
        <v>2141</v>
      </c>
      <c r="I91" s="108" t="str">
        <f t="array" ref="I91">XLOOKUP(CELL("contents",B91),'Swiss Registry'!$B$2:$B$703,'Swiss Registry'!$N$2:$N$703) </f>
        <v>811484330421387285</v>
      </c>
      <c r="J91" s="109" t="str">
        <f t="array" ref="J91">XLOOKUP(CELL("contents",F91),'Swiss Registry'!$B$2:$B$703,'Swiss Registry'!$N$2:$N$703) </f>
        <v>198634963766214656</v>
      </c>
    </row>
    <row r="92">
      <c r="A92" s="130">
        <v>286.0</v>
      </c>
      <c r="B92" s="125" t="str">
        <f>VLOOKUP(A92,'Swiss Registry'!$A$2:$B$703,2,False)</f>
        <v>Ho_Chi</v>
      </c>
      <c r="C92" s="105" t="str">
        <f t="shared" si="7"/>
        <v>Game 1</v>
      </c>
      <c r="D92" s="106" t="str">
        <f t="shared" si="9"/>
        <v>Game 2</v>
      </c>
      <c r="E92" s="110" t="str">
        <f t="shared" si="8"/>
        <v>Game 3</v>
      </c>
      <c r="F92" s="126" t="str">
        <f>VLOOKUP(G92,'Swiss Registry'!$A$2:$B$703,2,False)</f>
        <v>jeem16</v>
      </c>
      <c r="G92" s="131">
        <v>304.0</v>
      </c>
      <c r="H92" s="93" t="s">
        <v>2142</v>
      </c>
      <c r="I92" s="108" t="str">
        <f t="array" ref="I92">XLOOKUP(CELL("contents",B92),'Swiss Registry'!$B$2:$B$703,'Swiss Registry'!$N$2:$N$703) </f>
        <v>427608109519863816</v>
      </c>
      <c r="J92" s="109" t="str">
        <f t="array" ref="J92">XLOOKUP(CELL("contents",F92),'Swiss Registry'!$B$2:$B$703,'Swiss Registry'!$N$2:$N$703) </f>
        <v>137996807513964544</v>
      </c>
    </row>
    <row r="93">
      <c r="A93" s="130">
        <v>5.0</v>
      </c>
      <c r="B93" s="125" t="str">
        <f>VLOOKUP(A93,'Swiss Registry'!$A$2:$B$703,2,False)</f>
        <v>Caloom</v>
      </c>
      <c r="C93" s="105" t="str">
        <f t="shared" si="7"/>
        <v>Game 1</v>
      </c>
      <c r="D93" s="106" t="str">
        <f t="shared" si="9"/>
        <v>Game 2</v>
      </c>
      <c r="E93" s="110" t="str">
        <f t="shared" si="8"/>
        <v>Game 3</v>
      </c>
      <c r="F93" s="126" t="str">
        <f>VLOOKUP(G93,'Swiss Registry'!$A$2:$B$703,2,False)</f>
        <v>ReavenFTW</v>
      </c>
      <c r="G93" s="131">
        <v>131.0</v>
      </c>
      <c r="H93" s="93" t="s">
        <v>2143</v>
      </c>
      <c r="I93" s="108" t="str">
        <f t="array" ref="I93">XLOOKUP(CELL("contents",B93),'Swiss Registry'!$B$2:$B$703,'Swiss Registry'!$N$2:$N$703) </f>
        <v>428981810811109386</v>
      </c>
      <c r="J93" s="109" t="str">
        <f t="array" ref="J93">XLOOKUP(CELL("contents",F93),'Swiss Registry'!$B$2:$B$703,'Swiss Registry'!$N$2:$N$703) </f>
        <v>491685671480721419</v>
      </c>
    </row>
    <row r="94">
      <c r="A94" s="130">
        <v>10.0</v>
      </c>
      <c r="B94" s="125" t="str">
        <f>VLOOKUP(A94,'Swiss Registry'!$A$2:$B$703,2,False)</f>
        <v>Cyberodin</v>
      </c>
      <c r="C94" s="105" t="str">
        <f t="shared" si="7"/>
        <v>Game 1</v>
      </c>
      <c r="D94" s="106" t="str">
        <f t="shared" si="9"/>
        <v>Game 2</v>
      </c>
      <c r="E94" s="110" t="str">
        <f t="shared" si="8"/>
        <v>Game 3</v>
      </c>
      <c r="F94" s="126" t="str">
        <f>VLOOKUP(G94,'Swiss Registry'!$A$2:$B$703,2,False)</f>
        <v>legoerofeggos</v>
      </c>
      <c r="G94" s="131">
        <v>394.0</v>
      </c>
      <c r="H94" s="93" t="s">
        <v>2144</v>
      </c>
      <c r="I94" s="108" t="str">
        <f t="array" ref="I94">XLOOKUP(CELL("contents",B94),'Swiss Registry'!$B$2:$B$703,'Swiss Registry'!$N$2:$N$703) </f>
        <v>259426043285340160</v>
      </c>
      <c r="J94" s="109" t="str">
        <f t="array" ref="J94">XLOOKUP(CELL("contents",F94),'Swiss Registry'!$B$2:$B$703,'Swiss Registry'!$N$2:$N$703) </f>
        <v>488402959785263141</v>
      </c>
    </row>
    <row r="95">
      <c r="A95" s="130">
        <v>12.0</v>
      </c>
      <c r="B95" s="125" t="str">
        <f>VLOOKUP(A95,'Swiss Registry'!$A$2:$B$703,2,False)</f>
        <v>Pak</v>
      </c>
      <c r="C95" s="105" t="str">
        <f t="shared" si="7"/>
        <v>Game 1</v>
      </c>
      <c r="D95" s="106" t="str">
        <f t="shared" si="9"/>
        <v>Game 2</v>
      </c>
      <c r="E95" s="107" t="str">
        <f t="shared" si="8"/>
        <v/>
      </c>
      <c r="F95" s="126" t="str">
        <f>VLOOKUP(G95,'Swiss Registry'!$A$2:$B$703,2,False)</f>
        <v>voidvolta</v>
      </c>
      <c r="G95" s="131">
        <v>278.0</v>
      </c>
      <c r="H95" s="93" t="s">
        <v>2145</v>
      </c>
      <c r="I95" s="108" t="str">
        <f t="array" ref="I95">XLOOKUP(CELL("contents",B95),'Swiss Registry'!$B$2:$B$703,'Swiss Registry'!$N$2:$N$703) </f>
        <v>172884622986706945</v>
      </c>
      <c r="J95" s="109" t="str">
        <f t="array" ref="J95">XLOOKUP(CELL("contents",F95),'Swiss Registry'!$B$2:$B$703,'Swiss Registry'!$N$2:$N$703) </f>
        <v>208590765159350273</v>
      </c>
    </row>
    <row r="96">
      <c r="A96" s="130">
        <v>19.0</v>
      </c>
      <c r="B96" s="125" t="str">
        <f>VLOOKUP(A96,'Swiss Registry'!$A$2:$B$703,2,False)</f>
        <v>void</v>
      </c>
      <c r="C96" s="105" t="str">
        <f t="shared" si="7"/>
        <v>Game 1</v>
      </c>
      <c r="D96" s="106" t="str">
        <f t="shared" si="9"/>
        <v>Game 2</v>
      </c>
      <c r="E96" s="107" t="str">
        <f t="shared" si="8"/>
        <v/>
      </c>
      <c r="F96" s="126" t="str">
        <f>VLOOKUP(G96,'Swiss Registry'!$A$2:$B$703,2,False)</f>
        <v>cremozar#6029</v>
      </c>
      <c r="G96" s="131">
        <v>472.0</v>
      </c>
      <c r="H96" s="93" t="s">
        <v>2146</v>
      </c>
      <c r="I96" s="108" t="str">
        <f t="array" ref="I96">XLOOKUP(CELL("contents",B96),'Swiss Registry'!$B$2:$B$703,'Swiss Registry'!$N$2:$N$703) </f>
        <v>153249462641229824</v>
      </c>
      <c r="J96" s="109" t="str">
        <f t="array" ref="J96">XLOOKUP(CELL("contents",F96),'Swiss Registry'!$B$2:$B$703,'Swiss Registry'!$N$2:$N$703) </f>
        <v>231155483157856256</v>
      </c>
    </row>
    <row r="97">
      <c r="A97" s="130">
        <v>20.0</v>
      </c>
      <c r="B97" s="125" t="str">
        <f>VLOOKUP(A97,'Swiss Registry'!$A$2:$B$703,2,False)</f>
        <v>Mayo</v>
      </c>
      <c r="C97" s="105" t="str">
        <f t="shared" si="7"/>
        <v>Game 1</v>
      </c>
      <c r="D97" s="106" t="str">
        <f t="shared" si="9"/>
        <v>Game 2</v>
      </c>
      <c r="E97" s="107" t="str">
        <f t="shared" si="8"/>
        <v/>
      </c>
      <c r="F97" s="126" t="str">
        <f>VLOOKUP(G97,'Swiss Registry'!$A$2:$B$703,2,False)</f>
        <v>Chris2324</v>
      </c>
      <c r="G97" s="131">
        <v>371.0</v>
      </c>
      <c r="H97" s="93" t="s">
        <v>2147</v>
      </c>
      <c r="I97" s="108" t="str">
        <f t="array" ref="I97">XLOOKUP(CELL("contents",B97),'Swiss Registry'!$B$2:$B$703,'Swiss Registry'!$N$2:$N$703) </f>
        <v>244639333187846144</v>
      </c>
      <c r="J97" s="109" t="str">
        <f t="array" ref="J97">XLOOKUP(CELL("contents",F97),'Swiss Registry'!$B$2:$B$703,'Swiss Registry'!$N$2:$N$703) </f>
        <v>162755790644576257</v>
      </c>
    </row>
    <row r="98">
      <c r="A98" s="130">
        <v>21.0</v>
      </c>
      <c r="B98" s="125" t="str">
        <f>VLOOKUP(A98,'Swiss Registry'!$A$2:$B$703,2,False)</f>
        <v>Adam</v>
      </c>
      <c r="C98" s="105" t="str">
        <f t="shared" si="7"/>
        <v>Game 1</v>
      </c>
      <c r="D98" s="106" t="str">
        <f t="shared" si="9"/>
        <v>Game 2</v>
      </c>
      <c r="E98" s="107" t="str">
        <f t="shared" si="8"/>
        <v/>
      </c>
      <c r="F98" s="126" t="str">
        <f>VLOOKUP(G98,'Swiss Registry'!$A$2:$B$703,2,False)</f>
        <v>Drby</v>
      </c>
      <c r="G98" s="131">
        <v>579.0</v>
      </c>
      <c r="H98" s="93" t="s">
        <v>2148</v>
      </c>
      <c r="I98" s="108" t="str">
        <f t="array" ref="I98">XLOOKUP(CELL("contents",B98),'Swiss Registry'!$B$2:$B$703,'Swiss Registry'!$N$2:$N$703) </f>
        <v>714861229935689862</v>
      </c>
      <c r="J98" s="109" t="str">
        <f t="array" ref="J98">XLOOKUP(CELL("contents",F98),'Swiss Registry'!$B$2:$B$703,'Swiss Registry'!$N$2:$N$703) </f>
        <v>246760558680997888</v>
      </c>
    </row>
    <row r="99">
      <c r="A99" s="130">
        <v>23.0</v>
      </c>
      <c r="B99" s="125" t="str">
        <f>VLOOKUP(A99,'Swiss Registry'!$A$2:$B$703,2,False)</f>
        <v>udm31</v>
      </c>
      <c r="C99" s="105" t="str">
        <f t="shared" si="7"/>
        <v>Game 1</v>
      </c>
      <c r="D99" s="106" t="str">
        <f t="shared" si="9"/>
        <v>Game 2</v>
      </c>
      <c r="E99" s="107" t="str">
        <f t="shared" si="8"/>
        <v/>
      </c>
      <c r="F99" s="126" t="str">
        <f>VLOOKUP(G99,'Swiss Registry'!$A$2:$B$703,2,False)</f>
        <v>Coco / Yuii</v>
      </c>
      <c r="G99" s="131">
        <v>661.0</v>
      </c>
      <c r="H99" s="93" t="s">
        <v>2149</v>
      </c>
      <c r="I99" s="108" t="str">
        <f t="array" ref="I99">XLOOKUP(CELL("contents",B99),'Swiss Registry'!$B$2:$B$703,'Swiss Registry'!$N$2:$N$703) </f>
        <v>892364236523708427</v>
      </c>
      <c r="J99" s="109" t="str">
        <f t="array" ref="J99">XLOOKUP(CELL("contents",F99),'Swiss Registry'!$B$2:$B$703,'Swiss Registry'!$N$2:$N$703) </f>
        <v>285392368146841611</v>
      </c>
    </row>
    <row r="100">
      <c r="A100" s="130">
        <v>24.0</v>
      </c>
      <c r="B100" s="125" t="str">
        <f>VLOOKUP(A100,'Swiss Registry'!$A$2:$B$703,2,False)</f>
        <v>Big Will</v>
      </c>
      <c r="C100" s="105" t="str">
        <f t="shared" si="7"/>
        <v>Game 1</v>
      </c>
      <c r="D100" s="106" t="str">
        <f t="shared" si="9"/>
        <v>Game 2</v>
      </c>
      <c r="E100" s="110" t="str">
        <f t="shared" si="8"/>
        <v>Game 3</v>
      </c>
      <c r="F100" s="126" t="str">
        <f>VLOOKUP(G100,'Swiss Registry'!$A$2:$B$703,2,False)</f>
        <v>jew9318</v>
      </c>
      <c r="G100" s="131">
        <v>404.0</v>
      </c>
      <c r="H100" s="93" t="s">
        <v>2150</v>
      </c>
      <c r="I100" s="108" t="str">
        <f t="array" ref="I100">XLOOKUP(CELL("contents",B100),'Swiss Registry'!$B$2:$B$703,'Swiss Registry'!$N$2:$N$703) </f>
        <v>119592871962607616</v>
      </c>
      <c r="J100" s="109" t="str">
        <f t="array" ref="J100">XLOOKUP(CELL("contents",F100),'Swiss Registry'!$B$2:$B$703,'Swiss Registry'!$N$2:$N$703) </f>
        <v>155599548624928768</v>
      </c>
    </row>
    <row r="101">
      <c r="A101" s="130">
        <v>26.0</v>
      </c>
      <c r="B101" s="125" t="str">
        <f>VLOOKUP(A101,'Swiss Registry'!$A$2:$B$703,2,False)</f>
        <v>keepingiticy</v>
      </c>
      <c r="C101" s="105" t="str">
        <f t="shared" si="7"/>
        <v>Game 1</v>
      </c>
      <c r="D101" s="106" t="str">
        <f t="shared" si="9"/>
        <v>Game 2</v>
      </c>
      <c r="E101" s="110" t="str">
        <f t="shared" si="8"/>
        <v>Game 3</v>
      </c>
      <c r="F101" s="126" t="str">
        <f>VLOOKUP(G101,'Swiss Registry'!$A$2:$B$703,2,False)</f>
        <v>Jibca</v>
      </c>
      <c r="G101" s="131">
        <v>298.0</v>
      </c>
      <c r="H101" s="93" t="s">
        <v>2151</v>
      </c>
      <c r="I101" s="108" t="str">
        <f t="array" ref="I101">XLOOKUP(CELL("contents",B101),'Swiss Registry'!$B$2:$B$703,'Swiss Registry'!$N$2:$N$703) </f>
        <v>174532509701373952</v>
      </c>
      <c r="J101" s="109" t="str">
        <f t="array" ref="J101">XLOOKUP(CELL("contents",F101),'Swiss Registry'!$B$2:$B$703,'Swiss Registry'!$N$2:$N$703) </f>
        <v>907486666267168799</v>
      </c>
    </row>
    <row r="102">
      <c r="A102" s="130">
        <v>28.0</v>
      </c>
      <c r="B102" s="125" t="str">
        <f>VLOOKUP(A102,'Swiss Registry'!$A$2:$B$703,2,False)</f>
        <v>Typhoon Carter</v>
      </c>
      <c r="C102" s="105" t="str">
        <f t="shared" si="7"/>
        <v>Game 1</v>
      </c>
      <c r="D102" s="106" t="str">
        <f t="shared" si="9"/>
        <v>Game 2</v>
      </c>
      <c r="E102" s="110" t="str">
        <f t="shared" si="8"/>
        <v>Game 3</v>
      </c>
      <c r="F102" s="126" t="str">
        <f>VLOOKUP(G102,'Swiss Registry'!$A$2:$B$703,2,False)</f>
        <v>resen</v>
      </c>
      <c r="G102" s="131">
        <v>244.0</v>
      </c>
      <c r="H102" s="93" t="s">
        <v>2152</v>
      </c>
      <c r="I102" s="108" t="str">
        <f t="array" ref="I102">XLOOKUP(CELL("contents",B102),'Swiss Registry'!$B$2:$B$703,'Swiss Registry'!$N$2:$N$703) </f>
        <v>313800288647774211</v>
      </c>
      <c r="J102" s="109" t="str">
        <f t="array" ref="J102">XLOOKUP(CELL("contents",F102),'Swiss Registry'!$B$2:$B$703,'Swiss Registry'!$N$2:$N$703) </f>
        <v>348536721010458635</v>
      </c>
    </row>
    <row r="103">
      <c r="A103" s="130">
        <v>30.0</v>
      </c>
      <c r="B103" s="125" t="str">
        <f>VLOOKUP(A103,'Swiss Registry'!$A$2:$B$703,2,False)</f>
        <v>eliandiditagain</v>
      </c>
      <c r="C103" s="105" t="str">
        <f t="shared" si="7"/>
        <v>Game 1</v>
      </c>
      <c r="D103" s="106" t="str">
        <f t="shared" si="9"/>
        <v>Game 2</v>
      </c>
      <c r="E103" s="110" t="str">
        <f t="shared" si="8"/>
        <v>Game 3</v>
      </c>
      <c r="F103" s="126" t="str">
        <f>VLOOKUP(G103,'Swiss Registry'!$A$2:$B$703,2,False)</f>
        <v>JoJ</v>
      </c>
      <c r="G103" s="131">
        <v>252.0</v>
      </c>
      <c r="H103" s="93" t="s">
        <v>2153</v>
      </c>
      <c r="I103" s="108" t="str">
        <f t="array" ref="I103">XLOOKUP(CELL("contents",B103),'Swiss Registry'!$B$2:$B$703,'Swiss Registry'!$N$2:$N$703) </f>
        <v>268922335946342400</v>
      </c>
      <c r="J103" s="109" t="str">
        <f t="array" ref="J103">XLOOKUP(CELL("contents",F103),'Swiss Registry'!$B$2:$B$703,'Swiss Registry'!$N$2:$N$703) </f>
        <v>275292063417892865</v>
      </c>
    </row>
    <row r="104">
      <c r="A104" s="130">
        <v>33.0</v>
      </c>
      <c r="B104" s="125" t="str">
        <f>VLOOKUP(A104,'Swiss Registry'!$A$2:$B$703,2,False)</f>
        <v>W_R</v>
      </c>
      <c r="C104" s="105" t="str">
        <f t="shared" si="7"/>
        <v>Game 1</v>
      </c>
      <c r="D104" s="106" t="str">
        <f t="shared" si="9"/>
        <v>Game 2</v>
      </c>
      <c r="E104" s="110" t="str">
        <f t="shared" si="8"/>
        <v>Game 3</v>
      </c>
      <c r="F104" s="126" t="str">
        <f>VLOOKUP(G104,'Swiss Registry'!$A$2:$B$703,2,False)</f>
        <v>DeathbyDunsparce</v>
      </c>
      <c r="G104" s="131">
        <v>646.0</v>
      </c>
      <c r="H104" s="93" t="s">
        <v>2154</v>
      </c>
      <c r="I104" s="108" t="str">
        <f t="array" ref="I104">XLOOKUP(CELL("contents",B104),'Swiss Registry'!$B$2:$B$703,'Swiss Registry'!$N$2:$N$703) </f>
        <v>SUB</v>
      </c>
      <c r="J104" s="109" t="str">
        <f t="array" ref="J104">XLOOKUP(CELL("contents",F104),'Swiss Registry'!$B$2:$B$703,'Swiss Registry'!$N$2:$N$703) </f>
        <v>313084425498001409</v>
      </c>
    </row>
    <row r="105">
      <c r="A105" s="130">
        <v>37.0</v>
      </c>
      <c r="B105" s="125" t="str">
        <f>VLOOKUP(A105,'Swiss Registry'!$A$2:$B$703,2,False)</f>
        <v>Zerkas</v>
      </c>
      <c r="C105" s="105" t="str">
        <f t="shared" si="7"/>
        <v>Game 1</v>
      </c>
      <c r="D105" s="106" t="str">
        <f t="shared" si="9"/>
        <v>Game 2</v>
      </c>
      <c r="E105" s="110" t="str">
        <f t="shared" si="8"/>
        <v>Game 3</v>
      </c>
      <c r="F105" s="126" t="str">
        <f>VLOOKUP(G105,'Swiss Registry'!$A$2:$B$703,2,False)</f>
        <v>tsuki.no.miko</v>
      </c>
      <c r="G105" s="131">
        <v>626.0</v>
      </c>
      <c r="H105" s="93" t="s">
        <v>2155</v>
      </c>
      <c r="I105" s="108" t="str">
        <f t="array" ref="I105">XLOOKUP(CELL("contents",B105),'Swiss Registry'!$B$2:$B$703,'Swiss Registry'!$N$2:$N$703) </f>
        <v>832336642315518002</v>
      </c>
      <c r="J105" s="109" t="str">
        <f t="array" ref="J105">XLOOKUP(CELL("contents",F105),'Swiss Registry'!$B$2:$B$703,'Swiss Registry'!$N$2:$N$703) </f>
        <v>285250442479403010</v>
      </c>
    </row>
    <row r="106">
      <c r="A106" s="130">
        <v>38.0</v>
      </c>
      <c r="B106" s="125" t="str">
        <f>VLOOKUP(A106,'Swiss Registry'!$A$2:$B$703,2,False)</f>
        <v>Colteor</v>
      </c>
      <c r="C106" s="105" t="str">
        <f t="shared" si="7"/>
        <v>Game 1</v>
      </c>
      <c r="D106" s="106" t="str">
        <f t="shared" si="9"/>
        <v>Game 2</v>
      </c>
      <c r="E106" s="107" t="str">
        <f t="shared" si="8"/>
        <v/>
      </c>
      <c r="F106" s="126" t="str">
        <f>VLOOKUP(G106,'Swiss Registry'!$A$2:$B$703,2,False)</f>
        <v>UnzipsCrogre</v>
      </c>
      <c r="G106" s="131">
        <v>435.0</v>
      </c>
      <c r="H106" s="93" t="s">
        <v>2156</v>
      </c>
      <c r="I106" s="108" t="str">
        <f t="array" ref="I106">XLOOKUP(CELL("contents",B106),'Swiss Registry'!$B$2:$B$703,'Swiss Registry'!$N$2:$N$703) </f>
        <v>327152054747529217</v>
      </c>
      <c r="J106" s="109" t="str">
        <f t="array" ref="J106">XLOOKUP(CELL("contents",F106),'Swiss Registry'!$B$2:$B$703,'Swiss Registry'!$N$2:$N$703) </f>
        <v>168150536862826497</v>
      </c>
    </row>
    <row r="107">
      <c r="A107" s="130">
        <v>41.0</v>
      </c>
      <c r="B107" s="125" t="str">
        <f>VLOOKUP(A107,'Swiss Registry'!$A$2:$B$703,2,False)</f>
        <v>Celdanami</v>
      </c>
      <c r="C107" s="105" t="str">
        <f t="shared" si="7"/>
        <v>Game 1</v>
      </c>
      <c r="D107" s="106" t="str">
        <f t="shared" si="9"/>
        <v>Game 2</v>
      </c>
      <c r="E107" s="107" t="str">
        <f t="shared" si="8"/>
        <v/>
      </c>
      <c r="F107" s="126" t="str">
        <f>VLOOKUP(G107,'Swiss Registry'!$A$2:$B$703,2,False)</f>
        <v>inkyno1</v>
      </c>
      <c r="G107" s="131">
        <v>195.0</v>
      </c>
      <c r="H107" s="93" t="s">
        <v>2157</v>
      </c>
      <c r="I107" s="108" t="str">
        <f t="array" ref="I107">XLOOKUP(CELL("contents",B107),'Swiss Registry'!$B$2:$B$703,'Swiss Registry'!$N$2:$N$703) </f>
        <v>1031364783804526612</v>
      </c>
      <c r="J107" s="109" t="str">
        <f t="array" ref="J107">XLOOKUP(CELL("contents",F107),'Swiss Registry'!$B$2:$B$703,'Swiss Registry'!$N$2:$N$703) </f>
        <v>240200903359987713</v>
      </c>
    </row>
    <row r="108">
      <c r="A108" s="130">
        <v>43.0</v>
      </c>
      <c r="B108" s="125" t="str">
        <f>VLOOKUP(A108,'Swiss Registry'!$A$2:$B$703,2,False)</f>
        <v>Christos</v>
      </c>
      <c r="C108" s="105" t="str">
        <f t="shared" si="7"/>
        <v>Game 1</v>
      </c>
      <c r="D108" s="106" t="str">
        <f t="shared" si="9"/>
        <v>Game 2</v>
      </c>
      <c r="E108" s="110" t="str">
        <f t="shared" si="8"/>
        <v>Game 3</v>
      </c>
      <c r="F108" s="126" t="str">
        <f>VLOOKUP(G108,'Swiss Registry'!$A$2:$B$703,2,False)</f>
        <v>janis105</v>
      </c>
      <c r="G108" s="131">
        <v>158.0</v>
      </c>
      <c r="H108" s="93" t="s">
        <v>2158</v>
      </c>
      <c r="I108" s="108" t="str">
        <f t="array" ref="I108">XLOOKUP(CELL("contents",B108),'Swiss Registry'!$B$2:$B$703,'Swiss Registry'!$N$2:$N$703) </f>
        <v>202869299113623563</v>
      </c>
      <c r="J108" s="109" t="str">
        <f t="array" ref="J108">XLOOKUP(CELL("contents",F108),'Swiss Registry'!$B$2:$B$703,'Swiss Registry'!$N$2:$N$703) </f>
        <v>379358371221864449</v>
      </c>
    </row>
    <row r="109">
      <c r="A109" s="130">
        <v>44.0</v>
      </c>
      <c r="B109" s="125" t="str">
        <f>VLOOKUP(A109,'Swiss Registry'!$A$2:$B$703,2,False)</f>
        <v>Dridri457</v>
      </c>
      <c r="C109" s="105" t="str">
        <f t="shared" si="7"/>
        <v>Game 1</v>
      </c>
      <c r="D109" s="106" t="str">
        <f t="shared" si="9"/>
        <v>Game 2</v>
      </c>
      <c r="E109" s="110" t="str">
        <f t="shared" si="8"/>
        <v>Game 3</v>
      </c>
      <c r="F109" s="126" t="str">
        <f>VLOOKUP(G109,'Swiss Registry'!$A$2:$B$703,2,False)</f>
        <v>pat2678</v>
      </c>
      <c r="G109" s="131">
        <v>529.0</v>
      </c>
      <c r="H109" s="93" t="s">
        <v>2159</v>
      </c>
      <c r="I109" s="108" t="str">
        <f t="array" ref="I109">XLOOKUP(CELL("contents",B109),'Swiss Registry'!$B$2:$B$703,'Swiss Registry'!$N$2:$N$703) </f>
        <v>1067112559704014909</v>
      </c>
      <c r="J109" s="109" t="str">
        <f t="array" ref="J109">XLOOKUP(CELL("contents",F109),'Swiss Registry'!$B$2:$B$703,'Swiss Registry'!$N$2:$N$703) </f>
        <v>380589919070060544</v>
      </c>
    </row>
    <row r="110">
      <c r="A110" s="130">
        <v>50.0</v>
      </c>
      <c r="B110" s="125" t="str">
        <f>VLOOKUP(A110,'Swiss Registry'!$A$2:$B$703,2,False)</f>
        <v>xTina</v>
      </c>
      <c r="C110" s="105" t="str">
        <f t="shared" si="7"/>
        <v>Game 1</v>
      </c>
      <c r="D110" s="106" t="str">
        <f t="shared" si="9"/>
        <v>Game 2</v>
      </c>
      <c r="E110" s="110" t="str">
        <f t="shared" si="8"/>
        <v>Game 3</v>
      </c>
      <c r="F110" s="126" t="str">
        <f>VLOOKUP(G110,'Swiss Registry'!$A$2:$B$703,2,False)</f>
        <v>sdj</v>
      </c>
      <c r="G110" s="131">
        <v>647.0</v>
      </c>
      <c r="H110" s="93" t="s">
        <v>2160</v>
      </c>
      <c r="I110" s="108" t="str">
        <f t="array" ref="I110">XLOOKUP(CELL("contents",B110),'Swiss Registry'!$B$2:$B$703,'Swiss Registry'!$N$2:$N$703) </f>
        <v>157273003971969025</v>
      </c>
      <c r="J110" s="109" t="str">
        <f t="array" ref="J110">XLOOKUP(CELL("contents",F110),'Swiss Registry'!$B$2:$B$703,'Swiss Registry'!$N$2:$N$703) </f>
        <v>229267701514764288</v>
      </c>
    </row>
    <row r="111">
      <c r="A111" s="130">
        <v>51.0</v>
      </c>
      <c r="B111" s="125" t="str">
        <f>VLOOKUP(A111,'Swiss Registry'!$A$2:$B$703,2,False)</f>
        <v>Texas Cloverleaf</v>
      </c>
      <c r="C111" s="105" t="str">
        <f t="shared" si="7"/>
        <v>Game 1</v>
      </c>
      <c r="D111" s="106" t="str">
        <f t="shared" si="9"/>
        <v>Game 2</v>
      </c>
      <c r="E111" s="107" t="str">
        <f t="shared" si="8"/>
        <v/>
      </c>
      <c r="F111" s="126" t="str">
        <f>VLOOKUP(G111,'Swiss Registry'!$A$2:$B$703,2,False)</f>
        <v>MrBluestacks</v>
      </c>
      <c r="G111" s="131">
        <v>446.0</v>
      </c>
      <c r="H111" s="93" t="s">
        <v>2161</v>
      </c>
      <c r="I111" s="108" t="str">
        <f t="array" ref="I111">XLOOKUP(CELL("contents",B111),'Swiss Registry'!$B$2:$B$703,'Swiss Registry'!$N$2:$N$703) </f>
        <v>166991049653223424</v>
      </c>
      <c r="J111" s="109" t="str">
        <f t="array" ref="J111">XLOOKUP(CELL("contents",F111),'Swiss Registry'!$B$2:$B$703,'Swiss Registry'!$N$2:$N$703) </f>
        <v>225833081435586561</v>
      </c>
    </row>
    <row r="112">
      <c r="A112" s="130">
        <v>52.0</v>
      </c>
      <c r="B112" s="125" t="str">
        <f>VLOOKUP(A112,'Swiss Registry'!$A$2:$B$703,2,False)</f>
        <v>OOZ</v>
      </c>
      <c r="C112" s="105" t="str">
        <f t="shared" si="7"/>
        <v>Game 1</v>
      </c>
      <c r="D112" s="106" t="str">
        <f t="shared" si="9"/>
        <v>Game 2</v>
      </c>
      <c r="E112" s="107" t="str">
        <f t="shared" si="8"/>
        <v/>
      </c>
      <c r="F112" s="126" t="str">
        <f>VLOOKUP(G112,'Swiss Registry'!$A$2:$B$703,2,False)</f>
        <v>UsernameABCD</v>
      </c>
      <c r="G112" s="131">
        <v>208.0</v>
      </c>
      <c r="H112" s="93" t="s">
        <v>2162</v>
      </c>
      <c r="I112" s="108" t="str">
        <f t="array" ref="I112">XLOOKUP(CELL("contents",B112),'Swiss Registry'!$B$2:$B$703,'Swiss Registry'!$N$2:$N$703) </f>
        <v>163395445421244418</v>
      </c>
      <c r="J112" s="109" t="str">
        <f t="array" ref="J112">XLOOKUP(CELL("contents",F112),'Swiss Registry'!$B$2:$B$703,'Swiss Registry'!$N$2:$N$703) </f>
        <v>341334237485465614</v>
      </c>
    </row>
    <row r="113">
      <c r="A113" s="130">
        <v>54.0</v>
      </c>
      <c r="B113" s="125" t="str">
        <f>VLOOKUP(A113,'Swiss Registry'!$A$2:$B$703,2,False)</f>
        <v>Futtoka</v>
      </c>
      <c r="C113" s="105" t="str">
        <f t="shared" si="7"/>
        <v>Game 1</v>
      </c>
      <c r="D113" s="106" t="str">
        <f t="shared" si="9"/>
        <v>Game 2</v>
      </c>
      <c r="E113" s="107" t="str">
        <f t="shared" si="8"/>
        <v/>
      </c>
      <c r="F113" s="126" t="str">
        <f>VLOOKUP(G113,'Swiss Registry'!$A$2:$B$703,2,False)</f>
        <v>derevien</v>
      </c>
      <c r="G113" s="131">
        <v>541.0</v>
      </c>
      <c r="H113" s="93" t="s">
        <v>2163</v>
      </c>
      <c r="I113" s="108" t="str">
        <f t="array" ref="I113">XLOOKUP(CELL("contents",B113),'Swiss Registry'!$B$2:$B$703,'Swiss Registry'!$N$2:$N$703) </f>
        <v>1161228067637833728</v>
      </c>
      <c r="J113" s="109" t="str">
        <f t="array" ref="J113">XLOOKUP(CELL("contents",F113),'Swiss Registry'!$B$2:$B$703,'Swiss Registry'!$N$2:$N$703) </f>
        <v>219178413062225922</v>
      </c>
    </row>
    <row r="114">
      <c r="A114" s="84">
        <v>179.0</v>
      </c>
      <c r="B114" s="125" t="str">
        <f>VLOOKUP(A114,'Swiss Registry'!$A$2:$B$703,2,False)</f>
        <v>nekuyagokoro</v>
      </c>
      <c r="C114" s="105" t="str">
        <f t="shared" si="7"/>
        <v>Game 1</v>
      </c>
      <c r="D114" s="106" t="str">
        <f t="shared" si="9"/>
        <v>Game 2</v>
      </c>
      <c r="E114" s="107" t="str">
        <f t="shared" si="8"/>
        <v/>
      </c>
      <c r="F114" s="126" t="str">
        <f>VLOOKUP(G114,'Swiss Registry'!$A$2:$B$703,2,False)</f>
        <v>LoDart210</v>
      </c>
      <c r="G114" s="131">
        <v>125.0</v>
      </c>
      <c r="H114" s="93" t="s">
        <v>2164</v>
      </c>
      <c r="I114" s="108" t="str">
        <f t="array" ref="I114">XLOOKUP(CELL("contents",B114),'Swiss Registry'!$B$2:$B$703,'Swiss Registry'!$N$2:$N$703) </f>
        <v>138449766794133504</v>
      </c>
      <c r="J114" s="109" t="str">
        <f t="array" ref="J114">XLOOKUP(CELL("contents",F114),'Swiss Registry'!$B$2:$B$703,'Swiss Registry'!$N$2:$N$703) </f>
        <v>109153054686728192</v>
      </c>
    </row>
    <row r="115">
      <c r="A115" s="130">
        <v>58.0</v>
      </c>
      <c r="B115" s="125" t="str">
        <f>VLOOKUP(A115,'Swiss Registry'!$A$2:$B$703,2,False)</f>
        <v>kingofironfrisk</v>
      </c>
      <c r="C115" s="105" t="str">
        <f t="shared" si="7"/>
        <v>Game 1</v>
      </c>
      <c r="D115" s="106" t="str">
        <f t="shared" si="9"/>
        <v>Game 2</v>
      </c>
      <c r="E115" s="110" t="str">
        <f t="shared" si="8"/>
        <v>Game 3</v>
      </c>
      <c r="F115" s="126" t="str">
        <f>VLOOKUP(G115,'Swiss Registry'!$A$2:$B$703,2,False)</f>
        <v>Microsoft_J</v>
      </c>
      <c r="G115" s="131">
        <v>625.0</v>
      </c>
      <c r="H115" s="93" t="s">
        <v>2165</v>
      </c>
      <c r="I115" s="108" t="str">
        <f t="array" ref="I115">XLOOKUP(CELL("contents",B115),'Swiss Registry'!$B$2:$B$703,'Swiss Registry'!$N$2:$N$703) </f>
        <v>232531609293684746</v>
      </c>
      <c r="J115" s="109" t="str">
        <f t="array" ref="J115">XLOOKUP(CELL("contents",F115),'Swiss Registry'!$B$2:$B$703,'Swiss Registry'!$N$2:$N$703) </f>
        <v>178809494728343552</v>
      </c>
    </row>
    <row r="116">
      <c r="A116" s="130">
        <v>61.0</v>
      </c>
      <c r="B116" s="125" t="str">
        <f>VLOOKUP(A116,'Swiss Registry'!$A$2:$B$703,2,False)</f>
        <v>Zpanther</v>
      </c>
      <c r="C116" s="105" t="str">
        <f t="shared" si="7"/>
        <v>Game 1</v>
      </c>
      <c r="D116" s="106" t="str">
        <f t="shared" si="9"/>
        <v>Game 2</v>
      </c>
      <c r="E116" s="107" t="str">
        <f t="shared" si="8"/>
        <v/>
      </c>
      <c r="F116" s="126" t="str">
        <f>VLOOKUP(G116,'Swiss Registry'!$A$2:$B$703,2,False)</f>
        <v>dorugang</v>
      </c>
      <c r="G116" s="131">
        <v>294.0</v>
      </c>
      <c r="H116" s="93" t="s">
        <v>2166</v>
      </c>
      <c r="I116" s="108" t="str">
        <f t="array" ref="I116">XLOOKUP(CELL("contents",B116),'Swiss Registry'!$B$2:$B$703,'Swiss Registry'!$N$2:$N$703) </f>
        <v>884609024937574432</v>
      </c>
      <c r="J116" s="109" t="str">
        <f t="array" ref="J116">XLOOKUP(CELL("contents",F116),'Swiss Registry'!$B$2:$B$703,'Swiss Registry'!$N$2:$N$703) </f>
        <v>1203049772785868861</v>
      </c>
    </row>
    <row r="117">
      <c r="A117" s="130">
        <v>62.0</v>
      </c>
      <c r="B117" s="125" t="str">
        <f>VLOOKUP(A117,'Swiss Registry'!$A$2:$B$703,2,False)</f>
        <v>Nicole</v>
      </c>
      <c r="C117" s="105" t="str">
        <f t="shared" si="7"/>
        <v>Game 1</v>
      </c>
      <c r="D117" s="106" t="str">
        <f t="shared" si="9"/>
        <v>Game 2</v>
      </c>
      <c r="E117" s="107" t="str">
        <f t="shared" si="8"/>
        <v/>
      </c>
      <c r="F117" s="126" t="str">
        <f>VLOOKUP(G117,'Swiss Registry'!$A$2:$B$703,2,False)</f>
        <v>kebinsan</v>
      </c>
      <c r="G117" s="131">
        <v>217.0</v>
      </c>
      <c r="H117" s="93" t="s">
        <v>2167</v>
      </c>
      <c r="I117" s="108" t="str">
        <f t="array" ref="I117">XLOOKUP(CELL("contents",B117),'Swiss Registry'!$B$2:$B$703,'Swiss Registry'!$N$2:$N$703) </f>
        <v>372784289420410882</v>
      </c>
      <c r="J117" s="109" t="str">
        <f t="array" ref="J117">XLOOKUP(CELL("contents",F117),'Swiss Registry'!$B$2:$B$703,'Swiss Registry'!$N$2:$N$703) </f>
        <v>161516689433952256</v>
      </c>
    </row>
    <row r="118">
      <c r="A118" s="130">
        <v>63.0</v>
      </c>
      <c r="B118" s="125" t="str">
        <f>VLOOKUP(A118,'Swiss Registry'!$A$2:$B$703,2,False)</f>
        <v>Rambode</v>
      </c>
      <c r="C118" s="105" t="str">
        <f t="shared" si="7"/>
        <v>Game 1</v>
      </c>
      <c r="D118" s="106" t="str">
        <f t="shared" si="9"/>
        <v>Game 2</v>
      </c>
      <c r="E118" s="110" t="str">
        <f t="shared" si="8"/>
        <v>Game 3</v>
      </c>
      <c r="F118" s="126" t="str">
        <f>VLOOKUP(G118,'Swiss Registry'!$A$2:$B$703,2,False)</f>
        <v>dimiswooner</v>
      </c>
      <c r="G118" s="131">
        <v>366.0</v>
      </c>
      <c r="H118" s="93" t="s">
        <v>2168</v>
      </c>
      <c r="I118" s="108" t="str">
        <f t="array" ref="I118">XLOOKUP(CELL("contents",B118),'Swiss Registry'!$B$2:$B$703,'Swiss Registry'!$N$2:$N$703) </f>
        <v>205091412088324096</v>
      </c>
      <c r="J118" s="109" t="str">
        <f t="array" ref="J118">XLOOKUP(CELL("contents",F118),'Swiss Registry'!$B$2:$B$703,'Swiss Registry'!$N$2:$N$703) </f>
        <v>593100232607137793</v>
      </c>
    </row>
    <row r="119">
      <c r="A119" s="130">
        <v>64.0</v>
      </c>
      <c r="B119" s="125" t="str">
        <f>VLOOKUP(A119,'Swiss Registry'!$A$2:$B$703,2,False)</f>
        <v>xGangg</v>
      </c>
      <c r="C119" s="105" t="str">
        <f t="shared" si="7"/>
        <v>Game 1</v>
      </c>
      <c r="D119" s="106" t="str">
        <f t="shared" si="9"/>
        <v>Game 2</v>
      </c>
      <c r="E119" s="107" t="str">
        <f t="shared" si="8"/>
        <v/>
      </c>
      <c r="F119" s="126" t="str">
        <f>VLOOKUP(G119,'Swiss Registry'!$A$2:$B$703,2,False)</f>
        <v>Basharapplejuice</v>
      </c>
      <c r="G119" s="131">
        <v>140.0</v>
      </c>
      <c r="H119" s="93" t="s">
        <v>2169</v>
      </c>
      <c r="I119" s="108" t="str">
        <f t="array" ref="I119">XLOOKUP(CELL("contents",B119),'Swiss Registry'!$B$2:$B$703,'Swiss Registry'!$N$2:$N$703) </f>
        <v>219915887254175744</v>
      </c>
      <c r="J119" s="109" t="str">
        <f t="array" ref="J119">XLOOKUP(CELL("contents",F119),'Swiss Registry'!$B$2:$B$703,'Swiss Registry'!$N$2:$N$703) </f>
        <v>215651907459481601</v>
      </c>
    </row>
    <row r="120">
      <c r="A120" s="130">
        <v>66.0</v>
      </c>
      <c r="B120" s="125" t="str">
        <f>VLOOKUP(A120,'Swiss Registry'!$A$2:$B$703,2,False)</f>
        <v>Mackenzie</v>
      </c>
      <c r="C120" s="105" t="str">
        <f t="shared" si="7"/>
        <v>Game 1</v>
      </c>
      <c r="D120" s="106" t="str">
        <f t="shared" si="9"/>
        <v>Game 2</v>
      </c>
      <c r="E120" s="110" t="str">
        <f t="shared" si="8"/>
        <v>Game 3</v>
      </c>
      <c r="F120" s="126" t="str">
        <f>VLOOKUP(G120,'Swiss Registry'!$A$2:$B$703,2,False)</f>
        <v>chtx</v>
      </c>
      <c r="G120" s="131">
        <v>377.0</v>
      </c>
      <c r="H120" s="93" t="s">
        <v>2170</v>
      </c>
      <c r="I120" s="108" t="str">
        <f t="array" ref="I120">XLOOKUP(CELL("contents",B120),'Swiss Registry'!$B$2:$B$703,'Swiss Registry'!$N$2:$N$703) </f>
        <v>173519000842534913</v>
      </c>
      <c r="J120" s="109" t="str">
        <f t="array" ref="J120">XLOOKUP(CELL("contents",F120),'Swiss Registry'!$B$2:$B$703,'Swiss Registry'!$N$2:$N$703) </f>
        <v>883745894825099354</v>
      </c>
    </row>
    <row r="121">
      <c r="A121" s="130">
        <v>70.0</v>
      </c>
      <c r="B121" s="125" t="str">
        <f>VLOOKUP(A121,'Swiss Registry'!$A$2:$B$703,2,False)</f>
        <v>H&gt;L</v>
      </c>
      <c r="C121" s="105" t="str">
        <f t="shared" si="7"/>
        <v>Game 1</v>
      </c>
      <c r="D121" s="106" t="str">
        <f t="shared" si="9"/>
        <v>Game 2</v>
      </c>
      <c r="E121" s="107" t="str">
        <f t="shared" si="8"/>
        <v/>
      </c>
      <c r="F121" s="126" t="str">
        <f>VLOOKUP(G121,'Swiss Registry'!$A$2:$B$703,2,False)</f>
        <v>papajefe</v>
      </c>
      <c r="G121" s="131">
        <v>335.0</v>
      </c>
      <c r="H121" s="93" t="s">
        <v>2171</v>
      </c>
      <c r="I121" s="108" t="str">
        <f t="array" ref="I121">XLOOKUP(CELL("contents",B121),'Swiss Registry'!$B$2:$B$703,'Swiss Registry'!$N$2:$N$703) </f>
        <v>669658442071408672</v>
      </c>
      <c r="J121" s="109" t="str">
        <f t="array" ref="J121">XLOOKUP(CELL("contents",F121),'Swiss Registry'!$B$2:$B$703,'Swiss Registry'!$N$2:$N$703) </f>
        <v>124733623705272323</v>
      </c>
    </row>
    <row r="122" ht="15.0" customHeight="1">
      <c r="A122" s="80"/>
      <c r="B122" s="122"/>
      <c r="C122" s="114"/>
      <c r="D122" s="82" t="s">
        <v>1563</v>
      </c>
      <c r="E122" s="81"/>
      <c r="F122" s="123"/>
      <c r="G122" s="132"/>
      <c r="H122" s="93"/>
      <c r="I122" s="83"/>
      <c r="J122" s="83"/>
    </row>
    <row r="123">
      <c r="A123" s="130">
        <v>73.0</v>
      </c>
      <c r="B123" s="125" t="str">
        <f>VLOOKUP(A123,'Swiss Registry'!$A$2:$B$703,2,False)</f>
        <v>Oathkeeper</v>
      </c>
      <c r="C123" s="105" t="str">
        <f t="shared" ref="C123:C161" si="10">IF(H123="dead","",IF(H123="a:act","",IF(H123="b:act","",IF(ISURL(HYPERLINK(INDIRECT("Importer!B"&amp;MID(H123,2,4)+1,TRUE))),HYPERLINK(INDIRECT("Importer!B"&amp;MID(H123,2,4)+1,TRUE), "Game 1"),""))))</f>
        <v>Game 1</v>
      </c>
      <c r="D123" s="106" t="str">
        <f>IF(H123="dead","Dead Game",IF(H123="a:act","Act: "&amp;F123,IF(H123="b:act","Act: "&amp;#REF!,IF(ISURL(HYPERLINK(INDIRECT("Importer!B"&amp;MID(H123,6,4)+1,TRUE))),HYPERLINK(INDIRECT("Importer!B"&amp;MID(H123,6,4)+1,TRUE), "Game 2"),""))))</f>
        <v>Game 2</v>
      </c>
      <c r="E123" s="110" t="str">
        <f t="shared" ref="E123:E161" si="11">IF(H123="dead","",IF(H123="a:act","",IF(H123="b:act","",IF(ISURL(HYPERLINK(INDIRECT("Importer!B"&amp;MID(H123,10,4)+1,TRUE))),HYPERLINK(INDIRECT("Importer!B"&amp;MID(H123,10,4)+1,TRUE), "Game 3"),""))))</f>
        <v>Game 3</v>
      </c>
      <c r="F123" s="126" t="str">
        <f>VLOOKUP(G123,'Swiss Registry'!$A$2:$B$703,2,False)</f>
        <v>yd12k</v>
      </c>
      <c r="G123" s="131">
        <v>403.0</v>
      </c>
      <c r="H123" s="93" t="s">
        <v>2172</v>
      </c>
      <c r="I123" s="108" t="str">
        <f t="array" ref="I123">XLOOKUP(CELL("contents",B123),'Swiss Registry'!$B$2:$B$703,'Swiss Registry'!$N$2:$N$703) </f>
        <v>332917759900123137</v>
      </c>
      <c r="J123" s="109" t="str">
        <f t="array" ref="J123">XLOOKUP(CELL("contents",F123),'Swiss Registry'!$B$2:$B$703,'Swiss Registry'!$N$2:$N$703) </f>
        <v>116854172426567680</v>
      </c>
    </row>
    <row r="124">
      <c r="A124" s="130">
        <v>78.0</v>
      </c>
      <c r="B124" s="125" t="str">
        <f>VLOOKUP(A124,'Swiss Registry'!$A$2:$B$703,2,False)</f>
        <v>OOF_MAXIMA</v>
      </c>
      <c r="C124" s="111" t="str">
        <f t="shared" si="10"/>
        <v/>
      </c>
      <c r="D124" s="112" t="str">
        <f t="shared" ref="D124:D161" si="12">IF(H124="dead","Dead Game",IF(H124="a:act","Act: "&amp;B124,IF(H124="b:act","Act: "&amp;F124,IF(ISURL(HYPERLINK(INDIRECT("Importer!B"&amp;MID(H124,6,4)+1,TRUE))),HYPERLINK(INDIRECT("Importer!B"&amp;MID(H124,6,4)+1,TRUE), "Game 2"),""))))</f>
        <v>Act: OOF_MAXIMA</v>
      </c>
      <c r="E124" s="107" t="str">
        <f t="shared" si="11"/>
        <v/>
      </c>
      <c r="F124" s="126" t="str">
        <f>VLOOKUP(G124,'Swiss Registry'!$A$2:$B$703,2,False)</f>
        <v>ManiacalDolphin</v>
      </c>
      <c r="G124" s="131">
        <v>683.0</v>
      </c>
      <c r="H124" s="93" t="s">
        <v>1486</v>
      </c>
      <c r="I124" s="108" t="str">
        <f t="array" ref="I124">XLOOKUP(CELL("contents",B124),'Swiss Registry'!$B$2:$B$703,'Swiss Registry'!$N$2:$N$703) </f>
        <v>400765707467620362</v>
      </c>
      <c r="J124" s="109" t="str">
        <f t="array" ref="J124">XLOOKUP(CELL("contents",F124),'Swiss Registry'!$B$2:$B$703,'Swiss Registry'!$N$2:$N$703) </f>
        <v>218904208110387204</v>
      </c>
    </row>
    <row r="125">
      <c r="A125" s="130">
        <v>79.0</v>
      </c>
      <c r="B125" s="125" t="str">
        <f>VLOOKUP(A125,'Swiss Registry'!$A$2:$B$703,2,False)</f>
        <v>Buzzed</v>
      </c>
      <c r="C125" s="105" t="str">
        <f t="shared" si="10"/>
        <v>Game 1</v>
      </c>
      <c r="D125" s="106" t="str">
        <f t="shared" si="12"/>
        <v>Game 2</v>
      </c>
      <c r="E125" s="110" t="str">
        <f t="shared" si="11"/>
        <v>Game 3</v>
      </c>
      <c r="F125" s="126" t="str">
        <f>VLOOKUP(G125,'Swiss Registry'!$A$2:$B$703,2,False)</f>
        <v>Cyber-DJ</v>
      </c>
      <c r="G125" s="131">
        <v>389.0</v>
      </c>
      <c r="H125" s="93" t="s">
        <v>2173</v>
      </c>
      <c r="I125" s="108" t="str">
        <f t="array" ref="I125">XLOOKUP(CELL("contents",B125),'Swiss Registry'!$B$2:$B$703,'Swiss Registry'!$N$2:$N$703) </f>
        <v>103393211443085312</v>
      </c>
      <c r="J125" s="109" t="str">
        <f t="array" ref="J125">XLOOKUP(CELL("contents",F125),'Swiss Registry'!$B$2:$B$703,'Swiss Registry'!$N$2:$N$703) </f>
        <v>1217308528272871476</v>
      </c>
    </row>
    <row r="126">
      <c r="A126" s="130">
        <v>83.0</v>
      </c>
      <c r="B126" s="125" t="str">
        <f>VLOOKUP(A126,'Swiss Registry'!$A$2:$B$703,2,False)</f>
        <v>King Raska</v>
      </c>
      <c r="C126" s="105" t="str">
        <f t="shared" si="10"/>
        <v>Game 1</v>
      </c>
      <c r="D126" s="106" t="str">
        <f t="shared" si="12"/>
        <v>Game 2</v>
      </c>
      <c r="E126" s="107" t="str">
        <f t="shared" si="11"/>
        <v/>
      </c>
      <c r="F126" s="126" t="str">
        <f>VLOOKUP(G126,'Swiss Registry'!$A$2:$B$703,2,False)</f>
        <v>@geosesarma</v>
      </c>
      <c r="G126" s="131">
        <v>250.0</v>
      </c>
      <c r="H126" s="93" t="s">
        <v>2174</v>
      </c>
      <c r="I126" s="108" t="str">
        <f t="array" ref="I126">XLOOKUP(CELL("contents",B126),'Swiss Registry'!$B$2:$B$703,'Swiss Registry'!$N$2:$N$703) </f>
        <v>156914061856997376</v>
      </c>
      <c r="J126" s="109" t="str">
        <f t="array" ref="J126">XLOOKUP(CELL("contents",F126),'Swiss Registry'!$B$2:$B$703,'Swiss Registry'!$N$2:$N$703) </f>
        <v>153953672051556352</v>
      </c>
    </row>
    <row r="127">
      <c r="A127" s="130">
        <v>84.0</v>
      </c>
      <c r="B127" s="125" t="str">
        <f>VLOOKUP(A127,'Swiss Registry'!$A$2:$B$703,2,False)</f>
        <v>qsns</v>
      </c>
      <c r="C127" s="105" t="str">
        <f t="shared" si="10"/>
        <v>Game 1</v>
      </c>
      <c r="D127" s="106" t="str">
        <f t="shared" si="12"/>
        <v>Game 2</v>
      </c>
      <c r="E127" s="107" t="str">
        <f t="shared" si="11"/>
        <v/>
      </c>
      <c r="F127" s="126" t="str">
        <f>VLOOKUP(G127,'Swiss Registry'!$A$2:$B$703,2,False)</f>
        <v>pinjarrapanther</v>
      </c>
      <c r="G127" s="131">
        <v>178.0</v>
      </c>
      <c r="H127" s="93" t="s">
        <v>2175</v>
      </c>
      <c r="I127" s="108" t="str">
        <f t="array" ref="I127">XLOOKUP(CELL("contents",B127),'Swiss Registry'!$B$2:$B$703,'Swiss Registry'!$N$2:$N$703) </f>
        <v>125692081212620801</v>
      </c>
      <c r="J127" s="109" t="str">
        <f t="array" ref="J127">XLOOKUP(CELL("contents",F127),'Swiss Registry'!$B$2:$B$703,'Swiss Registry'!$N$2:$N$703) </f>
        <v>220831983591227393</v>
      </c>
    </row>
    <row r="128">
      <c r="A128" s="130">
        <v>88.0</v>
      </c>
      <c r="B128" s="125" t="str">
        <f>VLOOKUP(A128,'Swiss Registry'!$A$2:$B$703,2,False)</f>
        <v>TechSavage</v>
      </c>
      <c r="C128" s="105" t="str">
        <f t="shared" si="10"/>
        <v>Game 1</v>
      </c>
      <c r="D128" s="106" t="str">
        <f t="shared" si="12"/>
        <v>Game 2</v>
      </c>
      <c r="E128" s="110" t="str">
        <f t="shared" si="11"/>
        <v>Game 3</v>
      </c>
      <c r="F128" s="126" t="str">
        <f>VLOOKUP(G128,'Swiss Registry'!$A$2:$B$703,2,False)</f>
        <v>saltocorto</v>
      </c>
      <c r="G128" s="131">
        <v>192.0</v>
      </c>
      <c r="H128" s="93" t="s">
        <v>2176</v>
      </c>
      <c r="I128" s="108" t="str">
        <f t="array" ref="I128">XLOOKUP(CELL("contents",B128),'Swiss Registry'!$B$2:$B$703,'Swiss Registry'!$N$2:$N$703) </f>
        <v>269901812054753292</v>
      </c>
      <c r="J128" s="109" t="str">
        <f t="array" ref="J128">XLOOKUP(CELL("contents",F128),'Swiss Registry'!$B$2:$B$703,'Swiss Registry'!$N$2:$N$703) </f>
        <v>443892793593692170</v>
      </c>
    </row>
    <row r="129">
      <c r="A129" s="130">
        <v>91.0</v>
      </c>
      <c r="B129" s="125" t="str">
        <f>VLOOKUP(A129,'Swiss Registry'!$A$2:$B$703,2,False)</f>
        <v>Younglemonhope</v>
      </c>
      <c r="C129" s="105" t="str">
        <f t="shared" si="10"/>
        <v>Game 1</v>
      </c>
      <c r="D129" s="106" t="str">
        <f t="shared" si="12"/>
        <v>Game 2</v>
      </c>
      <c r="E129" s="110" t="str">
        <f t="shared" si="11"/>
        <v>Game 3</v>
      </c>
      <c r="F129" s="126" t="str">
        <f>VLOOKUP(G129,'Swiss Registry'!$A$2:$B$703,2,False)</f>
        <v>sensei_moon</v>
      </c>
      <c r="G129" s="131">
        <v>604.0</v>
      </c>
      <c r="H129" s="93" t="s">
        <v>2177</v>
      </c>
      <c r="I129" s="108" t="str">
        <f t="array" ref="I129">XLOOKUP(CELL("contents",B129),'Swiss Registry'!$B$2:$B$703,'Swiss Registry'!$N$2:$N$703) </f>
        <v>111211333336256512</v>
      </c>
      <c r="J129" s="109" t="str">
        <f t="array" ref="J129">XLOOKUP(CELL("contents",F129),'Swiss Registry'!$B$2:$B$703,'Swiss Registry'!$N$2:$N$703) </f>
        <v>385834807839555584</v>
      </c>
    </row>
    <row r="130">
      <c r="A130" s="130">
        <v>92.0</v>
      </c>
      <c r="B130" s="125" t="str">
        <f>VLOOKUP(A130,'Swiss Registry'!$A$2:$B$703,2,False)</f>
        <v>Cryolite</v>
      </c>
      <c r="C130" s="105" t="str">
        <f t="shared" si="10"/>
        <v>Game 1</v>
      </c>
      <c r="D130" s="106" t="str">
        <f t="shared" si="12"/>
        <v>Game 2</v>
      </c>
      <c r="E130" s="110" t="str">
        <f t="shared" si="11"/>
        <v>Game 3</v>
      </c>
      <c r="F130" s="126" t="str">
        <f>VLOOKUP(G130,'Swiss Registry'!$A$2:$B$703,2,False)</f>
        <v>med470</v>
      </c>
      <c r="G130" s="131">
        <v>479.0</v>
      </c>
      <c r="H130" s="93" t="s">
        <v>2178</v>
      </c>
      <c r="I130" s="108" t="str">
        <f t="array" ref="I130">XLOOKUP(CELL("contents",B130),'Swiss Registry'!$B$2:$B$703,'Swiss Registry'!$N$2:$N$703) </f>
        <v>413599141537513473</v>
      </c>
      <c r="J130" s="109" t="str">
        <f t="array" ref="J130">XLOOKUP(CELL("contents",F130),'Swiss Registry'!$B$2:$B$703,'Swiss Registry'!$N$2:$N$703) </f>
        <v>187473742010646531</v>
      </c>
    </row>
    <row r="131">
      <c r="A131" s="130">
        <v>93.0</v>
      </c>
      <c r="B131" s="125" t="str">
        <f>VLOOKUP(A131,'Swiss Registry'!$A$2:$B$703,2,False)</f>
        <v>Shadowtime2000</v>
      </c>
      <c r="C131" s="105" t="str">
        <f t="shared" si="10"/>
        <v>Game 1</v>
      </c>
      <c r="D131" s="106" t="str">
        <f t="shared" si="12"/>
        <v>Game 2</v>
      </c>
      <c r="E131" s="107" t="str">
        <f t="shared" si="11"/>
        <v/>
      </c>
      <c r="F131" s="126" t="str">
        <f>VLOOKUP(G131,'Swiss Registry'!$A$2:$B$703,2,False)</f>
        <v>lemon04</v>
      </c>
      <c r="G131" s="131">
        <v>270.0</v>
      </c>
      <c r="H131" s="93" t="s">
        <v>2179</v>
      </c>
      <c r="I131" s="108" t="str">
        <f t="array" ref="I131">XLOOKUP(CELL("contents",B131),'Swiss Registry'!$B$2:$B$703,'Swiss Registry'!$N$2:$N$703) </f>
        <v>537051269253300275</v>
      </c>
      <c r="J131" s="109" t="str">
        <f t="array" ref="J131">XLOOKUP(CELL("contents",F131),'Swiss Registry'!$B$2:$B$703,'Swiss Registry'!$N$2:$N$703) </f>
        <v>177840825986711552</v>
      </c>
    </row>
    <row r="132">
      <c r="A132" s="130">
        <v>94.0</v>
      </c>
      <c r="B132" s="125" t="str">
        <f>VLOOKUP(A132,'Swiss Registry'!$A$2:$B$703,2,False)</f>
        <v>ratdogreborn</v>
      </c>
      <c r="C132" s="105" t="str">
        <f t="shared" si="10"/>
        <v>Game 1</v>
      </c>
      <c r="D132" s="106" t="str">
        <f t="shared" si="12"/>
        <v>Game 2</v>
      </c>
      <c r="E132" s="107" t="str">
        <f t="shared" si="11"/>
        <v/>
      </c>
      <c r="F132" s="126" t="str">
        <f>VLOOKUP(G132,'Swiss Registry'!$A$2:$B$703,2,False)</f>
        <v>Pulcsii</v>
      </c>
      <c r="G132" s="131">
        <v>253.0</v>
      </c>
      <c r="H132" s="93" t="s">
        <v>2180</v>
      </c>
      <c r="I132" s="108" t="str">
        <f t="array" ref="I132">XLOOKUP(CELL("contents",B132),'Swiss Registry'!$B$2:$B$703,'Swiss Registry'!$N$2:$N$703) </f>
        <v>197429652208222208</v>
      </c>
      <c r="J132" s="109" t="str">
        <f t="array" ref="J132">XLOOKUP(CELL("contents",F132),'Swiss Registry'!$B$2:$B$703,'Swiss Registry'!$N$2:$N$703) </f>
        <v>374258157855309826</v>
      </c>
    </row>
    <row r="133">
      <c r="A133" s="130">
        <v>96.0</v>
      </c>
      <c r="B133" s="125" t="str">
        <f>VLOOKUP(A133,'Swiss Registry'!$A$2:$B$703,2,False)</f>
        <v>Hinkage</v>
      </c>
      <c r="C133" s="105" t="str">
        <f t="shared" si="10"/>
        <v>Game 1</v>
      </c>
      <c r="D133" s="106" t="str">
        <f t="shared" si="12"/>
        <v>Game 2</v>
      </c>
      <c r="E133" s="107" t="str">
        <f t="shared" si="11"/>
        <v/>
      </c>
      <c r="F133" s="126" t="str">
        <f>VLOOKUP(G133,'Swiss Registry'!$A$2:$B$703,2,False)</f>
        <v>wwwmonmon</v>
      </c>
      <c r="G133" s="131">
        <v>466.0</v>
      </c>
      <c r="H133" s="93" t="s">
        <v>2181</v>
      </c>
      <c r="I133" s="108" t="str">
        <f t="array" ref="I133">XLOOKUP(CELL("contents",B133),'Swiss Registry'!$B$2:$B$703,'Swiss Registry'!$N$2:$N$703) </f>
        <v>252639778036645908</v>
      </c>
      <c r="J133" s="109" t="str">
        <f t="array" ref="J133">XLOOKUP(CELL("contents",F133),'Swiss Registry'!$B$2:$B$703,'Swiss Registry'!$N$2:$N$703) </f>
        <v>579395206680412172</v>
      </c>
    </row>
    <row r="134">
      <c r="A134" s="130">
        <v>98.0</v>
      </c>
      <c r="B134" s="125" t="str">
        <f>VLOOKUP(A134,'Swiss Registry'!$A$2:$B$703,2,False)</f>
        <v>Dancing Along/Abreaction</v>
      </c>
      <c r="C134" s="111" t="str">
        <f t="shared" si="10"/>
        <v/>
      </c>
      <c r="D134" s="112" t="str">
        <f t="shared" si="12"/>
        <v>Act: Dancing Along/Abreaction</v>
      </c>
      <c r="E134" s="107" t="str">
        <f t="shared" si="11"/>
        <v/>
      </c>
      <c r="F134" s="126" t="str">
        <f>VLOOKUP(G134,'Swiss Registry'!$A$2:$B$703,2,False)</f>
        <v>Polt99</v>
      </c>
      <c r="G134" s="131">
        <v>397.0</v>
      </c>
      <c r="H134" s="93" t="s">
        <v>1486</v>
      </c>
      <c r="I134" s="108" t="str">
        <f t="array" ref="I134">XLOOKUP(CELL("contents",B134),'Swiss Registry'!$B$2:$B$703,'Swiss Registry'!$N$2:$N$703) </f>
        <v>386999541255110676</v>
      </c>
      <c r="J134" s="109" t="str">
        <f t="array" ref="J134">XLOOKUP(CELL("contents",F134),'Swiss Registry'!$B$2:$B$703,'Swiss Registry'!$N$2:$N$703) </f>
        <v>760539294652694588</v>
      </c>
    </row>
    <row r="135">
      <c r="A135" s="130">
        <v>99.0</v>
      </c>
      <c r="B135" s="125" t="str">
        <f>VLOOKUP(A135,'Swiss Registry'!$A$2:$B$703,2,False)</f>
        <v>Just_Leo</v>
      </c>
      <c r="C135" s="105" t="str">
        <f t="shared" si="10"/>
        <v>Game 1</v>
      </c>
      <c r="D135" s="106" t="str">
        <f t="shared" si="12"/>
        <v>Game 2</v>
      </c>
      <c r="E135" s="110" t="str">
        <f t="shared" si="11"/>
        <v>Game 3</v>
      </c>
      <c r="F135" s="126" t="str">
        <f>VLOOKUP(G135,'Swiss Registry'!$A$2:$B$703,2,False)</f>
        <v>big_jerry</v>
      </c>
      <c r="G135" s="131">
        <v>658.0</v>
      </c>
      <c r="H135" s="93" t="s">
        <v>2182</v>
      </c>
      <c r="I135" s="108" t="str">
        <f t="array" ref="I135">XLOOKUP(CELL("contents",B135),'Swiss Registry'!$B$2:$B$703,'Swiss Registry'!$N$2:$N$703) </f>
        <v>1136751969478914138</v>
      </c>
      <c r="J135" s="109" t="str">
        <f t="array" ref="J135">XLOOKUP(CELL("contents",F135),'Swiss Registry'!$B$2:$B$703,'Swiss Registry'!$N$2:$N$703) </f>
        <v>131588523852562432</v>
      </c>
    </row>
    <row r="136">
      <c r="A136" s="130">
        <v>101.0</v>
      </c>
      <c r="B136" s="125" t="str">
        <f>VLOOKUP(A136,'Swiss Registry'!$A$2:$B$703,2,False)</f>
        <v>DastardlyDwarf</v>
      </c>
      <c r="C136" s="105" t="str">
        <f t="shared" si="10"/>
        <v>Game 1</v>
      </c>
      <c r="D136" s="106" t="str">
        <f t="shared" si="12"/>
        <v>Game 2</v>
      </c>
      <c r="E136" s="110" t="str">
        <f t="shared" si="11"/>
        <v>Game 3</v>
      </c>
      <c r="F136" s="126" t="str">
        <f>VLOOKUP(G136,'Swiss Registry'!$A$2:$B$703,2,False)</f>
        <v>elmagneto</v>
      </c>
      <c r="G136" s="131">
        <v>635.0</v>
      </c>
      <c r="H136" s="93" t="s">
        <v>2183</v>
      </c>
      <c r="I136" s="108" t="str">
        <f t="array" ref="I136">XLOOKUP(CELL("contents",B136),'Swiss Registry'!$B$2:$B$703,'Swiss Registry'!$N$2:$N$703) </f>
        <v>457317302124412939</v>
      </c>
      <c r="J136" s="109" t="str">
        <f t="array" ref="J136">XLOOKUP(CELL("contents",F136),'Swiss Registry'!$B$2:$B$703,'Swiss Registry'!$N$2:$N$703) </f>
        <v>381169925601099779</v>
      </c>
    </row>
    <row r="137">
      <c r="A137" s="130">
        <v>339.0</v>
      </c>
      <c r="B137" s="125" t="str">
        <f>VLOOKUP(A137,'Swiss Registry'!$A$2:$B$703,2,False)</f>
        <v>Jabba</v>
      </c>
      <c r="C137" s="105" t="str">
        <f t="shared" si="10"/>
        <v>Game 1</v>
      </c>
      <c r="D137" s="106" t="str">
        <f t="shared" si="12"/>
        <v>Game 2</v>
      </c>
      <c r="E137" s="107" t="str">
        <f t="shared" si="11"/>
        <v/>
      </c>
      <c r="F137" s="126" t="str">
        <f>VLOOKUP(G137,'Swiss Registry'!$A$2:$B$703,2,False)</f>
        <v>Musical_box</v>
      </c>
      <c r="G137" s="131">
        <v>309.0</v>
      </c>
      <c r="H137" s="93" t="s">
        <v>2184</v>
      </c>
      <c r="I137" s="108" t="str">
        <f t="array" ref="I137">XLOOKUP(CELL("contents",B137),'Swiss Registry'!$B$2:$B$703,'Swiss Registry'!$N$2:$N$703) </f>
        <v>191625883503558656</v>
      </c>
      <c r="J137" s="109" t="str">
        <f t="array" ref="J137">XLOOKUP(CELL("contents",F137),'Swiss Registry'!$B$2:$B$703,'Swiss Registry'!$N$2:$N$703) </f>
        <v>426204261290868736</v>
      </c>
    </row>
    <row r="138">
      <c r="A138" s="130">
        <v>194.0</v>
      </c>
      <c r="B138" s="125" t="str">
        <f>VLOOKUP(A138,'Swiss Registry'!$A$2:$B$703,2,False)</f>
        <v>bd31</v>
      </c>
      <c r="C138" s="105" t="str">
        <f t="shared" si="10"/>
        <v>Game 1</v>
      </c>
      <c r="D138" s="106" t="str">
        <f t="shared" si="12"/>
        <v>Game 2</v>
      </c>
      <c r="E138" s="107" t="str">
        <f t="shared" si="11"/>
        <v/>
      </c>
      <c r="F138" s="126" t="str">
        <f>VLOOKUP(G138,'Swiss Registry'!$A$2:$B$703,2,False)</f>
        <v>madelinmorningstar</v>
      </c>
      <c r="G138" s="131">
        <v>453.0</v>
      </c>
      <c r="H138" s="93" t="s">
        <v>2185</v>
      </c>
      <c r="I138" s="108" t="str">
        <f t="array" ref="I138">XLOOKUP(CELL("contents",B138),'Swiss Registry'!$B$2:$B$703,'Swiss Registry'!$N$2:$N$703) </f>
        <v>217343749439750145</v>
      </c>
      <c r="J138" s="109" t="str">
        <f t="array" ref="J138">XLOOKUP(CELL("contents",F138),'Swiss Registry'!$B$2:$B$703,'Swiss Registry'!$N$2:$N$703) </f>
        <v>1235691371579572346</v>
      </c>
    </row>
    <row r="139">
      <c r="A139" s="130">
        <v>364.0</v>
      </c>
      <c r="B139" s="125" t="str">
        <f>VLOOKUP(A139,'Swiss Registry'!$A$2:$B$703,2,False)</f>
        <v>Psychokinetic4</v>
      </c>
      <c r="C139" s="105" t="str">
        <f t="shared" si="10"/>
        <v>Game 1</v>
      </c>
      <c r="D139" s="106" t="str">
        <f t="shared" si="12"/>
        <v>Game 2</v>
      </c>
      <c r="E139" s="107" t="str">
        <f t="shared" si="11"/>
        <v/>
      </c>
      <c r="F139" s="126" t="str">
        <f>VLOOKUP(G139,'Swiss Registry'!$A$2:$B$703,2,False)</f>
        <v>zy___</v>
      </c>
      <c r="G139" s="131">
        <v>601.0</v>
      </c>
      <c r="H139" s="93" t="s">
        <v>2186</v>
      </c>
      <c r="I139" s="108" t="str">
        <f t="array" ref="I139">XLOOKUP(CELL("contents",B139),'Swiss Registry'!$B$2:$B$703,'Swiss Registry'!$N$2:$N$703) </f>
        <v>197151675914518528</v>
      </c>
      <c r="J139" s="109" t="str">
        <f t="array" ref="J139">XLOOKUP(CELL("contents",F139),'Swiss Registry'!$B$2:$B$703,'Swiss Registry'!$N$2:$N$703) </f>
        <v>401769953910587393</v>
      </c>
    </row>
    <row r="140">
      <c r="A140" s="130">
        <v>184.0</v>
      </c>
      <c r="B140" s="125" t="str">
        <f>VLOOKUP(A140,'Swiss Registry'!$A$2:$B$703,2,False)</f>
        <v>Skarpherim</v>
      </c>
      <c r="C140" s="105" t="str">
        <f t="shared" si="10"/>
        <v>Game 1</v>
      </c>
      <c r="D140" s="106" t="str">
        <f t="shared" si="12"/>
        <v>Game 2</v>
      </c>
      <c r="E140" s="107" t="str">
        <f t="shared" si="11"/>
        <v/>
      </c>
      <c r="F140" s="126" t="str">
        <f>VLOOKUP(G140,'Swiss Registry'!$A$2:$B$703,2,False)</f>
        <v>goldthe1andonly</v>
      </c>
      <c r="G140" s="131">
        <v>468.0</v>
      </c>
      <c r="H140" s="93" t="s">
        <v>2187</v>
      </c>
      <c r="I140" s="108" t="str">
        <f t="array" ref="I140">XLOOKUP(CELL("contents",B140),'Swiss Registry'!$B$2:$B$703,'Swiss Registry'!$N$2:$N$703) </f>
        <v>1167951538963103815</v>
      </c>
      <c r="J140" s="109" t="str">
        <f t="array" ref="J140">XLOOKUP(CELL("contents",F140),'Swiss Registry'!$B$2:$B$703,'Swiss Registry'!$N$2:$N$703) </f>
        <v>345724126478073867</v>
      </c>
    </row>
    <row r="141">
      <c r="A141" s="130">
        <v>277.0</v>
      </c>
      <c r="B141" s="125" t="str">
        <f>VLOOKUP(A141,'Swiss Registry'!$A$2:$B$703,2,False)</f>
        <v>usbreon</v>
      </c>
      <c r="C141" s="105" t="str">
        <f t="shared" si="10"/>
        <v>Game 1</v>
      </c>
      <c r="D141" s="106" t="str">
        <f t="shared" si="12"/>
        <v>Game 2</v>
      </c>
      <c r="E141" s="110" t="str">
        <f t="shared" si="11"/>
        <v>Game 3</v>
      </c>
      <c r="F141" s="126" t="str">
        <f>VLOOKUP(G141,'Swiss Registry'!$A$2:$B$703,2,False)</f>
        <v>Kenmarijuana</v>
      </c>
      <c r="G141" s="131">
        <v>528.0</v>
      </c>
      <c r="H141" s="93" t="s">
        <v>2188</v>
      </c>
      <c r="I141" s="108" t="str">
        <f t="array" ref="I141">XLOOKUP(CELL("contents",B141),'Swiss Registry'!$B$2:$B$703,'Swiss Registry'!$N$2:$N$703) </f>
        <v>125596608422215680</v>
      </c>
      <c r="J141" s="109" t="str">
        <f t="array" ref="J141">XLOOKUP(CELL("contents",F141),'Swiss Registry'!$B$2:$B$703,'Swiss Registry'!$N$2:$N$703) </f>
        <v>508684602261504010</v>
      </c>
    </row>
    <row r="142">
      <c r="A142" s="130">
        <v>334.0</v>
      </c>
      <c r="B142" s="125" t="str">
        <f>VLOOKUP(A142,'Swiss Registry'!$A$2:$B$703,2,False)</f>
        <v>Tiberiusfieri</v>
      </c>
      <c r="C142" s="105" t="str">
        <f t="shared" si="10"/>
        <v>Game 1</v>
      </c>
      <c r="D142" s="106" t="str">
        <f t="shared" si="12"/>
        <v>Game 2</v>
      </c>
      <c r="E142" s="110" t="str">
        <f t="shared" si="11"/>
        <v>Game 3</v>
      </c>
      <c r="F142" s="126" t="str">
        <f>VLOOKUP(G142,'Swiss Registry'!$A$2:$B$703,2,False)</f>
        <v>ebitachy</v>
      </c>
      <c r="G142" s="131">
        <v>584.0</v>
      </c>
      <c r="H142" s="93" t="s">
        <v>2189</v>
      </c>
      <c r="I142" s="108" t="str">
        <f t="array" ref="I142">XLOOKUP(CELL("contents",B142),'Swiss Registry'!$B$2:$B$703,'Swiss Registry'!$N$2:$N$703) </f>
        <v>820892117370011668</v>
      </c>
      <c r="J142" s="109" t="str">
        <f t="array" ref="J142">XLOOKUP(CELL("contents",F142),'Swiss Registry'!$B$2:$B$703,'Swiss Registry'!$N$2:$N$703) </f>
        <v>219131577030934529</v>
      </c>
    </row>
    <row r="143">
      <c r="A143" s="130">
        <v>134.0</v>
      </c>
      <c r="B143" s="125" t="str">
        <f>VLOOKUP(A143,'Swiss Registry'!$A$2:$B$703,2,False)</f>
        <v>Svejk97</v>
      </c>
      <c r="C143" s="105" t="str">
        <f t="shared" si="10"/>
        <v>Game 1</v>
      </c>
      <c r="D143" s="106" t="str">
        <f t="shared" si="12"/>
        <v>Game 2</v>
      </c>
      <c r="E143" s="107" t="str">
        <f t="shared" si="11"/>
        <v/>
      </c>
      <c r="F143" s="126" t="str">
        <f>VLOOKUP(G143,'Swiss Registry'!$A$2:$B$703,2,False)</f>
        <v>realfredrickDOUGLASS</v>
      </c>
      <c r="G143" s="131">
        <v>225.0</v>
      </c>
      <c r="H143" s="93" t="s">
        <v>2190</v>
      </c>
      <c r="I143" s="108" t="str">
        <f t="array" ref="I143">XLOOKUP(CELL("contents",B143),'Swiss Registry'!$B$2:$B$703,'Swiss Registry'!$N$2:$N$703) </f>
        <v>1288951419465891851</v>
      </c>
      <c r="J143" s="109" t="str">
        <f t="array" ref="J143">XLOOKUP(CELL("contents",F143),'Swiss Registry'!$B$2:$B$703,'Swiss Registry'!$N$2:$N$703) </f>
        <v>983910013036793886</v>
      </c>
    </row>
    <row r="144">
      <c r="A144" s="130">
        <v>666.0</v>
      </c>
      <c r="B144" s="125" t="str">
        <f>VLOOKUP(A144,'Swiss Registry'!$A$2:$B$703,2,False)</f>
        <v>YamHam</v>
      </c>
      <c r="C144" s="105" t="str">
        <f t="shared" si="10"/>
        <v>Game 1</v>
      </c>
      <c r="D144" s="106" t="str">
        <f t="shared" si="12"/>
        <v>Game 2</v>
      </c>
      <c r="E144" s="107" t="str">
        <f t="shared" si="11"/>
        <v/>
      </c>
      <c r="F144" s="126" t="str">
        <f>VLOOKUP(G144,'Swiss Registry'!$A$2:$B$703,2,False)</f>
        <v>grahamsandwich</v>
      </c>
      <c r="G144" s="131">
        <v>354.0</v>
      </c>
      <c r="H144" s="93" t="s">
        <v>2191</v>
      </c>
      <c r="I144" s="108" t="str">
        <f t="array" ref="I144">XLOOKUP(CELL("contents",B144),'Swiss Registry'!$B$2:$B$703,'Swiss Registry'!$N$2:$N$703) </f>
        <v>143746978201862144</v>
      </c>
      <c r="J144" s="109" t="str">
        <f t="array" ref="J144">XLOOKUP(CELL("contents",F144),'Swiss Registry'!$B$2:$B$703,'Swiss Registry'!$N$2:$N$703) </f>
        <v>256944534900965376</v>
      </c>
    </row>
    <row r="145">
      <c r="A145" s="130">
        <v>241.0</v>
      </c>
      <c r="B145" s="125" t="str">
        <f>VLOOKUP(A145,'Swiss Registry'!$A$2:$B$703,2,False)</f>
        <v>imcob</v>
      </c>
      <c r="C145" s="105" t="str">
        <f t="shared" si="10"/>
        <v>Game 1</v>
      </c>
      <c r="D145" s="106" t="str">
        <f t="shared" si="12"/>
        <v>Game 2</v>
      </c>
      <c r="E145" s="107" t="str">
        <f t="shared" si="11"/>
        <v/>
      </c>
      <c r="F145" s="126" t="str">
        <f>VLOOKUP(G145,'Swiss Registry'!$A$2:$B$703,2,False)</f>
        <v>_deacon</v>
      </c>
      <c r="G145" s="131">
        <v>536.0</v>
      </c>
      <c r="H145" s="93" t="s">
        <v>2192</v>
      </c>
      <c r="I145" s="108" t="str">
        <f t="array" ref="I145">XLOOKUP(CELL("contents",B145),'Swiss Registry'!$B$2:$B$703,'Swiss Registry'!$N$2:$N$703) </f>
        <v>477903847159889922</v>
      </c>
      <c r="J145" s="109" t="str">
        <f t="array" ref="J145">XLOOKUP(CELL("contents",F145),'Swiss Registry'!$B$2:$B$703,'Swiss Registry'!$N$2:$N$703) </f>
        <v>193748470564126720</v>
      </c>
    </row>
    <row r="146">
      <c r="A146" s="130">
        <v>530.0</v>
      </c>
      <c r="B146" s="125" t="str">
        <f>VLOOKUP(A146,'Swiss Registry'!$A$2:$B$703,2,False)</f>
        <v>tibetanator</v>
      </c>
      <c r="C146" s="105" t="str">
        <f t="shared" si="10"/>
        <v>Game 1</v>
      </c>
      <c r="D146" s="106" t="str">
        <f t="shared" si="12"/>
        <v>Game 2</v>
      </c>
      <c r="E146" s="107" t="str">
        <f t="shared" si="11"/>
        <v/>
      </c>
      <c r="F146" s="126" t="str">
        <f>VLOOKUP(G146,'Swiss Registry'!$A$2:$B$703,2,False)</f>
        <v>crustaceus</v>
      </c>
      <c r="G146" s="131">
        <v>574.0</v>
      </c>
      <c r="H146" s="93" t="s">
        <v>2193</v>
      </c>
      <c r="I146" s="108" t="str">
        <f t="array" ref="I146">XLOOKUP(CELL("contents",B146),'Swiss Registry'!$B$2:$B$703,'Swiss Registry'!$N$2:$N$703) </f>
        <v>734152855501668363</v>
      </c>
      <c r="J146" s="109" t="str">
        <f t="array" ref="J146">XLOOKUP(CELL("contents",F146),'Swiss Registry'!$B$2:$B$703,'Swiss Registry'!$N$2:$N$703) </f>
        <v>119952719183216640</v>
      </c>
    </row>
    <row r="147">
      <c r="A147" s="130">
        <v>138.0</v>
      </c>
      <c r="B147" s="125" t="str">
        <f>VLOOKUP(A147,'Swiss Registry'!$A$2:$B$703,2,False)</f>
        <v>Drekt93#0078</v>
      </c>
      <c r="C147" s="105" t="str">
        <f t="shared" si="10"/>
        <v>Game 1</v>
      </c>
      <c r="D147" s="106" t="str">
        <f t="shared" si="12"/>
        <v>Game 2</v>
      </c>
      <c r="E147" s="110" t="str">
        <f t="shared" si="11"/>
        <v>Game 3</v>
      </c>
      <c r="F147" s="126" t="str">
        <f>VLOOKUP(G147,'Swiss Registry'!$A$2:$B$703,2,False)</f>
        <v>@struggles_under_pressure</v>
      </c>
      <c r="G147" s="131">
        <v>302.0</v>
      </c>
      <c r="H147" s="93" t="s">
        <v>2194</v>
      </c>
      <c r="I147" s="108" t="str">
        <f t="array" ref="I147">XLOOKUP(CELL("contents",B147),'Swiss Registry'!$B$2:$B$703,'Swiss Registry'!$N$2:$N$703) </f>
        <v>140406234460323840</v>
      </c>
      <c r="J147" s="109" t="str">
        <f t="array" ref="J147">XLOOKUP(CELL("contents",F147),'Swiss Registry'!$B$2:$B$703,'Swiss Registry'!$N$2:$N$703) </f>
        <v>883737062904324126</v>
      </c>
    </row>
    <row r="148">
      <c r="A148" s="130">
        <v>388.0</v>
      </c>
      <c r="B148" s="125" t="str">
        <f>VLOOKUP(A148,'Swiss Registry'!$A$2:$B$703,2,False)</f>
        <v>Tyxerns</v>
      </c>
      <c r="C148" s="105" t="str">
        <f t="shared" si="10"/>
        <v>Game 1</v>
      </c>
      <c r="D148" s="106" t="str">
        <f t="shared" si="12"/>
        <v>Game 2</v>
      </c>
      <c r="E148" s="110" t="str">
        <f t="shared" si="11"/>
        <v>Game 3</v>
      </c>
      <c r="F148" s="126" t="str">
        <f>VLOOKUP(G148,'Swiss Registry'!$A$2:$B$703,2,False)</f>
        <v>Salamaster</v>
      </c>
      <c r="G148" s="131">
        <v>669.0</v>
      </c>
      <c r="H148" s="93" t="s">
        <v>2195</v>
      </c>
      <c r="I148" s="108" t="str">
        <f t="array" ref="I148">XLOOKUP(CELL("contents",B148),'Swiss Registry'!$B$2:$B$703,'Swiss Registry'!$N$2:$N$703) </f>
        <v>520352187344355359</v>
      </c>
      <c r="J148" s="109" t="str">
        <f t="array" ref="J148">XLOOKUP(CELL("contents",F148),'Swiss Registry'!$B$2:$B$703,'Swiss Registry'!$N$2:$N$703) </f>
        <v>188476137071050752</v>
      </c>
    </row>
    <row r="149">
      <c r="A149" s="130">
        <v>622.0</v>
      </c>
      <c r="B149" s="125" t="str">
        <f>VLOOKUP(A149,'Swiss Registry'!$A$2:$B$703,2,False)</f>
        <v>Nicko8</v>
      </c>
      <c r="C149" s="105" t="str">
        <f t="shared" si="10"/>
        <v>Game 1</v>
      </c>
      <c r="D149" s="106" t="str">
        <f t="shared" si="12"/>
        <v>Game 2</v>
      </c>
      <c r="E149" s="107" t="str">
        <f t="shared" si="11"/>
        <v/>
      </c>
      <c r="F149" s="126" t="str">
        <f>VLOOKUP(G149,'Swiss Registry'!$A$2:$B$703,2,False)</f>
        <v>liamworldpeace</v>
      </c>
      <c r="G149" s="131">
        <v>147.0</v>
      </c>
      <c r="H149" s="93" t="s">
        <v>2196</v>
      </c>
      <c r="I149" s="108" t="str">
        <f t="array" ref="I149">XLOOKUP(CELL("contents",B149),'Swiss Registry'!$B$2:$B$703,'Swiss Registry'!$N$2:$N$703) </f>
        <v>148744968666742784</v>
      </c>
      <c r="J149" s="109" t="str">
        <f t="array" ref="J149">XLOOKUP(CELL("contents",F149),'Swiss Registry'!$B$2:$B$703,'Swiss Registry'!$N$2:$N$703) </f>
        <v>136299459914104832</v>
      </c>
    </row>
    <row r="150">
      <c r="A150" s="130">
        <v>197.0</v>
      </c>
      <c r="B150" s="125" t="str">
        <f>VLOOKUP(A150,'Swiss Registry'!$A$2:$B$703,2,False)</f>
        <v>xerospacious</v>
      </c>
      <c r="C150" s="105" t="str">
        <f t="shared" si="10"/>
        <v>Game 1</v>
      </c>
      <c r="D150" s="106" t="str">
        <f t="shared" si="12"/>
        <v>Game 2</v>
      </c>
      <c r="E150" s="107" t="str">
        <f t="shared" si="11"/>
        <v/>
      </c>
      <c r="F150" s="126" t="str">
        <f>VLOOKUP(G150,'Swiss Registry'!$A$2:$B$703,2,False)</f>
        <v>I am the Jarl</v>
      </c>
      <c r="G150" s="131">
        <v>220.0</v>
      </c>
      <c r="H150" s="93" t="s">
        <v>2197</v>
      </c>
      <c r="I150" s="108" t="str">
        <f t="array" ref="I150">XLOOKUP(CELL("contents",B150),'Swiss Registry'!$B$2:$B$703,'Swiss Registry'!$N$2:$N$703) </f>
        <v>244792682927489025</v>
      </c>
      <c r="J150" s="109" t="str">
        <f t="array" ref="J150">XLOOKUP(CELL("contents",F150),'Swiss Registry'!$B$2:$B$703,'Swiss Registry'!$N$2:$N$703) </f>
        <v>800149729161248800</v>
      </c>
    </row>
    <row r="151">
      <c r="A151" s="130">
        <v>173.0</v>
      </c>
      <c r="B151" s="125" t="str">
        <f>VLOOKUP(A151,'Swiss Registry'!$A$2:$B$703,2,False)</f>
        <v>temraneee</v>
      </c>
      <c r="C151" s="105" t="str">
        <f t="shared" si="10"/>
        <v>Game 1</v>
      </c>
      <c r="D151" s="106" t="str">
        <f t="shared" si="12"/>
        <v>Game 2</v>
      </c>
      <c r="E151" s="107" t="str">
        <f t="shared" si="11"/>
        <v/>
      </c>
      <c r="F151" s="126" t="str">
        <f>VLOOKUP(G151,'Swiss Registry'!$A$2:$B$703,2,False)</f>
        <v>jozin457</v>
      </c>
      <c r="G151" s="131">
        <v>433.0</v>
      </c>
      <c r="H151" s="93" t="s">
        <v>2198</v>
      </c>
      <c r="I151" s="108" t="str">
        <f t="array" ref="I151">XLOOKUP(CELL("contents",B151),'Swiss Registry'!$B$2:$B$703,'Swiss Registry'!$N$2:$N$703) </f>
        <v>131822654574297088</v>
      </c>
      <c r="J151" s="109" t="str">
        <f t="array" ref="J151">XLOOKUP(CELL("contents",F151),'Swiss Registry'!$B$2:$B$703,'Swiss Registry'!$N$2:$N$703) </f>
        <v>229620219092533248</v>
      </c>
    </row>
    <row r="152">
      <c r="A152" s="130">
        <v>424.0</v>
      </c>
      <c r="B152" s="125" t="str">
        <f>VLOOKUP(A152,'Swiss Registry'!$A$2:$B$703,2,False)</f>
        <v>Lawrencelot</v>
      </c>
      <c r="C152" s="105" t="str">
        <f t="shared" si="10"/>
        <v>Game 1</v>
      </c>
      <c r="D152" s="106" t="str">
        <f t="shared" si="12"/>
        <v>Game 2</v>
      </c>
      <c r="E152" s="110" t="str">
        <f t="shared" si="11"/>
        <v>Game 3</v>
      </c>
      <c r="F152" s="126" t="str">
        <f>VLOOKUP(G152,'Swiss Registry'!$A$2:$B$703,2,False)</f>
        <v>almarkowbender</v>
      </c>
      <c r="G152" s="131">
        <v>321.0</v>
      </c>
      <c r="H152" s="93" t="s">
        <v>2199</v>
      </c>
      <c r="I152" s="108" t="str">
        <f t="array" ref="I152">XLOOKUP(CELL("contents",B152),'Swiss Registry'!$B$2:$B$703,'Swiss Registry'!$N$2:$N$703) </f>
        <v>374642536989327370</v>
      </c>
      <c r="J152" s="109" t="str">
        <f t="array" ref="J152">XLOOKUP(CELL("contents",F152),'Swiss Registry'!$B$2:$B$703,'Swiss Registry'!$N$2:$N$703) </f>
        <v>341270044979757056</v>
      </c>
    </row>
    <row r="153">
      <c r="A153" s="130">
        <v>591.0</v>
      </c>
      <c r="B153" s="125" t="str">
        <f>VLOOKUP(A153,'Swiss Registry'!$A$2:$B$703,2,False)</f>
        <v>funhouse3</v>
      </c>
      <c r="C153" s="111" t="str">
        <f t="shared" si="10"/>
        <v/>
      </c>
      <c r="D153" s="112" t="str">
        <f t="shared" si="12"/>
        <v>Act: Lunasran</v>
      </c>
      <c r="E153" s="107" t="str">
        <f t="shared" si="11"/>
        <v/>
      </c>
      <c r="F153" s="126" t="str">
        <f>VLOOKUP(G153,'Swiss Registry'!$A$2:$B$703,2,False)</f>
        <v>Lunasran</v>
      </c>
      <c r="G153" s="131">
        <v>343.0</v>
      </c>
      <c r="H153" s="93" t="s">
        <v>1462</v>
      </c>
      <c r="I153" s="108" t="str">
        <f t="array" ref="I153">XLOOKUP(CELL("contents",B153),'Swiss Registry'!$B$2:$B$703,'Swiss Registry'!$N$2:$N$703) </f>
        <v>102875527206932480</v>
      </c>
      <c r="J153" s="109" t="str">
        <f t="array" ref="J153">XLOOKUP(CELL("contents",F153),'Swiss Registry'!$B$2:$B$703,'Swiss Registry'!$N$2:$N$703) </f>
        <v>1088892947367481436</v>
      </c>
    </row>
    <row r="154">
      <c r="A154" s="130">
        <v>463.0</v>
      </c>
      <c r="B154" s="125" t="str">
        <f>VLOOKUP(A154,'Swiss Registry'!$A$2:$B$703,2,False)</f>
        <v>thegreatest23</v>
      </c>
      <c r="C154" s="105" t="str">
        <f t="shared" si="10"/>
        <v>Game 1</v>
      </c>
      <c r="D154" s="106" t="str">
        <f t="shared" si="12"/>
        <v>Game 2</v>
      </c>
      <c r="E154" s="110" t="str">
        <f t="shared" si="11"/>
        <v>Game 3</v>
      </c>
      <c r="F154" s="126" t="str">
        <f>VLOOKUP(G154,'Swiss Registry'!$A$2:$B$703,2,False)</f>
        <v>Felizelise</v>
      </c>
      <c r="G154" s="131">
        <v>673.0</v>
      </c>
      <c r="H154" s="93" t="s">
        <v>2200</v>
      </c>
      <c r="I154" s="108" t="str">
        <f t="array" ref="I154">XLOOKUP(CELL("contents",B154),'Swiss Registry'!$B$2:$B$703,'Swiss Registry'!$N$2:$N$703) </f>
        <v>477886359105961995</v>
      </c>
      <c r="J154" s="109" t="str">
        <f t="array" ref="J154">XLOOKUP(CELL("contents",F154),'Swiss Registry'!$B$2:$B$703,'Swiss Registry'!$N$2:$N$703) </f>
        <v>377637716818526208</v>
      </c>
    </row>
    <row r="155">
      <c r="A155" s="130">
        <v>224.0</v>
      </c>
      <c r="B155" s="125" t="str">
        <f>VLOOKUP(A155,'Swiss Registry'!$A$2:$B$703,2,False)</f>
        <v>vy_apostrophe</v>
      </c>
      <c r="C155" s="105" t="str">
        <f t="shared" si="10"/>
        <v>Game 1</v>
      </c>
      <c r="D155" s="106" t="str">
        <f t="shared" si="12"/>
        <v>Game 2</v>
      </c>
      <c r="E155" s="107" t="str">
        <f t="shared" si="11"/>
        <v/>
      </c>
      <c r="F155" s="126" t="str">
        <f>VLOOKUP(G155,'Swiss Registry'!$A$2:$B$703,2,False)</f>
        <v>Hypermoth</v>
      </c>
      <c r="G155" s="131">
        <v>674.0</v>
      </c>
      <c r="H155" s="93" t="s">
        <v>2201</v>
      </c>
      <c r="I155" s="108" t="str">
        <f t="array" ref="I155">XLOOKUP(CELL("contents",B155),'Swiss Registry'!$B$2:$B$703,'Swiss Registry'!$N$2:$N$703) </f>
        <v>739260362091659315</v>
      </c>
      <c r="J155" s="109" t="str">
        <f t="array" ref="J155">XLOOKUP(CELL("contents",F155),'Swiss Registry'!$B$2:$B$703,'Swiss Registry'!$N$2:$N$703) </f>
        <v>160179454256087041</v>
      </c>
    </row>
    <row r="156">
      <c r="A156" s="130">
        <v>245.0</v>
      </c>
      <c r="B156" s="125" t="str">
        <f>VLOOKUP(A156,'Swiss Registry'!$A$2:$B$703,2,False)</f>
        <v>durmain (slamonBbq)</v>
      </c>
      <c r="C156" s="105" t="str">
        <f t="shared" si="10"/>
        <v>Game 1</v>
      </c>
      <c r="D156" s="106" t="str">
        <f t="shared" si="12"/>
        <v>Game 2</v>
      </c>
      <c r="E156" s="107" t="str">
        <f t="shared" si="11"/>
        <v/>
      </c>
      <c r="F156" s="126" t="str">
        <f>VLOOKUP(G156,'Swiss Registry'!$A$2:$B$703,2,False)</f>
        <v>girlevader</v>
      </c>
      <c r="G156" s="131">
        <v>219.0</v>
      </c>
      <c r="H156" s="93" t="s">
        <v>2202</v>
      </c>
      <c r="I156" s="108" t="str">
        <f t="array" ref="I156">XLOOKUP(CELL("contents",B156),'Swiss Registry'!$B$2:$B$703,'Swiss Registry'!$N$2:$N$703) </f>
        <v>166049321983279104</v>
      </c>
      <c r="J156" s="109" t="str">
        <f t="array" ref="J156">XLOOKUP(CELL("contents",F156),'Swiss Registry'!$B$2:$B$703,'Swiss Registry'!$N$2:$N$703) </f>
        <v>1100068954283724900</v>
      </c>
    </row>
    <row r="157">
      <c r="A157" s="130">
        <v>533.0</v>
      </c>
      <c r="B157" s="125" t="str">
        <f>VLOOKUP(A157,'Swiss Registry'!$A$2:$B$703,2,False)</f>
        <v>deftbrixton</v>
      </c>
      <c r="C157" s="105" t="str">
        <f t="shared" si="10"/>
        <v>Game 1</v>
      </c>
      <c r="D157" s="106" t="str">
        <f t="shared" si="12"/>
        <v>Game 2</v>
      </c>
      <c r="E157" s="107" t="str">
        <f t="shared" si="11"/>
        <v/>
      </c>
      <c r="F157" s="126" t="str">
        <f>VLOOKUP(G157,'Swiss Registry'!$A$2:$B$703,2,False)</f>
        <v>tanao</v>
      </c>
      <c r="G157" s="131">
        <v>310.0</v>
      </c>
      <c r="H157" s="93" t="s">
        <v>2203</v>
      </c>
      <c r="I157" s="108" t="str">
        <f t="array" ref="I157">XLOOKUP(CELL("contents",B157),'Swiss Registry'!$B$2:$B$703,'Swiss Registry'!$N$2:$N$703) </f>
        <v>685522474179231877</v>
      </c>
      <c r="J157" s="109" t="str">
        <f t="array" ref="J157">XLOOKUP(CELL("contents",F157),'Swiss Registry'!$B$2:$B$703,'Swiss Registry'!$N$2:$N$703) </f>
        <v>136404228787798017</v>
      </c>
    </row>
    <row r="158">
      <c r="A158" s="130">
        <v>118.0</v>
      </c>
      <c r="B158" s="125" t="str">
        <f>VLOOKUP(A158,'Swiss Registry'!$A$2:$B$703,2,False)</f>
        <v>cashzachary</v>
      </c>
      <c r="C158" s="105" t="str">
        <f t="shared" si="10"/>
        <v>Game 1</v>
      </c>
      <c r="D158" s="106" t="str">
        <f t="shared" si="12"/>
        <v>Game 2</v>
      </c>
      <c r="E158" s="110" t="str">
        <f t="shared" si="11"/>
        <v>Game 3</v>
      </c>
      <c r="F158" s="126" t="str">
        <f>VLOOKUP(G158,'Swiss Registry'!$A$2:$B$703,2,False)</f>
        <v>irrelevantone</v>
      </c>
      <c r="G158" s="131">
        <v>689.0</v>
      </c>
      <c r="H158" s="93" t="s">
        <v>2204</v>
      </c>
      <c r="I158" s="108" t="str">
        <f t="array" ref="I158">XLOOKUP(CELL("contents",B158),'Swiss Registry'!$B$2:$B$703,'Swiss Registry'!$N$2:$N$703) </f>
        <v>1238981053226549308</v>
      </c>
      <c r="J158" s="109" t="str">
        <f t="array" ref="J158">XLOOKUP(CELL("contents",F158),'Swiss Registry'!$B$2:$B$703,'Swiss Registry'!$N$2:$N$703) </f>
        <v>284150733152976896</v>
      </c>
    </row>
    <row r="159">
      <c r="A159" s="130">
        <v>407.0</v>
      </c>
      <c r="B159" s="125" t="str">
        <f>VLOOKUP(A159,'Swiss Registry'!$A$2:$B$703,2,False)</f>
        <v>.turkeyleg</v>
      </c>
      <c r="C159" s="105" t="str">
        <f t="shared" si="10"/>
        <v>Game 1</v>
      </c>
      <c r="D159" s="106" t="str">
        <f t="shared" si="12"/>
        <v>Game 2</v>
      </c>
      <c r="E159" s="110" t="str">
        <f t="shared" si="11"/>
        <v>Game 3</v>
      </c>
      <c r="F159" s="126" t="str">
        <f>VLOOKUP(G159,'Swiss Registry'!$A$2:$B$703,2,False)</f>
        <v>steffmoney</v>
      </c>
      <c r="G159" s="131">
        <v>196.0</v>
      </c>
      <c r="H159" s="93" t="s">
        <v>2205</v>
      </c>
      <c r="I159" s="108" t="str">
        <f t="array" ref="I159">XLOOKUP(CELL("contents",B159),'Swiss Registry'!$B$2:$B$703,'Swiss Registry'!$N$2:$N$703) </f>
        <v>457524456177401858</v>
      </c>
      <c r="J159" s="109" t="str">
        <f t="array" ref="J159">XLOOKUP(CELL("contents",F159),'Swiss Registry'!$B$2:$B$703,'Swiss Registry'!$N$2:$N$703) </f>
        <v>311143163060289537</v>
      </c>
    </row>
    <row r="160">
      <c r="A160" s="130">
        <v>481.0</v>
      </c>
      <c r="B160" s="125" t="str">
        <f>VLOOKUP(A160,'Swiss Registry'!$A$2:$B$703,2,False)</f>
        <v>SentientSanchez</v>
      </c>
      <c r="C160" s="105" t="str">
        <f t="shared" si="10"/>
        <v>Game 1</v>
      </c>
      <c r="D160" s="106" t="str">
        <f t="shared" si="12"/>
        <v>Game 2</v>
      </c>
      <c r="E160" s="110" t="str">
        <f t="shared" si="11"/>
        <v>Game 3</v>
      </c>
      <c r="F160" s="126" t="str">
        <f>VLOOKUP(G160,'Swiss Registry'!$A$2:$B$703,2,False)</f>
        <v>milkshook00</v>
      </c>
      <c r="G160" s="131">
        <v>662.0</v>
      </c>
      <c r="H160" s="93" t="s">
        <v>2206</v>
      </c>
      <c r="I160" s="108" t="str">
        <f t="array" ref="I160">XLOOKUP(CELL("contents",B160),'Swiss Registry'!$B$2:$B$703,'Swiss Registry'!$N$2:$N$703) </f>
        <v>730510085079433268</v>
      </c>
      <c r="J160" s="109" t="str">
        <f t="array" ref="J160">XLOOKUP(CELL("contents",F160),'Swiss Registry'!$B$2:$B$703,'Swiss Registry'!$N$2:$N$703) </f>
        <v>167697420719882241</v>
      </c>
    </row>
    <row r="161">
      <c r="A161" s="130">
        <v>595.0</v>
      </c>
      <c r="B161" s="125" t="str">
        <f>VLOOKUP(A161,'Swiss Registry'!$A$2:$B$703,2,False)</f>
        <v>emerald_harrold</v>
      </c>
      <c r="C161" s="105" t="str">
        <f t="shared" si="10"/>
        <v>Game 1</v>
      </c>
      <c r="D161" s="106" t="str">
        <f t="shared" si="12"/>
        <v>Game 2</v>
      </c>
      <c r="E161" s="107" t="str">
        <f t="shared" si="11"/>
        <v/>
      </c>
      <c r="F161" s="126" t="str">
        <f>VLOOKUP(G161,'Swiss Registry'!$A$2:$B$703,2,False)</f>
        <v>lucida</v>
      </c>
      <c r="G161" s="131">
        <v>381.0</v>
      </c>
      <c r="H161" s="93" t="s">
        <v>2207</v>
      </c>
      <c r="I161" s="108" t="str">
        <f t="array" ref="I161">XLOOKUP(CELL("contents",B161),'Swiss Registry'!$B$2:$B$703,'Swiss Registry'!$N$2:$N$703) </f>
        <v>895687390142812161</v>
      </c>
      <c r="J161" s="109" t="str">
        <f t="array" ref="J161">XLOOKUP(CELL("contents",F161),'Swiss Registry'!$B$2:$B$703,'Swiss Registry'!$N$2:$N$703) </f>
        <v>98218676867596288</v>
      </c>
    </row>
    <row r="162" ht="15.0" customHeight="1">
      <c r="A162" s="80"/>
      <c r="B162" s="122"/>
      <c r="C162" s="114"/>
      <c r="D162" s="96" t="s">
        <v>1593</v>
      </c>
      <c r="E162" s="81"/>
      <c r="F162" s="123"/>
      <c r="G162" s="132"/>
      <c r="H162" s="93"/>
      <c r="I162" s="81"/>
      <c r="J162" s="81"/>
    </row>
    <row r="163">
      <c r="A163" s="130">
        <v>573.0</v>
      </c>
      <c r="B163" s="125" t="str">
        <f>VLOOKUP(A163,'Swiss Registry'!$A$2:$B$703,2,False)</f>
        <v>tamafuyu</v>
      </c>
      <c r="C163" s="105" t="str">
        <f t="shared" ref="C163:C201" si="13">IF(H163="dead","",IF(H163="a:act","",IF(H163="b:act","",IF(ISURL(HYPERLINK(INDIRECT("Importer!B"&amp;MID(H163,2,4)+1,TRUE))),HYPERLINK(INDIRECT("Importer!B"&amp;MID(H163,2,4)+1,TRUE), "Game 1"),""))))</f>
        <v>Game 1</v>
      </c>
      <c r="D163" s="106" t="str">
        <f>IF(H163="dead","Dead Game",IF(H163="a:act","Act: "&amp;F163,IF(H163="b:act","Act: "&amp;#REF!,IF(ISURL(HYPERLINK(INDIRECT("Importer!B"&amp;MID(H163,6,4)+1,TRUE))),HYPERLINK(INDIRECT("Importer!B"&amp;MID(H163,6,4)+1,TRUE), "Game 2"),""))))</f>
        <v>Game 2</v>
      </c>
      <c r="E163" s="110" t="str">
        <f t="shared" ref="E163:E201" si="14">IF(H163="dead","",IF(H163="a:act","",IF(H163="b:act","",IF(ISURL(HYPERLINK(INDIRECT("Importer!B"&amp;MID(H163,10,4)+1,TRUE))),HYPERLINK(INDIRECT("Importer!B"&amp;MID(H163,10,4)+1,TRUE), "Game 3"),""))))</f>
        <v>Game 3</v>
      </c>
      <c r="F163" s="126" t="str">
        <f>VLOOKUP(G163,'Swiss Registry'!$A$2:$B$703,2,False)</f>
        <v>Redrame</v>
      </c>
      <c r="G163" s="131">
        <v>318.0</v>
      </c>
      <c r="H163" s="93" t="s">
        <v>2208</v>
      </c>
      <c r="I163" s="108" t="str">
        <f t="array" ref="I163">XLOOKUP(CELL("contents",B163),'Swiss Registry'!$B$2:$B$703,'Swiss Registry'!$N$2:$N$703) </f>
        <v>98886753485623296</v>
      </c>
      <c r="J163" s="109" t="str">
        <f t="array" ref="J163">XLOOKUP(CELL("contents",F163),'Swiss Registry'!$B$2:$B$703,'Swiss Registry'!$N$2:$N$703) </f>
        <v>127968794130907137</v>
      </c>
    </row>
    <row r="164">
      <c r="A164" s="130">
        <v>492.0</v>
      </c>
      <c r="B164" s="125" t="str">
        <f>VLOOKUP(A164,'Swiss Registry'!$A$2:$B$703,2,False)</f>
        <v>cisconduct</v>
      </c>
      <c r="C164" s="111" t="str">
        <f t="shared" si="13"/>
        <v/>
      </c>
      <c r="D164" s="112" t="str">
        <f t="shared" ref="D164:D201" si="15">IF(H164="dead","Dead Game",IF(H164="a:act","Act: "&amp;B164,IF(H164="b:act","Act: "&amp;F164,IF(ISURL(HYPERLINK(INDIRECT("Importer!B"&amp;MID(H164,6,4)+1,TRUE))),HYPERLINK(INDIRECT("Importer!B"&amp;MID(H164,6,4)+1,TRUE), "Game 2"),""))))</f>
        <v>Act: cisconduct</v>
      </c>
      <c r="E164" s="107" t="str">
        <f t="shared" si="14"/>
        <v/>
      </c>
      <c r="F164" s="126" t="str">
        <f>VLOOKUP(G164,'Swiss Registry'!$A$2:$B$703,2,False)</f>
        <v>testemunha2622</v>
      </c>
      <c r="G164" s="131">
        <v>580.0</v>
      </c>
      <c r="H164" s="93" t="s">
        <v>1486</v>
      </c>
      <c r="I164" s="108" t="str">
        <f t="array" ref="I164">XLOOKUP(CELL("contents",B164),'Swiss Registry'!$B$2:$B$703,'Swiss Registry'!$N$2:$N$703) </f>
        <v>703804773228609587</v>
      </c>
      <c r="J164" s="109" t="str">
        <f t="array" ref="J164">XLOOKUP(CELL("contents",F164),'Swiss Registry'!$B$2:$B$703,'Swiss Registry'!$N$2:$N$703) </f>
        <v>395750485769846784</v>
      </c>
    </row>
    <row r="165">
      <c r="A165" s="130">
        <v>372.0</v>
      </c>
      <c r="B165" s="125" t="str">
        <f>VLOOKUP(A165,'Swiss Registry'!$A$2:$B$703,2,False)</f>
        <v>air602</v>
      </c>
      <c r="C165" s="105" t="str">
        <f t="shared" si="13"/>
        <v>Game 1</v>
      </c>
      <c r="D165" s="106" t="str">
        <f t="shared" si="15"/>
        <v>Game 2</v>
      </c>
      <c r="E165" s="110" t="str">
        <f t="shared" si="14"/>
        <v>Game 3</v>
      </c>
      <c r="F165" s="126" t="str">
        <f>VLOOKUP(G165,'Swiss Registry'!$A$2:$B$703,2,False)</f>
        <v>treyprime</v>
      </c>
      <c r="G165" s="131">
        <v>236.0</v>
      </c>
      <c r="H165" s="93" t="s">
        <v>2209</v>
      </c>
      <c r="I165" s="108" t="str">
        <f t="array" ref="I165">XLOOKUP(CELL("contents",B165),'Swiss Registry'!$B$2:$B$703,'Swiss Registry'!$N$2:$N$703) </f>
        <v>336743385945735171</v>
      </c>
      <c r="J165" s="109" t="str">
        <f t="array" ref="J165">XLOOKUP(CELL("contents",F165),'Swiss Registry'!$B$2:$B$703,'Swiss Registry'!$N$2:$N$703) </f>
        <v>73106121434333184</v>
      </c>
    </row>
    <row r="166">
      <c r="A166" s="130">
        <v>483.0</v>
      </c>
      <c r="B166" s="125" t="str">
        <f>VLOOKUP(A166,'Swiss Registry'!$A$2:$B$703,2,False)</f>
        <v>erfder (old style Erfder#3147)</v>
      </c>
      <c r="C166" s="105" t="str">
        <f t="shared" si="13"/>
        <v>Game 1</v>
      </c>
      <c r="D166" s="106" t="str">
        <f t="shared" si="15"/>
        <v>Game 2</v>
      </c>
      <c r="E166" s="107" t="str">
        <f t="shared" si="14"/>
        <v/>
      </c>
      <c r="F166" s="126" t="str">
        <f>VLOOKUP(G166,'Swiss Registry'!$A$2:$B$703,2,False)</f>
        <v>yuramas</v>
      </c>
      <c r="G166" s="131">
        <v>428.0</v>
      </c>
      <c r="H166" s="93" t="s">
        <v>2210</v>
      </c>
      <c r="I166" s="108" t="str">
        <f t="array" ref="I166">XLOOKUP(CELL("contents",B166),'Swiss Registry'!$B$2:$B$703,'Swiss Registry'!$N$2:$N$703) </f>
        <v>172402233676136448</v>
      </c>
      <c r="J166" s="109" t="str">
        <f t="array" ref="J166">XLOOKUP(CELL("contents",F166),'Swiss Registry'!$B$2:$B$703,'Swiss Registry'!$N$2:$N$703) </f>
        <v>551444761064636416</v>
      </c>
    </row>
    <row r="167">
      <c r="A167" s="130">
        <v>518.0</v>
      </c>
      <c r="B167" s="125" t="str">
        <f>VLOOKUP(A167,'Swiss Registry'!$A$2:$B$703,2,False)</f>
        <v>Vholtninja</v>
      </c>
      <c r="C167" s="111" t="str">
        <f t="shared" si="13"/>
        <v/>
      </c>
      <c r="D167" s="112" t="str">
        <f t="shared" si="15"/>
        <v>Act: wavy_ish</v>
      </c>
      <c r="E167" s="107" t="str">
        <f t="shared" si="14"/>
        <v/>
      </c>
      <c r="F167" s="126" t="str">
        <f>VLOOKUP(G167,'Swiss Registry'!$A$2:$B$703,2,False)</f>
        <v>wavy_ish</v>
      </c>
      <c r="G167" s="131">
        <v>398.0</v>
      </c>
      <c r="H167" s="93" t="s">
        <v>1523</v>
      </c>
      <c r="I167" s="108" t="str">
        <f t="array" ref="I167">XLOOKUP(CELL("contents",B167),'Swiss Registry'!$B$2:$B$703,'Swiss Registry'!$N$2:$N$703) </f>
        <v>495147477398192128</v>
      </c>
      <c r="J167" s="109" t="str">
        <f t="array" ref="J167">XLOOKUP(CELL("contents",F167),'Swiss Registry'!$B$2:$B$703,'Swiss Registry'!$N$2:$N$703) </f>
        <v>354755541249032192</v>
      </c>
    </row>
    <row r="168">
      <c r="A168" s="130">
        <v>351.0</v>
      </c>
      <c r="B168" s="125" t="str">
        <f>VLOOKUP(A168,'Swiss Registry'!$A$2:$B$703,2,False)</f>
        <v>kinglazi</v>
      </c>
      <c r="C168" s="105" t="str">
        <f t="shared" si="13"/>
        <v>Game 1</v>
      </c>
      <c r="D168" s="106" t="str">
        <f t="shared" si="15"/>
        <v>Game 2</v>
      </c>
      <c r="E168" s="110" t="str">
        <f t="shared" si="14"/>
        <v>Game 3</v>
      </c>
      <c r="F168" s="126" t="str">
        <f>VLOOKUP(G168,'Swiss Registry'!$A$2:$B$703,2,False)</f>
        <v>Stuckkkk</v>
      </c>
      <c r="G168" s="131">
        <v>648.0</v>
      </c>
      <c r="H168" s="93" t="s">
        <v>2211</v>
      </c>
      <c r="I168" s="108" t="str">
        <f t="array" ref="I168">XLOOKUP(CELL("contents",B168),'Swiss Registry'!$B$2:$B$703,'Swiss Registry'!$N$2:$N$703) </f>
        <v>266204930774269962</v>
      </c>
      <c r="J168" s="109" t="str">
        <f t="array" ref="J168">XLOOKUP(CELL("contents",F168),'Swiss Registry'!$B$2:$B$703,'Swiss Registry'!$N$2:$N$703) </f>
        <v>321430793153019924</v>
      </c>
    </row>
    <row r="169">
      <c r="A169" s="130">
        <v>687.0</v>
      </c>
      <c r="B169" s="125" t="str">
        <f>VLOOKUP(A169,'Swiss Registry'!$A$2:$B$703,2,False)</f>
        <v>justbestlevels</v>
      </c>
      <c r="C169" s="105" t="str">
        <f t="shared" si="13"/>
        <v>Game 1</v>
      </c>
      <c r="D169" s="106" t="str">
        <f t="shared" si="15"/>
        <v>Game 2</v>
      </c>
      <c r="E169" s="110" t="str">
        <f t="shared" si="14"/>
        <v>Game 3</v>
      </c>
      <c r="F169" s="126" t="str">
        <f>VLOOKUP(G169,'Swiss Registry'!$A$2:$B$703,2,False)</f>
        <v>ViciousCricket</v>
      </c>
      <c r="G169" s="131">
        <v>670.0</v>
      </c>
      <c r="H169" s="93" t="s">
        <v>2212</v>
      </c>
      <c r="I169" s="108" t="str">
        <f t="array" ref="I169">XLOOKUP(CELL("contents",B169),'Swiss Registry'!$B$2:$B$703,'Swiss Registry'!$N$2:$N$703) </f>
        <v>1266216530601971775</v>
      </c>
      <c r="J169" s="109" t="str">
        <f t="array" ref="J169">XLOOKUP(CELL("contents",F169),'Swiss Registry'!$B$2:$B$703,'Swiss Registry'!$N$2:$N$703) </f>
        <v>828280967377584128</v>
      </c>
    </row>
    <row r="170">
      <c r="A170" s="130">
        <v>643.0</v>
      </c>
      <c r="B170" s="125" t="str">
        <f>VLOOKUP(A170,'Swiss Registry'!$A$2:$B$703,2,False)</f>
        <v>Dig Boshi</v>
      </c>
      <c r="C170" s="105" t="str">
        <f t="shared" si="13"/>
        <v>Game 1</v>
      </c>
      <c r="D170" s="106" t="str">
        <f t="shared" si="15"/>
        <v>Game 2</v>
      </c>
      <c r="E170" s="107" t="str">
        <f t="shared" si="14"/>
        <v/>
      </c>
      <c r="F170" s="126" t="str">
        <f>VLOOKUP(G170,'Swiss Registry'!$A$2:$B$703,2,False)</f>
        <v>Ghostfall22</v>
      </c>
      <c r="G170" s="131">
        <v>613.0</v>
      </c>
      <c r="H170" s="93" t="s">
        <v>2213</v>
      </c>
      <c r="I170" s="108" t="str">
        <f t="array" ref="I170">XLOOKUP(CELL("contents",B170),'Swiss Registry'!$B$2:$B$703,'Swiss Registry'!$N$2:$N$703) </f>
        <v>1041574782090620938</v>
      </c>
      <c r="J170" s="109" t="str">
        <f t="array" ref="J170">XLOOKUP(CELL("contents",F170),'Swiss Registry'!$B$2:$B$703,'Swiss Registry'!$N$2:$N$703) </f>
        <v>894720722683985930</v>
      </c>
    </row>
    <row r="171">
      <c r="A171" s="130">
        <v>460.0</v>
      </c>
      <c r="B171" s="125" t="str">
        <f>VLOOKUP(A171,'Swiss Registry'!$A$2:$B$703,2,False)</f>
        <v>onewhorants</v>
      </c>
      <c r="C171" s="105" t="str">
        <f t="shared" si="13"/>
        <v>Game 1</v>
      </c>
      <c r="D171" s="106" t="str">
        <f t="shared" si="15"/>
        <v>Game 2</v>
      </c>
      <c r="E171" s="110" t="str">
        <f t="shared" si="14"/>
        <v>Game 3</v>
      </c>
      <c r="F171" s="126" t="str">
        <f>VLOOKUP(G171,'Swiss Registry'!$A$2:$B$703,2,False)</f>
        <v>sharkhammer</v>
      </c>
      <c r="G171" s="131">
        <v>106.0</v>
      </c>
      <c r="H171" s="93" t="s">
        <v>2214</v>
      </c>
      <c r="I171" s="108" t="str">
        <f t="array" ref="I171">XLOOKUP(CELL("contents",B171),'Swiss Registry'!$B$2:$B$703,'Swiss Registry'!$N$2:$N$703) </f>
        <v>257001953056260096</v>
      </c>
      <c r="J171" s="109" t="str">
        <f t="array" ref="J171">XLOOKUP(CELL("contents",F171),'Swiss Registry'!$B$2:$B$703,'Swiss Registry'!$N$2:$N$703) </f>
        <v>127856725544927232</v>
      </c>
    </row>
    <row r="172">
      <c r="A172" s="130">
        <v>258.0</v>
      </c>
      <c r="B172" s="125" t="str">
        <f>VLOOKUP(A172,'Swiss Registry'!$A$2:$B$703,2,False)</f>
        <v>kalarse</v>
      </c>
      <c r="C172" s="105" t="str">
        <f t="shared" si="13"/>
        <v>Game 1</v>
      </c>
      <c r="D172" s="106" t="str">
        <f t="shared" si="15"/>
        <v>Game 2</v>
      </c>
      <c r="E172" s="110" t="str">
        <f t="shared" si="14"/>
        <v>Game 3</v>
      </c>
      <c r="F172" s="126" t="str">
        <f>VLOOKUP(G172,'Swiss Registry'!$A$2:$B$703,2,False)</f>
        <v>terradayy</v>
      </c>
      <c r="G172" s="131">
        <v>341.0</v>
      </c>
      <c r="H172" s="93" t="s">
        <v>2215</v>
      </c>
      <c r="I172" s="108" t="str">
        <f t="array" ref="I172">XLOOKUP(CELL("contents",B172),'Swiss Registry'!$B$2:$B$703,'Swiss Registry'!$N$2:$N$703) </f>
        <v>105796893690376192</v>
      </c>
      <c r="J172" s="109" t="str">
        <f t="array" ref="J172">XLOOKUP(CELL("contents",F172),'Swiss Registry'!$B$2:$B$703,'Swiss Registry'!$N$2:$N$703) </f>
        <v>167777634267168768</v>
      </c>
    </row>
    <row r="173">
      <c r="A173" s="130">
        <v>164.0</v>
      </c>
      <c r="B173" s="125" t="str">
        <f>VLOOKUP(A173,'Swiss Registry'!$A$2:$B$703,2,False)</f>
        <v>Repiloid</v>
      </c>
      <c r="C173" s="111" t="str">
        <f t="shared" si="13"/>
        <v/>
      </c>
      <c r="D173" s="112" t="str">
        <f t="shared" si="15"/>
        <v>Act: zettsbro</v>
      </c>
      <c r="E173" s="107" t="str">
        <f t="shared" si="14"/>
        <v/>
      </c>
      <c r="F173" s="126" t="str">
        <f>VLOOKUP(G173,'Swiss Registry'!$A$2:$B$703,2,False)</f>
        <v>zettsbro</v>
      </c>
      <c r="G173" s="131">
        <v>166.0</v>
      </c>
      <c r="H173" s="93" t="s">
        <v>1523</v>
      </c>
      <c r="I173" s="108" t="str">
        <f t="array" ref="I173">XLOOKUP(CELL("contents",B173),'Swiss Registry'!$B$2:$B$703,'Swiss Registry'!$N$2:$N$703) </f>
        <v>SUB</v>
      </c>
      <c r="J173" s="109" t="str">
        <f t="array" ref="J173">XLOOKUP(CELL("contents",F173),'Swiss Registry'!$B$2:$B$703,'Swiss Registry'!$N$2:$N$703) </f>
        <v>453604164077879296</v>
      </c>
    </row>
    <row r="174">
      <c r="A174" s="130">
        <v>484.0</v>
      </c>
      <c r="B174" s="125" t="str">
        <f>VLOOKUP(A174,'Swiss Registry'!$A$2:$B$703,2,False)</f>
        <v>LevysChair</v>
      </c>
      <c r="C174" s="105" t="str">
        <f t="shared" si="13"/>
        <v>Game 1</v>
      </c>
      <c r="D174" s="106" t="str">
        <f t="shared" si="15"/>
        <v>Game 2</v>
      </c>
      <c r="E174" s="110" t="str">
        <f t="shared" si="14"/>
        <v>Game 3</v>
      </c>
      <c r="F174" s="126" t="str">
        <f>VLOOKUP(G174,'Swiss Registry'!$A$2:$B$703,2,False)</f>
        <v>dragonlord6954</v>
      </c>
      <c r="G174" s="131">
        <v>400.0</v>
      </c>
      <c r="H174" s="93" t="s">
        <v>2216</v>
      </c>
      <c r="I174" s="108" t="str">
        <f t="array" ref="I174">XLOOKUP(CELL("contents",B174),'Swiss Registry'!$B$2:$B$703,'Swiss Registry'!$N$2:$N$703) </f>
        <v>287039271523844096</v>
      </c>
      <c r="J174" s="109" t="str">
        <f t="array" ref="J174">XLOOKUP(CELL("contents",F174),'Swiss Registry'!$B$2:$B$703,'Swiss Registry'!$N$2:$N$703) </f>
        <v>1071049773546733670</v>
      </c>
    </row>
    <row r="175">
      <c r="A175" s="130">
        <v>360.0</v>
      </c>
      <c r="B175" s="125" t="str">
        <f>VLOOKUP(A175,'Swiss Registry'!$A$2:$B$703,2,False)</f>
        <v>poots6476</v>
      </c>
      <c r="C175" s="105" t="str">
        <f t="shared" si="13"/>
        <v>Game 1</v>
      </c>
      <c r="D175" s="106" t="str">
        <f t="shared" si="15"/>
        <v>Game 2</v>
      </c>
      <c r="E175" s="110" t="str">
        <f t="shared" si="14"/>
        <v>Game 3</v>
      </c>
      <c r="F175" s="126" t="str">
        <f>VLOOKUP(G175,'Swiss Registry'!$A$2:$B$703,2,False)</f>
        <v>mafx</v>
      </c>
      <c r="G175" s="131">
        <v>204.0</v>
      </c>
      <c r="H175" s="93" t="s">
        <v>2217</v>
      </c>
      <c r="I175" s="108" t="str">
        <f t="array" ref="I175">XLOOKUP(CELL("contents",B175),'Swiss Registry'!$B$2:$B$703,'Swiss Registry'!$N$2:$N$703) </f>
        <v>177568483909959680</v>
      </c>
      <c r="J175" s="109" t="str">
        <f t="array" ref="J175">XLOOKUP(CELL("contents",F175),'Swiss Registry'!$B$2:$B$703,'Swiss Registry'!$N$2:$N$703) </f>
        <v>219614904515035136</v>
      </c>
    </row>
    <row r="176">
      <c r="A176" s="130">
        <v>356.0</v>
      </c>
      <c r="B176" s="125" t="str">
        <f>VLOOKUP(A176,'Swiss Registry'!$A$2:$B$703,2,False)</f>
        <v>themightyq99</v>
      </c>
      <c r="C176" s="105" t="str">
        <f t="shared" si="13"/>
        <v>Game 1</v>
      </c>
      <c r="D176" s="106" t="str">
        <f t="shared" si="15"/>
        <v>Game 2</v>
      </c>
      <c r="E176" s="110" t="str">
        <f t="shared" si="14"/>
        <v>Game 3</v>
      </c>
      <c r="F176" s="126" t="str">
        <f>VLOOKUP(G176,'Swiss Registry'!$A$2:$B$703,2,False)</f>
        <v>dustyfans</v>
      </c>
      <c r="G176" s="131">
        <v>630.0</v>
      </c>
      <c r="H176" s="93" t="s">
        <v>2218</v>
      </c>
      <c r="I176" s="108" t="str">
        <f t="array" ref="I176">XLOOKUP(CELL("contents",B176),'Swiss Registry'!$B$2:$B$703,'Swiss Registry'!$N$2:$N$703) </f>
        <v>1212585146042028052</v>
      </c>
      <c r="J176" s="109" t="str">
        <f t="array" ref="J176">XLOOKUP(CELL("contents",F176),'Swiss Registry'!$B$2:$B$703,'Swiss Registry'!$N$2:$N$703) </f>
        <v>325004772493230092</v>
      </c>
    </row>
    <row r="177">
      <c r="A177" s="130">
        <v>429.0</v>
      </c>
      <c r="B177" s="125" t="str">
        <f>VLOOKUP(A177,'Swiss Registry'!$A$2:$B$703,2,False)</f>
        <v>Aahaahaah</v>
      </c>
      <c r="C177" s="105" t="str">
        <f t="shared" si="13"/>
        <v>Game 1</v>
      </c>
      <c r="D177" s="106" t="str">
        <f t="shared" si="15"/>
        <v>Game 2</v>
      </c>
      <c r="E177" s="110" t="str">
        <f t="shared" si="14"/>
        <v>Game 3</v>
      </c>
      <c r="F177" s="126" t="str">
        <f>VLOOKUP(G177,'Swiss Registry'!$A$2:$B$703,2,False)</f>
        <v>.FunkyCop</v>
      </c>
      <c r="G177" s="131">
        <v>255.0</v>
      </c>
      <c r="H177" s="93" t="s">
        <v>2219</v>
      </c>
      <c r="I177" s="108" t="str">
        <f t="array" ref="I177">XLOOKUP(CELL("contents",B177),'Swiss Registry'!$B$2:$B$703,'Swiss Registry'!$N$2:$N$703) </f>
        <v>127698611189448704</v>
      </c>
      <c r="J177" s="109" t="str">
        <f t="array" ref="J177">XLOOKUP(CELL("contents",F177),'Swiss Registry'!$B$2:$B$703,'Swiss Registry'!$N$2:$N$703) </f>
        <v>227532710363660288</v>
      </c>
    </row>
    <row r="178">
      <c r="A178" s="130">
        <v>582.0</v>
      </c>
      <c r="B178" s="125" t="str">
        <f>VLOOKUP(A178,'Swiss Registry'!$A$2:$B$703,2,False)</f>
        <v>swordpeace3232</v>
      </c>
      <c r="C178" s="105" t="str">
        <f t="shared" si="13"/>
        <v>Game 1</v>
      </c>
      <c r="D178" s="106" t="str">
        <f t="shared" si="15"/>
        <v>Game 2</v>
      </c>
      <c r="E178" s="107" t="str">
        <f t="shared" si="14"/>
        <v/>
      </c>
      <c r="F178" s="126" t="str">
        <f>VLOOKUP(G178,'Swiss Registry'!$A$2:$B$703,2,False)</f>
        <v>felipe01788_</v>
      </c>
      <c r="G178" s="131">
        <v>426.0</v>
      </c>
      <c r="H178" s="93" t="s">
        <v>2220</v>
      </c>
      <c r="I178" s="108" t="str">
        <f t="array" ref="I178">XLOOKUP(CELL("contents",B178),'Swiss Registry'!$B$2:$B$703,'Swiss Registry'!$N$2:$N$703) </f>
        <v>578664990714888212</v>
      </c>
      <c r="J178" s="109" t="str">
        <f t="array" ref="J178">XLOOKUP(CELL("contents",F178),'Swiss Registry'!$B$2:$B$703,'Swiss Registry'!$N$2:$N$703) </f>
        <v>275511949880459264</v>
      </c>
    </row>
    <row r="179">
      <c r="A179" s="130">
        <v>631.0</v>
      </c>
      <c r="B179" s="125" t="str">
        <f>VLOOKUP(A179,'Swiss Registry'!$A$2:$B$703,2,False)</f>
        <v>Slimsinatra93</v>
      </c>
      <c r="C179" s="111" t="str">
        <f t="shared" si="13"/>
        <v/>
      </c>
      <c r="D179" s="112" t="str">
        <f t="shared" si="15"/>
        <v>Act: doh#5604</v>
      </c>
      <c r="E179" s="107" t="str">
        <f t="shared" si="14"/>
        <v/>
      </c>
      <c r="F179" s="126" t="str">
        <f>VLOOKUP(G179,'Swiss Registry'!$A$2:$B$703,2,False)</f>
        <v>doh#5604</v>
      </c>
      <c r="G179" s="131">
        <v>405.0</v>
      </c>
      <c r="H179" s="93" t="s">
        <v>1523</v>
      </c>
      <c r="I179" s="108" t="str">
        <f t="array" ref="I179">XLOOKUP(CELL("contents",B179),'Swiss Registry'!$B$2:$B$703,'Swiss Registry'!$N$2:$N$703) </f>
        <v>418807730627936277</v>
      </c>
      <c r="J179" s="109" t="str">
        <f t="array" ref="J179">XLOOKUP(CELL("contents",F179),'Swiss Registry'!$B$2:$B$703,'Swiss Registry'!$N$2:$N$703) </f>
        <v>612030143174803466</v>
      </c>
    </row>
    <row r="180">
      <c r="A180" s="130">
        <v>452.0</v>
      </c>
      <c r="B180" s="125" t="str">
        <f>VLOOKUP(A180,'Swiss Registry'!$A$2:$B$703,2,False)</f>
        <v>yadyaksh</v>
      </c>
      <c r="C180" s="111" t="str">
        <f t="shared" si="13"/>
        <v/>
      </c>
      <c r="D180" s="112" t="str">
        <f t="shared" si="15"/>
        <v>Act: stolenpaper</v>
      </c>
      <c r="E180" s="107" t="str">
        <f t="shared" si="14"/>
        <v/>
      </c>
      <c r="F180" s="126" t="str">
        <f>VLOOKUP(G180,'Swiss Registry'!$A$2:$B$703,2,False)</f>
        <v>stolenpaper</v>
      </c>
      <c r="G180" s="131">
        <v>513.0</v>
      </c>
      <c r="H180" s="93" t="s">
        <v>1523</v>
      </c>
      <c r="I180" s="108" t="str">
        <f t="array" ref="I180">XLOOKUP(CELL("contents",B180),'Swiss Registry'!$B$2:$B$703,'Swiss Registry'!$N$2:$N$703) </f>
        <v>1030027691136647208</v>
      </c>
      <c r="J180" s="109" t="str">
        <f t="array" ref="J180">XLOOKUP(CELL("contents",F180),'Swiss Registry'!$B$2:$B$703,'Swiss Registry'!$N$2:$N$703) </f>
        <v>278063602005573632</v>
      </c>
    </row>
    <row r="181">
      <c r="A181" s="130">
        <v>667.0</v>
      </c>
      <c r="B181" s="125" t="str">
        <f>VLOOKUP(A181,'Swiss Registry'!$A$2:$B$703,2,False)</f>
        <v>KingWafl</v>
      </c>
      <c r="C181" s="105" t="str">
        <f t="shared" si="13"/>
        <v>Game 1</v>
      </c>
      <c r="D181" s="106" t="str">
        <f t="shared" si="15"/>
        <v>Game 2</v>
      </c>
      <c r="E181" s="110" t="str">
        <f t="shared" si="14"/>
        <v>Game 3</v>
      </c>
      <c r="F181" s="126" t="str">
        <f>VLOOKUP(G181,'Swiss Registry'!$A$2:$B$703,2,False)</f>
        <v>ltg04</v>
      </c>
      <c r="G181" s="131">
        <v>571.0</v>
      </c>
      <c r="H181" s="93" t="s">
        <v>2221</v>
      </c>
      <c r="I181" s="108" t="str">
        <f t="array" ref="I181">XLOOKUP(CELL("contents",B181),'Swiss Registry'!$B$2:$B$703,'Swiss Registry'!$N$2:$N$703) </f>
        <v>298196806171492363</v>
      </c>
      <c r="J181" s="109" t="str">
        <f t="array" ref="J181">XLOOKUP(CELL("contents",F181),'Swiss Registry'!$B$2:$B$703,'Swiss Registry'!$N$2:$N$703) </f>
        <v>314526869506621440</v>
      </c>
    </row>
    <row r="182">
      <c r="A182" s="130">
        <v>507.0</v>
      </c>
      <c r="B182" s="125" t="str">
        <f>VLOOKUP(A182,'Swiss Registry'!$A$2:$B$703,2,False)</f>
        <v>strawbbz</v>
      </c>
      <c r="C182" s="105" t="str">
        <f t="shared" si="13"/>
        <v>Game 1</v>
      </c>
      <c r="D182" s="106" t="str">
        <f t="shared" si="15"/>
        <v>Game 2</v>
      </c>
      <c r="E182" s="107" t="str">
        <f t="shared" si="14"/>
        <v/>
      </c>
      <c r="F182" s="126" t="str">
        <f>VLOOKUP(G182,'Swiss Registry'!$A$2:$B$703,2,False)</f>
        <v>Mulikki123</v>
      </c>
      <c r="G182" s="131">
        <v>523.0</v>
      </c>
      <c r="H182" s="93" t="s">
        <v>2222</v>
      </c>
      <c r="I182" s="108" t="str">
        <f t="array" ref="I182">XLOOKUP(CELL("contents",B182),'Swiss Registry'!$B$2:$B$703,'Swiss Registry'!$N$2:$N$703) </f>
        <v>303671100980854788</v>
      </c>
      <c r="J182" s="109" t="str">
        <f t="array" ref="J182">XLOOKUP(CELL("contents",F182),'Swiss Registry'!$B$2:$B$703,'Swiss Registry'!$N$2:$N$703) </f>
        <v>408945189940494339</v>
      </c>
    </row>
    <row r="183">
      <c r="A183" s="130">
        <v>448.0</v>
      </c>
      <c r="B183" s="125" t="str">
        <f>VLOOKUP(A183,'Swiss Registry'!$A$2:$B$703,2,False)</f>
        <v>egocheck</v>
      </c>
      <c r="C183" s="105" t="str">
        <f t="shared" si="13"/>
        <v>Game 1</v>
      </c>
      <c r="D183" s="106" t="str">
        <f t="shared" si="15"/>
        <v>Game 2</v>
      </c>
      <c r="E183" s="107" t="str">
        <f t="shared" si="14"/>
        <v/>
      </c>
      <c r="F183" s="126" t="str">
        <f>VLOOKUP(G183,'Swiss Registry'!$A$2:$B$703,2,False)</f>
        <v>koentjelub</v>
      </c>
      <c r="G183" s="131">
        <v>282.0</v>
      </c>
      <c r="H183" s="93" t="s">
        <v>2223</v>
      </c>
      <c r="I183" s="108" t="str">
        <f t="array" ref="I183">XLOOKUP(CELL("contents",B183),'Swiss Registry'!$B$2:$B$703,'Swiss Registry'!$N$2:$N$703) </f>
        <v>352554361001345026</v>
      </c>
      <c r="J183" s="109" t="str">
        <f t="array" ref="J183">XLOOKUP(CELL("contents",F183),'Swiss Registry'!$B$2:$B$703,'Swiss Registry'!$N$2:$N$703) </f>
        <v>862347198805442600</v>
      </c>
    </row>
    <row r="184">
      <c r="A184" s="130">
        <v>268.0</v>
      </c>
      <c r="B184" s="125" t="str">
        <f>VLOOKUP(A184,'Swiss Registry'!$A$2:$B$703,2,False)</f>
        <v>lucyisafish</v>
      </c>
      <c r="C184" s="105" t="str">
        <f t="shared" si="13"/>
        <v>Game 1</v>
      </c>
      <c r="D184" s="106" t="str">
        <f t="shared" si="15"/>
        <v>Game 2</v>
      </c>
      <c r="E184" s="110" t="str">
        <f t="shared" si="14"/>
        <v>Game 3</v>
      </c>
      <c r="F184" s="126" t="str">
        <f>VLOOKUP(G184,'Swiss Registry'!$A$2:$B$703,2,False)</f>
        <v>nichard_</v>
      </c>
      <c r="G184" s="131">
        <v>610.0</v>
      </c>
      <c r="H184" s="93" t="s">
        <v>2224</v>
      </c>
      <c r="I184" s="108" t="str">
        <f t="array" ref="I184">XLOOKUP(CELL("contents",B184),'Swiss Registry'!$B$2:$B$703,'Swiss Registry'!$N$2:$N$703) </f>
        <v>930202977854193705</v>
      </c>
      <c r="J184" s="109" t="str">
        <f t="array" ref="J184">XLOOKUP(CELL("contents",F184),'Swiss Registry'!$B$2:$B$703,'Swiss Registry'!$N$2:$N$703) </f>
        <v>737461610175528960</v>
      </c>
    </row>
    <row r="185">
      <c r="A185" s="130">
        <v>152.0</v>
      </c>
      <c r="B185" s="125" t="str">
        <f>VLOOKUP(A185,'Swiss Registry'!$A$2:$B$703,2,False)</f>
        <v>heroin4sale</v>
      </c>
      <c r="C185" s="105" t="str">
        <f t="shared" si="13"/>
        <v>Game 1</v>
      </c>
      <c r="D185" s="106" t="str">
        <f t="shared" si="15"/>
        <v>Game 2</v>
      </c>
      <c r="E185" s="107" t="str">
        <f t="shared" si="14"/>
        <v/>
      </c>
      <c r="F185" s="126" t="str">
        <f>VLOOKUP(G185,'Swiss Registry'!$A$2:$B$703,2,False)</f>
        <v>bohrier</v>
      </c>
      <c r="G185" s="131">
        <v>350.0</v>
      </c>
      <c r="H185" s="93" t="s">
        <v>2225</v>
      </c>
      <c r="I185" s="108" t="str">
        <f t="array" ref="I185">XLOOKUP(CELL("contents",B185),'Swiss Registry'!$B$2:$B$703,'Swiss Registry'!$N$2:$N$703) </f>
        <v>176298020688625664</v>
      </c>
      <c r="J185" s="109" t="str">
        <f t="array" ref="J185">XLOOKUP(CELL("contents",F185),'Swiss Registry'!$B$2:$B$703,'Swiss Registry'!$N$2:$N$703) </f>
        <v>713435200469860403</v>
      </c>
    </row>
    <row r="186">
      <c r="A186" s="130">
        <v>291.0</v>
      </c>
      <c r="B186" s="125" t="str">
        <f>VLOOKUP(A186,'Swiss Registry'!$A$2:$B$703,2,False)</f>
        <v>pLzzazz</v>
      </c>
      <c r="C186" s="105" t="str">
        <f t="shared" si="13"/>
        <v>Game 1</v>
      </c>
      <c r="D186" s="106" t="str">
        <f t="shared" si="15"/>
        <v>Game 2</v>
      </c>
      <c r="E186" s="110" t="str">
        <f t="shared" si="14"/>
        <v>Game 3</v>
      </c>
      <c r="F186" s="126" t="str">
        <f>VLOOKUP(G186,'Swiss Registry'!$A$2:$B$703,2,False)</f>
        <v>jd_orph</v>
      </c>
      <c r="G186" s="131">
        <v>284.0</v>
      </c>
      <c r="H186" s="93" t="s">
        <v>2226</v>
      </c>
      <c r="I186" s="108" t="str">
        <f t="array" ref="I186">XLOOKUP(CELL("contents",B186),'Swiss Registry'!$B$2:$B$703,'Swiss Registry'!$N$2:$N$703) </f>
        <v>198612424885010432</v>
      </c>
      <c r="J186" s="109" t="str">
        <f t="array" ref="J186">XLOOKUP(CELL("contents",F186),'Swiss Registry'!$B$2:$B$703,'Swiss Registry'!$N$2:$N$703) </f>
        <v>486001893655445534</v>
      </c>
    </row>
    <row r="187">
      <c r="A187" s="130">
        <v>510.0</v>
      </c>
      <c r="B187" s="125" t="str">
        <f>VLOOKUP(A187,'Swiss Registry'!$A$2:$B$703,2,False)</f>
        <v>Melninja</v>
      </c>
      <c r="C187" s="105" t="str">
        <f t="shared" si="13"/>
        <v>Game 1</v>
      </c>
      <c r="D187" s="106" t="str">
        <f t="shared" si="15"/>
        <v>Game 2</v>
      </c>
      <c r="E187" s="107" t="str">
        <f t="shared" si="14"/>
        <v/>
      </c>
      <c r="F187" s="126" t="str">
        <f>VLOOKUP(G187,'Swiss Registry'!$A$2:$B$703,2,False)</f>
        <v>Shifty1239</v>
      </c>
      <c r="G187" s="131">
        <v>538.0</v>
      </c>
      <c r="H187" s="93" t="s">
        <v>2227</v>
      </c>
      <c r="I187" s="108" t="str">
        <f t="array" ref="I187">XLOOKUP(CELL("contents",B187),'Swiss Registry'!$B$2:$B$703,'Swiss Registry'!$N$2:$N$703) </f>
        <v>303553097584607249</v>
      </c>
      <c r="J187" s="109" t="str">
        <f t="array" ref="J187">XLOOKUP(CELL("contents",F187),'Swiss Registry'!$B$2:$B$703,'Swiss Registry'!$N$2:$N$703) </f>
        <v>121304787051479040</v>
      </c>
    </row>
    <row r="188">
      <c r="A188" s="130">
        <v>399.0</v>
      </c>
      <c r="B188" s="125" t="str">
        <f>VLOOKUP(A188,'Swiss Registry'!$A$2:$B$703,2,False)</f>
        <v>HakkihanTunbak (I recently joined the discord)</v>
      </c>
      <c r="C188" s="105" t="str">
        <f t="shared" si="13"/>
        <v>Game 1</v>
      </c>
      <c r="D188" s="106" t="str">
        <f t="shared" si="15"/>
        <v>Game 2</v>
      </c>
      <c r="E188" s="110" t="str">
        <f t="shared" si="14"/>
        <v>Game 3</v>
      </c>
      <c r="F188" s="126" t="str">
        <f>VLOOKUP(G188,'Swiss Registry'!$A$2:$B$703,2,False)</f>
        <v>anashensoul</v>
      </c>
      <c r="G188" s="131">
        <v>155.0</v>
      </c>
      <c r="H188" s="93" t="s">
        <v>2228</v>
      </c>
      <c r="I188" s="108" t="str">
        <f t="array" ref="I188">XLOOKUP(CELL("contents",B188),'Swiss Registry'!$B$2:$B$703,'Swiss Registry'!$N$2:$N$703) </f>
        <v>332243794584141834</v>
      </c>
      <c r="J188" s="109" t="str">
        <f t="array" ref="J188">XLOOKUP(CELL("contents",F188),'Swiss Registry'!$B$2:$B$703,'Swiss Registry'!$N$2:$N$703) </f>
        <v>212292910882750466</v>
      </c>
    </row>
    <row r="189">
      <c r="A189" s="130">
        <v>183.0</v>
      </c>
      <c r="B189" s="125" t="str">
        <f>VLOOKUP(A189,'Swiss Registry'!$A$2:$B$703,2,False)</f>
        <v>darth_halux</v>
      </c>
      <c r="C189" s="105" t="str">
        <f t="shared" si="13"/>
        <v>Game 1</v>
      </c>
      <c r="D189" s="106" t="str">
        <f t="shared" si="15"/>
        <v>Game 2</v>
      </c>
      <c r="E189" s="107" t="str">
        <f t="shared" si="14"/>
        <v/>
      </c>
      <c r="F189" s="126" t="str">
        <f>VLOOKUP(G189,'Swiss Registry'!$A$2:$B$703,2,False)</f>
        <v>doomlsinger</v>
      </c>
      <c r="G189" s="131">
        <v>467.0</v>
      </c>
      <c r="H189" s="93" t="s">
        <v>2229</v>
      </c>
      <c r="I189" s="108" t="str">
        <f t="array" ref="I189">XLOOKUP(CELL("contents",B189),'Swiss Registry'!$B$2:$B$703,'Swiss Registry'!$N$2:$N$703) </f>
        <v>303185896054980618</v>
      </c>
      <c r="J189" s="109" t="str">
        <f t="array" ref="J189">XLOOKUP(CELL("contents",F189),'Swiss Registry'!$B$2:$B$703,'Swiss Registry'!$N$2:$N$703) </f>
        <v>384034011602747394</v>
      </c>
    </row>
    <row r="190">
      <c r="A190" s="130">
        <v>368.0</v>
      </c>
      <c r="B190" s="125" t="str">
        <f>VLOOKUP(A190,'Swiss Registry'!$A$2:$B$703,2,False)</f>
        <v>Dray_jd</v>
      </c>
      <c r="C190" s="105" t="str">
        <f t="shared" si="13"/>
        <v>Game 1</v>
      </c>
      <c r="D190" s="106" t="str">
        <f t="shared" si="15"/>
        <v>Game 2</v>
      </c>
      <c r="E190" s="110" t="str">
        <f t="shared" si="14"/>
        <v>Game 3</v>
      </c>
      <c r="F190" s="126" t="str">
        <f>VLOOKUP(G190,'Swiss Registry'!$A$2:$B$703,2,False)</f>
        <v>Mamakoko</v>
      </c>
      <c r="G190" s="131">
        <v>154.0</v>
      </c>
      <c r="H190" s="93" t="s">
        <v>2230</v>
      </c>
      <c r="I190" s="108" t="str">
        <f t="array" ref="I190">XLOOKUP(CELL("contents",B190),'Swiss Registry'!$B$2:$B$703,'Swiss Registry'!$N$2:$N$703) </f>
        <v>683286091356307495</v>
      </c>
      <c r="J190" s="109" t="str">
        <f t="array" ref="J190">XLOOKUP(CELL("contents",F190),'Swiss Registry'!$B$2:$B$703,'Swiss Registry'!$N$2:$N$703) </f>
        <v>652184640559382538</v>
      </c>
    </row>
    <row r="191">
      <c r="A191" s="130">
        <v>482.0</v>
      </c>
      <c r="B191" s="125" t="str">
        <f>VLOOKUP(A191,'Swiss Registry'!$A$2:$B$703,2,False)</f>
        <v>no8ull</v>
      </c>
      <c r="C191" s="105" t="str">
        <f t="shared" si="13"/>
        <v>Game 1</v>
      </c>
      <c r="D191" s="106" t="str">
        <f t="shared" si="15"/>
        <v>Game 2</v>
      </c>
      <c r="E191" s="110" t="str">
        <f t="shared" si="14"/>
        <v>Game 3</v>
      </c>
      <c r="F191" s="126" t="str">
        <f>VLOOKUP(G191,'Swiss Registry'!$A$2:$B$703,2,False)</f>
        <v>hypebeasthegel</v>
      </c>
      <c r="G191" s="131">
        <v>702.0</v>
      </c>
      <c r="H191" s="93" t="s">
        <v>2231</v>
      </c>
      <c r="I191" s="108" t="str">
        <f t="array" ref="I191">XLOOKUP(CELL("contents",B191),'Swiss Registry'!$B$2:$B$703,'Swiss Registry'!$N$2:$N$703) </f>
        <v>647900479602425856</v>
      </c>
      <c r="J191" s="109" t="str">
        <f t="array" ref="J191">XLOOKUP(CELL("contents",F191),'Swiss Registry'!$B$2:$B$703,'Swiss Registry'!$N$2:$N$703) </f>
        <v>401566713252020225</v>
      </c>
    </row>
    <row r="192">
      <c r="A192" s="130">
        <v>641.0</v>
      </c>
      <c r="B192" s="125" t="str">
        <f>VLOOKUP(A192,'Swiss Registry'!$A$2:$B$703,2,False)</f>
        <v>Josito</v>
      </c>
      <c r="C192" s="111" t="str">
        <f t="shared" si="13"/>
        <v/>
      </c>
      <c r="D192" s="112" t="str">
        <f t="shared" si="15"/>
        <v>Act: treeshhhh</v>
      </c>
      <c r="E192" s="107" t="str">
        <f t="shared" si="14"/>
        <v/>
      </c>
      <c r="F192" s="126" t="str">
        <f>VLOOKUP(G192,'Swiss Registry'!$A$2:$B$703,2,False)</f>
        <v>treeshhhh</v>
      </c>
      <c r="G192" s="131">
        <v>383.0</v>
      </c>
      <c r="H192" s="93" t="s">
        <v>1523</v>
      </c>
      <c r="I192" s="108" t="str">
        <f t="array" ref="I192">XLOOKUP(CELL("contents",B192),'Swiss Registry'!$B$2:$B$703,'Swiss Registry'!$N$2:$N$703) </f>
        <v>206542779122319360</v>
      </c>
      <c r="J192" s="109" t="str">
        <f t="array" ref="J192">XLOOKUP(CELL("contents",F192),'Swiss Registry'!$B$2:$B$703,'Swiss Registry'!$N$2:$N$703) </f>
        <v>844002548070875156</v>
      </c>
    </row>
    <row r="193">
      <c r="A193" s="130">
        <v>275.0</v>
      </c>
      <c r="B193" s="125" t="str">
        <f>VLOOKUP(A193,'Swiss Registry'!$A$2:$B$703,2,False)</f>
        <v>zxgzxg</v>
      </c>
      <c r="C193" s="111" t="str">
        <f t="shared" si="13"/>
        <v/>
      </c>
      <c r="D193" s="112" t="str">
        <f t="shared" si="15"/>
        <v>Act: zxgzxg</v>
      </c>
      <c r="E193" s="107" t="str">
        <f t="shared" si="14"/>
        <v/>
      </c>
      <c r="F193" s="126" t="str">
        <f>VLOOKUP(G193,'Swiss Registry'!$A$2:$B$703,2,False)</f>
        <v>danielsemmson</v>
      </c>
      <c r="G193" s="131">
        <v>141.0</v>
      </c>
      <c r="H193" s="93" t="s">
        <v>1486</v>
      </c>
      <c r="I193" s="108" t="str">
        <f t="array" ref="I193">XLOOKUP(CELL("contents",B193),'Swiss Registry'!$B$2:$B$703,'Swiss Registry'!$N$2:$N$703) </f>
        <v>674132846037958657</v>
      </c>
      <c r="J193" s="109" t="str">
        <f t="array" ref="J193">XLOOKUP(CELL("contents",F193),'Swiss Registry'!$B$2:$B$703,'Swiss Registry'!$N$2:$N$703) </f>
        <v>1128107355633107014</v>
      </c>
    </row>
    <row r="194">
      <c r="A194" s="130">
        <v>560.0</v>
      </c>
      <c r="B194" s="125" t="str">
        <f>VLOOKUP(A194,'Swiss Registry'!$A$2:$B$703,2,False)</f>
        <v>otael</v>
      </c>
      <c r="C194" s="105" t="str">
        <f t="shared" si="13"/>
        <v>Game 1</v>
      </c>
      <c r="D194" s="106" t="str">
        <f t="shared" si="15"/>
        <v>Game 2</v>
      </c>
      <c r="E194" s="107" t="str">
        <f t="shared" si="14"/>
        <v/>
      </c>
      <c r="F194" s="126" t="str">
        <f>VLOOKUP(G194,'Swiss Registry'!$A$2:$B$703,2,False)</f>
        <v>Spedonic</v>
      </c>
      <c r="G194" s="131">
        <v>685.0</v>
      </c>
      <c r="H194" s="93" t="s">
        <v>2232</v>
      </c>
      <c r="I194" s="108" t="str">
        <f t="array" ref="I194">XLOOKUP(CELL("contents",B194),'Swiss Registry'!$B$2:$B$703,'Swiss Registry'!$N$2:$N$703) </f>
        <v>123122853632540672</v>
      </c>
      <c r="J194" s="109" t="str">
        <f t="array" ref="J194">XLOOKUP(CELL("contents",F194),'Swiss Registry'!$B$2:$B$703,'Swiss Registry'!$N$2:$N$703) </f>
        <v>200135331620716544</v>
      </c>
    </row>
    <row r="195">
      <c r="A195" s="130">
        <v>494.0</v>
      </c>
      <c r="B195" s="125" t="str">
        <f>VLOOKUP(A195,'Swiss Registry'!$A$2:$B$703,2,False)</f>
        <v>thefattestofyoshis</v>
      </c>
      <c r="C195" s="105" t="str">
        <f t="shared" si="13"/>
        <v>Game 1</v>
      </c>
      <c r="D195" s="106" t="str">
        <f t="shared" si="15"/>
        <v>Game 2</v>
      </c>
      <c r="E195" s="107" t="str">
        <f t="shared" si="14"/>
        <v/>
      </c>
      <c r="F195" s="126" t="str">
        <f>VLOOKUP(G195,'Swiss Registry'!$A$2:$B$703,2,False)</f>
        <v>kvistsivk</v>
      </c>
      <c r="G195" s="131">
        <v>169.0</v>
      </c>
      <c r="H195" s="93" t="s">
        <v>2233</v>
      </c>
      <c r="I195" s="108" t="str">
        <f t="array" ref="I195">XLOOKUP(CELL("contents",B195),'Swiss Registry'!$B$2:$B$703,'Swiss Registry'!$N$2:$N$703) </f>
        <v>484359933706371074</v>
      </c>
      <c r="J195" s="109" t="str">
        <f t="array" ref="J195">XLOOKUP(CELL("contents",F195),'Swiss Registry'!$B$2:$B$703,'Swiss Registry'!$N$2:$N$703) </f>
        <v>1168036455071875245</v>
      </c>
    </row>
    <row r="196">
      <c r="A196" s="130">
        <v>279.0</v>
      </c>
      <c r="B196" s="125" t="str">
        <f>VLOOKUP(A196,'Swiss Registry'!$A$2:$B$703,2,False)</f>
        <v>bruh504</v>
      </c>
      <c r="C196" s="105" t="str">
        <f t="shared" si="13"/>
        <v>Game 1</v>
      </c>
      <c r="D196" s="106" t="str">
        <f t="shared" si="15"/>
        <v>Game 2</v>
      </c>
      <c r="E196" s="107" t="str">
        <f t="shared" si="14"/>
        <v/>
      </c>
      <c r="F196" s="126" t="str">
        <f>VLOOKUP(G196,'Swiss Registry'!$A$2:$B$703,2,False)</f>
        <v>kylemckell</v>
      </c>
      <c r="G196" s="131">
        <v>167.0</v>
      </c>
      <c r="H196" s="93" t="s">
        <v>2234</v>
      </c>
      <c r="I196" s="108" t="str">
        <f t="array" ref="I196">XLOOKUP(CELL("contents",B196),'Swiss Registry'!$B$2:$B$703,'Swiss Registry'!$N$2:$N$703) </f>
        <v>392333717269643266</v>
      </c>
      <c r="J196" s="109" t="str">
        <f t="array" ref="J196">XLOOKUP(CELL("contents",F196),'Swiss Registry'!$B$2:$B$703,'Swiss Registry'!$N$2:$N$703) </f>
        <v>147505520025141248</v>
      </c>
    </row>
    <row r="197">
      <c r="A197" s="130">
        <v>696.0</v>
      </c>
      <c r="B197" s="125" t="str">
        <f>VLOOKUP(A197,'Swiss Registry'!$A$2:$B$703,2,False)</f>
        <v>@pek__</v>
      </c>
      <c r="C197" s="111" t="str">
        <f t="shared" si="13"/>
        <v/>
      </c>
      <c r="D197" s="112" t="str">
        <f t="shared" si="15"/>
        <v>Act: @pek__</v>
      </c>
      <c r="E197" s="107" t="str">
        <f t="shared" si="14"/>
        <v/>
      </c>
      <c r="F197" s="126" t="str">
        <f>VLOOKUP(G197,'Swiss Registry'!$A$2:$B$703,2,False)</f>
        <v>allance05</v>
      </c>
      <c r="G197" s="131">
        <v>690.0</v>
      </c>
      <c r="H197" s="93" t="s">
        <v>1486</v>
      </c>
      <c r="I197" s="108" t="str">
        <f t="array" ref="I197">XLOOKUP(CELL("contents",B197),'Swiss Registry'!$B$2:$B$703,'Swiss Registry'!$N$2:$N$703) </f>
        <v>195931152521887744</v>
      </c>
      <c r="J197" s="109" t="str">
        <f t="array" ref="J197">XLOOKUP(CELL("contents",F197),'Swiss Registry'!$B$2:$B$703,'Swiss Registry'!$N$2:$N$703) </f>
        <v>783282113288863754</v>
      </c>
    </row>
    <row r="198">
      <c r="A198" s="130">
        <v>113.0</v>
      </c>
      <c r="B198" s="125" t="str">
        <f>VLOOKUP(A198,'Swiss Registry'!$A$2:$B$703,2,False)</f>
        <v>annuit99</v>
      </c>
      <c r="C198" s="105" t="str">
        <f t="shared" si="13"/>
        <v>Game 1</v>
      </c>
      <c r="D198" s="106" t="str">
        <f t="shared" si="15"/>
        <v>Game 2</v>
      </c>
      <c r="E198" s="107" t="str">
        <f t="shared" si="14"/>
        <v/>
      </c>
      <c r="F198" s="126" t="str">
        <f>VLOOKUP(G198,'Swiss Registry'!$A$2:$B$703,2,False)</f>
        <v>Rezzo</v>
      </c>
      <c r="G198" s="131">
        <v>149.0</v>
      </c>
      <c r="H198" s="93" t="s">
        <v>2235</v>
      </c>
      <c r="I198" s="108" t="str">
        <f t="array" ref="I198">XLOOKUP(CELL("contents",B198),'Swiss Registry'!$B$2:$B$703,'Swiss Registry'!$N$2:$N$703) </f>
        <v>397519983669805060</v>
      </c>
      <c r="J198" s="109" t="str">
        <f t="array" ref="J198">XLOOKUP(CELL("contents",F198),'Swiss Registry'!$B$2:$B$703,'Swiss Registry'!$N$2:$N$703) </f>
        <v>208377004209209344</v>
      </c>
    </row>
    <row r="199">
      <c r="A199" s="130">
        <v>451.0</v>
      </c>
      <c r="B199" s="125" t="str">
        <f>VLOOKUP(A199,'Swiss Registry'!$A$2:$B$703,2,False)</f>
        <v>.aj2.0</v>
      </c>
      <c r="C199" s="105" t="str">
        <f t="shared" si="13"/>
        <v>Game 1</v>
      </c>
      <c r="D199" s="106" t="str">
        <f t="shared" si="15"/>
        <v>Game 2</v>
      </c>
      <c r="E199" s="107" t="str">
        <f t="shared" si="14"/>
        <v/>
      </c>
      <c r="F199" s="126" t="str">
        <f>VLOOKUP(G199,'Swiss Registry'!$A$2:$B$703,2,False)</f>
        <v>scurrying_snail</v>
      </c>
      <c r="G199" s="131">
        <v>612.0</v>
      </c>
      <c r="H199" s="93" t="s">
        <v>2236</v>
      </c>
      <c r="I199" s="108" t="str">
        <f t="array" ref="I199">XLOOKUP(CELL("contents",B199),'Swiss Registry'!$B$2:$B$703,'Swiss Registry'!$N$2:$N$703) </f>
        <v>736549979220607107</v>
      </c>
      <c r="J199" s="109" t="str">
        <f t="array" ref="J199">XLOOKUP(CELL("contents",F199),'Swiss Registry'!$B$2:$B$703,'Swiss Registry'!$N$2:$N$703) </f>
        <v>687841888950288396</v>
      </c>
    </row>
    <row r="200">
      <c r="A200" s="130">
        <v>623.0</v>
      </c>
      <c r="B200" s="125" t="str">
        <f>VLOOKUP(A200,'Swiss Registry'!$A$2:$B$703,2,False)</f>
        <v>cow3492</v>
      </c>
      <c r="C200" s="105" t="str">
        <f t="shared" si="13"/>
        <v>Game 1</v>
      </c>
      <c r="D200" s="106" t="str">
        <f t="shared" si="15"/>
        <v>Game 2</v>
      </c>
      <c r="E200" s="107" t="str">
        <f t="shared" si="14"/>
        <v/>
      </c>
      <c r="F200" s="126" t="str">
        <f>VLOOKUP(G200,'Swiss Registry'!$A$2:$B$703,2,False)</f>
        <v>Stockings</v>
      </c>
      <c r="G200" s="131">
        <v>145.0</v>
      </c>
      <c r="H200" s="93" t="s">
        <v>2237</v>
      </c>
      <c r="I200" s="108" t="str">
        <f t="array" ref="I200">XLOOKUP(CELL("contents",B200),'Swiss Registry'!$B$2:$B$703,'Swiss Registry'!$N$2:$N$703) </f>
        <v>709052801598357585</v>
      </c>
      <c r="J200" s="109" t="str">
        <f t="array" ref="J200">XLOOKUP(CELL("contents",F200),'Swiss Registry'!$B$2:$B$703,'Swiss Registry'!$N$2:$N$703) </f>
        <v>163080133283020800</v>
      </c>
    </row>
    <row r="201">
      <c r="A201" s="130">
        <v>450.0</v>
      </c>
      <c r="B201" s="125" t="str">
        <f>VLOOKUP(A201,'Swiss Registry'!$A$2:$B$703,2,False)</f>
        <v>larkindred</v>
      </c>
      <c r="C201" s="105" t="str">
        <f t="shared" si="13"/>
        <v>Game 1</v>
      </c>
      <c r="D201" s="106" t="str">
        <f t="shared" si="15"/>
        <v>Game 2</v>
      </c>
      <c r="E201" s="107" t="str">
        <f t="shared" si="14"/>
        <v/>
      </c>
      <c r="F201" s="126" t="str">
        <f>VLOOKUP(G201,'Swiss Registry'!$A$2:$B$703,2,False)</f>
        <v>sapphire918</v>
      </c>
      <c r="G201" s="131">
        <v>660.0</v>
      </c>
      <c r="H201" s="93" t="s">
        <v>2238</v>
      </c>
      <c r="I201" s="108" t="str">
        <f t="array" ref="I201">XLOOKUP(CELL("contents",B201),'Swiss Registry'!$B$2:$B$703,'Swiss Registry'!$N$2:$N$703) </f>
        <v>519615198294704153</v>
      </c>
      <c r="J201" s="109" t="str">
        <f t="array" ref="J201">XLOOKUP(CELL("contents",F201),'Swiss Registry'!$B$2:$B$703,'Swiss Registry'!$N$2:$N$703) </f>
        <v>247172567494819840</v>
      </c>
    </row>
    <row r="202" ht="15.0" customHeight="1">
      <c r="A202" s="80"/>
      <c r="B202" s="122"/>
      <c r="C202" s="114"/>
      <c r="D202" s="82" t="s">
        <v>1951</v>
      </c>
      <c r="E202" s="81"/>
      <c r="F202" s="123"/>
      <c r="G202" s="132"/>
      <c r="H202" s="93"/>
      <c r="I202" s="81"/>
      <c r="J202" s="81"/>
    </row>
    <row r="203">
      <c r="A203" s="130">
        <v>126.0</v>
      </c>
      <c r="B203" s="125" t="str">
        <f>VLOOKUP(A203,'Swiss Registry'!$A$2:$B$703,2,False)</f>
        <v>jussydkt</v>
      </c>
      <c r="C203" s="105" t="str">
        <f t="shared" ref="C203:C241" si="16">IF(H203="dead","",IF(H203="a:act","",IF(H203="b:act","",IF(ISURL(HYPERLINK(INDIRECT("Importer!B"&amp;MID(H203,2,4)+1,TRUE))),HYPERLINK(INDIRECT("Importer!B"&amp;MID(H203,2,4)+1,TRUE), "Game 1"),""))))</f>
        <v>Game 1</v>
      </c>
      <c r="D203" s="106" t="str">
        <f>IF(H203="dead","Dead Game",IF(H203="a:act","Act: "&amp;F203,IF(H203="b:act","Act: "&amp;#REF!,IF(ISURL(HYPERLINK(INDIRECT("Importer!B"&amp;MID(H203,6,4)+1,TRUE))),HYPERLINK(INDIRECT("Importer!B"&amp;MID(H203,6,4)+1,TRUE), "Game 2"),""))))</f>
        <v>Game 2</v>
      </c>
      <c r="E203" s="107" t="str">
        <f t="shared" ref="E203:E241" si="17">IF(H203="dead","",IF(H203="a:act","",IF(H203="b:act","",IF(ISURL(HYPERLINK(INDIRECT("Importer!B"&amp;MID(H203,10,4)+1,TRUE))),HYPERLINK(INDIRECT("Importer!B"&amp;MID(H203,10,4)+1,TRUE), "Game 3"),""))))</f>
        <v/>
      </c>
      <c r="F203" s="126" t="str">
        <f>VLOOKUP(G203,'Swiss Registry'!$A$2:$B$703,2,False)</f>
        <v>firecracker1195</v>
      </c>
      <c r="G203" s="131">
        <v>501.0</v>
      </c>
      <c r="H203" s="93" t="s">
        <v>2239</v>
      </c>
      <c r="I203" s="108" t="str">
        <f t="array" ref="I203">XLOOKUP(CELL("contents",B203),'Swiss Registry'!$B$2:$B$703,'Swiss Registry'!$N$2:$N$703) </f>
        <v>344773420463947777</v>
      </c>
      <c r="J203" s="109" t="str">
        <f t="array" ref="J203">XLOOKUP(CELL("contents",F203),'Swiss Registry'!$B$2:$B$703,'Swiss Registry'!$N$2:$N$703) </f>
        <v>1140316980931461190</v>
      </c>
    </row>
    <row r="204">
      <c r="A204" s="130">
        <v>458.0</v>
      </c>
      <c r="B204" s="125" t="str">
        <f>VLOOKUP(A204,'Swiss Registry'!$A$2:$B$703,2,False)</f>
        <v>Antinomy</v>
      </c>
      <c r="C204" s="111" t="str">
        <f t="shared" si="16"/>
        <v/>
      </c>
      <c r="D204" s="112" t="str">
        <f t="shared" ref="D204:D241" si="18">IF(H204="dead","Dead Game",IF(H204="a:act","Act: "&amp;B204,IF(H204="b:act","Act: "&amp;F204,IF(ISURL(HYPERLINK(INDIRECT("Importer!B"&amp;MID(H204,6,4)+1,TRUE))),HYPERLINK(INDIRECT("Importer!B"&amp;MID(H204,6,4)+1,TRUE), "Game 2"),""))))</f>
        <v>Act: Blanched</v>
      </c>
      <c r="E204" s="107" t="str">
        <f t="shared" si="17"/>
        <v/>
      </c>
      <c r="F204" s="126" t="str">
        <f>VLOOKUP(G204,'Swiss Registry'!$A$2:$B$703,2,False)</f>
        <v>Blanched</v>
      </c>
      <c r="G204" s="131">
        <v>695.0</v>
      </c>
      <c r="H204" s="93" t="s">
        <v>1462</v>
      </c>
      <c r="I204" s="108" t="str">
        <f t="array" ref="I204">XLOOKUP(CELL("contents",B204),'Swiss Registry'!$B$2:$B$703,'Swiss Registry'!$N$2:$N$703) </f>
        <v>85928431623106560</v>
      </c>
      <c r="J204" s="109" t="str">
        <f t="array" ref="J204">XLOOKUP(CELL("contents",F204),'Swiss Registry'!$B$2:$B$703,'Swiss Registry'!$N$2:$N$703) </f>
        <v>270997842628182026</v>
      </c>
    </row>
    <row r="205">
      <c r="A205" s="130">
        <v>297.0</v>
      </c>
      <c r="B205" s="125" t="str">
        <f>VLOOKUP(A205,'Swiss Registry'!$A$2:$B$703,2,False)</f>
        <v>.germ_</v>
      </c>
      <c r="C205" s="105" t="str">
        <f t="shared" si="16"/>
        <v>Game 1</v>
      </c>
      <c r="D205" s="106" t="str">
        <f t="shared" si="18"/>
        <v>Game 2</v>
      </c>
      <c r="E205" s="110" t="str">
        <f t="shared" si="17"/>
        <v>Game 3</v>
      </c>
      <c r="F205" s="126" t="str">
        <f>VLOOKUP(G205,'Swiss Registry'!$A$2:$B$703,2,False)</f>
        <v>Calm Stiege</v>
      </c>
      <c r="G205" s="131">
        <v>160.0</v>
      </c>
      <c r="H205" s="93" t="s">
        <v>2240</v>
      </c>
      <c r="I205" s="108" t="str">
        <f t="array" ref="I205">XLOOKUP(CELL("contents",B205),'Swiss Registry'!$B$2:$B$703,'Swiss Registry'!$N$2:$N$703) </f>
        <v>358009888791592981</v>
      </c>
      <c r="J205" s="109" t="str">
        <f t="array" ref="J205">XLOOKUP(CELL("contents",F205),'Swiss Registry'!$B$2:$B$703,'Swiss Registry'!$N$2:$N$703) </f>
        <v>486649841347330048</v>
      </c>
    </row>
    <row r="206">
      <c r="A206" s="130">
        <v>445.0</v>
      </c>
      <c r="B206" s="125" t="str">
        <f>VLOOKUP(A206,'Swiss Registry'!$A$2:$B$703,2,False)</f>
        <v>1captainmorgan</v>
      </c>
      <c r="C206" s="111" t="str">
        <f t="shared" si="16"/>
        <v/>
      </c>
      <c r="D206" s="112" t="str">
        <f t="shared" si="18"/>
        <v>Act: 1captainmorgan</v>
      </c>
      <c r="E206" s="107" t="str">
        <f t="shared" si="17"/>
        <v/>
      </c>
      <c r="F206" s="126" t="str">
        <f>VLOOKUP(G206,'Swiss Registry'!$A$2:$B$703,2,False)</f>
        <v>Somnanana</v>
      </c>
      <c r="G206" s="131">
        <v>606.0</v>
      </c>
      <c r="H206" s="93" t="s">
        <v>1475</v>
      </c>
      <c r="I206" s="108" t="str">
        <f t="array" ref="I206">XLOOKUP(CELL("contents",B206),'Swiss Registry'!$B$2:$B$703,'Swiss Registry'!$N$2:$N$703) </f>
        <v>214065054411259905</v>
      </c>
      <c r="J206" s="109" t="str">
        <f t="array" ref="J206">XLOOKUP(CELL("contents",F206),'Swiss Registry'!$B$2:$B$703,'Swiss Registry'!$N$2:$N$703) </f>
        <v>334000783152513024</v>
      </c>
    </row>
    <row r="207">
      <c r="A207" s="130">
        <v>163.0</v>
      </c>
      <c r="B207" s="125" t="str">
        <f>VLOOKUP(A207,'Swiss Registry'!$A$2:$B$703,2,False)</f>
        <v>tonii5531</v>
      </c>
      <c r="C207" s="105" t="str">
        <f t="shared" si="16"/>
        <v>Game 1</v>
      </c>
      <c r="D207" s="106" t="str">
        <f t="shared" si="18"/>
        <v>Game 2</v>
      </c>
      <c r="E207" s="107" t="str">
        <f t="shared" si="17"/>
        <v/>
      </c>
      <c r="F207" s="126" t="str">
        <f>VLOOKUP(G207,'Swiss Registry'!$A$2:$B$703,2,False)</f>
        <v>hipimochi</v>
      </c>
      <c r="G207" s="131">
        <v>308.0</v>
      </c>
      <c r="H207" s="93" t="s">
        <v>2241</v>
      </c>
      <c r="I207" s="108" t="str">
        <f t="array" ref="I207">XLOOKUP(CELL("contents",B207),'Swiss Registry'!$B$2:$B$703,'Swiss Registry'!$N$2:$N$703) </f>
        <v>472908398451752991</v>
      </c>
      <c r="J207" s="109" t="str">
        <f t="array" ref="J207">XLOOKUP(CELL("contents",F207),'Swiss Registry'!$B$2:$B$703,'Swiss Registry'!$N$2:$N$703) </f>
        <v>264931346223333377</v>
      </c>
    </row>
    <row r="208">
      <c r="A208" s="130">
        <v>221.0</v>
      </c>
      <c r="B208" s="125" t="str">
        <f>VLOOKUP(A208,'Swiss Registry'!$A$2:$B$703,2,False)</f>
        <v>Tefo</v>
      </c>
      <c r="C208" s="105" t="str">
        <f t="shared" si="16"/>
        <v>Game 1</v>
      </c>
      <c r="D208" s="106" t="str">
        <f t="shared" si="18"/>
        <v>Game 2</v>
      </c>
      <c r="E208" s="107" t="str">
        <f t="shared" si="17"/>
        <v/>
      </c>
      <c r="F208" s="126" t="str">
        <f>VLOOKUP(G208,'Swiss Registry'!$A$2:$B$703,2,False)</f>
        <v>Guebor</v>
      </c>
      <c r="G208" s="131">
        <v>361.0</v>
      </c>
      <c r="H208" s="93" t="s">
        <v>2242</v>
      </c>
      <c r="I208" s="108" t="str">
        <f t="array" ref="I208">XLOOKUP(CELL("contents",B208),'Swiss Registry'!$B$2:$B$703,'Swiss Registry'!$N$2:$N$703) </f>
        <v>398388682874159106</v>
      </c>
      <c r="J208" s="109" t="str">
        <f t="array" ref="J208">XLOOKUP(CELL("contents",F208),'Swiss Registry'!$B$2:$B$703,'Swiss Registry'!$N$2:$N$703) </f>
        <v>172722236384477184</v>
      </c>
    </row>
    <row r="209">
      <c r="A209" s="130">
        <v>421.0</v>
      </c>
      <c r="B209" s="125" t="str">
        <f>VLOOKUP(A209,'Swiss Registry'!$A$2:$B$703,2,False)</f>
        <v>Daeronchick</v>
      </c>
      <c r="C209" s="111" t="str">
        <f t="shared" si="16"/>
        <v/>
      </c>
      <c r="D209" s="112" t="str">
        <f t="shared" si="18"/>
        <v>Act: millingwinds</v>
      </c>
      <c r="E209" s="107" t="str">
        <f t="shared" si="17"/>
        <v/>
      </c>
      <c r="F209" s="126" t="str">
        <f>VLOOKUP(G209,'Swiss Registry'!$A$2:$B$703,2,False)</f>
        <v>millingwinds</v>
      </c>
      <c r="G209" s="131">
        <v>365.0</v>
      </c>
      <c r="H209" s="93" t="s">
        <v>1462</v>
      </c>
      <c r="I209" s="108" t="str">
        <f t="array" ref="I209">XLOOKUP(CELL("contents",B209),'Swiss Registry'!$B$2:$B$703,'Swiss Registry'!$N$2:$N$703) </f>
        <v>409376335505522690</v>
      </c>
      <c r="J209" s="109" t="str">
        <f t="array" ref="J209">XLOOKUP(CELL("contents",F209),'Swiss Registry'!$B$2:$B$703,'Swiss Registry'!$N$2:$N$703) </f>
        <v>732108291253075968</v>
      </c>
    </row>
    <row r="210">
      <c r="A210" s="130">
        <v>322.0</v>
      </c>
      <c r="B210" s="125" t="str">
        <f>VLOOKUP(A210,'Swiss Registry'!$A$2:$B$703,2,False)</f>
        <v>theepiccd56</v>
      </c>
      <c r="C210" s="105" t="str">
        <f t="shared" si="16"/>
        <v>Game 1</v>
      </c>
      <c r="D210" s="106" t="str">
        <f t="shared" si="18"/>
        <v>Game 2</v>
      </c>
      <c r="E210" s="107" t="str">
        <f t="shared" si="17"/>
        <v/>
      </c>
      <c r="F210" s="126" t="str">
        <f>VLOOKUP(G210,'Swiss Registry'!$A$2:$B$703,2,False)</f>
        <v>James67</v>
      </c>
      <c r="G210" s="131">
        <v>362.0</v>
      </c>
      <c r="H210" s="93" t="s">
        <v>2243</v>
      </c>
      <c r="I210" s="108" t="str">
        <f t="array" ref="I210">XLOOKUP(CELL("contents",B210),'Swiss Registry'!$B$2:$B$703,'Swiss Registry'!$N$2:$N$703) </f>
        <v>148946268033515521</v>
      </c>
      <c r="J210" s="109" t="str">
        <f t="array" ref="J210">XLOOKUP(CELL("contents",F210),'Swiss Registry'!$B$2:$B$703,'Swiss Registry'!$N$2:$N$703) </f>
        <v>349259766528344076</v>
      </c>
    </row>
    <row r="211">
      <c r="A211" s="130">
        <v>391.0</v>
      </c>
      <c r="B211" s="125" t="str">
        <f>VLOOKUP(A211,'Swiss Registry'!$A$2:$B$703,2,False)</f>
        <v>Nuskadamo</v>
      </c>
      <c r="C211" s="111" t="str">
        <f t="shared" si="16"/>
        <v/>
      </c>
      <c r="D211" s="112" t="str">
        <f t="shared" si="18"/>
        <v>Act: .seden</v>
      </c>
      <c r="E211" s="107" t="str">
        <f t="shared" si="17"/>
        <v/>
      </c>
      <c r="F211" s="126" t="str">
        <f>VLOOKUP(G211,'Swiss Registry'!$A$2:$B$703,2,False)</f>
        <v>.seden</v>
      </c>
      <c r="G211" s="131">
        <v>254.0</v>
      </c>
      <c r="H211" s="93" t="s">
        <v>1462</v>
      </c>
      <c r="I211" s="108" t="str">
        <f t="array" ref="I211">XLOOKUP(CELL("contents",B211),'Swiss Registry'!$B$2:$B$703,'Swiss Registry'!$N$2:$N$703) </f>
        <v>SUB</v>
      </c>
      <c r="J211" s="109" t="str">
        <f t="array" ref="J211">XLOOKUP(CELL("contents",F211),'Swiss Registry'!$B$2:$B$703,'Swiss Registry'!$N$2:$N$703) </f>
        <v>248581453158285312</v>
      </c>
    </row>
    <row r="212">
      <c r="A212" s="130">
        <v>379.0</v>
      </c>
      <c r="B212" s="125" t="str">
        <f>VLOOKUP(A212,'Swiss Registry'!$A$2:$B$703,2,False)</f>
        <v>HunarPG</v>
      </c>
      <c r="C212" s="105" t="str">
        <f t="shared" si="16"/>
        <v>Game 1</v>
      </c>
      <c r="D212" s="106" t="str">
        <f t="shared" si="18"/>
        <v>Game 2</v>
      </c>
      <c r="E212" s="107" t="str">
        <f t="shared" si="17"/>
        <v/>
      </c>
      <c r="F212" s="126" t="str">
        <f>VLOOKUP(G212,'Swiss Registry'!$A$2:$B$703,2,False)</f>
        <v>diamonddiancie</v>
      </c>
      <c r="G212" s="131">
        <v>313.0</v>
      </c>
      <c r="H212" s="93" t="s">
        <v>2244</v>
      </c>
      <c r="I212" s="108" t="str">
        <f t="array" ref="I212">XLOOKUP(CELL("contents",B212),'Swiss Registry'!$B$2:$B$703,'Swiss Registry'!$N$2:$N$703) </f>
        <v>851681863474741300</v>
      </c>
      <c r="J212" s="109" t="str">
        <f t="array" ref="J212">XLOOKUP(CELL("contents",F212),'Swiss Registry'!$B$2:$B$703,'Swiss Registry'!$N$2:$N$703) </f>
        <v>501497739226644522</v>
      </c>
    </row>
    <row r="213">
      <c r="A213" s="130">
        <v>618.0</v>
      </c>
      <c r="B213" s="125" t="str">
        <f>VLOOKUP(A213,'Swiss Registry'!$A$2:$B$703,2,False)</f>
        <v>wolfturds</v>
      </c>
      <c r="C213" s="105" t="str">
        <f t="shared" si="16"/>
        <v>Game 1</v>
      </c>
      <c r="D213" s="106" t="str">
        <f t="shared" si="18"/>
        <v>Game 2</v>
      </c>
      <c r="E213" s="110" t="str">
        <f t="shared" si="17"/>
        <v>Game 3</v>
      </c>
      <c r="F213" s="126" t="str">
        <f>VLOOKUP(G213,'Swiss Registry'!$A$2:$B$703,2,False)</f>
        <v>bigjon.</v>
      </c>
      <c r="G213" s="131">
        <v>532.0</v>
      </c>
      <c r="H213" s="93" t="s">
        <v>2245</v>
      </c>
      <c r="I213" s="108" t="str">
        <f t="array" ref="I213">XLOOKUP(CELL("contents",B213),'Swiss Registry'!$B$2:$B$703,'Swiss Registry'!$N$2:$N$703) </f>
        <v>305122620498509824</v>
      </c>
      <c r="J213" s="109" t="str">
        <f t="array" ref="J213">XLOOKUP(CELL("contents",F213),'Swiss Registry'!$B$2:$B$703,'Swiss Registry'!$N$2:$N$703) </f>
        <v>289528250823213056</v>
      </c>
    </row>
    <row r="214">
      <c r="A214" s="130">
        <v>459.0</v>
      </c>
      <c r="B214" s="125" t="str">
        <f>VLOOKUP(A214,'Swiss Registry'!$A$2:$B$703,2,False)</f>
        <v>@aevitostrath or Timehacker Aevitos</v>
      </c>
      <c r="C214" s="105" t="str">
        <f t="shared" si="16"/>
        <v>Game 1</v>
      </c>
      <c r="D214" s="106" t="str">
        <f t="shared" si="18"/>
        <v>Game 2</v>
      </c>
      <c r="E214" s="110" t="str">
        <f t="shared" si="17"/>
        <v>Game 3</v>
      </c>
      <c r="F214" s="126" t="str">
        <f>VLOOKUP(G214,'Swiss Registry'!$A$2:$B$703,2,False)</f>
        <v>SqueamishCube</v>
      </c>
      <c r="G214" s="131">
        <v>112.0</v>
      </c>
      <c r="H214" s="93" t="s">
        <v>2246</v>
      </c>
      <c r="I214" s="108" t="str">
        <f t="array" ref="I214">XLOOKUP(CELL("contents",B214),'Swiss Registry'!$B$2:$B$703,'Swiss Registry'!$N$2:$N$703) </f>
        <v>1024789648263893047</v>
      </c>
      <c r="J214" s="109" t="str">
        <f t="array" ref="J214">XLOOKUP(CELL("contents",F214),'Swiss Registry'!$B$2:$B$703,'Swiss Registry'!$N$2:$N$703) </f>
        <v>423951482795065368</v>
      </c>
    </row>
    <row r="215">
      <c r="A215" s="130">
        <v>441.0</v>
      </c>
      <c r="B215" s="125" t="str">
        <f>VLOOKUP(A215,'Swiss Registry'!$A$2:$B$703,2,False)</f>
        <v>tj_srevlis</v>
      </c>
      <c r="C215" s="105" t="str">
        <f t="shared" si="16"/>
        <v>Game 1</v>
      </c>
      <c r="D215" s="106" t="str">
        <f t="shared" si="18"/>
        <v>Game 2</v>
      </c>
      <c r="E215" s="107" t="str">
        <f t="shared" si="17"/>
        <v/>
      </c>
      <c r="F215" s="126" t="str">
        <f>VLOOKUP(G215,'Swiss Registry'!$A$2:$B$703,2,False)</f>
        <v>hansenator.</v>
      </c>
      <c r="G215" s="131">
        <v>502.0</v>
      </c>
      <c r="H215" s="93" t="s">
        <v>2247</v>
      </c>
      <c r="I215" s="108" t="str">
        <f t="array" ref="I215">XLOOKUP(CELL("contents",B215),'Swiss Registry'!$B$2:$B$703,'Swiss Registry'!$N$2:$N$703) </f>
        <v>764262621599105045</v>
      </c>
      <c r="J215" s="109" t="str">
        <f t="array" ref="J215">XLOOKUP(CELL("contents",F215),'Swiss Registry'!$B$2:$B$703,'Swiss Registry'!$N$2:$N$703) </f>
        <v>95590324126097408</v>
      </c>
    </row>
    <row r="216">
      <c r="A216" s="130">
        <v>465.0</v>
      </c>
      <c r="B216" s="125" t="str">
        <f>VLOOKUP(A216,'Swiss Registry'!$A$2:$B$703,2,False)</f>
        <v>Moneybaggslowbro</v>
      </c>
      <c r="C216" s="105" t="str">
        <f t="shared" si="16"/>
        <v>Game 1</v>
      </c>
      <c r="D216" s="106" t="str">
        <f t="shared" si="18"/>
        <v>Game 2</v>
      </c>
      <c r="E216" s="107" t="str">
        <f t="shared" si="17"/>
        <v/>
      </c>
      <c r="F216" s="126" t="str">
        <f>VLOOKUP(G216,'Swiss Registry'!$A$2:$B$703,2,False)</f>
        <v>dylan69__</v>
      </c>
      <c r="G216" s="131">
        <v>415.0</v>
      </c>
      <c r="H216" s="93" t="s">
        <v>2248</v>
      </c>
      <c r="I216" s="108" t="str">
        <f t="array" ref="I216">XLOOKUP(CELL("contents",B216),'Swiss Registry'!$B$2:$B$703,'Swiss Registry'!$N$2:$N$703) </f>
        <v>284366067126632448</v>
      </c>
      <c r="J216" s="109" t="str">
        <f t="array" ref="J216">XLOOKUP(CELL("contents",F216),'Swiss Registry'!$B$2:$B$703,'Swiss Registry'!$N$2:$N$703) </f>
        <v>475864364793069568</v>
      </c>
    </row>
    <row r="217">
      <c r="A217" s="130">
        <v>572.0</v>
      </c>
      <c r="B217" s="125" t="str">
        <f>VLOOKUP(A217,'Swiss Registry'!$A$2:$B$703,2,False)</f>
        <v>fayestra</v>
      </c>
      <c r="C217" s="105" t="str">
        <f t="shared" si="16"/>
        <v>Game 1</v>
      </c>
      <c r="D217" s="106" t="str">
        <f t="shared" si="18"/>
        <v>Game 2</v>
      </c>
      <c r="E217" s="107" t="str">
        <f t="shared" si="17"/>
        <v/>
      </c>
      <c r="F217" s="126" t="str">
        <f>VLOOKUP(G217,'Swiss Registry'!$A$2:$B$703,2,False)</f>
        <v>KeshBa45</v>
      </c>
      <c r="G217" s="131">
        <v>414.0</v>
      </c>
      <c r="H217" s="93" t="s">
        <v>2249</v>
      </c>
      <c r="I217" s="108" t="str">
        <f t="array" ref="I217">XLOOKUP(CELL("contents",B217),'Swiss Registry'!$B$2:$B$703,'Swiss Registry'!$N$2:$N$703) </f>
        <v>169948103938408448</v>
      </c>
      <c r="J217" s="109" t="str">
        <f t="array" ref="J217">XLOOKUP(CELL("contents",F217),'Swiss Registry'!$B$2:$B$703,'Swiss Registry'!$N$2:$N$703) </f>
        <v>1171463268276113533</v>
      </c>
    </row>
    <row r="218">
      <c r="A218" s="130">
        <v>561.0</v>
      </c>
      <c r="B218" s="125" t="str">
        <f>VLOOKUP(A218,'Swiss Registry'!$A$2:$B$703,2,False)</f>
        <v>Goodnightloulou</v>
      </c>
      <c r="C218" s="105" t="str">
        <f t="shared" si="16"/>
        <v>Game 1</v>
      </c>
      <c r="D218" s="106" t="str">
        <f t="shared" si="18"/>
        <v>Game 2</v>
      </c>
      <c r="E218" s="110" t="str">
        <f t="shared" si="17"/>
        <v>Game 3</v>
      </c>
      <c r="F218" s="126" t="str">
        <f>VLOOKUP(G218,'Swiss Registry'!$A$2:$B$703,2,False)</f>
        <v>mewunderscoretwo</v>
      </c>
      <c r="G218" s="131">
        <v>288.0</v>
      </c>
      <c r="H218" s="93" t="s">
        <v>2250</v>
      </c>
      <c r="I218" s="108" t="str">
        <f t="array" ref="I218">XLOOKUP(CELL("contents",B218),'Swiss Registry'!$B$2:$B$703,'Swiss Registry'!$N$2:$N$703) </f>
        <v>1003852969177006150</v>
      </c>
      <c r="J218" s="109" t="str">
        <f t="array" ref="J218">XLOOKUP(CELL("contents",F218),'Swiss Registry'!$B$2:$B$703,'Swiss Registry'!$N$2:$N$703) </f>
        <v>234366103998955521</v>
      </c>
    </row>
    <row r="219">
      <c r="A219" s="130">
        <v>292.0</v>
      </c>
      <c r="B219" s="125" t="str">
        <f>VLOOKUP(A219,'Swiss Registry'!$A$2:$B$703,2,False)</f>
        <v>clinkbug</v>
      </c>
      <c r="C219" s="105" t="str">
        <f t="shared" si="16"/>
        <v>Game 1</v>
      </c>
      <c r="D219" s="106" t="str">
        <f t="shared" si="18"/>
        <v>Game 2</v>
      </c>
      <c r="E219" s="107" t="str">
        <f t="shared" si="17"/>
        <v/>
      </c>
      <c r="F219" s="126" t="str">
        <f>VLOOKUP(G219,'Swiss Registry'!$A$2:$B$703,2,False)</f>
        <v>Master_Penguini</v>
      </c>
      <c r="G219" s="131">
        <v>652.0</v>
      </c>
      <c r="H219" s="93" t="s">
        <v>2251</v>
      </c>
      <c r="I219" s="108" t="str">
        <f t="array" ref="I219">XLOOKUP(CELL("contents",B219),'Swiss Registry'!$B$2:$B$703,'Swiss Registry'!$N$2:$N$703) </f>
        <v>803823426427027496</v>
      </c>
      <c r="J219" s="109" t="str">
        <f t="array" ref="J219">XLOOKUP(CELL("contents",F219),'Swiss Registry'!$B$2:$B$703,'Swiss Registry'!$N$2:$N$703) </f>
        <v>202851295176949760</v>
      </c>
    </row>
    <row r="220">
      <c r="A220" s="130">
        <v>410.0</v>
      </c>
      <c r="B220" s="125" t="str">
        <f>VLOOKUP(A220,'Swiss Registry'!$A$2:$B$703,2,False)</f>
        <v>ultraemeraldman_16197</v>
      </c>
      <c r="C220" s="105" t="str">
        <f t="shared" si="16"/>
        <v>Game 1</v>
      </c>
      <c r="D220" s="106" t="str">
        <f t="shared" si="18"/>
        <v>Game 2</v>
      </c>
      <c r="E220" s="107" t="str">
        <f t="shared" si="17"/>
        <v/>
      </c>
      <c r="F220" s="126" t="str">
        <f>VLOOKUP(G220,'Swiss Registry'!$A$2:$B$703,2,False)</f>
        <v>choicescarf002</v>
      </c>
      <c r="G220" s="131">
        <v>504.0</v>
      </c>
      <c r="H220" s="93" t="s">
        <v>2252</v>
      </c>
      <c r="I220" s="108" t="str">
        <f t="array" ref="I220">XLOOKUP(CELL("contents",B220),'Swiss Registry'!$B$2:$B$703,'Swiss Registry'!$N$2:$N$703) </f>
        <v>1160240514046631987</v>
      </c>
      <c r="J220" s="109" t="str">
        <f t="array" ref="J220">XLOOKUP(CELL("contents",F220),'Swiss Registry'!$B$2:$B$703,'Swiss Registry'!$N$2:$N$703) </f>
        <v>359154373063999490</v>
      </c>
    </row>
    <row r="221">
      <c r="A221" s="130">
        <v>570.0</v>
      </c>
      <c r="B221" s="125" t="str">
        <f>VLOOKUP(A221,'Swiss Registry'!$A$2:$B$703,2,False)</f>
        <v>Zacynthius02</v>
      </c>
      <c r="C221" s="111" t="str">
        <f t="shared" si="16"/>
        <v/>
      </c>
      <c r="D221" s="112" t="str">
        <f t="shared" si="18"/>
        <v>Act: Alargemongoose</v>
      </c>
      <c r="E221" s="107" t="str">
        <f t="shared" si="17"/>
        <v/>
      </c>
      <c r="F221" s="126" t="str">
        <f>VLOOKUP(G221,'Swiss Registry'!$A$2:$B$703,2,False)</f>
        <v>Alargemongoose</v>
      </c>
      <c r="G221" s="131">
        <v>226.0</v>
      </c>
      <c r="H221" s="93" t="s">
        <v>1462</v>
      </c>
      <c r="I221" s="108" t="str">
        <f t="array" ref="I221">XLOOKUP(CELL("contents",B221),'Swiss Registry'!$B$2:$B$703,'Swiss Registry'!$N$2:$N$703) </f>
        <v>1144653653752434738</v>
      </c>
      <c r="J221" s="109" t="str">
        <f t="array" ref="J221">XLOOKUP(CELL("contents",F221),'Swiss Registry'!$B$2:$B$703,'Swiss Registry'!$N$2:$N$703) </f>
        <v>646736314645086228</v>
      </c>
    </row>
    <row r="222">
      <c r="A222" s="130">
        <v>358.0</v>
      </c>
      <c r="B222" s="125" t="str">
        <f>VLOOKUP(A222,'Swiss Registry'!$A$2:$B$703,2,False)</f>
        <v>roofb</v>
      </c>
      <c r="C222" s="111" t="str">
        <f t="shared" si="16"/>
        <v/>
      </c>
      <c r="D222" s="112" t="str">
        <f t="shared" si="18"/>
        <v>Act: TacCat</v>
      </c>
      <c r="E222" s="107" t="str">
        <f t="shared" si="17"/>
        <v/>
      </c>
      <c r="F222" s="126" t="str">
        <f>VLOOKUP(G222,'Swiss Registry'!$A$2:$B$703,2,False)</f>
        <v>TacCat</v>
      </c>
      <c r="G222" s="131">
        <v>210.0</v>
      </c>
      <c r="H222" s="93" t="s">
        <v>1462</v>
      </c>
      <c r="I222" s="108" t="str">
        <f t="array" ref="I222">XLOOKUP(CELL("contents",B222),'Swiss Registry'!$B$2:$B$703,'Swiss Registry'!$N$2:$N$703) </f>
        <v>SUB</v>
      </c>
      <c r="J222" s="109" t="str">
        <f t="array" ref="J222">XLOOKUP(CELL("contents",F222),'Swiss Registry'!$B$2:$B$703,'Swiss Registry'!$N$2:$N$703) </f>
        <v>209102896740958208</v>
      </c>
    </row>
    <row r="223">
      <c r="A223" s="130">
        <v>531.0</v>
      </c>
      <c r="B223" s="125" t="str">
        <f>VLOOKUP(A223,'Swiss Registry'!$A$2:$B$703,2,False)</f>
        <v>yallen</v>
      </c>
      <c r="C223" s="105" t="str">
        <f t="shared" si="16"/>
        <v>Game 1</v>
      </c>
      <c r="D223" s="106" t="str">
        <f t="shared" si="18"/>
        <v>Game 2</v>
      </c>
      <c r="E223" s="107" t="str">
        <f t="shared" si="17"/>
        <v/>
      </c>
      <c r="F223" s="126" t="str">
        <f>VLOOKUP(G223,'Swiss Registry'!$A$2:$B$703,2,False)</f>
        <v>sprasle</v>
      </c>
      <c r="G223" s="131">
        <v>201.0</v>
      </c>
      <c r="H223" s="93" t="s">
        <v>2253</v>
      </c>
      <c r="I223" s="108" t="str">
        <f t="array" ref="I223">XLOOKUP(CELL("contents",B223),'Swiss Registry'!$B$2:$B$703,'Swiss Registry'!$N$2:$N$703) </f>
        <v>444702392383176724</v>
      </c>
      <c r="J223" s="109" t="str">
        <f t="array" ref="J223">XLOOKUP(CELL("contents",F223),'Swiss Registry'!$B$2:$B$703,'Swiss Registry'!$N$2:$N$703) </f>
        <v>146822995908755456</v>
      </c>
    </row>
    <row r="224">
      <c r="A224" s="130">
        <v>556.0</v>
      </c>
      <c r="B224" s="125" t="str">
        <f>VLOOKUP(A224,'Swiss Registry'!$A$2:$B$703,2,False)</f>
        <v>Lhions</v>
      </c>
      <c r="C224" s="105" t="str">
        <f t="shared" si="16"/>
        <v>Game 1</v>
      </c>
      <c r="D224" s="106" t="str">
        <f t="shared" si="18"/>
        <v>Game 2</v>
      </c>
      <c r="E224" s="107" t="str">
        <f t="shared" si="17"/>
        <v/>
      </c>
      <c r="F224" s="126" t="str">
        <f>VLOOKUP(G224,'Swiss Registry'!$A$2:$B$703,2,False)</f>
        <v>Himura</v>
      </c>
      <c r="G224" s="131">
        <v>133.0</v>
      </c>
      <c r="H224" s="93" t="s">
        <v>2254</v>
      </c>
      <c r="I224" s="108" t="str">
        <f t="array" ref="I224">XLOOKUP(CELL("contents",B224),'Swiss Registry'!$B$2:$B$703,'Swiss Registry'!$N$2:$N$703) </f>
        <v>220957448066957312</v>
      </c>
      <c r="J224" s="109" t="str">
        <f t="array" ref="J224">XLOOKUP(CELL("contents",F224),'Swiss Registry'!$B$2:$B$703,'Swiss Registry'!$N$2:$N$703) </f>
        <v>437955382024077312</v>
      </c>
    </row>
    <row r="225">
      <c r="A225" s="130">
        <v>671.0</v>
      </c>
      <c r="B225" s="125" t="str">
        <f>VLOOKUP(A225,'Swiss Registry'!$A$2:$B$703,2,False)</f>
        <v>tahat_t</v>
      </c>
      <c r="C225" s="105" t="str">
        <f t="shared" si="16"/>
        <v>Game 1</v>
      </c>
      <c r="D225" s="106" t="str">
        <f t="shared" si="18"/>
        <v>Game 2</v>
      </c>
      <c r="E225" s="107" t="str">
        <f t="shared" si="17"/>
        <v/>
      </c>
      <c r="F225" s="126" t="str">
        <f>VLOOKUP(G225,'Swiss Registry'!$A$2:$B$703,2,False)</f>
        <v>CoffeePour</v>
      </c>
      <c r="G225" s="131">
        <v>546.0</v>
      </c>
      <c r="H225" s="93" t="s">
        <v>2255</v>
      </c>
      <c r="I225" s="108" t="str">
        <f t="array" ref="I225">XLOOKUP(CELL("contents",B225),'Swiss Registry'!$B$2:$B$703,'Swiss Registry'!$N$2:$N$703) </f>
        <v>1095502363118284891</v>
      </c>
      <c r="J225" s="109" t="str">
        <f t="array" ref="J225">XLOOKUP(CELL("contents",F225),'Swiss Registry'!$B$2:$B$703,'Swiss Registry'!$N$2:$N$703) </f>
        <v>896214559092801617</v>
      </c>
    </row>
    <row r="226">
      <c r="A226" s="130">
        <v>434.0</v>
      </c>
      <c r="B226" s="125" t="str">
        <f>VLOOKUP(A226,'Swiss Registry'!$A$2:$B$703,2,False)</f>
        <v>nemesis_deno</v>
      </c>
      <c r="C226" s="105" t="str">
        <f t="shared" si="16"/>
        <v>Game 1</v>
      </c>
      <c r="D226" s="106" t="str">
        <f t="shared" si="18"/>
        <v>Game 2</v>
      </c>
      <c r="E226" s="110" t="str">
        <f t="shared" si="17"/>
        <v>Game 3</v>
      </c>
      <c r="F226" s="126" t="str">
        <f>VLOOKUP(G226,'Swiss Registry'!$A$2:$B$703,2,False)</f>
        <v>deckline</v>
      </c>
      <c r="G226" s="131">
        <v>359.0</v>
      </c>
      <c r="H226" s="93" t="s">
        <v>2256</v>
      </c>
      <c r="I226" s="108" t="str">
        <f t="array" ref="I226">XLOOKUP(CELL("contents",B226),'Swiss Registry'!$B$2:$B$703,'Swiss Registry'!$N$2:$N$703) </f>
        <v>465952239350186006</v>
      </c>
      <c r="J226" s="109" t="str">
        <f t="array" ref="J226">XLOOKUP(CELL("contents",F226),'Swiss Registry'!$B$2:$B$703,'Swiss Registry'!$N$2:$N$703) </f>
        <v>189508379356430336</v>
      </c>
    </row>
    <row r="227">
      <c r="A227" s="130">
        <v>554.0</v>
      </c>
      <c r="B227" s="125" t="str">
        <f>VLOOKUP(A227,'Swiss Registry'!$A$2:$B$703,2,False)</f>
        <v>ponzuuu</v>
      </c>
      <c r="C227" s="105" t="str">
        <f t="shared" si="16"/>
        <v>Game 1</v>
      </c>
      <c r="D227" s="106" t="str">
        <f t="shared" si="18"/>
        <v>Game 2</v>
      </c>
      <c r="E227" s="107" t="str">
        <f t="shared" si="17"/>
        <v/>
      </c>
      <c r="F227" s="126" t="str">
        <f>VLOOKUP(G227,'Swiss Registry'!$A$2:$B$703,2,False)</f>
        <v>Leeto64</v>
      </c>
      <c r="G227" s="131">
        <v>614.0</v>
      </c>
      <c r="H227" s="93" t="s">
        <v>2257</v>
      </c>
      <c r="I227" s="108" t="str">
        <f t="array" ref="I227">XLOOKUP(CELL("contents",B227),'Swiss Registry'!$B$2:$B$703,'Swiss Registry'!$N$2:$N$703) </f>
        <v>186347195966947328</v>
      </c>
      <c r="J227" s="109" t="str">
        <f t="array" ref="J227">XLOOKUP(CELL("contents",F227),'Swiss Registry'!$B$2:$B$703,'Swiss Registry'!$N$2:$N$703) </f>
        <v>170563833054625792</v>
      </c>
    </row>
    <row r="228">
      <c r="A228" s="130">
        <v>105.0</v>
      </c>
      <c r="B228" s="125" t="str">
        <f>VLOOKUP(A228,'Swiss Registry'!$A$2:$B$703,2,False)</f>
        <v>The_Badger1230</v>
      </c>
      <c r="C228" s="111" t="str">
        <f t="shared" si="16"/>
        <v/>
      </c>
      <c r="D228" s="112" t="str">
        <f t="shared" si="18"/>
        <v>Act: The_Badger1230</v>
      </c>
      <c r="E228" s="107" t="str">
        <f t="shared" si="17"/>
        <v/>
      </c>
      <c r="F228" s="126" t="str">
        <f>VLOOKUP(G228,'Swiss Registry'!$A$2:$B$703,2,False)</f>
        <v>CraterLake</v>
      </c>
      <c r="G228" s="131">
        <v>545.0</v>
      </c>
      <c r="H228" s="93" t="s">
        <v>1475</v>
      </c>
      <c r="I228" s="108" t="str">
        <f t="array" ref="I228">XLOOKUP(CELL("contents",B228),'Swiss Registry'!$B$2:$B$703,'Swiss Registry'!$N$2:$N$703) </f>
        <v>615213996345131145</v>
      </c>
      <c r="J228" s="109" t="str">
        <f t="array" ref="J228">XLOOKUP(CELL("contents",F228),'Swiss Registry'!$B$2:$B$703,'Swiss Registry'!$N$2:$N$703) </f>
        <v>147742295389765633</v>
      </c>
    </row>
    <row r="229">
      <c r="A229" s="130">
        <v>607.0</v>
      </c>
      <c r="B229" s="125" t="str">
        <f>VLOOKUP(A229,'Swiss Registry'!$A$2:$B$703,2,False)</f>
        <v>@xlimexheep</v>
      </c>
      <c r="C229" s="105" t="str">
        <f t="shared" si="16"/>
        <v>Game 1</v>
      </c>
      <c r="D229" s="106" t="str">
        <f t="shared" si="18"/>
        <v>Game 2</v>
      </c>
      <c r="E229" s="110" t="str">
        <f t="shared" si="17"/>
        <v>Game 3</v>
      </c>
      <c r="F229" s="126" t="str">
        <f>VLOOKUP(G229,'Swiss Registry'!$A$2:$B$703,2,False)</f>
        <v>rbvengeance (Nicknamed RBV in the server, you can use this as a shorthand)</v>
      </c>
      <c r="G229" s="131">
        <v>239.0</v>
      </c>
      <c r="H229" s="93" t="s">
        <v>2258</v>
      </c>
      <c r="I229" s="108" t="str">
        <f t="array" ref="I229">XLOOKUP(CELL("contents",B229),'Swiss Registry'!$B$2:$B$703,'Swiss Registry'!$N$2:$N$703) </f>
        <v>172204426302324736</v>
      </c>
      <c r="J229" s="109" t="str">
        <f t="array" ref="J229">XLOOKUP(CELL("contents",F229),'Swiss Registry'!$B$2:$B$703,'Swiss Registry'!$N$2:$N$703) </f>
        <v>184058713424920576</v>
      </c>
    </row>
    <row r="230">
      <c r="A230" s="130">
        <v>349.0</v>
      </c>
      <c r="B230" s="125" t="str">
        <f>VLOOKUP(A230,'Swiss Registry'!$A$2:$B$703,2,False)</f>
        <v>Reptikrook</v>
      </c>
      <c r="C230" s="105" t="str">
        <f t="shared" si="16"/>
        <v>Game 1</v>
      </c>
      <c r="D230" s="106" t="str">
        <f t="shared" si="18"/>
        <v>Game 2</v>
      </c>
      <c r="E230" s="110" t="str">
        <f t="shared" si="17"/>
        <v>Game 3</v>
      </c>
      <c r="F230" s="126" t="str">
        <f>VLOOKUP(G230,'Swiss Registry'!$A$2:$B$703,2,False)</f>
        <v>bobjoecarl</v>
      </c>
      <c r="G230" s="131">
        <v>367.0</v>
      </c>
      <c r="H230" s="93" t="s">
        <v>2259</v>
      </c>
      <c r="I230" s="108" t="str">
        <f t="array" ref="I230">XLOOKUP(CELL("contents",B230),'Swiss Registry'!$B$2:$B$703,'Swiss Registry'!$N$2:$N$703) </f>
        <v>477623186104516629</v>
      </c>
      <c r="J230" s="109" t="str">
        <f t="array" ref="J230">XLOOKUP(CELL("contents",F230),'Swiss Registry'!$B$2:$B$703,'Swiss Registry'!$N$2:$N$703) </f>
        <v>280531406734622730</v>
      </c>
    </row>
    <row r="231">
      <c r="A231" s="130">
        <v>370.0</v>
      </c>
      <c r="B231" s="125" t="str">
        <f>VLOOKUP(A231,'Swiss Registry'!$A$2:$B$703,2,False)</f>
        <v>Baptista</v>
      </c>
      <c r="C231" s="105" t="str">
        <f t="shared" si="16"/>
        <v>Game 1</v>
      </c>
      <c r="D231" s="106" t="str">
        <f t="shared" si="18"/>
        <v>Game 2</v>
      </c>
      <c r="E231" s="110" t="str">
        <f t="shared" si="17"/>
        <v>Game 3</v>
      </c>
      <c r="F231" s="126" t="str">
        <f>VLOOKUP(G231,'Swiss Registry'!$A$2:$B$703,2,False)</f>
        <v>Jsockamisama</v>
      </c>
      <c r="G231" s="131">
        <v>440.0</v>
      </c>
      <c r="H231" s="93" t="s">
        <v>2260</v>
      </c>
      <c r="I231" s="108" t="str">
        <f t="array" ref="I231">XLOOKUP(CELL("contents",B231),'Swiss Registry'!$B$2:$B$703,'Swiss Registry'!$N$2:$N$703) </f>
        <v>344223527399981069</v>
      </c>
      <c r="J231" s="109" t="str">
        <f t="array" ref="J231">XLOOKUP(CELL("contents",F231),'Swiss Registry'!$B$2:$B$703,'Swiss Registry'!$N$2:$N$703) </f>
        <v>630860220293316619</v>
      </c>
    </row>
    <row r="232">
      <c r="A232" s="130">
        <v>485.0</v>
      </c>
      <c r="B232" s="125" t="str">
        <f>VLOOKUP(A232,'Swiss Registry'!$A$2:$B$703,2,False)</f>
        <v>CodeRedSP</v>
      </c>
      <c r="C232" s="105" t="str">
        <f t="shared" si="16"/>
        <v>Game 1</v>
      </c>
      <c r="D232" s="106" t="str">
        <f t="shared" si="18"/>
        <v>Game 2</v>
      </c>
      <c r="E232" s="110" t="str">
        <f t="shared" si="17"/>
        <v>Game 3</v>
      </c>
      <c r="F232" s="126" t="str">
        <f>VLOOKUP(G232,'Swiss Registry'!$A$2:$B$703,2,False)</f>
        <v>incognidoqueen</v>
      </c>
      <c r="G232" s="131">
        <v>597.0</v>
      </c>
      <c r="H232" s="93" t="s">
        <v>2261</v>
      </c>
      <c r="I232" s="108" t="str">
        <f t="array" ref="I232">XLOOKUP(CELL("contents",B232),'Swiss Registry'!$B$2:$B$703,'Swiss Registry'!$N$2:$N$703) </f>
        <v>1288584285833527439</v>
      </c>
      <c r="J232" s="109" t="str">
        <f t="array" ref="J232">XLOOKUP(CELL("contents",F232),'Swiss Registry'!$B$2:$B$703,'Swiss Registry'!$N$2:$N$703) </f>
        <v>425232168743075841</v>
      </c>
    </row>
    <row r="233">
      <c r="A233" s="130">
        <v>490.0</v>
      </c>
      <c r="B233" s="125" t="str">
        <f>VLOOKUP(A233,'Swiss Registry'!$A$2:$B$703,2,False)</f>
        <v>wombatbaby</v>
      </c>
      <c r="C233" s="111" t="str">
        <f t="shared" si="16"/>
        <v/>
      </c>
      <c r="D233" s="112" t="str">
        <f t="shared" si="18"/>
        <v>Act: leofox___</v>
      </c>
      <c r="E233" s="107" t="str">
        <f t="shared" si="17"/>
        <v/>
      </c>
      <c r="F233" s="126" t="str">
        <f>VLOOKUP(G233,'Swiss Registry'!$A$2:$B$703,2,False)</f>
        <v>leofox___</v>
      </c>
      <c r="G233" s="131">
        <v>499.0</v>
      </c>
      <c r="H233" s="93" t="s">
        <v>1462</v>
      </c>
      <c r="I233" s="108" t="str">
        <f t="array" ref="I233">XLOOKUP(CELL("contents",B233),'Swiss Registry'!$B$2:$B$703,'Swiss Registry'!$N$2:$N$703) </f>
        <v>460542464130940930</v>
      </c>
      <c r="J233" s="109" t="str">
        <f t="array" ref="J233">XLOOKUP(CELL("contents",F233),'Swiss Registry'!$B$2:$B$703,'Swiss Registry'!$N$2:$N$703) </f>
        <v>1186654173094228048</v>
      </c>
    </row>
    <row r="234">
      <c r="A234" s="130">
        <v>431.0</v>
      </c>
      <c r="B234" s="125" t="str">
        <f>VLOOKUP(A234,'Swiss Registry'!$A$2:$B$703,2,False)</f>
        <v>ditdus.</v>
      </c>
      <c r="C234" s="105" t="str">
        <f t="shared" si="16"/>
        <v>Game 1</v>
      </c>
      <c r="D234" s="106" t="str">
        <f t="shared" si="18"/>
        <v>Game 2</v>
      </c>
      <c r="E234" s="110" t="str">
        <f t="shared" si="17"/>
        <v>Game 3</v>
      </c>
      <c r="F234" s="126" t="str">
        <f>VLOOKUP(G234,'Swiss Registry'!$A$2:$B$703,2,False)</f>
        <v>Melee Minion</v>
      </c>
      <c r="G234" s="131">
        <v>319.0</v>
      </c>
      <c r="H234" s="93" t="s">
        <v>2262</v>
      </c>
      <c r="I234" s="108" t="str">
        <f t="array" ref="I234">XLOOKUP(CELL("contents",B234),'Swiss Registry'!$B$2:$B$703,'Swiss Registry'!$N$2:$N$703) </f>
        <v>1287828167775485963</v>
      </c>
      <c r="J234" s="109" t="str">
        <f t="array" ref="J234">XLOOKUP(CELL("contents",F234),'Swiss Registry'!$B$2:$B$703,'Swiss Registry'!$N$2:$N$703) </f>
        <v>140705872316858369</v>
      </c>
    </row>
    <row r="235">
      <c r="A235" s="84">
        <v>117.0</v>
      </c>
      <c r="B235" s="125" t="str">
        <f>VLOOKUP(A235,'Swiss Registry'!$A$2:$B$703,2,False)</f>
        <v>diegoyuhhi</v>
      </c>
      <c r="C235" s="105" t="str">
        <f t="shared" si="16"/>
        <v>Game 1</v>
      </c>
      <c r="D235" s="106" t="str">
        <f t="shared" si="18"/>
        <v>Game 2</v>
      </c>
      <c r="E235" s="107" t="str">
        <f t="shared" si="17"/>
        <v/>
      </c>
      <c r="F235" s="126" t="str">
        <f>VLOOKUP(G235,'Swiss Registry'!$A$2:$B$703,2,False)</f>
        <v>plznostep</v>
      </c>
      <c r="G235" s="131">
        <v>326.0</v>
      </c>
      <c r="H235" s="93" t="s">
        <v>2263</v>
      </c>
      <c r="I235" s="108" t="str">
        <f t="array" ref="I235">XLOOKUP(CELL("contents",B235),'Swiss Registry'!$B$2:$B$703,'Swiss Registry'!$N$2:$N$703) </f>
        <v>533729841275600906</v>
      </c>
      <c r="J235" s="109" t="str">
        <f t="array" ref="J235">XLOOKUP(CELL("contents",F235),'Swiss Registry'!$B$2:$B$703,'Swiss Registry'!$N$2:$N$703) </f>
        <v>992491212558839857</v>
      </c>
    </row>
    <row r="236">
      <c r="A236" s="130">
        <v>684.0</v>
      </c>
      <c r="B236" s="125" t="str">
        <f>VLOOKUP(A236,'Swiss Registry'!$A$2:$B$703,2,False)</f>
        <v>Greyaz</v>
      </c>
      <c r="C236" s="105" t="str">
        <f t="shared" si="16"/>
        <v>Game 1</v>
      </c>
      <c r="D236" s="106" t="str">
        <f t="shared" si="18"/>
        <v>Game 2</v>
      </c>
      <c r="E236" s="107" t="str">
        <f t="shared" si="17"/>
        <v/>
      </c>
      <c r="F236" s="126" t="str">
        <f>VLOOKUP(G236,'Swiss Registry'!$A$2:$B$703,2,False)</f>
        <v>flareliger</v>
      </c>
      <c r="G236" s="131">
        <v>522.0</v>
      </c>
      <c r="H236" s="93" t="s">
        <v>2264</v>
      </c>
      <c r="I236" s="108" t="str">
        <f t="array" ref="I236">XLOOKUP(CELL("contents",B236),'Swiss Registry'!$B$2:$B$703,'Swiss Registry'!$N$2:$N$703) </f>
        <v>267764029538304000</v>
      </c>
      <c r="J236" s="109" t="str">
        <f t="array" ref="J236">XLOOKUP(CELL("contents",F236),'Swiss Registry'!$B$2:$B$703,'Swiss Registry'!$N$2:$N$703) </f>
        <v>605517695961661523</v>
      </c>
    </row>
    <row r="237">
      <c r="A237" s="130">
        <v>128.0</v>
      </c>
      <c r="B237" s="125" t="str">
        <f>VLOOKUP(A237,'Swiss Registry'!$A$2:$B$703,2,False)</f>
        <v>iwasmoth</v>
      </c>
      <c r="C237" s="105" t="str">
        <f t="shared" si="16"/>
        <v>Game 1</v>
      </c>
      <c r="D237" s="106" t="str">
        <f t="shared" si="18"/>
        <v>Game 2</v>
      </c>
      <c r="E237" s="107" t="str">
        <f t="shared" si="17"/>
        <v/>
      </c>
      <c r="F237" s="126" t="str">
        <f>VLOOKUP(G237,'Swiss Registry'!$A$2:$B$703,2,False)</f>
        <v>biff_the_banana</v>
      </c>
      <c r="G237" s="131">
        <v>409.0</v>
      </c>
      <c r="H237" s="93" t="s">
        <v>2265</v>
      </c>
      <c r="I237" s="108" t="str">
        <f t="array" ref="I237">XLOOKUP(CELL("contents",B237),'Swiss Registry'!$B$2:$B$703,'Swiss Registry'!$N$2:$N$703) </f>
        <v>127915546229473280</v>
      </c>
      <c r="J237" s="109" t="str">
        <f t="array" ref="J237">XLOOKUP(CELL("contents",F237),'Swiss Registry'!$B$2:$B$703,'Swiss Registry'!$N$2:$N$703) </f>
        <v>254196036694704129</v>
      </c>
    </row>
    <row r="238">
      <c r="A238" s="130">
        <v>223.0</v>
      </c>
      <c r="B238" s="125" t="str">
        <f>VLOOKUP(A238,'Swiss Registry'!$A$2:$B$703,2,False)</f>
        <v>halbertsimpson</v>
      </c>
      <c r="C238" s="105" t="str">
        <f t="shared" si="16"/>
        <v>Game 1</v>
      </c>
      <c r="D238" s="106" t="str">
        <f t="shared" si="18"/>
        <v>Game 2</v>
      </c>
      <c r="E238" s="107" t="str">
        <f t="shared" si="17"/>
        <v/>
      </c>
      <c r="F238" s="126" t="str">
        <f>VLOOKUP(G238,'Swiss Registry'!$A$2:$B$703,2,False)</f>
        <v>Colby2D</v>
      </c>
      <c r="G238" s="131">
        <v>476.0</v>
      </c>
      <c r="H238" s="93" t="s">
        <v>2266</v>
      </c>
      <c r="I238" s="108" t="str">
        <f t="array" ref="I238">XLOOKUP(CELL("contents",B238),'Swiss Registry'!$B$2:$B$703,'Swiss Registry'!$N$2:$N$703) </f>
        <v>1011611946824503427</v>
      </c>
      <c r="J238" s="109" t="str">
        <f t="array" ref="J238">XLOOKUP(CELL("contents",F238),'Swiss Registry'!$B$2:$B$703,'Swiss Registry'!$N$2:$N$703) </f>
        <v>255541617597874176</v>
      </c>
    </row>
    <row r="239">
      <c r="A239" s="130">
        <v>566.0</v>
      </c>
      <c r="B239" s="125" t="str">
        <f>VLOOKUP(A239,'Swiss Registry'!$A$2:$B$703,2,False)</f>
        <v>ChocoboJoe</v>
      </c>
      <c r="C239" s="105" t="str">
        <f t="shared" si="16"/>
        <v>Game 1</v>
      </c>
      <c r="D239" s="106" t="str">
        <f t="shared" si="18"/>
        <v>Game 2</v>
      </c>
      <c r="E239" s="107" t="str">
        <f t="shared" si="17"/>
        <v/>
      </c>
      <c r="F239" s="126" t="str">
        <f>VLOOKUP(G239,'Swiss Registry'!$A$2:$B$703,2,False)</f>
        <v>SpeccyGames</v>
      </c>
      <c r="G239" s="131">
        <v>214.0</v>
      </c>
      <c r="H239" s="93" t="s">
        <v>2267</v>
      </c>
      <c r="I239" s="108" t="str">
        <f t="array" ref="I239">XLOOKUP(CELL("contents",B239),'Swiss Registry'!$B$2:$B$703,'Swiss Registry'!$N$2:$N$703) </f>
        <v>301575831858446356</v>
      </c>
      <c r="J239" s="109" t="str">
        <f t="array" ref="J239">XLOOKUP(CELL("contents",F239),'Swiss Registry'!$B$2:$B$703,'Swiss Registry'!$N$2:$N$703) </f>
        <v>228257509809455104</v>
      </c>
    </row>
    <row r="240">
      <c r="A240" s="130">
        <v>290.0</v>
      </c>
      <c r="B240" s="125" t="str">
        <f>VLOOKUP(A240,'Swiss Registry'!$A$2:$B$703,2,False)</f>
        <v>truelawbringer</v>
      </c>
      <c r="C240" s="105" t="str">
        <f t="shared" si="16"/>
        <v>Game 1</v>
      </c>
      <c r="D240" s="106" t="str">
        <f t="shared" si="18"/>
        <v>Game 2</v>
      </c>
      <c r="E240" s="110" t="str">
        <f t="shared" si="17"/>
        <v>Game 3</v>
      </c>
      <c r="F240" s="126" t="str">
        <f>VLOOKUP(G240,'Swiss Registry'!$A$2:$B$703,2,False)</f>
        <v>Samnyg</v>
      </c>
      <c r="G240" s="131">
        <v>344.0</v>
      </c>
      <c r="H240" s="93" t="s">
        <v>2268</v>
      </c>
      <c r="I240" s="108" t="str">
        <f t="array" ref="I240">XLOOKUP(CELL("contents",B240),'Swiss Registry'!$B$2:$B$703,'Swiss Registry'!$N$2:$N$703) </f>
        <v>213542908421341184</v>
      </c>
      <c r="J240" s="109" t="str">
        <f t="array" ref="J240">XLOOKUP(CELL("contents",F240),'Swiss Registry'!$B$2:$B$703,'Swiss Registry'!$N$2:$N$703) </f>
        <v>1024088105533317191</v>
      </c>
    </row>
    <row r="241">
      <c r="A241" s="130">
        <v>174.0</v>
      </c>
      <c r="B241" s="125" t="str">
        <f>VLOOKUP(A241,'Swiss Registry'!$A$2:$B$703,2,False)</f>
        <v>Derde</v>
      </c>
      <c r="C241" s="105" t="str">
        <f t="shared" si="16"/>
        <v>Game 1</v>
      </c>
      <c r="D241" s="106" t="str">
        <f t="shared" si="18"/>
        <v>Game 2</v>
      </c>
      <c r="E241" s="107" t="str">
        <f t="shared" si="17"/>
        <v/>
      </c>
      <c r="F241" s="126" t="str">
        <f>VLOOKUP(G241,'Swiss Registry'!$A$2:$B$703,2,False)</f>
        <v>litterofbiscuits</v>
      </c>
      <c r="G241" s="131">
        <v>159.0</v>
      </c>
      <c r="H241" s="93" t="s">
        <v>2269</v>
      </c>
      <c r="I241" s="108" t="str">
        <f t="array" ref="I241">XLOOKUP(CELL("contents",B241),'Swiss Registry'!$B$2:$B$703,'Swiss Registry'!$N$2:$N$703) </f>
        <v>788102162861260891</v>
      </c>
      <c r="J241" s="109" t="str">
        <f t="array" ref="J241">XLOOKUP(CELL("contents",F241),'Swiss Registry'!$B$2:$B$703,'Swiss Registry'!$N$2:$N$703) </f>
        <v>348980973825818626</v>
      </c>
    </row>
    <row r="242" ht="15.0" customHeight="1">
      <c r="A242" s="80"/>
      <c r="B242" s="122"/>
      <c r="C242" s="114"/>
      <c r="D242" s="82" t="s">
        <v>2270</v>
      </c>
      <c r="E242" s="81"/>
      <c r="F242" s="123"/>
      <c r="G242" s="132"/>
      <c r="H242" s="93"/>
      <c r="I242" s="81"/>
      <c r="J242" s="81"/>
    </row>
    <row r="243">
      <c r="A243" s="130">
        <v>127.0</v>
      </c>
      <c r="B243" s="125" t="str">
        <f>VLOOKUP(A243,'Swiss Registry'!$A$2:$B$703,2,False)</f>
        <v>blisy</v>
      </c>
      <c r="C243" s="105" t="str">
        <f t="shared" ref="C243:C281" si="19">IF(H243="dead","",IF(H243="a:act","",IF(H243="b:act","",IF(ISURL(HYPERLINK(INDIRECT("Importer!B"&amp;MID(H243,2,4)+1,TRUE))),HYPERLINK(INDIRECT("Importer!B"&amp;MID(H243,2,4)+1,TRUE), "Game 1"),""))))</f>
        <v>Game 1</v>
      </c>
      <c r="D243" s="106" t="str">
        <f>IF(H243="dead","Dead Game",IF(H243="a:act","Act: "&amp;F243,IF(H243="b:act","Act: "&amp;#REF!,IF(ISURL(HYPERLINK(INDIRECT("Importer!B"&amp;MID(H243,6,4)+1,TRUE))),HYPERLINK(INDIRECT("Importer!B"&amp;MID(H243,6,4)+1,TRUE), "Game 2"),""))))</f>
        <v>Game 2</v>
      </c>
      <c r="E243" s="107" t="str">
        <f t="shared" ref="E243:E281" si="20">IF(H243="dead","",IF(H243="a:act","",IF(H243="b:act","",IF(ISURL(HYPERLINK(INDIRECT("Importer!B"&amp;MID(H243,10,4)+1,TRUE))),HYPERLINK(INDIRECT("Importer!B"&amp;MID(H243,10,4)+1,TRUE), "Game 3"),""))))</f>
        <v/>
      </c>
      <c r="F243" s="126" t="str">
        <f>VLOOKUP(G243,'Swiss Registry'!$A$2:$B$703,2,False)</f>
        <v>gambling.goddess</v>
      </c>
      <c r="G243" s="131">
        <v>249.0</v>
      </c>
      <c r="H243" s="93" t="s">
        <v>2271</v>
      </c>
      <c r="I243" s="108" t="str">
        <f t="array" ref="I243">XLOOKUP(CELL("contents",B243),'Swiss Registry'!$B$2:$B$703,'Swiss Registry'!$N$2:$N$703) </f>
        <v>291688941491322880</v>
      </c>
      <c r="J243" s="109" t="str">
        <f t="array" ref="J243">XLOOKUP(CELL("contents",F243),'Swiss Registry'!$B$2:$B$703,'Swiss Registry'!$N$2:$N$703) </f>
        <v>1254224283958378530</v>
      </c>
    </row>
    <row r="244">
      <c r="A244" s="130">
        <v>229.0</v>
      </c>
      <c r="B244" s="125" t="str">
        <f>VLOOKUP(A244,'Swiss Registry'!$A$2:$B$703,2,False)</f>
        <v>jensendale</v>
      </c>
      <c r="C244" s="105" t="str">
        <f t="shared" si="19"/>
        <v>Game 1</v>
      </c>
      <c r="D244" s="106" t="str">
        <f t="shared" ref="D244:D281" si="21">IF(H244="dead","Dead Game",IF(H244="a:act","Act: "&amp;B244,IF(H244="b:act","Act: "&amp;F244,IF(ISURL(HYPERLINK(INDIRECT("Importer!B"&amp;MID(H244,6,4)+1,TRUE))),HYPERLINK(INDIRECT("Importer!B"&amp;MID(H244,6,4)+1,TRUE), "Game 2"),""))))</f>
        <v>Game 2</v>
      </c>
      <c r="E244" s="110" t="str">
        <f t="shared" si="20"/>
        <v>Game 3</v>
      </c>
      <c r="F244" s="126" t="str">
        <f>VLOOKUP(G244,'Swiss Registry'!$A$2:$B$703,2,False)</f>
        <v>Graham (graaahaaam)</v>
      </c>
      <c r="G244" s="131">
        <v>135.0</v>
      </c>
      <c r="H244" s="93" t="s">
        <v>2272</v>
      </c>
      <c r="I244" s="108" t="str">
        <f t="array" ref="I244">XLOOKUP(CELL("contents",B244),'Swiss Registry'!$B$2:$B$703,'Swiss Registry'!$N$2:$N$703) </f>
        <v>1153475592411418724</v>
      </c>
      <c r="J244" s="109" t="str">
        <f t="array" ref="J244">XLOOKUP(CELL("contents",F244),'Swiss Registry'!$B$2:$B$703,'Swiss Registry'!$N$2:$N$703) </f>
        <v>116227974885277697</v>
      </c>
    </row>
    <row r="245">
      <c r="A245" s="130">
        <v>651.0</v>
      </c>
      <c r="B245" s="125" t="str">
        <f>VLOOKUP(A245,'Swiss Registry'!$A$2:$B$703,2,False)</f>
        <v>solars_power</v>
      </c>
      <c r="C245" s="105" t="str">
        <f t="shared" si="19"/>
        <v>Game 1</v>
      </c>
      <c r="D245" s="106" t="str">
        <f t="shared" si="21"/>
        <v>Game 2</v>
      </c>
      <c r="E245" s="107" t="str">
        <f t="shared" si="20"/>
        <v/>
      </c>
      <c r="F245" s="126" t="str">
        <f>VLOOKUP(G245,'Swiss Registry'!$A$2:$B$703,2,False)</f>
        <v>gpd_123</v>
      </c>
      <c r="G245" s="131">
        <v>503.0</v>
      </c>
      <c r="H245" s="93" t="s">
        <v>2273</v>
      </c>
      <c r="I245" s="108" t="str">
        <f t="array" ref="I245">XLOOKUP(CELL("contents",B245),'Swiss Registry'!$B$2:$B$703,'Swiss Registry'!$N$2:$N$703) </f>
        <v>1288501552113254518</v>
      </c>
      <c r="J245" s="109" t="str">
        <f t="array" ref="J245">XLOOKUP(CELL("contents",F245),'Swiss Registry'!$B$2:$B$703,'Swiss Registry'!$N$2:$N$703) </f>
        <v>1287682191584792579</v>
      </c>
    </row>
    <row r="246">
      <c r="A246" s="130">
        <v>676.0</v>
      </c>
      <c r="B246" s="125" t="str">
        <f>VLOOKUP(A246,'Swiss Registry'!$A$2:$B$703,2,False)</f>
        <v>socialinclusion</v>
      </c>
      <c r="C246" s="105" t="str">
        <f t="shared" si="19"/>
        <v>Game 1</v>
      </c>
      <c r="D246" s="106" t="str">
        <f t="shared" si="21"/>
        <v>Game 2</v>
      </c>
      <c r="E246" s="107" t="str">
        <f t="shared" si="20"/>
        <v/>
      </c>
      <c r="F246" s="126" t="str">
        <f>VLOOKUP(G246,'Swiss Registry'!$A$2:$B$703,2,False)</f>
        <v>Genofool</v>
      </c>
      <c r="G246" s="131">
        <v>688.0</v>
      </c>
      <c r="H246" s="93" t="s">
        <v>2274</v>
      </c>
      <c r="I246" s="108" t="str">
        <f t="array" ref="I246">XLOOKUP(CELL("contents",B246),'Swiss Registry'!$B$2:$B$703,'Swiss Registry'!$N$2:$N$703) </f>
        <v>1287659687881474109</v>
      </c>
      <c r="J246" s="109" t="str">
        <f t="array" ref="J246">XLOOKUP(CELL("contents",F246),'Swiss Registry'!$B$2:$B$703,'Swiss Registry'!$N$2:$N$703) </f>
        <v>82969260036456448</v>
      </c>
    </row>
    <row r="247">
      <c r="A247" s="130">
        <v>559.0</v>
      </c>
      <c r="B247" s="125" t="str">
        <f>VLOOKUP(A247,'Swiss Registry'!$A$2:$B$703,2,False)</f>
        <v>Mimien97</v>
      </c>
      <c r="C247" s="105" t="str">
        <f t="shared" si="19"/>
        <v>Game 1</v>
      </c>
      <c r="D247" s="106" t="str">
        <f t="shared" si="21"/>
        <v>Game 2</v>
      </c>
      <c r="E247" s="110" t="str">
        <f t="shared" si="20"/>
        <v>Game 3</v>
      </c>
      <c r="F247" s="126" t="str">
        <f>VLOOKUP(G247,'Swiss Registry'!$A$2:$B$703,2,False)</f>
        <v>nadiddhrabb</v>
      </c>
      <c r="G247" s="131">
        <v>336.0</v>
      </c>
      <c r="H247" s="93" t="s">
        <v>2275</v>
      </c>
      <c r="I247" s="108" t="str">
        <f t="array" ref="I247">XLOOKUP(CELL("contents",B247),'Swiss Registry'!$B$2:$B$703,'Swiss Registry'!$N$2:$N$703) </f>
        <v>441260054461546496</v>
      </c>
      <c r="J247" s="109" t="str">
        <f t="array" ref="J247">XLOOKUP(CELL("contents",F247),'Swiss Registry'!$B$2:$B$703,'Swiss Registry'!$N$2:$N$703) </f>
        <v>708579140605050922</v>
      </c>
    </row>
    <row r="248">
      <c r="A248" s="130">
        <v>432.0</v>
      </c>
      <c r="B248" s="125" t="str">
        <f>VLOOKUP(A248,'Swiss Registry'!$A$2:$B$703,2,False)</f>
        <v>saiyanpride.</v>
      </c>
      <c r="C248" s="105" t="str">
        <f t="shared" si="19"/>
        <v>Game 1</v>
      </c>
      <c r="D248" s="106" t="str">
        <f t="shared" si="21"/>
        <v>Game 2</v>
      </c>
      <c r="E248" s="110" t="str">
        <f t="shared" si="20"/>
        <v>Game 3</v>
      </c>
      <c r="F248" s="126" t="str">
        <f>VLOOKUP(G248,'Swiss Registry'!$A$2:$B$703,2,False)</f>
        <v>biluv_v</v>
      </c>
      <c r="G248" s="131">
        <v>449.0</v>
      </c>
      <c r="H248" s="93" t="s">
        <v>2276</v>
      </c>
      <c r="I248" s="108" t="str">
        <f t="array" ref="I248">XLOOKUP(CELL("contents",B248),'Swiss Registry'!$B$2:$B$703,'Swiss Registry'!$N$2:$N$703) </f>
        <v>779576321550450710</v>
      </c>
      <c r="J248" s="109" t="str">
        <f t="array" ref="J248">XLOOKUP(CELL("contents",F248),'Swiss Registry'!$B$2:$B$703,'Swiss Registry'!$N$2:$N$703) </f>
        <v>1073292922390319195</v>
      </c>
    </row>
    <row r="249">
      <c r="A249" s="130">
        <v>283.0</v>
      </c>
      <c r="B249" s="125" t="str">
        <f>VLOOKUP(A249,'Swiss Registry'!$A$2:$B$703,2,False)</f>
        <v>Kydreith33</v>
      </c>
      <c r="C249" s="105" t="str">
        <f t="shared" si="19"/>
        <v>Game 1</v>
      </c>
      <c r="D249" s="106" t="str">
        <f t="shared" si="21"/>
        <v>Game 2</v>
      </c>
      <c r="E249" s="107" t="str">
        <f t="shared" si="20"/>
        <v/>
      </c>
      <c r="F249" s="126" t="str">
        <f>VLOOKUP(G249,'Swiss Registry'!$A$2:$B$703,2,False)</f>
        <v>ChetManley</v>
      </c>
      <c r="G249" s="131">
        <v>664.0</v>
      </c>
      <c r="H249" s="93" t="s">
        <v>2277</v>
      </c>
      <c r="I249" s="108" t="str">
        <f t="array" ref="I249">XLOOKUP(CELL("contents",B249),'Swiss Registry'!$B$2:$B$703,'Swiss Registry'!$N$2:$N$703) </f>
        <v>420018683759296513</v>
      </c>
      <c r="J249" s="109" t="str">
        <f t="array" ref="J249">XLOOKUP(CELL("contents",F249),'Swiss Registry'!$B$2:$B$703,'Swiss Registry'!$N$2:$N$703) </f>
        <v>179698264436768768</v>
      </c>
    </row>
    <row r="250">
      <c r="A250" s="130">
        <v>521.0</v>
      </c>
      <c r="B250" s="125" t="str">
        <f>VLOOKUP(A250,'Swiss Registry'!$A$2:$B$703,2,False)</f>
        <v>Grain_Jar</v>
      </c>
      <c r="C250" s="105" t="str">
        <f t="shared" si="19"/>
        <v>Game 1</v>
      </c>
      <c r="D250" s="106" t="str">
        <f t="shared" si="21"/>
        <v>Game 2</v>
      </c>
      <c r="E250" s="107" t="str">
        <f t="shared" si="20"/>
        <v/>
      </c>
      <c r="F250" s="126" t="str">
        <f>VLOOKUP(G250,'Swiss Registry'!$A$2:$B$703,2,False)</f>
        <v>peacemaker040</v>
      </c>
      <c r="G250" s="131">
        <v>417.0</v>
      </c>
      <c r="H250" s="93" t="s">
        <v>2278</v>
      </c>
      <c r="I250" s="108" t="str">
        <f t="array" ref="I250">XLOOKUP(CELL("contents",B250),'Swiss Registry'!$B$2:$B$703,'Swiss Registry'!$N$2:$N$703) </f>
        <v>348920220192210955</v>
      </c>
      <c r="J250" s="109" t="str">
        <f t="array" ref="J250">XLOOKUP(CELL("contents",F250),'Swiss Registry'!$B$2:$B$703,'Swiss Registry'!$N$2:$N$703) </f>
        <v>1080995333867307078</v>
      </c>
    </row>
    <row r="251">
      <c r="A251" s="130">
        <v>151.0</v>
      </c>
      <c r="B251" s="125" t="str">
        <f>VLOOKUP(A251,'Swiss Registry'!$A$2:$B$703,2,False)</f>
        <v>shadowinger</v>
      </c>
      <c r="C251" s="105" t="str">
        <f t="shared" si="19"/>
        <v>Game 1</v>
      </c>
      <c r="D251" s="106" t="str">
        <f t="shared" si="21"/>
        <v>Game 2</v>
      </c>
      <c r="E251" s="110" t="str">
        <f t="shared" si="20"/>
        <v>Game 3</v>
      </c>
      <c r="F251" s="126" t="str">
        <f>VLOOKUP(G251,'Swiss Registry'!$A$2:$B$703,2,False)</f>
        <v>moggie776</v>
      </c>
      <c r="G251" s="131">
        <v>231.0</v>
      </c>
      <c r="H251" s="93" t="s">
        <v>2279</v>
      </c>
      <c r="I251" s="108" t="str">
        <f t="array" ref="I251">XLOOKUP(CELL("contents",B251),'Swiss Registry'!$B$2:$B$703,'Swiss Registry'!$N$2:$N$703) </f>
        <v>417742328602820608</v>
      </c>
      <c r="J251" s="109" t="str">
        <f t="array" ref="J251">XLOOKUP(CELL("contents",F251),'Swiss Registry'!$B$2:$B$703,'Swiss Registry'!$N$2:$N$703) </f>
        <v>662243961477398528</v>
      </c>
    </row>
    <row r="252">
      <c r="A252" s="130">
        <v>682.0</v>
      </c>
      <c r="B252" s="125" t="str">
        <f>VLOOKUP(A252,'Swiss Registry'!$A$2:$B$703,2,False)</f>
        <v>5darkelves_gmen</v>
      </c>
      <c r="C252" s="105" t="str">
        <f t="shared" si="19"/>
        <v>Game 1</v>
      </c>
      <c r="D252" s="106" t="str">
        <f t="shared" si="21"/>
        <v>Game 2</v>
      </c>
      <c r="E252" s="110" t="str">
        <f t="shared" si="20"/>
        <v>Game 3</v>
      </c>
      <c r="F252" s="126" t="str">
        <f>VLOOKUP(G252,'Swiss Registry'!$A$2:$B$703,2,False)</f>
        <v>etymon_</v>
      </c>
      <c r="G252" s="131">
        <v>505.0</v>
      </c>
      <c r="H252" s="93" t="s">
        <v>2280</v>
      </c>
      <c r="I252" s="108" t="str">
        <f t="array" ref="I252">XLOOKUP(CELL("contents",B252),'Swiss Registry'!$B$2:$B$703,'Swiss Registry'!$N$2:$N$703) </f>
        <v>952068071336607775</v>
      </c>
      <c r="J252" s="109" t="str">
        <f t="array" ref="J252">XLOOKUP(CELL("contents",F252),'Swiss Registry'!$B$2:$B$703,'Swiss Registry'!$N$2:$N$703) </f>
        <v>790249278408359947</v>
      </c>
    </row>
    <row r="253">
      <c r="A253" s="130">
        <v>475.0</v>
      </c>
      <c r="B253" s="125" t="str">
        <f>VLOOKUP(A253,'Swiss Registry'!$A$2:$B$703,2,False)</f>
        <v>busyboi</v>
      </c>
      <c r="C253" s="105" t="str">
        <f t="shared" si="19"/>
        <v>Game 1</v>
      </c>
      <c r="D253" s="106" t="str">
        <f t="shared" si="21"/>
        <v>Game 2</v>
      </c>
      <c r="E253" s="110" t="str">
        <f t="shared" si="20"/>
        <v>Game 3</v>
      </c>
      <c r="F253" s="126" t="str">
        <f>VLOOKUP(G253,'Swiss Registry'!$A$2:$B$703,2,False)</f>
        <v>swope</v>
      </c>
      <c r="G253" s="131">
        <v>569.0</v>
      </c>
      <c r="H253" s="93" t="s">
        <v>2281</v>
      </c>
      <c r="I253" s="108" t="str">
        <f t="array" ref="I253">XLOOKUP(CELL("contents",B253),'Swiss Registry'!$B$2:$B$703,'Swiss Registry'!$N$2:$N$703) </f>
        <v>170563297433747457</v>
      </c>
      <c r="J253" s="109" t="str">
        <f t="array" ref="J253">XLOOKUP(CELL("contents",F253),'Swiss Registry'!$B$2:$B$703,'Swiss Registry'!$N$2:$N$703) </f>
        <v>141349140188626944</v>
      </c>
    </row>
    <row r="254">
      <c r="A254" s="130">
        <v>461.0</v>
      </c>
      <c r="B254" s="125" t="str">
        <f>VLOOKUP(A254,'Swiss Registry'!$A$2:$B$703,2,False)</f>
        <v>isaiahterveen</v>
      </c>
      <c r="C254" s="105" t="str">
        <f t="shared" si="19"/>
        <v>Game 1</v>
      </c>
      <c r="D254" s="106" t="str">
        <f t="shared" si="21"/>
        <v>Game 2</v>
      </c>
      <c r="E254" s="110" t="str">
        <f t="shared" si="20"/>
        <v>Game 3</v>
      </c>
      <c r="F254" s="126" t="str">
        <f>VLOOKUP(G254,'Swiss Registry'!$A$2:$B$703,2,False)</f>
        <v>samjamslam</v>
      </c>
      <c r="G254" s="131">
        <v>207.0</v>
      </c>
      <c r="H254" s="93" t="s">
        <v>2282</v>
      </c>
      <c r="I254" s="108" t="str">
        <f t="array" ref="I254">XLOOKUP(CELL("contents",B254),'Swiss Registry'!$B$2:$B$703,'Swiss Registry'!$N$2:$N$703) </f>
        <v>753283686446661742</v>
      </c>
      <c r="J254" s="109" t="str">
        <f t="array" ref="J254">XLOOKUP(CELL("contents",F254),'Swiss Registry'!$B$2:$B$703,'Swiss Registry'!$N$2:$N$703) </f>
        <v>589902999342546965</v>
      </c>
    </row>
    <row r="255">
      <c r="A255" s="130">
        <v>114.0</v>
      </c>
      <c r="B255" s="125" t="str">
        <f>VLOOKUP(A255,'Swiss Registry'!$A$2:$B$703,2,False)</f>
        <v>catholicguilttrip</v>
      </c>
      <c r="C255" s="105" t="str">
        <f t="shared" si="19"/>
        <v>Game 1</v>
      </c>
      <c r="D255" s="106" t="str">
        <f t="shared" si="21"/>
        <v>Game 2</v>
      </c>
      <c r="E255" s="107" t="str">
        <f t="shared" si="20"/>
        <v/>
      </c>
      <c r="F255" s="126" t="str">
        <f>VLOOKUP(G255,'Swiss Registry'!$A$2:$B$703,2,False)</f>
        <v>bydy2</v>
      </c>
      <c r="G255" s="131">
        <v>679.0</v>
      </c>
      <c r="H255" s="93" t="s">
        <v>2283</v>
      </c>
      <c r="I255" s="108" t="str">
        <f t="array" ref="I255">XLOOKUP(CELL("contents",B255),'Swiss Registry'!$B$2:$B$703,'Swiss Registry'!$N$2:$N$703) </f>
        <v>434909483127275521</v>
      </c>
      <c r="J255" s="109" t="str">
        <f t="array" ref="J255">XLOOKUP(CELL("contents",F255),'Swiss Registry'!$B$2:$B$703,'Swiss Registry'!$N$2:$N$703) </f>
        <v>245276997687836672</v>
      </c>
    </row>
    <row r="256">
      <c r="A256" s="130">
        <v>420.0</v>
      </c>
      <c r="B256" s="125" t="str">
        <f>VLOOKUP(A256,'Swiss Registry'!$A$2:$B$703,2,False)</f>
        <v>prestonv</v>
      </c>
      <c r="C256" s="105" t="str">
        <f t="shared" si="19"/>
        <v>Game 1</v>
      </c>
      <c r="D256" s="106" t="str">
        <f t="shared" si="21"/>
        <v>Game 2</v>
      </c>
      <c r="E256" s="107" t="str">
        <f t="shared" si="20"/>
        <v/>
      </c>
      <c r="F256" s="126" t="str">
        <f>VLOOKUP(G256,'Swiss Registry'!$A$2:$B$703,2,False)</f>
        <v>Kenuckz</v>
      </c>
      <c r="G256" s="131">
        <v>567.0</v>
      </c>
      <c r="H256" s="93" t="s">
        <v>2284</v>
      </c>
      <c r="I256" s="108" t="str">
        <f t="array" ref="I256">XLOOKUP(CELL("contents",B256),'Swiss Registry'!$B$2:$B$703,'Swiss Registry'!$N$2:$N$703) </f>
        <v>477959212073484308</v>
      </c>
      <c r="J256" s="109" t="str">
        <f t="array" ref="J256">XLOOKUP(CELL("contents",F256),'Swiss Registry'!$B$2:$B$703,'Swiss Registry'!$N$2:$N$703) </f>
        <v>152582039177134080</v>
      </c>
    </row>
    <row r="257">
      <c r="A257" s="130">
        <v>508.0</v>
      </c>
      <c r="B257" s="125" t="str">
        <f>VLOOKUP(A257,'Swiss Registry'!$A$2:$B$703,2,False)</f>
        <v>michaelmeets</v>
      </c>
      <c r="C257" s="111" t="str">
        <f t="shared" si="19"/>
        <v/>
      </c>
      <c r="D257" s="112" t="str">
        <f t="shared" si="21"/>
        <v>Act: style_purposes</v>
      </c>
      <c r="E257" s="107" t="str">
        <f t="shared" si="20"/>
        <v/>
      </c>
      <c r="F257" s="126" t="str">
        <f>VLOOKUP(G257,'Swiss Registry'!$A$2:$B$703,2,False)</f>
        <v>style_purposes</v>
      </c>
      <c r="G257" s="131">
        <v>107.0</v>
      </c>
      <c r="H257" s="93" t="s">
        <v>1523</v>
      </c>
      <c r="I257" s="108" t="str">
        <f t="array" ref="I257">XLOOKUP(CELL("contents",B257),'Swiss Registry'!$B$2:$B$703,'Swiss Registry'!$N$2:$N$703) </f>
        <v>422543384125636628</v>
      </c>
      <c r="J257" s="109" t="str">
        <f t="array" ref="J257">XLOOKUP(CELL("contents",F257),'Swiss Registry'!$B$2:$B$703,'Swiss Registry'!$N$2:$N$703) </f>
        <v>608850851150430226</v>
      </c>
    </row>
    <row r="258">
      <c r="A258" s="130">
        <v>617.0</v>
      </c>
      <c r="B258" s="125" t="str">
        <f>VLOOKUP(A258,'Swiss Registry'!$A$2:$B$703,2,False)</f>
        <v>Ktools#9665</v>
      </c>
      <c r="C258" s="105" t="str">
        <f t="shared" si="19"/>
        <v>Game 1</v>
      </c>
      <c r="D258" s="106" t="str">
        <f t="shared" si="21"/>
        <v>Game 2</v>
      </c>
      <c r="E258" s="110" t="str">
        <f t="shared" si="20"/>
        <v>Game 3</v>
      </c>
      <c r="F258" s="126" t="str">
        <f>VLOOKUP(G258,'Swiss Registry'!$A$2:$B$703,2,False)</f>
        <v>gogozeppeli1890 (rconquer)</v>
      </c>
      <c r="G258" s="131">
        <v>247.0</v>
      </c>
      <c r="H258" s="133" t="s">
        <v>2285</v>
      </c>
      <c r="I258" s="108" t="str">
        <f t="array" ref="I258">XLOOKUP(CELL("contents",B258),'Swiss Registry'!$B$2:$B$703,'Swiss Registry'!$N$2:$N$703) </f>
        <v>225653665149616129</v>
      </c>
      <c r="J258" s="109" t="str">
        <f t="array" ref="J258">XLOOKUP(CELL("contents",F258),'Swiss Registry'!$B$2:$B$703,'Swiss Registry'!$N$2:$N$703) </f>
        <v>195721708504743936</v>
      </c>
    </row>
    <row r="259">
      <c r="A259" s="130">
        <v>212.0</v>
      </c>
      <c r="B259" s="125" t="str">
        <f>VLOOKUP(A259,'Swiss Registry'!$A$2:$B$703,2,False)</f>
        <v>dadaasdcfaw</v>
      </c>
      <c r="C259" s="105" t="str">
        <f t="shared" si="19"/>
        <v>Game 1</v>
      </c>
      <c r="D259" s="106" t="str">
        <f t="shared" si="21"/>
        <v>Game 2</v>
      </c>
      <c r="E259" s="110" t="str">
        <f t="shared" si="20"/>
        <v>Game 3</v>
      </c>
      <c r="F259" s="126" t="str">
        <f>VLOOKUP(G259,'Swiss Registry'!$A$2:$B$703,2,False)</f>
        <v>dfr2248</v>
      </c>
      <c r="G259" s="131">
        <v>511.0</v>
      </c>
      <c r="H259" s="133" t="s">
        <v>2286</v>
      </c>
      <c r="I259" s="108" t="str">
        <f t="array" ref="I259">XLOOKUP(CELL("contents",B259),'Swiss Registry'!$B$2:$B$703,'Swiss Registry'!$N$2:$N$703) </f>
        <v>327733812467466240</v>
      </c>
      <c r="J259" s="109" t="str">
        <f t="array" ref="J259">XLOOKUP(CELL("contents",F259),'Swiss Registry'!$B$2:$B$703,'Swiss Registry'!$N$2:$N$703) </f>
        <v>1067809125418934324</v>
      </c>
    </row>
    <row r="260">
      <c r="A260" s="130">
        <v>427.0</v>
      </c>
      <c r="B260" s="125" t="str">
        <f>VLOOKUP(A260,'Swiss Registry'!$A$2:$B$703,2,False)</f>
        <v>comseal</v>
      </c>
      <c r="C260" s="111" t="str">
        <f t="shared" si="19"/>
        <v/>
      </c>
      <c r="D260" s="112" t="str">
        <f t="shared" si="21"/>
        <v>Act: comseal</v>
      </c>
      <c r="E260" s="107" t="str">
        <f t="shared" si="20"/>
        <v/>
      </c>
      <c r="F260" s="126" t="str">
        <f>VLOOKUP(G260,'Swiss Registry'!$A$2:$B$703,2,False)</f>
        <v>olliertlol</v>
      </c>
      <c r="G260" s="131">
        <v>514.0</v>
      </c>
      <c r="H260" s="133" t="s">
        <v>1486</v>
      </c>
      <c r="I260" s="108" t="str">
        <f t="array" ref="I260">XLOOKUP(CELL("contents",B260),'Swiss Registry'!$B$2:$B$703,'Swiss Registry'!$N$2:$N$703) </f>
        <v>282867212270698496</v>
      </c>
      <c r="J260" s="109" t="str">
        <f t="array" ref="J260">XLOOKUP(CELL("contents",F260),'Swiss Registry'!$B$2:$B$703,'Swiss Registry'!$N$2:$N$703) </f>
        <v>1217597446507729028</v>
      </c>
    </row>
    <row r="261">
      <c r="A261" s="130">
        <v>602.0</v>
      </c>
      <c r="B261" s="125" t="str">
        <f>VLOOKUP(A261,'Swiss Registry'!$A$2:$B$703,2,False)</f>
        <v>zoyotte</v>
      </c>
      <c r="C261" s="105" t="str">
        <f t="shared" si="19"/>
        <v>Game 1</v>
      </c>
      <c r="D261" s="106" t="str">
        <f t="shared" si="21"/>
        <v>Game 2</v>
      </c>
      <c r="E261" s="110" t="str">
        <f t="shared" si="20"/>
        <v>Game 3</v>
      </c>
      <c r="F261" s="126" t="str">
        <f>VLOOKUP(G261,'Swiss Registry'!$A$2:$B$703,2,False)</f>
        <v>blunderpolicy</v>
      </c>
      <c r="G261" s="131">
        <v>594.0</v>
      </c>
      <c r="H261" s="133" t="s">
        <v>2287</v>
      </c>
      <c r="I261" s="108" t="str">
        <f t="array" ref="I261">XLOOKUP(CELL("contents",B261),'Swiss Registry'!$B$2:$B$703,'Swiss Registry'!$N$2:$N$703) </f>
        <v>429574111350489088</v>
      </c>
      <c r="J261" s="109" t="str">
        <f t="array" ref="J261">XLOOKUP(CELL("contents",F261),'Swiss Registry'!$B$2:$B$703,'Swiss Registry'!$N$2:$N$703) </f>
        <v>306969912566611968</v>
      </c>
    </row>
    <row r="262">
      <c r="A262" s="130">
        <v>495.0</v>
      </c>
      <c r="B262" s="125" t="str">
        <f>VLOOKUP(A262,'Swiss Registry'!$A$2:$B$703,2,False)</f>
        <v>Raven_queen</v>
      </c>
      <c r="C262" s="105" t="str">
        <f t="shared" si="19"/>
        <v>Game 1</v>
      </c>
      <c r="D262" s="106" t="str">
        <f t="shared" si="21"/>
        <v>Game 2</v>
      </c>
      <c r="E262" s="107" t="str">
        <f t="shared" si="20"/>
        <v/>
      </c>
      <c r="F262" s="126" t="str">
        <f>VLOOKUP(G262,'Swiss Registry'!$A$2:$B$703,2,False)</f>
        <v>grillking</v>
      </c>
      <c r="G262" s="131">
        <v>605.0</v>
      </c>
      <c r="H262" s="133" t="s">
        <v>2288</v>
      </c>
      <c r="I262" s="108" t="str">
        <f t="array" ref="I262">XLOOKUP(CELL("contents",B262),'Swiss Registry'!$B$2:$B$703,'Swiss Registry'!$N$2:$N$703) </f>
        <v>698505458129829940</v>
      </c>
      <c r="J262" s="109" t="str">
        <f t="array" ref="J262">XLOOKUP(CELL("contents",F262),'Swiss Registry'!$B$2:$B$703,'Swiss Registry'!$N$2:$N$703) </f>
        <v>213514916487757827</v>
      </c>
    </row>
    <row r="263">
      <c r="A263" s="130">
        <v>248.0</v>
      </c>
      <c r="B263" s="125" t="str">
        <f>VLOOKUP(A263,'Swiss Registry'!$A$2:$B$703,2,False)</f>
        <v>ashvinbutduck</v>
      </c>
      <c r="C263" s="111" t="str">
        <f t="shared" si="19"/>
        <v/>
      </c>
      <c r="D263" s="112" t="str">
        <f t="shared" si="21"/>
        <v>Act: ashvinbutduck</v>
      </c>
      <c r="E263" s="107" t="str">
        <f t="shared" si="20"/>
        <v/>
      </c>
      <c r="F263" s="126" t="str">
        <f>VLOOKUP(G263,'Swiss Registry'!$A$2:$B$703,2,False)</f>
        <v>luukthegamer</v>
      </c>
      <c r="G263" s="131">
        <v>489.0</v>
      </c>
      <c r="H263" s="133" t="s">
        <v>1486</v>
      </c>
      <c r="I263" s="108" t="str">
        <f t="array" ref="I263">XLOOKUP(CELL("contents",B263),'Swiss Registry'!$B$2:$B$703,'Swiss Registry'!$N$2:$N$703) </f>
        <v>601228993894547479</v>
      </c>
      <c r="J263" s="109" t="str">
        <f t="array" ref="J263">XLOOKUP(CELL("contents",F263),'Swiss Registry'!$B$2:$B$703,'Swiss Registry'!$N$2:$N$703) </f>
        <v>407167044174217218</v>
      </c>
    </row>
    <row r="264">
      <c r="A264" s="130">
        <v>156.0</v>
      </c>
      <c r="B264" s="125" t="str">
        <f>VLOOKUP(A264,'Swiss Registry'!$A$2:$B$703,2,False)</f>
        <v>coutt</v>
      </c>
      <c r="C264" s="105" t="str">
        <f t="shared" si="19"/>
        <v>Game 1</v>
      </c>
      <c r="D264" s="106" t="str">
        <f t="shared" si="21"/>
        <v>Game 2</v>
      </c>
      <c r="E264" s="110" t="str">
        <f t="shared" si="20"/>
        <v>Game 3</v>
      </c>
      <c r="F264" s="126" t="str">
        <f>VLOOKUP(G264,'Swiss Registry'!$A$2:$B$703,2,False)</f>
        <v>_rekkzz_</v>
      </c>
      <c r="G264" s="131">
        <v>578.0</v>
      </c>
      <c r="H264" s="133" t="s">
        <v>2289</v>
      </c>
      <c r="I264" s="108" t="str">
        <f t="array" ref="I264">XLOOKUP(CELL("contents",B264),'Swiss Registry'!$B$2:$B$703,'Swiss Registry'!$N$2:$N$703) </f>
        <v>262651676291235840</v>
      </c>
      <c r="J264" s="109" t="str">
        <f t="array" ref="J264">XLOOKUP(CELL("contents",F264),'Swiss Registry'!$B$2:$B$703,'Swiss Registry'!$N$2:$N$703) </f>
        <v>1066999557575147581</v>
      </c>
    </row>
    <row r="265">
      <c r="A265" s="130">
        <v>263.0</v>
      </c>
      <c r="B265" s="125" t="str">
        <f>VLOOKUP(A265,'Swiss Registry'!$A$2:$B$703,2,False)</f>
        <v>charku</v>
      </c>
      <c r="C265" s="105" t="str">
        <f t="shared" si="19"/>
        <v>Game 1</v>
      </c>
      <c r="D265" s="106" t="str">
        <f t="shared" si="21"/>
        <v>Game 2</v>
      </c>
      <c r="E265" s="110" t="str">
        <f t="shared" si="20"/>
        <v>Game 3</v>
      </c>
      <c r="F265" s="126" t="str">
        <f>VLOOKUP(G265,'Swiss Registry'!$A$2:$B$703,2,False)</f>
        <v>sanbaibeepo</v>
      </c>
      <c r="G265" s="131">
        <v>289.0</v>
      </c>
      <c r="H265" s="133" t="s">
        <v>2290</v>
      </c>
      <c r="I265" s="108" t="str">
        <f t="array" ref="I265">XLOOKUP(CELL("contents",B265),'Swiss Registry'!$B$2:$B$703,'Swiss Registry'!$N$2:$N$703) </f>
        <v>492288203596759042</v>
      </c>
      <c r="J265" s="109" t="str">
        <f t="array" ref="J265">XLOOKUP(CELL("contents",F265),'Swiss Registry'!$B$2:$B$703,'Swiss Registry'!$N$2:$N$703) </f>
        <v>139195151946874881</v>
      </c>
    </row>
    <row r="266">
      <c r="A266" s="130">
        <v>611.0</v>
      </c>
      <c r="B266" s="125" t="str">
        <f>VLOOKUP(A266,'Swiss Registry'!$A$2:$B$703,2,False)</f>
        <v>EatYourToastSon</v>
      </c>
      <c r="C266" s="111" t="str">
        <f t="shared" si="19"/>
        <v/>
      </c>
      <c r="D266" s="112" t="str">
        <f t="shared" si="21"/>
        <v>Act: EatYourToastSon</v>
      </c>
      <c r="E266" s="107" t="str">
        <f t="shared" si="20"/>
        <v/>
      </c>
      <c r="F266" s="126" t="str">
        <f>VLOOKUP(G266,'Swiss Registry'!$A$2:$B$703,2,False)</f>
        <v>itsaregionaldialect</v>
      </c>
      <c r="G266" s="131">
        <v>657.0</v>
      </c>
      <c r="H266" s="133" t="s">
        <v>1486</v>
      </c>
      <c r="I266" s="108" t="str">
        <f t="array" ref="I266">XLOOKUP(CELL("contents",B266),'Swiss Registry'!$B$2:$B$703,'Swiss Registry'!$N$2:$N$703) </f>
        <v>508374686359486495</v>
      </c>
      <c r="J266" s="109" t="str">
        <f t="array" ref="J266">XLOOKUP(CELL("contents",F266),'Swiss Registry'!$B$2:$B$703,'Swiss Registry'!$N$2:$N$703) </f>
        <v>SUB</v>
      </c>
    </row>
    <row r="267">
      <c r="A267" s="130">
        <v>215.0</v>
      </c>
      <c r="B267" s="125" t="str">
        <f>VLOOKUP(A267,'Swiss Registry'!$A$2:$B$703,2,False)</f>
        <v>Axselo</v>
      </c>
      <c r="C267" s="105" t="str">
        <f t="shared" si="19"/>
        <v>Game 1</v>
      </c>
      <c r="D267" s="106" t="str">
        <f t="shared" si="21"/>
        <v>Game 2</v>
      </c>
      <c r="E267" s="110" t="str">
        <f t="shared" si="20"/>
        <v>Game 3</v>
      </c>
      <c r="F267" s="126" t="str">
        <f>VLOOKUP(G267,'Swiss Registry'!$A$2:$B$703,2,False)</f>
        <v>Wizzyhatg</v>
      </c>
      <c r="G267" s="131">
        <v>137.0</v>
      </c>
      <c r="H267" s="133" t="s">
        <v>2291</v>
      </c>
      <c r="I267" s="108" t="str">
        <f t="array" ref="I267">XLOOKUP(CELL("contents",B267),'Swiss Registry'!$B$2:$B$703,'Swiss Registry'!$N$2:$N$703) </f>
        <v>627180078048215060</v>
      </c>
      <c r="J267" s="109" t="str">
        <f t="array" ref="J267">XLOOKUP(CELL("contents",F267),'Swiss Registry'!$B$2:$B$703,'Swiss Registry'!$N$2:$N$703) </f>
        <v>193484979798409216</v>
      </c>
    </row>
    <row r="268">
      <c r="A268" s="130">
        <v>588.0</v>
      </c>
      <c r="B268" s="125" t="str">
        <f>VLOOKUP(A268,'Swiss Registry'!$A$2:$B$703,2,False)</f>
        <v>witgiz</v>
      </c>
      <c r="C268" s="105" t="str">
        <f t="shared" si="19"/>
        <v>Game 1</v>
      </c>
      <c r="D268" s="106" t="str">
        <f t="shared" si="21"/>
        <v>Game 2</v>
      </c>
      <c r="E268" s="107" t="str">
        <f t="shared" si="20"/>
        <v/>
      </c>
      <c r="F268" s="126" t="str">
        <f>VLOOKUP(G268,'Swiss Registry'!$A$2:$B$703,2,False)</f>
        <v>MCJD931</v>
      </c>
      <c r="G268" s="131">
        <v>444.0</v>
      </c>
      <c r="H268" s="133" t="s">
        <v>2292</v>
      </c>
      <c r="I268" s="108" t="str">
        <f t="array" ref="I268">XLOOKUP(CELL("contents",B268),'Swiss Registry'!$B$2:$B$703,'Swiss Registry'!$N$2:$N$703) </f>
        <v>745414414429192303</v>
      </c>
      <c r="J268" s="109" t="str">
        <f t="array" ref="J268">XLOOKUP(CELL("contents",F268),'Swiss Registry'!$B$2:$B$703,'Swiss Registry'!$N$2:$N$703) </f>
        <v>371725006276788225</v>
      </c>
    </row>
    <row r="269">
      <c r="A269" s="130">
        <v>333.0</v>
      </c>
      <c r="B269" s="125" t="str">
        <f>VLOOKUP(A269,'Swiss Registry'!$A$2:$B$703,2,False)</f>
        <v>4lowray</v>
      </c>
      <c r="C269" s="105" t="str">
        <f t="shared" si="19"/>
        <v>Game 1</v>
      </c>
      <c r="D269" s="106" t="str">
        <f t="shared" si="21"/>
        <v>Game 2</v>
      </c>
      <c r="E269" s="110" t="str">
        <f t="shared" si="20"/>
        <v>Game 3</v>
      </c>
      <c r="F269" s="126" t="str">
        <f>VLOOKUP(G269,'Swiss Registry'!$A$2:$B$703,2,False)</f>
        <v>Simonf</v>
      </c>
      <c r="G269" s="131">
        <v>633.0</v>
      </c>
      <c r="H269" s="133" t="s">
        <v>2293</v>
      </c>
      <c r="I269" s="108" t="str">
        <f t="array" ref="I269">XLOOKUP(CELL("contents",B269),'Swiss Registry'!$B$2:$B$703,'Swiss Registry'!$N$2:$N$703) </f>
        <v>1083677463932051566</v>
      </c>
      <c r="J269" s="109" t="str">
        <f t="array" ref="J269">XLOOKUP(CELL("contents",F269),'Swiss Registry'!$B$2:$B$703,'Swiss Registry'!$N$2:$N$703) </f>
        <v>158927868745744385</v>
      </c>
    </row>
    <row r="270">
      <c r="A270" s="130">
        <v>251.0</v>
      </c>
      <c r="B270" s="125" t="str">
        <f>VLOOKUP(A270,'Swiss Registry'!$A$2:$B$703,2,False)</f>
        <v>tavi_tavi</v>
      </c>
      <c r="C270" s="105" t="str">
        <f t="shared" si="19"/>
        <v>Game 1</v>
      </c>
      <c r="D270" s="106" t="str">
        <f t="shared" si="21"/>
        <v>Game 2</v>
      </c>
      <c r="E270" s="107" t="str">
        <f t="shared" si="20"/>
        <v/>
      </c>
      <c r="F270" s="126" t="str">
        <f>VLOOKUP(G270,'Swiss Registry'!$A$2:$B$703,2,False)</f>
        <v>TheTwo</v>
      </c>
      <c r="G270" s="131">
        <v>111.0</v>
      </c>
      <c r="H270" s="133" t="s">
        <v>2294</v>
      </c>
      <c r="I270" s="108" t="str">
        <f t="array" ref="I270">XLOOKUP(CELL("contents",B270),'Swiss Registry'!$B$2:$B$703,'Swiss Registry'!$N$2:$N$703) </f>
        <v>332692132143824896</v>
      </c>
      <c r="J270" s="109" t="str">
        <f t="array" ref="J270">XLOOKUP(CELL("contents",F270),'Swiss Registry'!$B$2:$B$703,'Swiss Registry'!$N$2:$N$703) </f>
        <v>680173901170606171</v>
      </c>
    </row>
    <row r="271">
      <c r="A271" s="130">
        <v>598.0</v>
      </c>
      <c r="B271" s="125" t="str">
        <f>VLOOKUP(A271,'Swiss Registry'!$A$2:$B$703,2,False)</f>
        <v>draccus_comun</v>
      </c>
      <c r="C271" s="105" t="str">
        <f t="shared" si="19"/>
        <v>Game 1</v>
      </c>
      <c r="D271" s="106" t="str">
        <f t="shared" si="21"/>
        <v>Game 2</v>
      </c>
      <c r="E271" s="107" t="str">
        <f t="shared" si="20"/>
        <v/>
      </c>
      <c r="F271" s="126" t="str">
        <f>VLOOKUP(G271,'Swiss Registry'!$A$2:$B$703,2,False)</f>
        <v>myrox123</v>
      </c>
      <c r="G271" s="131">
        <v>416.0</v>
      </c>
      <c r="H271" s="133" t="s">
        <v>2295</v>
      </c>
      <c r="I271" s="108" t="str">
        <f t="array" ref="I271">XLOOKUP(CELL("contents",B271),'Swiss Registry'!$B$2:$B$703,'Swiss Registry'!$N$2:$N$703) </f>
        <v>1288506532857909365</v>
      </c>
      <c r="J271" s="109" t="str">
        <f t="array" ref="J271">XLOOKUP(CELL("contents",F271),'Swiss Registry'!$B$2:$B$703,'Swiss Registry'!$N$2:$N$703) </f>
        <v>401496586649206784</v>
      </c>
    </row>
    <row r="272">
      <c r="A272" s="130">
        <v>2.0</v>
      </c>
      <c r="B272" s="125" t="str">
        <f>VLOOKUP(A272,'Swiss Registry'!$A$2:$B$703,2,False)</f>
        <v>Altina</v>
      </c>
      <c r="C272" s="105" t="str">
        <f t="shared" si="19"/>
        <v>Game 1</v>
      </c>
      <c r="D272" s="106" t="str">
        <f t="shared" si="21"/>
        <v>Game 2</v>
      </c>
      <c r="E272" s="110" t="str">
        <f t="shared" si="20"/>
        <v>Game 3</v>
      </c>
      <c r="F272" s="126" t="str">
        <f>VLOOKUP(G272,'Swiss Registry'!$A$2:$B$703,2,False)</f>
        <v>sopphaking</v>
      </c>
      <c r="G272" s="131">
        <v>478.0</v>
      </c>
      <c r="H272" s="133" t="s">
        <v>2296</v>
      </c>
      <c r="I272" s="108" t="str">
        <f t="array" ref="I272">XLOOKUP(CELL("contents",B272),'Swiss Registry'!$B$2:$B$703,'Swiss Registry'!$N$2:$N$703) </f>
        <v>195417421459226626</v>
      </c>
      <c r="J272" s="109" t="str">
        <f t="array" ref="J272">XLOOKUP(CELL("contents",F272),'Swiss Registry'!$B$2:$B$703,'Swiss Registry'!$N$2:$N$703) </f>
        <v>215057324631392256</v>
      </c>
    </row>
    <row r="273">
      <c r="A273" s="130">
        <v>67.0</v>
      </c>
      <c r="B273" s="125" t="str">
        <f>VLOOKUP(A273,'Swiss Registry'!$A$2:$B$703,2,False)</f>
        <v>A Welcome Guest</v>
      </c>
      <c r="C273" s="105" t="str">
        <f t="shared" si="19"/>
        <v>Game 1</v>
      </c>
      <c r="D273" s="106" t="str">
        <f t="shared" si="21"/>
        <v>Game 2</v>
      </c>
      <c r="E273" s="110" t="str">
        <f t="shared" si="20"/>
        <v>Game 3</v>
      </c>
      <c r="F273" s="126" t="str">
        <f>VLOOKUP(G273,'Swiss Registry'!$A$2:$B$703,2,False)</f>
        <v>perogee</v>
      </c>
      <c r="G273" s="131">
        <v>634.0</v>
      </c>
      <c r="H273" s="133" t="s">
        <v>2297</v>
      </c>
      <c r="I273" s="108" t="str">
        <f t="array" ref="I273">XLOOKUP(CELL("contents",B273),'Swiss Registry'!$B$2:$B$703,'Swiss Registry'!$N$2:$N$703) </f>
        <v>622589229557481513</v>
      </c>
      <c r="J273" s="109" t="str">
        <f t="array" ref="J273">XLOOKUP(CELL("contents",F273),'Swiss Registry'!$B$2:$B$703,'Swiss Registry'!$N$2:$N$703) </f>
        <v>196443684068261897</v>
      </c>
    </row>
    <row r="274">
      <c r="A274" s="130">
        <v>68.0</v>
      </c>
      <c r="B274" s="125" t="str">
        <f>VLOOKUP(A274,'Swiss Registry'!$A$2:$B$703,2,False)</f>
        <v>Kingu</v>
      </c>
      <c r="C274" s="105" t="str">
        <f t="shared" si="19"/>
        <v>Game 1</v>
      </c>
      <c r="D274" s="106" t="str">
        <f t="shared" si="21"/>
        <v>Game 2</v>
      </c>
      <c r="E274" s="110" t="str">
        <f t="shared" si="20"/>
        <v>Game 3</v>
      </c>
      <c r="F274" s="126" t="str">
        <f>VLOOKUP(G274,'Swiss Registry'!$A$2:$B$703,2,False)</f>
        <v>poosh_i</v>
      </c>
      <c r="G274" s="131">
        <v>384.0</v>
      </c>
      <c r="H274" s="133" t="s">
        <v>2298</v>
      </c>
      <c r="I274" s="108" t="str">
        <f t="array" ref="I274">XLOOKUP(CELL("contents",B274),'Swiss Registry'!$B$2:$B$703,'Swiss Registry'!$N$2:$N$703) </f>
        <v>356868732964044802</v>
      </c>
      <c r="J274" s="109" t="str">
        <f t="array" ref="J274">XLOOKUP(CELL("contents",F274),'Swiss Registry'!$B$2:$B$703,'Swiss Registry'!$N$2:$N$703) </f>
        <v>157452846374191104</v>
      </c>
    </row>
    <row r="275">
      <c r="A275" s="130">
        <v>72.0</v>
      </c>
      <c r="B275" s="125" t="str">
        <f>VLOOKUP(A275,'Swiss Registry'!$A$2:$B$703,2,False)</f>
        <v>Roy Yamaha</v>
      </c>
      <c r="C275" s="111" t="str">
        <f t="shared" si="19"/>
        <v/>
      </c>
      <c r="D275" s="112" t="str">
        <f t="shared" si="21"/>
        <v>Act: Roy Yamaha</v>
      </c>
      <c r="E275" s="107" t="str">
        <f t="shared" si="20"/>
        <v/>
      </c>
      <c r="F275" s="126" t="str">
        <f>VLOOKUP(G275,'Swiss Registry'!$A$2:$B$703,2,False)</f>
        <v>wonderfulwhiscash</v>
      </c>
      <c r="G275" s="131">
        <v>699.0</v>
      </c>
      <c r="H275" s="133" t="s">
        <v>1486</v>
      </c>
      <c r="I275" s="108" t="str">
        <f t="array" ref="I275">XLOOKUP(CELL("contents",B275),'Swiss Registry'!$B$2:$B$703,'Swiss Registry'!$N$2:$N$703) </f>
        <v>973581296846663711</v>
      </c>
      <c r="J275" s="109" t="str">
        <f t="array" ref="J275">XLOOKUP(CELL("contents",F275),'Swiss Registry'!$B$2:$B$703,'Swiss Registry'!$N$2:$N$703) </f>
        <v>1073864488266256424</v>
      </c>
    </row>
    <row r="276">
      <c r="A276" s="130">
        <v>76.0</v>
      </c>
      <c r="B276" s="125" t="str">
        <f>VLOOKUP(A276,'Swiss Registry'!$A$2:$B$703,2,False)</f>
        <v>Smallow</v>
      </c>
      <c r="C276" s="105" t="str">
        <f t="shared" si="19"/>
        <v>Game 1</v>
      </c>
      <c r="D276" s="106" t="str">
        <f t="shared" si="21"/>
        <v>Game 2</v>
      </c>
      <c r="E276" s="107" t="str">
        <f t="shared" si="20"/>
        <v/>
      </c>
      <c r="F276" s="126" t="str">
        <f>VLOOKUP(G276,'Swiss Registry'!$A$2:$B$703,2,False)</f>
        <v>Gthorpe1993</v>
      </c>
      <c r="G276" s="131">
        <v>109.0</v>
      </c>
      <c r="H276" s="133" t="s">
        <v>2299</v>
      </c>
      <c r="I276" s="108" t="str">
        <f t="array" ref="I276">XLOOKUP(CELL("contents",B276),'Swiss Registry'!$B$2:$B$703,'Swiss Registry'!$N$2:$N$703) </f>
        <v>SUB</v>
      </c>
      <c r="J276" s="109" t="str">
        <f t="array" ref="J276">XLOOKUP(CELL("contents",F276),'Swiss Registry'!$B$2:$B$703,'Swiss Registry'!$N$2:$N$703) </f>
        <v>1156599439226572913</v>
      </c>
    </row>
    <row r="277">
      <c r="A277" s="130">
        <v>87.0</v>
      </c>
      <c r="B277" s="125" t="str">
        <f>VLOOKUP(A277,'Swiss Registry'!$A$2:$B$703,2,False)</f>
        <v>Zcarlett</v>
      </c>
      <c r="C277" s="105" t="str">
        <f t="shared" si="19"/>
        <v>Game 1</v>
      </c>
      <c r="D277" s="106" t="str">
        <f t="shared" si="21"/>
        <v>Game 2</v>
      </c>
      <c r="E277" s="110" t="str">
        <f t="shared" si="20"/>
        <v>Game 3</v>
      </c>
      <c r="F277" s="126" t="str">
        <f>VLOOKUP(G277,'Swiss Registry'!$A$2:$B$703,2,False)</f>
        <v>chipi</v>
      </c>
      <c r="G277" s="131">
        <v>165.0</v>
      </c>
      <c r="H277" s="133" t="s">
        <v>2300</v>
      </c>
      <c r="I277" s="108" t="str">
        <f t="array" ref="I277">XLOOKUP(CELL("contents",B277),'Swiss Registry'!$B$2:$B$703,'Swiss Registry'!$N$2:$N$703) </f>
        <v>513029374392533043</v>
      </c>
      <c r="J277" s="109" t="str">
        <f t="array" ref="J277">XLOOKUP(CELL("contents",F277),'Swiss Registry'!$B$2:$B$703,'Swiss Registry'!$N$2:$N$703) </f>
        <v>194576469383446529</v>
      </c>
    </row>
    <row r="278">
      <c r="A278" s="130">
        <v>89.0</v>
      </c>
      <c r="B278" s="125" t="str">
        <f>VLOOKUP(A278,'Swiss Registry'!$A$2:$B$703,2,False)</f>
        <v>Alecss</v>
      </c>
      <c r="C278" s="111" t="str">
        <f t="shared" si="19"/>
        <v/>
      </c>
      <c r="D278" s="112" t="str">
        <f t="shared" si="21"/>
        <v>Act: Alecss</v>
      </c>
      <c r="E278" s="107" t="str">
        <f t="shared" si="20"/>
        <v/>
      </c>
      <c r="F278" s="126" t="str">
        <f>VLOOKUP(G278,'Swiss Registry'!$A$2:$B$703,2,False)</f>
        <v>renlyyynnn</v>
      </c>
      <c r="G278" s="131">
        <v>700.0</v>
      </c>
      <c r="H278" s="133" t="s">
        <v>1486</v>
      </c>
      <c r="I278" s="108" t="str">
        <f t="array" ref="I278">XLOOKUP(CELL("contents",B278),'Swiss Registry'!$B$2:$B$703,'Swiss Registry'!$N$2:$N$703) </f>
        <v>1066130063470374962</v>
      </c>
      <c r="J278" s="109" t="str">
        <f t="array" ref="J278">XLOOKUP(CELL("contents",F278),'Swiss Registry'!$B$2:$B$703,'Swiss Registry'!$N$2:$N$703) </f>
        <v>925782763364298833</v>
      </c>
    </row>
    <row r="279">
      <c r="A279" s="130">
        <v>234.0</v>
      </c>
      <c r="B279" s="125" t="str">
        <f>VLOOKUP(A279,'Swiss Registry'!$A$2:$B$703,2,False)</f>
        <v>soulive</v>
      </c>
      <c r="C279" s="111" t="str">
        <f t="shared" si="19"/>
        <v/>
      </c>
      <c r="D279" s="112" t="str">
        <f t="shared" si="21"/>
        <v>Act: frogsella</v>
      </c>
      <c r="E279" s="107" t="str">
        <f t="shared" si="20"/>
        <v/>
      </c>
      <c r="F279" s="126" t="str">
        <f>VLOOKUP(G279,'Swiss Registry'!$A$2:$B$703,2,False)</f>
        <v>frogsella</v>
      </c>
      <c r="G279" s="131">
        <v>583.0</v>
      </c>
      <c r="H279" s="133" t="s">
        <v>1523</v>
      </c>
      <c r="I279" s="108" t="str">
        <f t="array" ref="I279">XLOOKUP(CELL("contents",B279),'Swiss Registry'!$B$2:$B$703,'Swiss Registry'!$N$2:$N$703) </f>
        <v>563757688710889482</v>
      </c>
      <c r="J279" s="109" t="str">
        <f t="array" ref="J279">XLOOKUP(CELL("contents",F279),'Swiss Registry'!$B$2:$B$703,'Swiss Registry'!$N$2:$N$703) </f>
        <v>229061659698659328</v>
      </c>
    </row>
    <row r="280">
      <c r="A280" s="130">
        <v>153.0</v>
      </c>
      <c r="B280" s="125" t="str">
        <f>VLOOKUP(A280,'Swiss Registry'!$A$2:$B$703,2,False)</f>
        <v>Loneling</v>
      </c>
      <c r="C280" s="105" t="str">
        <f t="shared" si="19"/>
        <v>Game 1</v>
      </c>
      <c r="D280" s="106" t="str">
        <f t="shared" si="21"/>
        <v>Game 2</v>
      </c>
      <c r="E280" s="107" t="str">
        <f t="shared" si="20"/>
        <v/>
      </c>
      <c r="F280" s="126" t="str">
        <f>VLOOKUP(G280,'Swiss Registry'!$A$2:$B$703,2,False)</f>
        <v>Filthy Cubone</v>
      </c>
      <c r="G280" s="131">
        <v>639.0</v>
      </c>
      <c r="H280" s="133" t="s">
        <v>2301</v>
      </c>
      <c r="I280" s="108" t="str">
        <f t="array" ref="I280">XLOOKUP(CELL("contents",B280),'Swiss Registry'!$B$2:$B$703,'Swiss Registry'!$N$2:$N$703) </f>
        <v>1260035840294260737</v>
      </c>
      <c r="J280" s="109" t="str">
        <f t="array" ref="J280">XLOOKUP(CELL("contents",F280),'Swiss Registry'!$B$2:$B$703,'Swiss Registry'!$N$2:$N$703) </f>
        <v>185564749528825867</v>
      </c>
    </row>
    <row r="281">
      <c r="A281" s="130">
        <v>116.0</v>
      </c>
      <c r="B281" s="125" t="str">
        <f>VLOOKUP(A281,'Swiss Registry'!$A$2:$B$703,2,False)</f>
        <v>viel06</v>
      </c>
      <c r="C281" s="105" t="str">
        <f t="shared" si="19"/>
        <v>Game 1</v>
      </c>
      <c r="D281" s="106" t="str">
        <f t="shared" si="21"/>
        <v>Game 2</v>
      </c>
      <c r="E281" s="107" t="str">
        <f t="shared" si="20"/>
        <v/>
      </c>
      <c r="F281" s="126" t="str">
        <f>VLOOKUP(G281,'Swiss Registry'!$A$2:$B$703,2,False)</f>
        <v>countsligo</v>
      </c>
      <c r="G281" s="131">
        <v>346.0</v>
      </c>
      <c r="H281" s="133" t="s">
        <v>2302</v>
      </c>
      <c r="I281" s="108" t="str">
        <f t="array" ref="I281">XLOOKUP(CELL("contents",B281),'Swiss Registry'!$B$2:$B$703,'Swiss Registry'!$N$2:$N$703) </f>
        <v>462758066685870080</v>
      </c>
      <c r="J281" s="109" t="str">
        <f t="array" ref="J281">XLOOKUP(CELL("contents",F281),'Swiss Registry'!$B$2:$B$703,'Swiss Registry'!$N$2:$N$703) </f>
        <v>442172713763602432</v>
      </c>
    </row>
    <row r="282" ht="15.0" customHeight="1">
      <c r="A282" s="80">
        <v>649.0</v>
      </c>
      <c r="B282" s="122"/>
      <c r="C282" s="114"/>
      <c r="D282" s="82" t="s">
        <v>2303</v>
      </c>
      <c r="E282" s="81"/>
      <c r="F282" s="123"/>
      <c r="G282" s="132"/>
      <c r="H282" s="83"/>
      <c r="I282" s="81"/>
      <c r="J282" s="81"/>
    </row>
    <row r="283">
      <c r="A283" s="130">
        <v>649.0</v>
      </c>
      <c r="B283" s="125" t="str">
        <f>VLOOKUP(A283,'Swiss Registry'!$A$2:$B$703,2,False)</f>
        <v>MenaCicada</v>
      </c>
      <c r="C283" s="105" t="str">
        <f t="shared" ref="C283:C321" si="22">IF(H283="dead","",IF(H283="a:act","",IF(H283="b:act","",IF(ISURL(HYPERLINK(INDIRECT("Importer!B"&amp;MID(H283,2,4)+1,TRUE))),HYPERLINK(INDIRECT("Importer!B"&amp;MID(H283,2,4)+1,TRUE), "Game 1"),""))))</f>
        <v>Game 1</v>
      </c>
      <c r="D283" s="106" t="str">
        <f>IF(H283="dead","Dead Game",IF(H283="a:act","Act: "&amp;F283,IF(H283="b:act","Act: "&amp;#REF!,IF(ISURL(HYPERLINK(INDIRECT("Importer!B"&amp;MID(H283,6,4)+1,TRUE))),HYPERLINK(INDIRECT("Importer!B"&amp;MID(H283,6,4)+1,TRUE), "Game 2"),""))))</f>
        <v>Game 2</v>
      </c>
      <c r="E283" s="110" t="str">
        <f t="shared" ref="E283:E321" si="23">IF(H283="dead","",IF(H283="a:act","",IF(H283="b:act","",IF(ISURL(HYPERLINK(INDIRECT("Importer!B"&amp;MID(H283,10,4)+1,TRUE))),HYPERLINK(INDIRECT("Importer!B"&amp;MID(H283,10,4)+1,TRUE), "Game 3"),""))))</f>
        <v>Game 3</v>
      </c>
      <c r="F283" s="126" t="str">
        <f>VLOOKUP(G283,'Swiss Registry'!$A$2:$B$703,2,False)</f>
        <v>rizzarroflame</v>
      </c>
      <c r="G283" s="131">
        <v>493.0</v>
      </c>
      <c r="H283" s="83" t="s">
        <v>2304</v>
      </c>
      <c r="I283" s="108" t="str">
        <f t="array" ref="I283">XLOOKUP(CELL("contents",B283),'Swiss Registry'!$B$2:$B$703,'Swiss Registry'!$N$2:$N$703) </f>
        <v>533411497616080896</v>
      </c>
      <c r="J283" s="109" t="str">
        <f t="array" ref="J283">XLOOKUP(CELL("contents",F283),'Swiss Registry'!$B$2:$B$703,'Swiss Registry'!$N$2:$N$703) </f>
        <v>252382699904303104</v>
      </c>
    </row>
    <row r="284">
      <c r="A284" s="130">
        <v>312.0</v>
      </c>
      <c r="B284" s="125" t="str">
        <f>VLOOKUP(A284,'Swiss Registry'!$A$2:$B$703,2,False)</f>
        <v>enkiduofficial</v>
      </c>
      <c r="C284" s="105" t="str">
        <f t="shared" si="22"/>
        <v>Game 1</v>
      </c>
      <c r="D284" s="106" t="str">
        <f t="shared" ref="D284:D321" si="24">IF(H284="dead","Dead Game",IF(H284="a:act","Act: "&amp;B284,IF(H284="b:act","Act: "&amp;F284,IF(ISURL(HYPERLINK(INDIRECT("Importer!B"&amp;MID(H284,6,4)+1,TRUE))),HYPERLINK(INDIRECT("Importer!B"&amp;MID(H284,6,4)+1,TRUE), "Game 2"),""))))</f>
        <v>Game 2</v>
      </c>
      <c r="E284" s="110" t="str">
        <f t="shared" si="23"/>
        <v>Game 3</v>
      </c>
      <c r="F284" s="126" t="str">
        <f>VLOOKUP(G284,'Swiss Registry'!$A$2:$B$703,2,False)</f>
        <v>green.9082</v>
      </c>
      <c r="G284" s="131">
        <v>287.0</v>
      </c>
      <c r="H284" s="83" t="s">
        <v>2305</v>
      </c>
      <c r="I284" s="108" t="str">
        <f t="array" ref="I284">XLOOKUP(CELL("contents",B284),'Swiss Registry'!$B$2:$B$703,'Swiss Registry'!$N$2:$N$703) </f>
        <v>501160456476688389</v>
      </c>
      <c r="J284" s="109" t="str">
        <f t="array" ref="J284">XLOOKUP(CELL("contents",F284),'Swiss Registry'!$B$2:$B$703,'Swiss Registry'!$N$2:$N$703) </f>
        <v>627563478973939723</v>
      </c>
    </row>
    <row r="285">
      <c r="A285" s="130">
        <v>603.0</v>
      </c>
      <c r="B285" s="125" t="str">
        <f>VLOOKUP(A285,'Swiss Registry'!$A$2:$B$703,2,False)</f>
        <v>fuckboylenny</v>
      </c>
      <c r="C285" s="111" t="str">
        <f t="shared" si="22"/>
        <v/>
      </c>
      <c r="D285" s="112" t="str">
        <f t="shared" si="24"/>
        <v>Act: fuckboylenny</v>
      </c>
      <c r="E285" s="107" t="str">
        <f t="shared" si="23"/>
        <v/>
      </c>
      <c r="F285" s="126" t="str">
        <f>VLOOKUP(G285,'Swiss Registry'!$A$2:$B$703,2,False)</f>
        <v>SUB 25</v>
      </c>
      <c r="G285" s="131">
        <v>386.0</v>
      </c>
      <c r="H285" s="83" t="s">
        <v>1486</v>
      </c>
      <c r="I285" s="108" t="str">
        <f t="array" ref="I285">XLOOKUP(CELL("contents",B285),'Swiss Registry'!$B$2:$B$703,'Swiss Registry'!$N$2:$N$703) </f>
        <v>1287687998716117037</v>
      </c>
      <c r="J285" s="109" t="str">
        <f t="array" ref="J285">XLOOKUP(CELL("contents",F285),'Swiss Registry'!$B$2:$B$703,'Swiss Registry'!$N$2:$N$703) </f>
        <v>SUB</v>
      </c>
    </row>
    <row r="286">
      <c r="A286" s="130">
        <v>516.0</v>
      </c>
      <c r="B286" s="125" t="str">
        <f>VLOOKUP(A286,'Swiss Registry'!$A$2:$B$703,2,False)</f>
        <v>dazey</v>
      </c>
      <c r="C286" s="105" t="str">
        <f t="shared" si="22"/>
        <v>Game 1</v>
      </c>
      <c r="D286" s="106" t="str">
        <f t="shared" si="24"/>
        <v>Game 2</v>
      </c>
      <c r="E286" s="110" t="str">
        <f t="shared" si="23"/>
        <v>Game 3</v>
      </c>
      <c r="F286" s="126" t="str">
        <f>VLOOKUP(G286,'Swiss Registry'!$A$2:$B$703,2,False)</f>
        <v>Rebatca</v>
      </c>
      <c r="G286" s="131">
        <v>188.0</v>
      </c>
      <c r="H286" s="83" t="s">
        <v>2306</v>
      </c>
      <c r="I286" s="108" t="str">
        <f t="array" ref="I286">XLOOKUP(CELL("contents",B286),'Swiss Registry'!$B$2:$B$703,'Swiss Registry'!$N$2:$N$703) </f>
        <v>72877098267586560</v>
      </c>
      <c r="J286" s="109" t="str">
        <f t="array" ref="J286">XLOOKUP(CELL("contents",F286),'Swiss Registry'!$B$2:$B$703,'Swiss Registry'!$N$2:$N$703) </f>
        <v>186748597398667264</v>
      </c>
    </row>
    <row r="287">
      <c r="A287" s="130">
        <v>281.0</v>
      </c>
      <c r="B287" s="125" t="str">
        <f>VLOOKUP(A287,'Swiss Registry'!$A$2:$B$703,2,False)</f>
        <v>jpmockman</v>
      </c>
      <c r="C287" s="111" t="str">
        <f t="shared" si="22"/>
        <v/>
      </c>
      <c r="D287" s="112" t="str">
        <f t="shared" si="24"/>
        <v>Act: jpmockman</v>
      </c>
      <c r="E287" s="107" t="str">
        <f t="shared" si="23"/>
        <v/>
      </c>
      <c r="F287" s="126" t="str">
        <f>VLOOKUP(G287,'Swiss Registry'!$A$2:$B$703,2,False)</f>
        <v>SUB 20</v>
      </c>
      <c r="G287" s="131">
        <v>148.0</v>
      </c>
      <c r="H287" s="83" t="s">
        <v>1486</v>
      </c>
      <c r="I287" s="108" t="str">
        <f t="array" ref="I287">XLOOKUP(CELL("contents",B287),'Swiss Registry'!$B$2:$B$703,'Swiss Registry'!$N$2:$N$703) </f>
        <v>935729080282796103</v>
      </c>
      <c r="J287" s="109" t="str">
        <f t="array" ref="J287">XLOOKUP(CELL("contents",F287),'Swiss Registry'!$B$2:$B$703,'Swiss Registry'!$N$2:$N$703) </f>
        <v>SUB</v>
      </c>
    </row>
    <row r="288">
      <c r="A288" s="130">
        <v>668.0</v>
      </c>
      <c r="B288" s="125" t="str">
        <f>VLOOKUP(A288,'Swiss Registry'!$A$2:$B$703,2,False)</f>
        <v>SUB 23</v>
      </c>
      <c r="C288" s="111" t="str">
        <f t="shared" si="22"/>
        <v/>
      </c>
      <c r="D288" s="112" t="str">
        <f t="shared" si="24"/>
        <v>Act: Luca Dylan</v>
      </c>
      <c r="E288" s="107" t="str">
        <f t="shared" si="23"/>
        <v/>
      </c>
      <c r="F288" s="126" t="str">
        <f>VLOOKUP(G288,'Swiss Registry'!$A$2:$B$703,2,False)</f>
        <v>Luca Dylan</v>
      </c>
      <c r="G288" s="131">
        <v>542.0</v>
      </c>
      <c r="H288" s="83" t="s">
        <v>1714</v>
      </c>
      <c r="I288" s="108" t="str">
        <f t="array" ref="I288">XLOOKUP(CELL("contents",B288),'Swiss Registry'!$B$2:$B$703,'Swiss Registry'!$N$2:$N$703) </f>
        <v>SUB</v>
      </c>
      <c r="J288" s="109" t="str">
        <f t="array" ref="J288">XLOOKUP(CELL("contents",F288),'Swiss Registry'!$B$2:$B$703,'Swiss Registry'!$N$2:$N$703) </f>
        <v>695567810511896586</v>
      </c>
    </row>
    <row r="289">
      <c r="A289" s="130">
        <v>203.0</v>
      </c>
      <c r="B289" s="125" t="str">
        <f>VLOOKUP(A289,'Swiss Registry'!$A$2:$B$703,2,False)</f>
        <v>JxJ</v>
      </c>
      <c r="C289" s="105" t="str">
        <f t="shared" si="22"/>
        <v>Game 1</v>
      </c>
      <c r="D289" s="106" t="str">
        <f t="shared" si="24"/>
        <v>Game 2</v>
      </c>
      <c r="E289" s="110" t="str">
        <f t="shared" si="23"/>
        <v>Game 3</v>
      </c>
      <c r="F289" s="126" t="str">
        <f>VLOOKUP(G289,'Swiss Registry'!$A$2:$B$703,2,False)</f>
        <v>loffelbiskuit</v>
      </c>
      <c r="G289" s="131">
        <v>592.0</v>
      </c>
      <c r="H289" s="83" t="s">
        <v>2307</v>
      </c>
      <c r="I289" s="108" t="str">
        <f t="array" ref="I289">XLOOKUP(CELL("contents",B289),'Swiss Registry'!$B$2:$B$703,'Swiss Registry'!$N$2:$N$703) </f>
        <v>431270421652832258</v>
      </c>
      <c r="J289" s="109" t="str">
        <f t="array" ref="J289">XLOOKUP(CELL("contents",F289),'Swiss Registry'!$B$2:$B$703,'Swiss Registry'!$N$2:$N$703) </f>
        <v>850393740366577665</v>
      </c>
    </row>
    <row r="290">
      <c r="A290" s="130">
        <v>462.0</v>
      </c>
      <c r="B290" s="125" t="str">
        <f>VLOOKUP(A290,'Swiss Registry'!$A$2:$B$703,2,False)</f>
        <v>MoxieKrok</v>
      </c>
      <c r="C290" s="111" t="str">
        <f t="shared" si="22"/>
        <v/>
      </c>
      <c r="D290" s="112" t="str">
        <f t="shared" si="24"/>
        <v>Act: MoxieKrok</v>
      </c>
      <c r="E290" s="107" t="str">
        <f t="shared" si="23"/>
        <v/>
      </c>
      <c r="F290" s="126" t="str">
        <f>VLOOKUP(G290,'Swiss Registry'!$A$2:$B$703,2,False)</f>
        <v>CHICKENBOOB</v>
      </c>
      <c r="G290" s="127">
        <v>139.0</v>
      </c>
      <c r="H290" s="83" t="s">
        <v>1706</v>
      </c>
      <c r="I290" s="108" t="str">
        <f t="array" ref="I290">XLOOKUP(CELL("contents",B290),'Swiss Registry'!$B$2:$B$703,'Swiss Registry'!$N$2:$N$703) </f>
        <v>125066316477497344</v>
      </c>
      <c r="J290" s="117" t="str">
        <f t="array" ref="J290">XLOOKUP(CELL("contents",F290),'Swiss Registry'!$B$2:$B$703,'Swiss Registry'!$N$2:$N$703) </f>
        <v>SUB</v>
      </c>
    </row>
    <row r="291">
      <c r="A291" s="130">
        <v>332.0</v>
      </c>
      <c r="B291" s="125" t="str">
        <f>VLOOKUP(A291,'Swiss Registry'!$A$2:$B$703,2,False)</f>
        <v>SUB 26</v>
      </c>
      <c r="C291" s="111" t="str">
        <f t="shared" si="22"/>
        <v/>
      </c>
      <c r="D291" s="112" t="str">
        <f t="shared" si="24"/>
        <v>Act: luca</v>
      </c>
      <c r="E291" s="107" t="str">
        <f t="shared" si="23"/>
        <v/>
      </c>
      <c r="F291" s="126" t="str">
        <f>VLOOKUP(G291,'Swiss Registry'!$A$2:$B$703,2,False)</f>
        <v>luca</v>
      </c>
      <c r="G291" s="127">
        <v>311.0</v>
      </c>
      <c r="H291" s="83" t="s">
        <v>1523</v>
      </c>
      <c r="I291" s="108" t="str">
        <f t="array" ref="I291">XLOOKUP(CELL("contents",B291),'Swiss Registry'!$B$2:$B$703,'Swiss Registry'!$N$2:$N$703) </f>
        <v>SUB</v>
      </c>
      <c r="J291" s="109" t="str">
        <f t="array" ref="J291">XLOOKUP(CELL("contents",F291),'Swiss Registry'!$B$2:$B$703,'Swiss Registry'!$N$2:$N$703) </f>
        <v>66965595282743296</v>
      </c>
    </row>
    <row r="292">
      <c r="A292" s="130">
        <v>694.0</v>
      </c>
      <c r="B292" s="125" t="str">
        <f>VLOOKUP(A292,'Swiss Registry'!$A$2:$B$703,2,False)</f>
        <v>WraxiusGaming</v>
      </c>
      <c r="C292" s="111" t="str">
        <f t="shared" si="22"/>
        <v/>
      </c>
      <c r="D292" s="112" t="str">
        <f t="shared" si="24"/>
        <v>Act: WraxiusGaming</v>
      </c>
      <c r="E292" s="107" t="str">
        <f t="shared" si="23"/>
        <v/>
      </c>
      <c r="F292" s="126" t="str">
        <f>VLOOKUP(G292,'Swiss Registry'!$A$2:$B$703,2,False)</f>
        <v>SUB 28</v>
      </c>
      <c r="G292" s="131">
        <v>596.0</v>
      </c>
      <c r="H292" s="83" t="s">
        <v>1706</v>
      </c>
      <c r="I292" s="108" t="str">
        <f t="array" ref="I292">XLOOKUP(CELL("contents",B292),'Swiss Registry'!$B$2:$B$703,'Swiss Registry'!$N$2:$N$703) </f>
        <v>476882845525213184</v>
      </c>
      <c r="J292" s="109" t="str">
        <f t="array" ref="J292">XLOOKUP(CELL("contents",F292),'Swiss Registry'!$B$2:$B$703,'Swiss Registry'!$N$2:$N$703) </f>
        <v>SUB</v>
      </c>
    </row>
    <row r="293">
      <c r="A293" s="130">
        <v>488.0</v>
      </c>
      <c r="B293" s="125" t="str">
        <f>VLOOKUP(A293,'Swiss Registry'!$A$2:$B$703,2,False)</f>
        <v>lemann8184</v>
      </c>
      <c r="C293" s="111" t="str">
        <f t="shared" si="22"/>
        <v/>
      </c>
      <c r="D293" s="112" t="str">
        <f t="shared" si="24"/>
        <v>Act: aquaa</v>
      </c>
      <c r="E293" s="107" t="str">
        <f t="shared" si="23"/>
        <v/>
      </c>
      <c r="F293" s="126" t="str">
        <f>VLOOKUP(G293,'Swiss Registry'!$A$2:$B$703,2,False)</f>
        <v>aquaa</v>
      </c>
      <c r="G293" s="131">
        <v>143.0</v>
      </c>
      <c r="H293" s="83" t="s">
        <v>1523</v>
      </c>
      <c r="I293" s="108" t="str">
        <f t="array" ref="I293">XLOOKUP(CELL("contents",B293),'Swiss Registry'!$B$2:$B$703,'Swiss Registry'!$N$2:$N$703) </f>
        <v>475717768117747714</v>
      </c>
      <c r="J293" s="109" t="str">
        <f t="array" ref="J293">XLOOKUP(CELL("contents",F293),'Swiss Registry'!$B$2:$B$703,'Swiss Registry'!$N$2:$N$703) </f>
        <v>86675967501697024</v>
      </c>
    </row>
    <row r="294">
      <c r="A294" s="130">
        <v>209.0</v>
      </c>
      <c r="B294" s="125" t="str">
        <f>VLOOKUP(A294,'Swiss Registry'!$A$2:$B$703,2,False)</f>
        <v>2coinsglued</v>
      </c>
      <c r="C294" s="111" t="str">
        <f t="shared" si="22"/>
        <v/>
      </c>
      <c r="D294" s="112" t="str">
        <f t="shared" si="24"/>
        <v>Act: 2coinsglued</v>
      </c>
      <c r="E294" s="107" t="str">
        <f t="shared" si="23"/>
        <v/>
      </c>
      <c r="F294" s="126" t="str">
        <f>VLOOKUP(G294,'Swiss Registry'!$A$2:$B$703,2,False)</f>
        <v>SUB 21</v>
      </c>
      <c r="G294" s="131">
        <v>175.0</v>
      </c>
      <c r="H294" s="83" t="s">
        <v>1486</v>
      </c>
      <c r="I294" s="108" t="str">
        <f t="array" ref="I294">XLOOKUP(CELL("contents",B294),'Swiss Registry'!$B$2:$B$703,'Swiss Registry'!$N$2:$N$703) </f>
        <v>SUB</v>
      </c>
      <c r="J294" s="109" t="str">
        <f t="array" ref="J294">XLOOKUP(CELL("contents",F294),'Swiss Registry'!$B$2:$B$703,'Swiss Registry'!$N$2:$N$703) </f>
        <v>SUB</v>
      </c>
    </row>
    <row r="295">
      <c r="A295" s="130">
        <v>181.0</v>
      </c>
      <c r="B295" s="125" t="str">
        <f>VLOOKUP(A295,'Swiss Registry'!$A$2:$B$703,2,False)</f>
        <v>bigyunakafan</v>
      </c>
      <c r="C295" s="105" t="str">
        <f t="shared" si="22"/>
        <v>Game 1</v>
      </c>
      <c r="D295" s="106" t="str">
        <f t="shared" si="24"/>
        <v>Game 2</v>
      </c>
      <c r="E295" s="107" t="str">
        <f t="shared" si="23"/>
        <v/>
      </c>
      <c r="F295" s="126" t="str">
        <f>VLOOKUP(G295,'Swiss Registry'!$A$2:$B$703,2,False)</f>
        <v>javiercar#9743</v>
      </c>
      <c r="G295" s="131">
        <v>438.0</v>
      </c>
      <c r="H295" s="83" t="s">
        <v>2308</v>
      </c>
      <c r="I295" s="108" t="str">
        <f t="array" ref="I295">XLOOKUP(CELL("contents",B295),'Swiss Registry'!$B$2:$B$703,'Swiss Registry'!$N$2:$N$703) </f>
        <v>322807253465956353</v>
      </c>
      <c r="J295" s="109" t="str">
        <f t="array" ref="J295">XLOOKUP(CELL("contents",F295),'Swiss Registry'!$B$2:$B$703,'Swiss Registry'!$N$2:$N$703) </f>
        <v>297884550976241685</v>
      </c>
    </row>
    <row r="296">
      <c r="A296" s="130">
        <v>615.0</v>
      </c>
      <c r="B296" s="125" t="str">
        <f>VLOOKUP(A296,'Swiss Registry'!$A$2:$B$703,2,False)</f>
        <v>giantking20</v>
      </c>
      <c r="C296" s="111" t="str">
        <f t="shared" si="22"/>
        <v/>
      </c>
      <c r="D296" s="112" t="str">
        <f t="shared" si="24"/>
        <v>Act: .lucky_7.</v>
      </c>
      <c r="E296" s="107" t="str">
        <f t="shared" si="23"/>
        <v/>
      </c>
      <c r="F296" s="126" t="str">
        <f>VLOOKUP(G296,'Swiss Registry'!$A$2:$B$703,2,False)</f>
        <v>.lucky_7.</v>
      </c>
      <c r="G296" s="131">
        <v>401.0</v>
      </c>
      <c r="H296" s="83" t="s">
        <v>1523</v>
      </c>
      <c r="I296" s="108" t="str">
        <f t="array" ref="I296">XLOOKUP(CELL("contents",B296),'Swiss Registry'!$B$2:$B$703,'Swiss Registry'!$N$2:$N$703) </f>
        <v>611974176751747105</v>
      </c>
      <c r="J296" s="109" t="str">
        <f t="array" ref="J296">XLOOKUP(CELL("contents",F296),'Swiss Registry'!$B$2:$B$703,'Swiss Registry'!$N$2:$N$703) </f>
        <v>324637010193285121</v>
      </c>
    </row>
    <row r="297">
      <c r="A297" s="130">
        <v>681.0</v>
      </c>
      <c r="B297" s="125" t="str">
        <f>VLOOKUP(A297,'Swiss Registry'!$A$2:$B$703,2,False)</f>
        <v>Ezcrime</v>
      </c>
      <c r="C297" s="105" t="str">
        <f t="shared" si="22"/>
        <v>Game 1</v>
      </c>
      <c r="D297" s="106" t="str">
        <f t="shared" si="24"/>
        <v>Game 2</v>
      </c>
      <c r="E297" s="107" t="str">
        <f t="shared" si="23"/>
        <v/>
      </c>
      <c r="F297" s="126" t="str">
        <f>VLOOKUP(G297,'Swiss Registry'!$A$2:$B$703,2,False)</f>
        <v>martconqueso</v>
      </c>
      <c r="G297" s="131">
        <v>162.0</v>
      </c>
      <c r="H297" s="83" t="s">
        <v>2309</v>
      </c>
      <c r="I297" s="108" t="str">
        <f t="array" ref="I297">XLOOKUP(CELL("contents",B297),'Swiss Registry'!$B$2:$B$703,'Swiss Registry'!$N$2:$N$703) </f>
        <v>855540512782155823</v>
      </c>
      <c r="J297" s="109" t="str">
        <f t="array" ref="J297">XLOOKUP(CELL("contents",F297),'Swiss Registry'!$B$2:$B$703,'Swiss Registry'!$N$2:$N$703) </f>
        <v>220939914915741696</v>
      </c>
    </row>
    <row r="298">
      <c r="A298" s="130">
        <v>413.0</v>
      </c>
      <c r="B298" s="125" t="str">
        <f>VLOOKUP(A298,'Swiss Registry'!$A$2:$B$703,2,False)</f>
        <v>_honua</v>
      </c>
      <c r="C298" s="105" t="str">
        <f t="shared" si="22"/>
        <v>Game 1</v>
      </c>
      <c r="D298" s="106" t="str">
        <f t="shared" si="24"/>
        <v>Game 2</v>
      </c>
      <c r="E298" s="110" t="str">
        <f t="shared" si="23"/>
        <v>Game 3</v>
      </c>
      <c r="F298" s="126" t="str">
        <f>VLOOKUP(G298,'Swiss Registry'!$A$2:$B$703,2,False)</f>
        <v>tommy4830</v>
      </c>
      <c r="G298" s="131">
        <v>590.0</v>
      </c>
      <c r="H298" s="83" t="s">
        <v>2310</v>
      </c>
      <c r="I298" s="108" t="str">
        <f t="array" ref="I298">XLOOKUP(CELL("contents",B298),'Swiss Registry'!$B$2:$B$703,'Swiss Registry'!$N$2:$N$703) </f>
        <v>197962442704158720</v>
      </c>
      <c r="J298" s="109" t="str">
        <f t="array" ref="J298">XLOOKUP(CELL("contents",F298),'Swiss Registry'!$B$2:$B$703,'Swiss Registry'!$N$2:$N$703) </f>
        <v>229884850377719808</v>
      </c>
    </row>
    <row r="299">
      <c r="A299" s="130">
        <v>123.0</v>
      </c>
      <c r="B299" s="125" t="str">
        <f>VLOOKUP(A299,'Swiss Registry'!$A$2:$B$703,2,False)</f>
        <v>SUB 3</v>
      </c>
      <c r="C299" s="111" t="str">
        <f t="shared" si="22"/>
        <v/>
      </c>
      <c r="D299" s="112" t="str">
        <f t="shared" si="24"/>
        <v>Act: caps lock 3009</v>
      </c>
      <c r="E299" s="107" t="str">
        <f t="shared" si="23"/>
        <v/>
      </c>
      <c r="F299" s="126" t="str">
        <f>VLOOKUP(G299,'Swiss Registry'!$A$2:$B$703,2,False)</f>
        <v>caps lock 3009</v>
      </c>
      <c r="G299" s="131">
        <v>387.0</v>
      </c>
      <c r="H299" s="83" t="s">
        <v>1523</v>
      </c>
      <c r="I299" s="116" t="str">
        <f t="array" ref="I299">XLOOKUP(CELL("contents",B299),'Swiss Registry'!$B$2:$B$703,'Swiss Registry'!$N$2:$N$703) </f>
        <v>SUB</v>
      </c>
      <c r="J299" s="109" t="str">
        <f t="array" ref="J299">XLOOKUP(CELL("contents",F299),'Swiss Registry'!$B$2:$B$703,'Swiss Registry'!$N$2:$N$703) </f>
        <v>735968904328904897</v>
      </c>
    </row>
    <row r="300">
      <c r="A300" s="130">
        <v>347.0</v>
      </c>
      <c r="B300" s="125" t="str">
        <f>VLOOKUP(A300,'Swiss Registry'!$A$2:$B$703,2,False)</f>
        <v>SUB 17</v>
      </c>
      <c r="C300" s="111" t="str">
        <f t="shared" si="22"/>
        <v/>
      </c>
      <c r="D300" s="112" t="str">
        <f t="shared" si="24"/>
        <v>Act: Ale8150</v>
      </c>
      <c r="E300" s="107" t="str">
        <f t="shared" si="23"/>
        <v/>
      </c>
      <c r="F300" s="126" t="str">
        <f>VLOOKUP(G300,'Swiss Registry'!$A$2:$B$703,2,False)</f>
        <v>Ale8150</v>
      </c>
      <c r="G300" s="131">
        <v>665.0</v>
      </c>
      <c r="H300" s="83" t="s">
        <v>1714</v>
      </c>
      <c r="I300" s="116" t="str">
        <f t="array" ref="I300">XLOOKUP(CELL("contents",B300),'Swiss Registry'!$B$2:$B$703,'Swiss Registry'!$N$2:$N$703) </f>
        <v>SUB</v>
      </c>
      <c r="J300" s="109" t="str">
        <f t="array" ref="J300">XLOOKUP(CELL("contents",F300),'Swiss Registry'!$B$2:$B$703,'Swiss Registry'!$N$2:$N$703) </f>
        <v>534764907887984641</v>
      </c>
    </row>
    <row r="301">
      <c r="A301" s="130">
        <v>198.0</v>
      </c>
      <c r="B301" s="125" t="str">
        <f>VLOOKUP(A301,'Swiss Registry'!$A$2:$B$703,2,False)</f>
        <v>Kenava</v>
      </c>
      <c r="C301" s="105" t="str">
        <f t="shared" si="22"/>
        <v>Game 1</v>
      </c>
      <c r="D301" s="106" t="str">
        <f t="shared" si="24"/>
        <v>Game 2</v>
      </c>
      <c r="E301" s="110" t="str">
        <f t="shared" si="23"/>
        <v>Game 3</v>
      </c>
      <c r="F301" s="126" t="str">
        <f>VLOOKUP(G301,'Swiss Registry'!$A$2:$B$703,2,False)</f>
        <v>brunocoolgamers</v>
      </c>
      <c r="G301" s="131">
        <v>285.0</v>
      </c>
      <c r="H301" s="83" t="s">
        <v>2311</v>
      </c>
      <c r="I301" s="108" t="str">
        <f t="array" ref="I301">XLOOKUP(CELL("contents",B301),'Swiss Registry'!$B$2:$B$703,'Swiss Registry'!$N$2:$N$703) </f>
        <v>727218490024394774</v>
      </c>
      <c r="J301" s="109" t="str">
        <f t="array" ref="J301">XLOOKUP(CELL("contents",F301),'Swiss Registry'!$B$2:$B$703,'Swiss Registry'!$N$2:$N$703) </f>
        <v>885228601514033172</v>
      </c>
    </row>
    <row r="302">
      <c r="A302" s="130">
        <v>512.0</v>
      </c>
      <c r="B302" s="125" t="str">
        <f>VLOOKUP(A302,'Swiss Registry'!$A$2:$B$703,2,False)</f>
        <v>msousa</v>
      </c>
      <c r="C302" s="105" t="str">
        <f t="shared" si="22"/>
        <v>Game 1</v>
      </c>
      <c r="D302" s="106" t="str">
        <f t="shared" si="24"/>
        <v>Game 2</v>
      </c>
      <c r="E302" s="110" t="str">
        <f t="shared" si="23"/>
        <v>Game 3</v>
      </c>
      <c r="F302" s="126" t="str">
        <f>VLOOKUP(G302,'Swiss Registry'!$A$2:$B$703,2,False)</f>
        <v>Fairy</v>
      </c>
      <c r="G302" s="131">
        <v>650.0</v>
      </c>
      <c r="H302" s="83" t="s">
        <v>2312</v>
      </c>
      <c r="I302" s="108" t="str">
        <f t="array" ref="I302">XLOOKUP(CELL("contents",B302),'Swiss Registry'!$B$2:$B$703,'Swiss Registry'!$N$2:$N$703) </f>
        <v>489109056183599104</v>
      </c>
      <c r="J302" s="109" t="str">
        <f t="array" ref="J302">XLOOKUP(CELL("contents",F302),'Swiss Registry'!$B$2:$B$703,'Swiss Registry'!$N$2:$N$703) </f>
        <v>108255159053713408</v>
      </c>
    </row>
    <row r="303">
      <c r="A303" s="130">
        <v>419.0</v>
      </c>
      <c r="B303" s="125" t="str">
        <f>VLOOKUP(A303,'Swiss Registry'!$A$2:$B$703,2,False)</f>
        <v>SUB 22</v>
      </c>
      <c r="C303" s="111" t="str">
        <f t="shared" si="22"/>
        <v/>
      </c>
      <c r="D303" s="112" t="str">
        <f t="shared" si="24"/>
        <v>Act: dabebri</v>
      </c>
      <c r="E303" s="107" t="str">
        <f t="shared" si="23"/>
        <v/>
      </c>
      <c r="F303" s="126" t="str">
        <f>VLOOKUP(G303,'Swiss Registry'!$A$2:$B$703,2,False)</f>
        <v>dabebri</v>
      </c>
      <c r="G303" s="127">
        <v>273.0</v>
      </c>
      <c r="H303" s="83" t="s">
        <v>1714</v>
      </c>
      <c r="I303" s="108" t="str">
        <f t="array" ref="I303">XLOOKUP(CELL("contents",B303),'Swiss Registry'!$B$2:$B$703,'Swiss Registry'!$N$2:$N$703) </f>
        <v>SUB</v>
      </c>
      <c r="J303" s="109" t="str">
        <f t="array" ref="J303">XLOOKUP(CELL("contents",F303),'Swiss Registry'!$B$2:$B$703,'Swiss Registry'!$N$2:$N$703) </f>
        <v>603589154462236678</v>
      </c>
    </row>
    <row r="304">
      <c r="A304" s="130">
        <v>473.0</v>
      </c>
      <c r="B304" s="125" t="str">
        <f>VLOOKUP(A304,'Swiss Registry'!$A$2:$B$703,2,False)</f>
        <v>hachimaki.</v>
      </c>
      <c r="C304" s="111" t="str">
        <f t="shared" si="22"/>
        <v/>
      </c>
      <c r="D304" s="112" t="str">
        <f t="shared" si="24"/>
        <v>Act: hachimaki.</v>
      </c>
      <c r="E304" s="107" t="str">
        <f t="shared" si="23"/>
        <v/>
      </c>
      <c r="F304" s="126" t="str">
        <f>VLOOKUP(G304,'Swiss Registry'!$A$2:$B$703,2,False)</f>
        <v>SUB 24</v>
      </c>
      <c r="G304" s="127">
        <v>305.0</v>
      </c>
      <c r="H304" s="83" t="s">
        <v>1486</v>
      </c>
      <c r="I304" s="108" t="str">
        <f t="array" ref="I304">XLOOKUP(CELL("contents",B304),'Swiss Registry'!$B$2:$B$703,'Swiss Registry'!$N$2:$N$703) </f>
        <v>165579227897266176</v>
      </c>
      <c r="J304" s="117" t="str">
        <f t="array" ref="J304">XLOOKUP(CELL("contents",F304),'Swiss Registry'!$B$2:$B$703,'Swiss Registry'!$N$2:$N$703) </f>
        <v>SUB</v>
      </c>
    </row>
    <row r="305">
      <c r="A305" s="130">
        <v>259.0</v>
      </c>
      <c r="B305" s="125" t="str">
        <f>VLOOKUP(A305,'Swiss Registry'!$A$2:$B$703,2,False)</f>
        <v>Birthdayninja</v>
      </c>
      <c r="C305" s="105" t="str">
        <f t="shared" si="22"/>
        <v>Game 1</v>
      </c>
      <c r="D305" s="106" t="str">
        <f t="shared" si="24"/>
        <v>Game 2</v>
      </c>
      <c r="E305" s="110" t="str">
        <f t="shared" si="23"/>
        <v>Game 3</v>
      </c>
      <c r="F305" s="126" t="str">
        <f>VLOOKUP(G305,'Swiss Registry'!$A$2:$B$703,2,False)</f>
        <v>chad.lagos</v>
      </c>
      <c r="G305" s="131">
        <v>315.0</v>
      </c>
      <c r="H305" s="83" t="s">
        <v>2313</v>
      </c>
      <c r="I305" s="108" t="str">
        <f t="array" ref="I305">XLOOKUP(CELL("contents",B305),'Swiss Registry'!$B$2:$B$703,'Swiss Registry'!$N$2:$N$703) </f>
        <v>132786516031307776</v>
      </c>
      <c r="J305" s="109" t="str">
        <f t="array" ref="J305">XLOOKUP(CELL("contents",F305),'Swiss Registry'!$B$2:$B$703,'Swiss Registry'!$N$2:$N$703) </f>
        <v>688935874020638730</v>
      </c>
    </row>
    <row r="306">
      <c r="A306" s="130">
        <v>382.0</v>
      </c>
      <c r="B306" s="125" t="str">
        <f>VLOOKUP(A306,'Swiss Registry'!$A$2:$B$703,2,False)</f>
        <v>Albatross115</v>
      </c>
      <c r="C306" s="111" t="str">
        <f t="shared" si="22"/>
        <v/>
      </c>
      <c r="D306" s="112" t="str">
        <f t="shared" si="24"/>
        <v>Act: Albatross115</v>
      </c>
      <c r="E306" s="107" t="str">
        <f t="shared" si="23"/>
        <v/>
      </c>
      <c r="F306" s="126" t="str">
        <f>VLOOKUP(G306,'Swiss Registry'!$A$2:$B$703,2,False)</f>
        <v>SUB 2</v>
      </c>
      <c r="G306" s="131">
        <v>119.0</v>
      </c>
      <c r="H306" s="83" t="s">
        <v>1486</v>
      </c>
      <c r="I306" s="108" t="str">
        <f t="array" ref="I306">XLOOKUP(CELL("contents",B306),'Swiss Registry'!$B$2:$B$703,'Swiss Registry'!$N$2:$N$703) </f>
        <v>370740769385873410</v>
      </c>
      <c r="J306" s="117" t="str">
        <f t="array" ref="J306">XLOOKUP(CELL("contents",F306),'Swiss Registry'!$B$2:$B$703,'Swiss Registry'!$N$2:$N$703) </f>
        <v>SUB</v>
      </c>
    </row>
    <row r="307">
      <c r="A307" s="130">
        <v>199.0</v>
      </c>
      <c r="B307" s="125" t="str">
        <f>VLOOKUP(A307,'Swiss Registry'!$A$2:$B$703,2,False)</f>
        <v>mcgowin (ID: lgv#9084)</v>
      </c>
      <c r="C307" s="111" t="str">
        <f t="shared" si="22"/>
        <v/>
      </c>
      <c r="D307" s="112" t="str">
        <f t="shared" si="24"/>
        <v>Act: mcgowin (ID: lgv#9084)</v>
      </c>
      <c r="E307" s="107" t="str">
        <f t="shared" si="23"/>
        <v/>
      </c>
      <c r="F307" s="126" t="str">
        <f>VLOOKUP(G307,'Swiss Registry'!$A$2:$B$703,2,False)</f>
        <v>BlerpDerpSkerp</v>
      </c>
      <c r="G307" s="131">
        <v>496.0</v>
      </c>
      <c r="H307" s="83" t="s">
        <v>1486</v>
      </c>
      <c r="I307" s="108" t="str">
        <f t="array" ref="I307">XLOOKUP(CELL("contents",B307),'Swiss Registry'!$B$2:$B$703,'Swiss Registry'!$N$2:$N$703) </f>
        <v>389896862444027916</v>
      </c>
      <c r="J307" s="109" t="str">
        <f t="array" ref="J307">XLOOKUP(CELL("contents",F307),'Swiss Registry'!$B$2:$B$703,'Swiss Registry'!$N$2:$N$703) </f>
        <v>821778881463451659</v>
      </c>
    </row>
    <row r="308">
      <c r="A308" s="130">
        <v>176.0</v>
      </c>
      <c r="B308" s="125" t="str">
        <f>VLOOKUP(A308,'Swiss Registry'!$A$2:$B$703,2,False)</f>
        <v>Eternum</v>
      </c>
      <c r="C308" s="105" t="str">
        <f t="shared" si="22"/>
        <v>Game 1</v>
      </c>
      <c r="D308" s="106" t="str">
        <f t="shared" si="24"/>
        <v>Game 2</v>
      </c>
      <c r="E308" s="107" t="str">
        <f t="shared" si="23"/>
        <v/>
      </c>
      <c r="F308" s="126" t="str">
        <f>VLOOKUP(G308,'Swiss Registry'!$A$2:$B$703,2,False)</f>
        <v>Yatagarasuwu</v>
      </c>
      <c r="G308" s="131">
        <v>412.0</v>
      </c>
      <c r="H308" s="83" t="s">
        <v>2314</v>
      </c>
      <c r="I308" s="108" t="str">
        <f t="array" ref="I308">XLOOKUP(CELL("contents",B308),'Swiss Registry'!$B$2:$B$703,'Swiss Registry'!$N$2:$N$703) </f>
        <v>216003172471275522</v>
      </c>
      <c r="J308" s="109" t="str">
        <f t="array" ref="J308">XLOOKUP(CELL("contents",F308),'Swiss Registry'!$B$2:$B$703,'Swiss Registry'!$N$2:$N$703) </f>
        <v>260941235768786944</v>
      </c>
    </row>
    <row r="309">
      <c r="A309" s="130">
        <v>526.0</v>
      </c>
      <c r="B309" s="125" t="str">
        <f>VLOOKUP(A309,'Swiss Registry'!$A$2:$B$703,2,False)</f>
        <v>SUB 19</v>
      </c>
      <c r="C309" s="111" t="str">
        <f t="shared" si="22"/>
        <v/>
      </c>
      <c r="D309" s="112" t="str">
        <f t="shared" si="24"/>
        <v>Act: doc.steel</v>
      </c>
      <c r="E309" s="107" t="str">
        <f t="shared" si="23"/>
        <v/>
      </c>
      <c r="F309" s="126" t="str">
        <f>VLOOKUP(G309,'Swiss Registry'!$A$2:$B$703,2,False)</f>
        <v>doc.steel</v>
      </c>
      <c r="G309" s="131">
        <v>261.0</v>
      </c>
      <c r="H309" s="83" t="s">
        <v>1523</v>
      </c>
      <c r="I309" s="108" t="str">
        <f t="array" ref="I309">XLOOKUP(CELL("contents",B309),'Swiss Registry'!$B$2:$B$703,'Swiss Registry'!$N$2:$N$703) </f>
        <v>SUB</v>
      </c>
      <c r="J309" s="109" t="str">
        <f t="array" ref="J309">XLOOKUP(CELL("contents",F309),'Swiss Registry'!$B$2:$B$703,'Swiss Registry'!$N$2:$N$703) </f>
        <v>549319366538428453</v>
      </c>
    </row>
    <row r="310">
      <c r="A310" s="130">
        <v>306.0</v>
      </c>
      <c r="B310" s="125" t="str">
        <f>VLOOKUP(A310,'Swiss Registry'!$A$2:$B$703,2,False)</f>
        <v>SUB 12</v>
      </c>
      <c r="C310" s="111" t="str">
        <f t="shared" si="22"/>
        <v/>
      </c>
      <c r="D310" s="112" t="str">
        <f t="shared" si="24"/>
        <v>Act: chrisdrums19</v>
      </c>
      <c r="E310" s="107" t="str">
        <f t="shared" si="23"/>
        <v/>
      </c>
      <c r="F310" s="126" t="str">
        <f>VLOOKUP(G310,'Swiss Registry'!$A$2:$B$703,2,False)</f>
        <v>chrisdrums19</v>
      </c>
      <c r="G310" s="131">
        <v>439.0</v>
      </c>
      <c r="H310" s="83" t="s">
        <v>1523</v>
      </c>
      <c r="I310" s="116" t="str">
        <f t="array" ref="I310">XLOOKUP(CELL("contents",B310),'Swiss Registry'!$B$2:$B$703,'Swiss Registry'!$N$2:$N$703) </f>
        <v>SUB</v>
      </c>
      <c r="J310" s="109" t="str">
        <f t="array" ref="J310">XLOOKUP(CELL("contents",F310),'Swiss Registry'!$B$2:$B$703,'Swiss Registry'!$N$2:$N$703) </f>
        <v>213534987708923905</v>
      </c>
    </row>
    <row r="311">
      <c r="A311" s="130">
        <v>524.0</v>
      </c>
      <c r="B311" s="125" t="str">
        <f>VLOOKUP(A311,'Swiss Registry'!$A$2:$B$703,2,False)</f>
        <v>nihiliros</v>
      </c>
      <c r="C311" s="111" t="str">
        <f t="shared" si="22"/>
        <v/>
      </c>
      <c r="D311" s="112" t="str">
        <f t="shared" si="24"/>
        <v>Act: nihiliros</v>
      </c>
      <c r="E311" s="107" t="str">
        <f t="shared" si="23"/>
        <v/>
      </c>
      <c r="F311" s="126" t="str">
        <f>VLOOKUP(G311,'Swiss Registry'!$A$2:$B$703,2,False)</f>
        <v>SUB 18</v>
      </c>
      <c r="G311" s="127">
        <v>408.0</v>
      </c>
      <c r="H311" s="83" t="s">
        <v>1486</v>
      </c>
      <c r="I311" s="108" t="str">
        <f t="array" ref="I311">XLOOKUP(CELL("contents",B311),'Swiss Registry'!$B$2:$B$703,'Swiss Registry'!$N$2:$N$703) </f>
        <v>236509304507596801</v>
      </c>
      <c r="J311" s="109" t="str">
        <f t="array" ref="J311">XLOOKUP(CELL("contents",F311),'Swiss Registry'!$B$2:$B$703,'Swiss Registry'!$N$2:$N$703) </f>
        <v>SUB</v>
      </c>
    </row>
    <row r="312">
      <c r="A312" s="130">
        <v>562.0</v>
      </c>
      <c r="B312" s="125" t="str">
        <f>VLOOKUP(A312,'Swiss Registry'!$A$2:$B$703,2,False)</f>
        <v>SUB 27</v>
      </c>
      <c r="C312" s="111" t="str">
        <f t="shared" si="22"/>
        <v/>
      </c>
      <c r="D312" s="112" t="str">
        <f t="shared" si="24"/>
        <v>Act: hangerguardian</v>
      </c>
      <c r="E312" s="107" t="str">
        <f t="shared" si="23"/>
        <v/>
      </c>
      <c r="F312" s="126" t="str">
        <f>VLOOKUP(G312,'Swiss Registry'!$A$2:$B$703,2,False)</f>
        <v>hangerguardian</v>
      </c>
      <c r="G312" s="127">
        <v>663.0</v>
      </c>
      <c r="H312" s="83" t="s">
        <v>1523</v>
      </c>
      <c r="I312" s="108" t="str">
        <f t="array" ref="I312">XLOOKUP(CELL("contents",B312),'Swiss Registry'!$B$2:$B$703,'Swiss Registry'!$N$2:$N$703) </f>
        <v>SUB</v>
      </c>
      <c r="J312" s="109" t="str">
        <f t="array" ref="J312">XLOOKUP(CELL("contents",F312),'Swiss Registry'!$B$2:$B$703,'Swiss Registry'!$N$2:$N$703) </f>
        <v>191370461894934528</v>
      </c>
    </row>
    <row r="313">
      <c r="A313" s="130">
        <v>190.0</v>
      </c>
      <c r="B313" s="125" t="str">
        <f>VLOOKUP(A313,'Swiss Registry'!$A$2:$B$703,2,False)</f>
        <v>ilovemygrandma444</v>
      </c>
      <c r="C313" s="111" t="str">
        <f t="shared" si="22"/>
        <v/>
      </c>
      <c r="D313" s="112" t="str">
        <f t="shared" si="24"/>
        <v>Act: ilovemygrandma444</v>
      </c>
      <c r="E313" s="107" t="str">
        <f t="shared" si="23"/>
        <v/>
      </c>
      <c r="F313" s="126" t="str">
        <f>VLOOKUP(G313,'Swiss Registry'!$A$2:$B$703,2,False)</f>
        <v>Carfrogs</v>
      </c>
      <c r="G313" s="131">
        <v>589.0</v>
      </c>
      <c r="H313" s="83" t="s">
        <v>1486</v>
      </c>
      <c r="I313" s="108" t="str">
        <f t="array" ref="I313">XLOOKUP(CELL("contents",B313),'Swiss Registry'!$B$2:$B$703,'Swiss Registry'!$N$2:$N$703) </f>
        <v>330668313388515330</v>
      </c>
      <c r="J313" s="109" t="str">
        <f t="array" ref="J313">XLOOKUP(CELL("contents",F313),'Swiss Registry'!$B$2:$B$703,'Swiss Registry'!$N$2:$N$703) </f>
        <v>513234552706301993</v>
      </c>
    </row>
    <row r="314">
      <c r="A314" s="130">
        <v>491.0</v>
      </c>
      <c r="B314" s="125" t="str">
        <f>VLOOKUP(A314,'Swiss Registry'!$A$2:$B$703,2,False)</f>
        <v>SUB 8</v>
      </c>
      <c r="C314" s="111" t="str">
        <f t="shared" si="22"/>
        <v/>
      </c>
      <c r="D314" s="112" t="str">
        <f t="shared" si="24"/>
        <v>Act: the_app</v>
      </c>
      <c r="E314" s="107" t="str">
        <f t="shared" si="23"/>
        <v/>
      </c>
      <c r="F314" s="126" t="str">
        <f>VLOOKUP(G314,'Swiss Registry'!$A$2:$B$703,2,False)</f>
        <v>the_app</v>
      </c>
      <c r="G314" s="131">
        <v>638.0</v>
      </c>
      <c r="H314" s="83" t="s">
        <v>1523</v>
      </c>
      <c r="I314" s="116" t="str">
        <f t="array" ref="I314">XLOOKUP(CELL("contents",B314),'Swiss Registry'!$B$2:$B$703,'Swiss Registry'!$N$2:$N$703) </f>
        <v>SUB</v>
      </c>
      <c r="J314" s="109" t="str">
        <f t="array" ref="J314">XLOOKUP(CELL("contents",F314),'Swiss Registry'!$B$2:$B$703,'Swiss Registry'!$N$2:$N$703) </f>
        <v>289874645539094529</v>
      </c>
    </row>
    <row r="315">
      <c r="A315" s="130">
        <v>213.0</v>
      </c>
      <c r="B315" s="125" t="str">
        <f>VLOOKUP(A315,'Swiss Registry'!$A$2:$B$703,2,False)</f>
        <v>Pabby_1805</v>
      </c>
      <c r="C315" s="105" t="str">
        <f t="shared" si="22"/>
        <v>Game 1</v>
      </c>
      <c r="D315" s="106" t="str">
        <f t="shared" si="24"/>
        <v>Game 2</v>
      </c>
      <c r="E315" s="107" t="str">
        <f t="shared" si="23"/>
        <v/>
      </c>
      <c r="F315" s="126" t="str">
        <f>VLOOKUP(G315,'Swiss Registry'!$A$2:$B$703,2,False)</f>
        <v>kingkpak#0546</v>
      </c>
      <c r="G315" s="131">
        <v>464.0</v>
      </c>
      <c r="H315" s="83" t="s">
        <v>2315</v>
      </c>
      <c r="I315" s="108" t="str">
        <f t="array" ref="I315">XLOOKUP(CELL("contents",B315),'Swiss Registry'!$B$2:$B$703,'Swiss Registry'!$N$2:$N$703) </f>
        <v>211573220791287809</v>
      </c>
      <c r="J315" s="109" t="str">
        <f t="array" ref="J315">XLOOKUP(CELL("contents",F315),'Swiss Registry'!$B$2:$B$703,'Swiss Registry'!$N$2:$N$703) </f>
        <v>142466801882759168</v>
      </c>
    </row>
    <row r="316">
      <c r="A316" s="130">
        <v>655.0</v>
      </c>
      <c r="B316" s="125" t="str">
        <f>VLOOKUP(A316,'Swiss Registry'!$A$2:$B$703,2,False)</f>
        <v>DonlyPhans</v>
      </c>
      <c r="C316" s="105" t="str">
        <f t="shared" si="22"/>
        <v>Game 1</v>
      </c>
      <c r="D316" s="106" t="str">
        <f t="shared" si="24"/>
        <v>Game 2</v>
      </c>
      <c r="E316" s="110" t="str">
        <f t="shared" si="23"/>
        <v>Game 3</v>
      </c>
      <c r="F316" s="126" t="str">
        <f>VLOOKUP(G316,'Swiss Registry'!$A$2:$B$703,2,False)</f>
        <v>realshelly</v>
      </c>
      <c r="G316" s="131">
        <v>443.0</v>
      </c>
      <c r="H316" s="83" t="s">
        <v>2316</v>
      </c>
      <c r="I316" s="108" t="str">
        <f t="array" ref="I316">XLOOKUP(CELL("contents",B316),'Swiss Registry'!$B$2:$B$703,'Swiss Registry'!$N$2:$N$703) </f>
        <v>859201439577276416</v>
      </c>
      <c r="J316" s="109" t="str">
        <f t="array" ref="J316">XLOOKUP(CELL("contents",F316),'Swiss Registry'!$B$2:$B$703,'Swiss Registry'!$N$2:$N$703) </f>
        <v>746177750548873278</v>
      </c>
    </row>
    <row r="317">
      <c r="A317" s="130">
        <v>262.0</v>
      </c>
      <c r="B317" s="125" t="str">
        <f>VLOOKUP(A317,'Swiss Registry'!$A$2:$B$703,2,False)</f>
        <v>Pietro Giuffra</v>
      </c>
      <c r="C317" s="111" t="str">
        <f t="shared" si="22"/>
        <v/>
      </c>
      <c r="D317" s="112" t="str">
        <f t="shared" si="24"/>
        <v>Act: scrapmetal56</v>
      </c>
      <c r="E317" s="107" t="str">
        <f t="shared" si="23"/>
        <v/>
      </c>
      <c r="F317" s="126" t="str">
        <f>VLOOKUP(G317,'Swiss Registry'!$A$2:$B$703,2,False)</f>
        <v>scrapmetal56</v>
      </c>
      <c r="G317" s="131">
        <v>644.0</v>
      </c>
      <c r="H317" s="83" t="s">
        <v>1523</v>
      </c>
      <c r="I317" s="108" t="str">
        <f t="array" ref="I317">XLOOKUP(CELL("contents",B317),'Swiss Registry'!$B$2:$B$703,'Swiss Registry'!$N$2:$N$703) </f>
        <v>1208461833623834698</v>
      </c>
      <c r="J317" s="109" t="str">
        <f t="array" ref="J317">XLOOKUP(CELL("contents",F317),'Swiss Registry'!$B$2:$B$703,'Swiss Registry'!$N$2:$N$703) </f>
        <v>289371283995492352</v>
      </c>
    </row>
    <row r="318">
      <c r="A318" s="130">
        <v>374.0</v>
      </c>
      <c r="B318" s="125" t="str">
        <f>VLOOKUP(A318,'Swiss Registry'!$A$2:$B$703,2,False)</f>
        <v>SUB 13</v>
      </c>
      <c r="C318" s="111" t="str">
        <f t="shared" si="22"/>
        <v/>
      </c>
      <c r="D318" s="112" t="str">
        <f t="shared" si="24"/>
        <v>Act: v1ctor23</v>
      </c>
      <c r="E318" s="107" t="str">
        <f t="shared" si="23"/>
        <v/>
      </c>
      <c r="F318" s="126" t="str">
        <f>VLOOKUP(G318,'Swiss Registry'!$A$2:$B$703,2,False)</f>
        <v>v1ctor23</v>
      </c>
      <c r="G318" s="131">
        <v>645.0</v>
      </c>
      <c r="H318" s="83" t="s">
        <v>1523</v>
      </c>
      <c r="I318" s="116" t="str">
        <f t="array" ref="I318">XLOOKUP(CELL("contents",B318),'Swiss Registry'!$B$2:$B$703,'Swiss Registry'!$N$2:$N$703) </f>
        <v>SUB</v>
      </c>
      <c r="J318" s="109" t="str">
        <f t="array" ref="J318">XLOOKUP(CELL("contents",F318),'Swiss Registry'!$B$2:$B$703,'Swiss Registry'!$N$2:$N$703) </f>
        <v>803357219600072714</v>
      </c>
    </row>
    <row r="319">
      <c r="A319" s="130">
        <v>144.0</v>
      </c>
      <c r="B319" s="125" t="str">
        <f>VLOOKUP(A319,'Swiss Registry'!$A$2:$B$703,2,False)</f>
        <v>Forest4269</v>
      </c>
      <c r="C319" s="111" t="str">
        <f t="shared" si="22"/>
        <v/>
      </c>
      <c r="D319" s="112" t="str">
        <f t="shared" si="24"/>
        <v>Act: Forest4269</v>
      </c>
      <c r="E319" s="107" t="str">
        <f t="shared" si="23"/>
        <v/>
      </c>
      <c r="F319" s="126" t="str">
        <f>VLOOKUP(G319,'Swiss Registry'!$A$2:$B$703,2,False)</f>
        <v>SUB 9</v>
      </c>
      <c r="G319" s="131">
        <v>246.0</v>
      </c>
      <c r="H319" s="83" t="s">
        <v>1486</v>
      </c>
      <c r="I319" s="108" t="str">
        <f t="array" ref="I319">XLOOKUP(CELL("contents",B319),'Swiss Registry'!$B$2:$B$703,'Swiss Registry'!$N$2:$N$703) </f>
        <v>139115501732233216</v>
      </c>
      <c r="J319" s="117" t="str">
        <f t="array" ref="J319">XLOOKUP(CELL("contents",F319),'Swiss Registry'!$B$2:$B$703,'Swiss Registry'!$N$2:$N$703) </f>
        <v>SUB</v>
      </c>
    </row>
    <row r="320">
      <c r="A320" s="130">
        <v>378.0</v>
      </c>
      <c r="B320" s="125" t="str">
        <f>VLOOKUP(A320,'Swiss Registry'!$A$2:$B$703,2,False)</f>
        <v>ellieofficialvevo</v>
      </c>
      <c r="C320" s="105" t="str">
        <f t="shared" si="22"/>
        <v>Game 1</v>
      </c>
      <c r="D320" s="106" t="str">
        <f t="shared" si="24"/>
        <v>Game 2</v>
      </c>
      <c r="E320" s="107" t="str">
        <f t="shared" si="23"/>
        <v/>
      </c>
      <c r="F320" s="126" t="str">
        <f>VLOOKUP(G320,'Swiss Registry'!$A$2:$B$703,2,False)</f>
        <v>Stao</v>
      </c>
      <c r="G320" s="131">
        <v>110.0</v>
      </c>
      <c r="H320" s="83" t="s">
        <v>2317</v>
      </c>
      <c r="I320" s="108" t="str">
        <f t="array" ref="I320">XLOOKUP(CELL("contents",B320),'Swiss Registry'!$B$2:$B$703,'Swiss Registry'!$N$2:$N$703) </f>
        <v>615996540036841493</v>
      </c>
      <c r="J320" s="109" t="str">
        <f t="array" ref="J320">XLOOKUP(CELL("contents",F320),'Swiss Registry'!$B$2:$B$703,'Swiss Registry'!$N$2:$N$703) </f>
        <v>135837929368059904</v>
      </c>
    </row>
    <row r="321">
      <c r="A321" s="130">
        <v>340.0</v>
      </c>
      <c r="B321" s="125" t="str">
        <f>VLOOKUP(A321,'Swiss Registry'!$A$2:$B$703,2,False)</f>
        <v>kool_kat.</v>
      </c>
      <c r="C321" s="105" t="str">
        <f t="shared" si="22"/>
        <v>Game 1</v>
      </c>
      <c r="D321" s="106" t="str">
        <f t="shared" si="24"/>
        <v>Game 2</v>
      </c>
      <c r="E321" s="107" t="str">
        <f t="shared" si="23"/>
        <v/>
      </c>
      <c r="F321" s="126" t="str">
        <f>VLOOKUP(G321,'Swiss Registry'!$A$2:$B$703,2,False)</f>
        <v>bdicap</v>
      </c>
      <c r="G321" s="131">
        <v>256.0</v>
      </c>
      <c r="H321" s="83" t="s">
        <v>2318</v>
      </c>
      <c r="I321" s="108" t="str">
        <f t="array" ref="I321">XLOOKUP(CELL("contents",B321),'Swiss Registry'!$B$2:$B$703,'Swiss Registry'!$N$2:$N$703) </f>
        <v>253880731401453578</v>
      </c>
      <c r="J321" s="109" t="str">
        <f t="array" ref="J321">XLOOKUP(CELL("contents",F321),'Swiss Registry'!$B$2:$B$703,'Swiss Registry'!$N$2:$N$703) </f>
        <v>503269288249917460</v>
      </c>
    </row>
    <row r="322" ht="15.0" customHeight="1">
      <c r="A322" s="80"/>
      <c r="B322" s="122"/>
      <c r="C322" s="81"/>
      <c r="D322" s="82" t="s">
        <v>2031</v>
      </c>
      <c r="E322" s="81"/>
      <c r="F322" s="123"/>
      <c r="G322" s="132"/>
      <c r="H322" s="83"/>
      <c r="I322" s="81"/>
      <c r="J322" s="81"/>
    </row>
    <row r="323">
      <c r="A323" s="130">
        <v>637.0</v>
      </c>
      <c r="B323" s="125" t="str">
        <f>VLOOKUP(A323,'Swiss Registry'!$A$2:$B$703,2,False)</f>
        <v>lacoot</v>
      </c>
      <c r="C323" s="105" t="str">
        <f t="shared" ref="C323:C361" si="25">IF(H323="dead","",IF(H323="a:act","",IF(H323="b:act","",IF(ISURL(HYPERLINK(INDIRECT("Importer!B"&amp;MID(H323,2,4)+1,TRUE))),HYPERLINK(INDIRECT("Importer!B"&amp;MID(H323,2,4)+1,TRUE), "Game 1"),""))))</f>
        <v>Game 1</v>
      </c>
      <c r="D323" s="106" t="str">
        <f>IF(H323="dead","Dead Game",IF(H323="a:act","Act: "&amp;F323,IF(H323="b:act","Act: "&amp;#REF!,IF(ISURL(HYPERLINK(INDIRECT("Importer!B"&amp;MID(H323,6,4)+1,TRUE))),HYPERLINK(INDIRECT("Importer!B"&amp;MID(H323,6,4)+1,TRUE), "Game 2"),""))))</f>
        <v>Game 2</v>
      </c>
      <c r="E323" s="110" t="str">
        <f t="shared" ref="E323:E361" si="26">IF(H323="dead","",IF(H323="a:act","",IF(H323="b:act","",IF(ISURL(HYPERLINK(INDIRECT("Importer!B"&amp;MID(H323,10,4)+1,TRUE))),HYPERLINK(INDIRECT("Importer!B"&amp;MID(H323,10,4)+1,TRUE), "Game 3"),""))))</f>
        <v>Game 3</v>
      </c>
      <c r="F323" s="126" t="str">
        <f>VLOOKUP(G323,'Swiss Registry'!$A$2:$B$703,2,False)</f>
        <v>GSC_Lover_Boy</v>
      </c>
      <c r="G323" s="132">
        <v>497.0</v>
      </c>
      <c r="H323" s="83" t="s">
        <v>2319</v>
      </c>
      <c r="I323" s="108" t="str">
        <f t="array" ref="I323">XLOOKUP(CELL("contents",B323),'Swiss Registry'!$B$2:$B$703,'Swiss Registry'!$N$2:$N$703) </f>
        <v>97354702949191680</v>
      </c>
      <c r="J323" s="109" t="str">
        <f t="array" ref="J323">XLOOKUP(CELL("contents",F323),'Swiss Registry'!$B$2:$B$703,'Swiss Registry'!$N$2:$N$703) </f>
        <v>1287881690001440810</v>
      </c>
    </row>
    <row r="324">
      <c r="A324" s="130">
        <v>406.0</v>
      </c>
      <c r="B324" s="125" t="str">
        <f>VLOOKUP(A324,'Swiss Registry'!$A$2:$B$703,2,False)</f>
        <v>epiclyepicgamer</v>
      </c>
      <c r="C324" s="105" t="str">
        <f t="shared" si="25"/>
        <v>Game 1</v>
      </c>
      <c r="D324" s="106" t="str">
        <f t="shared" ref="D324:D361" si="27">IF(H324="dead","Dead Game",IF(H324="a:act","Act: "&amp;B324,IF(H324="b:act","Act: "&amp;F324,IF(ISURL(HYPERLINK(INDIRECT("Importer!B"&amp;MID(H324,6,4)+1,TRUE))),HYPERLINK(INDIRECT("Importer!B"&amp;MID(H324,6,4)+1,TRUE), "Game 2"),""))))</f>
        <v>Game 2</v>
      </c>
      <c r="E324" s="107" t="str">
        <f t="shared" si="26"/>
        <v/>
      </c>
      <c r="F324" s="126" t="str">
        <f>VLOOKUP(G324,'Swiss Registry'!$A$2:$B$703,2,False)</f>
        <v>bevreeze</v>
      </c>
      <c r="G324" s="131">
        <v>342.0</v>
      </c>
      <c r="H324" s="83" t="s">
        <v>2320</v>
      </c>
      <c r="I324" s="108" t="str">
        <f t="array" ref="I324">XLOOKUP(CELL("contents",B324),'Swiss Registry'!$B$2:$B$703,'Swiss Registry'!$N$2:$N$703) </f>
        <v>839557955140976701</v>
      </c>
      <c r="J324" s="109" t="str">
        <f t="array" ref="J324">XLOOKUP(CELL("contents",F324),'Swiss Registry'!$B$2:$B$703,'Swiss Registry'!$N$2:$N$703) </f>
        <v>283298397723688960</v>
      </c>
    </row>
    <row r="325">
      <c r="A325" s="130">
        <v>537.0</v>
      </c>
      <c r="B325" s="125" t="str">
        <f>VLOOKUP(A325,'Swiss Registry'!$A$2:$B$703,2,False)</f>
        <v>avongarde_ult</v>
      </c>
      <c r="C325" s="111" t="str">
        <f t="shared" si="25"/>
        <v/>
      </c>
      <c r="D325" s="112" t="str">
        <f t="shared" si="27"/>
        <v>Act: avongarde_ult</v>
      </c>
      <c r="E325" s="107" t="str">
        <f t="shared" si="26"/>
        <v/>
      </c>
      <c r="F325" s="126" t="str">
        <f>VLOOKUP(G325,'Swiss Registry'!$A$2:$B$703,2,False)</f>
        <v>shinyhunter8013</v>
      </c>
      <c r="G325" s="131">
        <v>189.0</v>
      </c>
      <c r="H325" s="83" t="s">
        <v>1486</v>
      </c>
      <c r="I325" s="108" t="str">
        <f t="array" ref="I325">XLOOKUP(CELL("contents",B325),'Swiss Registry'!$B$2:$B$703,'Swiss Registry'!$N$2:$N$703) </f>
        <v>194425839222390785</v>
      </c>
      <c r="J325" s="109" t="str">
        <f t="array" ref="J325">XLOOKUP(CELL("contents",F325),'Swiss Registry'!$B$2:$B$703,'Swiss Registry'!$N$2:$N$703) </f>
        <v>418536676609097740</v>
      </c>
    </row>
    <row r="326">
      <c r="A326" s="130">
        <v>549.0</v>
      </c>
      <c r="B326" s="125" t="str">
        <f>VLOOKUP(A326,'Swiss Registry'!$A$2:$B$703,2,False)</f>
        <v>loopingpyre</v>
      </c>
      <c r="C326" s="105" t="str">
        <f t="shared" si="25"/>
        <v>Game 1</v>
      </c>
      <c r="D326" s="106" t="str">
        <f t="shared" si="27"/>
        <v>Game 2</v>
      </c>
      <c r="E326" s="107" t="str">
        <f t="shared" si="26"/>
        <v/>
      </c>
      <c r="F326" s="126" t="str">
        <f>VLOOKUP(G326,'Swiss Registry'!$A$2:$B$703,2,False)</f>
        <v>nick_parenti</v>
      </c>
      <c r="G326" s="131">
        <v>300.0</v>
      </c>
      <c r="H326" s="83" t="s">
        <v>2321</v>
      </c>
      <c r="I326" s="108" t="str">
        <f t="array" ref="I326">XLOOKUP(CELL("contents",B326),'Swiss Registry'!$B$2:$B$703,'Swiss Registry'!$N$2:$N$703) </f>
        <v>181680584165163008</v>
      </c>
      <c r="J326" s="109" t="str">
        <f t="array" ref="J326">XLOOKUP(CELL("contents",F326),'Swiss Registry'!$B$2:$B$703,'Swiss Registry'!$N$2:$N$703) </f>
        <v>1065105750982152223</v>
      </c>
    </row>
    <row r="327">
      <c r="A327" s="130">
        <v>115.0</v>
      </c>
      <c r="B327" s="125" t="str">
        <f>VLOOKUP(A327,'Swiss Registry'!$A$2:$B$703,2,False)</f>
        <v>bashedayo</v>
      </c>
      <c r="C327" s="105" t="str">
        <f t="shared" si="25"/>
        <v>Game 1</v>
      </c>
      <c r="D327" s="106" t="str">
        <f t="shared" si="27"/>
        <v>Game 2</v>
      </c>
      <c r="E327" s="110" t="str">
        <f t="shared" si="26"/>
        <v>Game 3</v>
      </c>
      <c r="F327" s="126" t="str">
        <f>VLOOKUP(G327,'Swiss Registry'!$A$2:$B$703,2,False)</f>
        <v>starii88</v>
      </c>
      <c r="G327" s="131">
        <v>437.0</v>
      </c>
      <c r="H327" s="83" t="s">
        <v>2322</v>
      </c>
      <c r="I327" s="108" t="str">
        <f t="array" ref="I327">XLOOKUP(CELL("contents",B327),'Swiss Registry'!$B$2:$B$703,'Swiss Registry'!$N$2:$N$703) </f>
        <v>409502844773859341</v>
      </c>
      <c r="J327" s="109" t="str">
        <f t="array" ref="J327">XLOOKUP(CELL("contents",F327),'Swiss Registry'!$B$2:$B$703,'Swiss Registry'!$N$2:$N$703) </f>
        <v>343404916636647428</v>
      </c>
    </row>
    <row r="328">
      <c r="A328" s="130">
        <v>506.0</v>
      </c>
      <c r="B328" s="125" t="str">
        <f>VLOOKUP(A328,'Swiss Registry'!$A$2:$B$703,2,False)</f>
        <v>Pressle54</v>
      </c>
      <c r="C328" s="111" t="str">
        <f t="shared" si="25"/>
        <v/>
      </c>
      <c r="D328" s="112" t="str">
        <f t="shared" si="27"/>
        <v>Act: Pressle54</v>
      </c>
      <c r="E328" s="107" t="str">
        <f t="shared" si="26"/>
        <v/>
      </c>
      <c r="F328" s="126" t="str">
        <f>VLOOKUP(G328,'Swiss Registry'!$A$2:$B$703,2,False)</f>
        <v>lraven17</v>
      </c>
      <c r="G328" s="131">
        <v>653.0</v>
      </c>
      <c r="H328" s="83" t="s">
        <v>1486</v>
      </c>
      <c r="I328" s="108" t="str">
        <f t="array" ref="I328">XLOOKUP(CELL("contents",B328),'Swiss Registry'!$B$2:$B$703,'Swiss Registry'!$N$2:$N$703) </f>
        <v>311097288326119434</v>
      </c>
      <c r="J328" s="109" t="str">
        <f t="array" ref="J328">XLOOKUP(CELL("contents",F328),'Swiss Registry'!$B$2:$B$703,'Swiss Registry'!$N$2:$N$703) </f>
        <v>888491487254421555</v>
      </c>
    </row>
    <row r="329">
      <c r="A329" s="130">
        <v>577.0</v>
      </c>
      <c r="B329" s="125" t="str">
        <f>VLOOKUP(A329,'Swiss Registry'!$A$2:$B$703,2,False)</f>
        <v>FISH (gypsytea)</v>
      </c>
      <c r="C329" s="111" t="str">
        <f t="shared" si="25"/>
        <v/>
      </c>
      <c r="D329" s="112" t="str">
        <f t="shared" si="27"/>
        <v>Act: FISH (gypsytea)</v>
      </c>
      <c r="E329" s="107" t="str">
        <f t="shared" si="26"/>
        <v/>
      </c>
      <c r="F329" s="126" t="str">
        <f>VLOOKUP(G329,'Swiss Registry'!$A$2:$B$703,2,False)</f>
        <v>IAmGolden.</v>
      </c>
      <c r="G329" s="131">
        <v>274.0</v>
      </c>
      <c r="H329" s="83" t="s">
        <v>1486</v>
      </c>
      <c r="I329" s="108" t="str">
        <f t="array" ref="I329">XLOOKUP(CELL("contents",B329),'Swiss Registry'!$B$2:$B$703,'Swiss Registry'!$N$2:$N$703) </f>
        <v>1074009502556360836</v>
      </c>
      <c r="J329" s="109" t="str">
        <f t="array" ref="J329">XLOOKUP(CELL("contents",F329),'Swiss Registry'!$B$2:$B$703,'Swiss Registry'!$N$2:$N$703) </f>
        <v>334676623343484928</v>
      </c>
    </row>
    <row r="330">
      <c r="A330" s="130">
        <v>535.0</v>
      </c>
      <c r="B330" s="125" t="str">
        <f>VLOOKUP(A330,'Swiss Registry'!$A$2:$B$703,2,False)</f>
        <v>scootymcbooty123</v>
      </c>
      <c r="C330" s="111" t="str">
        <f t="shared" si="25"/>
        <v/>
      </c>
      <c r="D330" s="112" t="str">
        <f t="shared" si="27"/>
        <v>Act: scootymcbooty123</v>
      </c>
      <c r="E330" s="107" t="str">
        <f t="shared" si="26"/>
        <v/>
      </c>
      <c r="F330" s="126" t="str">
        <f>VLOOKUP(G330,'Swiss Registry'!$A$2:$B$703,2,False)</f>
        <v>SUB 15</v>
      </c>
      <c r="G330" s="131">
        <v>373.0</v>
      </c>
      <c r="H330" s="83" t="s">
        <v>1486</v>
      </c>
      <c r="I330" s="108" t="str">
        <f t="array" ref="I330">XLOOKUP(CELL("contents",B330),'Swiss Registry'!$B$2:$B$703,'Swiss Registry'!$N$2:$N$703) </f>
        <v>1016157273816584242</v>
      </c>
      <c r="J330" s="117" t="str">
        <f t="array" ref="J330">XLOOKUP(CELL("contents",F330),'Swiss Registry'!$B$2:$B$703,'Swiss Registry'!$N$2:$N$703) </f>
        <v>SUB</v>
      </c>
    </row>
    <row r="331">
      <c r="A331" s="130">
        <v>369.0</v>
      </c>
      <c r="B331" s="125" t="str">
        <f>VLOOKUP(A331,'Swiss Registry'!$A$2:$B$703,2,False)</f>
        <v>SUB 14</v>
      </c>
      <c r="C331" s="111" t="str">
        <f t="shared" si="25"/>
        <v/>
      </c>
      <c r="D331" s="112" t="str">
        <f t="shared" si="27"/>
        <v>Act: kewta</v>
      </c>
      <c r="E331" s="107" t="str">
        <f t="shared" si="26"/>
        <v/>
      </c>
      <c r="F331" s="126" t="str">
        <f>VLOOKUP(G331,'Swiss Registry'!$A$2:$B$703,2,False)</f>
        <v>kewta</v>
      </c>
      <c r="G331" s="131">
        <v>228.0</v>
      </c>
      <c r="H331" s="83" t="s">
        <v>1523</v>
      </c>
      <c r="I331" s="116" t="str">
        <f t="array" ref="I331">XLOOKUP(CELL("contents",B331),'Swiss Registry'!$B$2:$B$703,'Swiss Registry'!$N$2:$N$703) </f>
        <v>SUB</v>
      </c>
      <c r="J331" s="109" t="str">
        <f t="array" ref="J331">XLOOKUP(CELL("contents",F331),'Swiss Registry'!$B$2:$B$703,'Swiss Registry'!$N$2:$N$703) </f>
        <v>214076469641478144</v>
      </c>
    </row>
    <row r="332">
      <c r="A332" s="130">
        <v>697.0</v>
      </c>
      <c r="B332" s="125" t="str">
        <f>VLOOKUP(A332,'Swiss Registry'!$A$2:$B$703,2,False)</f>
        <v>bugthatlovesfish</v>
      </c>
      <c r="C332" s="105" t="str">
        <f t="shared" si="25"/>
        <v>Game 1</v>
      </c>
      <c r="D332" s="106" t="str">
        <f t="shared" si="27"/>
        <v>Game 2</v>
      </c>
      <c r="E332" s="110" t="str">
        <f t="shared" si="26"/>
        <v>Game 3</v>
      </c>
      <c r="F332" s="126" t="str">
        <f>VLOOKUP(G332,'Swiss Registry'!$A$2:$B$703,2,False)</f>
        <v>Sotina</v>
      </c>
      <c r="G332" s="131">
        <v>620.0</v>
      </c>
      <c r="H332" s="83" t="s">
        <v>2323</v>
      </c>
      <c r="I332" s="108" t="str">
        <f t="array" ref="I332">XLOOKUP(CELL("contents",B332),'Swiss Registry'!$B$2:$B$703,'Swiss Registry'!$N$2:$N$703) </f>
        <v>248102672555704322</v>
      </c>
      <c r="J332" s="109" t="str">
        <f t="array" ref="J332">XLOOKUP(CELL("contents",F332),'Swiss Registry'!$B$2:$B$703,'Swiss Registry'!$N$2:$N$703) </f>
        <v>252882652347105281</v>
      </c>
    </row>
    <row r="333">
      <c r="A333" s="130">
        <v>205.0</v>
      </c>
      <c r="B333" s="125" t="str">
        <f>VLOOKUP(A333,'Swiss Registry'!$A$2:$B$703,2,False)</f>
        <v>SUB 29</v>
      </c>
      <c r="C333" s="111" t="str">
        <f t="shared" si="25"/>
        <v/>
      </c>
      <c r="D333" s="112" t="str">
        <f t="shared" si="27"/>
        <v>Act: Wifike</v>
      </c>
      <c r="E333" s="107" t="str">
        <f t="shared" si="26"/>
        <v/>
      </c>
      <c r="F333" s="126" t="str">
        <f>VLOOKUP(G333,'Swiss Registry'!$A$2:$B$703,2,False)</f>
        <v>Wifike</v>
      </c>
      <c r="G333" s="131">
        <v>390.0</v>
      </c>
      <c r="H333" s="83" t="s">
        <v>1523</v>
      </c>
      <c r="I333" s="108" t="str">
        <f t="array" ref="I333">XLOOKUP(CELL("contents",B333),'Swiss Registry'!$B$2:$B$703,'Swiss Registry'!$N$2:$N$703) </f>
        <v>SUB</v>
      </c>
      <c r="J333" s="109" t="str">
        <f t="array" ref="J333">XLOOKUP(CELL("contents",F333),'Swiss Registry'!$B$2:$B$703,'Swiss Registry'!$N$2:$N$703) </f>
        <v>849829490254544947</v>
      </c>
    </row>
    <row r="334">
      <c r="A334" s="130">
        <v>136.0</v>
      </c>
      <c r="B334" s="125" t="str">
        <f>VLOOKUP(A334,'Swiss Registry'!$A$2:$B$703,2,False)</f>
        <v>allmovingshadows</v>
      </c>
      <c r="C334" s="105" t="str">
        <f t="shared" si="25"/>
        <v>Game 1</v>
      </c>
      <c r="D334" s="106" t="str">
        <f t="shared" si="27"/>
        <v>Game 2</v>
      </c>
      <c r="E334" s="110" t="str">
        <f t="shared" si="26"/>
        <v>Game 3</v>
      </c>
      <c r="F334" s="126" t="str">
        <f>VLOOKUP(G334,'Swiss Registry'!$A$2:$B$703,2,False)</f>
        <v>Ragnarocco244</v>
      </c>
      <c r="G334" s="131">
        <v>629.0</v>
      </c>
      <c r="H334" s="83" t="s">
        <v>2324</v>
      </c>
      <c r="I334" s="108" t="str">
        <f t="array" ref="I334">XLOOKUP(CELL("contents",B334),'Swiss Registry'!$B$2:$B$703,'Swiss Registry'!$N$2:$N$703) </f>
        <v>1218021450191994892</v>
      </c>
      <c r="J334" s="109" t="str">
        <f t="array" ref="J334">XLOOKUP(CELL("contents",F334),'Swiss Registry'!$B$2:$B$703,'Swiss Registry'!$N$2:$N$703) </f>
        <v>198491831141531648</v>
      </c>
    </row>
    <row r="335">
      <c r="A335" s="130">
        <v>565.0</v>
      </c>
      <c r="B335" s="125" t="str">
        <f>VLOOKUP(A335,'Swiss Registry'!$A$2:$B$703,2,False)</f>
        <v>SUB 4</v>
      </c>
      <c r="C335" s="111" t="str">
        <f t="shared" si="25"/>
        <v/>
      </c>
      <c r="D335" s="112" t="str">
        <f t="shared" si="27"/>
        <v>Act: Bedal.r</v>
      </c>
      <c r="E335" s="107" t="str">
        <f t="shared" si="26"/>
        <v/>
      </c>
      <c r="F335" s="126" t="str">
        <f>VLOOKUP(G335,'Swiss Registry'!$A$2:$B$703,2,False)</f>
        <v>Bedal.r</v>
      </c>
      <c r="G335" s="127">
        <v>551.0</v>
      </c>
      <c r="H335" s="83" t="s">
        <v>1523</v>
      </c>
      <c r="I335" s="116" t="str">
        <f t="array" ref="I335">XLOOKUP(CELL("contents",B335),'Swiss Registry'!$B$2:$B$703,'Swiss Registry'!$N$2:$N$703) </f>
        <v>SUB</v>
      </c>
      <c r="J335" s="109" t="str">
        <f t="array" ref="J335">XLOOKUP(CELL("contents",F335),'Swiss Registry'!$B$2:$B$703,'Swiss Registry'!$N$2:$N$703) </f>
        <v>420576111848718336</v>
      </c>
    </row>
    <row r="336">
      <c r="A336" s="130">
        <v>619.0</v>
      </c>
      <c r="B336" s="125" t="str">
        <f>VLOOKUP(A336,'Swiss Registry'!$A$2:$B$703,2,False)</f>
        <v>kinou_pkm</v>
      </c>
      <c r="C336" s="111" t="str">
        <f t="shared" si="25"/>
        <v/>
      </c>
      <c r="D336" s="112" t="str">
        <f t="shared" si="27"/>
        <v>Act: kinou_pkm</v>
      </c>
      <c r="E336" s="107" t="str">
        <f t="shared" si="26"/>
        <v/>
      </c>
      <c r="F336" s="126" t="str">
        <f>VLOOKUP(G336,'Swiss Registry'!$A$2:$B$703,2,False)</f>
        <v>SUB 7</v>
      </c>
      <c r="G336" s="127">
        <v>509.0</v>
      </c>
      <c r="H336" s="83" t="s">
        <v>1486</v>
      </c>
      <c r="I336" s="108" t="str">
        <f t="array" ref="I336">XLOOKUP(CELL("contents",B336),'Swiss Registry'!$B$2:$B$703,'Swiss Registry'!$N$2:$N$703) </f>
        <v>760122389345337405</v>
      </c>
      <c r="J336" s="117" t="str">
        <f t="array" ref="J336">XLOOKUP(CELL("contents",F336),'Swiss Registry'!$B$2:$B$703,'Swiss Registry'!$N$2:$N$703) </f>
        <v>SUB</v>
      </c>
    </row>
    <row r="337">
      <c r="A337" s="130">
        <v>280.0</v>
      </c>
      <c r="B337" s="125" t="str">
        <f>VLOOKUP(A337,'Swiss Registry'!$A$2:$B$703,2,False)</f>
        <v>xamvius</v>
      </c>
      <c r="C337" s="105" t="str">
        <f t="shared" si="25"/>
        <v>Game 1</v>
      </c>
      <c r="D337" s="106" t="str">
        <f t="shared" si="27"/>
        <v>Game 2</v>
      </c>
      <c r="E337" s="107" t="str">
        <f t="shared" si="26"/>
        <v/>
      </c>
      <c r="F337" s="126" t="str">
        <f>VLOOKUP(G337,'Swiss Registry'!$A$2:$B$703,2,False)</f>
        <v>ByrneBaby</v>
      </c>
      <c r="G337" s="131">
        <v>624.0</v>
      </c>
      <c r="H337" s="83" t="s">
        <v>2325</v>
      </c>
      <c r="I337" s="108" t="str">
        <f t="array" ref="I337">XLOOKUP(CELL("contents",B337),'Swiss Registry'!$B$2:$B$703,'Swiss Registry'!$N$2:$N$703) </f>
        <v>173625348469030913</v>
      </c>
      <c r="J337" s="109" t="str">
        <f t="array" ref="J337">XLOOKUP(CELL("contents",F337),'Swiss Registry'!$B$2:$B$703,'Swiss Registry'!$N$2:$N$703) </f>
        <v>181090608230694912</v>
      </c>
    </row>
    <row r="338">
      <c r="A338" s="130">
        <v>324.0</v>
      </c>
      <c r="B338" s="125" t="str">
        <f>VLOOKUP(A338,'Swiss Registry'!$A$2:$B$703,2,False)</f>
        <v>theamazingeevee</v>
      </c>
      <c r="C338" s="105" t="str">
        <f t="shared" si="25"/>
        <v>Game 1</v>
      </c>
      <c r="D338" s="106" t="str">
        <f t="shared" si="27"/>
        <v>Game 2</v>
      </c>
      <c r="E338" s="107" t="str">
        <f t="shared" si="26"/>
        <v/>
      </c>
      <c r="F338" s="126" t="str">
        <f>VLOOKUP(G338,'Swiss Registry'!$A$2:$B$703,2,False)</f>
        <v>YellowHat#0714</v>
      </c>
      <c r="G338" s="131">
        <v>186.0</v>
      </c>
      <c r="H338" s="83" t="s">
        <v>2326</v>
      </c>
      <c r="I338" s="108" t="str">
        <f t="array" ref="I338">XLOOKUP(CELL("contents",B338),'Swiss Registry'!$B$2:$B$703,'Swiss Registry'!$N$2:$N$703) </f>
        <v>101148936957366272</v>
      </c>
      <c r="J338" s="109" t="str">
        <f t="array" ref="J338">XLOOKUP(CELL("contents",F338),'Swiss Registry'!$B$2:$B$703,'Swiss Registry'!$N$2:$N$703) </f>
        <v>215286443734597633</v>
      </c>
    </row>
    <row r="339">
      <c r="A339" s="130">
        <v>470.0</v>
      </c>
      <c r="B339" s="125" t="str">
        <f>VLOOKUP(A339,'Swiss Registry'!$A$2:$B$703,2,False)</f>
        <v>berkyderky</v>
      </c>
      <c r="C339" s="105" t="str">
        <f t="shared" si="25"/>
        <v>Game 1</v>
      </c>
      <c r="D339" s="106" t="str">
        <f t="shared" si="27"/>
        <v>Game 2</v>
      </c>
      <c r="E339" s="107" t="str">
        <f t="shared" si="26"/>
        <v/>
      </c>
      <c r="F339" s="126" t="str">
        <f>VLOOKUP(G339,'Swiss Registry'!$A$2:$B$703,2,False)</f>
        <v>ambiguousity_</v>
      </c>
      <c r="G339" s="131">
        <v>122.0</v>
      </c>
      <c r="H339" s="83" t="s">
        <v>2327</v>
      </c>
      <c r="I339" s="108" t="str">
        <f t="array" ref="I339">XLOOKUP(CELL("contents",B339),'Swiss Registry'!$B$2:$B$703,'Swiss Registry'!$N$2:$N$703) </f>
        <v>175687108864901121</v>
      </c>
      <c r="J339" s="109" t="str">
        <f t="array" ref="J339">XLOOKUP(CELL("contents",F339),'Swiss Registry'!$B$2:$B$703,'Swiss Registry'!$N$2:$N$703) </f>
        <v>852656606717149226</v>
      </c>
    </row>
    <row r="340">
      <c r="A340" s="130">
        <v>691.0</v>
      </c>
      <c r="B340" s="125" t="str">
        <f>VLOOKUP(A340,'Swiss Registry'!$A$2:$B$703,2,False)</f>
        <v>aldrichunfaithful</v>
      </c>
      <c r="C340" s="111" t="str">
        <f t="shared" si="25"/>
        <v/>
      </c>
      <c r="D340" s="112" t="str">
        <f t="shared" si="27"/>
        <v>Act: aldrichunfaithful</v>
      </c>
      <c r="E340" s="107" t="str">
        <f t="shared" si="26"/>
        <v/>
      </c>
      <c r="F340" s="126" t="str">
        <f>VLOOKUP(G340,'Swiss Registry'!$A$2:$B$703,2,False)</f>
        <v>romeugoat._25355</v>
      </c>
      <c r="G340" s="131">
        <v>659.0</v>
      </c>
      <c r="H340" s="83" t="s">
        <v>1486</v>
      </c>
      <c r="I340" s="108" t="str">
        <f t="array" ref="I340">XLOOKUP(CELL("contents",B340),'Swiss Registry'!$B$2:$B$703,'Swiss Registry'!$N$2:$N$703) </f>
        <v>743954201222053955</v>
      </c>
      <c r="J340" s="109" t="str">
        <f t="array" ref="J340">XLOOKUP(CELL("contents",F340),'Swiss Registry'!$B$2:$B$703,'Swiss Registry'!$N$2:$N$703) </f>
        <v>1258422832770191392</v>
      </c>
    </row>
    <row r="341">
      <c r="A341" s="130">
        <v>180.0</v>
      </c>
      <c r="B341" s="125" t="str">
        <f>VLOOKUP(A341,'Swiss Registry'!$A$2:$B$703,2,False)</f>
        <v>SUB 6</v>
      </c>
      <c r="C341" s="111" t="str">
        <f t="shared" si="25"/>
        <v/>
      </c>
      <c r="D341" s="112" t="str">
        <f t="shared" si="27"/>
        <v>Act: Print Screen</v>
      </c>
      <c r="E341" s="107" t="str">
        <f t="shared" si="26"/>
        <v/>
      </c>
      <c r="F341" s="126" t="str">
        <f>VLOOKUP(G341,'Swiss Registry'!$A$2:$B$703,2,False)</f>
        <v>Print Screen</v>
      </c>
      <c r="G341" s="131">
        <v>686.0</v>
      </c>
      <c r="H341" s="83" t="s">
        <v>1523</v>
      </c>
      <c r="I341" s="116" t="str">
        <f t="array" ref="I341">XLOOKUP(CELL("contents",B341),'Swiss Registry'!$B$2:$B$703,'Swiss Registry'!$N$2:$N$703) </f>
        <v>SUB</v>
      </c>
      <c r="J341" s="109" t="str">
        <f t="array" ref="J341">XLOOKUP(CELL("contents",F341),'Swiss Registry'!$B$2:$B$703,'Swiss Registry'!$N$2:$N$703) </f>
        <v>138348102535872513</v>
      </c>
    </row>
    <row r="342">
      <c r="A342" s="130">
        <v>632.0</v>
      </c>
      <c r="B342" s="125" t="str">
        <f>VLOOKUP(A342,'Swiss Registry'!$A$2:$B$703,2,False)</f>
        <v>toruwu</v>
      </c>
      <c r="C342" s="105" t="str">
        <f t="shared" si="25"/>
        <v>Game 1</v>
      </c>
      <c r="D342" s="106" t="str">
        <f t="shared" si="27"/>
        <v>Game 2</v>
      </c>
      <c r="E342" s="107" t="str">
        <f t="shared" si="26"/>
        <v/>
      </c>
      <c r="F342" s="126" t="str">
        <f>VLOOKUP(G342,'Swiss Registry'!$A$2:$B$703,2,False)</f>
        <v>valyns</v>
      </c>
      <c r="G342" s="131">
        <v>232.0</v>
      </c>
      <c r="H342" s="83" t="s">
        <v>2328</v>
      </c>
      <c r="I342" s="108" t="str">
        <f t="array" ref="I342">XLOOKUP(CELL("contents",B342),'Swiss Registry'!$B$2:$B$703,'Swiss Registry'!$N$2:$N$703) </f>
        <v>184302283574476801</v>
      </c>
      <c r="J342" s="109" t="str">
        <f t="array" ref="J342">XLOOKUP(CELL("contents",F342),'Swiss Registry'!$B$2:$B$703,'Swiss Registry'!$N$2:$N$703) </f>
        <v>118138165855911936</v>
      </c>
    </row>
    <row r="343">
      <c r="A343" s="130">
        <v>323.0</v>
      </c>
      <c r="B343" s="125" t="str">
        <f>VLOOKUP(A343,'Swiss Registry'!$A$2:$B$703,2,False)</f>
        <v>Witchgender</v>
      </c>
      <c r="C343" s="105" t="str">
        <f t="shared" si="25"/>
        <v>Game 1</v>
      </c>
      <c r="D343" s="106" t="str">
        <f t="shared" si="27"/>
        <v>Game 2</v>
      </c>
      <c r="E343" s="110" t="str">
        <f t="shared" si="26"/>
        <v>Game 3</v>
      </c>
      <c r="F343" s="126" t="str">
        <f>VLOOKUP(G343,'Swiss Registry'!$A$2:$B$703,2,False)</f>
        <v>jheff97</v>
      </c>
      <c r="G343" s="127">
        <v>553.0</v>
      </c>
      <c r="H343" s="83" t="s">
        <v>2329</v>
      </c>
      <c r="I343" s="108" t="str">
        <f t="array" ref="I343">XLOOKUP(CELL("contents",B343),'Swiss Registry'!$B$2:$B$703,'Swiss Registry'!$N$2:$N$703) </f>
        <v>398504218102857728</v>
      </c>
      <c r="J343" s="109" t="str">
        <f t="array" ref="J343">XLOOKUP(CELL("contents",F343),'Swiss Registry'!$B$2:$B$703,'Swiss Registry'!$N$2:$N$703) </f>
        <v>598994740465369098</v>
      </c>
    </row>
    <row r="344">
      <c r="A344" s="130">
        <v>293.0</v>
      </c>
      <c r="B344" s="125" t="str">
        <f>VLOOKUP(A344,'Swiss Registry'!$A$2:$B$703,2,False)</f>
        <v>SUB 11</v>
      </c>
      <c r="C344" s="111" t="str">
        <f t="shared" si="25"/>
        <v/>
      </c>
      <c r="D344" s="112" t="str">
        <f t="shared" si="27"/>
        <v>Act: dinkdank_</v>
      </c>
      <c r="E344" s="107" t="str">
        <f t="shared" si="26"/>
        <v/>
      </c>
      <c r="F344" s="126" t="str">
        <f>VLOOKUP(G344,'Swiss Registry'!$A$2:$B$703,2,False)</f>
        <v>dinkdank_</v>
      </c>
      <c r="G344" s="131">
        <v>621.0</v>
      </c>
      <c r="H344" s="83" t="s">
        <v>1523</v>
      </c>
      <c r="I344" s="116" t="str">
        <f t="array" ref="I344">XLOOKUP(CELL("contents",B344),'Swiss Registry'!$B$2:$B$703,'Swiss Registry'!$N$2:$N$703) </f>
        <v>SUB</v>
      </c>
      <c r="J344" s="109" t="str">
        <f t="array" ref="J344">XLOOKUP(CELL("contents",F344),'Swiss Registry'!$B$2:$B$703,'Swiss Registry'!$N$2:$N$703) </f>
        <v>722616383233589266</v>
      </c>
    </row>
    <row r="345">
      <c r="A345" s="130">
        <v>600.0</v>
      </c>
      <c r="B345" s="125" t="str">
        <f>VLOOKUP(A345,'Swiss Registry'!$A$2:$B$703,2,False)</f>
        <v>lindonh</v>
      </c>
      <c r="C345" s="111" t="str">
        <f t="shared" si="25"/>
        <v/>
      </c>
      <c r="D345" s="112" t="str">
        <f t="shared" si="27"/>
        <v>Act: lindonh</v>
      </c>
      <c r="E345" s="107" t="str">
        <f t="shared" si="26"/>
        <v/>
      </c>
      <c r="F345" s="126" t="str">
        <f>VLOOKUP(G345,'Swiss Registry'!$A$2:$B$703,2,False)</f>
        <v>lawn1826</v>
      </c>
      <c r="G345" s="131">
        <v>272.0</v>
      </c>
      <c r="H345" s="83" t="s">
        <v>1486</v>
      </c>
      <c r="I345" s="108" t="str">
        <f t="array" ref="I345">XLOOKUP(CELL("contents",B345),'Swiss Registry'!$B$2:$B$703,'Swiss Registry'!$N$2:$N$703) </f>
        <v>420784558519091200</v>
      </c>
      <c r="J345" s="109" t="str">
        <f t="array" ref="J345">XLOOKUP(CELL("contents",F345),'Swiss Registry'!$B$2:$B$703,'Swiss Registry'!$N$2:$N$703) </f>
        <v>249416067099656192</v>
      </c>
    </row>
    <row r="346">
      <c r="A346" s="130">
        <v>575.0</v>
      </c>
      <c r="B346" s="125" t="str">
        <f>VLOOKUP(A346,'Swiss Registry'!$A$2:$B$703,2,False)</f>
        <v>warupeach</v>
      </c>
      <c r="C346" s="111" t="str">
        <f t="shared" si="25"/>
        <v/>
      </c>
      <c r="D346" s="112" t="str">
        <f t="shared" si="27"/>
        <v>Act: warupeach</v>
      </c>
      <c r="E346" s="107" t="str">
        <f t="shared" si="26"/>
        <v/>
      </c>
      <c r="F346" s="126" t="str">
        <f>VLOOKUP(G346,'Swiss Registry'!$A$2:$B$703,2,False)</f>
        <v>cheerful_dragon_75260</v>
      </c>
      <c r="G346" s="131">
        <v>672.0</v>
      </c>
      <c r="H346" s="83" t="s">
        <v>1486</v>
      </c>
      <c r="I346" s="108" t="str">
        <f t="array" ref="I346">XLOOKUP(CELL("contents",B346),'Swiss Registry'!$B$2:$B$703,'Swiss Registry'!$N$2:$N$703) </f>
        <v>1260741423414775869</v>
      </c>
      <c r="J346" s="109" t="str">
        <f t="array" ref="J346">XLOOKUP(CELL("contents",F346),'Swiss Registry'!$B$2:$B$703,'Swiss Registry'!$N$2:$N$703) </f>
        <v>309900516324802560</v>
      </c>
    </row>
    <row r="347">
      <c r="A347" s="130">
        <v>395.0</v>
      </c>
      <c r="B347" s="125" t="str">
        <f>VLOOKUP(A347,'Swiss Registry'!$A$2:$B$703,2,False)</f>
        <v>cleffacutie</v>
      </c>
      <c r="C347" s="105" t="str">
        <f t="shared" si="25"/>
        <v>Game 1</v>
      </c>
      <c r="D347" s="106" t="str">
        <f t="shared" si="27"/>
        <v>Game 2</v>
      </c>
      <c r="E347" s="107" t="str">
        <f t="shared" si="26"/>
        <v/>
      </c>
      <c r="F347" s="126" t="str">
        <f>VLOOKUP(G347,'Swiss Registry'!$A$2:$B$703,2,False)</f>
        <v>.alig.</v>
      </c>
      <c r="G347" s="131">
        <v>211.0</v>
      </c>
      <c r="H347" s="83" t="s">
        <v>2330</v>
      </c>
      <c r="I347" s="108" t="str">
        <f t="array" ref="I347">XLOOKUP(CELL("contents",B347),'Swiss Registry'!$B$2:$B$703,'Swiss Registry'!$N$2:$N$703) </f>
        <v>318104021946859520</v>
      </c>
      <c r="J347" s="109" t="str">
        <f t="array" ref="J347">XLOOKUP(CELL("contents",F347),'Swiss Registry'!$B$2:$B$703,'Swiss Registry'!$N$2:$N$703) </f>
        <v>192192076841091072</v>
      </c>
    </row>
    <row r="348">
      <c r="A348" s="130">
        <v>348.0</v>
      </c>
      <c r="B348" s="125" t="str">
        <f>VLOOKUP(A348,'Swiss Registry'!$A$2:$B$703,2,False)</f>
        <v>SUB 16</v>
      </c>
      <c r="C348" s="111" t="str">
        <f t="shared" si="25"/>
        <v/>
      </c>
      <c r="D348" s="112" t="str">
        <f t="shared" si="27"/>
        <v>Act: Nunleft</v>
      </c>
      <c r="E348" s="107" t="str">
        <f t="shared" si="26"/>
        <v/>
      </c>
      <c r="F348" s="126" t="str">
        <f>VLOOKUP(G348,'Swiss Registry'!$A$2:$B$703,2,False)</f>
        <v>Nunleft</v>
      </c>
      <c r="G348" s="131">
        <v>353.0</v>
      </c>
      <c r="H348" s="83" t="s">
        <v>1523</v>
      </c>
      <c r="I348" s="116" t="str">
        <f t="array" ref="I348">XLOOKUP(CELL("contents",B348),'Swiss Registry'!$B$2:$B$703,'Swiss Registry'!$N$2:$N$703) </f>
        <v>SUB</v>
      </c>
      <c r="J348" s="109" t="str">
        <f t="array" ref="J348">XLOOKUP(CELL("contents",F348),'Swiss Registry'!$B$2:$B$703,'Swiss Registry'!$N$2:$N$703) </f>
        <v>168635669982216192</v>
      </c>
    </row>
    <row r="349">
      <c r="A349" s="130">
        <v>692.0</v>
      </c>
      <c r="B349" s="125" t="str">
        <f>VLOOKUP(A349,'Swiss Registry'!$A$2:$B$703,2,False)</f>
        <v>walterbite</v>
      </c>
      <c r="C349" s="105" t="str">
        <f t="shared" si="25"/>
        <v>Game 1</v>
      </c>
      <c r="D349" s="106" t="str">
        <f t="shared" si="27"/>
        <v>Game 2</v>
      </c>
      <c r="E349" s="110" t="str">
        <f t="shared" si="26"/>
        <v>Game 3</v>
      </c>
      <c r="F349" s="126" t="str">
        <f>VLOOKUP(G349,'Swiss Registry'!$A$2:$B$703,2,False)</f>
        <v>evilartnboy</v>
      </c>
      <c r="G349" s="131">
        <v>328.0</v>
      </c>
      <c r="H349" s="83" t="s">
        <v>2331</v>
      </c>
      <c r="I349" s="108" t="str">
        <f t="array" ref="I349">XLOOKUP(CELL("contents",B349),'Swiss Registry'!$B$2:$B$703,'Swiss Registry'!$N$2:$N$703) </f>
        <v>155855401097625602</v>
      </c>
      <c r="J349" s="109" t="str">
        <f t="array" ref="J349">XLOOKUP(CELL("contents",F349),'Swiss Registry'!$B$2:$B$703,'Swiss Registry'!$N$2:$N$703) </f>
        <v>299338441492135937</v>
      </c>
    </row>
    <row r="350">
      <c r="A350" s="130">
        <v>608.0</v>
      </c>
      <c r="B350" s="125" t="str">
        <f>VLOOKUP(A350,'Swiss Registry'!$A$2:$B$703,2,False)</f>
        <v>Fierros47</v>
      </c>
      <c r="C350" s="111" t="str">
        <f t="shared" si="25"/>
        <v/>
      </c>
      <c r="D350" s="112" t="str">
        <f t="shared" si="27"/>
        <v>Act: Fierros47</v>
      </c>
      <c r="E350" s="107" t="str">
        <f t="shared" si="26"/>
        <v/>
      </c>
      <c r="F350" s="126" t="str">
        <f>VLOOKUP(G350,'Swiss Registry'!$A$2:$B$703,2,False)</f>
        <v>le_penseur</v>
      </c>
      <c r="G350" s="131">
        <v>242.0</v>
      </c>
      <c r="H350" s="83" t="s">
        <v>1486</v>
      </c>
      <c r="I350" s="108" t="str">
        <f t="array" ref="I350">XLOOKUP(CELL("contents",B350),'Swiss Registry'!$B$2:$B$703,'Swiss Registry'!$N$2:$N$703) </f>
        <v>348679052720078850</v>
      </c>
      <c r="J350" s="109" t="str">
        <f t="array" ref="J350">XLOOKUP(CELL("contents",F350),'Swiss Registry'!$B$2:$B$703,'Swiss Registry'!$N$2:$N$703) </f>
        <v>221628271257845760</v>
      </c>
    </row>
    <row r="351">
      <c r="A351" s="130">
        <v>104.0</v>
      </c>
      <c r="B351" s="125" t="str">
        <f>VLOOKUP(A351,'Swiss Registry'!$A$2:$B$703,2,False)</f>
        <v>YlisseanStarlight</v>
      </c>
      <c r="C351" s="111" t="str">
        <f t="shared" si="25"/>
        <v/>
      </c>
      <c r="D351" s="112" t="str">
        <f t="shared" si="27"/>
        <v>Act: YlisseanStarlight</v>
      </c>
      <c r="E351" s="107" t="str">
        <f t="shared" si="26"/>
        <v/>
      </c>
      <c r="F351" s="126" t="str">
        <f>VLOOKUP(G351,'Swiss Registry'!$A$2:$B$703,2,False)</f>
        <v>peabnut</v>
      </c>
      <c r="G351" s="131">
        <v>425.0</v>
      </c>
      <c r="H351" s="83" t="s">
        <v>1486</v>
      </c>
      <c r="I351" s="108" t="str">
        <f t="array" ref="I351">XLOOKUP(CELL("contents",B351),'Swiss Registry'!$B$2:$B$703,'Swiss Registry'!$N$2:$N$703) </f>
        <v>308326695117783040</v>
      </c>
      <c r="J351" s="109" t="str">
        <f t="array" ref="J351">XLOOKUP(CELL("contents",F351),'Swiss Registry'!$B$2:$B$703,'Swiss Registry'!$N$2:$N$703) </f>
        <v>119958521591627777</v>
      </c>
    </row>
    <row r="352">
      <c r="A352" s="130">
        <v>456.0</v>
      </c>
      <c r="B352" s="125" t="str">
        <f>VLOOKUP(A352,'Swiss Registry'!$A$2:$B$703,2,False)</f>
        <v>Hidan.0/idfk</v>
      </c>
      <c r="C352" s="111" t="str">
        <f t="shared" si="25"/>
        <v/>
      </c>
      <c r="D352" s="112" t="str">
        <f t="shared" si="27"/>
        <v>Act: Latlat1</v>
      </c>
      <c r="E352" s="107" t="str">
        <f t="shared" si="26"/>
        <v/>
      </c>
      <c r="F352" s="126" t="str">
        <f>VLOOKUP(G352,'Swiss Registry'!$A$2:$B$703,2,False)</f>
        <v>Latlat1</v>
      </c>
      <c r="G352" s="131">
        <v>678.0</v>
      </c>
      <c r="H352" s="83" t="s">
        <v>1523</v>
      </c>
      <c r="I352" s="108" t="str">
        <f t="array" ref="I352">XLOOKUP(CELL("contents",B352),'Swiss Registry'!$B$2:$B$703,'Swiss Registry'!$N$2:$N$703) </f>
        <v>732393591011278950</v>
      </c>
      <c r="J352" s="109" t="str">
        <f t="array" ref="J352">XLOOKUP(CELL("contents",F352),'Swiss Registry'!$B$2:$B$703,'Swiss Registry'!$N$2:$N$703) </f>
        <v>186768858357432320</v>
      </c>
    </row>
    <row r="353">
      <c r="A353" s="130">
        <v>477.0</v>
      </c>
      <c r="B353" s="125" t="str">
        <f>VLOOKUP(A353,'Swiss Registry'!$A$2:$B$703,2,False)</f>
        <v>mugua (purple Pikmin pfp)</v>
      </c>
      <c r="C353" s="111" t="str">
        <f t="shared" si="25"/>
        <v/>
      </c>
      <c r="D353" s="112" t="str">
        <f t="shared" si="27"/>
        <v>Act: triskeriaki</v>
      </c>
      <c r="E353" s="107" t="str">
        <f t="shared" si="26"/>
        <v/>
      </c>
      <c r="F353" s="126" t="str">
        <f>VLOOKUP(G353,'Swiss Registry'!$A$2:$B$703,2,False)</f>
        <v>triskeriaki</v>
      </c>
      <c r="G353" s="131">
        <v>314.0</v>
      </c>
      <c r="H353" s="83" t="s">
        <v>1523</v>
      </c>
      <c r="I353" s="108" t="str">
        <f t="array" ref="I353">XLOOKUP(CELL("contents",B353),'Swiss Registry'!$B$2:$B$703,'Swiss Registry'!$N$2:$N$703) </f>
        <v>177874513466359809</v>
      </c>
      <c r="J353" s="109" t="str">
        <f t="array" ref="J353">XLOOKUP(CELL("contents",F353),'Swiss Registry'!$B$2:$B$703,'Swiss Registry'!$N$2:$N$703) </f>
        <v>316007672510021634</v>
      </c>
    </row>
    <row r="354">
      <c r="A354" s="130">
        <v>519.0</v>
      </c>
      <c r="B354" s="125" t="str">
        <f>VLOOKUP(A354,'Swiss Registry'!$A$2:$B$703,2,False)</f>
        <v>elysyr</v>
      </c>
      <c r="C354" s="105" t="str">
        <f t="shared" si="25"/>
        <v>Game 1</v>
      </c>
      <c r="D354" s="106" t="str">
        <f t="shared" si="27"/>
        <v>Game 2</v>
      </c>
      <c r="E354" s="107" t="str">
        <f t="shared" si="26"/>
        <v/>
      </c>
      <c r="F354" s="126" t="str">
        <f>VLOOKUP(G354,'Swiss Registry'!$A$2:$B$703,2,False)</f>
        <v>Apostic</v>
      </c>
      <c r="G354" s="131">
        <v>146.0</v>
      </c>
      <c r="H354" s="83" t="s">
        <v>2332</v>
      </c>
      <c r="I354" s="108" t="str">
        <f t="array" ref="I354">XLOOKUP(CELL("contents",B354),'Swiss Registry'!$B$2:$B$703,'Swiss Registry'!$N$2:$N$703) </f>
        <v>1252241314897068095</v>
      </c>
      <c r="J354" s="109" t="str">
        <f t="array" ref="J354">XLOOKUP(CELL("contents",F354),'Swiss Registry'!$B$2:$B$703,'Swiss Registry'!$N$2:$N$703) </f>
        <v>151905700229021696</v>
      </c>
    </row>
    <row r="355">
      <c r="A355" s="130">
        <v>654.0</v>
      </c>
      <c r="B355" s="125" t="str">
        <f>VLOOKUP(A355,'Swiss Registry'!$A$2:$B$703,2,False)</f>
        <v>krungus_01138</v>
      </c>
      <c r="C355" s="105" t="str">
        <f t="shared" si="25"/>
        <v>Game 1</v>
      </c>
      <c r="D355" s="106" t="str">
        <f t="shared" si="27"/>
        <v>Game 2</v>
      </c>
      <c r="E355" s="110" t="str">
        <f t="shared" si="26"/>
        <v>Game 3</v>
      </c>
      <c r="F355" s="126" t="str">
        <f>VLOOKUP(G355,'Swiss Registry'!$A$2:$B$703,2,False)</f>
        <v>elanieunderscore</v>
      </c>
      <c r="G355" s="131">
        <v>170.0</v>
      </c>
      <c r="H355" s="83" t="s">
        <v>2333</v>
      </c>
      <c r="I355" s="108" t="str">
        <f t="array" ref="I355">XLOOKUP(CELL("contents",B355),'Swiss Registry'!$B$2:$B$703,'Swiss Registry'!$N$2:$N$703) </f>
        <v>1281415539327242375</v>
      </c>
      <c r="J355" s="109" t="str">
        <f t="array" ref="J355">XLOOKUP(CELL("contents",F355),'Swiss Registry'!$B$2:$B$703,'Swiss Registry'!$N$2:$N$703) </f>
        <v>1069898912141414422</v>
      </c>
    </row>
    <row r="356">
      <c r="A356" s="130">
        <v>544.0</v>
      </c>
      <c r="B356" s="125" t="str">
        <f>VLOOKUP(A356,'Swiss Registry'!$A$2:$B$703,2,False)</f>
        <v>almbkn</v>
      </c>
      <c r="C356" s="111" t="str">
        <f t="shared" si="25"/>
        <v/>
      </c>
      <c r="D356" s="112" t="str">
        <f t="shared" si="27"/>
        <v>Act: almbkn</v>
      </c>
      <c r="E356" s="107" t="str">
        <f t="shared" si="26"/>
        <v/>
      </c>
      <c r="F356" s="126" t="str">
        <f>VLOOKUP(G356,'Swiss Registry'!$A$2:$B$703,2,False)</f>
        <v>Peppeppeia</v>
      </c>
      <c r="G356" s="131">
        <v>520.0</v>
      </c>
      <c r="H356" s="83" t="s">
        <v>1486</v>
      </c>
      <c r="I356" s="108" t="str">
        <f t="array" ref="I356">XLOOKUP(CELL("contents",B356),'Swiss Registry'!$B$2:$B$703,'Swiss Registry'!$N$2:$N$703) </f>
        <v>152476072473133056</v>
      </c>
      <c r="J356" s="109" t="str">
        <f t="array" ref="J356">XLOOKUP(CELL("contents",F356),'Swiss Registry'!$B$2:$B$703,'Swiss Registry'!$N$2:$N$703) </f>
        <v>222619348668383242</v>
      </c>
    </row>
    <row r="357">
      <c r="A357" s="130">
        <v>656.0</v>
      </c>
      <c r="B357" s="125" t="str">
        <f>VLOOKUP(A357,'Swiss Registry'!$A$2:$B$703,2,False)</f>
        <v>GroundBack</v>
      </c>
      <c r="C357" s="105" t="str">
        <f t="shared" si="25"/>
        <v>Game 1</v>
      </c>
      <c r="D357" s="106" t="str">
        <f t="shared" si="27"/>
        <v>Game 2</v>
      </c>
      <c r="E357" s="107" t="str">
        <f t="shared" si="26"/>
        <v/>
      </c>
      <c r="F357" s="126" t="str">
        <f>VLOOKUP(G357,'Swiss Registry'!$A$2:$B$703,2,False)</f>
        <v>rajime.</v>
      </c>
      <c r="G357" s="131">
        <v>301.0</v>
      </c>
      <c r="H357" s="83" t="s">
        <v>2334</v>
      </c>
      <c r="I357" s="108" t="str">
        <f t="array" ref="I357">XLOOKUP(CELL("contents",B357),'Swiss Registry'!$B$2:$B$703,'Swiss Registry'!$N$2:$N$703) </f>
        <v>433831408243441666</v>
      </c>
      <c r="J357" s="109" t="str">
        <f t="array" ref="J357">XLOOKUP(CELL("contents",F357),'Swiss Registry'!$B$2:$B$703,'Swiss Registry'!$N$2:$N$703) </f>
        <v>556855693928431638</v>
      </c>
    </row>
    <row r="358">
      <c r="A358" s="130">
        <v>216.0</v>
      </c>
      <c r="B358" s="125" t="str">
        <f>VLOOKUP(A358,'Swiss Registry'!$A$2:$B$703,2,False)</f>
        <v>jahim_</v>
      </c>
      <c r="C358" s="105" t="str">
        <f t="shared" si="25"/>
        <v>Game 1</v>
      </c>
      <c r="D358" s="106" t="str">
        <f t="shared" si="27"/>
        <v>Game 2</v>
      </c>
      <c r="E358" s="107" t="str">
        <f t="shared" si="26"/>
        <v/>
      </c>
      <c r="F358" s="126" t="str">
        <f>VLOOKUP(G358,'Swiss Registry'!$A$2:$B$703,2,False)</f>
        <v>Vassimobin</v>
      </c>
      <c r="G358" s="131">
        <v>628.0</v>
      </c>
      <c r="H358" s="83" t="s">
        <v>2335</v>
      </c>
      <c r="I358" s="108" t="str">
        <f t="array" ref="I358">XLOOKUP(CELL("contents",B358),'Swiss Registry'!$B$2:$B$703,'Swiss Registry'!$N$2:$N$703) </f>
        <v>663747291709964321</v>
      </c>
      <c r="J358" s="109" t="str">
        <f t="array" ref="J358">XLOOKUP(CELL("contents",F358),'Swiss Registry'!$B$2:$B$703,'Swiss Registry'!$N$2:$N$703) </f>
        <v>521813775586951183</v>
      </c>
    </row>
    <row r="359">
      <c r="A359" s="130">
        <v>436.0</v>
      </c>
      <c r="B359" s="125" t="str">
        <f>VLOOKUP(A359,'Swiss Registry'!$A$2:$B$703,2,False)</f>
        <v>zioplys</v>
      </c>
      <c r="C359" s="111" t="str">
        <f t="shared" si="25"/>
        <v/>
      </c>
      <c r="D359" s="112" t="str">
        <f t="shared" si="27"/>
        <v>Act: zioplys</v>
      </c>
      <c r="E359" s="107" t="str">
        <f t="shared" si="26"/>
        <v/>
      </c>
      <c r="F359" s="126" t="str">
        <f>VLOOKUP(G359,'Swiss Registry'!$A$2:$B$703,2,False)</f>
        <v>bergenseren</v>
      </c>
      <c r="G359" s="131">
        <v>202.0</v>
      </c>
      <c r="H359" s="83" t="s">
        <v>1486</v>
      </c>
      <c r="I359" s="108" t="str">
        <f t="array" ref="I359">XLOOKUP(CELL("contents",B359),'Swiss Registry'!$B$2:$B$703,'Swiss Registry'!$N$2:$N$703) </f>
        <v>274221914312933379</v>
      </c>
      <c r="J359" s="109" t="str">
        <f t="array" ref="J359">XLOOKUP(CELL("contents",F359),'Swiss Registry'!$B$2:$B$703,'Swiss Registry'!$N$2:$N$703) </f>
        <v>219960350546591744</v>
      </c>
    </row>
    <row r="360">
      <c r="A360" s="130">
        <v>396.0</v>
      </c>
      <c r="B360" s="125" t="str">
        <f>VLOOKUP(A360,'Swiss Registry'!$A$2:$B$703,2,False)</f>
        <v>glucoseguardian1</v>
      </c>
      <c r="C360" s="105" t="str">
        <f t="shared" si="25"/>
        <v>Game 1</v>
      </c>
      <c r="D360" s="106" t="str">
        <f t="shared" si="27"/>
        <v>Game 2</v>
      </c>
      <c r="E360" s="107" t="str">
        <f t="shared" si="26"/>
        <v/>
      </c>
      <c r="F360" s="126" t="str">
        <f>VLOOKUP(G360,'Swiss Registry'!$A$2:$B$703,2,False)</f>
        <v>wyli.olivete</v>
      </c>
      <c r="G360" s="131">
        <v>327.0</v>
      </c>
      <c r="H360" s="83" t="s">
        <v>2336</v>
      </c>
      <c r="I360" s="108" t="str">
        <f t="array" ref="I360">XLOOKUP(CELL("contents",B360),'Swiss Registry'!$B$2:$B$703,'Swiss Registry'!$N$2:$N$703) </f>
        <v>735113182120640562</v>
      </c>
      <c r="J360" s="109" t="str">
        <f t="array" ref="J360">XLOOKUP(CELL("contents",F360),'Swiss Registry'!$B$2:$B$703,'Swiss Registry'!$N$2:$N$703) </f>
        <v>600915748629643276</v>
      </c>
    </row>
    <row r="361">
      <c r="A361" s="130">
        <v>102.0</v>
      </c>
      <c r="B361" s="125" t="str">
        <f>VLOOKUP(A361,'Swiss Registry'!$A$2:$B$703,2,False)</f>
        <v>Frutiepie</v>
      </c>
      <c r="C361" s="111" t="str">
        <f t="shared" si="25"/>
        <v/>
      </c>
      <c r="D361" s="112" t="str">
        <f t="shared" si="27"/>
        <v>Act: Frutiepie</v>
      </c>
      <c r="E361" s="107" t="str">
        <f t="shared" si="26"/>
        <v/>
      </c>
      <c r="F361" s="126" t="str">
        <f>VLOOKUP(G361,'Swiss Registry'!$A$2:$B$703,2,False)</f>
        <v>SUB 10</v>
      </c>
      <c r="G361" s="131">
        <v>455.0</v>
      </c>
      <c r="H361" s="83" t="s">
        <v>1486</v>
      </c>
      <c r="I361" s="108" t="str">
        <f t="array" ref="I361">XLOOKUP(CELL("contents",B361),'Swiss Registry'!$B$2:$B$703,'Swiss Registry'!$N$2:$N$703) </f>
        <v>146457814892675072</v>
      </c>
      <c r="J361" s="117" t="str">
        <f t="array" ref="J361">XLOOKUP(CELL("contents",F361),'Swiss Registry'!$B$2:$B$703,'Swiss Registry'!$N$2:$N$703) </f>
        <v>SUB</v>
      </c>
    </row>
  </sheetData>
  <mergeCells count="1">
    <mergeCell ref="C1:E1"/>
  </mergeCells>
  <conditionalFormatting sqref="B3:B321 B323:B361">
    <cfRule type="expression" dxfId="5" priority="1">
      <formula>IF(LEFT(H3:H361,1)="A",TRUE,FALSE)</formula>
    </cfRule>
  </conditionalFormatting>
  <conditionalFormatting sqref="F3:F41 I3:J41 F43:F81 I43:J81 F83:F121 I83:J121 F123:F161 I123:J161 F163:F201 I163:J201 F203:F241 I203:J241 F243:F281 I243:J281 F283:F321 I283:J321 F323:F361 I323:J361">
    <cfRule type="expression" dxfId="5" priority="2">
      <formula>IF(LEFT(H3:H361,1)="B",TRUE,FALSE)</formula>
    </cfRule>
  </conditionalFormatting>
  <conditionalFormatting sqref="B3:B321 B323:B361">
    <cfRule type="expression" dxfId="6" priority="3">
      <formula>IF(LEFT(H3:H361,1)="B",TRUE,FALSE)</formula>
    </cfRule>
  </conditionalFormatting>
  <conditionalFormatting sqref="F3:F41 I3:J41 F43:F81 I43:J81 F83:F121 I83:J121 F123:F161 I123:J161 F163:F201 I163:J201 F203:F241 I203:J241 F243:F281 I243:J281 F283:F321 I283:J321 F323:F361 I323:J361">
    <cfRule type="expression" dxfId="6" priority="4">
      <formula>IF(LEFT(H3:H361,1)="A",TRUE,FALSE)</formula>
    </cfRule>
  </conditionalFormatting>
  <conditionalFormatting sqref="B3:B361">
    <cfRule type="expression" dxfId="10" priority="5">
      <formula>COUNTIF(B:F, B3)&gt;1</formula>
    </cfRule>
  </conditionalFormatting>
  <conditionalFormatting sqref="J18">
    <cfRule type="notContainsBlanks" dxfId="2" priority="6">
      <formula>LEN(TRIM(J18))&gt;0</formula>
    </cfRule>
  </conditionalFormatting>
  <conditionalFormatting sqref="F3:F361">
    <cfRule type="expression" dxfId="10" priority="7">
      <formula>COUNTIF(B:F, F3)&gt;1</formula>
    </cfRule>
  </conditionalFormatting>
  <drawing r:id="rId2"/>
  <legacyDrawing r:id="rId3"/>
  <tableParts count="9">
    <tablePart r:id="rId13"/>
    <tablePart r:id="rId14"/>
    <tablePart r:id="rId15"/>
    <tablePart r:id="rId16"/>
    <tablePart r:id="rId17"/>
    <tablePart r:id="rId18"/>
    <tablePart r:id="rId19"/>
    <tablePart r:id="rId20"/>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0"/>
    <col customWidth="1" hidden="1" min="9" max="10" width="21.13"/>
  </cols>
  <sheetData>
    <row r="1">
      <c r="A1" s="118"/>
      <c r="B1" s="119" t="s">
        <v>1454</v>
      </c>
      <c r="C1" s="134" t="s">
        <v>2337</v>
      </c>
      <c r="D1" s="77"/>
      <c r="E1" s="78"/>
      <c r="F1" s="120" t="s">
        <v>1454</v>
      </c>
      <c r="G1" s="121"/>
      <c r="H1" s="135" t="s">
        <v>1456</v>
      </c>
      <c r="I1" s="136" t="s">
        <v>1768</v>
      </c>
      <c r="J1" s="137" t="s">
        <v>1769</v>
      </c>
    </row>
    <row r="2" ht="15.0" customHeight="1">
      <c r="A2" s="124"/>
      <c r="B2" s="122"/>
      <c r="C2" s="123"/>
      <c r="D2" s="138" t="s">
        <v>1457</v>
      </c>
      <c r="E2" s="123"/>
      <c r="F2" s="123"/>
      <c r="G2" s="124"/>
      <c r="H2" s="83"/>
      <c r="I2" s="139"/>
      <c r="J2" s="139"/>
    </row>
    <row r="3">
      <c r="A3" s="140">
        <v>16.0</v>
      </c>
      <c r="B3" s="125" t="str">
        <f>VLOOKUP(A3,'Swiss Registry'!$A$2:$B$703,2,False)</f>
        <v>Mielke</v>
      </c>
      <c r="C3" s="105" t="str">
        <f t="shared" ref="C3:C46" si="1">IF(H3="dead","",IF(H3="a:act","",IF(H3="b:act","",IF(ISURL(HYPERLINK(INDIRECT("Importer!B"&amp;MID(H3,2,4)+1,TRUE))),HYPERLINK(INDIRECT("Importer!B"&amp;MID(H3,2,4)+1,TRUE), "Game 1"),""))))</f>
        <v>Game 1</v>
      </c>
      <c r="D3" s="106" t="str">
        <f>IF(H3="dead","Dead Game",IF(H3="a:act","Act: "&amp;F3,IF(H3="b:act","Act: "&amp;#REF!,IF(ISURL(HYPERLINK(INDIRECT("Importer!B"&amp;MID(H3,6,4)+1,TRUE))),HYPERLINK(INDIRECT("Importer!B"&amp;MID(H3,6,4)+1,TRUE), "Game 2"),""))))</f>
        <v>Game 2</v>
      </c>
      <c r="E3" s="110" t="str">
        <f t="shared" ref="E3:E46" si="2">IF(H3="dead","",IF(H3="a:act","",IF(H3="b:act","",IF(ISURL(HYPERLINK(INDIRECT("Importer!B"&amp;MID(H3,10,4)+1,TRUE))),HYPERLINK(INDIRECT("Importer!B"&amp;MID(H3,10,4)+1,TRUE), "Game 3"),""))))</f>
        <v>Game 3</v>
      </c>
      <c r="F3" s="126" t="str">
        <f>VLOOKUP(G3,'Swiss Registry'!$A$2:$B$703,2,False)</f>
        <v>.seden</v>
      </c>
      <c r="G3" s="127">
        <v>254.0</v>
      </c>
      <c r="H3" s="93" t="s">
        <v>2338</v>
      </c>
      <c r="I3" s="141" t="str">
        <f t="array" ref="I3">XLOOKUP(CELL("contents",B3),'Swiss Registry'!$B$2:$B$703,'Swiss Registry'!$N$2:$N$703) </f>
        <v>324650949371232257</v>
      </c>
      <c r="J3" s="142" t="str">
        <f t="array" ref="J3">XLOOKUP(CELL("contents",F3),'Swiss Registry'!$B$2:$B$703,'Swiss Registry'!$N$2:$N$703) </f>
        <v>248581453158285312</v>
      </c>
    </row>
    <row r="4">
      <c r="A4" s="140">
        <v>1.0</v>
      </c>
      <c r="B4" s="125" t="str">
        <f>VLOOKUP(A4,'Swiss Registry'!$A$2:$B$703,2,False)</f>
        <v>Fakes</v>
      </c>
      <c r="C4" s="105" t="str">
        <f t="shared" si="1"/>
        <v>Game 1</v>
      </c>
      <c r="D4" s="106" t="str">
        <f t="shared" ref="D4:D41" si="3">IF(H4="dead","Dead Game",IF(H4="a:act","Act: "&amp;B4,IF(H4="b:act","Act: "&amp;F4,IF(ISURL(HYPERLINK(INDIRECT("Importer!B"&amp;MID(H4,6,4)+1,TRUE))),HYPERLINK(INDIRECT("Importer!B"&amp;MID(H4,6,4)+1,TRUE), "Game 2"),""))))</f>
        <v>Game 2</v>
      </c>
      <c r="E4" s="107" t="str">
        <f t="shared" si="2"/>
        <v/>
      </c>
      <c r="F4" s="126" t="str">
        <f>VLOOKUP(G4,'Swiss Registry'!$A$2:$B$703,2,False)</f>
        <v>jaden_17522</v>
      </c>
      <c r="G4" s="127">
        <v>701.0</v>
      </c>
      <c r="H4" s="93" t="s">
        <v>2339</v>
      </c>
      <c r="I4" s="141" t="str">
        <f t="array" ref="I4">XLOOKUP(CELL("contents",B4),'Swiss Registry'!$B$2:$B$703,'Swiss Registry'!$N$2:$N$703) </f>
        <v>917864414269550693</v>
      </c>
      <c r="J4" s="142" t="str">
        <f t="array" ref="J4">XLOOKUP(CELL("contents",F4),'Swiss Registry'!$B$2:$B$703,'Swiss Registry'!$N$2:$N$703) </f>
        <v>1215851373057413160</v>
      </c>
    </row>
    <row r="5">
      <c r="A5" s="140">
        <v>3.0</v>
      </c>
      <c r="B5" s="125" t="str">
        <f>VLOOKUP(A5,'Swiss Registry'!$A$2:$B$703,2,False)</f>
        <v>Triangles</v>
      </c>
      <c r="C5" s="105" t="str">
        <f t="shared" si="1"/>
        <v>Game 1</v>
      </c>
      <c r="D5" s="106" t="str">
        <f t="shared" si="3"/>
        <v>Game 2</v>
      </c>
      <c r="E5" s="107" t="str">
        <f t="shared" si="2"/>
        <v/>
      </c>
      <c r="F5" s="126" t="str">
        <f>VLOOKUP(G5,'Swiss Registry'!$A$2:$B$703,2,False)</f>
        <v>pac_rojo</v>
      </c>
      <c r="G5" s="127">
        <v>331.0</v>
      </c>
      <c r="H5" s="93" t="s">
        <v>2340</v>
      </c>
      <c r="I5" s="141" t="str">
        <f t="array" ref="I5">XLOOKUP(CELL("contents",B5),'Swiss Registry'!$B$2:$B$703,'Swiss Registry'!$N$2:$N$703) </f>
        <v>587394354725912717</v>
      </c>
      <c r="J5" s="142" t="str">
        <f t="array" ref="J5">XLOOKUP(CELL("contents",F5),'Swiss Registry'!$B$2:$B$703,'Swiss Registry'!$N$2:$N$703) </f>
        <v>658992933772591105</v>
      </c>
    </row>
    <row r="6">
      <c r="A6" s="140">
        <v>6.0</v>
      </c>
      <c r="B6" s="125" t="str">
        <f>VLOOKUP(A6,'Swiss Registry'!$A$2:$B$703,2,False)</f>
        <v>Fear</v>
      </c>
      <c r="C6" s="105" t="str">
        <f t="shared" si="1"/>
        <v>Game 1</v>
      </c>
      <c r="D6" s="106" t="str">
        <f t="shared" si="3"/>
        <v>Game 2</v>
      </c>
      <c r="E6" s="107" t="str">
        <f t="shared" si="2"/>
        <v/>
      </c>
      <c r="F6" s="126" t="str">
        <f>VLOOKUP(G6,'Swiss Registry'!$A$2:$B$703,2,False)</f>
        <v>cocoo7538</v>
      </c>
      <c r="G6" s="127">
        <v>103.0</v>
      </c>
      <c r="H6" s="93" t="s">
        <v>2341</v>
      </c>
      <c r="I6" s="141" t="str">
        <f t="array" ref="I6">XLOOKUP(CELL("contents",B6),'Swiss Registry'!$B$2:$B$703,'Swiss Registry'!$N$2:$N$703) </f>
        <v>125981893828149248</v>
      </c>
      <c r="J6" s="142" t="str">
        <f t="array" ref="J6">XLOOKUP(CELL("contents",F6),'Swiss Registry'!$B$2:$B$703,'Swiss Registry'!$N$2:$N$703) </f>
        <v>690750151727251466</v>
      </c>
    </row>
    <row r="7">
      <c r="A7" s="140">
        <v>7.0</v>
      </c>
      <c r="B7" s="125" t="str">
        <f>VLOOKUP(A7,'Swiss Registry'!$A$2:$B$703,2,False)</f>
        <v>jumpy23</v>
      </c>
      <c r="C7" s="105" t="str">
        <f t="shared" si="1"/>
        <v>Game 1</v>
      </c>
      <c r="D7" s="106" t="str">
        <f t="shared" si="3"/>
        <v>Game 2</v>
      </c>
      <c r="E7" s="110" t="str">
        <f t="shared" si="2"/>
        <v>Game 3</v>
      </c>
      <c r="F7" s="126" t="str">
        <f>VLOOKUP(G7,'Swiss Registry'!$A$2:$B$703,2,False)</f>
        <v>GreenCity</v>
      </c>
      <c r="G7" s="127">
        <v>108.0</v>
      </c>
      <c r="H7" s="93" t="s">
        <v>2342</v>
      </c>
      <c r="I7" s="141" t="str">
        <f t="array" ref="I7">XLOOKUP(CELL("contents",B7),'Swiss Registry'!$B$2:$B$703,'Swiss Registry'!$N$2:$N$703) </f>
        <v>127527434865082368</v>
      </c>
      <c r="J7" s="142" t="str">
        <f t="array" ref="J7">XLOOKUP(CELL("contents",F7),'Swiss Registry'!$B$2:$B$703,'Swiss Registry'!$N$2:$N$703) </f>
        <v>SUB</v>
      </c>
    </row>
    <row r="8">
      <c r="A8" s="140">
        <v>9.0</v>
      </c>
      <c r="B8" s="125" t="str">
        <f>VLOOKUP(A8,'Swiss Registry'!$A$2:$B$703,2,False)</f>
        <v>Kollin</v>
      </c>
      <c r="C8" s="105" t="str">
        <f t="shared" si="1"/>
        <v>Game 1</v>
      </c>
      <c r="D8" s="106" t="str">
        <f t="shared" si="3"/>
        <v>Game 2</v>
      </c>
      <c r="E8" s="107" t="str">
        <f t="shared" si="2"/>
        <v/>
      </c>
      <c r="F8" s="126" t="str">
        <f>VLOOKUP(G8,'Swiss Registry'!$A$2:$B$703,2,False)</f>
        <v>lexi.pup</v>
      </c>
      <c r="G8" s="127">
        <v>547.0</v>
      </c>
      <c r="H8" s="93" t="s">
        <v>2343</v>
      </c>
      <c r="I8" s="141" t="str">
        <f t="array" ref="I8">XLOOKUP(CELL("contents",B8),'Swiss Registry'!$B$2:$B$703,'Swiss Registry'!$N$2:$N$703) </f>
        <v>83000775151714304</v>
      </c>
      <c r="J8" s="142" t="str">
        <f t="array" ref="J8">XLOOKUP(CELL("contents",F8),'Swiss Registry'!$B$2:$B$703,'Swiss Registry'!$N$2:$N$703) </f>
        <v>768313209161383936</v>
      </c>
    </row>
    <row r="9">
      <c r="A9" s="140">
        <v>13.0</v>
      </c>
      <c r="B9" s="125" t="str">
        <f>VLOOKUP(A9,'Swiss Registry'!$A$2:$B$703,2,False)</f>
        <v>River</v>
      </c>
      <c r="C9" s="105" t="str">
        <f t="shared" si="1"/>
        <v>Game 1</v>
      </c>
      <c r="D9" s="106" t="str">
        <f t="shared" si="3"/>
        <v>Game 2</v>
      </c>
      <c r="E9" s="107" t="str">
        <f t="shared" si="2"/>
        <v/>
      </c>
      <c r="F9" s="126" t="str">
        <f>VLOOKUP(G9,'Swiss Registry'!$A$2:$B$703,2,False)</f>
        <v>executive_assistant</v>
      </c>
      <c r="G9" s="127">
        <v>375.0</v>
      </c>
      <c r="H9" s="93" t="s">
        <v>2344</v>
      </c>
      <c r="I9" s="141" t="str">
        <f t="array" ref="I9">XLOOKUP(CELL("contents",B9),'Swiss Registry'!$B$2:$B$703,'Swiss Registry'!$N$2:$N$703) </f>
        <v>543280883000541224</v>
      </c>
      <c r="J9" s="142" t="str">
        <f t="array" ref="J9">XLOOKUP(CELL("contents",F9),'Swiss Registry'!$B$2:$B$703,'Swiss Registry'!$N$2:$N$703) </f>
        <v>446542834766577665</v>
      </c>
    </row>
    <row r="10">
      <c r="A10" s="140">
        <v>14.0</v>
      </c>
      <c r="B10" s="125" t="str">
        <f>VLOOKUP(A10,'Swiss Registry'!$A$2:$B$703,2,False)</f>
        <v>Voyager</v>
      </c>
      <c r="C10" s="105" t="str">
        <f t="shared" si="1"/>
        <v>Game 1</v>
      </c>
      <c r="D10" s="106" t="str">
        <f t="shared" si="3"/>
        <v>Game 2</v>
      </c>
      <c r="E10" s="110" t="str">
        <f t="shared" si="2"/>
        <v>Game 3</v>
      </c>
      <c r="F10" s="126" t="str">
        <f>VLOOKUP(G10,'Swiss Registry'!$A$2:$B$703,2,False)</f>
        <v>Ghostmalone.</v>
      </c>
      <c r="G10" s="127">
        <v>264.0</v>
      </c>
      <c r="H10" s="93" t="s">
        <v>2345</v>
      </c>
      <c r="I10" s="141" t="str">
        <f t="array" ref="I10">XLOOKUP(CELL("contents",B10),'Swiss Registry'!$B$2:$B$703,'Swiss Registry'!$N$2:$N$703) </f>
        <v>554730792488534056</v>
      </c>
      <c r="J10" s="142" t="str">
        <f t="array" ref="J10">XLOOKUP(CELL("contents",F10),'Swiss Registry'!$B$2:$B$703,'Swiss Registry'!$N$2:$N$703) </f>
        <v>329857381746081792</v>
      </c>
    </row>
    <row r="11">
      <c r="A11" s="140">
        <v>15.0</v>
      </c>
      <c r="B11" s="125" t="str">
        <f>VLOOKUP(A11,'Swiss Registry'!$A$2:$B$703,2,False)</f>
        <v>Carapinga</v>
      </c>
      <c r="C11" s="105" t="str">
        <f t="shared" si="1"/>
        <v>Game 1</v>
      </c>
      <c r="D11" s="106" t="str">
        <f t="shared" si="3"/>
        <v>Game 2</v>
      </c>
      <c r="E11" s="110" t="str">
        <f t="shared" si="2"/>
        <v>Game 3</v>
      </c>
      <c r="F11" s="126" t="str">
        <f>VLOOKUP(G11,'Swiss Registry'!$A$2:$B$703,2,False)</f>
        <v>venomshoc</v>
      </c>
      <c r="G11" s="127">
        <v>486.0</v>
      </c>
      <c r="H11" s="93" t="s">
        <v>2346</v>
      </c>
      <c r="I11" s="141" t="str">
        <f t="array" ref="I11">XLOOKUP(CELL("contents",B11),'Swiss Registry'!$B$2:$B$703,'Swiss Registry'!$N$2:$N$703) </f>
        <v>475993004994330629</v>
      </c>
      <c r="J11" s="142" t="str">
        <f t="array" ref="J11">XLOOKUP(CELL("contents",F11),'Swiss Registry'!$B$2:$B$703,'Swiss Registry'!$N$2:$N$703) </f>
        <v>314453127224885249</v>
      </c>
    </row>
    <row r="12">
      <c r="A12" s="140">
        <v>18.0</v>
      </c>
      <c r="B12" s="125" t="str">
        <f>VLOOKUP(A12,'Swiss Registry'!$A$2:$B$703,2,False)</f>
        <v>Pokology</v>
      </c>
      <c r="C12" s="105" t="str">
        <f t="shared" si="1"/>
        <v>Game 1</v>
      </c>
      <c r="D12" s="106" t="str">
        <f t="shared" si="3"/>
        <v>Game 2</v>
      </c>
      <c r="E12" s="107" t="str">
        <f t="shared" si="2"/>
        <v/>
      </c>
      <c r="F12" s="126" t="str">
        <f>VLOOKUP(G12,'Swiss Registry'!$A$2:$B$703,2,False)</f>
        <v>clarissen</v>
      </c>
      <c r="G12" s="127">
        <v>609.0</v>
      </c>
      <c r="H12" s="93" t="s">
        <v>2347</v>
      </c>
      <c r="I12" s="141" t="str">
        <f t="array" ref="I12">XLOOKUP(CELL("contents",B12),'Swiss Registry'!$B$2:$B$703,'Swiss Registry'!$N$2:$N$703) </f>
        <v>647891006347542566</v>
      </c>
      <c r="J12" s="142" t="str">
        <f t="array" ref="J12">XLOOKUP(CELL("contents",F12),'Swiss Registry'!$B$2:$B$703,'Swiss Registry'!$N$2:$N$703) </f>
        <v>443637291165024277</v>
      </c>
    </row>
    <row r="13">
      <c r="A13" s="140">
        <v>22.0</v>
      </c>
      <c r="B13" s="125" t="str">
        <f>VLOOKUP(A13,'Swiss Registry'!$A$2:$B$703,2,False)</f>
        <v>laxuy</v>
      </c>
      <c r="C13" s="105" t="str">
        <f t="shared" si="1"/>
        <v>Game 1</v>
      </c>
      <c r="D13" s="106" t="str">
        <f t="shared" si="3"/>
        <v>Game 2</v>
      </c>
      <c r="E13" s="107" t="str">
        <f t="shared" si="2"/>
        <v/>
      </c>
      <c r="F13" s="126" t="str">
        <f>VLOOKUP(G13,'Swiss Registry'!$A$2:$B$703,2,False)</f>
        <v>Fantasmal_.</v>
      </c>
      <c r="G13" s="127">
        <v>515.0</v>
      </c>
      <c r="H13" s="93" t="s">
        <v>2348</v>
      </c>
      <c r="I13" s="141" t="str">
        <f t="array" ref="I13">XLOOKUP(CELL("contents",B13),'Swiss Registry'!$B$2:$B$703,'Swiss Registry'!$N$2:$N$703) </f>
        <v>162377920117997568</v>
      </c>
      <c r="J13" s="142" t="str">
        <f t="array" ref="J13">XLOOKUP(CELL("contents",F13),'Swiss Registry'!$B$2:$B$703,'Swiss Registry'!$N$2:$N$703) </f>
        <v>1232210933489864785</v>
      </c>
    </row>
    <row r="14">
      <c r="A14" s="140">
        <v>25.0</v>
      </c>
      <c r="B14" s="125" t="str">
        <f>VLOOKUP(A14,'Swiss Registry'!$A$2:$B$703,2,False)</f>
        <v>JR</v>
      </c>
      <c r="C14" s="105" t="str">
        <f t="shared" si="1"/>
        <v>Game 1</v>
      </c>
      <c r="D14" s="106" t="str">
        <f t="shared" si="3"/>
        <v>Game 2</v>
      </c>
      <c r="E14" s="110" t="str">
        <f t="shared" si="2"/>
        <v>Game 3</v>
      </c>
      <c r="F14" s="126" t="str">
        <f>VLOOKUP(G14,'Swiss Registry'!$A$2:$B$703,2,False)</f>
        <v>tehpenguinofdoom</v>
      </c>
      <c r="G14" s="127">
        <v>539.0</v>
      </c>
      <c r="H14" s="93" t="s">
        <v>2349</v>
      </c>
      <c r="I14" s="141" t="str">
        <f t="array" ref="I14">XLOOKUP(CELL("contents",B14),'Swiss Registry'!$B$2:$B$703,'Swiss Registry'!$N$2:$N$703) </f>
        <v>319563636483817472</v>
      </c>
      <c r="J14" s="142" t="str">
        <f t="array" ref="J14">XLOOKUP(CELL("contents",F14),'Swiss Registry'!$B$2:$B$703,'Swiss Registry'!$N$2:$N$703) </f>
        <v>884242717255807047</v>
      </c>
    </row>
    <row r="15">
      <c r="A15" s="140">
        <v>27.0</v>
      </c>
      <c r="B15" s="125" t="str">
        <f>VLOOKUP(A15,'Swiss Registry'!$A$2:$B$703,2,False)</f>
        <v>Sheik</v>
      </c>
      <c r="C15" s="105" t="str">
        <f t="shared" si="1"/>
        <v>Game 1</v>
      </c>
      <c r="D15" s="106" t="str">
        <f t="shared" si="3"/>
        <v>Game 2</v>
      </c>
      <c r="E15" s="110" t="str">
        <f t="shared" si="2"/>
        <v>Game 3</v>
      </c>
      <c r="F15" s="126" t="str">
        <f>VLOOKUP(G15,'Swiss Registry'!$A$2:$B$703,2,False)</f>
        <v>thestonewallsmith</v>
      </c>
      <c r="G15" s="127">
        <v>191.0</v>
      </c>
      <c r="H15" s="93" t="s">
        <v>2350</v>
      </c>
      <c r="I15" s="141" t="str">
        <f t="array" ref="I15">XLOOKUP(CELL("contents",B15),'Swiss Registry'!$B$2:$B$703,'Swiss Registry'!$N$2:$N$703) </f>
        <v>700432987858403420</v>
      </c>
      <c r="J15" s="142" t="str">
        <f t="array" ref="J15">XLOOKUP(CELL("contents",F15),'Swiss Registry'!$B$2:$B$703,'Swiss Registry'!$N$2:$N$703) </f>
        <v>320335928155701250</v>
      </c>
    </row>
    <row r="16">
      <c r="A16" s="140">
        <v>29.0</v>
      </c>
      <c r="B16" s="125">
        <f>VLOOKUP(A16,'Swiss Registry'!$A$2:$B$703,2,False)</f>
        <v>48</v>
      </c>
      <c r="C16" s="105" t="str">
        <f t="shared" si="1"/>
        <v>Game 1</v>
      </c>
      <c r="D16" s="106" t="str">
        <f t="shared" si="3"/>
        <v>Game 2</v>
      </c>
      <c r="E16" s="110" t="str">
        <f t="shared" si="2"/>
        <v>Game 3</v>
      </c>
      <c r="F16" s="126" t="str">
        <f>VLOOKUP(G16,'Swiss Registry'!$A$2:$B$703,2,False)</f>
        <v>sieefffmon</v>
      </c>
      <c r="G16" s="127">
        <v>330.0</v>
      </c>
      <c r="H16" s="93" t="s">
        <v>2351</v>
      </c>
      <c r="I16" s="141" t="str">
        <f t="array" ref="I16">XLOOKUP(CELL("contents",B16),'Swiss Registry'!$B$2:$B$703,'Swiss Registry'!$N$2:$N$703) </f>
        <v>247063915790336004</v>
      </c>
      <c r="J16" s="142" t="str">
        <f t="array" ref="J16">XLOOKUP(CELL("contents",F16),'Swiss Registry'!$B$2:$B$703,'Swiss Registry'!$N$2:$N$703) </f>
        <v>257242537582919691</v>
      </c>
    </row>
    <row r="17">
      <c r="A17" s="140">
        <v>32.0</v>
      </c>
      <c r="B17" s="125" t="str">
        <f>VLOOKUP(A17,'Swiss Registry'!$A$2:$B$703,2,False)</f>
        <v>Johnald</v>
      </c>
      <c r="C17" s="105" t="str">
        <f t="shared" si="1"/>
        <v>Game 1</v>
      </c>
      <c r="D17" s="106" t="str">
        <f t="shared" si="3"/>
        <v>Game 2</v>
      </c>
      <c r="E17" s="110" t="str">
        <f t="shared" si="2"/>
        <v>Game 3</v>
      </c>
      <c r="F17" s="126" t="str">
        <f>VLOOKUP(G17,'Swiss Registry'!$A$2:$B$703,2,False)</f>
        <v>Scrigman</v>
      </c>
      <c r="G17" s="127">
        <v>150.0</v>
      </c>
      <c r="H17" s="93" t="s">
        <v>2352</v>
      </c>
      <c r="I17" s="141" t="str">
        <f t="array" ref="I17">XLOOKUP(CELL("contents",B17),'Swiss Registry'!$B$2:$B$703,'Swiss Registry'!$N$2:$N$703) </f>
        <v>196328307241910272</v>
      </c>
      <c r="J17" s="142" t="str">
        <f t="array" ref="J17">XLOOKUP(CELL("contents",F17),'Swiss Registry'!$B$2:$B$703,'Swiss Registry'!$N$2:$N$703) </f>
        <v>211942228153597952</v>
      </c>
    </row>
    <row r="18">
      <c r="A18" s="140">
        <v>34.0</v>
      </c>
      <c r="B18" s="125" t="str">
        <f>VLOOKUP(A18,'Swiss Registry'!$A$2:$B$703,2,False)</f>
        <v>D3stiny</v>
      </c>
      <c r="C18" s="105" t="str">
        <f t="shared" si="1"/>
        <v>Game 1</v>
      </c>
      <c r="D18" s="106" t="str">
        <f t="shared" si="3"/>
        <v>Game 2</v>
      </c>
      <c r="E18" s="107" t="str">
        <f t="shared" si="2"/>
        <v/>
      </c>
      <c r="F18" s="126" t="str">
        <f>VLOOKUP(G18,'Swiss Registry'!$A$2:$B$703,2,False)</f>
        <v>denizs8</v>
      </c>
      <c r="G18" s="127">
        <v>555.0</v>
      </c>
      <c r="H18" s="93" t="s">
        <v>2353</v>
      </c>
      <c r="I18" s="141" t="str">
        <f t="array" ref="I18">XLOOKUP(CELL("contents",B18),'Swiss Registry'!$B$2:$B$703,'Swiss Registry'!$N$2:$N$703) </f>
        <v>836748504621252618</v>
      </c>
      <c r="J18" s="142" t="str">
        <f t="array" ref="J18">XLOOKUP(CELL("contents",F18),'Swiss Registry'!$B$2:$B$703,'Swiss Registry'!$N$2:$N$703) </f>
        <v>188407578202472448</v>
      </c>
    </row>
    <row r="19">
      <c r="A19" s="140">
        <v>36.0</v>
      </c>
      <c r="B19" s="125" t="str">
        <f>VLOOKUP(A19,'Swiss Registry'!$A$2:$B$703,2,False)</f>
        <v>Segale</v>
      </c>
      <c r="C19" s="105" t="str">
        <f t="shared" si="1"/>
        <v>Game 1</v>
      </c>
      <c r="D19" s="106" t="str">
        <f t="shared" si="3"/>
        <v>Game 2</v>
      </c>
      <c r="E19" s="110" t="str">
        <f t="shared" si="2"/>
        <v>Game 3</v>
      </c>
      <c r="F19" s="126" t="str">
        <f>VLOOKUP(G19,'Swiss Registry'!$A$2:$B$703,2,False)</f>
        <v>_uka</v>
      </c>
      <c r="G19" s="127">
        <v>227.0</v>
      </c>
      <c r="H19" s="93" t="s">
        <v>2354</v>
      </c>
      <c r="I19" s="141" t="str">
        <f t="array" ref="I19">XLOOKUP(CELL("contents",B19),'Swiss Registry'!$B$2:$B$703,'Swiss Registry'!$N$2:$N$703) </f>
        <v>1059548623416856608</v>
      </c>
      <c r="J19" s="142" t="str">
        <f t="array" ref="J19">XLOOKUP(CELL("contents",F19),'Swiss Registry'!$B$2:$B$703,'Swiss Registry'!$N$2:$N$703) </f>
        <v>277419088588832768</v>
      </c>
    </row>
    <row r="20">
      <c r="A20" s="140">
        <v>39.0</v>
      </c>
      <c r="B20" s="125" t="str">
        <f>VLOOKUP(A20,'Swiss Registry'!$A$2:$B$703,2,False)</f>
        <v>earlgr3y</v>
      </c>
      <c r="C20" s="105" t="str">
        <f t="shared" si="1"/>
        <v>Game 1</v>
      </c>
      <c r="D20" s="106" t="str">
        <f t="shared" si="3"/>
        <v>Game 2</v>
      </c>
      <c r="E20" s="107" t="str">
        <f t="shared" si="2"/>
        <v/>
      </c>
      <c r="F20" s="126" t="str">
        <f>VLOOKUP(G20,'Swiss Registry'!$A$2:$B$703,2,False)</f>
        <v>annuit99</v>
      </c>
      <c r="G20" s="127">
        <v>113.0</v>
      </c>
      <c r="H20" s="93" t="s">
        <v>2355</v>
      </c>
      <c r="I20" s="141" t="str">
        <f t="array" ref="I20">XLOOKUP(CELL("contents",B20),'Swiss Registry'!$B$2:$B$703,'Swiss Registry'!$N$2:$N$703) </f>
        <v>1058405539903713330</v>
      </c>
      <c r="J20" s="142" t="str">
        <f t="array" ref="J20">XLOOKUP(CELL("contents",F20),'Swiss Registry'!$B$2:$B$703,'Swiss Registry'!$N$2:$N$703) </f>
        <v>397519983669805060</v>
      </c>
    </row>
    <row r="21">
      <c r="A21" s="140">
        <v>42.0</v>
      </c>
      <c r="B21" s="125" t="str">
        <f>VLOOKUP(A21,'Swiss Registry'!$A$2:$B$703,2,False)</f>
        <v>ThisGuyMuks</v>
      </c>
      <c r="C21" s="105" t="str">
        <f t="shared" si="1"/>
        <v>Game 1</v>
      </c>
      <c r="D21" s="106" t="str">
        <f t="shared" si="3"/>
        <v>Game 2</v>
      </c>
      <c r="E21" s="110" t="str">
        <f t="shared" si="2"/>
        <v>Game 3</v>
      </c>
      <c r="F21" s="126" t="str">
        <f>VLOOKUP(G21,'Swiss Registry'!$A$2:$B$703,2,False)</f>
        <v>Agustin Palacios</v>
      </c>
      <c r="G21" s="127">
        <v>265.0</v>
      </c>
      <c r="H21" s="93" t="s">
        <v>2356</v>
      </c>
      <c r="I21" s="141" t="str">
        <f t="array" ref="I21">XLOOKUP(CELL("contents",B21),'Swiss Registry'!$B$2:$B$703,'Swiss Registry'!$N$2:$N$703) </f>
        <v>397627331637805056</v>
      </c>
      <c r="J21" s="142" t="str">
        <f t="array" ref="J21">XLOOKUP(CELL("contents",F21),'Swiss Registry'!$B$2:$B$703,'Swiss Registry'!$N$2:$N$703) </f>
        <v>547461638647840805</v>
      </c>
    </row>
    <row r="22">
      <c r="A22" s="140">
        <v>45.0</v>
      </c>
      <c r="B22" s="125" t="str">
        <f>VLOOKUP(A22,'Swiss Registry'!$A$2:$B$703,2,False)</f>
        <v>DeezCastforms</v>
      </c>
      <c r="C22" s="105" t="str">
        <f t="shared" si="1"/>
        <v>Game 1</v>
      </c>
      <c r="D22" s="106" t="str">
        <f t="shared" si="3"/>
        <v>Game 2</v>
      </c>
      <c r="E22" s="107" t="str">
        <f t="shared" si="2"/>
        <v/>
      </c>
      <c r="F22" s="126" t="str">
        <f>VLOOKUP(G22,'Swiss Registry'!$A$2:$B$703,2,False)</f>
        <v>sheikhater</v>
      </c>
      <c r="G22" s="127">
        <v>627.0</v>
      </c>
      <c r="H22" s="93" t="s">
        <v>2357</v>
      </c>
      <c r="I22" s="141" t="str">
        <f t="array" ref="I22">XLOOKUP(CELL("contents",B22),'Swiss Registry'!$B$2:$B$703,'Swiss Registry'!$N$2:$N$703) </f>
        <v>358052192915292161</v>
      </c>
      <c r="J22" s="142" t="str">
        <f t="array" ref="J22">XLOOKUP(CELL("contents",F22),'Swiss Registry'!$B$2:$B$703,'Swiss Registry'!$N$2:$N$703) </f>
        <v>355167649497481218</v>
      </c>
    </row>
    <row r="23">
      <c r="A23" s="140">
        <v>46.0</v>
      </c>
      <c r="B23" s="125" t="str">
        <f>VLOOKUP(A23,'Swiss Registry'!$A$2:$B$703,2,False)</f>
        <v>Zelph</v>
      </c>
      <c r="C23" s="105" t="str">
        <f t="shared" si="1"/>
        <v>Game 1</v>
      </c>
      <c r="D23" s="106" t="str">
        <f t="shared" si="3"/>
        <v>Game 2</v>
      </c>
      <c r="E23" s="110" t="str">
        <f t="shared" si="2"/>
        <v>Game 3</v>
      </c>
      <c r="F23" s="126" t="str">
        <f>VLOOKUP(G23,'Swiss Registry'!$A$2:$B$703,2,False)</f>
        <v>thedarvinist</v>
      </c>
      <c r="G23" s="127">
        <v>393.0</v>
      </c>
      <c r="H23" s="93" t="s">
        <v>2358</v>
      </c>
      <c r="I23" s="141" t="str">
        <f t="array" ref="I23">XLOOKUP(CELL("contents",B23),'Swiss Registry'!$B$2:$B$703,'Swiss Registry'!$N$2:$N$703) </f>
        <v>895466276191862855</v>
      </c>
      <c r="J23" s="142" t="str">
        <f t="array" ref="J23">XLOOKUP(CELL("contents",F23),'Swiss Registry'!$B$2:$B$703,'Swiss Registry'!$N$2:$N$703) </f>
        <v>431455323476328449</v>
      </c>
    </row>
    <row r="24">
      <c r="A24" s="140">
        <v>49.0</v>
      </c>
      <c r="B24" s="125" t="str">
        <f>VLOOKUP(A24,'Swiss Registry'!$A$2:$B$703,2,False)</f>
        <v>Bhol</v>
      </c>
      <c r="C24" s="105" t="str">
        <f t="shared" si="1"/>
        <v>Game 1</v>
      </c>
      <c r="D24" s="106" t="str">
        <f t="shared" si="3"/>
        <v>Game 2</v>
      </c>
      <c r="E24" s="110" t="str">
        <f t="shared" si="2"/>
        <v>Game 3</v>
      </c>
      <c r="F24" s="126" t="str">
        <f>VLOOKUP(G24,'Swiss Registry'!$A$2:$B$703,2,False)</f>
        <v>fastandsleepy</v>
      </c>
      <c r="G24" s="127">
        <v>423.0</v>
      </c>
      <c r="H24" s="93" t="s">
        <v>2359</v>
      </c>
      <c r="I24" s="141" t="str">
        <f t="array" ref="I24">XLOOKUP(CELL("contents",B24),'Swiss Registry'!$B$2:$B$703,'Swiss Registry'!$N$2:$N$703) </f>
        <v>708350647879335966</v>
      </c>
      <c r="J24" s="142" t="str">
        <f t="array" ref="J24">XLOOKUP(CELL("contents",F24),'Swiss Registry'!$B$2:$B$703,'Swiss Registry'!$N$2:$N$703) </f>
        <v>428574676449624065</v>
      </c>
    </row>
    <row r="25">
      <c r="A25" s="140">
        <v>53.0</v>
      </c>
      <c r="B25" s="125" t="str">
        <f>VLOOKUP(A25,'Swiss Registry'!$A$2:$B$703,2,False)</f>
        <v>Evakiyama</v>
      </c>
      <c r="C25" s="105" t="str">
        <f t="shared" si="1"/>
        <v>Game 1</v>
      </c>
      <c r="D25" s="106" t="str">
        <f t="shared" si="3"/>
        <v>Game 2</v>
      </c>
      <c r="E25" s="110" t="str">
        <f t="shared" si="2"/>
        <v>Game 3</v>
      </c>
      <c r="F25" s="126" t="str">
        <f>VLOOKUP(G25,'Swiss Registry'!$A$2:$B$703,2,False)</f>
        <v>oskari1707</v>
      </c>
      <c r="G25" s="127">
        <v>517.0</v>
      </c>
      <c r="H25" s="93" t="s">
        <v>2360</v>
      </c>
      <c r="I25" s="141" t="str">
        <f t="array" ref="I25">XLOOKUP(CELL("contents",B25),'Swiss Registry'!$B$2:$B$703,'Swiss Registry'!$N$2:$N$703) </f>
        <v>379787698799640576</v>
      </c>
      <c r="J25" s="142" t="str">
        <f t="array" ref="J25">XLOOKUP(CELL("contents",F25),'Swiss Registry'!$B$2:$B$703,'Swiss Registry'!$N$2:$N$703) </f>
        <v>920018351684730910</v>
      </c>
    </row>
    <row r="26">
      <c r="A26" s="140">
        <v>55.0</v>
      </c>
      <c r="B26" s="125" t="str">
        <f>VLOOKUP(A26,'Swiss Registry'!$A$2:$B$703,2,False)</f>
        <v>Kai (aplgd)</v>
      </c>
      <c r="C26" s="105" t="str">
        <f t="shared" si="1"/>
        <v>Game 1</v>
      </c>
      <c r="D26" s="106" t="str">
        <f t="shared" si="3"/>
        <v>Game 2</v>
      </c>
      <c r="E26" s="107" t="str">
        <f t="shared" si="2"/>
        <v/>
      </c>
      <c r="F26" s="126" t="str">
        <f>VLOOKUP(G26,'Swiss Registry'!$A$2:$B$703,2,False)</f>
        <v>rovels</v>
      </c>
      <c r="G26" s="127">
        <v>193.0</v>
      </c>
      <c r="H26" s="93" t="s">
        <v>2361</v>
      </c>
      <c r="I26" s="141" t="str">
        <f t="array" ref="I26">XLOOKUP(CELL("contents",B26),'Swiss Registry'!$B$2:$B$703,'Swiss Registry'!$N$2:$N$703) </f>
        <v>782951193495207938</v>
      </c>
      <c r="J26" s="142" t="str">
        <f t="array" ref="J26">XLOOKUP(CELL("contents",F26),'Swiss Registry'!$B$2:$B$703,'Swiss Registry'!$N$2:$N$703) </f>
        <v>213427649148616704</v>
      </c>
    </row>
    <row r="27">
      <c r="A27" s="140">
        <v>56.0</v>
      </c>
      <c r="B27" s="125" t="str">
        <f>VLOOKUP(A27,'Swiss Registry'!$A$2:$B$703,2,False)</f>
        <v>Vayun</v>
      </c>
      <c r="C27" s="111" t="str">
        <f t="shared" si="1"/>
        <v/>
      </c>
      <c r="D27" s="112" t="str">
        <f t="shared" si="3"/>
        <v>Act: Sophocles</v>
      </c>
      <c r="E27" s="107" t="str">
        <f t="shared" si="2"/>
        <v/>
      </c>
      <c r="F27" s="126" t="str">
        <f>VLOOKUP(G27,'Swiss Registry'!$A$2:$B$703,2,False)</f>
        <v>Sophocles</v>
      </c>
      <c r="G27" s="127">
        <v>130.0</v>
      </c>
      <c r="H27" s="93" t="s">
        <v>1523</v>
      </c>
      <c r="I27" s="141" t="str">
        <f t="array" ref="I27">XLOOKUP(CELL("contents",B27),'Swiss Registry'!$B$2:$B$703,'Swiss Registry'!$N$2:$N$703) </f>
        <v>773919415153983489</v>
      </c>
      <c r="J27" s="142" t="str">
        <f t="array" ref="J27">XLOOKUP(CELL("contents",F27),'Swiss Registry'!$B$2:$B$703,'Swiss Registry'!$N$2:$N$703) </f>
        <v>109151686848679936</v>
      </c>
    </row>
    <row r="28">
      <c r="A28" s="140">
        <v>57.0</v>
      </c>
      <c r="B28" s="125" t="str">
        <f>VLOOKUP(A28,'Swiss Registry'!$A$2:$B$703,2,False)</f>
        <v>MeEsSm</v>
      </c>
      <c r="C28" s="105" t="str">
        <f t="shared" si="1"/>
        <v>Game 1</v>
      </c>
      <c r="D28" s="106" t="str">
        <f t="shared" si="3"/>
        <v>Game 2</v>
      </c>
      <c r="E28" s="107" t="str">
        <f t="shared" si="2"/>
        <v/>
      </c>
      <c r="F28" s="126" t="str">
        <f>VLOOKUP(G28,'Swiss Registry'!$A$2:$B$703,2,False)</f>
        <v>.brever.</v>
      </c>
      <c r="G28" s="127">
        <v>121.0</v>
      </c>
      <c r="H28" s="93" t="s">
        <v>2362</v>
      </c>
      <c r="I28" s="141" t="str">
        <f t="array" ref="I28">XLOOKUP(CELL("contents",B28),'Swiss Registry'!$B$2:$B$703,'Swiss Registry'!$N$2:$N$703) </f>
        <v>316388400540286978</v>
      </c>
      <c r="J28" s="142" t="str">
        <f t="array" ref="J28">XLOOKUP(CELL("contents",F28),'Swiss Registry'!$B$2:$B$703,'Swiss Registry'!$N$2:$N$703) </f>
        <v>215872454222938112</v>
      </c>
    </row>
    <row r="29">
      <c r="A29" s="140">
        <v>59.0</v>
      </c>
      <c r="B29" s="125" t="str">
        <f>VLOOKUP(A29,'Swiss Registry'!$A$2:$B$703,2,False)</f>
        <v>OopsAllDeoxys</v>
      </c>
      <c r="C29" s="111" t="str">
        <f t="shared" si="1"/>
        <v/>
      </c>
      <c r="D29" s="112" t="str">
        <f t="shared" si="3"/>
        <v>Act: tyler.cox</v>
      </c>
      <c r="E29" s="107" t="str">
        <f t="shared" si="2"/>
        <v/>
      </c>
      <c r="F29" s="126" t="str">
        <f>VLOOKUP(G29,'Swiss Registry'!$A$2:$B$703,2,False)</f>
        <v>tyler.cox</v>
      </c>
      <c r="G29" s="127">
        <v>525.0</v>
      </c>
      <c r="H29" s="93" t="s">
        <v>1523</v>
      </c>
      <c r="I29" s="141" t="str">
        <f t="array" ref="I29">XLOOKUP(CELL("contents",B29),'Swiss Registry'!$B$2:$B$703,'Swiss Registry'!$N$2:$N$703) </f>
        <v>528307805422223380</v>
      </c>
      <c r="J29" s="142" t="str">
        <f t="array" ref="J29">XLOOKUP(CELL("contents",F29),'Swiss Registry'!$B$2:$B$703,'Swiss Registry'!$N$2:$N$703) </f>
        <v>188804160152403968</v>
      </c>
    </row>
    <row r="30">
      <c r="A30" s="140">
        <v>60.0</v>
      </c>
      <c r="B30" s="125" t="str">
        <f>VLOOKUP(A30,'Swiss Registry'!$A$2:$B$703,2,False)</f>
        <v>Exiline</v>
      </c>
      <c r="C30" s="105" t="str">
        <f t="shared" si="1"/>
        <v>Game 1</v>
      </c>
      <c r="D30" s="106" t="str">
        <f t="shared" si="3"/>
        <v>Game 2</v>
      </c>
      <c r="E30" s="107" t="str">
        <f t="shared" si="2"/>
        <v/>
      </c>
      <c r="F30" s="126" t="str">
        <f>VLOOKUP(G30,'Swiss Registry'!$A$2:$B$703,2,False)</f>
        <v>secondari</v>
      </c>
      <c r="G30" s="127">
        <v>325.0</v>
      </c>
      <c r="H30" s="93" t="s">
        <v>2363</v>
      </c>
      <c r="I30" s="141" t="str">
        <f t="array" ref="I30">XLOOKUP(CELL("contents",B30),'Swiss Registry'!$B$2:$B$703,'Swiss Registry'!$N$2:$N$703) </f>
        <v>155646670988640258</v>
      </c>
      <c r="J30" s="142" t="str">
        <f t="array" ref="J30">XLOOKUP(CELL("contents",F30),'Swiss Registry'!$B$2:$B$703,'Swiss Registry'!$N$2:$N$703) </f>
        <v>77493060862214144</v>
      </c>
    </row>
    <row r="31">
      <c r="A31" s="140">
        <v>65.0</v>
      </c>
      <c r="B31" s="125" t="str">
        <f>VLOOKUP(A31,'Swiss Registry'!$A$2:$B$703,2,False)</f>
        <v>shawtyyyyyyy</v>
      </c>
      <c r="C31" s="105" t="str">
        <f t="shared" si="1"/>
        <v>Game 1</v>
      </c>
      <c r="D31" s="106" t="str">
        <f t="shared" si="3"/>
        <v>Game 2</v>
      </c>
      <c r="E31" s="110" t="str">
        <f t="shared" si="2"/>
        <v>Game 3</v>
      </c>
      <c r="F31" s="126" t="str">
        <f>VLOOKUP(G31,'Swiss Registry'!$A$2:$B$703,2,False)</f>
        <v>heyitsmeriley</v>
      </c>
      <c r="G31" s="127">
        <v>237.0</v>
      </c>
      <c r="H31" s="93" t="s">
        <v>2364</v>
      </c>
      <c r="I31" s="141" t="str">
        <f t="array" ref="I31">XLOOKUP(CELL("contents",B31),'Swiss Registry'!$B$2:$B$703,'Swiss Registry'!$N$2:$N$703) </f>
        <v>721487439847358505</v>
      </c>
      <c r="J31" s="142" t="str">
        <f t="array" ref="J31">XLOOKUP(CELL("contents",F31),'Swiss Registry'!$B$2:$B$703,'Swiss Registry'!$N$2:$N$703) </f>
        <v>271422310412451840</v>
      </c>
    </row>
    <row r="32">
      <c r="A32" s="140">
        <v>69.0</v>
      </c>
      <c r="B32" s="125" t="str">
        <f>VLOOKUP(A32,'Swiss Registry'!$A$2:$B$703,2,False)</f>
        <v>Alice</v>
      </c>
      <c r="C32" s="105" t="str">
        <f t="shared" si="1"/>
        <v>Game 1</v>
      </c>
      <c r="D32" s="106" t="str">
        <f t="shared" si="3"/>
        <v>Game 2</v>
      </c>
      <c r="E32" s="107" t="str">
        <f t="shared" si="2"/>
        <v/>
      </c>
      <c r="F32" s="126" t="str">
        <f>VLOOKUP(G32,'Swiss Registry'!$A$2:$B$703,2,False)</f>
        <v>dragonsareoptimal</v>
      </c>
      <c r="G32" s="127">
        <v>222.0</v>
      </c>
      <c r="H32" s="93" t="s">
        <v>2365</v>
      </c>
      <c r="I32" s="141" t="str">
        <f t="array" ref="I32">XLOOKUP(CELL("contents",B32),'Swiss Registry'!$B$2:$B$703,'Swiss Registry'!$N$2:$N$703) </f>
        <v>236760957034954753</v>
      </c>
      <c r="J32" s="142" t="str">
        <f t="array" ref="J32">XLOOKUP(CELL("contents",F32),'Swiss Registry'!$B$2:$B$703,'Swiss Registry'!$N$2:$N$703) </f>
        <v>168945056303022081</v>
      </c>
    </row>
    <row r="33">
      <c r="A33" s="140">
        <v>74.0</v>
      </c>
      <c r="B33" s="125" t="str">
        <f>VLOOKUP(A33,'Swiss Registry'!$A$2:$B$703,2,False)</f>
        <v>xXEricXx</v>
      </c>
      <c r="C33" s="105" t="str">
        <f t="shared" si="1"/>
        <v>Game 1</v>
      </c>
      <c r="D33" s="106" t="str">
        <f t="shared" si="3"/>
        <v>Game 2</v>
      </c>
      <c r="E33" s="110" t="str">
        <f t="shared" si="2"/>
        <v>Game 3</v>
      </c>
      <c r="F33" s="126" t="str">
        <f>VLOOKUP(G33,'Swiss Registry'!$A$2:$B$703,2,False)</f>
        <v>gorbinator.</v>
      </c>
      <c r="G33" s="127">
        <v>303.0</v>
      </c>
      <c r="H33" s="93" t="s">
        <v>2366</v>
      </c>
      <c r="I33" s="141" t="str">
        <f t="array" ref="I33">XLOOKUP(CELL("contents",B33),'Swiss Registry'!$B$2:$B$703,'Swiss Registry'!$N$2:$N$703) </f>
        <v>188804001054064640</v>
      </c>
      <c r="J33" s="142" t="str">
        <f t="array" ref="J33">XLOOKUP(CELL("contents",F33),'Swiss Registry'!$B$2:$B$703,'Swiss Registry'!$N$2:$N$703) </f>
        <v>557345709712736266</v>
      </c>
    </row>
    <row r="34">
      <c r="A34" s="140">
        <v>75.0</v>
      </c>
      <c r="B34" s="125" t="str">
        <f>VLOOKUP(A34,'Swiss Registry'!$A$2:$B$703,2,False)</f>
        <v>Marshy</v>
      </c>
      <c r="C34" s="105" t="str">
        <f t="shared" si="1"/>
        <v>Game 1</v>
      </c>
      <c r="D34" s="106" t="str">
        <f t="shared" si="3"/>
        <v>Game 2</v>
      </c>
      <c r="E34" s="110" t="str">
        <f t="shared" si="2"/>
        <v>Game 3</v>
      </c>
      <c r="F34" s="126" t="str">
        <f>VLOOKUP(G34,'Swiss Registry'!$A$2:$B$703,2,False)</f>
        <v>datguycactus</v>
      </c>
      <c r="G34" s="127">
        <v>454.0</v>
      </c>
      <c r="H34" s="93" t="s">
        <v>2367</v>
      </c>
      <c r="I34" s="141" t="str">
        <f t="array" ref="I34">XLOOKUP(CELL("contents",B34),'Swiss Registry'!$B$2:$B$703,'Swiss Registry'!$N$2:$N$703) </f>
        <v>322051190097575947</v>
      </c>
      <c r="J34" s="142" t="str">
        <f t="array" ref="J34">XLOOKUP(CELL("contents",F34),'Swiss Registry'!$B$2:$B$703,'Swiss Registry'!$N$2:$N$703) </f>
        <v>764554384594960404</v>
      </c>
    </row>
    <row r="35">
      <c r="A35" s="140">
        <v>77.0</v>
      </c>
      <c r="B35" s="125" t="str">
        <f>VLOOKUP(A35,'Swiss Registry'!$A$2:$B$703,2,False)</f>
        <v>Churi</v>
      </c>
      <c r="C35" s="105" t="str">
        <f t="shared" si="1"/>
        <v>Game 1</v>
      </c>
      <c r="D35" s="106" t="str">
        <f t="shared" si="3"/>
        <v>Game 2</v>
      </c>
      <c r="E35" s="110" t="str">
        <f t="shared" si="2"/>
        <v>Game 3</v>
      </c>
      <c r="F35" s="126" t="str">
        <f>VLOOKUP(G35,'Swiss Registry'!$A$2:$B$703,2,False)</f>
        <v>SoCalSon</v>
      </c>
      <c r="G35" s="127">
        <v>457.0</v>
      </c>
      <c r="H35" s="93" t="s">
        <v>2368</v>
      </c>
      <c r="I35" s="141" t="str">
        <f t="array" ref="I35">XLOOKUP(CELL("contents",B35),'Swiss Registry'!$B$2:$B$703,'Swiss Registry'!$N$2:$N$703) </f>
        <v>740316248210014380</v>
      </c>
      <c r="J35" s="142" t="str">
        <f t="array" ref="J35">XLOOKUP(CELL("contents",F35),'Swiss Registry'!$B$2:$B$703,'Swiss Registry'!$N$2:$N$703) </f>
        <v>468130505280192512</v>
      </c>
    </row>
    <row r="36">
      <c r="A36" s="140">
        <v>82.0</v>
      </c>
      <c r="B36" s="125" t="str">
        <f>VLOOKUP(A36,'Swiss Registry'!$A$2:$B$703,2,False)</f>
        <v>Egor</v>
      </c>
      <c r="C36" s="111" t="str">
        <f t="shared" si="1"/>
        <v/>
      </c>
      <c r="D36" s="112" t="str">
        <f t="shared" si="3"/>
        <v>Act: Egor</v>
      </c>
      <c r="E36" s="107" t="str">
        <f t="shared" si="2"/>
        <v/>
      </c>
      <c r="F36" s="126" t="str">
        <f>VLOOKUP(G36,'Swiss Registry'!$A$2:$B$703,2,False)</f>
        <v>gstrem_</v>
      </c>
      <c r="G36" s="127">
        <v>474.0</v>
      </c>
      <c r="H36" s="93" t="s">
        <v>1486</v>
      </c>
      <c r="I36" s="141" t="str">
        <f t="array" ref="I36">XLOOKUP(CELL("contents",B36),'Swiss Registry'!$B$2:$B$703,'Swiss Registry'!$N$2:$N$703) </f>
        <v>435128937400500224</v>
      </c>
      <c r="J36" s="142" t="str">
        <f t="array" ref="J36">XLOOKUP(CELL("contents",F36),'Swiss Registry'!$B$2:$B$703,'Swiss Registry'!$N$2:$N$703) </f>
        <v>575673302429859849</v>
      </c>
    </row>
    <row r="37">
      <c r="A37" s="140">
        <v>85.0</v>
      </c>
      <c r="B37" s="125" t="str">
        <f>VLOOKUP(A37,'Swiss Registry'!$A$2:$B$703,2,False)</f>
        <v>Cyberas</v>
      </c>
      <c r="C37" s="105" t="str">
        <f t="shared" si="1"/>
        <v>Game 1</v>
      </c>
      <c r="D37" s="106" t="str">
        <f t="shared" si="3"/>
        <v>Game 2</v>
      </c>
      <c r="E37" s="107" t="str">
        <f t="shared" si="2"/>
        <v/>
      </c>
      <c r="F37" s="126" t="str">
        <f>VLOOKUP(G37,'Swiss Registry'!$A$2:$B$703,2,False)</f>
        <v>cepulo</v>
      </c>
      <c r="G37" s="127">
        <v>527.0</v>
      </c>
      <c r="H37" s="93" t="s">
        <v>2369</v>
      </c>
      <c r="I37" s="141" t="str">
        <f t="array" ref="I37">XLOOKUP(CELL("contents",B37),'Swiss Registry'!$B$2:$B$703,'Swiss Registry'!$N$2:$N$703) </f>
        <v>133696854662709248</v>
      </c>
      <c r="J37" s="142" t="str">
        <f t="array" ref="J37">XLOOKUP(CELL("contents",F37),'Swiss Registry'!$B$2:$B$703,'Swiss Registry'!$N$2:$N$703) </f>
        <v>1223051167505059850</v>
      </c>
    </row>
    <row r="38">
      <c r="A38" s="140">
        <v>86.0</v>
      </c>
      <c r="B38" s="125" t="str">
        <f>VLOOKUP(A38,'Swiss Registry'!$A$2:$B$703,2,False)</f>
        <v>Cake</v>
      </c>
      <c r="C38" s="105" t="str">
        <f t="shared" si="1"/>
        <v>Game 1</v>
      </c>
      <c r="D38" s="106" t="str">
        <f t="shared" si="3"/>
        <v>Game 2</v>
      </c>
      <c r="E38" s="107" t="str">
        <f t="shared" si="2"/>
        <v/>
      </c>
      <c r="F38" s="126" t="str">
        <f>VLOOKUP(G38,'Swiss Registry'!$A$2:$B$703,2,False)</f>
        <v>Papa Escargo</v>
      </c>
      <c r="G38" s="127">
        <v>276.0</v>
      </c>
      <c r="H38" s="93" t="s">
        <v>2370</v>
      </c>
      <c r="I38" s="141" t="str">
        <f t="array" ref="I38">XLOOKUP(CELL("contents",B38),'Swiss Registry'!$B$2:$B$703,'Swiss Registry'!$N$2:$N$703) </f>
        <v>1062100541871771689</v>
      </c>
      <c r="J38" s="142" t="str">
        <f t="array" ref="J38">XLOOKUP(CELL("contents",F38),'Swiss Registry'!$B$2:$B$703,'Swiss Registry'!$N$2:$N$703) </f>
        <v>510329516531515427</v>
      </c>
    </row>
    <row r="39">
      <c r="A39" s="140">
        <v>95.0</v>
      </c>
      <c r="B39" s="125" t="str">
        <f>VLOOKUP(A39,'Swiss Registry'!$A$2:$B$703,2,False)</f>
        <v>Otto</v>
      </c>
      <c r="C39" s="105" t="str">
        <f t="shared" si="1"/>
        <v>Game 1</v>
      </c>
      <c r="D39" s="106" t="str">
        <f t="shared" si="3"/>
        <v>Game 2</v>
      </c>
      <c r="E39" s="110" t="str">
        <f t="shared" si="2"/>
        <v>Game 3</v>
      </c>
      <c r="F39" s="126" t="str">
        <f>VLOOKUP(G39,'Swiss Registry'!$A$2:$B$703,2,False)</f>
        <v>dicerat8</v>
      </c>
      <c r="G39" s="127">
        <v>120.0</v>
      </c>
      <c r="H39" s="93" t="s">
        <v>2371</v>
      </c>
      <c r="I39" s="141" t="str">
        <f t="array" ref="I39">XLOOKUP(CELL("contents",B39),'Swiss Registry'!$B$2:$B$703,'Swiss Registry'!$N$2:$N$703) </f>
        <v>286683342131298304</v>
      </c>
      <c r="J39" s="142" t="str">
        <f t="array" ref="J39">XLOOKUP(CELL("contents",F39),'Swiss Registry'!$B$2:$B$703,'Swiss Registry'!$N$2:$N$703) </f>
        <v>811484330421387285</v>
      </c>
    </row>
    <row r="40">
      <c r="A40" s="140">
        <v>97.0</v>
      </c>
      <c r="B40" s="125" t="str">
        <f>VLOOKUP(A40,'Swiss Registry'!$A$2:$B$703,2,False)</f>
        <v>Seradess</v>
      </c>
      <c r="C40" s="105" t="str">
        <f t="shared" si="1"/>
        <v>Game 1</v>
      </c>
      <c r="D40" s="106" t="str">
        <f t="shared" si="3"/>
        <v>Game 2</v>
      </c>
      <c r="E40" s="107" t="str">
        <f t="shared" si="2"/>
        <v/>
      </c>
      <c r="F40" s="126" t="str">
        <f>VLOOKUP(G40,'Swiss Registry'!$A$2:$B$703,2,False)</f>
        <v>ghostreported</v>
      </c>
      <c r="G40" s="127">
        <v>307.0</v>
      </c>
      <c r="H40" s="93" t="s">
        <v>2372</v>
      </c>
      <c r="I40" s="141" t="str">
        <f t="array" ref="I40">XLOOKUP(CELL("contents",B40),'Swiss Registry'!$B$2:$B$703,'Swiss Registry'!$N$2:$N$703) </f>
        <v>244659660794101763</v>
      </c>
      <c r="J40" s="142" t="str">
        <f t="array" ref="J40">XLOOKUP(CELL("contents",F40),'Swiss Registry'!$B$2:$B$703,'Swiss Registry'!$N$2:$N$703) </f>
        <v>965685598545403924</v>
      </c>
    </row>
    <row r="41">
      <c r="A41" s="140">
        <v>558.0</v>
      </c>
      <c r="B41" s="125" t="str">
        <f>VLOOKUP(A41,'Swiss Registry'!$A$2:$B$703,2,False)</f>
        <v>luisin</v>
      </c>
      <c r="C41" s="105" t="str">
        <f t="shared" si="1"/>
        <v>Game 1</v>
      </c>
      <c r="D41" s="106" t="str">
        <f t="shared" si="3"/>
        <v>Game 2</v>
      </c>
      <c r="E41" s="110" t="str">
        <f t="shared" si="2"/>
        <v>Game 3</v>
      </c>
      <c r="F41" s="126" t="str">
        <f>VLOOKUP(G41,'Swiss Registry'!$A$2:$B$703,2,False)</f>
        <v>Cream314</v>
      </c>
      <c r="G41" s="127">
        <v>557.0</v>
      </c>
      <c r="H41" s="93" t="s">
        <v>2373</v>
      </c>
      <c r="I41" s="141" t="str">
        <f t="array" ref="I41">XLOOKUP(CELL("contents",B41),'Swiss Registry'!$B$2:$B$703,'Swiss Registry'!$N$2:$N$703) </f>
        <v>623656981244149798</v>
      </c>
      <c r="J41" s="142" t="str">
        <f t="array" ref="J41">XLOOKUP(CELL("contents",F41),'Swiss Registry'!$B$2:$B$703,'Swiss Registry'!$N$2:$N$703) </f>
        <v>272909263205040140</v>
      </c>
    </row>
    <row r="42">
      <c r="A42" s="140">
        <v>157.0</v>
      </c>
      <c r="B42" s="125" t="str">
        <f>VLOOKUP(A42,'Swiss Registry'!$A$2:$B$703,2,False)</f>
        <v>Amir (lordamir &amp; lordamir2)</v>
      </c>
      <c r="C42" s="105" t="str">
        <f t="shared" si="1"/>
        <v>Game 1</v>
      </c>
      <c r="D42" s="106" t="str">
        <f>IF(H42="dead","Dead Game",IF(H42="a:act","Act: "&amp;F42,IF(H42="b:act","Act: "&amp;#REF!,IF(ISURL(HYPERLINK(INDIRECT("Importer!B"&amp;MID(H42,6,4)+1,TRUE))),HYPERLINK(INDIRECT("Importer!B"&amp;MID(H42,6,4)+1,TRUE), "Game 2"),""))))</f>
        <v>Game 2</v>
      </c>
      <c r="E42" s="107" t="str">
        <f t="shared" si="2"/>
        <v/>
      </c>
      <c r="F42" s="126" t="str">
        <f>VLOOKUP(G42,'Swiss Registry'!$A$2:$B$703,2,False)</f>
        <v>danielck9797</v>
      </c>
      <c r="G42" s="127">
        <v>376.0</v>
      </c>
      <c r="H42" s="93" t="s">
        <v>2374</v>
      </c>
      <c r="I42" s="141" t="str">
        <f t="array" ref="I42">XLOOKUP(CELL("contents",B42),'Swiss Registry'!$B$2:$B$703,'Swiss Registry'!$N$2:$N$703) </f>
        <v>480949875953893376</v>
      </c>
      <c r="J42" s="142" t="str">
        <f t="array" ref="J42">XLOOKUP(CELL("contents",F42),'Swiss Registry'!$B$2:$B$703,'Swiss Registry'!$N$2:$N$703) </f>
        <v>397204999957905408</v>
      </c>
    </row>
    <row r="43">
      <c r="A43" s="140">
        <v>402.0</v>
      </c>
      <c r="B43" s="125" t="str">
        <f>VLOOKUP(A43,'Swiss Registry'!$A$2:$B$703,2,False)</f>
        <v>.verb</v>
      </c>
      <c r="C43" s="105" t="str">
        <f t="shared" si="1"/>
        <v>Game 1</v>
      </c>
      <c r="D43" s="106" t="str">
        <f t="shared" ref="D43:D46" si="4">IF(H43="dead","Dead Game",IF(H43="a:act","Act: "&amp;B43,IF(H43="b:act","Act: "&amp;F43,IF(ISURL(HYPERLINK(INDIRECT("Importer!B"&amp;MID(H43,6,4)+1,TRUE))),HYPERLINK(INDIRECT("Importer!B"&amp;MID(H43,6,4)+1,TRUE), "Game 2"),""))))</f>
        <v>Game 2</v>
      </c>
      <c r="E43" s="107" t="str">
        <f t="shared" si="2"/>
        <v/>
      </c>
      <c r="F43" s="126" t="str">
        <f>VLOOKUP(G43,'Swiss Registry'!$A$2:$B$703,2,False)</f>
        <v>Saint-ome</v>
      </c>
      <c r="G43" s="127">
        <v>480.0</v>
      </c>
      <c r="H43" s="93" t="s">
        <v>2375</v>
      </c>
      <c r="I43" s="141" t="str">
        <f t="array" ref="I43">XLOOKUP(CELL("contents",B43),'Swiss Registry'!$B$2:$B$703,'Swiss Registry'!$N$2:$N$703) </f>
        <v>97926747856580608</v>
      </c>
      <c r="J43" s="142" t="str">
        <f t="array" ref="J43">XLOOKUP(CELL("contents",F43),'Swiss Registry'!$B$2:$B$703,'Swiss Registry'!$N$2:$N$703) </f>
        <v>398619797765488645</v>
      </c>
    </row>
    <row r="44">
      <c r="A44" s="140">
        <v>269.0</v>
      </c>
      <c r="B44" s="125" t="str">
        <f>VLOOKUP(A44,'Swiss Registry'!$A$2:$B$703,2,False)</f>
        <v>monchooo</v>
      </c>
      <c r="C44" s="105" t="str">
        <f t="shared" si="1"/>
        <v>Game 1</v>
      </c>
      <c r="D44" s="106" t="str">
        <f t="shared" si="4"/>
        <v>Game 2</v>
      </c>
      <c r="E44" s="107" t="str">
        <f t="shared" si="2"/>
        <v/>
      </c>
      <c r="F44" s="126" t="str">
        <f>VLOOKUP(G44,'Swiss Registry'!$A$2:$B$703,2,False)</f>
        <v>gonzasaurio50</v>
      </c>
      <c r="G44" s="127">
        <v>385.0</v>
      </c>
      <c r="H44" s="93" t="s">
        <v>2376</v>
      </c>
      <c r="I44" s="141" t="str">
        <f t="array" ref="I44">XLOOKUP(CELL("contents",B44),'Swiss Registry'!$B$2:$B$703,'Swiss Registry'!$N$2:$N$703) </f>
        <v>202168691893207041</v>
      </c>
      <c r="J44" s="142" t="str">
        <f t="array" ref="J44">XLOOKUP(CELL("contents",F44),'Swiss Registry'!$B$2:$B$703,'Swiss Registry'!$N$2:$N$703) </f>
        <v>481894982127714305</v>
      </c>
    </row>
    <row r="45">
      <c r="A45" s="140">
        <v>185.0</v>
      </c>
      <c r="B45" s="125" t="str">
        <f>VLOOKUP(A45,'Swiss Registry'!$A$2:$B$703,2,False)</f>
        <v>depressioncherry_66209</v>
      </c>
      <c r="C45" s="105" t="str">
        <f t="shared" si="1"/>
        <v>Game 1</v>
      </c>
      <c r="D45" s="106" t="str">
        <f t="shared" si="4"/>
        <v>Game 2</v>
      </c>
      <c r="E45" s="107" t="str">
        <f t="shared" si="2"/>
        <v/>
      </c>
      <c r="F45" s="126" t="str">
        <f>VLOOKUP(G45,'Swiss Registry'!$A$2:$B$703,2,False)</f>
        <v>dhgss</v>
      </c>
      <c r="G45" s="127">
        <v>338.0</v>
      </c>
      <c r="H45" s="93" t="s">
        <v>2377</v>
      </c>
      <c r="I45" s="141" t="str">
        <f t="array" ref="I45">XLOOKUP(CELL("contents",B45),'Swiss Registry'!$B$2:$B$703,'Swiss Registry'!$N$2:$N$703) </f>
        <v>1223996337217863761</v>
      </c>
      <c r="J45" s="142" t="str">
        <f t="array" ref="J45">XLOOKUP(CELL("contents",F45),'Swiss Registry'!$B$2:$B$703,'Swiss Registry'!$N$2:$N$703) </f>
        <v>158287368925872129</v>
      </c>
    </row>
    <row r="46">
      <c r="A46" s="140">
        <v>206.0</v>
      </c>
      <c r="B46" s="125" t="str">
        <f>VLOOKUP(A46,'Swiss Registry'!$A$2:$B$703,2,False)</f>
        <v>ccgeek_</v>
      </c>
      <c r="C46" s="111" t="str">
        <f t="shared" si="1"/>
        <v/>
      </c>
      <c r="D46" s="112" t="str">
        <f t="shared" si="4"/>
        <v>Act: Ho_Chi</v>
      </c>
      <c r="E46" s="107" t="str">
        <f t="shared" si="2"/>
        <v/>
      </c>
      <c r="F46" s="126" t="str">
        <f>VLOOKUP(G46,'Swiss Registry'!$A$2:$B$703,2,False)</f>
        <v>Ho_Chi</v>
      </c>
      <c r="G46" s="127">
        <v>286.0</v>
      </c>
      <c r="H46" s="93" t="s">
        <v>1523</v>
      </c>
      <c r="I46" s="141" t="str">
        <f t="array" ref="I46">XLOOKUP(CELL("contents",B46),'Swiss Registry'!$B$2:$B$703,'Swiss Registry'!$N$2:$N$703) </f>
        <v>861286170708279336</v>
      </c>
      <c r="J46" s="142" t="str">
        <f t="array" ref="J46">XLOOKUP(CELL("contents",F46),'Swiss Registry'!$B$2:$B$703,'Swiss Registry'!$N$2:$N$703) </f>
        <v>427608109519863816</v>
      </c>
    </row>
    <row r="47" ht="15.0" customHeight="1">
      <c r="A47" s="124"/>
      <c r="B47" s="122"/>
      <c r="C47" s="123"/>
      <c r="D47" s="138" t="s">
        <v>2378</v>
      </c>
      <c r="E47" s="123"/>
      <c r="F47" s="123"/>
      <c r="G47" s="124"/>
      <c r="H47" s="93"/>
      <c r="I47" s="139"/>
      <c r="J47" s="139"/>
    </row>
    <row r="48">
      <c r="A48" s="140">
        <v>4.0</v>
      </c>
      <c r="B48" s="125" t="str">
        <f>VLOOKUP(A48,'Swiss Registry'!$A$2:$B$703,2,False)</f>
        <v>pkLeech</v>
      </c>
      <c r="C48" s="105" t="str">
        <f t="shared" ref="C48:C91" si="5">IF(H48="dead","",IF(H48="a:act","",IF(H48="b:act","",IF(ISURL(HYPERLINK(INDIRECT("Importer!B"&amp;MID(H48,2,4)+1,TRUE))),HYPERLINK(INDIRECT("Importer!B"&amp;MID(H48,2,4)+1,TRUE), "Game 1"),""))))</f>
        <v>Game 1</v>
      </c>
      <c r="D48" s="106" t="str">
        <f t="shared" ref="D48:D81" si="6">IF(H48="dead","Dead Game",IF(H48="a:act","Act: "&amp;B48,IF(H48="b:act","Act: "&amp;F48,IF(ISURL(HYPERLINK(INDIRECT("Importer!B"&amp;MID(H48,6,4)+1,TRUE))),HYPERLINK(INDIRECT("Importer!B"&amp;MID(H48,6,4)+1,TRUE), "Game 2"),""))))</f>
        <v>Game 2</v>
      </c>
      <c r="E48" s="107" t="str">
        <f t="shared" ref="E48:E91" si="7">IF(H48="dead","",IF(H48="a:act","",IF(H48="b:act","",IF(ISURL(HYPERLINK(INDIRECT("Importer!B"&amp;MID(H48,10,4)+1,TRUE))),HYPERLINK(INDIRECT("Importer!B"&amp;MID(H48,10,4)+1,TRUE), "Game 3"),""))))</f>
        <v/>
      </c>
      <c r="F48" s="126" t="str">
        <f>VLOOKUP(G48,'Swiss Registry'!$A$2:$B$703,2,False)</f>
        <v>J0af</v>
      </c>
      <c r="G48" s="127">
        <v>230.0</v>
      </c>
      <c r="H48" s="93" t="s">
        <v>2379</v>
      </c>
      <c r="I48" s="141" t="str">
        <f t="array" ref="I48">XLOOKUP(CELL("contents",B48),'Swiss Registry'!$B$2:$B$703,'Swiss Registry'!$N$2:$N$703) </f>
        <v>461288985944391708</v>
      </c>
      <c r="J48" s="142" t="str">
        <f t="array" ref="J48">XLOOKUP(CELL("contents",F48),'Swiss Registry'!$B$2:$B$703,'Swiss Registry'!$N$2:$N$703) </f>
        <v>144056588959744001</v>
      </c>
    </row>
    <row r="49">
      <c r="A49" s="140">
        <v>5.0</v>
      </c>
      <c r="B49" s="125" t="str">
        <f>VLOOKUP(A49,'Swiss Registry'!$A$2:$B$703,2,False)</f>
        <v>Caloom</v>
      </c>
      <c r="C49" s="105" t="str">
        <f t="shared" si="5"/>
        <v>Game 1</v>
      </c>
      <c r="D49" s="106" t="str">
        <f t="shared" si="6"/>
        <v>Game 2</v>
      </c>
      <c r="E49" s="107" t="str">
        <f t="shared" si="7"/>
        <v/>
      </c>
      <c r="F49" s="126" t="str">
        <f>VLOOKUP(G49,'Swiss Registry'!$A$2:$B$703,2,False)</f>
        <v>MrBluestacks</v>
      </c>
      <c r="G49" s="127">
        <v>446.0</v>
      </c>
      <c r="H49" s="93" t="s">
        <v>2380</v>
      </c>
      <c r="I49" s="141" t="str">
        <f t="array" ref="I49">XLOOKUP(CELL("contents",B49),'Swiss Registry'!$B$2:$B$703,'Swiss Registry'!$N$2:$N$703) </f>
        <v>428981810811109386</v>
      </c>
      <c r="J49" s="142" t="str">
        <f t="array" ref="J49">XLOOKUP(CELL("contents",F49),'Swiss Registry'!$B$2:$B$703,'Swiss Registry'!$N$2:$N$703) </f>
        <v>225833081435586561</v>
      </c>
    </row>
    <row r="50">
      <c r="A50" s="140">
        <v>8.0</v>
      </c>
      <c r="B50" s="125" t="str">
        <f>VLOOKUP(A50,'Swiss Registry'!$A$2:$B$703,2,False)</f>
        <v>Leo</v>
      </c>
      <c r="C50" s="111" t="str">
        <f t="shared" si="5"/>
        <v/>
      </c>
      <c r="D50" s="112" t="str">
        <f t="shared" si="6"/>
        <v>Act: Lunasran</v>
      </c>
      <c r="E50" s="107" t="str">
        <f t="shared" si="7"/>
        <v/>
      </c>
      <c r="F50" s="126" t="str">
        <f>VLOOKUP(G50,'Swiss Registry'!$A$2:$B$703,2,False)</f>
        <v>Lunasran</v>
      </c>
      <c r="G50" s="127">
        <v>343.0</v>
      </c>
      <c r="H50" s="93" t="s">
        <v>1523</v>
      </c>
      <c r="I50" s="141" t="str">
        <f t="array" ref="I50">XLOOKUP(CELL("contents",B50),'Swiss Registry'!$B$2:$B$703,'Swiss Registry'!$N$2:$N$703) </f>
        <v>221637804185223170</v>
      </c>
      <c r="J50" s="142" t="str">
        <f t="array" ref="J50">XLOOKUP(CELL("contents",F50),'Swiss Registry'!$B$2:$B$703,'Swiss Registry'!$N$2:$N$703) </f>
        <v>1088892947367481436</v>
      </c>
    </row>
    <row r="51">
      <c r="A51" s="140">
        <v>10.0</v>
      </c>
      <c r="B51" s="125" t="str">
        <f>VLOOKUP(A51,'Swiss Registry'!$A$2:$B$703,2,False)</f>
        <v>Cyberodin</v>
      </c>
      <c r="C51" s="105" t="str">
        <f t="shared" si="5"/>
        <v>Game 1</v>
      </c>
      <c r="D51" s="106" t="str">
        <f t="shared" si="6"/>
        <v>Game 2</v>
      </c>
      <c r="E51" s="107" t="str">
        <f t="shared" si="7"/>
        <v/>
      </c>
      <c r="F51" s="126" t="str">
        <f>VLOOKUP(G51,'Swiss Registry'!$A$2:$B$703,2,False)</f>
        <v>cashzachary</v>
      </c>
      <c r="G51" s="127">
        <v>118.0</v>
      </c>
      <c r="H51" s="93" t="s">
        <v>2381</v>
      </c>
      <c r="I51" s="141" t="str">
        <f t="array" ref="I51">XLOOKUP(CELL("contents",B51),'Swiss Registry'!$B$2:$B$703,'Swiss Registry'!$N$2:$N$703) </f>
        <v>259426043285340160</v>
      </c>
      <c r="J51" s="142" t="str">
        <f t="array" ref="J51">XLOOKUP(CELL("contents",F51),'Swiss Registry'!$B$2:$B$703,'Swiss Registry'!$N$2:$N$703) </f>
        <v>1238981053226549308</v>
      </c>
    </row>
    <row r="52">
      <c r="A52" s="140">
        <v>11.0</v>
      </c>
      <c r="B52" s="125" t="str">
        <f>VLOOKUP(A52,'Swiss Registry'!$A$2:$B$703,2,False)</f>
        <v>Blues</v>
      </c>
      <c r="C52" s="105" t="str">
        <f t="shared" si="5"/>
        <v>Game 1</v>
      </c>
      <c r="D52" s="106" t="str">
        <f t="shared" si="6"/>
        <v>Game 2</v>
      </c>
      <c r="E52" s="107" t="str">
        <f t="shared" si="7"/>
        <v/>
      </c>
      <c r="F52" s="126" t="str">
        <f>VLOOKUP(G52,'Swiss Registry'!$A$2:$B$703,2,False)</f>
        <v>garcilp</v>
      </c>
      <c r="G52" s="127">
        <v>677.0</v>
      </c>
      <c r="H52" s="93" t="s">
        <v>2382</v>
      </c>
      <c r="I52" s="141" t="str">
        <f t="array" ref="I52">XLOOKUP(CELL("contents",B52),'Swiss Registry'!$B$2:$B$703,'Swiss Registry'!$N$2:$N$703) </f>
        <v>687987394292482066</v>
      </c>
      <c r="J52" s="142" t="str">
        <f t="array" ref="J52">XLOOKUP(CELL("contents",F52),'Swiss Registry'!$B$2:$B$703,'Swiss Registry'!$N$2:$N$703) </f>
        <v>121071467692556291</v>
      </c>
    </row>
    <row r="53">
      <c r="A53" s="140">
        <v>12.0</v>
      </c>
      <c r="B53" s="125" t="str">
        <f>VLOOKUP(A53,'Swiss Registry'!$A$2:$B$703,2,False)</f>
        <v>Pak</v>
      </c>
      <c r="C53" s="105" t="str">
        <f t="shared" si="5"/>
        <v>Game 1</v>
      </c>
      <c r="D53" s="106" t="str">
        <f t="shared" si="6"/>
        <v>Game 2</v>
      </c>
      <c r="E53" s="107" t="str">
        <f t="shared" si="7"/>
        <v/>
      </c>
      <c r="F53" s="126" t="str">
        <f>VLOOKUP(G53,'Swiss Registry'!$A$2:$B$703,2,False)</f>
        <v>Superstar</v>
      </c>
      <c r="G53" s="127">
        <v>296.0</v>
      </c>
      <c r="H53" s="93" t="s">
        <v>2383</v>
      </c>
      <c r="I53" s="141" t="str">
        <f t="array" ref="I53">XLOOKUP(CELL("contents",B53),'Swiss Registry'!$B$2:$B$703,'Swiss Registry'!$N$2:$N$703) </f>
        <v>172884622986706945</v>
      </c>
      <c r="J53" s="142" t="str">
        <f t="array" ref="J53">XLOOKUP(CELL("contents",F53),'Swiss Registry'!$B$2:$B$703,'Swiss Registry'!$N$2:$N$703) </f>
        <v>563859704300699688</v>
      </c>
    </row>
    <row r="54">
      <c r="A54" s="140">
        <v>17.0</v>
      </c>
      <c r="B54" s="125" t="str">
        <f>VLOOKUP(A54,'Swiss Registry'!$A$2:$B$703,2,False)</f>
        <v>Tyros</v>
      </c>
      <c r="C54" s="105" t="str">
        <f t="shared" si="5"/>
        <v>Game 1</v>
      </c>
      <c r="D54" s="106" t="str">
        <f t="shared" si="6"/>
        <v>Game 2</v>
      </c>
      <c r="E54" s="110" t="str">
        <f t="shared" si="7"/>
        <v>Game 3</v>
      </c>
      <c r="F54" s="126" t="str">
        <f>VLOOKUP(G54,'Swiss Registry'!$A$2:$B$703,2,False)</f>
        <v>Ghostfall22</v>
      </c>
      <c r="G54" s="127">
        <v>613.0</v>
      </c>
      <c r="H54" s="93" t="s">
        <v>2384</v>
      </c>
      <c r="I54" s="141" t="str">
        <f t="array" ref="I54">XLOOKUP(CELL("contents",B54),'Swiss Registry'!$B$2:$B$703,'Swiss Registry'!$N$2:$N$703) </f>
        <v>417524121719799819</v>
      </c>
      <c r="J54" s="142" t="str">
        <f t="array" ref="J54">XLOOKUP(CELL("contents",F54),'Swiss Registry'!$B$2:$B$703,'Swiss Registry'!$N$2:$N$703) </f>
        <v>894720722683985930</v>
      </c>
    </row>
    <row r="55">
      <c r="A55" s="140">
        <v>19.0</v>
      </c>
      <c r="B55" s="125" t="str">
        <f>VLOOKUP(A55,'Swiss Registry'!$A$2:$B$703,2,False)</f>
        <v>void</v>
      </c>
      <c r="C55" s="105" t="str">
        <f t="shared" si="5"/>
        <v>Game 1</v>
      </c>
      <c r="D55" s="106" t="str">
        <f t="shared" si="6"/>
        <v>Game 2</v>
      </c>
      <c r="E55" s="110" t="str">
        <f t="shared" si="7"/>
        <v>Game 3</v>
      </c>
      <c r="F55" s="126" t="str">
        <f>VLOOKUP(G55,'Swiss Registry'!$A$2:$B$703,2,False)</f>
        <v>grahamsandwich</v>
      </c>
      <c r="G55" s="127">
        <v>354.0</v>
      </c>
      <c r="H55" s="93" t="s">
        <v>2385</v>
      </c>
      <c r="I55" s="141" t="str">
        <f t="array" ref="I55">XLOOKUP(CELL("contents",B55),'Swiss Registry'!$B$2:$B$703,'Swiss Registry'!$N$2:$N$703) </f>
        <v>153249462641229824</v>
      </c>
      <c r="J55" s="142" t="str">
        <f t="array" ref="J55">XLOOKUP(CELL("contents",F55),'Swiss Registry'!$B$2:$B$703,'Swiss Registry'!$N$2:$N$703) </f>
        <v>256944534900965376</v>
      </c>
    </row>
    <row r="56">
      <c r="A56" s="140">
        <v>20.0</v>
      </c>
      <c r="B56" s="125" t="str">
        <f>VLOOKUP(A56,'Swiss Registry'!$A$2:$B$703,2,False)</f>
        <v>Mayo</v>
      </c>
      <c r="C56" s="105" t="str">
        <f t="shared" si="5"/>
        <v>Game 1</v>
      </c>
      <c r="D56" s="106" t="str">
        <f t="shared" si="6"/>
        <v>Game 2</v>
      </c>
      <c r="E56" s="107" t="str">
        <f t="shared" si="7"/>
        <v/>
      </c>
      <c r="F56" s="126" t="str">
        <f>VLOOKUP(G56,'Swiss Registry'!$A$2:$B$703,2,False)</f>
        <v>PuruglyIsUgly</v>
      </c>
      <c r="G56" s="127">
        <v>218.0</v>
      </c>
      <c r="H56" s="93" t="s">
        <v>2386</v>
      </c>
      <c r="I56" s="141" t="str">
        <f t="array" ref="I56">XLOOKUP(CELL("contents",B56),'Swiss Registry'!$B$2:$B$703,'Swiss Registry'!$N$2:$N$703) </f>
        <v>244639333187846144</v>
      </c>
      <c r="J56" s="142" t="str">
        <f t="array" ref="J56">XLOOKUP(CELL("contents",F56),'Swiss Registry'!$B$2:$B$703,'Swiss Registry'!$N$2:$N$703) </f>
        <v>600422095641378837</v>
      </c>
    </row>
    <row r="57">
      <c r="A57" s="140">
        <v>21.0</v>
      </c>
      <c r="B57" s="125" t="str">
        <f>VLOOKUP(A57,'Swiss Registry'!$A$2:$B$703,2,False)</f>
        <v>Adam</v>
      </c>
      <c r="C57" s="105" t="str">
        <f t="shared" si="5"/>
        <v>Game 1</v>
      </c>
      <c r="D57" s="106" t="str">
        <f t="shared" si="6"/>
        <v>Game 2</v>
      </c>
      <c r="E57" s="110" t="str">
        <f t="shared" si="7"/>
        <v>Game 3</v>
      </c>
      <c r="F57" s="126" t="str">
        <f>VLOOKUP(G57,'Swiss Registry'!$A$2:$B$703,2,False)</f>
        <v>blisy</v>
      </c>
      <c r="G57" s="127">
        <v>127.0</v>
      </c>
      <c r="H57" s="93" t="s">
        <v>2387</v>
      </c>
      <c r="I57" s="141" t="str">
        <f t="array" ref="I57">XLOOKUP(CELL("contents",B57),'Swiss Registry'!$B$2:$B$703,'Swiss Registry'!$N$2:$N$703) </f>
        <v>714861229935689862</v>
      </c>
      <c r="J57" s="142" t="str">
        <f t="array" ref="J57">XLOOKUP(CELL("contents",F57),'Swiss Registry'!$B$2:$B$703,'Swiss Registry'!$N$2:$N$703) </f>
        <v>291688941491322880</v>
      </c>
    </row>
    <row r="58">
      <c r="A58" s="140">
        <v>23.0</v>
      </c>
      <c r="B58" s="125" t="str">
        <f>VLOOKUP(A58,'Swiss Registry'!$A$2:$B$703,2,False)</f>
        <v>udm31</v>
      </c>
      <c r="C58" s="105" t="str">
        <f t="shared" si="5"/>
        <v>Game 1</v>
      </c>
      <c r="D58" s="106" t="str">
        <f t="shared" si="6"/>
        <v>Game 2</v>
      </c>
      <c r="E58" s="107" t="str">
        <f t="shared" si="7"/>
        <v/>
      </c>
      <c r="F58" s="126" t="str">
        <f>VLOOKUP(G58,'Swiss Registry'!$A$2:$B$703,2,False)</f>
        <v>lengloi</v>
      </c>
      <c r="G58" s="127">
        <v>129.0</v>
      </c>
      <c r="H58" s="93" t="s">
        <v>2388</v>
      </c>
      <c r="I58" s="141" t="str">
        <f t="array" ref="I58">XLOOKUP(CELL("contents",B58),'Swiss Registry'!$B$2:$B$703,'Swiss Registry'!$N$2:$N$703) </f>
        <v>892364236523708427</v>
      </c>
      <c r="J58" s="142" t="str">
        <f t="array" ref="J58">XLOOKUP(CELL("contents",F58),'Swiss Registry'!$B$2:$B$703,'Swiss Registry'!$N$2:$N$703) </f>
        <v>442724252819390474</v>
      </c>
    </row>
    <row r="59">
      <c r="A59" s="140">
        <v>24.0</v>
      </c>
      <c r="B59" s="125" t="str">
        <f>VLOOKUP(A59,'Swiss Registry'!$A$2:$B$703,2,False)</f>
        <v>Big Will</v>
      </c>
      <c r="C59" s="105" t="str">
        <f t="shared" si="5"/>
        <v>Game 1</v>
      </c>
      <c r="D59" s="106" t="str">
        <f t="shared" si="6"/>
        <v>Game 2</v>
      </c>
      <c r="E59" s="107" t="str">
        <f t="shared" si="7"/>
        <v/>
      </c>
      <c r="F59" s="126" t="str">
        <f>VLOOKUP(G59,'Swiss Registry'!$A$2:$B$703,2,False)</f>
        <v>ashvinbutduck</v>
      </c>
      <c r="G59" s="127">
        <v>248.0</v>
      </c>
      <c r="H59" s="93" t="s">
        <v>2389</v>
      </c>
      <c r="I59" s="141" t="str">
        <f t="array" ref="I59">XLOOKUP(CELL("contents",B59),'Swiss Registry'!$B$2:$B$703,'Swiss Registry'!$N$2:$N$703) </f>
        <v>119592871962607616</v>
      </c>
      <c r="J59" s="142" t="str">
        <f t="array" ref="J59">XLOOKUP(CELL("contents",F59),'Swiss Registry'!$B$2:$B$703,'Swiss Registry'!$N$2:$N$703) </f>
        <v>601228993894547479</v>
      </c>
    </row>
    <row r="60">
      <c r="A60" s="140">
        <v>26.0</v>
      </c>
      <c r="B60" s="125" t="str">
        <f>VLOOKUP(A60,'Swiss Registry'!$A$2:$B$703,2,False)</f>
        <v>keepingiticy</v>
      </c>
      <c r="C60" s="105" t="str">
        <f t="shared" si="5"/>
        <v>Game 1</v>
      </c>
      <c r="D60" s="106" t="str">
        <f t="shared" si="6"/>
        <v>Game 2</v>
      </c>
      <c r="E60" s="110" t="str">
        <f t="shared" si="7"/>
        <v>Game 3</v>
      </c>
      <c r="F60" s="126" t="str">
        <f>VLOOKUP(G60,'Swiss Registry'!$A$2:$B$703,2,False)</f>
        <v>skittleskitty</v>
      </c>
      <c r="G60" s="127">
        <v>243.0</v>
      </c>
      <c r="H60" s="93" t="s">
        <v>2390</v>
      </c>
      <c r="I60" s="141" t="str">
        <f t="array" ref="I60">XLOOKUP(CELL("contents",B60),'Swiss Registry'!$B$2:$B$703,'Swiss Registry'!$N$2:$N$703) </f>
        <v>174532509701373952</v>
      </c>
      <c r="J60" s="142" t="str">
        <f t="array" ref="J60">XLOOKUP(CELL("contents",F60),'Swiss Registry'!$B$2:$B$703,'Swiss Registry'!$N$2:$N$703) </f>
        <v>280113950140530699</v>
      </c>
    </row>
    <row r="61">
      <c r="A61" s="140">
        <v>28.0</v>
      </c>
      <c r="B61" s="125" t="str">
        <f>VLOOKUP(A61,'Swiss Registry'!$A$2:$B$703,2,False)</f>
        <v>Typhoon Carter</v>
      </c>
      <c r="C61" s="105" t="str">
        <f t="shared" si="5"/>
        <v>Game 1</v>
      </c>
      <c r="D61" s="106" t="str">
        <f t="shared" si="6"/>
        <v>Game 2</v>
      </c>
      <c r="E61" s="110" t="str">
        <f t="shared" si="7"/>
        <v>Game 3</v>
      </c>
      <c r="F61" s="126" t="str">
        <f>VLOOKUP(G61,'Swiss Registry'!$A$2:$B$703,2,False)</f>
        <v>@pek__</v>
      </c>
      <c r="G61" s="127">
        <v>696.0</v>
      </c>
      <c r="H61" s="93" t="s">
        <v>2391</v>
      </c>
      <c r="I61" s="141" t="str">
        <f t="array" ref="I61">XLOOKUP(CELL("contents",B61),'Swiss Registry'!$B$2:$B$703,'Swiss Registry'!$N$2:$N$703) </f>
        <v>313800288647774211</v>
      </c>
      <c r="J61" s="142" t="str">
        <f t="array" ref="J61">XLOOKUP(CELL("contents",F61),'Swiss Registry'!$B$2:$B$703,'Swiss Registry'!$N$2:$N$703) </f>
        <v>195931152521887744</v>
      </c>
    </row>
    <row r="62">
      <c r="A62" s="140">
        <v>30.0</v>
      </c>
      <c r="B62" s="125" t="str">
        <f>VLOOKUP(A62,'Swiss Registry'!$A$2:$B$703,2,False)</f>
        <v>eliandiditagain</v>
      </c>
      <c r="C62" s="105" t="str">
        <f t="shared" si="5"/>
        <v>Game 1</v>
      </c>
      <c r="D62" s="106" t="str">
        <f t="shared" si="6"/>
        <v>Game 2</v>
      </c>
      <c r="E62" s="110" t="str">
        <f t="shared" si="7"/>
        <v>Game 3</v>
      </c>
      <c r="F62" s="126" t="str">
        <f>VLOOKUP(G62,'Swiss Registry'!$A$2:$B$703,2,False)</f>
        <v>owlman7507</v>
      </c>
      <c r="G62" s="127">
        <v>487.0</v>
      </c>
      <c r="H62" s="93" t="s">
        <v>2392</v>
      </c>
      <c r="I62" s="141" t="str">
        <f t="array" ref="I62">XLOOKUP(CELL("contents",B62),'Swiss Registry'!$B$2:$B$703,'Swiss Registry'!$N$2:$N$703) </f>
        <v>268922335946342400</v>
      </c>
      <c r="J62" s="142" t="str">
        <f t="array" ref="J62">XLOOKUP(CELL("contents",F62),'Swiss Registry'!$B$2:$B$703,'Swiss Registry'!$N$2:$N$703) </f>
        <v>684894520751816770</v>
      </c>
    </row>
    <row r="63">
      <c r="A63" s="140">
        <v>31.0</v>
      </c>
      <c r="B63" s="125" t="str">
        <f>VLOOKUP(A63,'Swiss Registry'!$A$2:$B$703,2,False)</f>
        <v>Spfunkm</v>
      </c>
      <c r="C63" s="111" t="str">
        <f t="shared" si="5"/>
        <v/>
      </c>
      <c r="D63" s="112" t="str">
        <f t="shared" si="6"/>
        <v>Act: no8ull</v>
      </c>
      <c r="E63" s="107" t="str">
        <f t="shared" si="7"/>
        <v/>
      </c>
      <c r="F63" s="126" t="str">
        <f>VLOOKUP(G63,'Swiss Registry'!$A$2:$B$703,2,False)</f>
        <v>no8ull</v>
      </c>
      <c r="G63" s="127">
        <v>482.0</v>
      </c>
      <c r="H63" s="93" t="s">
        <v>1523</v>
      </c>
      <c r="I63" s="141" t="str">
        <f t="array" ref="I63">XLOOKUP(CELL("contents",B63),'Swiss Registry'!$B$2:$B$703,'Swiss Registry'!$N$2:$N$703) </f>
        <v>SUB</v>
      </c>
      <c r="J63" s="142" t="str">
        <f t="array" ref="J63">XLOOKUP(CELL("contents",F63),'Swiss Registry'!$B$2:$B$703,'Swiss Registry'!$N$2:$N$703) </f>
        <v>647900479602425856</v>
      </c>
    </row>
    <row r="64">
      <c r="A64" s="140">
        <v>33.0</v>
      </c>
      <c r="B64" s="125" t="str">
        <f>VLOOKUP(A64,'Swiss Registry'!$A$2:$B$703,2,False)</f>
        <v>W_R</v>
      </c>
      <c r="C64" s="111" t="str">
        <f t="shared" si="5"/>
        <v/>
      </c>
      <c r="D64" s="112" t="str">
        <f t="shared" si="6"/>
        <v>Act: adv_fella</v>
      </c>
      <c r="E64" s="107" t="str">
        <f t="shared" si="7"/>
        <v/>
      </c>
      <c r="F64" s="126" t="str">
        <f>VLOOKUP(G64,'Swiss Registry'!$A$2:$B$703,2,False)</f>
        <v>adv_fella</v>
      </c>
      <c r="G64" s="127">
        <v>593.0</v>
      </c>
      <c r="H64" s="93" t="s">
        <v>1523</v>
      </c>
      <c r="I64" s="141" t="str">
        <f t="array" ref="I64">XLOOKUP(CELL("contents",B64),'Swiss Registry'!$B$2:$B$703,'Swiss Registry'!$N$2:$N$703) </f>
        <v>SUB</v>
      </c>
      <c r="J64" s="142" t="str">
        <f t="array" ref="J64">XLOOKUP(CELL("contents",F64),'Swiss Registry'!$B$2:$B$703,'Swiss Registry'!$N$2:$N$703) </f>
        <v>1045171502057799710</v>
      </c>
    </row>
    <row r="65">
      <c r="A65" s="140">
        <v>35.0</v>
      </c>
      <c r="B65" s="125" t="str">
        <f>VLOOKUP(A65,'Swiss Registry'!$A$2:$B$703,2,False)</f>
        <v>Zacpz</v>
      </c>
      <c r="C65" s="105" t="str">
        <f t="shared" si="5"/>
        <v>Game 1</v>
      </c>
      <c r="D65" s="106" t="str">
        <f t="shared" si="6"/>
        <v>Game 2</v>
      </c>
      <c r="E65" s="110" t="str">
        <f t="shared" si="7"/>
        <v>Game 3</v>
      </c>
      <c r="F65" s="126" t="str">
        <f>VLOOKUP(G65,'Swiss Registry'!$A$2:$B$703,2,False)</f>
        <v>crustaceus</v>
      </c>
      <c r="G65" s="127">
        <v>574.0</v>
      </c>
      <c r="H65" s="93" t="s">
        <v>2393</v>
      </c>
      <c r="I65" s="141" t="str">
        <f t="array" ref="I65">XLOOKUP(CELL("contents",B65),'Swiss Registry'!$B$2:$B$703,'Swiss Registry'!$N$2:$N$703) </f>
        <v>719547987277119638</v>
      </c>
      <c r="J65" s="142" t="str">
        <f t="array" ref="J65">XLOOKUP(CELL("contents",F65),'Swiss Registry'!$B$2:$B$703,'Swiss Registry'!$N$2:$N$703) </f>
        <v>119952719183216640</v>
      </c>
    </row>
    <row r="66">
      <c r="A66" s="140">
        <v>38.0</v>
      </c>
      <c r="B66" s="125" t="str">
        <f>VLOOKUP(A66,'Swiss Registry'!$A$2:$B$703,2,False)</f>
        <v>Colteor</v>
      </c>
      <c r="C66" s="105" t="str">
        <f t="shared" si="5"/>
        <v>Game 1</v>
      </c>
      <c r="D66" s="106" t="str">
        <f t="shared" si="6"/>
        <v>Game 2</v>
      </c>
      <c r="E66" s="107" t="str">
        <f t="shared" si="7"/>
        <v/>
      </c>
      <c r="F66" s="126" t="str">
        <f>VLOOKUP(G66,'Swiss Registry'!$A$2:$B$703,2,False)</f>
        <v>derevien</v>
      </c>
      <c r="G66" s="127">
        <v>541.0</v>
      </c>
      <c r="H66" s="93" t="s">
        <v>2394</v>
      </c>
      <c r="I66" s="141" t="str">
        <f t="array" ref="I66">XLOOKUP(CELL("contents",B66),'Swiss Registry'!$B$2:$B$703,'Swiss Registry'!$N$2:$N$703) </f>
        <v>327152054747529217</v>
      </c>
      <c r="J66" s="142" t="str">
        <f t="array" ref="J66">XLOOKUP(CELL("contents",F66),'Swiss Registry'!$B$2:$B$703,'Swiss Registry'!$N$2:$N$703) </f>
        <v>219178413062225922</v>
      </c>
    </row>
    <row r="67">
      <c r="A67" s="140">
        <v>40.0</v>
      </c>
      <c r="B67" s="125" t="str">
        <f>VLOOKUP(A67,'Swiss Registry'!$A$2:$B$703,2,False)</f>
        <v>goldmason</v>
      </c>
      <c r="C67" s="111" t="str">
        <f t="shared" si="5"/>
        <v/>
      </c>
      <c r="D67" s="112" t="str">
        <f t="shared" si="6"/>
        <v>Act: Stockings</v>
      </c>
      <c r="E67" s="107" t="str">
        <f t="shared" si="7"/>
        <v/>
      </c>
      <c r="F67" s="126" t="str">
        <f>VLOOKUP(G67,'Swiss Registry'!$A$2:$B$703,2,False)</f>
        <v>Stockings</v>
      </c>
      <c r="G67" s="127">
        <v>145.0</v>
      </c>
      <c r="H67" s="93" t="s">
        <v>1523</v>
      </c>
      <c r="I67" s="141" t="str">
        <f t="array" ref="I67">XLOOKUP(CELL("contents",B67),'Swiss Registry'!$B$2:$B$703,'Swiss Registry'!$N$2:$N$703) </f>
        <v>140308490609623041</v>
      </c>
      <c r="J67" s="142" t="str">
        <f t="array" ref="J67">XLOOKUP(CELL("contents",F67),'Swiss Registry'!$B$2:$B$703,'Swiss Registry'!$N$2:$N$703) </f>
        <v>163080133283020800</v>
      </c>
    </row>
    <row r="68">
      <c r="A68" s="140">
        <v>41.0</v>
      </c>
      <c r="B68" s="125" t="str">
        <f>VLOOKUP(A68,'Swiss Registry'!$A$2:$B$703,2,False)</f>
        <v>Celdanami</v>
      </c>
      <c r="C68" s="105" t="str">
        <f t="shared" si="5"/>
        <v>Game 1</v>
      </c>
      <c r="D68" s="106" t="str">
        <f t="shared" si="6"/>
        <v>Game 2</v>
      </c>
      <c r="E68" s="107" t="str">
        <f t="shared" si="7"/>
        <v/>
      </c>
      <c r="F68" s="126" t="str">
        <f>VLOOKUP(G68,'Swiss Registry'!$A$2:$B$703,2,False)</f>
        <v>Felizelise</v>
      </c>
      <c r="G68" s="127">
        <v>673.0</v>
      </c>
      <c r="H68" s="93" t="s">
        <v>2395</v>
      </c>
      <c r="I68" s="141" t="str">
        <f t="array" ref="I68">XLOOKUP(CELL("contents",B68),'Swiss Registry'!$B$2:$B$703,'Swiss Registry'!$N$2:$N$703) </f>
        <v>1031364783804526612</v>
      </c>
      <c r="J68" s="142" t="str">
        <f t="array" ref="J68">XLOOKUP(CELL("contents",F68),'Swiss Registry'!$B$2:$B$703,'Swiss Registry'!$N$2:$N$703) </f>
        <v>377637716818526208</v>
      </c>
    </row>
    <row r="69">
      <c r="A69" s="140">
        <v>43.0</v>
      </c>
      <c r="B69" s="125" t="str">
        <f>VLOOKUP(A69,'Swiss Registry'!$A$2:$B$703,2,False)</f>
        <v>Christos</v>
      </c>
      <c r="C69" s="105" t="str">
        <f t="shared" si="5"/>
        <v>Game 1</v>
      </c>
      <c r="D69" s="106" t="str">
        <f t="shared" si="6"/>
        <v>Game 2</v>
      </c>
      <c r="E69" s="107" t="str">
        <f t="shared" si="7"/>
        <v/>
      </c>
      <c r="F69" s="126" t="str">
        <f>VLOOKUP(G69,'Swiss Registry'!$A$2:$B$703,2,False)</f>
        <v>otael</v>
      </c>
      <c r="G69" s="127">
        <v>560.0</v>
      </c>
      <c r="H69" s="93" t="s">
        <v>2396</v>
      </c>
      <c r="I69" s="141" t="str">
        <f t="array" ref="I69">XLOOKUP(CELL("contents",B69),'Swiss Registry'!$B$2:$B$703,'Swiss Registry'!$N$2:$N$703) </f>
        <v>202869299113623563</v>
      </c>
      <c r="J69" s="142" t="str">
        <f t="array" ref="J69">XLOOKUP(CELL("contents",F69),'Swiss Registry'!$B$2:$B$703,'Swiss Registry'!$N$2:$N$703) </f>
        <v>123122853632540672</v>
      </c>
    </row>
    <row r="70">
      <c r="A70" s="140">
        <v>44.0</v>
      </c>
      <c r="B70" s="125" t="str">
        <f>VLOOKUP(A70,'Swiss Registry'!$A$2:$B$703,2,False)</f>
        <v>Dridri457</v>
      </c>
      <c r="C70" s="105" t="str">
        <f t="shared" si="5"/>
        <v>Game 1</v>
      </c>
      <c r="D70" s="106" t="str">
        <f t="shared" si="6"/>
        <v>Game 2</v>
      </c>
      <c r="E70" s="110" t="str">
        <f t="shared" si="7"/>
        <v>Game 3</v>
      </c>
      <c r="F70" s="126" t="str">
        <f>VLOOKUP(G70,'Swiss Registry'!$A$2:$B$703,2,False)</f>
        <v>tsuki.no.miko</v>
      </c>
      <c r="G70" s="127">
        <v>626.0</v>
      </c>
      <c r="H70" s="93" t="s">
        <v>2397</v>
      </c>
      <c r="I70" s="141" t="str">
        <f t="array" ref="I70">XLOOKUP(CELL("contents",B70),'Swiss Registry'!$B$2:$B$703,'Swiss Registry'!$N$2:$N$703) </f>
        <v>1067112559704014909</v>
      </c>
      <c r="J70" s="142" t="str">
        <f t="array" ref="J70">XLOOKUP(CELL("contents",F70),'Swiss Registry'!$B$2:$B$703,'Swiss Registry'!$N$2:$N$703) </f>
        <v>285250442479403010</v>
      </c>
    </row>
    <row r="71">
      <c r="A71" s="140">
        <v>47.0</v>
      </c>
      <c r="B71" s="125" t="str">
        <f>VLOOKUP(A71,'Swiss Registry'!$A$2:$B$703,2,False)</f>
        <v>Figull400</v>
      </c>
      <c r="C71" s="105" t="str">
        <f t="shared" si="5"/>
        <v>Game 1</v>
      </c>
      <c r="D71" s="106" t="str">
        <f t="shared" si="6"/>
        <v>Game 2</v>
      </c>
      <c r="E71" s="107" t="str">
        <f t="shared" si="7"/>
        <v/>
      </c>
      <c r="F71" s="126" t="str">
        <f>VLOOKUP(G71,'Swiss Registry'!$A$2:$B$703,2,False)</f>
        <v>Ehtis</v>
      </c>
      <c r="G71" s="127">
        <v>675.0</v>
      </c>
      <c r="H71" s="93" t="s">
        <v>2398</v>
      </c>
      <c r="I71" s="141" t="str">
        <f t="array" ref="I71">XLOOKUP(CELL("contents",B71),'Swiss Registry'!$B$2:$B$703,'Swiss Registry'!$N$2:$N$703) </f>
        <v>758667386822983680</v>
      </c>
      <c r="J71" s="142" t="str">
        <f t="array" ref="J71">XLOOKUP(CELL("contents",F71),'Swiss Registry'!$B$2:$B$703,'Swiss Registry'!$N$2:$N$703) </f>
        <v>318819800639995904</v>
      </c>
    </row>
    <row r="72">
      <c r="A72" s="140">
        <v>48.0</v>
      </c>
      <c r="B72" s="125" t="str">
        <f>VLOOKUP(A72,'Swiss Registry'!$A$2:$B$703,2,False)</f>
        <v>Don Tonionie</v>
      </c>
      <c r="C72" s="105" t="str">
        <f t="shared" si="5"/>
        <v>Game 1</v>
      </c>
      <c r="D72" s="106" t="str">
        <f t="shared" si="6"/>
        <v>Game 2</v>
      </c>
      <c r="E72" s="107" t="str">
        <f t="shared" si="7"/>
        <v/>
      </c>
      <c r="F72" s="126" t="str">
        <f>VLOOKUP(G72,'Swiss Registry'!$A$2:$B$703,2,False)</f>
        <v>swordpeace3232</v>
      </c>
      <c r="G72" s="127">
        <v>582.0</v>
      </c>
      <c r="H72" s="93" t="s">
        <v>2399</v>
      </c>
      <c r="I72" s="141" t="str">
        <f t="array" ref="I72">XLOOKUP(CELL("contents",B72),'Swiss Registry'!$B$2:$B$703,'Swiss Registry'!$N$2:$N$703) </f>
        <v>281159058155634700</v>
      </c>
      <c r="J72" s="142" t="str">
        <f t="array" ref="J72">XLOOKUP(CELL("contents",F72),'Swiss Registry'!$B$2:$B$703,'Swiss Registry'!$N$2:$N$703) </f>
        <v>578664990714888212</v>
      </c>
    </row>
    <row r="73">
      <c r="A73" s="140">
        <v>50.0</v>
      </c>
      <c r="B73" s="125" t="str">
        <f>VLOOKUP(A73,'Swiss Registry'!$A$2:$B$703,2,False)</f>
        <v>xTina</v>
      </c>
      <c r="C73" s="105" t="str">
        <f t="shared" si="5"/>
        <v>Game 1</v>
      </c>
      <c r="D73" s="106" t="str">
        <f t="shared" si="6"/>
        <v>Game 2</v>
      </c>
      <c r="E73" s="107" t="str">
        <f t="shared" si="7"/>
        <v/>
      </c>
      <c r="F73" s="126" t="str">
        <f>VLOOKUP(G73,'Swiss Registry'!$A$2:$B$703,2,False)</f>
        <v>usbreon</v>
      </c>
      <c r="G73" s="127">
        <v>277.0</v>
      </c>
      <c r="H73" s="93" t="s">
        <v>2400</v>
      </c>
      <c r="I73" s="141" t="str">
        <f t="array" ref="I73">XLOOKUP(CELL("contents",B73),'Swiss Registry'!$B$2:$B$703,'Swiss Registry'!$N$2:$N$703) </f>
        <v>157273003971969025</v>
      </c>
      <c r="J73" s="142" t="str">
        <f t="array" ref="J73">XLOOKUP(CELL("contents",F73),'Swiss Registry'!$B$2:$B$703,'Swiss Registry'!$N$2:$N$703) </f>
        <v>125596608422215680</v>
      </c>
    </row>
    <row r="74">
      <c r="A74" s="140">
        <v>52.0</v>
      </c>
      <c r="B74" s="125" t="str">
        <f>VLOOKUP(A74,'Swiss Registry'!$A$2:$B$703,2,False)</f>
        <v>OOZ</v>
      </c>
      <c r="C74" s="105" t="str">
        <f t="shared" si="5"/>
        <v>Game 1</v>
      </c>
      <c r="D74" s="106" t="str">
        <f t="shared" si="6"/>
        <v>Game 2</v>
      </c>
      <c r="E74" s="110" t="str">
        <f t="shared" si="7"/>
        <v>Game 3</v>
      </c>
      <c r="F74" s="126" t="str">
        <f>VLOOKUP(G74,'Swiss Registry'!$A$2:$B$703,2,False)</f>
        <v>stolenpaper</v>
      </c>
      <c r="G74" s="127">
        <v>513.0</v>
      </c>
      <c r="H74" s="93" t="s">
        <v>2401</v>
      </c>
      <c r="I74" s="141" t="str">
        <f t="array" ref="I74">XLOOKUP(CELL("contents",B74),'Swiss Registry'!$B$2:$B$703,'Swiss Registry'!$N$2:$N$703) </f>
        <v>163395445421244418</v>
      </c>
      <c r="J74" s="142" t="str">
        <f t="array" ref="J74">XLOOKUP(CELL("contents",F74),'Swiss Registry'!$B$2:$B$703,'Swiss Registry'!$N$2:$N$703) </f>
        <v>278063602005573632</v>
      </c>
    </row>
    <row r="75">
      <c r="A75" s="140">
        <v>58.0</v>
      </c>
      <c r="B75" s="125" t="str">
        <f>VLOOKUP(A75,'Swiss Registry'!$A$2:$B$703,2,False)</f>
        <v>kingofironfrisk</v>
      </c>
      <c r="C75" s="105" t="str">
        <f t="shared" si="5"/>
        <v>Game 1</v>
      </c>
      <c r="D75" s="106" t="str">
        <f t="shared" si="6"/>
        <v>Game 2</v>
      </c>
      <c r="E75" s="110" t="str">
        <f t="shared" si="7"/>
        <v>Game 3</v>
      </c>
      <c r="F75" s="126" t="str">
        <f>VLOOKUP(G75,'Swiss Registry'!$A$2:$B$703,2,False)</f>
        <v>br.twfb</v>
      </c>
      <c r="G75" s="127">
        <v>161.0</v>
      </c>
      <c r="H75" s="93" t="s">
        <v>2402</v>
      </c>
      <c r="I75" s="141" t="str">
        <f t="array" ref="I75">XLOOKUP(CELL("contents",B75),'Swiss Registry'!$B$2:$B$703,'Swiss Registry'!$N$2:$N$703) </f>
        <v>232531609293684746</v>
      </c>
      <c r="J75" s="142" t="str">
        <f t="array" ref="J75">XLOOKUP(CELL("contents",F75),'Swiss Registry'!$B$2:$B$703,'Swiss Registry'!$N$2:$N$703) </f>
        <v>194544710604292097</v>
      </c>
    </row>
    <row r="76">
      <c r="A76" s="140">
        <v>61.0</v>
      </c>
      <c r="B76" s="125" t="str">
        <f>VLOOKUP(A76,'Swiss Registry'!$A$2:$B$703,2,False)</f>
        <v>Zpanther</v>
      </c>
      <c r="C76" s="105" t="str">
        <f t="shared" si="5"/>
        <v>Game 1</v>
      </c>
      <c r="D76" s="106" t="str">
        <f t="shared" si="6"/>
        <v>Game 2</v>
      </c>
      <c r="E76" s="110" t="str">
        <f t="shared" si="7"/>
        <v>Game 3</v>
      </c>
      <c r="F76" s="126" t="str">
        <f>VLOOKUP(G76,'Swiss Registry'!$A$2:$B$703,2,False)</f>
        <v>almarkowbender</v>
      </c>
      <c r="G76" s="127">
        <v>321.0</v>
      </c>
      <c r="H76" s="93" t="s">
        <v>2403</v>
      </c>
      <c r="I76" s="141" t="str">
        <f t="array" ref="I76">XLOOKUP(CELL("contents",B76),'Swiss Registry'!$B$2:$B$703,'Swiss Registry'!$N$2:$N$703) </f>
        <v>884609024937574432</v>
      </c>
      <c r="J76" s="142" t="str">
        <f t="array" ref="J76">XLOOKUP(CELL("contents",F76),'Swiss Registry'!$B$2:$B$703,'Swiss Registry'!$N$2:$N$703) </f>
        <v>341270044979757056</v>
      </c>
    </row>
    <row r="77">
      <c r="A77" s="140">
        <v>62.0</v>
      </c>
      <c r="B77" s="125" t="str">
        <f>VLOOKUP(A77,'Swiss Registry'!$A$2:$B$703,2,False)</f>
        <v>Nicole</v>
      </c>
      <c r="C77" s="105" t="str">
        <f t="shared" si="5"/>
        <v>Game 1</v>
      </c>
      <c r="D77" s="106" t="str">
        <f t="shared" si="6"/>
        <v>Game 2</v>
      </c>
      <c r="E77" s="110" t="str">
        <f t="shared" si="7"/>
        <v>Game 3</v>
      </c>
      <c r="F77" s="126" t="str">
        <f>VLOOKUP(G77,'Swiss Registry'!$A$2:$B$703,2,False)</f>
        <v>jeem16</v>
      </c>
      <c r="G77" s="127">
        <v>304.0</v>
      </c>
      <c r="H77" s="93" t="s">
        <v>2404</v>
      </c>
      <c r="I77" s="141" t="str">
        <f t="array" ref="I77">XLOOKUP(CELL("contents",B77),'Swiss Registry'!$B$2:$B$703,'Swiss Registry'!$N$2:$N$703) </f>
        <v>372784289420410882</v>
      </c>
      <c r="J77" s="142" t="str">
        <f t="array" ref="J77">XLOOKUP(CELL("contents",F77),'Swiss Registry'!$B$2:$B$703,'Swiss Registry'!$N$2:$N$703) </f>
        <v>137996807513964544</v>
      </c>
    </row>
    <row r="78">
      <c r="A78" s="140">
        <v>63.0</v>
      </c>
      <c r="B78" s="125" t="str">
        <f>VLOOKUP(A78,'Swiss Registry'!$A$2:$B$703,2,False)</f>
        <v>Rambode</v>
      </c>
      <c r="C78" s="105" t="str">
        <f t="shared" si="5"/>
        <v>Game 1</v>
      </c>
      <c r="D78" s="106" t="str">
        <f t="shared" si="6"/>
        <v>Game 2</v>
      </c>
      <c r="E78" s="107" t="str">
        <f t="shared" si="7"/>
        <v/>
      </c>
      <c r="F78" s="126" t="str">
        <f>VLOOKUP(G78,'Swiss Registry'!$A$2:$B$703,2,False)</f>
        <v>biff_the_banana</v>
      </c>
      <c r="G78" s="127">
        <v>409.0</v>
      </c>
      <c r="H78" s="93" t="s">
        <v>2405</v>
      </c>
      <c r="I78" s="141" t="str">
        <f t="array" ref="I78">XLOOKUP(CELL("contents",B78),'Swiss Registry'!$B$2:$B$703,'Swiss Registry'!$N$2:$N$703) </f>
        <v>205091412088324096</v>
      </c>
      <c r="J78" s="142" t="str">
        <f t="array" ref="J78">XLOOKUP(CELL("contents",F78),'Swiss Registry'!$B$2:$B$703,'Swiss Registry'!$N$2:$N$703) </f>
        <v>254196036694704129</v>
      </c>
    </row>
    <row r="79">
      <c r="A79" s="140">
        <v>64.0</v>
      </c>
      <c r="B79" s="125" t="str">
        <f>VLOOKUP(A79,'Swiss Registry'!$A$2:$B$703,2,False)</f>
        <v>xGangg</v>
      </c>
      <c r="C79" s="105" t="str">
        <f t="shared" si="5"/>
        <v>Game 1</v>
      </c>
      <c r="D79" s="106" t="str">
        <f t="shared" si="6"/>
        <v>Game 2</v>
      </c>
      <c r="E79" s="110" t="str">
        <f t="shared" si="7"/>
        <v>Game 3</v>
      </c>
      <c r="F79" s="126" t="str">
        <f>VLOOKUP(G79,'Swiss Registry'!$A$2:$B$703,2,False)</f>
        <v>bydy2</v>
      </c>
      <c r="G79" s="127">
        <v>679.0</v>
      </c>
      <c r="H79" s="93" t="s">
        <v>2406</v>
      </c>
      <c r="I79" s="141" t="str">
        <f t="array" ref="I79">XLOOKUP(CELL("contents",B79),'Swiss Registry'!$B$2:$B$703,'Swiss Registry'!$N$2:$N$703) </f>
        <v>219915887254175744</v>
      </c>
      <c r="J79" s="142" t="str">
        <f t="array" ref="J79">XLOOKUP(CELL("contents",F79),'Swiss Registry'!$B$2:$B$703,'Swiss Registry'!$N$2:$N$703) </f>
        <v>245276997687836672</v>
      </c>
    </row>
    <row r="80">
      <c r="A80" s="140">
        <v>70.0</v>
      </c>
      <c r="B80" s="125" t="str">
        <f>VLOOKUP(A80,'Swiss Registry'!$A$2:$B$703,2,False)</f>
        <v>H&gt;L</v>
      </c>
      <c r="C80" s="105" t="str">
        <f t="shared" si="5"/>
        <v>Game 1</v>
      </c>
      <c r="D80" s="106" t="str">
        <f t="shared" si="6"/>
        <v>Game 2</v>
      </c>
      <c r="E80" s="110" t="str">
        <f t="shared" si="7"/>
        <v>Game 3</v>
      </c>
      <c r="F80" s="126" t="str">
        <f>VLOOKUP(G80,'Swiss Registry'!$A$2:$B$703,2,False)</f>
        <v>5darkelves_gmen</v>
      </c>
      <c r="G80" s="127">
        <v>682.0</v>
      </c>
      <c r="H80" s="93" t="s">
        <v>2407</v>
      </c>
      <c r="I80" s="141" t="str">
        <f t="array" ref="I80">XLOOKUP(CELL("contents",B80),'Swiss Registry'!$B$2:$B$703,'Swiss Registry'!$N$2:$N$703) </f>
        <v>669658442071408672</v>
      </c>
      <c r="J80" s="142" t="str">
        <f t="array" ref="J80">XLOOKUP(CELL("contents",F80),'Swiss Registry'!$B$2:$B$703,'Swiss Registry'!$N$2:$N$703) </f>
        <v>952068071336607775</v>
      </c>
    </row>
    <row r="81">
      <c r="A81" s="140">
        <v>71.0</v>
      </c>
      <c r="B81" s="125" t="str">
        <f>VLOOKUP(A81,'Swiss Registry'!$A$2:$B$703,2,False)</f>
        <v>Sanke Carp</v>
      </c>
      <c r="C81" s="105" t="str">
        <f t="shared" si="5"/>
        <v>Game 1</v>
      </c>
      <c r="D81" s="106" t="str">
        <f t="shared" si="6"/>
        <v>Game 2</v>
      </c>
      <c r="E81" s="110" t="str">
        <f t="shared" si="7"/>
        <v>Game 3</v>
      </c>
      <c r="F81" s="126" t="str">
        <f>VLOOKUP(G81,'Swiss Registry'!$A$2:$B$703,2,False)</f>
        <v>sbmalus</v>
      </c>
      <c r="G81" s="127">
        <v>564.0</v>
      </c>
      <c r="H81" s="93" t="s">
        <v>2408</v>
      </c>
      <c r="I81" s="141" t="str">
        <f t="array" ref="I81">XLOOKUP(CELL("contents",B81),'Swiss Registry'!$B$2:$B$703,'Swiss Registry'!$N$2:$N$703) </f>
        <v>191955347160825856</v>
      </c>
      <c r="J81" s="142" t="str">
        <f t="array" ref="J81">XLOOKUP(CELL("contents",F81),'Swiss Registry'!$B$2:$B$703,'Swiss Registry'!$N$2:$N$703) </f>
        <v>492395234429370371</v>
      </c>
    </row>
    <row r="82">
      <c r="A82" s="140">
        <v>78.0</v>
      </c>
      <c r="B82" s="125" t="str">
        <f>VLOOKUP(A82,'Swiss Registry'!$A$2:$B$703,2,False)</f>
        <v>OOF_MAXIMA</v>
      </c>
      <c r="C82" s="105" t="str">
        <f t="shared" si="5"/>
        <v>Game 1</v>
      </c>
      <c r="D82" s="106" t="str">
        <f>IF(H82="dead","Dead Game",IF(H82="a:act","Act: "&amp;F82,IF(H82="b:act","Act: "&amp;#REF!,IF(ISURL(HYPERLINK(INDIRECT("Importer!B"&amp;MID(H82,6,4)+1,TRUE))),HYPERLINK(INDIRECT("Importer!B"&amp;MID(H82,6,4)+1,TRUE), "Game 2"),""))))</f>
        <v>Game 2</v>
      </c>
      <c r="E82" s="107" t="str">
        <f t="shared" si="7"/>
        <v/>
      </c>
      <c r="F82" s="126" t="str">
        <f>VLOOKUP(G82,'Swiss Registry'!$A$2:$B$703,2,False)</f>
        <v>darth_halux</v>
      </c>
      <c r="G82" s="127">
        <v>183.0</v>
      </c>
      <c r="H82" s="93" t="s">
        <v>2409</v>
      </c>
      <c r="I82" s="141" t="str">
        <f t="array" ref="I82">XLOOKUP(CELL("contents",B82),'Swiss Registry'!$B$2:$B$703,'Swiss Registry'!$N$2:$N$703) </f>
        <v>400765707467620362</v>
      </c>
      <c r="J82" s="142" t="str">
        <f t="array" ref="J82">XLOOKUP(CELL("contents",F82),'Swiss Registry'!$B$2:$B$703,'Swiss Registry'!$N$2:$N$703) </f>
        <v>303185896054980618</v>
      </c>
    </row>
    <row r="83">
      <c r="A83" s="140">
        <v>80.0</v>
      </c>
      <c r="B83" s="125" t="str">
        <f>VLOOKUP(A83,'Swiss Registry'!$A$2:$B$703,2,False)</f>
        <v>Incognition</v>
      </c>
      <c r="C83" s="105" t="str">
        <f t="shared" si="5"/>
        <v>Game 1</v>
      </c>
      <c r="D83" s="106" t="str">
        <f t="shared" ref="D83:D91" si="8">IF(H83="dead","Dead Game",IF(H83="a:act","Act: "&amp;B83,IF(H83="b:act","Act: "&amp;F83,IF(ISURL(HYPERLINK(INDIRECT("Importer!B"&amp;MID(H83,6,4)+1,TRUE))),HYPERLINK(INDIRECT("Importer!B"&amp;MID(H83,6,4)+1,TRUE), "Game 2"),""))))</f>
        <v>Game 2</v>
      </c>
      <c r="E83" s="110" t="str">
        <f t="shared" si="7"/>
        <v>Game 3</v>
      </c>
      <c r="F83" s="126" t="str">
        <f>VLOOKUP(G83,'Swiss Registry'!$A$2:$B$703,2,False)</f>
        <v>ditdus.</v>
      </c>
      <c r="G83" s="127">
        <v>431.0</v>
      </c>
      <c r="H83" s="93" t="s">
        <v>2410</v>
      </c>
      <c r="I83" s="141" t="str">
        <f t="array" ref="I83">XLOOKUP(CELL("contents",B83),'Swiss Registry'!$B$2:$B$703,'Swiss Registry'!$N$2:$N$703) </f>
        <v>248186612213612546</v>
      </c>
      <c r="J83" s="142" t="str">
        <f t="array" ref="J83">XLOOKUP(CELL("contents",F83),'Swiss Registry'!$B$2:$B$703,'Swiss Registry'!$N$2:$N$703) </f>
        <v>1287828167775485963</v>
      </c>
    </row>
    <row r="84">
      <c r="A84" s="140">
        <v>81.0</v>
      </c>
      <c r="B84" s="125" t="str">
        <f>VLOOKUP(A84,'Swiss Registry'!$A$2:$B$703,2,False)</f>
        <v>Tempokin</v>
      </c>
      <c r="C84" s="105" t="str">
        <f t="shared" si="5"/>
        <v>Game 1</v>
      </c>
      <c r="D84" s="106" t="str">
        <f t="shared" si="8"/>
        <v>Game 2</v>
      </c>
      <c r="E84" s="107" t="str">
        <f t="shared" si="7"/>
        <v/>
      </c>
      <c r="F84" s="126" t="str">
        <f>VLOOKUP(G84,'Swiss Registry'!$A$2:$B$703,2,False)</f>
        <v>SqueamishCube</v>
      </c>
      <c r="G84" s="127">
        <v>112.0</v>
      </c>
      <c r="H84" s="93" t="s">
        <v>2411</v>
      </c>
      <c r="I84" s="141" t="str">
        <f t="array" ref="I84">XLOOKUP(CELL("contents",B84),'Swiss Registry'!$B$2:$B$703,'Swiss Registry'!$N$2:$N$703) </f>
        <v>305870832977182722</v>
      </c>
      <c r="J84" s="142" t="str">
        <f t="array" ref="J84">XLOOKUP(CELL("contents",F84),'Swiss Registry'!$B$2:$B$703,'Swiss Registry'!$N$2:$N$703) </f>
        <v>423951482795065368</v>
      </c>
    </row>
    <row r="85">
      <c r="A85" s="140">
        <v>83.0</v>
      </c>
      <c r="B85" s="125" t="str">
        <f>VLOOKUP(A85,'Swiss Registry'!$A$2:$B$703,2,False)</f>
        <v>King Raska</v>
      </c>
      <c r="C85" s="105" t="str">
        <f t="shared" si="5"/>
        <v>Game 1</v>
      </c>
      <c r="D85" s="106" t="str">
        <f t="shared" si="8"/>
        <v>Game 2</v>
      </c>
      <c r="E85" s="110" t="str">
        <f t="shared" si="7"/>
        <v>Game 3</v>
      </c>
      <c r="F85" s="126" t="str">
        <f>VLOOKUP(G85,'Swiss Registry'!$A$2:$B$703,2,False)</f>
        <v>treeshhhh</v>
      </c>
      <c r="G85" s="127">
        <v>383.0</v>
      </c>
      <c r="H85" s="93" t="s">
        <v>2412</v>
      </c>
      <c r="I85" s="141" t="str">
        <f t="array" ref="I85">XLOOKUP(CELL("contents",B85),'Swiss Registry'!$B$2:$B$703,'Swiss Registry'!$N$2:$N$703) </f>
        <v>156914061856997376</v>
      </c>
      <c r="J85" s="142" t="str">
        <f t="array" ref="J85">XLOOKUP(CELL("contents",F85),'Swiss Registry'!$B$2:$B$703,'Swiss Registry'!$N$2:$N$703) </f>
        <v>844002548070875156</v>
      </c>
    </row>
    <row r="86">
      <c r="A86" s="140">
        <v>84.0</v>
      </c>
      <c r="B86" s="125" t="str">
        <f>VLOOKUP(A86,'Swiss Registry'!$A$2:$B$703,2,False)</f>
        <v>qsns</v>
      </c>
      <c r="C86" s="111" t="str">
        <f t="shared" si="5"/>
        <v/>
      </c>
      <c r="D86" s="112" t="str">
        <f t="shared" si="8"/>
        <v>Act: qsns</v>
      </c>
      <c r="E86" s="107" t="str">
        <f t="shared" si="7"/>
        <v/>
      </c>
      <c r="F86" s="126" t="str">
        <f>VLOOKUP(G86,'Swiss Registry'!$A$2:$B$703,2,False)</f>
        <v>Mintyfresh756</v>
      </c>
      <c r="G86" s="127">
        <v>563.0</v>
      </c>
      <c r="H86" s="93" t="s">
        <v>1486</v>
      </c>
      <c r="I86" s="141" t="str">
        <f t="array" ref="I86">XLOOKUP(CELL("contents",B86),'Swiss Registry'!$B$2:$B$703,'Swiss Registry'!$N$2:$N$703) </f>
        <v>125692081212620801</v>
      </c>
      <c r="J86" s="142" t="str">
        <f t="array" ref="J86">XLOOKUP(CELL("contents",F86),'Swiss Registry'!$B$2:$B$703,'Swiss Registry'!$N$2:$N$703) </f>
        <v>229365099960336384</v>
      </c>
    </row>
    <row r="87">
      <c r="A87" s="140">
        <v>90.0</v>
      </c>
      <c r="B87" s="125" t="str">
        <f>VLOOKUP(A87,'Swiss Registry'!$A$2:$B$703,2,False)</f>
        <v>Mantis</v>
      </c>
      <c r="C87" s="105" t="str">
        <f t="shared" si="5"/>
        <v>Game 1</v>
      </c>
      <c r="D87" s="106" t="str">
        <f t="shared" si="8"/>
        <v>Game 2</v>
      </c>
      <c r="E87" s="110" t="str">
        <f t="shared" si="7"/>
        <v>Game 3</v>
      </c>
      <c r="F87" s="126" t="str">
        <f>VLOOKUP(G87,'Swiss Registry'!$A$2:$B$703,2,False)</f>
        <v>Shifty1239</v>
      </c>
      <c r="G87" s="127">
        <v>538.0</v>
      </c>
      <c r="H87" s="93" t="s">
        <v>2413</v>
      </c>
      <c r="I87" s="141" t="str">
        <f t="array" ref="I87">XLOOKUP(CELL("contents",B87),'Swiss Registry'!$B$2:$B$703,'Swiss Registry'!$N$2:$N$703) </f>
        <v>396370625515487242</v>
      </c>
      <c r="J87" s="142" t="str">
        <f t="array" ref="J87">XLOOKUP(CELL("contents",F87),'Swiss Registry'!$B$2:$B$703,'Swiss Registry'!$N$2:$N$703) </f>
        <v>121304787051479040</v>
      </c>
    </row>
    <row r="88">
      <c r="A88" s="140">
        <v>91.0</v>
      </c>
      <c r="B88" s="125" t="str">
        <f>VLOOKUP(A88,'Swiss Registry'!$A$2:$B$703,2,False)</f>
        <v>Younglemonhope</v>
      </c>
      <c r="C88" s="105" t="str">
        <f t="shared" si="5"/>
        <v>Game 1</v>
      </c>
      <c r="D88" s="106" t="str">
        <f t="shared" si="8"/>
        <v>Game 2</v>
      </c>
      <c r="E88" s="110" t="str">
        <f t="shared" si="7"/>
        <v>Game 3</v>
      </c>
      <c r="F88" s="126" t="str">
        <f>VLOOKUP(G88,'Swiss Registry'!$A$2:$B$703,2,False)</f>
        <v>Wizzyhatg</v>
      </c>
      <c r="G88" s="127">
        <v>137.0</v>
      </c>
      <c r="H88" s="93" t="s">
        <v>2414</v>
      </c>
      <c r="I88" s="141" t="str">
        <f t="array" ref="I88">XLOOKUP(CELL("contents",B88),'Swiss Registry'!$B$2:$B$703,'Swiss Registry'!$N$2:$N$703) </f>
        <v>111211333336256512</v>
      </c>
      <c r="J88" s="142" t="str">
        <f t="array" ref="J88">XLOOKUP(CELL("contents",F88),'Swiss Registry'!$B$2:$B$703,'Swiss Registry'!$N$2:$N$703) </f>
        <v>193484979798409216</v>
      </c>
    </row>
    <row r="89">
      <c r="A89" s="140">
        <v>93.0</v>
      </c>
      <c r="B89" s="125" t="str">
        <f>VLOOKUP(A89,'Swiss Registry'!$A$2:$B$703,2,False)</f>
        <v>Shadowtime2000</v>
      </c>
      <c r="C89" s="105" t="str">
        <f t="shared" si="5"/>
        <v>Game 1</v>
      </c>
      <c r="D89" s="106" t="str">
        <f t="shared" si="8"/>
        <v>Game 2</v>
      </c>
      <c r="E89" s="107" t="str">
        <f t="shared" si="7"/>
        <v/>
      </c>
      <c r="F89" s="126" t="str">
        <f>VLOOKUP(G89,'Swiss Registry'!$A$2:$B$703,2,False)</f>
        <v>.FunkyCop</v>
      </c>
      <c r="G89" s="127">
        <v>255.0</v>
      </c>
      <c r="H89" s="93" t="s">
        <v>2415</v>
      </c>
      <c r="I89" s="141" t="str">
        <f t="array" ref="I89">XLOOKUP(CELL("contents",B89),'Swiss Registry'!$B$2:$B$703,'Swiss Registry'!$N$2:$N$703) </f>
        <v>537051269253300275</v>
      </c>
      <c r="J89" s="142" t="str">
        <f t="array" ref="J89">XLOOKUP(CELL("contents",F89),'Swiss Registry'!$B$2:$B$703,'Swiss Registry'!$N$2:$N$703) </f>
        <v>227532710363660288</v>
      </c>
    </row>
    <row r="90">
      <c r="A90" s="140">
        <v>94.0</v>
      </c>
      <c r="B90" s="125" t="str">
        <f>VLOOKUP(A90,'Swiss Registry'!$A$2:$B$703,2,False)</f>
        <v>ratdogreborn</v>
      </c>
      <c r="C90" s="105" t="str">
        <f t="shared" si="5"/>
        <v>Game 1</v>
      </c>
      <c r="D90" s="106" t="str">
        <f t="shared" si="8"/>
        <v>Game 2</v>
      </c>
      <c r="E90" s="107" t="str">
        <f t="shared" si="7"/>
        <v/>
      </c>
      <c r="F90" s="126" t="str">
        <f>VLOOKUP(G90,'Swiss Registry'!$A$2:$B$703,2,False)</f>
        <v>med470</v>
      </c>
      <c r="G90" s="127">
        <v>479.0</v>
      </c>
      <c r="H90" s="93" t="s">
        <v>2416</v>
      </c>
      <c r="I90" s="141" t="str">
        <f t="array" ref="I90">XLOOKUP(CELL("contents",B90),'Swiss Registry'!$B$2:$B$703,'Swiss Registry'!$N$2:$N$703) </f>
        <v>197429652208222208</v>
      </c>
      <c r="J90" s="142" t="str">
        <f t="array" ref="J90">XLOOKUP(CELL("contents",F90),'Swiss Registry'!$B$2:$B$703,'Swiss Registry'!$N$2:$N$703) </f>
        <v>187473742010646531</v>
      </c>
    </row>
    <row r="91">
      <c r="A91" s="140">
        <v>98.0</v>
      </c>
      <c r="B91" s="125" t="str">
        <f>VLOOKUP(A91,'Swiss Registry'!$A$2:$B$703,2,False)</f>
        <v>Dancing Along/Abreaction</v>
      </c>
      <c r="C91" s="111" t="str">
        <f t="shared" si="5"/>
        <v/>
      </c>
      <c r="D91" s="112" t="str">
        <f t="shared" si="8"/>
        <v>Act: Dancing Along/Abreaction</v>
      </c>
      <c r="E91" s="107" t="str">
        <f t="shared" si="7"/>
        <v/>
      </c>
      <c r="F91" s="126" t="str">
        <f>VLOOKUP(G91,'Swiss Registry'!$A$2:$B$703,2,False)</f>
        <v>gpd_123</v>
      </c>
      <c r="G91" s="127">
        <v>503.0</v>
      </c>
      <c r="H91" s="93" t="s">
        <v>1486</v>
      </c>
      <c r="I91" s="141" t="str">
        <f t="array" ref="I91">XLOOKUP(CELL("contents",B91),'Swiss Registry'!$B$2:$B$703,'Swiss Registry'!$N$2:$N$703) </f>
        <v>386999541255110676</v>
      </c>
      <c r="J91" s="142" t="str">
        <f t="array" ref="J91">XLOOKUP(CELL("contents",F91),'Swiss Registry'!$B$2:$B$703,'Swiss Registry'!$N$2:$N$703) </f>
        <v>1287682191584792579</v>
      </c>
    </row>
    <row r="92" ht="15.0" customHeight="1">
      <c r="A92" s="124"/>
      <c r="B92" s="122"/>
      <c r="C92" s="123"/>
      <c r="D92" s="138" t="s">
        <v>2417</v>
      </c>
      <c r="E92" s="123"/>
      <c r="F92" s="123"/>
      <c r="G92" s="124"/>
      <c r="H92" s="93"/>
      <c r="I92" s="139"/>
      <c r="J92" s="139"/>
    </row>
    <row r="93">
      <c r="A93" s="140">
        <v>99.0</v>
      </c>
      <c r="B93" s="125" t="str">
        <f>VLOOKUP(A93,'Swiss Registry'!$A$2:$B$703,2,False)</f>
        <v>Just_Leo</v>
      </c>
      <c r="C93" s="105" t="str">
        <f t="shared" ref="C93:C136" si="9">IF(H93="dead","",IF(H93="a:act","",IF(H93="b:act","",IF(ISURL(HYPERLINK(INDIRECT("Importer!B"&amp;MID(H93,2,4)+1,TRUE))),HYPERLINK(INDIRECT("Importer!B"&amp;MID(H93,2,4)+1,TRUE), "Game 1"),""))))</f>
        <v>Game 1</v>
      </c>
      <c r="D93" s="106" t="str">
        <f t="shared" ref="D93:D121" si="10">IF(H93="dead","Dead Game",IF(H93="a:act","Act: "&amp;B93,IF(H93="b:act","Act: "&amp;F93,IF(ISURL(HYPERLINK(INDIRECT("Importer!B"&amp;MID(H93,6,4)+1,TRUE))),HYPERLINK(INDIRECT("Importer!B"&amp;MID(H93,6,4)+1,TRUE), "Game 2"),""))))</f>
        <v>Game 2</v>
      </c>
      <c r="E93" s="107" t="str">
        <f t="shared" ref="E93:E136" si="11">IF(H93="dead","",IF(H93="a:act","",IF(H93="b:act","",IF(ISURL(HYPERLINK(INDIRECT("Importer!B"&amp;MID(H93,10,4)+1,TRUE))),HYPERLINK(INDIRECT("Importer!B"&amp;MID(H93,10,4)+1,TRUE), "Game 3"),""))))</f>
        <v/>
      </c>
      <c r="F93" s="126" t="str">
        <f>VLOOKUP(G93,'Swiss Registry'!$A$2:$B$703,2,False)</f>
        <v>nicki4</v>
      </c>
      <c r="G93" s="127">
        <v>187.0</v>
      </c>
      <c r="H93" s="93" t="s">
        <v>2418</v>
      </c>
      <c r="I93" s="141" t="str">
        <f t="array" ref="I93">XLOOKUP(CELL("contents",B93),'Swiss Registry'!$B$2:$B$703,'Swiss Registry'!$N$2:$N$703) </f>
        <v>1136751969478914138</v>
      </c>
      <c r="J93" s="142" t="str">
        <f t="array" ref="J93">XLOOKUP(CELL("contents",F93),'Swiss Registry'!$B$2:$B$703,'Swiss Registry'!$N$2:$N$703) </f>
        <v>229576207560212480</v>
      </c>
    </row>
    <row r="94">
      <c r="A94" s="140">
        <v>100.0</v>
      </c>
      <c r="B94" s="125" t="str">
        <f>VLOOKUP(A94,'Swiss Registry'!$A$2:$B$703,2,False)</f>
        <v>Zinc</v>
      </c>
      <c r="C94" s="105" t="str">
        <f t="shared" si="9"/>
        <v>Game 1</v>
      </c>
      <c r="D94" s="106" t="str">
        <f t="shared" si="10"/>
        <v>Game 2</v>
      </c>
      <c r="E94" s="110" t="str">
        <f t="shared" si="11"/>
        <v>Game 3</v>
      </c>
      <c r="F94" s="126" t="str">
        <f>VLOOKUP(G94,'Swiss Registry'!$A$2:$B$703,2,False)</f>
        <v>jussydkt</v>
      </c>
      <c r="G94" s="127">
        <v>126.0</v>
      </c>
      <c r="H94" s="93" t="s">
        <v>2419</v>
      </c>
      <c r="I94" s="141" t="str">
        <f t="array" ref="I94">XLOOKUP(CELL("contents",B94),'Swiss Registry'!$B$2:$B$703,'Swiss Registry'!$N$2:$N$703) </f>
        <v>399291432235696139</v>
      </c>
      <c r="J94" s="142" t="str">
        <f t="array" ref="J94">XLOOKUP(CELL("contents",F94),'Swiss Registry'!$B$2:$B$703,'Swiss Registry'!$N$2:$N$703) </f>
        <v>344773420463947777</v>
      </c>
    </row>
    <row r="95">
      <c r="A95" s="140">
        <v>339.0</v>
      </c>
      <c r="B95" s="125" t="str">
        <f>VLOOKUP(A95,'Swiss Registry'!$A$2:$B$703,2,False)</f>
        <v>Jabba</v>
      </c>
      <c r="C95" s="105" t="str">
        <f t="shared" si="9"/>
        <v>Game 1</v>
      </c>
      <c r="D95" s="106" t="str">
        <f t="shared" si="10"/>
        <v>Game 2</v>
      </c>
      <c r="E95" s="107" t="str">
        <f t="shared" si="11"/>
        <v/>
      </c>
      <c r="F95" s="126" t="str">
        <f>VLOOKUP(G95,'Swiss Registry'!$A$2:$B$703,2,False)</f>
        <v>Stuckkkk</v>
      </c>
      <c r="G95" s="127">
        <v>648.0</v>
      </c>
      <c r="H95" s="93" t="s">
        <v>2420</v>
      </c>
      <c r="I95" s="141" t="str">
        <f t="array" ref="I95">XLOOKUP(CELL("contents",B95),'Swiss Registry'!$B$2:$B$703,'Swiss Registry'!$N$2:$N$703) </f>
        <v>191625883503558656</v>
      </c>
      <c r="J95" s="142" t="str">
        <f t="array" ref="J95">XLOOKUP(CELL("contents",F95),'Swiss Registry'!$B$2:$B$703,'Swiss Registry'!$N$2:$N$703) </f>
        <v>321430793153019924</v>
      </c>
    </row>
    <row r="96">
      <c r="A96" s="140">
        <v>171.0</v>
      </c>
      <c r="B96" s="125" t="str">
        <f>VLOOKUP(A96,'Swiss Registry'!$A$2:$B$703,2,False)</f>
        <v>knexhawk</v>
      </c>
      <c r="C96" s="105" t="str">
        <f t="shared" si="9"/>
        <v>Game 1</v>
      </c>
      <c r="D96" s="106" t="str">
        <f t="shared" si="10"/>
        <v>Game 2</v>
      </c>
      <c r="E96" s="107" t="str">
        <f t="shared" si="11"/>
        <v/>
      </c>
      <c r="F96" s="126" t="str">
        <f>VLOOKUP(G96,'Swiss Registry'!$A$2:$B$703,2,False)</f>
        <v>tavi_tavi</v>
      </c>
      <c r="G96" s="127">
        <v>251.0</v>
      </c>
      <c r="H96" s="93" t="s">
        <v>2421</v>
      </c>
      <c r="I96" s="141" t="str">
        <f t="array" ref="I96">XLOOKUP(CELL("contents",B96),'Swiss Registry'!$B$2:$B$703,'Swiss Registry'!$N$2:$N$703) </f>
        <v>481499066245578762</v>
      </c>
      <c r="J96" s="142" t="str">
        <f t="array" ref="J96">XLOOKUP(CELL("contents",F96),'Swiss Registry'!$B$2:$B$703,'Swiss Registry'!$N$2:$N$703) </f>
        <v>332692132143824896</v>
      </c>
    </row>
    <row r="97">
      <c r="A97" s="140">
        <v>194.0</v>
      </c>
      <c r="B97" s="125" t="str">
        <f>VLOOKUP(A97,'Swiss Registry'!$A$2:$B$703,2,False)</f>
        <v>bd31</v>
      </c>
      <c r="C97" s="105" t="str">
        <f t="shared" si="9"/>
        <v>Game 1</v>
      </c>
      <c r="D97" s="106" t="str">
        <f t="shared" si="10"/>
        <v>Game 2</v>
      </c>
      <c r="E97" s="107" t="str">
        <f t="shared" si="11"/>
        <v/>
      </c>
      <c r="F97" s="126" t="str">
        <f>VLOOKUP(G97,'Swiss Registry'!$A$2:$B$703,2,False)</f>
        <v>Upon_Link_Main</v>
      </c>
      <c r="G97" s="127">
        <v>616.0</v>
      </c>
      <c r="H97" s="93" t="s">
        <v>2422</v>
      </c>
      <c r="I97" s="141" t="str">
        <f t="array" ref="I97">XLOOKUP(CELL("contents",B97),'Swiss Registry'!$B$2:$B$703,'Swiss Registry'!$N$2:$N$703) </f>
        <v>217343749439750145</v>
      </c>
      <c r="J97" s="142" t="str">
        <f t="array" ref="J97">XLOOKUP(CELL("contents",F97),'Swiss Registry'!$B$2:$B$703,'Swiss Registry'!$N$2:$N$703) </f>
        <v>355216493618921472</v>
      </c>
    </row>
    <row r="98">
      <c r="A98" s="140">
        <v>364.0</v>
      </c>
      <c r="B98" s="125" t="str">
        <f>VLOOKUP(A98,'Swiss Registry'!$A$2:$B$703,2,False)</f>
        <v>Psychokinetic4</v>
      </c>
      <c r="C98" s="111" t="str">
        <f t="shared" si="9"/>
        <v/>
      </c>
      <c r="D98" s="112" t="str">
        <f t="shared" si="10"/>
        <v>Act: dadaasdcfaw</v>
      </c>
      <c r="E98" s="107" t="str">
        <f t="shared" si="11"/>
        <v/>
      </c>
      <c r="F98" s="126" t="str">
        <f>VLOOKUP(G98,'Swiss Registry'!$A$2:$B$703,2,False)</f>
        <v>dadaasdcfaw</v>
      </c>
      <c r="G98" s="127">
        <v>212.0</v>
      </c>
      <c r="H98" s="93" t="s">
        <v>1523</v>
      </c>
      <c r="I98" s="141" t="str">
        <f t="array" ref="I98">XLOOKUP(CELL("contents",B98),'Swiss Registry'!$B$2:$B$703,'Swiss Registry'!$N$2:$N$703) </f>
        <v>197151675914518528</v>
      </c>
      <c r="J98" s="142" t="str">
        <f t="array" ref="J98">XLOOKUP(CELL("contents",F98),'Swiss Registry'!$B$2:$B$703,'Swiss Registry'!$N$2:$N$703) </f>
        <v>327733812467466240</v>
      </c>
    </row>
    <row r="99">
      <c r="A99" s="140">
        <v>184.0</v>
      </c>
      <c r="B99" s="125" t="str">
        <f>VLOOKUP(A99,'Swiss Registry'!$A$2:$B$703,2,False)</f>
        <v>Skarpherim</v>
      </c>
      <c r="C99" s="111" t="str">
        <f t="shared" si="9"/>
        <v/>
      </c>
      <c r="D99" s="112" t="str">
        <f t="shared" si="10"/>
        <v>Act: Skarpherim</v>
      </c>
      <c r="E99" s="107" t="str">
        <f t="shared" si="11"/>
        <v/>
      </c>
      <c r="F99" s="126" t="str">
        <f>VLOOKUP(G99,'Swiss Registry'!$A$2:$B$703,2,False)</f>
        <v>kuru1432</v>
      </c>
      <c r="G99" s="127">
        <v>295.0</v>
      </c>
      <c r="H99" s="93" t="s">
        <v>1486</v>
      </c>
      <c r="I99" s="141" t="str">
        <f t="array" ref="I99">XLOOKUP(CELL("contents",B99),'Swiss Registry'!$B$2:$B$703,'Swiss Registry'!$N$2:$N$703) </f>
        <v>1167951538963103815</v>
      </c>
      <c r="J99" s="142" t="str">
        <f t="array" ref="J99">XLOOKUP(CELL("contents",F99),'Swiss Registry'!$B$2:$B$703,'Swiss Registry'!$N$2:$N$703) </f>
        <v>194274180454154240</v>
      </c>
    </row>
    <row r="100">
      <c r="A100" s="140">
        <v>586.0</v>
      </c>
      <c r="B100" s="125" t="str">
        <f>VLOOKUP(A100,'Swiss Registry'!$A$2:$B$703,2,False)</f>
        <v>Yoink 0</v>
      </c>
      <c r="C100" s="105" t="str">
        <f t="shared" si="9"/>
        <v>Game 1</v>
      </c>
      <c r="D100" s="106" t="str">
        <f t="shared" si="10"/>
        <v>Game 2</v>
      </c>
      <c r="E100" s="110" t="str">
        <f t="shared" si="11"/>
        <v>Game 3</v>
      </c>
      <c r="F100" s="126" t="str">
        <f>VLOOKUP(G100,'Swiss Registry'!$A$2:$B$703,2,False)</f>
        <v>Reptikrook</v>
      </c>
      <c r="G100" s="127">
        <v>349.0</v>
      </c>
      <c r="H100" s="93" t="s">
        <v>2423</v>
      </c>
      <c r="I100" s="141" t="str">
        <f t="array" ref="I100">XLOOKUP(CELL("contents",B100),'Swiss Registry'!$B$2:$B$703,'Swiss Registry'!$N$2:$N$703) </f>
        <v>1139533634194391050</v>
      </c>
      <c r="J100" s="142" t="str">
        <f t="array" ref="J100">XLOOKUP(CELL("contents",F100),'Swiss Registry'!$B$2:$B$703,'Swiss Registry'!$N$2:$N$703) </f>
        <v>477623186104516629</v>
      </c>
    </row>
    <row r="101">
      <c r="A101" s="140">
        <v>433.0</v>
      </c>
      <c r="B101" s="125" t="str">
        <f>VLOOKUP(A101,'Swiss Registry'!$A$2:$B$703,2,False)</f>
        <v>jozin457</v>
      </c>
      <c r="C101" s="105" t="str">
        <f t="shared" si="9"/>
        <v>Game 1</v>
      </c>
      <c r="D101" s="106" t="str">
        <f t="shared" si="10"/>
        <v>Game 2</v>
      </c>
      <c r="E101" s="110" t="str">
        <f t="shared" si="11"/>
        <v>Game 3</v>
      </c>
      <c r="F101" s="126" t="str">
        <f>VLOOKUP(G101,'Swiss Registry'!$A$2:$B$703,2,False)</f>
        <v>mintchocolateguy</v>
      </c>
      <c r="G101" s="127">
        <v>267.0</v>
      </c>
      <c r="H101" s="93" t="s">
        <v>2424</v>
      </c>
      <c r="I101" s="141" t="str">
        <f t="array" ref="I101">XLOOKUP(CELL("contents",B101),'Swiss Registry'!$B$2:$B$703,'Swiss Registry'!$N$2:$N$703) </f>
        <v>229620219092533248</v>
      </c>
      <c r="J101" s="142" t="str">
        <f t="array" ref="J101">XLOOKUP(CELL("contents",F101),'Swiss Registry'!$B$2:$B$703,'Swiss Registry'!$N$2:$N$703) </f>
        <v>698335732191723551</v>
      </c>
    </row>
    <row r="102">
      <c r="A102" s="140">
        <v>630.0</v>
      </c>
      <c r="B102" s="125" t="str">
        <f>VLOOKUP(A102,'Swiss Registry'!$A$2:$B$703,2,False)</f>
        <v>dustyfans</v>
      </c>
      <c r="C102" s="105" t="str">
        <f t="shared" si="9"/>
        <v>Game 1</v>
      </c>
      <c r="D102" s="106" t="str">
        <f t="shared" si="10"/>
        <v>Game 2</v>
      </c>
      <c r="E102" s="107" t="str">
        <f t="shared" si="11"/>
        <v/>
      </c>
      <c r="F102" s="126" t="str">
        <f>VLOOKUP(G102,'Swiss Registry'!$A$2:$B$703,2,False)</f>
        <v>Simonf</v>
      </c>
      <c r="G102" s="127">
        <v>633.0</v>
      </c>
      <c r="H102" s="93" t="s">
        <v>2425</v>
      </c>
      <c r="I102" s="141" t="str">
        <f t="array" ref="I102">XLOOKUP(CELL("contents",B102),'Swiss Registry'!$B$2:$B$703,'Swiss Registry'!$N$2:$N$703) </f>
        <v>325004772493230092</v>
      </c>
      <c r="J102" s="142" t="str">
        <f t="array" ref="J102">XLOOKUP(CELL("contents",F102),'Swiss Registry'!$B$2:$B$703,'Swiss Registry'!$N$2:$N$703) </f>
        <v>158927868745744385</v>
      </c>
    </row>
    <row r="103">
      <c r="A103" s="140">
        <v>581.0</v>
      </c>
      <c r="B103" s="125" t="str">
        <f>VLOOKUP(A103,'Swiss Registry'!$A$2:$B$703,2,False)</f>
        <v>brestelli</v>
      </c>
      <c r="C103" s="105" t="str">
        <f t="shared" si="9"/>
        <v>Game 1</v>
      </c>
      <c r="D103" s="106" t="str">
        <f t="shared" si="10"/>
        <v>Game 2</v>
      </c>
      <c r="E103" s="107" t="str">
        <f t="shared" si="11"/>
        <v/>
      </c>
      <c r="F103" s="126" t="str">
        <f>VLOOKUP(G103,'Swiss Registry'!$A$2:$B$703,2,False)</f>
        <v>Svejk97</v>
      </c>
      <c r="G103" s="127">
        <v>134.0</v>
      </c>
      <c r="H103" s="93" t="s">
        <v>2426</v>
      </c>
      <c r="I103" s="141" t="str">
        <f t="array" ref="I103">XLOOKUP(CELL("contents",B103),'Swiss Registry'!$B$2:$B$703,'Swiss Registry'!$N$2:$N$703) </f>
        <v>688796987193163984</v>
      </c>
      <c r="J103" s="142" t="str">
        <f t="array" ref="J103">XLOOKUP(CELL("contents",F103),'Swiss Registry'!$B$2:$B$703,'Swiss Registry'!$N$2:$N$703) </f>
        <v>1288951419465891851</v>
      </c>
    </row>
    <row r="104">
      <c r="A104" s="140">
        <v>105.0</v>
      </c>
      <c r="B104" s="125" t="str">
        <f>VLOOKUP(A104,'Swiss Registry'!$A$2:$B$703,2,False)</f>
        <v>The_Badger1230</v>
      </c>
      <c r="C104" s="105" t="str">
        <f t="shared" si="9"/>
        <v>Game 1</v>
      </c>
      <c r="D104" s="106" t="str">
        <f t="shared" si="10"/>
        <v>Game 2</v>
      </c>
      <c r="E104" s="107" t="str">
        <f t="shared" si="11"/>
        <v/>
      </c>
      <c r="F104" s="126" t="str">
        <f>VLOOKUP(G104,'Swiss Registry'!$A$2:$B$703,2,False)</f>
        <v>nekuyagokoro</v>
      </c>
      <c r="G104" s="127">
        <v>179.0</v>
      </c>
      <c r="H104" s="93" t="s">
        <v>2427</v>
      </c>
      <c r="I104" s="141" t="str">
        <f t="array" ref="I104">XLOOKUP(CELL("contents",B104),'Swiss Registry'!$B$2:$B$703,'Swiss Registry'!$N$2:$N$703) </f>
        <v>615213996345131145</v>
      </c>
      <c r="J104" s="142" t="str">
        <f t="array" ref="J104">XLOOKUP(CELL("contents",F104),'Swiss Registry'!$B$2:$B$703,'Swiss Registry'!$N$2:$N$703) </f>
        <v>138449766794133504</v>
      </c>
    </row>
    <row r="105">
      <c r="A105" s="140">
        <v>499.0</v>
      </c>
      <c r="B105" s="125" t="str">
        <f>VLOOKUP(A105,'Swiss Registry'!$A$2:$B$703,2,False)</f>
        <v>leofox___</v>
      </c>
      <c r="C105" s="105" t="str">
        <f t="shared" si="9"/>
        <v>Game 1</v>
      </c>
      <c r="D105" s="106" t="str">
        <f t="shared" si="10"/>
        <v>Game 2</v>
      </c>
      <c r="E105" s="107" t="str">
        <f t="shared" si="11"/>
        <v/>
      </c>
      <c r="F105" s="126" t="str">
        <f>VLOOKUP(G105,'Swiss Registry'!$A$2:$B$703,2,False)</f>
        <v>strawbbz</v>
      </c>
      <c r="G105" s="127">
        <v>507.0</v>
      </c>
      <c r="H105" s="93" t="s">
        <v>2428</v>
      </c>
      <c r="I105" s="141" t="str">
        <f t="array" ref="I105">XLOOKUP(CELL("contents",B105),'Swiss Registry'!$B$2:$B$703,'Swiss Registry'!$N$2:$N$703) </f>
        <v>1186654173094228048</v>
      </c>
      <c r="J105" s="142" t="str">
        <f t="array" ref="J105">XLOOKUP(CELL("contents",F105),'Swiss Registry'!$B$2:$B$703,'Swiss Registry'!$N$2:$N$703) </f>
        <v>303671100980854788</v>
      </c>
    </row>
    <row r="106">
      <c r="A106" s="140">
        <v>610.0</v>
      </c>
      <c r="B106" s="125" t="str">
        <f>VLOOKUP(A106,'Swiss Registry'!$A$2:$B$703,2,False)</f>
        <v>nichard_</v>
      </c>
      <c r="C106" s="105" t="str">
        <f t="shared" si="9"/>
        <v>Game 1</v>
      </c>
      <c r="D106" s="106" t="str">
        <f t="shared" si="10"/>
        <v>Game 2</v>
      </c>
      <c r="E106" s="107" t="str">
        <f t="shared" si="11"/>
        <v/>
      </c>
      <c r="F106" s="126" t="str">
        <f>VLOOKUP(G106,'Swiss Registry'!$A$2:$B$703,2,False)</f>
        <v>milkshook00</v>
      </c>
      <c r="G106" s="127">
        <v>662.0</v>
      </c>
      <c r="H106" s="143" t="s">
        <v>2429</v>
      </c>
      <c r="I106" s="141" t="str">
        <f t="array" ref="I106">XLOOKUP(CELL("contents",B106),'Swiss Registry'!$B$2:$B$703,'Swiss Registry'!$N$2:$N$703) </f>
        <v>737461610175528960</v>
      </c>
      <c r="J106" s="142" t="str">
        <f t="array" ref="J106">XLOOKUP(CELL("contents",F106),'Swiss Registry'!$B$2:$B$703,'Swiss Registry'!$N$2:$N$703) </f>
        <v>167697420719882241</v>
      </c>
    </row>
    <row r="107">
      <c r="A107" s="140">
        <v>337.0</v>
      </c>
      <c r="B107" s="125" t="str">
        <f>VLOOKUP(A107,'Swiss Registry'!$A$2:$B$703,2,False)</f>
        <v>iNeedJuuce</v>
      </c>
      <c r="C107" s="105" t="str">
        <f t="shared" si="9"/>
        <v>Game 1</v>
      </c>
      <c r="D107" s="106" t="str">
        <f t="shared" si="10"/>
        <v>Game 2</v>
      </c>
      <c r="E107" s="107" t="str">
        <f t="shared" si="11"/>
        <v/>
      </c>
      <c r="F107" s="126" t="str">
        <f>VLOOKUP(G107,'Swiss Registry'!$A$2:$B$703,2,False)</f>
        <v>ltg04</v>
      </c>
      <c r="G107" s="127">
        <v>571.0</v>
      </c>
      <c r="H107" s="93" t="s">
        <v>2430</v>
      </c>
      <c r="I107" s="141" t="str">
        <f t="array" ref="I107">XLOOKUP(CELL("contents",B107),'Swiss Registry'!$B$2:$B$703,'Swiss Registry'!$N$2:$N$703) </f>
        <v>618933361523687456</v>
      </c>
      <c r="J107" s="142" t="str">
        <f t="array" ref="J107">XLOOKUP(CELL("contents",F107),'Swiss Registry'!$B$2:$B$703,'Swiss Registry'!$N$2:$N$703) </f>
        <v>314526869506621440</v>
      </c>
    </row>
    <row r="108">
      <c r="A108" s="140">
        <v>595.0</v>
      </c>
      <c r="B108" s="125" t="str">
        <f>VLOOKUP(A108,'Swiss Registry'!$A$2:$B$703,2,False)</f>
        <v>emerald_harrold</v>
      </c>
      <c r="C108" s="105" t="str">
        <f t="shared" si="9"/>
        <v>Game 1</v>
      </c>
      <c r="D108" s="106" t="str">
        <f t="shared" si="10"/>
        <v>Game 2</v>
      </c>
      <c r="E108" s="110" t="str">
        <f t="shared" si="11"/>
        <v>Game 3</v>
      </c>
      <c r="F108" s="126" t="str">
        <f>VLOOKUP(G108,'Swiss Registry'!$A$2:$B$703,2,False)</f>
        <v>gudemuch</v>
      </c>
      <c r="G108" s="127">
        <v>498.0</v>
      </c>
      <c r="H108" s="93" t="s">
        <v>2431</v>
      </c>
      <c r="I108" s="141" t="str">
        <f t="array" ref="I108">XLOOKUP(CELL("contents",B108),'Swiss Registry'!$B$2:$B$703,'Swiss Registry'!$N$2:$N$703) </f>
        <v>895687390142812161</v>
      </c>
      <c r="J108" s="142" t="str">
        <f t="array" ref="J108">XLOOKUP(CELL("contents",F108),'Swiss Registry'!$B$2:$B$703,'Swiss Registry'!$N$2:$N$703) </f>
        <v>689102490154696705</v>
      </c>
    </row>
    <row r="109">
      <c r="A109" s="140">
        <v>138.0</v>
      </c>
      <c r="B109" s="125" t="str">
        <f>VLOOKUP(A109,'Swiss Registry'!$A$2:$B$703,2,False)</f>
        <v>Drekt93#0078</v>
      </c>
      <c r="C109" s="105" t="str">
        <f t="shared" si="9"/>
        <v>Game 1</v>
      </c>
      <c r="D109" s="106" t="str">
        <f t="shared" si="10"/>
        <v>Game 2</v>
      </c>
      <c r="E109" s="110" t="str">
        <f t="shared" si="11"/>
        <v>Game 3</v>
      </c>
      <c r="F109" s="126" t="str">
        <f>VLOOKUP(G109,'Swiss Registry'!$A$2:$B$703,2,False)</f>
        <v>flareliger</v>
      </c>
      <c r="G109" s="127">
        <v>522.0</v>
      </c>
      <c r="H109" s="93" t="s">
        <v>2432</v>
      </c>
      <c r="I109" s="141" t="str">
        <f t="array" ref="I109">XLOOKUP(CELL("contents",B109),'Swiss Registry'!$B$2:$B$703,'Swiss Registry'!$N$2:$N$703) </f>
        <v>140406234460323840</v>
      </c>
      <c r="J109" s="142" t="str">
        <f t="array" ref="J109">XLOOKUP(CELL("contents",F109),'Swiss Registry'!$B$2:$B$703,'Swiss Registry'!$N$2:$N$703) </f>
        <v>605517695961661523</v>
      </c>
    </row>
    <row r="110">
      <c r="A110" s="140">
        <v>680.0</v>
      </c>
      <c r="B110" s="125" t="str">
        <f>VLOOKUP(A110,'Swiss Registry'!$A$2:$B$703,2,False)</f>
        <v>jthompson9021</v>
      </c>
      <c r="C110" s="105" t="str">
        <f t="shared" si="9"/>
        <v>Game 1</v>
      </c>
      <c r="D110" s="106" t="str">
        <f t="shared" si="10"/>
        <v>Game 2</v>
      </c>
      <c r="E110" s="107" t="str">
        <f t="shared" si="11"/>
        <v/>
      </c>
      <c r="F110" s="126" t="str">
        <f>VLOOKUP(G110,'Swiss Registry'!$A$2:$B$703,2,False)</f>
        <v>_deacon</v>
      </c>
      <c r="G110" s="127">
        <v>536.0</v>
      </c>
      <c r="H110" s="93" t="s">
        <v>2433</v>
      </c>
      <c r="I110" s="141" t="str">
        <f t="array" ref="I110">XLOOKUP(CELL("contents",B110),'Swiss Registry'!$B$2:$B$703,'Swiss Registry'!$N$2:$N$703) </f>
        <v>198634963766214656</v>
      </c>
      <c r="J110" s="142" t="str">
        <f t="array" ref="J110">XLOOKUP(CELL("contents",F110),'Swiss Registry'!$B$2:$B$703,'Swiss Registry'!$N$2:$N$703) </f>
        <v>193748470564126720</v>
      </c>
    </row>
    <row r="111">
      <c r="A111" s="140">
        <v>448.0</v>
      </c>
      <c r="B111" s="125" t="str">
        <f>VLOOKUP(A111,'Swiss Registry'!$A$2:$B$703,2,False)</f>
        <v>egocheck</v>
      </c>
      <c r="C111" s="105" t="str">
        <f t="shared" si="9"/>
        <v>Game 1</v>
      </c>
      <c r="D111" s="106" t="str">
        <f t="shared" si="10"/>
        <v>Game 2</v>
      </c>
      <c r="E111" s="107" t="str">
        <f t="shared" si="11"/>
        <v/>
      </c>
      <c r="F111" s="126" t="str">
        <f>VLOOKUP(G111,'Swiss Registry'!$A$2:$B$703,2,False)</f>
        <v>diamonddiancie</v>
      </c>
      <c r="G111" s="127">
        <v>313.0</v>
      </c>
      <c r="H111" s="93" t="s">
        <v>2434</v>
      </c>
      <c r="I111" s="141" t="str">
        <f t="array" ref="I111">XLOOKUP(CELL("contents",B111),'Swiss Registry'!$B$2:$B$703,'Swiss Registry'!$N$2:$N$703) </f>
        <v>352554361001345026</v>
      </c>
      <c r="J111" s="142" t="str">
        <f t="array" ref="J111">XLOOKUP(CELL("contents",F111),'Swiss Registry'!$B$2:$B$703,'Swiss Registry'!$N$2:$N$703) </f>
        <v>501497739226644522</v>
      </c>
    </row>
    <row r="112">
      <c r="A112" s="140">
        <v>142.0</v>
      </c>
      <c r="B112" s="125" t="str">
        <f>VLOOKUP(A112,'Swiss Registry'!$A$2:$B$703,2,False)</f>
        <v>btalb</v>
      </c>
      <c r="C112" s="105" t="str">
        <f t="shared" si="9"/>
        <v>Game 1</v>
      </c>
      <c r="D112" s="106" t="str">
        <f t="shared" si="10"/>
        <v>Game 2</v>
      </c>
      <c r="E112" s="107" t="str">
        <f t="shared" si="11"/>
        <v/>
      </c>
      <c r="F112" s="126" t="str">
        <f>VLOOKUP(G112,'Swiss Registry'!$A$2:$B$703,2,False)</f>
        <v>tonii5531</v>
      </c>
      <c r="G112" s="127">
        <v>163.0</v>
      </c>
      <c r="H112" s="93" t="s">
        <v>2435</v>
      </c>
      <c r="I112" s="141" t="str">
        <f t="array" ref="I112">XLOOKUP(CELL("contents",B112),'Swiss Registry'!$B$2:$B$703,'Swiss Registry'!$N$2:$N$703) </f>
        <v>210558965510045696</v>
      </c>
      <c r="J112" s="142" t="str">
        <f t="array" ref="J112">XLOOKUP(CELL("contents",F112),'Swiss Registry'!$B$2:$B$703,'Swiss Registry'!$N$2:$N$703) </f>
        <v>472908398451752991</v>
      </c>
    </row>
    <row r="113">
      <c r="A113" s="140">
        <v>599.0</v>
      </c>
      <c r="B113" s="125" t="str">
        <f>VLOOKUP(A113,'Swiss Registry'!$A$2:$B$703,2,False)</f>
        <v>Klird</v>
      </c>
      <c r="C113" s="105" t="str">
        <f t="shared" si="9"/>
        <v>Game 1</v>
      </c>
      <c r="D113" s="106" t="str">
        <f t="shared" si="10"/>
        <v>Game 2</v>
      </c>
      <c r="E113" s="107" t="str">
        <f t="shared" si="11"/>
        <v/>
      </c>
      <c r="F113" s="126" t="str">
        <f>VLOOKUP(G113,'Swiss Registry'!$A$2:$B$703,2,False)</f>
        <v>poots6476</v>
      </c>
      <c r="G113" s="127">
        <v>360.0</v>
      </c>
      <c r="H113" s="93" t="s">
        <v>2436</v>
      </c>
      <c r="I113" s="141" t="str">
        <f t="array" ref="I113">XLOOKUP(CELL("contents",B113),'Swiss Registry'!$B$2:$B$703,'Swiss Registry'!$N$2:$N$703) </f>
        <v>393218478187741186</v>
      </c>
      <c r="J113" s="142" t="str">
        <f t="array" ref="J113">XLOOKUP(CELL("contents",F113),'Swiss Registry'!$B$2:$B$703,'Swiss Registry'!$N$2:$N$703) </f>
        <v>177568483909959680</v>
      </c>
    </row>
    <row r="114">
      <c r="A114" s="140">
        <v>284.0</v>
      </c>
      <c r="B114" s="125" t="str">
        <f>VLOOKUP(A114,'Swiss Registry'!$A$2:$B$703,2,False)</f>
        <v>jd_orph</v>
      </c>
      <c r="C114" s="105" t="str">
        <f t="shared" si="9"/>
        <v>Game 1</v>
      </c>
      <c r="D114" s="106" t="str">
        <f t="shared" si="10"/>
        <v>Game 2</v>
      </c>
      <c r="E114" s="110" t="str">
        <f t="shared" si="11"/>
        <v>Game 3</v>
      </c>
      <c r="F114" s="126" t="str">
        <f>VLOOKUP(G114,'Swiss Registry'!$A$2:$B$703,2,False)</f>
        <v>sanbaibeepo</v>
      </c>
      <c r="G114" s="127">
        <v>289.0</v>
      </c>
      <c r="H114" s="93" t="s">
        <v>2437</v>
      </c>
      <c r="I114" s="141" t="str">
        <f t="array" ref="I114">XLOOKUP(CELL("contents",B114),'Swiss Registry'!$B$2:$B$703,'Swiss Registry'!$N$2:$N$703) </f>
        <v>486001893655445534</v>
      </c>
      <c r="J114" s="142" t="str">
        <f t="array" ref="J114">XLOOKUP(CELL("contents",F114),'Swiss Registry'!$B$2:$B$703,'Swiss Registry'!$N$2:$N$703) </f>
        <v>139195151946874881</v>
      </c>
    </row>
    <row r="115">
      <c r="A115" s="140">
        <v>430.0</v>
      </c>
      <c r="B115" s="125" t="str">
        <f>VLOOKUP(A115,'Swiss Registry'!$A$2:$B$703,2,False)</f>
        <v>woeishuen</v>
      </c>
      <c r="C115" s="105" t="str">
        <f t="shared" si="9"/>
        <v>Game 1</v>
      </c>
      <c r="D115" s="106" t="str">
        <f t="shared" si="10"/>
        <v>Game 2</v>
      </c>
      <c r="E115" s="107" t="str">
        <f t="shared" si="11"/>
        <v/>
      </c>
      <c r="F115" s="126" t="str">
        <f>VLOOKUP(G115,'Swiss Registry'!$A$2:$B$703,2,False)</f>
        <v>Raven_queen</v>
      </c>
      <c r="G115" s="127">
        <v>495.0</v>
      </c>
      <c r="H115" s="93" t="s">
        <v>2438</v>
      </c>
      <c r="I115" s="141" t="str">
        <f t="array" ref="I115">XLOOKUP(CELL("contents",B115),'Swiss Registry'!$B$2:$B$703,'Swiss Registry'!$N$2:$N$703) </f>
        <v>311487498486415360</v>
      </c>
      <c r="J115" s="142" t="str">
        <f t="array" ref="J115">XLOOKUP(CELL("contents",F115),'Swiss Registry'!$B$2:$B$703,'Swiss Registry'!$N$2:$N$703) </f>
        <v>698505458129829940</v>
      </c>
    </row>
    <row r="116">
      <c r="A116" s="140">
        <v>329.0</v>
      </c>
      <c r="B116" s="125" t="str">
        <f>VLOOKUP(A116,'Swiss Registry'!$A$2:$B$703,2,False)</f>
        <v>f1remaster (Hikari)</v>
      </c>
      <c r="C116" s="105" t="str">
        <f t="shared" si="9"/>
        <v>Game 1</v>
      </c>
      <c r="D116" s="106" t="str">
        <f t="shared" si="10"/>
        <v>Game 2</v>
      </c>
      <c r="E116" s="107" t="str">
        <f t="shared" si="11"/>
        <v/>
      </c>
      <c r="F116" s="126" t="str">
        <f>VLOOKUP(G116,'Swiss Registry'!$A$2:$B$703,2,False)</f>
        <v>Kydreith33</v>
      </c>
      <c r="G116" s="127">
        <v>283.0</v>
      </c>
      <c r="H116" s="93" t="s">
        <v>2439</v>
      </c>
      <c r="I116" s="141" t="str">
        <f t="array" ref="I116">XLOOKUP(CELL("contents",B116),'Swiss Registry'!$B$2:$B$703,'Swiss Registry'!$N$2:$N$703) </f>
        <v>295050390435659787</v>
      </c>
      <c r="J116" s="142" t="str">
        <f t="array" ref="J116">XLOOKUP(CELL("contents",F116),'Swiss Registry'!$B$2:$B$703,'Swiss Registry'!$N$2:$N$703) </f>
        <v>420018683759296513</v>
      </c>
    </row>
    <row r="117">
      <c r="A117" s="140">
        <v>405.0</v>
      </c>
      <c r="B117" s="125" t="str">
        <f>VLOOKUP(A117,'Swiss Registry'!$A$2:$B$703,2,False)</f>
        <v>doh#5604</v>
      </c>
      <c r="C117" s="105" t="str">
        <f t="shared" si="9"/>
        <v>Game 1</v>
      </c>
      <c r="D117" s="106" t="str">
        <f t="shared" si="10"/>
        <v>Game 2</v>
      </c>
      <c r="E117" s="110" t="str">
        <f t="shared" si="11"/>
        <v>Game 3</v>
      </c>
      <c r="F117" s="126" t="str">
        <f>VLOOKUP(G117,'Swiss Registry'!$A$2:$B$703,2,False)</f>
        <v>TRXXJEH</v>
      </c>
      <c r="G117" s="127">
        <v>447.0</v>
      </c>
      <c r="H117" s="93" t="s">
        <v>2440</v>
      </c>
      <c r="I117" s="141" t="str">
        <f t="array" ref="I117">XLOOKUP(CELL("contents",B117),'Swiss Registry'!$B$2:$B$703,'Swiss Registry'!$N$2:$N$703) </f>
        <v>612030143174803466</v>
      </c>
      <c r="J117" s="142" t="str">
        <f t="array" ref="J117">XLOOKUP(CELL("contents",F117),'Swiss Registry'!$B$2:$B$703,'Swiss Registry'!$N$2:$N$703) </f>
        <v>911230685602275379</v>
      </c>
    </row>
    <row r="118">
      <c r="A118" s="140">
        <v>533.0</v>
      </c>
      <c r="B118" s="125" t="str">
        <f>VLOOKUP(A118,'Swiss Registry'!$A$2:$B$703,2,False)</f>
        <v>deftbrixton</v>
      </c>
      <c r="C118" s="105" t="str">
        <f t="shared" si="9"/>
        <v>Game 1</v>
      </c>
      <c r="D118" s="106" t="str">
        <f t="shared" si="10"/>
        <v>Game 2</v>
      </c>
      <c r="E118" s="110" t="str">
        <f t="shared" si="11"/>
        <v>Game 3</v>
      </c>
      <c r="F118" s="126" t="str">
        <f>VLOOKUP(G118,'Swiss Registry'!$A$2:$B$703,2,False)</f>
        <v>ChocoboJoe</v>
      </c>
      <c r="G118" s="127">
        <v>566.0</v>
      </c>
      <c r="H118" s="93" t="s">
        <v>2441</v>
      </c>
      <c r="I118" s="141" t="str">
        <f t="array" ref="I118">XLOOKUP(CELL("contents",B118),'Swiss Registry'!$B$2:$B$703,'Swiss Registry'!$N$2:$N$703) </f>
        <v>685522474179231877</v>
      </c>
      <c r="J118" s="142" t="str">
        <f t="array" ref="J118">XLOOKUP(CELL("contents",F118),'Swiss Registry'!$B$2:$B$703,'Swiss Registry'!$N$2:$N$703) </f>
        <v>301575831858446356</v>
      </c>
    </row>
    <row r="119">
      <c r="A119" s="140">
        <v>475.0</v>
      </c>
      <c r="B119" s="125" t="str">
        <f>VLOOKUP(A119,'Swiss Registry'!$A$2:$B$703,2,False)</f>
        <v>busyboi</v>
      </c>
      <c r="C119" s="105" t="str">
        <f t="shared" si="9"/>
        <v>Game 1</v>
      </c>
      <c r="D119" s="106" t="str">
        <f t="shared" si="10"/>
        <v>Game 2</v>
      </c>
      <c r="E119" s="107" t="str">
        <f t="shared" si="11"/>
        <v/>
      </c>
      <c r="F119" s="126" t="str">
        <f>VLOOKUP(G119,'Swiss Registry'!$A$2:$B$703,2,False)</f>
        <v>tub69</v>
      </c>
      <c r="G119" s="127">
        <v>540.0</v>
      </c>
      <c r="H119" s="93" t="s">
        <v>2442</v>
      </c>
      <c r="I119" s="141" t="str">
        <f t="array" ref="I119">XLOOKUP(CELL("contents",B119),'Swiss Registry'!$B$2:$B$703,'Swiss Registry'!$N$2:$N$703) </f>
        <v>170563297433747457</v>
      </c>
      <c r="J119" s="142" t="str">
        <f t="array" ref="J119">XLOOKUP(CELL("contents",F119),'Swiss Registry'!$B$2:$B$703,'Swiss Registry'!$N$2:$N$703) </f>
        <v>283982333520904192</v>
      </c>
    </row>
    <row r="120">
      <c r="A120" s="140">
        <v>377.0</v>
      </c>
      <c r="B120" s="125" t="str">
        <f>VLOOKUP(A120,'Swiss Registry'!$A$2:$B$703,2,False)</f>
        <v>chtx</v>
      </c>
      <c r="C120" s="105" t="str">
        <f t="shared" si="9"/>
        <v>Game 1</v>
      </c>
      <c r="D120" s="106" t="str">
        <f t="shared" si="10"/>
        <v>Game 2</v>
      </c>
      <c r="E120" s="110" t="str">
        <f t="shared" si="11"/>
        <v>Game 3</v>
      </c>
      <c r="F120" s="126" t="str">
        <f>VLOOKUP(G120,'Swiss Registry'!$A$2:$B$703,2,False)</f>
        <v>nadiddhrabb</v>
      </c>
      <c r="G120" s="127">
        <v>336.0</v>
      </c>
      <c r="H120" s="93" t="s">
        <v>2443</v>
      </c>
      <c r="I120" s="141" t="str">
        <f t="array" ref="I120">XLOOKUP(CELL("contents",B120),'Swiss Registry'!$B$2:$B$703,'Swiss Registry'!$N$2:$N$703) </f>
        <v>883745894825099354</v>
      </c>
      <c r="J120" s="142" t="str">
        <f t="array" ref="J120">XLOOKUP(CELL("contents",F120),'Swiss Registry'!$B$2:$B$703,'Swiss Registry'!$N$2:$N$703) </f>
        <v>708579140605050922</v>
      </c>
    </row>
    <row r="121">
      <c r="A121" s="140">
        <v>469.0</v>
      </c>
      <c r="B121" s="125" t="str">
        <f>VLOOKUP(A121,'Swiss Registry'!$A$2:$B$703,2,False)</f>
        <v>DanWhoDis</v>
      </c>
      <c r="C121" s="105" t="str">
        <f t="shared" si="9"/>
        <v>Game 1</v>
      </c>
      <c r="D121" s="106" t="str">
        <f t="shared" si="10"/>
        <v>Game 2</v>
      </c>
      <c r="E121" s="110" t="str">
        <f t="shared" si="11"/>
        <v>Game 3</v>
      </c>
      <c r="F121" s="126" t="str">
        <f>VLOOKUP(G121,'Swiss Registry'!$A$2:$B$703,2,False)</f>
        <v>.aj2.0</v>
      </c>
      <c r="G121" s="127">
        <v>451.0</v>
      </c>
      <c r="H121" s="93" t="s">
        <v>2444</v>
      </c>
      <c r="I121" s="141" t="str">
        <f t="array" ref="I121">XLOOKUP(CELL("contents",B121),'Swiss Registry'!$B$2:$B$703,'Swiss Registry'!$N$2:$N$703) </f>
        <v>226027083472699395</v>
      </c>
      <c r="J121" s="142" t="str">
        <f t="array" ref="J121">XLOOKUP(CELL("contents",F121),'Swiss Registry'!$B$2:$B$703,'Swiss Registry'!$N$2:$N$703) </f>
        <v>736549979220607107</v>
      </c>
    </row>
    <row r="122">
      <c r="A122" s="140">
        <v>133.0</v>
      </c>
      <c r="B122" s="125" t="str">
        <f>VLOOKUP(A122,'Swiss Registry'!$A$2:$B$703,2,False)</f>
        <v>Himura</v>
      </c>
      <c r="C122" s="105" t="str">
        <f t="shared" si="9"/>
        <v>Game 1</v>
      </c>
      <c r="D122" s="106" t="str">
        <f>IF(H122="dead","Dead Game",IF(H122="a:act","Act: "&amp;F122,IF(H122="b:act","Act: "&amp;#REF!,IF(ISURL(HYPERLINK(INDIRECT("Importer!B"&amp;MID(H122,6,4)+1,TRUE))),HYPERLINK(INDIRECT("Importer!B"&amp;MID(H122,6,4)+1,TRUE), "Game 2"),""))))</f>
        <v>Game 2</v>
      </c>
      <c r="E122" s="107" t="str">
        <f t="shared" si="11"/>
        <v/>
      </c>
      <c r="F122" s="126" t="str">
        <f>VLOOKUP(G122,'Swiss Registry'!$A$2:$B$703,2,False)</f>
        <v>cisconduct</v>
      </c>
      <c r="G122" s="127">
        <v>492.0</v>
      </c>
      <c r="H122" s="93" t="s">
        <v>2445</v>
      </c>
      <c r="I122" s="141" t="str">
        <f t="array" ref="I122">XLOOKUP(CELL("contents",B122),'Swiss Registry'!$B$2:$B$703,'Swiss Registry'!$N$2:$N$703) </f>
        <v>437955382024077312</v>
      </c>
      <c r="J122" s="142" t="str">
        <f t="array" ref="J122">XLOOKUP(CELL("contents",F122),'Swiss Registry'!$B$2:$B$703,'Swiss Registry'!$N$2:$N$703) </f>
        <v>703804773228609587</v>
      </c>
    </row>
    <row r="123">
      <c r="A123" s="140">
        <v>669.0</v>
      </c>
      <c r="B123" s="125" t="str">
        <f>VLOOKUP(A123,'Swiss Registry'!$A$2:$B$703,2,False)</f>
        <v>Salamaster</v>
      </c>
      <c r="C123" s="105" t="str">
        <f t="shared" si="9"/>
        <v>Game 1</v>
      </c>
      <c r="D123" s="106" t="str">
        <f t="shared" ref="D123:D136" si="12">IF(H123="dead","Dead Game",IF(H123="a:act","Act: "&amp;B123,IF(H123="b:act","Act: "&amp;F123,IF(ISURL(HYPERLINK(INDIRECT("Importer!B"&amp;MID(H123,6,4)+1,TRUE))),HYPERLINK(INDIRECT("Importer!B"&amp;MID(H123,6,4)+1,TRUE), "Game 2"),""))))</f>
        <v>Game 2</v>
      </c>
      <c r="E123" s="110" t="str">
        <f t="shared" si="11"/>
        <v>Game 3</v>
      </c>
      <c r="F123" s="126" t="str">
        <f>VLOOKUP(G123,'Swiss Registry'!$A$2:$B$703,2,False)</f>
        <v>diegoin10</v>
      </c>
      <c r="G123" s="127">
        <v>345.0</v>
      </c>
      <c r="H123" s="93" t="s">
        <v>2446</v>
      </c>
      <c r="I123" s="141" t="str">
        <f t="array" ref="I123">XLOOKUP(CELL("contents",B123),'Swiss Registry'!$B$2:$B$703,'Swiss Registry'!$N$2:$N$703) </f>
        <v>188476137071050752</v>
      </c>
      <c r="J123" s="142" t="str">
        <f t="array" ref="J123">XLOOKUP(CELL("contents",F123),'Swiss Registry'!$B$2:$B$703,'Swiss Registry'!$N$2:$N$703) </f>
        <v>808756098936733747</v>
      </c>
    </row>
    <row r="124">
      <c r="A124" s="140">
        <v>636.0</v>
      </c>
      <c r="B124" s="125" t="str">
        <f>VLOOKUP(A124,'Swiss Registry'!$A$2:$B$703,2,False)</f>
        <v>Eggman</v>
      </c>
      <c r="C124" s="111" t="str">
        <f t="shared" si="9"/>
        <v/>
      </c>
      <c r="D124" s="112" t="str">
        <f t="shared" si="12"/>
        <v>Act: S.k.magnet</v>
      </c>
      <c r="E124" s="107" t="str">
        <f t="shared" si="11"/>
        <v/>
      </c>
      <c r="F124" s="126" t="str">
        <f>VLOOKUP(G124,'Swiss Registry'!$A$2:$B$703,2,False)</f>
        <v>S.k.magnet</v>
      </c>
      <c r="G124" s="127">
        <v>576.0</v>
      </c>
      <c r="H124" s="93" t="s">
        <v>1523</v>
      </c>
      <c r="I124" s="141" t="str">
        <f t="array" ref="I124">XLOOKUP(CELL("contents",B124),'Swiss Registry'!$B$2:$B$703,'Swiss Registry'!$N$2:$N$703) </f>
        <v>516714630890913803</v>
      </c>
      <c r="J124" s="142" t="str">
        <f t="array" ref="J124">XLOOKUP(CELL("contents",F124),'Swiss Registry'!$B$2:$B$703,'Swiss Registry'!$N$2:$N$703) </f>
        <v>1147160651219869766</v>
      </c>
    </row>
    <row r="125">
      <c r="A125" s="140">
        <v>166.0</v>
      </c>
      <c r="B125" s="125" t="str">
        <f>VLOOKUP(A125,'Swiss Registry'!$A$2:$B$703,2,False)</f>
        <v>zettsbro</v>
      </c>
      <c r="C125" s="105" t="str">
        <f t="shared" si="9"/>
        <v>Game 1</v>
      </c>
      <c r="D125" s="106" t="str">
        <f t="shared" si="12"/>
        <v>Game 2</v>
      </c>
      <c r="E125" s="110" t="str">
        <f t="shared" si="11"/>
        <v>Game 3</v>
      </c>
      <c r="F125" s="126" t="str">
        <f>VLOOKUP(G125,'Swiss Registry'!$A$2:$B$703,2,False)</f>
        <v>etibamecus.</v>
      </c>
      <c r="G125" s="127">
        <v>534.0</v>
      </c>
      <c r="H125" s="93" t="s">
        <v>2447</v>
      </c>
      <c r="I125" s="141" t="str">
        <f t="array" ref="I125">XLOOKUP(CELL("contents",B125),'Swiss Registry'!$B$2:$B$703,'Swiss Registry'!$N$2:$N$703) </f>
        <v>453604164077879296</v>
      </c>
      <c r="J125" s="142" t="str">
        <f t="array" ref="J125">XLOOKUP(CELL("contents",F125),'Swiss Registry'!$B$2:$B$703,'Swiss Registry'!$N$2:$N$703) </f>
        <v>375394551445323787</v>
      </c>
    </row>
    <row r="126">
      <c r="A126" s="140">
        <v>154.0</v>
      </c>
      <c r="B126" s="125" t="str">
        <f>VLOOKUP(A126,'Swiss Registry'!$A$2:$B$703,2,False)</f>
        <v>Mamakoko</v>
      </c>
      <c r="C126" s="105" t="str">
        <f t="shared" si="9"/>
        <v>Game 1</v>
      </c>
      <c r="D126" s="106" t="str">
        <f t="shared" si="12"/>
        <v>Game 2</v>
      </c>
      <c r="E126" s="107" t="str">
        <f t="shared" si="11"/>
        <v/>
      </c>
      <c r="F126" s="126" t="str">
        <f>VLOOKUP(G126,'Swiss Registry'!$A$2:$B$703,2,False)</f>
        <v>wwwmonmon</v>
      </c>
      <c r="G126" s="127">
        <v>466.0</v>
      </c>
      <c r="H126" s="93" t="s">
        <v>2448</v>
      </c>
      <c r="I126" s="141" t="str">
        <f t="array" ref="I126">XLOOKUP(CELL("contents",B126),'Swiss Registry'!$B$2:$B$703,'Swiss Registry'!$N$2:$N$703) </f>
        <v>652184640559382538</v>
      </c>
      <c r="J126" s="142" t="str">
        <f t="array" ref="J126">XLOOKUP(CELL("contents",F126),'Swiss Registry'!$B$2:$B$703,'Swiss Registry'!$N$2:$N$703) </f>
        <v>579395206680412172</v>
      </c>
    </row>
    <row r="127">
      <c r="A127" s="140">
        <v>320.0</v>
      </c>
      <c r="B127" s="125" t="str">
        <f>VLOOKUP(A127,'Swiss Registry'!$A$2:$B$703,2,False)</f>
        <v>jerdgerd</v>
      </c>
      <c r="C127" s="105" t="str">
        <f t="shared" si="9"/>
        <v>Game 1</v>
      </c>
      <c r="D127" s="106" t="str">
        <f t="shared" si="12"/>
        <v>Game 2</v>
      </c>
      <c r="E127" s="107" t="str">
        <f t="shared" si="11"/>
        <v/>
      </c>
      <c r="F127" s="126" t="str">
        <f>VLOOKUP(G127,'Swiss Registry'!$A$2:$B$703,2,False)</f>
        <v>kylemckell</v>
      </c>
      <c r="G127" s="127">
        <v>167.0</v>
      </c>
      <c r="H127" s="93" t="s">
        <v>2449</v>
      </c>
      <c r="I127" s="141" t="str">
        <f t="array" ref="I127">XLOOKUP(CELL("contents",B127),'Swiss Registry'!$B$2:$B$703,'Swiss Registry'!$N$2:$N$703) </f>
        <v>253276541948002304</v>
      </c>
      <c r="J127" s="142" t="str">
        <f t="array" ref="J127">XLOOKUP(CELL("contents",F127),'Swiss Registry'!$B$2:$B$703,'Swiss Registry'!$N$2:$N$703) </f>
        <v>147505520025141248</v>
      </c>
    </row>
    <row r="128">
      <c r="A128" s="140">
        <v>292.0</v>
      </c>
      <c r="B128" s="125" t="str">
        <f>VLOOKUP(A128,'Swiss Registry'!$A$2:$B$703,2,False)</f>
        <v>clinkbug</v>
      </c>
      <c r="C128" s="105" t="str">
        <f t="shared" si="9"/>
        <v>Game 1</v>
      </c>
      <c r="D128" s="106" t="str">
        <f t="shared" si="12"/>
        <v>Game 2</v>
      </c>
      <c r="E128" s="107" t="str">
        <f t="shared" si="11"/>
        <v/>
      </c>
      <c r="F128" s="126" t="str">
        <f>VLOOKUP(G128,'Swiss Registry'!$A$2:$B$703,2,False)</f>
        <v>wiilink100</v>
      </c>
      <c r="G128" s="127">
        <v>240.0</v>
      </c>
      <c r="H128" s="93" t="s">
        <v>2450</v>
      </c>
      <c r="I128" s="141" t="str">
        <f t="array" ref="I128">XLOOKUP(CELL("contents",B128),'Swiss Registry'!$B$2:$B$703,'Swiss Registry'!$N$2:$N$703) </f>
        <v>803823426427027496</v>
      </c>
      <c r="J128" s="142" t="str">
        <f t="array" ref="J128">XLOOKUP(CELL("contents",F128),'Swiss Registry'!$B$2:$B$703,'Swiss Registry'!$N$2:$N$703) </f>
        <v>160990967980097536</v>
      </c>
    </row>
    <row r="129">
      <c r="A129" s="140">
        <v>334.0</v>
      </c>
      <c r="B129" s="125" t="str">
        <f>VLOOKUP(A129,'Swiss Registry'!$A$2:$B$703,2,False)</f>
        <v>Tiberiusfieri</v>
      </c>
      <c r="C129" s="105" t="str">
        <f t="shared" si="9"/>
        <v>Game 1</v>
      </c>
      <c r="D129" s="106" t="str">
        <f t="shared" si="12"/>
        <v>Game 2</v>
      </c>
      <c r="E129" s="107" t="str">
        <f t="shared" si="11"/>
        <v/>
      </c>
      <c r="F129" s="126" t="str">
        <f>VLOOKUP(G129,'Swiss Registry'!$A$2:$B$703,2,False)</f>
        <v>triiplemonstre</v>
      </c>
      <c r="G129" s="127">
        <v>168.0</v>
      </c>
      <c r="H129" s="93" t="s">
        <v>2451</v>
      </c>
      <c r="I129" s="141" t="str">
        <f t="array" ref="I129">XLOOKUP(CELL("contents",B129),'Swiss Registry'!$B$2:$B$703,'Swiss Registry'!$N$2:$N$703) </f>
        <v>820892117370011668</v>
      </c>
      <c r="J129" s="142" t="str">
        <f t="array" ref="J129">XLOOKUP(CELL("contents",F129),'Swiss Registry'!$B$2:$B$703,'Swiss Registry'!$N$2:$N$703) </f>
        <v>495893557526134784</v>
      </c>
    </row>
    <row r="130">
      <c r="A130" s="140">
        <v>640.0</v>
      </c>
      <c r="B130" s="125" t="str">
        <f>VLOOKUP(A130,'Swiss Registry'!$A$2:$B$703,2,False)</f>
        <v>@spreek</v>
      </c>
      <c r="C130" s="105" t="str">
        <f t="shared" si="9"/>
        <v>Game 1</v>
      </c>
      <c r="D130" s="106" t="str">
        <f t="shared" si="12"/>
        <v>Game 2</v>
      </c>
      <c r="E130" s="110" t="str">
        <f t="shared" si="11"/>
        <v>Game 3</v>
      </c>
      <c r="F130" s="126" t="str">
        <f>VLOOKUP(G130,'Swiss Registry'!$A$2:$B$703,2,False)</f>
        <v>jankcity</v>
      </c>
      <c r="G130" s="127">
        <v>698.0</v>
      </c>
      <c r="H130" s="93" t="s">
        <v>2452</v>
      </c>
      <c r="I130" s="141" t="str">
        <f t="array" ref="I130">XLOOKUP(CELL("contents",B130),'Swiss Registry'!$B$2:$B$703,'Swiss Registry'!$N$2:$N$703) </f>
        <v>136272881666621440</v>
      </c>
      <c r="J130" s="142" t="str">
        <f t="array" ref="J130">XLOOKUP(CELL("contents",F130),'Swiss Registry'!$B$2:$B$703,'Swiss Registry'!$N$2:$N$703) </f>
        <v>532236765914988557</v>
      </c>
    </row>
    <row r="131">
      <c r="A131" s="140">
        <v>169.0</v>
      </c>
      <c r="B131" s="125" t="str">
        <f>VLOOKUP(A131,'Swiss Registry'!$A$2:$B$703,2,False)</f>
        <v>kvistsivk</v>
      </c>
      <c r="C131" s="105" t="str">
        <f t="shared" si="9"/>
        <v>Game 1</v>
      </c>
      <c r="D131" s="106" t="str">
        <f t="shared" si="12"/>
        <v>Game 2</v>
      </c>
      <c r="E131" s="110" t="str">
        <f t="shared" si="11"/>
        <v>Game 3</v>
      </c>
      <c r="F131" s="126" t="str">
        <f>VLOOKUP(G131,'Swiss Registry'!$A$2:$B$703,2,False)</f>
        <v>yallen</v>
      </c>
      <c r="G131" s="127">
        <v>531.0</v>
      </c>
      <c r="H131" s="93" t="s">
        <v>2453</v>
      </c>
      <c r="I131" s="141" t="str">
        <f t="array" ref="I131">XLOOKUP(CELL("contents",B131),'Swiss Registry'!$B$2:$B$703,'Swiss Registry'!$N$2:$N$703) </f>
        <v>1168036455071875245</v>
      </c>
      <c r="J131" s="142" t="str">
        <f t="array" ref="J131">XLOOKUP(CELL("contents",F131),'Swiss Registry'!$B$2:$B$703,'Swiss Registry'!$N$2:$N$703) </f>
        <v>444702392383176724</v>
      </c>
    </row>
    <row r="132">
      <c r="A132" s="140">
        <v>521.0</v>
      </c>
      <c r="B132" s="125" t="str">
        <f>VLOOKUP(A132,'Swiss Registry'!$A$2:$B$703,2,False)</f>
        <v>Grain_Jar</v>
      </c>
      <c r="C132" s="105" t="str">
        <f t="shared" si="9"/>
        <v>Game 1</v>
      </c>
      <c r="D132" s="106" t="str">
        <f t="shared" si="12"/>
        <v>Game 2</v>
      </c>
      <c r="E132" s="107" t="str">
        <f t="shared" si="11"/>
        <v/>
      </c>
      <c r="F132" s="126" t="str">
        <f>VLOOKUP(G132,'Swiss Registry'!$A$2:$B$703,2,False)</f>
        <v>justbestlevels</v>
      </c>
      <c r="G132" s="127">
        <v>687.0</v>
      </c>
      <c r="H132" s="93" t="s">
        <v>2454</v>
      </c>
      <c r="I132" s="141" t="str">
        <f t="array" ref="I132">XLOOKUP(CELL("contents",B132),'Swiss Registry'!$B$2:$B$703,'Swiss Registry'!$N$2:$N$703) </f>
        <v>348920220192210955</v>
      </c>
      <c r="J132" s="142" t="str">
        <f t="array" ref="J132">XLOOKUP(CELL("contents",F132),'Swiss Registry'!$B$2:$B$703,'Swiss Registry'!$N$2:$N$703) </f>
        <v>1266216530601971775</v>
      </c>
    </row>
    <row r="133">
      <c r="A133" s="140">
        <v>247.0</v>
      </c>
      <c r="B133" s="125" t="str">
        <f>VLOOKUP(A133,'Swiss Registry'!$A$2:$B$703,2,False)</f>
        <v>gogozeppeli1890 (rconquer)</v>
      </c>
      <c r="C133" s="105" t="str">
        <f t="shared" si="9"/>
        <v>Game 1</v>
      </c>
      <c r="D133" s="106" t="str">
        <f t="shared" si="12"/>
        <v>Game 2</v>
      </c>
      <c r="E133" s="110" t="str">
        <f t="shared" si="11"/>
        <v>Game 3</v>
      </c>
      <c r="F133" s="126" t="str">
        <f>VLOOKUP(G133,'Swiss Registry'!$A$2:$B$703,2,False)</f>
        <v>1captainmorgan</v>
      </c>
      <c r="G133" s="127">
        <v>445.0</v>
      </c>
      <c r="H133" s="93" t="s">
        <v>2455</v>
      </c>
      <c r="I133" s="141" t="str">
        <f t="array" ref="I133">XLOOKUP(CELL("contents",B133),'Swiss Registry'!$B$2:$B$703,'Swiss Registry'!$N$2:$N$703) </f>
        <v>195721708504743936</v>
      </c>
      <c r="J133" s="142" t="str">
        <f t="array" ref="J133">XLOOKUP(CELL("contents",F133),'Swiss Registry'!$B$2:$B$703,'Swiss Registry'!$N$2:$N$703) </f>
        <v>214065054411259905</v>
      </c>
    </row>
    <row r="134">
      <c r="A134" s="140">
        <v>271.0</v>
      </c>
      <c r="B134" s="125" t="str">
        <f>VLOOKUP(A134,'Swiss Registry'!$A$2:$B$703,2,False)</f>
        <v>billgatesalt_53189</v>
      </c>
      <c r="C134" s="105" t="str">
        <f t="shared" si="9"/>
        <v>Game 1</v>
      </c>
      <c r="D134" s="106" t="str">
        <f t="shared" si="12"/>
        <v>Game 2</v>
      </c>
      <c r="E134" s="107" t="str">
        <f t="shared" si="11"/>
        <v/>
      </c>
      <c r="F134" s="126" t="str">
        <f>VLOOKUP(G134,'Swiss Registry'!$A$2:$B$703,2,False)</f>
        <v>Dwightasaurus</v>
      </c>
      <c r="G134" s="127">
        <v>352.0</v>
      </c>
      <c r="H134" s="93" t="s">
        <v>2456</v>
      </c>
      <c r="I134" s="141" t="str">
        <f t="array" ref="I134">XLOOKUP(CELL("contents",B134),'Swiss Registry'!$B$2:$B$703,'Swiss Registry'!$N$2:$N$703) </f>
        <v>1288299733126746152</v>
      </c>
      <c r="J134" s="142" t="str">
        <f t="array" ref="J134">XLOOKUP(CELL("contents",F134),'Swiss Registry'!$B$2:$B$703,'Swiss Registry'!$N$2:$N$703) </f>
        <v>393205826900197377</v>
      </c>
    </row>
    <row r="135">
      <c r="A135" s="140">
        <v>172.0</v>
      </c>
      <c r="B135" s="125" t="str">
        <f>VLOOKUP(A135,'Swiss Registry'!$A$2:$B$703,2,False)</f>
        <v>Redmoonie</v>
      </c>
      <c r="C135" s="105" t="str">
        <f t="shared" si="9"/>
        <v>Game 1</v>
      </c>
      <c r="D135" s="106" t="str">
        <f t="shared" si="12"/>
        <v>Game 2</v>
      </c>
      <c r="E135" s="110" t="str">
        <f t="shared" si="11"/>
        <v>Game 3</v>
      </c>
      <c r="F135" s="126" t="str">
        <f>VLOOKUP(G135,'Swiss Registry'!$A$2:$B$703,2,False)</f>
        <v>durmain (slamonBbq)</v>
      </c>
      <c r="G135" s="127">
        <v>245.0</v>
      </c>
      <c r="H135" s="93" t="s">
        <v>2457</v>
      </c>
      <c r="I135" s="141" t="str">
        <f t="array" ref="I135">XLOOKUP(CELL("contents",B135),'Swiss Registry'!$B$2:$B$703,'Swiss Registry'!$N$2:$N$703) </f>
        <v>903044957298909185</v>
      </c>
      <c r="J135" s="142" t="str">
        <f t="array" ref="J135">XLOOKUP(CELL("contents",F135),'Swiss Registry'!$B$2:$B$703,'Swiss Registry'!$N$2:$N$703) </f>
        <v>166049321983279104</v>
      </c>
    </row>
    <row r="136">
      <c r="A136" s="140">
        <v>210.0</v>
      </c>
      <c r="B136" s="125" t="str">
        <f>VLOOKUP(A136,'Swiss Registry'!$A$2:$B$703,2,False)</f>
        <v>TacCat</v>
      </c>
      <c r="C136" s="105" t="str">
        <f t="shared" si="9"/>
        <v>Game 1</v>
      </c>
      <c r="D136" s="106" t="str">
        <f t="shared" si="12"/>
        <v>Game 2</v>
      </c>
      <c r="E136" s="110" t="str">
        <f t="shared" si="11"/>
        <v>Game 3</v>
      </c>
      <c r="F136" s="126" t="str">
        <f>VLOOKUP(G136,'Swiss Registry'!$A$2:$B$703,2,False)</f>
        <v>CheesiMoon</v>
      </c>
      <c r="G136" s="127">
        <v>124.0</v>
      </c>
      <c r="H136" s="93" t="s">
        <v>2458</v>
      </c>
      <c r="I136" s="141" t="str">
        <f t="array" ref="I136">XLOOKUP(CELL("contents",B136),'Swiss Registry'!$B$2:$B$703,'Swiss Registry'!$N$2:$N$703) </f>
        <v>209102896740958208</v>
      </c>
      <c r="J136" s="142" t="str">
        <f t="array" ref="J136">XLOOKUP(CELL("contents",F136),'Swiss Registry'!$B$2:$B$703,'Swiss Registry'!$N$2:$N$703) </f>
        <v>231980254887936000</v>
      </c>
    </row>
    <row r="137" ht="15.0" customHeight="1">
      <c r="A137" s="124"/>
      <c r="B137" s="122"/>
      <c r="C137" s="123"/>
      <c r="D137" s="138" t="s">
        <v>1563</v>
      </c>
      <c r="E137" s="123"/>
      <c r="F137" s="123"/>
      <c r="G137" s="124"/>
      <c r="H137" s="93"/>
      <c r="I137" s="139"/>
      <c r="J137" s="139"/>
    </row>
    <row r="138">
      <c r="A138" s="140">
        <v>476.0</v>
      </c>
      <c r="B138" s="125" t="str">
        <f>VLOOKUP(A138,'Swiss Registry'!$A$2:$B$703,2,False)</f>
        <v>Colby2D</v>
      </c>
      <c r="C138" s="105" t="str">
        <f t="shared" ref="C138:C181" si="13">IF(H138="dead","",IF(H138="a:act","",IF(H138="b:act","",IF(ISURL(HYPERLINK(INDIRECT("Importer!B"&amp;MID(H138,2,4)+1,TRUE))),HYPERLINK(INDIRECT("Importer!B"&amp;MID(H138,2,4)+1,TRUE), "Game 1"),""))))</f>
        <v>Game 1</v>
      </c>
      <c r="D138" s="106" t="str">
        <f t="shared" ref="D138:D161" si="14">IF(H138="dead","Dead Game",IF(H138="a:act","Act: "&amp;B138,IF(H138="b:act","Act: "&amp;F138,IF(ISURL(HYPERLINK(INDIRECT("Importer!B"&amp;MID(H138,6,4)+1,TRUE))),HYPERLINK(INDIRECT("Importer!B"&amp;MID(H138,6,4)+1,TRUE), "Game 2"),""))))</f>
        <v>Game 2</v>
      </c>
      <c r="E138" s="107" t="str">
        <f t="shared" ref="E138:E181" si="15">IF(H138="dead","",IF(H138="a:act","",IF(H138="b:act","",IF(ISURL(HYPERLINK(INDIRECT("Importer!B"&amp;MID(H138,10,4)+1,TRUE))),HYPERLINK(INDIRECT("Importer!B"&amp;MID(H138,10,4)+1,TRUE), "Game 3"),""))))</f>
        <v/>
      </c>
      <c r="F138" s="126" t="str">
        <f>VLOOKUP(G138,'Swiss Registry'!$A$2:$B$703,2,False)</f>
        <v>marcelbruer</v>
      </c>
      <c r="G138" s="127">
        <v>552.0</v>
      </c>
      <c r="H138" s="93" t="s">
        <v>2459</v>
      </c>
      <c r="I138" s="141" t="str">
        <f t="array" ref="I138">XLOOKUP(CELL("contents",B138),'Swiss Registry'!$B$2:$B$703,'Swiss Registry'!$N$2:$N$703) </f>
        <v>255541617597874176</v>
      </c>
      <c r="J138" s="142" t="str">
        <f t="array" ref="J138">XLOOKUP(CELL("contents",F138),'Swiss Registry'!$B$2:$B$703,'Swiss Registry'!$N$2:$N$703) </f>
        <v>192472740651991040</v>
      </c>
    </row>
    <row r="139">
      <c r="A139" s="140">
        <v>427.0</v>
      </c>
      <c r="B139" s="125" t="str">
        <f>VLOOKUP(A139,'Swiss Registry'!$A$2:$B$703,2,False)</f>
        <v>comseal</v>
      </c>
      <c r="C139" s="105" t="str">
        <f t="shared" si="13"/>
        <v>Game 1</v>
      </c>
      <c r="D139" s="106" t="str">
        <f t="shared" si="14"/>
        <v>Game 2</v>
      </c>
      <c r="E139" s="110" t="str">
        <f t="shared" si="15"/>
        <v>Game 3</v>
      </c>
      <c r="F139" s="126" t="str">
        <f>VLOOKUP(G139,'Swiss Registry'!$A$2:$B$703,2,False)</f>
        <v>greencatkid</v>
      </c>
      <c r="G139" s="127">
        <v>235.0</v>
      </c>
      <c r="H139" s="93" t="s">
        <v>2460</v>
      </c>
      <c r="I139" s="141" t="str">
        <f t="array" ref="I139">XLOOKUP(CELL("contents",B139),'Swiss Registry'!$B$2:$B$703,'Swiss Registry'!$N$2:$N$703) </f>
        <v>282867212270698496</v>
      </c>
      <c r="J139" s="142" t="str">
        <f t="array" ref="J139">XLOOKUP(CELL("contents",F139),'Swiss Registry'!$B$2:$B$703,'Swiss Registry'!$N$2:$N$703) </f>
        <v>265277015777607691</v>
      </c>
    </row>
    <row r="140">
      <c r="A140" s="140">
        <v>372.0</v>
      </c>
      <c r="B140" s="125" t="str">
        <f>VLOOKUP(A140,'Swiss Registry'!$A$2:$B$703,2,False)</f>
        <v>air602</v>
      </c>
      <c r="C140" s="105" t="str">
        <f t="shared" si="13"/>
        <v>Game 1</v>
      </c>
      <c r="D140" s="106" t="str">
        <f t="shared" si="14"/>
        <v>Game 2</v>
      </c>
      <c r="E140" s="107" t="str">
        <f t="shared" si="15"/>
        <v/>
      </c>
      <c r="F140" s="126" t="str">
        <f>VLOOKUP(G140,'Swiss Registry'!$A$2:$B$703,2,False)</f>
        <v>jotaentrena</v>
      </c>
      <c r="G140" s="127">
        <v>548.0</v>
      </c>
      <c r="H140" s="93" t="s">
        <v>2461</v>
      </c>
      <c r="I140" s="141" t="str">
        <f t="array" ref="I140">XLOOKUP(CELL("contents",B140),'Swiss Registry'!$B$2:$B$703,'Swiss Registry'!$N$2:$N$703) </f>
        <v>336743385945735171</v>
      </c>
      <c r="J140" s="142" t="str">
        <f t="array" ref="J140">XLOOKUP(CELL("contents",F140),'Swiss Registry'!$B$2:$B$703,'Swiss Registry'!$N$2:$N$703) </f>
        <v>423465310478401536</v>
      </c>
    </row>
    <row r="141">
      <c r="A141" s="140">
        <v>275.0</v>
      </c>
      <c r="B141" s="125" t="str">
        <f>VLOOKUP(A141,'Swiss Registry'!$A$2:$B$703,2,False)</f>
        <v>zxgzxg</v>
      </c>
      <c r="C141" s="105" t="str">
        <f t="shared" si="13"/>
        <v>Game 1</v>
      </c>
      <c r="D141" s="106" t="str">
        <f t="shared" si="14"/>
        <v>Game 2</v>
      </c>
      <c r="E141" s="107" t="str">
        <f t="shared" si="15"/>
        <v/>
      </c>
      <c r="F141" s="126" t="str">
        <f>VLOOKUP(G141,'Swiss Registry'!$A$2:$B$703,2,False)</f>
        <v>.GeneralRevan</v>
      </c>
      <c r="G141" s="127">
        <v>238.0</v>
      </c>
      <c r="H141" s="93" t="s">
        <v>2462</v>
      </c>
      <c r="I141" s="141" t="str">
        <f t="array" ref="I141">XLOOKUP(CELL("contents",B141),'Swiss Registry'!$B$2:$B$703,'Swiss Registry'!$N$2:$N$703) </f>
        <v>674132846037958657</v>
      </c>
      <c r="J141" s="142" t="str">
        <f t="array" ref="J141">XLOOKUP(CELL("contents",F141),'Swiss Registry'!$B$2:$B$703,'Swiss Registry'!$N$2:$N$703) </f>
        <v>306988395660443648</v>
      </c>
    </row>
    <row r="142">
      <c r="A142" s="140">
        <v>357.0</v>
      </c>
      <c r="B142" s="125" t="str">
        <f>VLOOKUP(A142,'Swiss Registry'!$A$2:$B$703,2,False)</f>
        <v>Typlion</v>
      </c>
      <c r="C142" s="105" t="str">
        <f t="shared" si="13"/>
        <v>Game 1</v>
      </c>
      <c r="D142" s="106" t="str">
        <f t="shared" si="14"/>
        <v>Game 2</v>
      </c>
      <c r="E142" s="110" t="str">
        <f t="shared" si="15"/>
        <v>Game 3</v>
      </c>
      <c r="F142" s="126" t="str">
        <f>VLOOKUP(G142,'Swiss Registry'!$A$2:$B$703,2,False)</f>
        <v>Beignet</v>
      </c>
      <c r="G142" s="127">
        <v>233.0</v>
      </c>
      <c r="H142" s="93" t="s">
        <v>2463</v>
      </c>
      <c r="I142" s="141" t="str">
        <f t="array" ref="I142">XLOOKUP(CELL("contents",B142),'Swiss Registry'!$B$2:$B$703,'Swiss Registry'!$N$2:$N$703) </f>
        <v>306096394463215618</v>
      </c>
      <c r="J142" s="142" t="str">
        <f t="array" ref="J142">XLOOKUP(CELL("contents",F142),'Swiss Registry'!$B$2:$B$703,'Swiss Registry'!$N$2:$N$703) </f>
        <v>473550253396721694</v>
      </c>
    </row>
    <row r="143">
      <c r="A143" s="140">
        <v>316.0</v>
      </c>
      <c r="B143" s="125" t="str">
        <f>VLOOKUP(A143,'Swiss Registry'!$A$2:$B$703,2,False)</f>
        <v>bloomsmiles</v>
      </c>
      <c r="C143" s="111" t="str">
        <f t="shared" si="13"/>
        <v/>
      </c>
      <c r="D143" s="112" t="str">
        <f t="shared" si="14"/>
        <v>Act: Nicko8</v>
      </c>
      <c r="E143" s="107" t="str">
        <f t="shared" si="15"/>
        <v/>
      </c>
      <c r="F143" s="126" t="str">
        <f>VLOOKUP(G143,'Swiss Registry'!$A$2:$B$703,2,False)</f>
        <v>Nicko8</v>
      </c>
      <c r="G143" s="127">
        <v>622.0</v>
      </c>
      <c r="H143" s="93" t="s">
        <v>1523</v>
      </c>
      <c r="I143" s="141" t="str">
        <f t="array" ref="I143">XLOOKUP(CELL("contents",B143),'Swiss Registry'!$B$2:$B$703,'Swiss Registry'!$N$2:$N$703) </f>
        <v>428036889908477952</v>
      </c>
      <c r="J143" s="142" t="str">
        <f t="array" ref="J143">XLOOKUP(CELL("contents",F143),'Swiss Registry'!$B$2:$B$703,'Swiss Registry'!$N$2:$N$703) </f>
        <v>148744968666742784</v>
      </c>
    </row>
    <row r="144">
      <c r="A144" s="140">
        <v>288.0</v>
      </c>
      <c r="B144" s="125" t="str">
        <f>VLOOKUP(A144,'Swiss Registry'!$A$2:$B$703,2,False)</f>
        <v>mewunderscoretwo</v>
      </c>
      <c r="C144" s="105" t="str">
        <f t="shared" si="13"/>
        <v>Game 1</v>
      </c>
      <c r="D144" s="106" t="str">
        <f t="shared" si="14"/>
        <v>Game 2</v>
      </c>
      <c r="E144" s="107" t="str">
        <f t="shared" si="15"/>
        <v/>
      </c>
      <c r="F144" s="126" t="str">
        <f>VLOOKUP(G144,'Swiss Registry'!$A$2:$B$703,2,False)</f>
        <v>socialinclusion</v>
      </c>
      <c r="G144" s="127">
        <v>676.0</v>
      </c>
      <c r="H144" s="93" t="s">
        <v>2464</v>
      </c>
      <c r="I144" s="141" t="str">
        <f t="array" ref="I144">XLOOKUP(CELL("contents",B144),'Swiss Registry'!$B$2:$B$703,'Swiss Registry'!$N$2:$N$703) </f>
        <v>234366103998955521</v>
      </c>
      <c r="J144" s="142" t="str">
        <f t="array" ref="J144">XLOOKUP(CELL("contents",F144),'Swiss Registry'!$B$2:$B$703,'Swiss Registry'!$N$2:$N$703) </f>
        <v>1287659687881474109</v>
      </c>
    </row>
    <row r="145">
      <c r="A145" s="140">
        <v>460.0</v>
      </c>
      <c r="B145" s="125" t="str">
        <f>VLOOKUP(A145,'Swiss Registry'!$A$2:$B$703,2,False)</f>
        <v>onewhorants</v>
      </c>
      <c r="C145" s="105" t="str">
        <f t="shared" si="13"/>
        <v>Game 1</v>
      </c>
      <c r="D145" s="106" t="str">
        <f t="shared" si="14"/>
        <v>Game 2</v>
      </c>
      <c r="E145" s="107" t="str">
        <f t="shared" si="15"/>
        <v/>
      </c>
      <c r="F145" s="126" t="str">
        <f>VLOOKUP(G145,'Swiss Registry'!$A$2:$B$703,2,False)</f>
        <v>wolfturds</v>
      </c>
      <c r="G145" s="127">
        <v>618.0</v>
      </c>
      <c r="H145" s="93" t="s">
        <v>2465</v>
      </c>
      <c r="I145" s="141" t="str">
        <f t="array" ref="I145">XLOOKUP(CELL("contents",B145),'Swiss Registry'!$B$2:$B$703,'Swiss Registry'!$N$2:$N$703) </f>
        <v>257001953056260096</v>
      </c>
      <c r="J145" s="142" t="str">
        <f t="array" ref="J145">XLOOKUP(CELL("contents",F145),'Swiss Registry'!$B$2:$B$703,'Swiss Registry'!$N$2:$N$703) </f>
        <v>305122620498509824</v>
      </c>
    </row>
    <row r="146">
      <c r="A146" s="140">
        <v>107.0</v>
      </c>
      <c r="B146" s="125" t="str">
        <f>VLOOKUP(A146,'Swiss Registry'!$A$2:$B$703,2,False)</f>
        <v>style_purposes</v>
      </c>
      <c r="C146" s="105" t="str">
        <f t="shared" si="13"/>
        <v>Game 1</v>
      </c>
      <c r="D146" s="106" t="str">
        <f t="shared" si="14"/>
        <v>Game 2</v>
      </c>
      <c r="E146" s="107" t="str">
        <f t="shared" si="15"/>
        <v/>
      </c>
      <c r="F146" s="126" t="str">
        <f>VLOOKUP(G146,'Swiss Registry'!$A$2:$B$703,2,False)</f>
        <v>Sificon</v>
      </c>
      <c r="G146" s="127">
        <v>471.0</v>
      </c>
      <c r="H146" s="93" t="s">
        <v>2466</v>
      </c>
      <c r="I146" s="141" t="str">
        <f t="array" ref="I146">XLOOKUP(CELL("contents",B146),'Swiss Registry'!$B$2:$B$703,'Swiss Registry'!$N$2:$N$703) </f>
        <v>608850851150430226</v>
      </c>
      <c r="J146" s="142" t="str">
        <f t="array" ref="J146">XLOOKUP(CELL("contents",F146),'Swiss Registry'!$B$2:$B$703,'Swiss Registry'!$N$2:$N$703) </f>
        <v>363775331292676097</v>
      </c>
    </row>
    <row r="147">
      <c r="A147" s="140">
        <v>177.0</v>
      </c>
      <c r="B147" s="125" t="str">
        <f>VLOOKUP(A147,'Swiss Registry'!$A$2:$B$703,2,False)</f>
        <v>tree69420</v>
      </c>
      <c r="C147" s="105" t="str">
        <f t="shared" si="13"/>
        <v>Game 1</v>
      </c>
      <c r="D147" s="106" t="str">
        <f t="shared" si="14"/>
        <v>Game 2</v>
      </c>
      <c r="E147" s="107" t="str">
        <f t="shared" si="15"/>
        <v/>
      </c>
      <c r="F147" s="126" t="str">
        <f>VLOOKUP(G147,'Swiss Registry'!$A$2:$B$703,2,False)</f>
        <v>Redrame</v>
      </c>
      <c r="G147" s="127">
        <v>318.0</v>
      </c>
      <c r="H147" s="93" t="s">
        <v>2467</v>
      </c>
      <c r="I147" s="141" t="str">
        <f t="array" ref="I147">XLOOKUP(CELL("contents",B147),'Swiss Registry'!$B$2:$B$703,'Swiss Registry'!$N$2:$N$703) </f>
        <v>798958594116419604</v>
      </c>
      <c r="J147" s="142" t="str">
        <f t="array" ref="J147">XLOOKUP(CELL("contents",F147),'Swiss Registry'!$B$2:$B$703,'Swiss Registry'!$N$2:$N$703) </f>
        <v>127968794130907137</v>
      </c>
    </row>
    <row r="148">
      <c r="A148" s="140">
        <v>398.0</v>
      </c>
      <c r="B148" s="125" t="str">
        <f>VLOOKUP(A148,'Swiss Registry'!$A$2:$B$703,2,False)</f>
        <v>wavy_ish</v>
      </c>
      <c r="C148" s="111" t="str">
        <f t="shared" si="13"/>
        <v/>
      </c>
      <c r="D148" s="112" t="str">
        <f t="shared" si="14"/>
        <v>Act: wavy_ish</v>
      </c>
      <c r="E148" s="107" t="str">
        <f t="shared" si="15"/>
        <v/>
      </c>
      <c r="F148" s="126" t="str">
        <f>VLOOKUP(G148,'Swiss Registry'!$A$2:$B$703,2,False)</f>
        <v>skitz_money</v>
      </c>
      <c r="G148" s="127">
        <v>418.0</v>
      </c>
      <c r="H148" s="93" t="s">
        <v>1486</v>
      </c>
      <c r="I148" s="141" t="str">
        <f t="array" ref="I148">XLOOKUP(CELL("contents",B148),'Swiss Registry'!$B$2:$B$703,'Swiss Registry'!$N$2:$N$703) </f>
        <v>354755541249032192</v>
      </c>
      <c r="J148" s="142" t="str">
        <f t="array" ref="J148">XLOOKUP(CELL("contents",F148),'Swiss Registry'!$B$2:$B$703,'Swiss Registry'!$N$2:$N$703) </f>
        <v>175361436610985984</v>
      </c>
    </row>
    <row r="149">
      <c r="A149" s="140">
        <v>380.0</v>
      </c>
      <c r="B149" s="125" t="str">
        <f>VLOOKUP(A149,'Swiss Registry'!$A$2:$B$703,2,False)</f>
        <v>ThunderousBagel</v>
      </c>
      <c r="C149" s="105" t="str">
        <f t="shared" si="13"/>
        <v>Game 1</v>
      </c>
      <c r="D149" s="106" t="str">
        <f t="shared" si="14"/>
        <v>Game 2</v>
      </c>
      <c r="E149" s="107" t="str">
        <f t="shared" si="15"/>
        <v/>
      </c>
      <c r="F149" s="126" t="str">
        <f>VLOOKUP(G149,'Swiss Registry'!$A$2:$B$703,2,False)</f>
        <v>LevysChair</v>
      </c>
      <c r="G149" s="127">
        <v>484.0</v>
      </c>
      <c r="H149" s="93" t="s">
        <v>2468</v>
      </c>
      <c r="I149" s="141" t="str">
        <f t="array" ref="I149">XLOOKUP(CELL("contents",B149),'Swiss Registry'!$B$2:$B$703,'Swiss Registry'!$N$2:$N$703) </f>
        <v>458020570085326851</v>
      </c>
      <c r="J149" s="142" t="str">
        <f t="array" ref="J149">XLOOKUP(CELL("contents",F149),'Swiss Registry'!$B$2:$B$703,'Swiss Registry'!$N$2:$N$703) </f>
        <v>287039271523844096</v>
      </c>
    </row>
    <row r="150">
      <c r="A150" s="140">
        <v>392.0</v>
      </c>
      <c r="B150" s="125" t="str">
        <f>VLOOKUP(A150,'Swiss Registry'!$A$2:$B$703,2,False)</f>
        <v>darth0068</v>
      </c>
      <c r="C150" s="105" t="str">
        <f t="shared" si="13"/>
        <v>Game 1</v>
      </c>
      <c r="D150" s="106" t="str">
        <f t="shared" si="14"/>
        <v>Game 2</v>
      </c>
      <c r="E150" s="110" t="str">
        <f t="shared" si="15"/>
        <v>Game 3</v>
      </c>
      <c r="F150" s="126" t="str">
        <f>VLOOKUP(G150,'Swiss Registry'!$A$2:$B$703,2,False)</f>
        <v>yuramas</v>
      </c>
      <c r="G150" s="127">
        <v>428.0</v>
      </c>
      <c r="H150" s="93" t="s">
        <v>2469</v>
      </c>
      <c r="I150" s="141" t="str">
        <f t="array" ref="I150">XLOOKUP(CELL("contents",B150),'Swiss Registry'!$B$2:$B$703,'Swiss Registry'!$N$2:$N$703) </f>
        <v>672056990951800862</v>
      </c>
      <c r="J150" s="142" t="str">
        <f t="array" ref="J150">XLOOKUP(CELL("contents",F150),'Swiss Registry'!$B$2:$B$703,'Swiss Registry'!$N$2:$N$703) </f>
        <v>551444761064636416</v>
      </c>
    </row>
    <row r="151">
      <c r="A151" s="140">
        <v>370.0</v>
      </c>
      <c r="B151" s="125" t="str">
        <f>VLOOKUP(A151,'Swiss Registry'!$A$2:$B$703,2,False)</f>
        <v>Baptista</v>
      </c>
      <c r="C151" s="105" t="str">
        <f t="shared" si="13"/>
        <v>Game 1</v>
      </c>
      <c r="D151" s="106" t="str">
        <f t="shared" si="14"/>
        <v>Game 2</v>
      </c>
      <c r="E151" s="110" t="str">
        <f t="shared" si="15"/>
        <v>Game 3</v>
      </c>
      <c r="F151" s="126" t="str">
        <f>VLOOKUP(G151,'Swiss Registry'!$A$2:$B$703,2,False)</f>
        <v>dylan69__</v>
      </c>
      <c r="G151" s="127">
        <v>415.0</v>
      </c>
      <c r="H151" s="93" t="s">
        <v>2470</v>
      </c>
      <c r="I151" s="141" t="str">
        <f t="array" ref="I151">XLOOKUP(CELL("contents",B151),'Swiss Registry'!$B$2:$B$703,'Swiss Registry'!$N$2:$N$703) </f>
        <v>344223527399981069</v>
      </c>
      <c r="J151" s="142" t="str">
        <f t="array" ref="J151">XLOOKUP(CELL("contents",F151),'Swiss Registry'!$B$2:$B$703,'Swiss Registry'!$N$2:$N$703) </f>
        <v>475864364793069568</v>
      </c>
    </row>
    <row r="152">
      <c r="A152" s="140">
        <v>365.0</v>
      </c>
      <c r="B152" s="125" t="str">
        <f>VLOOKUP(A152,'Swiss Registry'!$A$2:$B$703,2,False)</f>
        <v>millingwinds</v>
      </c>
      <c r="C152" s="105" t="str">
        <f t="shared" si="13"/>
        <v>Game 1</v>
      </c>
      <c r="D152" s="106" t="str">
        <f t="shared" si="14"/>
        <v>Game 2</v>
      </c>
      <c r="E152" s="107" t="str">
        <f t="shared" si="15"/>
        <v/>
      </c>
      <c r="F152" s="126" t="str">
        <f>VLOOKUP(G152,'Swiss Registry'!$A$2:$B$703,2,False)</f>
        <v>choicescarf002</v>
      </c>
      <c r="G152" s="127">
        <v>504.0</v>
      </c>
      <c r="H152" s="93" t="s">
        <v>2471</v>
      </c>
      <c r="I152" s="141" t="str">
        <f t="array" ref="I152">XLOOKUP(CELL("contents",B152),'Swiss Registry'!$B$2:$B$703,'Swiss Registry'!$N$2:$N$703) </f>
        <v>732108291253075968</v>
      </c>
      <c r="J152" s="142" t="str">
        <f t="array" ref="J152">XLOOKUP(CELL("contents",F152),'Swiss Registry'!$B$2:$B$703,'Swiss Registry'!$N$2:$N$703) </f>
        <v>359154373063999490</v>
      </c>
    </row>
    <row r="153">
      <c r="A153" s="140">
        <v>151.0</v>
      </c>
      <c r="B153" s="125" t="str">
        <f>VLOOKUP(A153,'Swiss Registry'!$A$2:$B$703,2,False)</f>
        <v>shadowinger</v>
      </c>
      <c r="C153" s="105" t="str">
        <f t="shared" si="13"/>
        <v>Game 1</v>
      </c>
      <c r="D153" s="106" t="str">
        <f t="shared" si="14"/>
        <v>Game 2</v>
      </c>
      <c r="E153" s="107" t="str">
        <f t="shared" si="15"/>
        <v/>
      </c>
      <c r="F153" s="126" t="str">
        <f>VLOOKUP(G153,'Swiss Registry'!$A$2:$B$703,2,False)</f>
        <v>xho_xho_</v>
      </c>
      <c r="G153" s="127">
        <v>550.0</v>
      </c>
      <c r="H153" s="93" t="s">
        <v>2472</v>
      </c>
      <c r="I153" s="141" t="str">
        <f t="array" ref="I153">XLOOKUP(CELL("contents",B153),'Swiss Registry'!$B$2:$B$703,'Swiss Registry'!$N$2:$N$703) </f>
        <v>417742328602820608</v>
      </c>
      <c r="J153" s="142" t="str">
        <f t="array" ref="J153">XLOOKUP(CELL("contents",F153),'Swiss Registry'!$B$2:$B$703,'Swiss Registry'!$N$2:$N$703) </f>
        <v>1026473914269978624</v>
      </c>
    </row>
    <row r="154">
      <c r="A154" s="140">
        <v>266.0</v>
      </c>
      <c r="B154" s="125" t="str">
        <f>VLOOKUP(A154,'Swiss Registry'!$A$2:$B$703,2,False)</f>
        <v>lemonlc</v>
      </c>
      <c r="C154" s="105" t="str">
        <f t="shared" si="13"/>
        <v>Game 1</v>
      </c>
      <c r="D154" s="106" t="str">
        <f t="shared" si="14"/>
        <v>Game 2</v>
      </c>
      <c r="E154" s="107" t="str">
        <f t="shared" si="15"/>
        <v/>
      </c>
      <c r="F154" s="126" t="str">
        <f>VLOOKUP(G154,'Swiss Registry'!$A$2:$B$703,2,False)</f>
        <v>KeshBa45</v>
      </c>
      <c r="G154" s="127">
        <v>414.0</v>
      </c>
      <c r="H154" s="93" t="s">
        <v>2473</v>
      </c>
      <c r="I154" s="141" t="str">
        <f t="array" ref="I154">XLOOKUP(CELL("contents",B154),'Swiss Registry'!$B$2:$B$703,'Swiss Registry'!$N$2:$N$703) </f>
        <v>1137309984468766750</v>
      </c>
      <c r="J154" s="142" t="str">
        <f t="array" ref="J154">XLOOKUP(CELL("contents",F154),'Swiss Registry'!$B$2:$B$703,'Swiss Registry'!$N$2:$N$703) </f>
        <v>1171463268276113533</v>
      </c>
    </row>
    <row r="155">
      <c r="A155" s="140">
        <v>361.0</v>
      </c>
      <c r="B155" s="125" t="str">
        <f>VLOOKUP(A155,'Swiss Registry'!$A$2:$B$703,2,False)</f>
        <v>Guebor</v>
      </c>
      <c r="C155" s="105" t="str">
        <f t="shared" si="13"/>
        <v>Game 1</v>
      </c>
      <c r="D155" s="106" t="str">
        <f t="shared" si="14"/>
        <v>Game 2</v>
      </c>
      <c r="E155" s="110" t="str">
        <f t="shared" si="15"/>
        <v>Game 3</v>
      </c>
      <c r="F155" s="126" t="str">
        <f>VLOOKUP(G155,'Swiss Registry'!$A$2:$B$703,2,False)</f>
        <v>ShotoNC</v>
      </c>
      <c r="G155" s="127">
        <v>422.0</v>
      </c>
      <c r="H155" s="93" t="s">
        <v>2474</v>
      </c>
      <c r="I155" s="141" t="str">
        <f t="array" ref="I155">XLOOKUP(CELL("contents",B155),'Swiss Registry'!$B$2:$B$703,'Swiss Registry'!$N$2:$N$703) </f>
        <v>172722236384477184</v>
      </c>
      <c r="J155" s="142" t="str">
        <f t="array" ref="J155">XLOOKUP(CELL("contents",F155),'Swiss Registry'!$B$2:$B$703,'Swiss Registry'!$N$2:$N$703) </f>
        <v>79029742778454016</v>
      </c>
    </row>
    <row r="156">
      <c r="A156" s="140">
        <v>182.0</v>
      </c>
      <c r="B156" s="125" t="str">
        <f>VLOOKUP(A156,'Swiss Registry'!$A$2:$B$703,2,False)</f>
        <v>ilikeeatingcrayons</v>
      </c>
      <c r="C156" s="105" t="str">
        <f t="shared" si="13"/>
        <v>Game 1</v>
      </c>
      <c r="D156" s="106" t="str">
        <f t="shared" si="14"/>
        <v>Game 2</v>
      </c>
      <c r="E156" s="107" t="str">
        <f t="shared" si="15"/>
        <v/>
      </c>
      <c r="F156" s="126" t="str">
        <f>VLOOKUP(G156,'Swiss Registry'!$A$2:$B$703,2,False)</f>
        <v>Don7331</v>
      </c>
      <c r="G156" s="127">
        <v>363.0</v>
      </c>
      <c r="H156" s="93" t="s">
        <v>2475</v>
      </c>
      <c r="I156" s="141" t="str">
        <f t="array" ref="I156">XLOOKUP(CELL("contents",B156),'Swiss Registry'!$B$2:$B$703,'Swiss Registry'!$N$2:$N$703) </f>
        <v>538490956991692811</v>
      </c>
      <c r="J156" s="142" t="str">
        <f t="array" ref="J156">XLOOKUP(CELL("contents",F156),'Swiss Registry'!$B$2:$B$703,'Swiss Registry'!$N$2:$N$703) </f>
        <v>605567062794043403</v>
      </c>
    </row>
    <row r="157">
      <c r="A157" s="140">
        <v>299.0</v>
      </c>
      <c r="B157" s="125" t="str">
        <f>VLOOKUP(A157,'Swiss Registry'!$A$2:$B$703,2,False)</f>
        <v>Rainer7849</v>
      </c>
      <c r="C157" s="111" t="str">
        <f t="shared" si="13"/>
        <v/>
      </c>
      <c r="D157" s="112" t="str">
        <f t="shared" si="14"/>
        <v>Act: Rainer7849</v>
      </c>
      <c r="E157" s="107" t="str">
        <f t="shared" si="15"/>
        <v/>
      </c>
      <c r="F157" s="126" t="str">
        <f>VLOOKUP(G157,'Swiss Registry'!$A$2:$B$703,2,False)</f>
        <v>Samnyg</v>
      </c>
      <c r="G157" s="127">
        <v>344.0</v>
      </c>
      <c r="H157" s="93" t="s">
        <v>1486</v>
      </c>
      <c r="I157" s="141" t="str">
        <f t="array" ref="I157">XLOOKUP(CELL("contents",B157),'Swiss Registry'!$B$2:$B$703,'Swiss Registry'!$N$2:$N$703) </f>
        <v>452288242931335179</v>
      </c>
      <c r="J157" s="142" t="str">
        <f t="array" ref="J157">XLOOKUP(CELL("contents",F157),'Swiss Registry'!$B$2:$B$703,'Swiss Registry'!$N$2:$N$703) </f>
        <v>1024088105533317191</v>
      </c>
    </row>
    <row r="158">
      <c r="A158" s="140">
        <v>294.0</v>
      </c>
      <c r="B158" s="125" t="str">
        <f>VLOOKUP(A158,'Swiss Registry'!$A$2:$B$703,2,False)</f>
        <v>dorugang</v>
      </c>
      <c r="C158" s="105" t="str">
        <f t="shared" si="13"/>
        <v>Game 1</v>
      </c>
      <c r="D158" s="106" t="str">
        <f t="shared" si="14"/>
        <v>Game 2</v>
      </c>
      <c r="E158" s="107" t="str">
        <f t="shared" si="15"/>
        <v/>
      </c>
      <c r="F158" s="126" t="str">
        <f>VLOOKUP(G158,'Swiss Registry'!$A$2:$B$703,2,False)</f>
        <v>EatYourToastSon</v>
      </c>
      <c r="G158" s="127">
        <v>611.0</v>
      </c>
      <c r="H158" s="93" t="s">
        <v>2476</v>
      </c>
      <c r="I158" s="141" t="str">
        <f t="array" ref="I158">XLOOKUP(CELL("contents",B158),'Swiss Registry'!$B$2:$B$703,'Swiss Registry'!$N$2:$N$703) </f>
        <v>1203049772785868861</v>
      </c>
      <c r="J158" s="142" t="str">
        <f t="array" ref="J158">XLOOKUP(CELL("contents",F158),'Swiss Registry'!$B$2:$B$703,'Swiss Registry'!$N$2:$N$703) </f>
        <v>508374686359486495</v>
      </c>
    </row>
    <row r="159">
      <c r="A159" s="140">
        <v>614.0</v>
      </c>
      <c r="B159" s="125" t="str">
        <f>VLOOKUP(A159,'Swiss Registry'!$A$2:$B$703,2,False)</f>
        <v>Leeto64</v>
      </c>
      <c r="C159" s="105" t="str">
        <f t="shared" si="13"/>
        <v>Game 1</v>
      </c>
      <c r="D159" s="106" t="str">
        <f t="shared" si="14"/>
        <v>Game 2</v>
      </c>
      <c r="E159" s="107" t="str">
        <f t="shared" si="15"/>
        <v/>
      </c>
      <c r="F159" s="126" t="str">
        <f>VLOOKUP(G159,'Swiss Registry'!$A$2:$B$703,2,False)</f>
        <v>Goose824</v>
      </c>
      <c r="G159" s="127">
        <v>585.0</v>
      </c>
      <c r="H159" s="93" t="s">
        <v>2477</v>
      </c>
      <c r="I159" s="141" t="str">
        <f t="array" ref="I159">XLOOKUP(CELL("contents",B159),'Swiss Registry'!$B$2:$B$703,'Swiss Registry'!$N$2:$N$703) </f>
        <v>170563833054625792</v>
      </c>
      <c r="J159" s="142" t="str">
        <f t="array" ref="J159">XLOOKUP(CELL("contents",F159),'Swiss Registry'!$B$2:$B$703,'Swiss Registry'!$N$2:$N$703) </f>
        <v>260566711202218005</v>
      </c>
    </row>
    <row r="160">
      <c r="A160" s="140">
        <v>578.0</v>
      </c>
      <c r="B160" s="125" t="str">
        <f>VLOOKUP(A160,'Swiss Registry'!$A$2:$B$703,2,False)</f>
        <v>_rekkzz_</v>
      </c>
      <c r="C160" s="105" t="str">
        <f t="shared" si="13"/>
        <v>Game 1</v>
      </c>
      <c r="D160" s="106" t="str">
        <f t="shared" si="14"/>
        <v>Game 2</v>
      </c>
      <c r="E160" s="107" t="str">
        <f t="shared" si="15"/>
        <v/>
      </c>
      <c r="F160" s="126" t="str">
        <f>VLOOKUP(G160,'Swiss Registry'!$A$2:$B$703,2,False)</f>
        <v>swaggy001066</v>
      </c>
      <c r="G160" s="127">
        <v>132.0</v>
      </c>
      <c r="H160" s="93" t="s">
        <v>2478</v>
      </c>
      <c r="I160" s="141" t="str">
        <f t="array" ref="I160">XLOOKUP(CELL("contents",B160),'Swiss Registry'!$B$2:$B$703,'Swiss Registry'!$N$2:$N$703) </f>
        <v>1066999557575147581</v>
      </c>
      <c r="J160" s="142" t="str">
        <f t="array" ref="J160">XLOOKUP(CELL("contents",F160),'Swiss Registry'!$B$2:$B$703,'Swiss Registry'!$N$2:$N$703) </f>
        <v>1003019485395042344</v>
      </c>
    </row>
    <row r="161">
      <c r="A161" s="140">
        <v>229.0</v>
      </c>
      <c r="B161" s="125" t="str">
        <f>VLOOKUP(A161,'Swiss Registry'!$A$2:$B$703,2,False)</f>
        <v>jensendale</v>
      </c>
      <c r="C161" s="105" t="str">
        <f t="shared" si="13"/>
        <v>Game 1</v>
      </c>
      <c r="D161" s="106" t="str">
        <f t="shared" si="14"/>
        <v>Game 2</v>
      </c>
      <c r="E161" s="107" t="str">
        <f t="shared" si="15"/>
        <v/>
      </c>
      <c r="F161" s="126" t="str">
        <f>VLOOKUP(G161,'Swiss Registry'!$A$2:$B$703,2,False)</f>
        <v>mintyerb</v>
      </c>
      <c r="G161" s="127">
        <v>568.0</v>
      </c>
      <c r="H161" s="93" t="s">
        <v>2479</v>
      </c>
      <c r="I161" s="141" t="str">
        <f t="array" ref="I161">XLOOKUP(CELL("contents",B161),'Swiss Registry'!$B$2:$B$703,'Swiss Registry'!$N$2:$N$703) </f>
        <v>1153475592411418724</v>
      </c>
      <c r="J161" s="142" t="str">
        <f t="array" ref="J161">XLOOKUP(CELL("contents",F161),'Swiss Registry'!$B$2:$B$703,'Swiss Registry'!$N$2:$N$703) </f>
        <v>411341688288575500</v>
      </c>
    </row>
    <row r="162">
      <c r="A162" s="140">
        <v>642.0</v>
      </c>
      <c r="B162" s="125" t="str">
        <f>VLOOKUP(A162,'Swiss Registry'!$A$2:$B$703,2,False)</f>
        <v>b1ur</v>
      </c>
      <c r="C162" s="105" t="str">
        <f t="shared" si="13"/>
        <v>Game 1</v>
      </c>
      <c r="D162" s="106" t="str">
        <f>IF(H162="dead","Dead Game",IF(H162="a:act","Act: "&amp;F162,IF(H162="b:act","Act: "&amp;#REF!,IF(ISURL(HYPERLINK(INDIRECT("Importer!B"&amp;MID(H162,6,4)+1,TRUE))),HYPERLINK(INDIRECT("Importer!B"&amp;MID(H162,6,4)+1,TRUE), "Game 2"),""))))</f>
        <v>Game 2</v>
      </c>
      <c r="E162" s="107" t="str">
        <f t="shared" si="15"/>
        <v/>
      </c>
      <c r="F162" s="126" t="str">
        <f>VLOOKUP(G162,'Swiss Registry'!$A$2:$B$703,2,False)</f>
        <v>Cyber-DJ</v>
      </c>
      <c r="G162" s="127">
        <v>389.0</v>
      </c>
      <c r="H162" s="93" t="s">
        <v>2480</v>
      </c>
      <c r="I162" s="141" t="str">
        <f t="array" ref="I162">XLOOKUP(CELL("contents",B162),'Swiss Registry'!$B$2:$B$703,'Swiss Registry'!$N$2:$N$703) </f>
        <v>196380416473563136</v>
      </c>
      <c r="J162" s="142" t="str">
        <f t="array" ref="J162">XLOOKUP(CELL("contents",F162),'Swiss Registry'!$B$2:$B$703,'Swiss Registry'!$N$2:$N$703) </f>
        <v>1217308528272871476</v>
      </c>
    </row>
    <row r="163">
      <c r="A163" s="140">
        <v>441.0</v>
      </c>
      <c r="B163" s="125" t="str">
        <f>VLOOKUP(A163,'Swiss Registry'!$A$2:$B$703,2,False)</f>
        <v>tj_srevlis</v>
      </c>
      <c r="C163" s="105" t="str">
        <f t="shared" si="13"/>
        <v>Game 1</v>
      </c>
      <c r="D163" s="106" t="str">
        <f t="shared" ref="D163:D181" si="16">IF(H163="dead","Dead Game",IF(H163="a:act","Act: "&amp;B163,IF(H163="b:act","Act: "&amp;F163,IF(ISURL(HYPERLINK(INDIRECT("Importer!B"&amp;MID(H163,6,4)+1,TRUE))),HYPERLINK(INDIRECT("Importer!B"&amp;MID(H163,6,4)+1,TRUE), "Game 2"),""))))</f>
        <v>Game 2</v>
      </c>
      <c r="E163" s="107" t="str">
        <f t="shared" si="15"/>
        <v/>
      </c>
      <c r="F163" s="126" t="str">
        <f>VLOOKUP(G163,'Swiss Registry'!$A$2:$B$703,2,False)</f>
        <v>squirtle_squadbig_squatto</v>
      </c>
      <c r="G163" s="127">
        <v>200.0</v>
      </c>
      <c r="H163" s="93" t="s">
        <v>2481</v>
      </c>
      <c r="I163" s="141" t="str">
        <f t="array" ref="I163">XLOOKUP(CELL("contents",B163),'Swiss Registry'!$B$2:$B$703,'Swiss Registry'!$N$2:$N$703) </f>
        <v>764262621599105045</v>
      </c>
      <c r="J163" s="142" t="str">
        <f t="array" ref="J163">XLOOKUP(CELL("contents",F163),'Swiss Registry'!$B$2:$B$703,'Swiss Registry'!$N$2:$N$703) </f>
        <v>867120639248564234</v>
      </c>
    </row>
    <row r="164">
      <c r="A164" s="140">
        <v>226.0</v>
      </c>
      <c r="B164" s="125" t="str">
        <f>VLOOKUP(A164,'Swiss Registry'!$A$2:$B$703,2,False)</f>
        <v>Alargemongoose</v>
      </c>
      <c r="C164" s="105" t="str">
        <f t="shared" si="13"/>
        <v>Game 1</v>
      </c>
      <c r="D164" s="106" t="str">
        <f t="shared" si="16"/>
        <v>Game 2</v>
      </c>
      <c r="E164" s="107" t="str">
        <f t="shared" si="15"/>
        <v/>
      </c>
      <c r="F164" s="126" t="str">
        <f>VLOOKUP(G164,'Swiss Registry'!$A$2:$B$703,2,False)</f>
        <v>yd12k</v>
      </c>
      <c r="G164" s="127">
        <v>403.0</v>
      </c>
      <c r="H164" s="93" t="s">
        <v>2482</v>
      </c>
      <c r="I164" s="141" t="str">
        <f t="array" ref="I164">XLOOKUP(CELL("contents",B164),'Swiss Registry'!$B$2:$B$703,'Swiss Registry'!$N$2:$N$703) </f>
        <v>646736314645086228</v>
      </c>
      <c r="J164" s="142" t="str">
        <f t="array" ref="J164">XLOOKUP(CELL("contents",F164),'Swiss Registry'!$B$2:$B$703,'Swiss Registry'!$N$2:$N$703) </f>
        <v>116854172426567680</v>
      </c>
    </row>
    <row r="165">
      <c r="A165" s="140">
        <v>567.0</v>
      </c>
      <c r="B165" s="125" t="str">
        <f>VLOOKUP(A165,'Swiss Registry'!$A$2:$B$703,2,False)</f>
        <v>Kenuckz</v>
      </c>
      <c r="C165" s="105" t="str">
        <f t="shared" si="13"/>
        <v>Game 1</v>
      </c>
      <c r="D165" s="106" t="str">
        <f t="shared" si="16"/>
        <v>Game 2</v>
      </c>
      <c r="E165" s="107" t="str">
        <f t="shared" si="15"/>
        <v/>
      </c>
      <c r="F165" s="126" t="str">
        <f>VLOOKUP(G165,'Swiss Registry'!$A$2:$B$703,2,False)</f>
        <v>JCK_ionic</v>
      </c>
      <c r="G165" s="127">
        <v>587.0</v>
      </c>
      <c r="H165" s="93" t="s">
        <v>2483</v>
      </c>
      <c r="I165" s="141" t="str">
        <f t="array" ref="I165">XLOOKUP(CELL("contents",B165),'Swiss Registry'!$B$2:$B$703,'Swiss Registry'!$N$2:$N$703) </f>
        <v>152582039177134080</v>
      </c>
      <c r="J165" s="142" t="str">
        <f t="array" ref="J165">XLOOKUP(CELL("contents",F165),'Swiss Registry'!$B$2:$B$703,'Swiss Registry'!$N$2:$N$703) </f>
        <v>285602550345105409</v>
      </c>
    </row>
    <row r="166">
      <c r="A166" s="140">
        <v>207.0</v>
      </c>
      <c r="B166" s="125" t="str">
        <f>VLOOKUP(A166,'Swiss Registry'!$A$2:$B$703,2,False)</f>
        <v>samjamslam</v>
      </c>
      <c r="C166" s="111" t="str">
        <f t="shared" si="13"/>
        <v/>
      </c>
      <c r="D166" s="112" t="str">
        <f t="shared" si="16"/>
        <v>Act: samjamslam</v>
      </c>
      <c r="E166" s="107" t="str">
        <f t="shared" si="15"/>
        <v/>
      </c>
      <c r="F166" s="126" t="str">
        <f>VLOOKUP(G166,'Swiss Registry'!$A$2:$B$703,2,False)</f>
        <v>tahat_t</v>
      </c>
      <c r="G166" s="127">
        <v>671.0</v>
      </c>
      <c r="H166" s="93" t="s">
        <v>1486</v>
      </c>
      <c r="I166" s="141" t="str">
        <f t="array" ref="I166">XLOOKUP(CELL("contents",B166),'Swiss Registry'!$B$2:$B$703,'Swiss Registry'!$N$2:$N$703) </f>
        <v>589902999342546965</v>
      </c>
      <c r="J166" s="142" t="str">
        <f t="array" ref="J166">XLOOKUP(CELL("contents",F166),'Swiss Registry'!$B$2:$B$703,'Swiss Registry'!$N$2:$N$703) </f>
        <v>1095502363118284891</v>
      </c>
    </row>
    <row r="167">
      <c r="A167" s="140">
        <v>350.0</v>
      </c>
      <c r="B167" s="125" t="str">
        <f>VLOOKUP(A167,'Swiss Registry'!$A$2:$B$703,2,False)</f>
        <v>bohrier</v>
      </c>
      <c r="C167" s="105" t="str">
        <f t="shared" si="13"/>
        <v>Game 1</v>
      </c>
      <c r="D167" s="106" t="str">
        <f t="shared" si="16"/>
        <v>Game 2</v>
      </c>
      <c r="E167" s="110" t="str">
        <f t="shared" si="15"/>
        <v>Game 3</v>
      </c>
      <c r="F167" s="126" t="str">
        <f>VLOOKUP(G167,'Swiss Registry'!$A$2:$B$703,2,False)</f>
        <v>kalarse</v>
      </c>
      <c r="G167" s="127">
        <v>258.0</v>
      </c>
      <c r="H167" s="93" t="s">
        <v>2484</v>
      </c>
      <c r="I167" s="141" t="str">
        <f t="array" ref="I167">XLOOKUP(CELL("contents",B167),'Swiss Registry'!$B$2:$B$703,'Swiss Registry'!$N$2:$N$703) </f>
        <v>713435200469860403</v>
      </c>
      <c r="J167" s="142" t="str">
        <f t="array" ref="J167">XLOOKUP(CELL("contents",F167),'Swiss Registry'!$B$2:$B$703,'Swiss Registry'!$N$2:$N$703) </f>
        <v>105796893690376192</v>
      </c>
    </row>
    <row r="168">
      <c r="A168" s="140">
        <v>160.0</v>
      </c>
      <c r="B168" s="125" t="str">
        <f>VLOOKUP(A168,'Swiss Registry'!$A$2:$B$703,2,False)</f>
        <v>Calm Stiege</v>
      </c>
      <c r="C168" s="105" t="str">
        <f t="shared" si="13"/>
        <v>Game 1</v>
      </c>
      <c r="D168" s="106" t="str">
        <f t="shared" si="16"/>
        <v>Game 2</v>
      </c>
      <c r="E168" s="110" t="str">
        <f t="shared" si="15"/>
        <v>Game 3</v>
      </c>
      <c r="F168" s="126" t="str">
        <f>VLOOKUP(G168,'Swiss Registry'!$A$2:$B$703,2,False)</f>
        <v>saltocorto</v>
      </c>
      <c r="G168" s="127">
        <v>192.0</v>
      </c>
      <c r="H168" s="93" t="s">
        <v>2485</v>
      </c>
      <c r="I168" s="141" t="str">
        <f t="array" ref="I168">XLOOKUP(CELL("contents",B168),'Swiss Registry'!$B$2:$B$703,'Swiss Registry'!$N$2:$N$703) </f>
        <v>486649841347330048</v>
      </c>
      <c r="J168" s="142" t="str">
        <f t="array" ref="J168">XLOOKUP(CELL("contents",F168),'Swiss Registry'!$B$2:$B$703,'Swiss Registry'!$N$2:$N$703) </f>
        <v>443892793593692170</v>
      </c>
    </row>
    <row r="169">
      <c r="A169" s="140">
        <v>695.0</v>
      </c>
      <c r="B169" s="125" t="str">
        <f>VLOOKUP(A169,'Swiss Registry'!$A$2:$B$703,2,False)</f>
        <v>Blanched</v>
      </c>
      <c r="C169" s="105" t="str">
        <f t="shared" si="13"/>
        <v>Game 1</v>
      </c>
      <c r="D169" s="106" t="str">
        <f t="shared" si="16"/>
        <v>Game 2</v>
      </c>
      <c r="E169" s="107" t="str">
        <f t="shared" si="15"/>
        <v/>
      </c>
      <c r="F169" s="126" t="str">
        <f>VLOOKUP(G169,'Swiss Registry'!$A$2:$B$703,2,False)</f>
        <v>Hypermoth</v>
      </c>
      <c r="G169" s="127">
        <v>674.0</v>
      </c>
      <c r="H169" s="93" t="s">
        <v>2486</v>
      </c>
      <c r="I169" s="141" t="str">
        <f t="array" ref="I169">XLOOKUP(CELL("contents",B169),'Swiss Registry'!$B$2:$B$703,'Swiss Registry'!$N$2:$N$703) </f>
        <v>270997842628182026</v>
      </c>
      <c r="J169" s="142" t="str">
        <f t="array" ref="J169">XLOOKUP(CELL("contents",F169),'Swiss Registry'!$B$2:$B$703,'Swiss Registry'!$N$2:$N$703) </f>
        <v>160179454256087041</v>
      </c>
    </row>
    <row r="170">
      <c r="A170" s="140">
        <v>594.0</v>
      </c>
      <c r="B170" s="125" t="str">
        <f>VLOOKUP(A170,'Swiss Registry'!$A$2:$B$703,2,False)</f>
        <v>blunderpolicy</v>
      </c>
      <c r="C170" s="111" t="str">
        <f t="shared" si="13"/>
        <v/>
      </c>
      <c r="D170" s="112" t="str">
        <f t="shared" si="16"/>
        <v>Act: blunderpolicy</v>
      </c>
      <c r="E170" s="107" t="str">
        <f t="shared" si="15"/>
        <v/>
      </c>
      <c r="F170" s="126" t="str">
        <f>VLOOKUP(G170,'Swiss Registry'!$A$2:$B$703,2,False)</f>
        <v>I am the Jarl</v>
      </c>
      <c r="G170" s="127">
        <v>220.0</v>
      </c>
      <c r="H170" s="93" t="s">
        <v>1486</v>
      </c>
      <c r="I170" s="141" t="str">
        <f t="array" ref="I170">XLOOKUP(CELL("contents",B170),'Swiss Registry'!$B$2:$B$703,'Swiss Registry'!$N$2:$N$703) </f>
        <v>306969912566611968</v>
      </c>
      <c r="J170" s="142" t="str">
        <f t="array" ref="J170">XLOOKUP(CELL("contents",F170),'Swiss Registry'!$B$2:$B$703,'Swiss Registry'!$N$2:$N$703) </f>
        <v>800149729161248800</v>
      </c>
    </row>
    <row r="171">
      <c r="A171" s="140">
        <v>442.0</v>
      </c>
      <c r="B171" s="125" t="str">
        <f>VLOOKUP(A171,'Swiss Registry'!$A$2:$B$703,2,False)</f>
        <v>Forte_French</v>
      </c>
      <c r="C171" s="105" t="str">
        <f t="shared" si="13"/>
        <v>Game 1</v>
      </c>
      <c r="D171" s="106" t="str">
        <f t="shared" si="16"/>
        <v>Game 2</v>
      </c>
      <c r="E171" s="107" t="str">
        <f t="shared" si="15"/>
        <v/>
      </c>
      <c r="F171" s="126" t="str">
        <f>VLOOKUP(G171,'Swiss Registry'!$A$2:$B$703,2,False)</f>
        <v>James67</v>
      </c>
      <c r="G171" s="127">
        <v>362.0</v>
      </c>
      <c r="H171" s="93" t="s">
        <v>2487</v>
      </c>
      <c r="I171" s="141" t="str">
        <f t="array" ref="I171">XLOOKUP(CELL("contents",B171),'Swiss Registry'!$B$2:$B$703,'Swiss Registry'!$N$2:$N$703) </f>
        <v>345986385502797844</v>
      </c>
      <c r="J171" s="142" t="str">
        <f t="array" ref="J171">XLOOKUP(CELL("contents",F171),'Swiss Registry'!$B$2:$B$703,'Swiss Registry'!$N$2:$N$703) </f>
        <v>349259766528344076</v>
      </c>
    </row>
    <row r="172">
      <c r="A172" s="140">
        <v>257.0</v>
      </c>
      <c r="B172" s="125" t="str">
        <f>VLOOKUP(A172,'Swiss Registry'!$A$2:$B$703,2,False)</f>
        <v>moistmania</v>
      </c>
      <c r="C172" s="105" t="str">
        <f t="shared" si="13"/>
        <v>Game 1</v>
      </c>
      <c r="D172" s="106" t="str">
        <f t="shared" si="16"/>
        <v>Game 2</v>
      </c>
      <c r="E172" s="107" t="str">
        <f t="shared" si="15"/>
        <v/>
      </c>
      <c r="F172" s="126" t="str">
        <f>VLOOKUP(G172,'Swiss Registry'!$A$2:$B$703,2,False)</f>
        <v>Attazer</v>
      </c>
      <c r="G172" s="127">
        <v>260.0</v>
      </c>
      <c r="H172" s="93" t="s">
        <v>2488</v>
      </c>
      <c r="I172" s="141" t="str">
        <f t="array" ref="I172">XLOOKUP(CELL("contents",B172),'Swiss Registry'!$B$2:$B$703,'Swiss Registry'!$N$2:$N$703) </f>
        <v>1133736210683150467</v>
      </c>
      <c r="J172" s="142" t="str">
        <f t="array" ref="J172">XLOOKUP(CELL("contents",F172),'Swiss Registry'!$B$2:$B$703,'Swiss Registry'!$N$2:$N$703) </f>
        <v>240653064753774592</v>
      </c>
    </row>
    <row r="173">
      <c r="A173" s="140">
        <v>597.0</v>
      </c>
      <c r="B173" s="125" t="str">
        <f>VLOOKUP(A173,'Swiss Registry'!$A$2:$B$703,2,False)</f>
        <v>incognidoqueen</v>
      </c>
      <c r="C173" s="105" t="str">
        <f t="shared" si="13"/>
        <v>Game 1</v>
      </c>
      <c r="D173" s="106" t="str">
        <f t="shared" si="16"/>
        <v>Game 2</v>
      </c>
      <c r="E173" s="110" t="str">
        <f t="shared" si="15"/>
        <v>Game 3</v>
      </c>
      <c r="F173" s="126" t="str">
        <f>VLOOKUP(G173,'Swiss Registry'!$A$2:$B$703,2,False)</f>
        <v>diegoyuhhi</v>
      </c>
      <c r="G173" s="127">
        <v>117.0</v>
      </c>
      <c r="H173" s="93" t="s">
        <v>2489</v>
      </c>
      <c r="I173" s="141" t="str">
        <f t="array" ref="I173">XLOOKUP(CELL("contents",B173),'Swiss Registry'!$B$2:$B$703,'Swiss Registry'!$N$2:$N$703) </f>
        <v>425232168743075841</v>
      </c>
      <c r="J173" s="142" t="str">
        <f t="array" ref="J173">XLOOKUP(CELL("contents",F173),'Swiss Registry'!$B$2:$B$703,'Swiss Registry'!$N$2:$N$703) </f>
        <v>533729841275600906</v>
      </c>
    </row>
    <row r="174">
      <c r="A174" s="140">
        <v>355.0</v>
      </c>
      <c r="B174" s="125" t="str">
        <f>VLOOKUP(A174,'Swiss Registry'!$A$2:$B$703,2,False)</f>
        <v>Sorenkazer</v>
      </c>
      <c r="C174" s="105" t="str">
        <f t="shared" si="13"/>
        <v>Game 1</v>
      </c>
      <c r="D174" s="106" t="str">
        <f t="shared" si="16"/>
        <v>Game 2</v>
      </c>
      <c r="E174" s="107" t="str">
        <f t="shared" si="15"/>
        <v/>
      </c>
      <c r="F174" s="126" t="str">
        <f>VLOOKUP(G174,'Swiss Registry'!$A$2:$B$703,2,False)</f>
        <v>elmagneto</v>
      </c>
      <c r="G174" s="127">
        <v>635.0</v>
      </c>
      <c r="H174" s="93" t="s">
        <v>2490</v>
      </c>
      <c r="I174" s="141" t="str">
        <f t="array" ref="I174">XLOOKUP(CELL("contents",B174),'Swiss Registry'!$B$2:$B$703,'Swiss Registry'!$N$2:$N$703) </f>
        <v>245004928748224513</v>
      </c>
      <c r="J174" s="142" t="str">
        <f t="array" ref="J174">XLOOKUP(CELL("contents",F174),'Swiss Registry'!$B$2:$B$703,'Swiss Registry'!$N$2:$N$703) </f>
        <v>381169925601099779</v>
      </c>
    </row>
    <row r="175">
      <c r="A175" s="140">
        <v>500.0</v>
      </c>
      <c r="B175" s="125" t="str">
        <f>VLOOKUP(A175,'Swiss Registry'!$A$2:$B$703,2,False)</f>
        <v>mmtimmo</v>
      </c>
      <c r="C175" s="105" t="str">
        <f t="shared" si="13"/>
        <v>Game 1</v>
      </c>
      <c r="D175" s="106" t="str">
        <f t="shared" si="16"/>
        <v>Game 2</v>
      </c>
      <c r="E175" s="110" t="str">
        <f t="shared" si="15"/>
        <v>Game 3</v>
      </c>
      <c r="F175" s="126" t="str">
        <f>VLOOKUP(G175,'Swiss Registry'!$A$2:$B$703,2,False)</f>
        <v>.turkeyleg</v>
      </c>
      <c r="G175" s="127">
        <v>407.0</v>
      </c>
      <c r="H175" s="93" t="s">
        <v>2491</v>
      </c>
      <c r="I175" s="141" t="str">
        <f t="array" ref="I175">XLOOKUP(CELL("contents",B175),'Swiss Registry'!$B$2:$B$703,'Swiss Registry'!$N$2:$N$703) </f>
        <v>201614901452603392</v>
      </c>
      <c r="J175" s="142" t="str">
        <f t="array" ref="J175">XLOOKUP(CELL("contents",F175),'Swiss Registry'!$B$2:$B$703,'Swiss Registry'!$N$2:$N$703) </f>
        <v>457524456177401858</v>
      </c>
    </row>
    <row r="176">
      <c r="A176" s="140">
        <v>155.0</v>
      </c>
      <c r="B176" s="125" t="str">
        <f>VLOOKUP(A176,'Swiss Registry'!$A$2:$B$703,2,False)</f>
        <v>anashensoul</v>
      </c>
      <c r="C176" s="105" t="str">
        <f t="shared" si="13"/>
        <v>Game 1</v>
      </c>
      <c r="D176" s="106" t="str">
        <f t="shared" si="16"/>
        <v>Game 2</v>
      </c>
      <c r="E176" s="107" t="str">
        <f t="shared" si="15"/>
        <v/>
      </c>
      <c r="F176" s="126" t="str">
        <f>VLOOKUP(G176,'Swiss Registry'!$A$2:$B$703,2,False)</f>
        <v>SgtPingwen</v>
      </c>
      <c r="G176" s="127">
        <v>317.0</v>
      </c>
      <c r="H176" s="93" t="s">
        <v>2492</v>
      </c>
      <c r="I176" s="141" t="str">
        <f t="array" ref="I176">XLOOKUP(CELL("contents",B176),'Swiss Registry'!$B$2:$B$703,'Swiss Registry'!$N$2:$N$703) </f>
        <v>212292910882750466</v>
      </c>
      <c r="J176" s="142" t="str">
        <f t="array" ref="J176">XLOOKUP(CELL("contents",F176),'Swiss Registry'!$B$2:$B$703,'Swiss Registry'!$N$2:$N$703) </f>
        <v>115227471175090181</v>
      </c>
    </row>
    <row r="177">
      <c r="A177" s="140">
        <v>660.0</v>
      </c>
      <c r="B177" s="125" t="str">
        <f>VLOOKUP(A177,'Swiss Registry'!$A$2:$B$703,2,False)</f>
        <v>sapphire918</v>
      </c>
      <c r="C177" s="105" t="str">
        <f t="shared" si="13"/>
        <v>Game 1</v>
      </c>
      <c r="D177" s="106" t="str">
        <f t="shared" si="16"/>
        <v>Game 2</v>
      </c>
      <c r="E177" s="110" t="str">
        <f t="shared" si="15"/>
        <v>Game 3</v>
      </c>
      <c r="F177" s="126" t="str">
        <f>VLOOKUP(G177,'Swiss Registry'!$A$2:$B$703,2,False)</f>
        <v>@xlimexheep</v>
      </c>
      <c r="G177" s="127">
        <v>607.0</v>
      </c>
      <c r="H177" s="93" t="s">
        <v>2493</v>
      </c>
      <c r="I177" s="141" t="str">
        <f t="array" ref="I177">XLOOKUP(CELL("contents",B177),'Swiss Registry'!$B$2:$B$703,'Swiss Registry'!$N$2:$N$703) </f>
        <v>247172567494819840</v>
      </c>
      <c r="J177" s="142" t="str">
        <f t="array" ref="J177">XLOOKUP(CELL("contents",F177),'Swiss Registry'!$B$2:$B$703,'Swiss Registry'!$N$2:$N$703) </f>
        <v>172204426302324736</v>
      </c>
    </row>
    <row r="178">
      <c r="A178" s="140">
        <v>693.0</v>
      </c>
      <c r="B178" s="125" t="str">
        <f>VLOOKUP(A178,'Swiss Registry'!$A$2:$B$703,2,False)</f>
        <v>sligoblues</v>
      </c>
      <c r="C178" s="105" t="str">
        <f t="shared" si="13"/>
        <v>Game 1</v>
      </c>
      <c r="D178" s="106" t="str">
        <f t="shared" si="16"/>
        <v>Game 2</v>
      </c>
      <c r="E178" s="110" t="str">
        <f t="shared" si="15"/>
        <v>Game 3</v>
      </c>
      <c r="F178" s="126" t="str">
        <f>VLOOKUP(G178,'Swiss Registry'!$A$2:$B$703,2,False)</f>
        <v>Derde</v>
      </c>
      <c r="G178" s="127">
        <v>174.0</v>
      </c>
      <c r="H178" s="93" t="s">
        <v>2494</v>
      </c>
      <c r="I178" s="141" t="str">
        <f t="array" ref="I178">XLOOKUP(CELL("contents",B178),'Swiss Registry'!$B$2:$B$703,'Swiss Registry'!$N$2:$N$703) </f>
        <v>583755075298656300</v>
      </c>
      <c r="J178" s="142" t="str">
        <f t="array" ref="J178">XLOOKUP(CELL("contents",F178),'Swiss Registry'!$B$2:$B$703,'Swiss Registry'!$N$2:$N$703) </f>
        <v>788102162861260891</v>
      </c>
    </row>
    <row r="179">
      <c r="A179" s="140">
        <v>588.0</v>
      </c>
      <c r="B179" s="125" t="str">
        <f>VLOOKUP(A179,'Swiss Registry'!$A$2:$B$703,2,False)</f>
        <v>witgiz</v>
      </c>
      <c r="C179" s="105" t="str">
        <f t="shared" si="13"/>
        <v>Game 1</v>
      </c>
      <c r="D179" s="106" t="str">
        <f t="shared" si="16"/>
        <v>Game 2</v>
      </c>
      <c r="E179" s="110" t="str">
        <f t="shared" si="15"/>
        <v>Game 3</v>
      </c>
      <c r="F179" s="126" t="str">
        <f>VLOOKUP(G179,'Swiss Registry'!$A$2:$B$703,2,False)</f>
        <v>saiyanpride.</v>
      </c>
      <c r="G179" s="127">
        <v>432.0</v>
      </c>
      <c r="H179" s="93" t="s">
        <v>2495</v>
      </c>
      <c r="I179" s="141" t="str">
        <f t="array" ref="I179">XLOOKUP(CELL("contents",B179),'Swiss Registry'!$B$2:$B$703,'Swiss Registry'!$N$2:$N$703) </f>
        <v>745414414429192303</v>
      </c>
      <c r="J179" s="142" t="str">
        <f t="array" ref="J179">XLOOKUP(CELL("contents",F179),'Swiss Registry'!$B$2:$B$703,'Swiss Registry'!$N$2:$N$703) </f>
        <v>779576321550450710</v>
      </c>
    </row>
    <row r="180">
      <c r="A180" s="140">
        <v>434.0</v>
      </c>
      <c r="B180" s="125" t="str">
        <f>VLOOKUP(A180,'Swiss Registry'!$A$2:$B$703,2,False)</f>
        <v>nemesis_deno</v>
      </c>
      <c r="C180" s="105" t="str">
        <f t="shared" si="13"/>
        <v>Game 1</v>
      </c>
      <c r="D180" s="106" t="str">
        <f t="shared" si="16"/>
        <v>Game 2</v>
      </c>
      <c r="E180" s="107" t="str">
        <f t="shared" si="15"/>
        <v/>
      </c>
      <c r="F180" s="126" t="str">
        <f>VLOOKUP(G180,'Swiss Registry'!$A$2:$B$703,2,False)</f>
        <v>FaceOFF</v>
      </c>
      <c r="G180" s="127">
        <v>411.0</v>
      </c>
      <c r="H180" s="93" t="s">
        <v>2496</v>
      </c>
      <c r="I180" s="141" t="str">
        <f t="array" ref="I180">XLOOKUP(CELL("contents",B180),'Swiss Registry'!$B$2:$B$703,'Swiss Registry'!$N$2:$N$703) </f>
        <v>465952239350186006</v>
      </c>
      <c r="J180" s="142" t="str">
        <f t="array" ref="J180">XLOOKUP(CELL("contents",F180),'Swiss Registry'!$B$2:$B$703,'Swiss Registry'!$N$2:$N$703) </f>
        <v>330062412294127616</v>
      </c>
    </row>
    <row r="181">
      <c r="A181" s="140">
        <v>543.0</v>
      </c>
      <c r="B181" s="125" t="str">
        <f>VLOOKUP(A181,'Swiss Registry'!$A$2:$B$703,2,False)</f>
        <v>s_2_w</v>
      </c>
      <c r="C181" s="105" t="str">
        <f t="shared" si="13"/>
        <v>Game 1</v>
      </c>
      <c r="D181" s="106" t="str">
        <f t="shared" si="16"/>
        <v>Game 2</v>
      </c>
      <c r="E181" s="110" t="str">
        <f t="shared" si="15"/>
        <v>Game 3</v>
      </c>
      <c r="F181" s="126" t="str">
        <f>VLOOKUP(G181,'Swiss Registry'!$A$2:$B$703,2,False)</f>
        <v>draccus_comun</v>
      </c>
      <c r="G181" s="127">
        <v>598.0</v>
      </c>
      <c r="H181" s="93" t="s">
        <v>2497</v>
      </c>
      <c r="I181" s="141" t="str">
        <f t="array" ref="I181">XLOOKUP(CELL("contents",B181),'Swiss Registry'!$B$2:$B$703,'Swiss Registry'!$N$2:$N$703) </f>
        <v>849644863661801493</v>
      </c>
      <c r="J181" s="142" t="str">
        <f t="array" ref="J181">XLOOKUP(CELL("contents",F181),'Swiss Registry'!$B$2:$B$703,'Swiss Registry'!$N$2:$N$703) </f>
        <v>1288506532857909365</v>
      </c>
    </row>
    <row r="182" ht="15.0" customHeight="1">
      <c r="A182" s="124"/>
      <c r="B182" s="122"/>
      <c r="C182" s="123"/>
      <c r="D182" s="138" t="s">
        <v>2498</v>
      </c>
      <c r="E182" s="123"/>
      <c r="F182" s="123"/>
      <c r="G182" s="124"/>
      <c r="H182" s="93"/>
      <c r="I182" s="139"/>
      <c r="J182" s="139"/>
    </row>
    <row r="183">
      <c r="A183" s="140">
        <v>2.0</v>
      </c>
      <c r="B183" s="125" t="str">
        <f>VLOOKUP(A183,'Swiss Registry'!$A$2:$B$703,2,False)</f>
        <v>Altina</v>
      </c>
      <c r="C183" s="105" t="str">
        <f t="shared" ref="C183:C226" si="17">IF(H183="dead","",IF(H183="a:act","",IF(H183="b:act","",IF(ISURL(HYPERLINK(INDIRECT("Importer!B"&amp;MID(H183,2,4)+1,TRUE))),HYPERLINK(INDIRECT("Importer!B"&amp;MID(H183,2,4)+1,TRUE), "Game 1"),""))))</f>
        <v>Game 1</v>
      </c>
      <c r="D183" s="106" t="str">
        <f t="shared" ref="D183:D191" si="18">IF(H183="dead","Dead Game",IF(H183="a:act","Act: "&amp;B183,IF(H183="b:act","Act: "&amp;F183,IF(ISURL(HYPERLINK(INDIRECT("Importer!B"&amp;MID(H183,6,4)+1,TRUE))),HYPERLINK(INDIRECT("Importer!B"&amp;MID(H183,6,4)+1,TRUE), "Game 2"),""))))</f>
        <v>Game 2</v>
      </c>
      <c r="E183" s="107" t="str">
        <f t="shared" ref="E183:E226" si="19">IF(H183="dead","",IF(H183="a:act","",IF(H183="b:act","",IF(ISURL(HYPERLINK(INDIRECT("Importer!B"&amp;MID(H183,10,4)+1,TRUE))),HYPERLINK(INDIRECT("Importer!B"&amp;MID(H183,10,4)+1,TRUE), "Game 3"),""))))</f>
        <v/>
      </c>
      <c r="F183" s="126" t="str">
        <f>VLOOKUP(G183,'Swiss Registry'!$A$2:$B$703,2,False)</f>
        <v>ChetManley</v>
      </c>
      <c r="G183" s="127">
        <v>664.0</v>
      </c>
      <c r="H183" s="93" t="s">
        <v>2499</v>
      </c>
      <c r="I183" s="141" t="str">
        <f t="array" ref="I183">XLOOKUP(CELL("contents",B183),'Swiss Registry'!$B$2:$B$703,'Swiss Registry'!$N$2:$N$703) </f>
        <v>195417421459226626</v>
      </c>
      <c r="J183" s="142" t="str">
        <f t="array" ref="J183">XLOOKUP(CELL("contents",F183),'Swiss Registry'!$B$2:$B$703,'Swiss Registry'!$N$2:$N$703) </f>
        <v>179698264436768768</v>
      </c>
    </row>
    <row r="184">
      <c r="A184" s="140">
        <v>37.0</v>
      </c>
      <c r="B184" s="125" t="str">
        <f>VLOOKUP(A184,'Swiss Registry'!$A$2:$B$703,2,False)</f>
        <v>Zerkas</v>
      </c>
      <c r="C184" s="111" t="str">
        <f t="shared" si="17"/>
        <v/>
      </c>
      <c r="D184" s="112" t="str">
        <f t="shared" si="18"/>
        <v>Act: Zerkas</v>
      </c>
      <c r="E184" s="107" t="str">
        <f t="shared" si="19"/>
        <v/>
      </c>
      <c r="F184" s="126" t="str">
        <f>VLOOKUP(G184,'Swiss Registry'!$A$2:$B$703,2,False)</f>
        <v>dabebri</v>
      </c>
      <c r="G184" s="127">
        <v>273.0</v>
      </c>
      <c r="H184" s="93" t="s">
        <v>1486</v>
      </c>
      <c r="I184" s="141" t="str">
        <f t="array" ref="I184">XLOOKUP(CELL("contents",B184),'Swiss Registry'!$B$2:$B$703,'Swiss Registry'!$N$2:$N$703) </f>
        <v>832336642315518002</v>
      </c>
      <c r="J184" s="142" t="str">
        <f t="array" ref="J184">XLOOKUP(CELL("contents",F184),'Swiss Registry'!$B$2:$B$703,'Swiss Registry'!$N$2:$N$703) </f>
        <v>603589154462236678</v>
      </c>
    </row>
    <row r="185">
      <c r="A185" s="140">
        <v>51.0</v>
      </c>
      <c r="B185" s="125" t="str">
        <f>VLOOKUP(A185,'Swiss Registry'!$A$2:$B$703,2,False)</f>
        <v>Texas Cloverleaf</v>
      </c>
      <c r="C185" s="105" t="str">
        <f t="shared" si="17"/>
        <v>Game 1</v>
      </c>
      <c r="D185" s="106" t="str">
        <f t="shared" si="18"/>
        <v>Game 2</v>
      </c>
      <c r="E185" s="107" t="str">
        <f t="shared" si="19"/>
        <v/>
      </c>
      <c r="F185" s="126" t="str">
        <f>VLOOKUP(G185,'Swiss Registry'!$A$2:$B$703,2,False)</f>
        <v>theepiccd56</v>
      </c>
      <c r="G185" s="127">
        <v>322.0</v>
      </c>
      <c r="H185" s="93" t="s">
        <v>2500</v>
      </c>
      <c r="I185" s="141" t="str">
        <f t="array" ref="I185">XLOOKUP(CELL("contents",B185),'Swiss Registry'!$B$2:$B$703,'Swiss Registry'!$N$2:$N$703) </f>
        <v>166991049653223424</v>
      </c>
      <c r="J185" s="142" t="str">
        <f t="array" ref="J185">XLOOKUP(CELL("contents",F185),'Swiss Registry'!$B$2:$B$703,'Swiss Registry'!$N$2:$N$703) </f>
        <v>148946268033515521</v>
      </c>
    </row>
    <row r="186">
      <c r="A186" s="140">
        <v>54.0</v>
      </c>
      <c r="B186" s="125" t="str">
        <f>VLOOKUP(A186,'Swiss Registry'!$A$2:$B$703,2,False)</f>
        <v>Futtoka</v>
      </c>
      <c r="C186" s="111" t="str">
        <f t="shared" si="17"/>
        <v/>
      </c>
      <c r="D186" s="112" t="str">
        <f t="shared" si="18"/>
        <v>Act: zoyotte</v>
      </c>
      <c r="E186" s="107" t="str">
        <f t="shared" si="19"/>
        <v/>
      </c>
      <c r="F186" s="126" t="str">
        <f>VLOOKUP(G186,'Swiss Registry'!$A$2:$B$703,2,False)</f>
        <v>zoyotte</v>
      </c>
      <c r="G186" s="127">
        <v>602.0</v>
      </c>
      <c r="H186" s="93" t="s">
        <v>1523</v>
      </c>
      <c r="I186" s="141" t="str">
        <f t="array" ref="I186">XLOOKUP(CELL("contents",B186),'Swiss Registry'!$B$2:$B$703,'Swiss Registry'!$N$2:$N$703) </f>
        <v>1161228067637833728</v>
      </c>
      <c r="J186" s="142" t="str">
        <f t="array" ref="J186">XLOOKUP(CELL("contents",F186),'Swiss Registry'!$B$2:$B$703,'Swiss Registry'!$N$2:$N$703) </f>
        <v>429574111350489088</v>
      </c>
    </row>
    <row r="187">
      <c r="A187" s="140">
        <v>66.0</v>
      </c>
      <c r="B187" s="125" t="str">
        <f>VLOOKUP(A187,'Swiss Registry'!$A$2:$B$703,2,False)</f>
        <v>Mackenzie</v>
      </c>
      <c r="C187" s="105" t="str">
        <f t="shared" si="17"/>
        <v>Game 1</v>
      </c>
      <c r="D187" s="106" t="str">
        <f t="shared" si="18"/>
        <v>Game 2</v>
      </c>
      <c r="E187" s="107" t="str">
        <f t="shared" si="19"/>
        <v/>
      </c>
      <c r="F187" s="126" t="str">
        <f>VLOOKUP(G187,'Swiss Registry'!$A$2:$B$703,2,False)</f>
        <v>Pressle54</v>
      </c>
      <c r="G187" s="127">
        <v>506.0</v>
      </c>
      <c r="H187" s="93" t="s">
        <v>2501</v>
      </c>
      <c r="I187" s="141" t="str">
        <f t="array" ref="I187">XLOOKUP(CELL("contents",B187),'Swiss Registry'!$B$2:$B$703,'Swiss Registry'!$N$2:$N$703) </f>
        <v>173519000842534913</v>
      </c>
      <c r="J187" s="142" t="str">
        <f t="array" ref="J187">XLOOKUP(CELL("contents",F187),'Swiss Registry'!$B$2:$B$703,'Swiss Registry'!$N$2:$N$703) </f>
        <v>311097288326119434</v>
      </c>
    </row>
    <row r="188">
      <c r="A188" s="140">
        <v>72.0</v>
      </c>
      <c r="B188" s="125" t="str">
        <f>VLOOKUP(A188,'Swiss Registry'!$A$2:$B$703,2,False)</f>
        <v>Roy Yamaha</v>
      </c>
      <c r="C188" s="105" t="str">
        <f t="shared" si="17"/>
        <v>Game 1</v>
      </c>
      <c r="D188" s="106" t="str">
        <f t="shared" si="18"/>
        <v>Game 2</v>
      </c>
      <c r="E188" s="107" t="str">
        <f t="shared" si="19"/>
        <v/>
      </c>
      <c r="F188" s="126" t="str">
        <f>VLOOKUP(G188,'Swiss Registry'!$A$2:$B$703,2,False)</f>
        <v>martconqueso</v>
      </c>
      <c r="G188" s="127">
        <v>162.0</v>
      </c>
      <c r="H188" s="93" t="s">
        <v>2502</v>
      </c>
      <c r="I188" s="141" t="str">
        <f t="array" ref="I188">XLOOKUP(CELL("contents",B188),'Swiss Registry'!$B$2:$B$703,'Swiss Registry'!$N$2:$N$703) </f>
        <v>973581296846663711</v>
      </c>
      <c r="J188" s="142" t="str">
        <f t="array" ref="J188">XLOOKUP(CELL("contents",F188),'Swiss Registry'!$B$2:$B$703,'Swiss Registry'!$N$2:$N$703) </f>
        <v>220939914915741696</v>
      </c>
    </row>
    <row r="189">
      <c r="A189" s="140">
        <v>73.0</v>
      </c>
      <c r="B189" s="125" t="str">
        <f>VLOOKUP(A189,'Swiss Registry'!$A$2:$B$703,2,False)</f>
        <v>Oathkeeper</v>
      </c>
      <c r="C189" s="105" t="str">
        <f t="shared" si="17"/>
        <v>Game 1</v>
      </c>
      <c r="D189" s="106" t="str">
        <f t="shared" si="18"/>
        <v>Game 2</v>
      </c>
      <c r="E189" s="107" t="str">
        <f t="shared" si="19"/>
        <v/>
      </c>
      <c r="F189" s="126" t="str">
        <f>VLOOKUP(G189,'Swiss Registry'!$A$2:$B$703,2,False)</f>
        <v>olliertlol</v>
      </c>
      <c r="G189" s="127">
        <v>514.0</v>
      </c>
      <c r="H189" s="93" t="s">
        <v>2503</v>
      </c>
      <c r="I189" s="141" t="str">
        <f t="array" ref="I189">XLOOKUP(CELL("contents",B189),'Swiss Registry'!$B$2:$B$703,'Swiss Registry'!$N$2:$N$703) </f>
        <v>332917759900123137</v>
      </c>
      <c r="J189" s="142" t="str">
        <f t="array" ref="J189">XLOOKUP(CELL("contents",F189),'Swiss Registry'!$B$2:$B$703,'Swiss Registry'!$N$2:$N$703) </f>
        <v>1217597446507729028</v>
      </c>
    </row>
    <row r="190">
      <c r="A190" s="140">
        <v>76.0</v>
      </c>
      <c r="B190" s="125" t="str">
        <f>VLOOKUP(A190,'Swiss Registry'!$A$2:$B$703,2,False)</f>
        <v>Smallow</v>
      </c>
      <c r="C190" s="111" t="str">
        <f t="shared" si="17"/>
        <v/>
      </c>
      <c r="D190" s="112" t="str">
        <f t="shared" si="18"/>
        <v>Act: Goodnightloulou</v>
      </c>
      <c r="E190" s="107" t="str">
        <f t="shared" si="19"/>
        <v/>
      </c>
      <c r="F190" s="126" t="str">
        <f>VLOOKUP(G190,'Swiss Registry'!$A$2:$B$703,2,False)</f>
        <v>Goodnightloulou</v>
      </c>
      <c r="G190" s="127">
        <v>561.0</v>
      </c>
      <c r="H190" s="93" t="s">
        <v>1523</v>
      </c>
      <c r="I190" s="141" t="str">
        <f t="array" ref="I190">XLOOKUP(CELL("contents",B190),'Swiss Registry'!$B$2:$B$703,'Swiss Registry'!$N$2:$N$703) </f>
        <v>SUB</v>
      </c>
      <c r="J190" s="142" t="str">
        <f t="array" ref="J190">XLOOKUP(CELL("contents",F190),'Swiss Registry'!$B$2:$B$703,'Swiss Registry'!$N$2:$N$703) </f>
        <v>1003852969177006150</v>
      </c>
    </row>
    <row r="191">
      <c r="A191" s="140">
        <v>79.0</v>
      </c>
      <c r="B191" s="125" t="str">
        <f>VLOOKUP(A191,'Swiss Registry'!$A$2:$B$703,2,False)</f>
        <v>Buzzed</v>
      </c>
      <c r="C191" s="105" t="str">
        <f t="shared" si="17"/>
        <v>Game 1</v>
      </c>
      <c r="D191" s="106" t="str">
        <f t="shared" si="18"/>
        <v>Game 2</v>
      </c>
      <c r="E191" s="107" t="str">
        <f t="shared" si="19"/>
        <v/>
      </c>
      <c r="F191" s="126" t="str">
        <f>VLOOKUP(G191,'Swiss Registry'!$A$2:$B$703,2,False)</f>
        <v>scurrying_snail</v>
      </c>
      <c r="G191" s="127">
        <v>612.0</v>
      </c>
      <c r="H191" s="93" t="s">
        <v>2504</v>
      </c>
      <c r="I191" s="141" t="str">
        <f t="array" ref="I191">XLOOKUP(CELL("contents",B191),'Swiss Registry'!$B$2:$B$703,'Swiss Registry'!$N$2:$N$703) </f>
        <v>103393211443085312</v>
      </c>
      <c r="J191" s="142" t="str">
        <f t="array" ref="J191">XLOOKUP(CELL("contents",F191),'Swiss Registry'!$B$2:$B$703,'Swiss Registry'!$N$2:$N$703) </f>
        <v>687841888950288396</v>
      </c>
    </row>
    <row r="192">
      <c r="A192" s="140">
        <v>87.0</v>
      </c>
      <c r="B192" s="125" t="str">
        <f>VLOOKUP(A192,'Swiss Registry'!$A$2:$B$703,2,False)</f>
        <v>Zcarlett</v>
      </c>
      <c r="C192" s="111" t="str">
        <f t="shared" si="17"/>
        <v/>
      </c>
      <c r="D192" s="144" t="s">
        <v>2505</v>
      </c>
      <c r="E192" s="107" t="str">
        <f t="shared" si="19"/>
        <v/>
      </c>
      <c r="F192" s="126" t="str">
        <f>VLOOKUP(G192,'Swiss Registry'!$A$2:$B$703,2,False)</f>
        <v>Pulcsii</v>
      </c>
      <c r="G192" s="127">
        <v>253.0</v>
      </c>
      <c r="H192" s="93" t="s">
        <v>2506</v>
      </c>
      <c r="I192" s="141" t="str">
        <f t="array" ref="I192">XLOOKUP(CELL("contents",B192),'Swiss Registry'!$B$2:$B$703,'Swiss Registry'!$N$2:$N$703) </f>
        <v>513029374392533043</v>
      </c>
      <c r="J192" s="142" t="str">
        <f t="array" ref="J192">XLOOKUP(CELL("contents",F192),'Swiss Registry'!$B$2:$B$703,'Swiss Registry'!$N$2:$N$703) </f>
        <v>374258157855309826</v>
      </c>
    </row>
    <row r="193">
      <c r="A193" s="140">
        <v>88.0</v>
      </c>
      <c r="B193" s="125" t="str">
        <f>VLOOKUP(A193,'Swiss Registry'!$A$2:$B$703,2,False)</f>
        <v>TechSavage</v>
      </c>
      <c r="C193" s="105" t="str">
        <f t="shared" si="17"/>
        <v>Game 1</v>
      </c>
      <c r="D193" s="106" t="str">
        <f t="shared" ref="D193:D201" si="20">IF(H193="dead","Dead Game",IF(H193="a:act","Act: "&amp;B193,IF(H193="b:act","Act: "&amp;F193,IF(ISURL(HYPERLINK(INDIRECT("Importer!B"&amp;MID(H193,6,4)+1,TRUE))),HYPERLINK(INDIRECT("Importer!B"&amp;MID(H193,6,4)+1,TRUE), "Game 2"),""))))</f>
        <v>Game 2</v>
      </c>
      <c r="E193" s="110" t="str">
        <f t="shared" si="19"/>
        <v>Game 3</v>
      </c>
      <c r="F193" s="126" t="str">
        <f>VLOOKUP(G193,'Swiss Registry'!$A$2:$B$703,2,False)</f>
        <v>.alig.</v>
      </c>
      <c r="G193" s="127">
        <v>211.0</v>
      </c>
      <c r="H193" s="93" t="s">
        <v>2507</v>
      </c>
      <c r="I193" s="141" t="str">
        <f t="array" ref="I193">XLOOKUP(CELL("contents",B193),'Swiss Registry'!$B$2:$B$703,'Swiss Registry'!$N$2:$N$703) </f>
        <v>269901812054753292</v>
      </c>
      <c r="J193" s="142" t="str">
        <f t="array" ref="J193">XLOOKUP(CELL("contents",F193),'Swiss Registry'!$B$2:$B$703,'Swiss Registry'!$N$2:$N$703) </f>
        <v>192192076841091072</v>
      </c>
    </row>
    <row r="194">
      <c r="A194" s="140">
        <v>89.0</v>
      </c>
      <c r="B194" s="125" t="str">
        <f>VLOOKUP(A194,'Swiss Registry'!$A$2:$B$703,2,False)</f>
        <v>Alecss</v>
      </c>
      <c r="C194" s="105" t="str">
        <f t="shared" si="17"/>
        <v>Game 1</v>
      </c>
      <c r="D194" s="106" t="str">
        <f t="shared" si="20"/>
        <v>Game 2</v>
      </c>
      <c r="E194" s="110" t="str">
        <f t="shared" si="19"/>
        <v>Game 3</v>
      </c>
      <c r="F194" s="126" t="str">
        <f>VLOOKUP(G194,'Swiss Registry'!$A$2:$B$703,2,False)</f>
        <v>sharkhammer</v>
      </c>
      <c r="G194" s="127">
        <v>106.0</v>
      </c>
      <c r="H194" s="93" t="s">
        <v>2508</v>
      </c>
      <c r="I194" s="141" t="str">
        <f t="array" ref="I194">XLOOKUP(CELL("contents",B194),'Swiss Registry'!$B$2:$B$703,'Swiss Registry'!$N$2:$N$703) </f>
        <v>1066130063470374962</v>
      </c>
      <c r="J194" s="142" t="str">
        <f t="array" ref="J194">XLOOKUP(CELL("contents",F194),'Swiss Registry'!$B$2:$B$703,'Swiss Registry'!$N$2:$N$703) </f>
        <v>127856725544927232</v>
      </c>
    </row>
    <row r="195">
      <c r="A195" s="140">
        <v>92.0</v>
      </c>
      <c r="B195" s="125" t="str">
        <f>VLOOKUP(A195,'Swiss Registry'!$A$2:$B$703,2,False)</f>
        <v>Cryolite</v>
      </c>
      <c r="C195" s="105" t="str">
        <f t="shared" si="17"/>
        <v>Game 1</v>
      </c>
      <c r="D195" s="106" t="str">
        <f t="shared" si="20"/>
        <v>Game 2</v>
      </c>
      <c r="E195" s="107" t="str">
        <f t="shared" si="19"/>
        <v/>
      </c>
      <c r="F195" s="126" t="str">
        <f>VLOOKUP(G195,'Swiss Registry'!$A$2:$B$703,2,False)</f>
        <v>mafx</v>
      </c>
      <c r="G195" s="127">
        <v>204.0</v>
      </c>
      <c r="H195" s="93" t="s">
        <v>2509</v>
      </c>
      <c r="I195" s="141" t="str">
        <f t="array" ref="I195">XLOOKUP(CELL("contents",B195),'Swiss Registry'!$B$2:$B$703,'Swiss Registry'!$N$2:$N$703) </f>
        <v>413599141537513473</v>
      </c>
      <c r="J195" s="142" t="str">
        <f t="array" ref="J195">XLOOKUP(CELL("contents",F195),'Swiss Registry'!$B$2:$B$703,'Swiss Registry'!$N$2:$N$703) </f>
        <v>219614904515035136</v>
      </c>
    </row>
    <row r="196">
      <c r="A196" s="140">
        <v>96.0</v>
      </c>
      <c r="B196" s="125" t="str">
        <f>VLOOKUP(A196,'Swiss Registry'!$A$2:$B$703,2,False)</f>
        <v>Hinkage</v>
      </c>
      <c r="C196" s="105" t="str">
        <f t="shared" si="17"/>
        <v>Game 1</v>
      </c>
      <c r="D196" s="106" t="str">
        <f t="shared" si="20"/>
        <v>Game 2</v>
      </c>
      <c r="E196" s="107" t="str">
        <f t="shared" si="19"/>
        <v/>
      </c>
      <c r="F196" s="126" t="str">
        <f>VLOOKUP(G196,'Swiss Registry'!$A$2:$B$703,2,False)</f>
        <v>LoDart210</v>
      </c>
      <c r="G196" s="127">
        <v>125.0</v>
      </c>
      <c r="H196" s="93" t="s">
        <v>2510</v>
      </c>
      <c r="I196" s="141" t="str">
        <f t="array" ref="I196">XLOOKUP(CELL("contents",B196),'Swiss Registry'!$B$2:$B$703,'Swiss Registry'!$N$2:$N$703) </f>
        <v>252639778036645908</v>
      </c>
      <c r="J196" s="142" t="str">
        <f t="array" ref="J196">XLOOKUP(CELL("contents",F196),'Swiss Registry'!$B$2:$B$703,'Swiss Registry'!$N$2:$N$703) </f>
        <v>109153054686728192</v>
      </c>
    </row>
    <row r="197">
      <c r="A197" s="140">
        <v>101.0</v>
      </c>
      <c r="B197" s="125" t="str">
        <f>VLOOKUP(A197,'Swiss Registry'!$A$2:$B$703,2,False)</f>
        <v>DastardlyDwarf</v>
      </c>
      <c r="C197" s="111" t="str">
        <f t="shared" si="17"/>
        <v/>
      </c>
      <c r="D197" s="112" t="str">
        <f t="shared" si="20"/>
        <v>Act: MoxieKrok</v>
      </c>
      <c r="E197" s="107" t="str">
        <f t="shared" si="19"/>
        <v/>
      </c>
      <c r="F197" s="126" t="str">
        <f>VLOOKUP(G197,'Swiss Registry'!$A$2:$B$703,2,False)</f>
        <v>MoxieKrok</v>
      </c>
      <c r="G197" s="127">
        <v>462.0</v>
      </c>
      <c r="H197" s="93" t="s">
        <v>1523</v>
      </c>
      <c r="I197" s="141" t="str">
        <f t="array" ref="I197">XLOOKUP(CELL("contents",B197),'Swiss Registry'!$B$2:$B$703,'Swiss Registry'!$N$2:$N$703) </f>
        <v>457317302124412939</v>
      </c>
      <c r="J197" s="142" t="str">
        <f t="array" ref="J197">XLOOKUP(CELL("contents",F197),'Swiss Registry'!$B$2:$B$703,'Swiss Registry'!$N$2:$N$703) </f>
        <v>125066316477497344</v>
      </c>
    </row>
    <row r="198">
      <c r="A198" s="140">
        <v>158.0</v>
      </c>
      <c r="B198" s="125" t="str">
        <f>VLOOKUP(A198,'Swiss Registry'!$A$2:$B$703,2,False)</f>
        <v>janis105</v>
      </c>
      <c r="C198" s="105" t="str">
        <f t="shared" si="17"/>
        <v>Game 1</v>
      </c>
      <c r="D198" s="106" t="str">
        <f t="shared" si="20"/>
        <v>Game 2</v>
      </c>
      <c r="E198" s="107" t="str">
        <f t="shared" si="19"/>
        <v/>
      </c>
      <c r="F198" s="126" t="str">
        <f>VLOOKUP(G198,'Swiss Registry'!$A$2:$B$703,2,False)</f>
        <v>Axselo</v>
      </c>
      <c r="G198" s="127">
        <v>215.0</v>
      </c>
      <c r="H198" s="93" t="s">
        <v>2511</v>
      </c>
      <c r="I198" s="141" t="str">
        <f t="array" ref="I198">XLOOKUP(CELL("contents",B198),'Swiss Registry'!$B$2:$B$703,'Swiss Registry'!$N$2:$N$703) </f>
        <v>379358371221864449</v>
      </c>
      <c r="J198" s="142" t="str">
        <f t="array" ref="J198">XLOOKUP(CELL("contents",F198),'Swiss Registry'!$B$2:$B$703,'Swiss Registry'!$N$2:$N$703) </f>
        <v>627180078048215060</v>
      </c>
    </row>
    <row r="199">
      <c r="A199" s="140">
        <v>308.0</v>
      </c>
      <c r="B199" s="125" t="str">
        <f>VLOOKUP(A199,'Swiss Registry'!$A$2:$B$703,2,False)</f>
        <v>hipimochi</v>
      </c>
      <c r="C199" s="105" t="str">
        <f t="shared" si="17"/>
        <v>Game 1</v>
      </c>
      <c r="D199" s="106" t="str">
        <f t="shared" si="20"/>
        <v>Game 2</v>
      </c>
      <c r="E199" s="110" t="str">
        <f t="shared" si="19"/>
        <v>Game 3</v>
      </c>
      <c r="F199" s="126" t="str">
        <f>VLOOKUP(G199,'Swiss Registry'!$A$2:$B$703,2,False)</f>
        <v>nihiliros</v>
      </c>
      <c r="G199" s="127">
        <v>524.0</v>
      </c>
      <c r="H199" s="93" t="s">
        <v>2512</v>
      </c>
      <c r="I199" s="141" t="str">
        <f t="array" ref="I199">XLOOKUP(CELL("contents",B199),'Swiss Registry'!$B$2:$B$703,'Swiss Registry'!$N$2:$N$703) </f>
        <v>264931346223333377</v>
      </c>
      <c r="J199" s="142" t="str">
        <f t="array" ref="J199">XLOOKUP(CELL("contents",F199),'Swiss Registry'!$B$2:$B$703,'Swiss Registry'!$N$2:$N$703) </f>
        <v>236509304507596801</v>
      </c>
    </row>
    <row r="200">
      <c r="A200" s="140">
        <v>368.0</v>
      </c>
      <c r="B200" s="125" t="str">
        <f>VLOOKUP(A200,'Swiss Registry'!$A$2:$B$703,2,False)</f>
        <v>Dray_jd</v>
      </c>
      <c r="C200" s="105" t="str">
        <f t="shared" si="17"/>
        <v>Game 1</v>
      </c>
      <c r="D200" s="106" t="str">
        <f t="shared" si="20"/>
        <v>Game 2</v>
      </c>
      <c r="E200" s="107" t="str">
        <f t="shared" si="19"/>
        <v/>
      </c>
      <c r="F200" s="126" t="str">
        <f>VLOOKUP(G200,'Swiss Registry'!$A$2:$B$703,2,False)</f>
        <v>Microsoft_J</v>
      </c>
      <c r="G200" s="127">
        <v>625.0</v>
      </c>
      <c r="H200" s="93" t="s">
        <v>2513</v>
      </c>
      <c r="I200" s="141" t="str">
        <f t="array" ref="I200">XLOOKUP(CELL("contents",B200),'Swiss Registry'!$B$2:$B$703,'Swiss Registry'!$N$2:$N$703) </f>
        <v>683286091356307495</v>
      </c>
      <c r="J200" s="142" t="str">
        <f t="array" ref="J200">XLOOKUP(CELL("contents",F200),'Swiss Registry'!$B$2:$B$703,'Swiss Registry'!$N$2:$N$703) </f>
        <v>178809494728343552</v>
      </c>
    </row>
    <row r="201">
      <c r="A201" s="140">
        <v>537.0</v>
      </c>
      <c r="B201" s="125" t="str">
        <f>VLOOKUP(A201,'Swiss Registry'!$A$2:$B$703,2,False)</f>
        <v>avongarde_ult</v>
      </c>
      <c r="C201" s="111" t="str">
        <f t="shared" si="17"/>
        <v/>
      </c>
      <c r="D201" s="112" t="str">
        <f t="shared" si="20"/>
        <v>Act: msousa</v>
      </c>
      <c r="E201" s="107" t="str">
        <f t="shared" si="19"/>
        <v/>
      </c>
      <c r="F201" s="126" t="str">
        <f>VLOOKUP(G201,'Swiss Registry'!$A$2:$B$703,2,False)</f>
        <v>msousa</v>
      </c>
      <c r="G201" s="127">
        <v>512.0</v>
      </c>
      <c r="H201" s="93" t="s">
        <v>2027</v>
      </c>
      <c r="I201" s="141" t="str">
        <f t="array" ref="I201">XLOOKUP(CELL("contents",B201),'Swiss Registry'!$B$2:$B$703,'Swiss Registry'!$N$2:$N$703) </f>
        <v>194425839222390785</v>
      </c>
      <c r="J201" s="142" t="str">
        <f t="array" ref="J201">XLOOKUP(CELL("contents",F201),'Swiss Registry'!$B$2:$B$703,'Swiss Registry'!$N$2:$N$703) </f>
        <v>489109056183599104</v>
      </c>
    </row>
    <row r="202">
      <c r="A202" s="140">
        <v>104.0</v>
      </c>
      <c r="B202" s="125" t="str">
        <f>VLOOKUP(A202,'Swiss Registry'!$A$2:$B$703,2,False)</f>
        <v>YlisseanStarlight</v>
      </c>
      <c r="C202" s="111" t="str">
        <f t="shared" si="17"/>
        <v/>
      </c>
      <c r="D202" s="144" t="s">
        <v>2505</v>
      </c>
      <c r="E202" s="107" t="str">
        <f t="shared" si="19"/>
        <v/>
      </c>
      <c r="F202" s="126" t="str">
        <f>VLOOKUP(G202,'Swiss Registry'!$A$2:$B$703,2,False)</f>
        <v>myrox123</v>
      </c>
      <c r="G202" s="127">
        <v>416.0</v>
      </c>
      <c r="H202" s="93" t="s">
        <v>2506</v>
      </c>
      <c r="I202" s="141" t="str">
        <f t="array" ref="I202">XLOOKUP(CELL("contents",B202),'Swiss Registry'!$B$2:$B$703,'Swiss Registry'!$N$2:$N$703) </f>
        <v>308326695117783040</v>
      </c>
      <c r="J202" s="142" t="str">
        <f t="array" ref="J202">XLOOKUP(CELL("contents",F202),'Swiss Registry'!$B$2:$B$703,'Swiss Registry'!$N$2:$N$703) </f>
        <v>401496586649206784</v>
      </c>
    </row>
    <row r="203">
      <c r="A203" s="140">
        <v>518.0</v>
      </c>
      <c r="B203" s="125" t="str">
        <f>VLOOKUP(A203,'Swiss Registry'!$A$2:$B$703,2,False)</f>
        <v>Vholtninja</v>
      </c>
      <c r="C203" s="105" t="str">
        <f t="shared" si="17"/>
        <v>Game 1</v>
      </c>
      <c r="D203" s="106" t="str">
        <f t="shared" ref="D203:D226" si="21">IF(H203="dead","Dead Game",IF(H203="a:act","Act: "&amp;B203,IF(H203="b:act","Act: "&amp;F203,IF(ISURL(HYPERLINK(INDIRECT("Importer!B"&amp;MID(H203,6,4)+1,TRUE))),HYPERLINK(INDIRECT("Importer!B"&amp;MID(H203,6,4)+1,TRUE), "Game 2"),""))))</f>
        <v>Game 2</v>
      </c>
      <c r="E203" s="110" t="str">
        <f t="shared" si="19"/>
        <v>Game 3</v>
      </c>
      <c r="F203" s="126" t="str">
        <f>VLOOKUP(G203,'Swiss Registry'!$A$2:$B$703,2,False)</f>
        <v>prestonv</v>
      </c>
      <c r="G203" s="127">
        <v>420.0</v>
      </c>
      <c r="H203" s="93" t="s">
        <v>2514</v>
      </c>
      <c r="I203" s="141" t="str">
        <f t="array" ref="I203">XLOOKUP(CELL("contents",B203),'Swiss Registry'!$B$2:$B$703,'Swiss Registry'!$N$2:$N$703) </f>
        <v>495147477398192128</v>
      </c>
      <c r="J203" s="142" t="str">
        <f t="array" ref="J203">XLOOKUP(CELL("contents",F203),'Swiss Registry'!$B$2:$B$703,'Swiss Registry'!$N$2:$N$703) </f>
        <v>477959212073484308</v>
      </c>
    </row>
    <row r="204">
      <c r="A204" s="140">
        <v>670.0</v>
      </c>
      <c r="B204" s="125" t="str">
        <f>VLOOKUP(A204,'Swiss Registry'!$A$2:$B$703,2,False)</f>
        <v>ViciousCricket</v>
      </c>
      <c r="C204" s="105" t="str">
        <f t="shared" si="17"/>
        <v>Game 1</v>
      </c>
      <c r="D204" s="106" t="str">
        <f t="shared" si="21"/>
        <v>Game 2</v>
      </c>
      <c r="E204" s="107" t="str">
        <f t="shared" si="19"/>
        <v/>
      </c>
      <c r="F204" s="126" t="str">
        <f>VLOOKUP(G204,'Swiss Registry'!$A$2:$B$703,2,False)</f>
        <v>UnzipsCrogre</v>
      </c>
      <c r="G204" s="127">
        <v>435.0</v>
      </c>
      <c r="H204" s="93" t="s">
        <v>2515</v>
      </c>
      <c r="I204" s="141" t="str">
        <f t="array" ref="I204">XLOOKUP(CELL("contents",B204),'Swiss Registry'!$B$2:$B$703,'Swiss Registry'!$N$2:$N$703) </f>
        <v>828280967377584128</v>
      </c>
      <c r="J204" s="142" t="str">
        <f t="array" ref="J204">XLOOKUP(CELL("contents",F204),'Swiss Registry'!$B$2:$B$703,'Swiss Registry'!$N$2:$N$703) </f>
        <v>168150536862826497</v>
      </c>
    </row>
    <row r="205">
      <c r="A205" s="140">
        <v>358.0</v>
      </c>
      <c r="B205" s="125" t="str">
        <f>VLOOKUP(A205,'Swiss Registry'!$A$2:$B$703,2,False)</f>
        <v>roofb</v>
      </c>
      <c r="C205" s="111" t="str">
        <f t="shared" si="17"/>
        <v/>
      </c>
      <c r="D205" s="112" t="str">
        <f t="shared" si="21"/>
        <v>Act: tanao</v>
      </c>
      <c r="E205" s="107" t="str">
        <f t="shared" si="19"/>
        <v/>
      </c>
      <c r="F205" s="126" t="str">
        <f>VLOOKUP(G205,'Swiss Registry'!$A$2:$B$703,2,False)</f>
        <v>tanao</v>
      </c>
      <c r="G205" s="127">
        <v>310.0</v>
      </c>
      <c r="H205" s="93" t="s">
        <v>1523</v>
      </c>
      <c r="I205" s="141" t="str">
        <f t="array" ref="I205">XLOOKUP(CELL("contents",B205),'Swiss Registry'!$B$2:$B$703,'Swiss Registry'!$N$2:$N$703) </f>
        <v>SUB</v>
      </c>
      <c r="J205" s="142" t="str">
        <f t="array" ref="J205">XLOOKUP(CELL("contents",F205),'Swiss Registry'!$B$2:$B$703,'Swiss Registry'!$N$2:$N$703) </f>
        <v>136404228787798017</v>
      </c>
    </row>
    <row r="206">
      <c r="A206" s="140">
        <v>523.0</v>
      </c>
      <c r="B206" s="125" t="str">
        <f>VLOOKUP(A206,'Swiss Registry'!$A$2:$B$703,2,False)</f>
        <v>Mulikki123</v>
      </c>
      <c r="C206" s="111" t="str">
        <f t="shared" si="17"/>
        <v/>
      </c>
      <c r="D206" s="112" t="str">
        <f t="shared" si="21"/>
        <v>Act: Mulikki123</v>
      </c>
      <c r="E206" s="107" t="str">
        <f t="shared" si="19"/>
        <v/>
      </c>
      <c r="F206" s="126" t="str">
        <f>VLOOKUP(G206,'Swiss Registry'!$A$2:$B$703,2,False)</f>
        <v>realfredrickDOUGLASS</v>
      </c>
      <c r="G206" s="127">
        <v>225.0</v>
      </c>
      <c r="H206" s="93" t="s">
        <v>1486</v>
      </c>
      <c r="I206" s="141" t="str">
        <f t="array" ref="I206">XLOOKUP(CELL("contents",B206),'Swiss Registry'!$B$2:$B$703,'Swiss Registry'!$N$2:$N$703) </f>
        <v>408945189940494339</v>
      </c>
      <c r="J206" s="142" t="str">
        <f t="array" ref="J206">XLOOKUP(CELL("contents",F206),'Swiss Registry'!$B$2:$B$703,'Swiss Registry'!$N$2:$N$703) </f>
        <v>983910013036793886</v>
      </c>
    </row>
    <row r="207">
      <c r="A207" s="140">
        <v>280.0</v>
      </c>
      <c r="B207" s="125" t="str">
        <f>VLOOKUP(A207,'Swiss Registry'!$A$2:$B$703,2,False)</f>
        <v>xamvius</v>
      </c>
      <c r="C207" s="111" t="str">
        <f t="shared" si="17"/>
        <v/>
      </c>
      <c r="D207" s="112" t="str">
        <f t="shared" si="21"/>
        <v>Act: xamvius</v>
      </c>
      <c r="E207" s="107" t="str">
        <f t="shared" si="19"/>
        <v/>
      </c>
      <c r="F207" s="126" t="str">
        <f>VLOOKUP(G207,'Swiss Registry'!$A$2:$B$703,2,False)</f>
        <v>Ale8150</v>
      </c>
      <c r="G207" s="127">
        <v>665.0</v>
      </c>
      <c r="H207" s="93" t="s">
        <v>2014</v>
      </c>
      <c r="I207" s="141" t="str">
        <f t="array" ref="I207">XLOOKUP(CELL("contents",B207),'Swiss Registry'!$B$2:$B$703,'Swiss Registry'!$N$2:$N$703) </f>
        <v>173625348469030913</v>
      </c>
      <c r="J207" s="142" t="str">
        <f t="array" ref="J207">XLOOKUP(CELL("contents",F207),'Swiss Registry'!$B$2:$B$703,'Swiss Registry'!$N$2:$N$703) </f>
        <v>534764907887984641</v>
      </c>
    </row>
    <row r="208">
      <c r="A208" s="140">
        <v>249.0</v>
      </c>
      <c r="B208" s="125" t="str">
        <f>VLOOKUP(A208,'Swiss Registry'!$A$2:$B$703,2,False)</f>
        <v>gambling.goddess</v>
      </c>
      <c r="C208" s="111" t="str">
        <f t="shared" si="17"/>
        <v/>
      </c>
      <c r="D208" s="112" t="str">
        <f t="shared" si="21"/>
        <v>Act: gambling.goddess</v>
      </c>
      <c r="E208" s="107" t="str">
        <f t="shared" si="19"/>
        <v/>
      </c>
      <c r="F208" s="126" t="str">
        <f>VLOOKUP(G208,'Swiss Registry'!$A$2:$B$703,2,False)</f>
        <v>ponzuuu</v>
      </c>
      <c r="G208" s="127">
        <v>554.0</v>
      </c>
      <c r="H208" s="93" t="s">
        <v>1486</v>
      </c>
      <c r="I208" s="141" t="str">
        <f t="array" ref="I208">XLOOKUP(CELL("contents",B208),'Swiss Registry'!$B$2:$B$703,'Swiss Registry'!$N$2:$N$703) </f>
        <v>1254224283958378530</v>
      </c>
      <c r="J208" s="142" t="str">
        <f t="array" ref="J208">XLOOKUP(CELL("contents",F208),'Swiss Registry'!$B$2:$B$703,'Swiss Registry'!$N$2:$N$703) </f>
        <v>186347195966947328</v>
      </c>
    </row>
    <row r="209">
      <c r="A209" s="140">
        <v>311.0</v>
      </c>
      <c r="B209" s="125" t="str">
        <f>VLOOKUP(A209,'Swiss Registry'!$A$2:$B$703,2,False)</f>
        <v>luca</v>
      </c>
      <c r="C209" s="105" t="str">
        <f t="shared" si="17"/>
        <v>Game 1</v>
      </c>
      <c r="D209" s="106" t="str">
        <f t="shared" si="21"/>
        <v>Game 2</v>
      </c>
      <c r="E209" s="110" t="str">
        <f t="shared" si="19"/>
        <v>Game 3</v>
      </c>
      <c r="F209" s="126" t="str">
        <f>VLOOKUP(G209,'Swiss Registry'!$A$2:$B$703,2,False)</f>
        <v>HunarPG</v>
      </c>
      <c r="G209" s="127">
        <v>379.0</v>
      </c>
      <c r="H209" s="93" t="s">
        <v>2516</v>
      </c>
      <c r="I209" s="141" t="str">
        <f t="array" ref="I209">XLOOKUP(CELL("contents",B209),'Swiss Registry'!$B$2:$B$703,'Swiss Registry'!$N$2:$N$703) </f>
        <v>66965595282743296</v>
      </c>
      <c r="J209" s="142" t="str">
        <f t="array" ref="J209">XLOOKUP(CELL("contents",F209),'Swiss Registry'!$B$2:$B$703,'Swiss Registry'!$N$2:$N$703) </f>
        <v>851681863474741300</v>
      </c>
    </row>
    <row r="210">
      <c r="A210" s="140">
        <v>505.0</v>
      </c>
      <c r="B210" s="125" t="str">
        <f>VLOOKUP(A210,'Swiss Registry'!$A$2:$B$703,2,False)</f>
        <v>etymon_</v>
      </c>
      <c r="C210" s="105" t="str">
        <f t="shared" si="17"/>
        <v>Game 1</v>
      </c>
      <c r="D210" s="106" t="str">
        <f t="shared" si="21"/>
        <v>Game 2</v>
      </c>
      <c r="E210" s="107" t="str">
        <f t="shared" si="19"/>
        <v/>
      </c>
      <c r="F210" s="126" t="str">
        <f>VLOOKUP(G210,'Swiss Registry'!$A$2:$B$703,2,False)</f>
        <v>Witchgender</v>
      </c>
      <c r="G210" s="127">
        <v>323.0</v>
      </c>
      <c r="H210" s="93" t="s">
        <v>2517</v>
      </c>
      <c r="I210" s="141" t="str">
        <f t="array" ref="I210">XLOOKUP(CELL("contents",B210),'Swiss Registry'!$B$2:$B$703,'Swiss Registry'!$N$2:$N$703) </f>
        <v>790249278408359947</v>
      </c>
      <c r="J210" s="142" t="str">
        <f t="array" ref="J210">XLOOKUP(CELL("contents",F210),'Swiss Registry'!$B$2:$B$703,'Swiss Registry'!$N$2:$N$703) </f>
        <v>398504218102857728</v>
      </c>
    </row>
    <row r="211">
      <c r="A211" s="140">
        <v>196.0</v>
      </c>
      <c r="B211" s="125" t="str">
        <f>VLOOKUP(A211,'Swiss Registry'!$A$2:$B$703,2,False)</f>
        <v>steffmoney</v>
      </c>
      <c r="C211" s="105" t="str">
        <f t="shared" si="17"/>
        <v>Game 1</v>
      </c>
      <c r="D211" s="106" t="str">
        <f t="shared" si="21"/>
        <v>Game 2</v>
      </c>
      <c r="E211" s="107" t="str">
        <f t="shared" si="19"/>
        <v/>
      </c>
      <c r="F211" s="126" t="str">
        <f>VLOOKUP(G211,'Swiss Registry'!$A$2:$B$703,2,False)</f>
        <v>heroin4sale</v>
      </c>
      <c r="G211" s="127">
        <v>152.0</v>
      </c>
      <c r="H211" s="93" t="s">
        <v>2518</v>
      </c>
      <c r="I211" s="141" t="str">
        <f t="array" ref="I211">XLOOKUP(CELL("contents",B211),'Swiss Registry'!$B$2:$B$703,'Swiss Registry'!$N$2:$N$703) </f>
        <v>311143163060289537</v>
      </c>
      <c r="J211" s="142" t="str">
        <f t="array" ref="J211">XLOOKUP(CELL("contents",F211),'Swiss Registry'!$B$2:$B$703,'Swiss Registry'!$N$2:$N$703) </f>
        <v>176298020688625664</v>
      </c>
    </row>
    <row r="212">
      <c r="A212" s="140">
        <v>412.0</v>
      </c>
      <c r="B212" s="125" t="str">
        <f>VLOOKUP(A212,'Swiss Registry'!$A$2:$B$703,2,False)</f>
        <v>Yatagarasuwu</v>
      </c>
      <c r="C212" s="105" t="str">
        <f t="shared" si="17"/>
        <v>Game 1</v>
      </c>
      <c r="D212" s="106" t="str">
        <f t="shared" si="21"/>
        <v>Game 2</v>
      </c>
      <c r="E212" s="110" t="str">
        <f t="shared" si="19"/>
        <v>Game 3</v>
      </c>
      <c r="F212" s="126" t="str">
        <f>VLOOKUP(G212,'Swiss Registry'!$A$2:$B$703,2,False)</f>
        <v>solars_power</v>
      </c>
      <c r="G212" s="127">
        <v>651.0</v>
      </c>
      <c r="H212" s="93" t="s">
        <v>2519</v>
      </c>
      <c r="I212" s="141" t="str">
        <f t="array" ref="I212">XLOOKUP(CELL("contents",B212),'Swiss Registry'!$B$2:$B$703,'Swiss Registry'!$N$2:$N$703) </f>
        <v>260941235768786944</v>
      </c>
      <c r="J212" s="142" t="str">
        <f t="array" ref="J212">XLOOKUP(CELL("contents",F212),'Swiss Registry'!$B$2:$B$703,'Swiss Registry'!$N$2:$N$703) </f>
        <v>1288501552113254518</v>
      </c>
    </row>
    <row r="213">
      <c r="A213" s="140">
        <v>298.0</v>
      </c>
      <c r="B213" s="125" t="str">
        <f>VLOOKUP(A213,'Swiss Registry'!$A$2:$B$703,2,False)</f>
        <v>Jibca</v>
      </c>
      <c r="C213" s="105" t="str">
        <f t="shared" si="17"/>
        <v>Game 1</v>
      </c>
      <c r="D213" s="106" t="str">
        <f t="shared" si="21"/>
        <v>Game 2</v>
      </c>
      <c r="E213" s="110" t="str">
        <f t="shared" si="19"/>
        <v>Game 3</v>
      </c>
      <c r="F213" s="126" t="str">
        <f>VLOOKUP(G213,'Swiss Registry'!$A$2:$B$703,2,False)</f>
        <v>countsligo</v>
      </c>
      <c r="G213" s="127">
        <v>346.0</v>
      </c>
      <c r="H213" s="93" t="s">
        <v>2520</v>
      </c>
      <c r="I213" s="141" t="str">
        <f t="array" ref="I213">XLOOKUP(CELL("contents",B213),'Swiss Registry'!$B$2:$B$703,'Swiss Registry'!$N$2:$N$703) </f>
        <v>907486666267168799</v>
      </c>
      <c r="J213" s="142" t="str">
        <f t="array" ref="J213">XLOOKUP(CELL("contents",F213),'Swiss Registry'!$B$2:$B$703,'Swiss Registry'!$N$2:$N$703) </f>
        <v>442172713763602432</v>
      </c>
    </row>
    <row r="214">
      <c r="A214" s="140">
        <v>309.0</v>
      </c>
      <c r="B214" s="125" t="str">
        <f>VLOOKUP(A214,'Swiss Registry'!$A$2:$B$703,2,False)</f>
        <v>Musical_box</v>
      </c>
      <c r="C214" s="111" t="str">
        <f t="shared" si="17"/>
        <v/>
      </c>
      <c r="D214" s="112" t="str">
        <f t="shared" si="21"/>
        <v>Act: .germ_</v>
      </c>
      <c r="E214" s="107" t="str">
        <f t="shared" si="19"/>
        <v/>
      </c>
      <c r="F214" s="126" t="str">
        <f>VLOOKUP(G214,'Swiss Registry'!$A$2:$B$703,2,False)</f>
        <v>.germ_</v>
      </c>
      <c r="G214" s="127">
        <v>297.0</v>
      </c>
      <c r="H214" s="93" t="s">
        <v>1523</v>
      </c>
      <c r="I214" s="141" t="str">
        <f t="array" ref="I214">XLOOKUP(CELL("contents",B214),'Swiss Registry'!$B$2:$B$703,'Swiss Registry'!$N$2:$N$703) </f>
        <v>426204261290868736</v>
      </c>
      <c r="J214" s="142" t="str">
        <f t="array" ref="J214">XLOOKUP(CELL("contents",F214),'Swiss Registry'!$B$2:$B$703,'Swiss Registry'!$N$2:$N$703) </f>
        <v>358009888791592981</v>
      </c>
    </row>
    <row r="215">
      <c r="A215" s="140">
        <v>511.0</v>
      </c>
      <c r="B215" s="125" t="str">
        <f>VLOOKUP(A215,'Swiss Registry'!$A$2:$B$703,2,False)</f>
        <v>dfr2248</v>
      </c>
      <c r="C215" s="111" t="str">
        <f t="shared" si="17"/>
        <v/>
      </c>
      <c r="D215" s="112" t="str">
        <f t="shared" si="21"/>
        <v>Act: chrisdrums19</v>
      </c>
      <c r="E215" s="107" t="str">
        <f t="shared" si="19"/>
        <v/>
      </c>
      <c r="F215" s="126" t="str">
        <f>VLOOKUP(G215,'Swiss Registry'!$A$2:$B$703,2,False)</f>
        <v>chrisdrums19</v>
      </c>
      <c r="G215" s="127">
        <v>439.0</v>
      </c>
      <c r="H215" s="93" t="s">
        <v>2027</v>
      </c>
      <c r="I215" s="141" t="str">
        <f t="array" ref="I215">XLOOKUP(CELL("contents",B215),'Swiss Registry'!$B$2:$B$703,'Swiss Registry'!$N$2:$N$703) </f>
        <v>1067809125418934324</v>
      </c>
      <c r="J215" s="142" t="str">
        <f t="array" ref="J215">XLOOKUP(CELL("contents",F215),'Swiss Registry'!$B$2:$B$703,'Swiss Registry'!$N$2:$N$703) </f>
        <v>213534987708923905</v>
      </c>
    </row>
    <row r="216">
      <c r="A216" s="140">
        <v>406.0</v>
      </c>
      <c r="B216" s="125" t="str">
        <f>VLOOKUP(A216,'Swiss Registry'!$A$2:$B$703,2,False)</f>
        <v>epiclyepicgamer</v>
      </c>
      <c r="C216" s="105" t="str">
        <f t="shared" si="17"/>
        <v>Game 1</v>
      </c>
      <c r="D216" s="106" t="str">
        <f t="shared" si="21"/>
        <v>Game 2</v>
      </c>
      <c r="E216" s="110" t="str">
        <f t="shared" si="19"/>
        <v>Game 3</v>
      </c>
      <c r="F216" s="126" t="str">
        <f>VLOOKUP(G216,'Swiss Registry'!$A$2:$B$703,2,False)</f>
        <v>bdicap</v>
      </c>
      <c r="G216" s="127">
        <v>256.0</v>
      </c>
      <c r="H216" s="93" t="s">
        <v>2521</v>
      </c>
      <c r="I216" s="141" t="str">
        <f t="array" ref="I216">XLOOKUP(CELL("contents",B216),'Swiss Registry'!$B$2:$B$703,'Swiss Registry'!$N$2:$N$703) </f>
        <v>839557955140976701</v>
      </c>
      <c r="J216" s="142" t="str">
        <f t="array" ref="J216">XLOOKUP(CELL("contents",F216),'Swiss Registry'!$B$2:$B$703,'Swiss Registry'!$N$2:$N$703) </f>
        <v>503269288249917460</v>
      </c>
    </row>
    <row r="217">
      <c r="A217" s="140">
        <v>356.0</v>
      </c>
      <c r="B217" s="125" t="str">
        <f>VLOOKUP(A217,'Swiss Registry'!$A$2:$B$703,2,False)</f>
        <v>themightyq99</v>
      </c>
      <c r="C217" s="105" t="str">
        <f t="shared" si="17"/>
        <v>Game 1</v>
      </c>
      <c r="D217" s="106" t="str">
        <f t="shared" si="21"/>
        <v>Game 2</v>
      </c>
      <c r="E217" s="107" t="str">
        <f t="shared" si="19"/>
        <v/>
      </c>
      <c r="F217" s="126" t="str">
        <f>VLOOKUP(G217,'Swiss Registry'!$A$2:$B$703,2,False)</f>
        <v>green.9082</v>
      </c>
      <c r="G217" s="127">
        <v>287.0</v>
      </c>
      <c r="H217" s="93" t="s">
        <v>2522</v>
      </c>
      <c r="I217" s="141" t="str">
        <f t="array" ref="I217">XLOOKUP(CELL("contents",B217),'Swiss Registry'!$B$2:$B$703,'Swiss Registry'!$N$2:$N$703) </f>
        <v>1212585146042028052</v>
      </c>
      <c r="J217" s="142" t="str">
        <f t="array" ref="J217">XLOOKUP(CELL("contents",F217),'Swiss Registry'!$B$2:$B$703,'Swiss Registry'!$N$2:$N$703) </f>
        <v>627563478973939723</v>
      </c>
    </row>
    <row r="218">
      <c r="A218" s="140">
        <v>528.0</v>
      </c>
      <c r="B218" s="125" t="str">
        <f>VLOOKUP(A218,'Swiss Registry'!$A$2:$B$703,2,False)</f>
        <v>Kenmarijuana</v>
      </c>
      <c r="C218" s="105" t="str">
        <f t="shared" si="17"/>
        <v>Game 1</v>
      </c>
      <c r="D218" s="106" t="str">
        <f t="shared" si="21"/>
        <v>Game 2</v>
      </c>
      <c r="E218" s="110" t="str">
        <f t="shared" si="19"/>
        <v>Game 3</v>
      </c>
      <c r="F218" s="126" t="str">
        <f>VLOOKUP(G218,'Swiss Registry'!$A$2:$B$703,2,False)</f>
        <v>hypebeasthegel</v>
      </c>
      <c r="G218" s="127">
        <v>702.0</v>
      </c>
      <c r="H218" s="93" t="s">
        <v>2523</v>
      </c>
      <c r="I218" s="141" t="str">
        <f t="array" ref="I218">XLOOKUP(CELL("contents",B218),'Swiss Registry'!$B$2:$B$703,'Swiss Registry'!$N$2:$N$703) </f>
        <v>508684602261504010</v>
      </c>
      <c r="J218" s="142" t="str">
        <f t="array" ref="J218">XLOOKUP(CELL("contents",F218),'Swiss Registry'!$B$2:$B$703,'Swiss Registry'!$N$2:$N$703) </f>
        <v>401566713252020225</v>
      </c>
    </row>
    <row r="219">
      <c r="A219" s="140">
        <v>236.0</v>
      </c>
      <c r="B219" s="125" t="str">
        <f>VLOOKUP(A219,'Swiss Registry'!$A$2:$B$703,2,False)</f>
        <v>treyprime</v>
      </c>
      <c r="C219" s="105" t="str">
        <f t="shared" si="17"/>
        <v>Game 1</v>
      </c>
      <c r="D219" s="106" t="str">
        <f t="shared" si="21"/>
        <v>Game 2</v>
      </c>
      <c r="E219" s="110" t="str">
        <f t="shared" si="19"/>
        <v>Game 3</v>
      </c>
      <c r="F219" s="126" t="str">
        <f>VLOOKUP(G219,'Swiss Registry'!$A$2:$B$703,2,False)</f>
        <v>triskeriaki</v>
      </c>
      <c r="G219" s="127">
        <v>314.0</v>
      </c>
      <c r="H219" s="93" t="s">
        <v>2524</v>
      </c>
      <c r="I219" s="141" t="str">
        <f t="array" ref="I219">XLOOKUP(CELL("contents",B219),'Swiss Registry'!$B$2:$B$703,'Swiss Registry'!$N$2:$N$703) </f>
        <v>73106121434333184</v>
      </c>
      <c r="J219" s="142" t="str">
        <f t="array" ref="J219">XLOOKUP(CELL("contents",F219),'Swiss Registry'!$B$2:$B$703,'Swiss Registry'!$N$2:$N$703) </f>
        <v>316007672510021634</v>
      </c>
    </row>
    <row r="220">
      <c r="A220" s="140">
        <v>141.0</v>
      </c>
      <c r="B220" s="125" t="str">
        <f>VLOOKUP(A220,'Swiss Registry'!$A$2:$B$703,2,False)</f>
        <v>danielsemmson</v>
      </c>
      <c r="C220" s="111" t="str">
        <f t="shared" si="17"/>
        <v/>
      </c>
      <c r="D220" s="112" t="str">
        <f t="shared" si="21"/>
        <v>Act: danielsemmson</v>
      </c>
      <c r="E220" s="107" t="str">
        <f t="shared" si="19"/>
        <v/>
      </c>
      <c r="F220" s="126" t="str">
        <f>VLOOKUP(G220,'Swiss Registry'!$A$2:$B$703,2,False)</f>
        <v>Nuskadamo</v>
      </c>
      <c r="G220" s="127">
        <v>391.0</v>
      </c>
      <c r="H220" s="93" t="s">
        <v>1486</v>
      </c>
      <c r="I220" s="141" t="str">
        <f t="array" ref="I220">XLOOKUP(CELL("contents",B220),'Swiss Registry'!$B$2:$B$703,'Swiss Registry'!$N$2:$N$703) </f>
        <v>1128107355633107014</v>
      </c>
      <c r="J220" s="142" t="str">
        <f t="array" ref="J220">XLOOKUP(CELL("contents",F220),'Swiss Registry'!$B$2:$B$703,'Swiss Registry'!$N$2:$N$703) </f>
        <v>SUB</v>
      </c>
    </row>
    <row r="221">
      <c r="A221" s="140">
        <v>208.0</v>
      </c>
      <c r="B221" s="125" t="str">
        <f>VLOOKUP(A221,'Swiss Registry'!$A$2:$B$703,2,False)</f>
        <v>UsernameABCD</v>
      </c>
      <c r="C221" s="111" t="str">
        <f t="shared" si="17"/>
        <v/>
      </c>
      <c r="D221" s="112" t="str">
        <f t="shared" si="21"/>
        <v>Act: UsernameABCD</v>
      </c>
      <c r="E221" s="107" t="str">
        <f t="shared" si="19"/>
        <v/>
      </c>
      <c r="F221" s="126" t="str">
        <f>VLOOKUP(G221,'Swiss Registry'!$A$2:$B$703,2,False)</f>
        <v>firecracker1195</v>
      </c>
      <c r="G221" s="127">
        <v>501.0</v>
      </c>
      <c r="H221" s="93" t="s">
        <v>1486</v>
      </c>
      <c r="I221" s="141" t="str">
        <f t="array" ref="I221">XLOOKUP(CELL("contents",B221),'Swiss Registry'!$B$2:$B$703,'Swiss Registry'!$N$2:$N$703) </f>
        <v>341334237485465614</v>
      </c>
      <c r="J221" s="142" t="str">
        <f t="array" ref="J221">XLOOKUP(CELL("contents",F221),'Swiss Registry'!$B$2:$B$703,'Swiss Registry'!$N$2:$N$703) </f>
        <v>1140316980931461190</v>
      </c>
    </row>
    <row r="222">
      <c r="A222" s="140">
        <v>580.0</v>
      </c>
      <c r="B222" s="125" t="str">
        <f>VLOOKUP(A222,'Swiss Registry'!$A$2:$B$703,2,False)</f>
        <v>testemunha2622</v>
      </c>
      <c r="C222" s="105" t="str">
        <f t="shared" si="17"/>
        <v>Game 1</v>
      </c>
      <c r="D222" s="106" t="str">
        <f t="shared" si="21"/>
        <v>Game 2</v>
      </c>
      <c r="E222" s="110" t="str">
        <f t="shared" si="19"/>
        <v>Game 3</v>
      </c>
      <c r="F222" s="126" t="str">
        <f>VLOOKUP(G222,'Swiss Registry'!$A$2:$B$703,2,False)</f>
        <v>Greyaz</v>
      </c>
      <c r="G222" s="127">
        <v>684.0</v>
      </c>
      <c r="H222" s="93" t="s">
        <v>2525</v>
      </c>
      <c r="I222" s="141" t="str">
        <f t="array" ref="I222">XLOOKUP(CELL("contents",B222),'Swiss Registry'!$B$2:$B$703,'Swiss Registry'!$N$2:$N$703) </f>
        <v>395750485769846784</v>
      </c>
      <c r="J222" s="142" t="str">
        <f t="array" ref="J222">XLOOKUP(CELL("contents",F222),'Swiss Registry'!$B$2:$B$703,'Swiss Registry'!$N$2:$N$703) </f>
        <v>267764029538304000</v>
      </c>
    </row>
    <row r="223">
      <c r="A223" s="140">
        <v>646.0</v>
      </c>
      <c r="B223" s="125" t="str">
        <f>VLOOKUP(A223,'Swiss Registry'!$A$2:$B$703,2,False)</f>
        <v>DeathbyDunsparce</v>
      </c>
      <c r="C223" s="105" t="str">
        <f t="shared" si="17"/>
        <v>Game 1</v>
      </c>
      <c r="D223" s="106" t="str">
        <f t="shared" si="21"/>
        <v>Game 2</v>
      </c>
      <c r="E223" s="110" t="str">
        <f t="shared" si="19"/>
        <v>Game 3</v>
      </c>
      <c r="F223" s="126" t="str">
        <f>VLOOKUP(G223,'Swiss Registry'!$A$2:$B$703,2,False)</f>
        <v>grillking</v>
      </c>
      <c r="G223" s="127">
        <v>605.0</v>
      </c>
      <c r="H223" s="93" t="s">
        <v>2526</v>
      </c>
      <c r="I223" s="141" t="str">
        <f t="array" ref="I223">XLOOKUP(CELL("contents",B223),'Swiss Registry'!$B$2:$B$703,'Swiss Registry'!$N$2:$N$703) </f>
        <v>313084425498001409</v>
      </c>
      <c r="J223" s="142" t="str">
        <f t="array" ref="J223">XLOOKUP(CELL("contents",F223),'Swiss Registry'!$B$2:$B$703,'Swiss Registry'!$N$2:$N$703) </f>
        <v>213514916487757827</v>
      </c>
    </row>
    <row r="224">
      <c r="A224" s="140">
        <v>577.0</v>
      </c>
      <c r="B224" s="125" t="str">
        <f>VLOOKUP(A224,'Swiss Registry'!$A$2:$B$703,2,False)</f>
        <v>FISH (gypsytea)</v>
      </c>
      <c r="C224" s="105" t="str">
        <f t="shared" si="17"/>
        <v>Game 1</v>
      </c>
      <c r="D224" s="106" t="str">
        <f t="shared" si="21"/>
        <v>Game 2</v>
      </c>
      <c r="E224" s="110" t="str">
        <f t="shared" si="19"/>
        <v>Game 3</v>
      </c>
      <c r="F224" s="126" t="str">
        <f>VLOOKUP(G224,'Swiss Registry'!$A$2:$B$703,2,False)</f>
        <v>ebitachy</v>
      </c>
      <c r="G224" s="127">
        <v>584.0</v>
      </c>
      <c r="H224" s="93" t="s">
        <v>2527</v>
      </c>
      <c r="I224" s="141" t="str">
        <f t="array" ref="I224">XLOOKUP(CELL("contents",B224),'Swiss Registry'!$B$2:$B$703,'Swiss Registry'!$N$2:$N$703) </f>
        <v>1074009502556360836</v>
      </c>
      <c r="J224" s="142" t="str">
        <f t="array" ref="J224">XLOOKUP(CELL("contents",F224),'Swiss Registry'!$B$2:$B$703,'Swiss Registry'!$N$2:$N$703) </f>
        <v>219131577030934529</v>
      </c>
    </row>
    <row r="225">
      <c r="A225" s="140">
        <v>529.0</v>
      </c>
      <c r="B225" s="125" t="str">
        <f>VLOOKUP(A225,'Swiss Registry'!$A$2:$B$703,2,False)</f>
        <v>pat2678</v>
      </c>
      <c r="C225" s="111" t="str">
        <f t="shared" si="17"/>
        <v/>
      </c>
      <c r="D225" s="112" t="str">
        <f t="shared" si="21"/>
        <v>Act: scrapmetal56</v>
      </c>
      <c r="E225" s="107" t="str">
        <f t="shared" si="19"/>
        <v/>
      </c>
      <c r="F225" s="126" t="str">
        <f>VLOOKUP(G225,'Swiss Registry'!$A$2:$B$703,2,False)</f>
        <v>scrapmetal56</v>
      </c>
      <c r="G225" s="127">
        <v>644.0</v>
      </c>
      <c r="H225" s="93" t="s">
        <v>1523</v>
      </c>
      <c r="I225" s="141" t="str">
        <f t="array" ref="I225">XLOOKUP(CELL("contents",B225),'Swiss Registry'!$B$2:$B$703,'Swiss Registry'!$N$2:$N$703) </f>
        <v>380589919070060544</v>
      </c>
      <c r="J225" s="142" t="str">
        <f t="array" ref="J225">XLOOKUP(CELL("contents",F225),'Swiss Registry'!$B$2:$B$703,'Swiss Registry'!$N$2:$N$703) </f>
        <v>289371283995492352</v>
      </c>
    </row>
    <row r="226">
      <c r="A226" s="140">
        <v>678.0</v>
      </c>
      <c r="B226" s="125" t="str">
        <f>VLOOKUP(A226,'Swiss Registry'!$A$2:$B$703,2,False)</f>
        <v>Latlat1</v>
      </c>
      <c r="C226" s="105" t="str">
        <f t="shared" si="17"/>
        <v>Game 1</v>
      </c>
      <c r="D226" s="106" t="str">
        <f t="shared" si="21"/>
        <v>Game 2</v>
      </c>
      <c r="E226" s="110" t="str">
        <f t="shared" si="19"/>
        <v>Game 3</v>
      </c>
      <c r="F226" s="126" t="str">
        <f>VLOOKUP(G226,'Swiss Registry'!$A$2:$B$703,2,False)</f>
        <v>tommy4830</v>
      </c>
      <c r="G226" s="127">
        <v>590.0</v>
      </c>
      <c r="H226" s="93" t="s">
        <v>2528</v>
      </c>
      <c r="I226" s="141" t="str">
        <f t="array" ref="I226">XLOOKUP(CELL("contents",B226),'Swiss Registry'!$B$2:$B$703,'Swiss Registry'!$N$2:$N$703) </f>
        <v>186768858357432320</v>
      </c>
      <c r="J226" s="142" t="str">
        <f t="array" ref="J226">XLOOKUP(CELL("contents",F226),'Swiss Registry'!$B$2:$B$703,'Swiss Registry'!$N$2:$N$703) </f>
        <v>229884850377719808</v>
      </c>
    </row>
    <row r="227" ht="15.0" customHeight="1">
      <c r="A227" s="124"/>
      <c r="B227" s="122"/>
      <c r="C227" s="123"/>
      <c r="D227" s="138" t="s">
        <v>1629</v>
      </c>
      <c r="E227" s="123"/>
      <c r="F227" s="123"/>
      <c r="G227" s="124"/>
      <c r="H227" s="93"/>
      <c r="I227" s="139"/>
      <c r="J227" s="139"/>
    </row>
    <row r="228">
      <c r="A228" s="140">
        <v>384.0</v>
      </c>
      <c r="B228" s="125" t="str">
        <f>VLOOKUP(A228,'Swiss Registry'!$A$2:$B$703,2,False)</f>
        <v>poosh_i</v>
      </c>
      <c r="C228" s="105" t="str">
        <f t="shared" ref="C228:C271" si="22">IF(H228="dead","",IF(H228="a:act","",IF(H228="b:act","",IF(ISURL(HYPERLINK(INDIRECT("Importer!B"&amp;MID(H228,2,4)+1,TRUE))),HYPERLINK(INDIRECT("Importer!B"&amp;MID(H228,2,4)+1,TRUE), "Game 1"),""))))</f>
        <v>Game 1</v>
      </c>
      <c r="D228" s="106" t="str">
        <f t="shared" ref="D228:D241" si="23">IF(H228="dead","Dead Game",IF(H228="a:act","Act: "&amp;B228,IF(H228="b:act","Act: "&amp;F228,IF(ISURL(HYPERLINK(INDIRECT("Importer!B"&amp;MID(H228,6,4)+1,TRUE))),HYPERLINK(INDIRECT("Importer!B"&amp;MID(H228,6,4)+1,TRUE), "Game 2"),""))))</f>
        <v>Game 2</v>
      </c>
      <c r="E228" s="110" t="str">
        <f t="shared" ref="E228:E271" si="24">IF(H228="dead","",IF(H228="a:act","",IF(H228="b:act","",IF(ISURL(HYPERLINK(INDIRECT("Importer!B"&amp;MID(H228,10,4)+1,TRUE))),HYPERLINK(INDIRECT("Importer!B"&amp;MID(H228,10,4)+1,TRUE), "Game 3"),""))))</f>
        <v>Game 3</v>
      </c>
      <c r="F228" s="126" t="str">
        <f>VLOOKUP(G228,'Swiss Registry'!$A$2:$B$703,2,False)</f>
        <v>CoffeePour</v>
      </c>
      <c r="G228" s="127">
        <v>546.0</v>
      </c>
      <c r="H228" s="93" t="s">
        <v>2529</v>
      </c>
      <c r="I228" s="141" t="str">
        <f t="array" ref="I228">XLOOKUP(CELL("contents",B228),'Swiss Registry'!$B$2:$B$703,'Swiss Registry'!$N$2:$N$703) </f>
        <v>157452846374191104</v>
      </c>
      <c r="J228" s="142" t="str">
        <f t="array" ref="J228">XLOOKUP(CELL("contents",F228),'Swiss Registry'!$B$2:$B$703,'Swiss Registry'!$N$2:$N$703) </f>
        <v>896214559092801617</v>
      </c>
    </row>
    <row r="229">
      <c r="A229" s="140">
        <v>198.0</v>
      </c>
      <c r="B229" s="125" t="str">
        <f>VLOOKUP(A229,'Swiss Registry'!$A$2:$B$703,2,False)</f>
        <v>Kenava</v>
      </c>
      <c r="C229" s="105" t="str">
        <f t="shared" si="22"/>
        <v>Game 1</v>
      </c>
      <c r="D229" s="106" t="str">
        <f t="shared" si="23"/>
        <v>Game 2</v>
      </c>
      <c r="E229" s="110" t="str">
        <f t="shared" si="24"/>
        <v>Game 3</v>
      </c>
      <c r="F229" s="126" t="str">
        <f>VLOOKUP(G229,'Swiss Registry'!$A$2:$B$703,2,False)</f>
        <v>Chris2324</v>
      </c>
      <c r="G229" s="127">
        <v>371.0</v>
      </c>
      <c r="H229" s="93" t="s">
        <v>2530</v>
      </c>
      <c r="I229" s="141" t="str">
        <f t="array" ref="I229">XLOOKUP(CELL("contents",B229),'Swiss Registry'!$B$2:$B$703,'Swiss Registry'!$N$2:$N$703) </f>
        <v>727218490024394774</v>
      </c>
      <c r="J229" s="142" t="str">
        <f t="array" ref="J229">XLOOKUP(CELL("contents",F229),'Swiss Registry'!$B$2:$B$703,'Swiss Registry'!$N$2:$N$703) </f>
        <v>162755790644576257</v>
      </c>
    </row>
    <row r="230">
      <c r="A230" s="140">
        <v>463.0</v>
      </c>
      <c r="B230" s="125" t="str">
        <f>VLOOKUP(A230,'Swiss Registry'!$A$2:$B$703,2,False)</f>
        <v>thegreatest23</v>
      </c>
      <c r="C230" s="105" t="str">
        <f t="shared" si="22"/>
        <v>Game 1</v>
      </c>
      <c r="D230" s="106" t="str">
        <f t="shared" si="23"/>
        <v>Game 2</v>
      </c>
      <c r="E230" s="110" t="str">
        <f t="shared" si="24"/>
        <v>Game 3</v>
      </c>
      <c r="F230" s="126" t="str">
        <f>VLOOKUP(G230,'Swiss Registry'!$A$2:$B$703,2,False)</f>
        <v>Albatross115</v>
      </c>
      <c r="G230" s="127">
        <v>382.0</v>
      </c>
      <c r="H230" s="93" t="s">
        <v>2531</v>
      </c>
      <c r="I230" s="141" t="str">
        <f t="array" ref="I230">XLOOKUP(CELL("contents",B230),'Swiss Registry'!$B$2:$B$703,'Swiss Registry'!$N$2:$N$703) </f>
        <v>477886359105961995</v>
      </c>
      <c r="J230" s="142" t="str">
        <f t="array" ref="J230">XLOOKUP(CELL("contents",F230),'Swiss Registry'!$B$2:$B$703,'Swiss Registry'!$N$2:$N$703) </f>
        <v>370740769385873410</v>
      </c>
    </row>
    <row r="231">
      <c r="A231" s="140">
        <v>144.0</v>
      </c>
      <c r="B231" s="125" t="str">
        <f>VLOOKUP(A231,'Swiss Registry'!$A$2:$B$703,2,False)</f>
        <v>Forest4269</v>
      </c>
      <c r="C231" s="105" t="str">
        <f t="shared" si="22"/>
        <v>Game 1</v>
      </c>
      <c r="D231" s="106" t="str">
        <f t="shared" si="23"/>
        <v>Game 2</v>
      </c>
      <c r="E231" s="107" t="str">
        <f t="shared" si="24"/>
        <v/>
      </c>
      <c r="F231" s="126" t="str">
        <f>VLOOKUP(G231,'Swiss Registry'!$A$2:$B$703,2,False)</f>
        <v>kinou_pkm</v>
      </c>
      <c r="G231" s="127">
        <v>619.0</v>
      </c>
      <c r="H231" s="93" t="s">
        <v>2532</v>
      </c>
      <c r="I231" s="141" t="str">
        <f t="array" ref="I231">XLOOKUP(CELL("contents",B231),'Swiss Registry'!$B$2:$B$703,'Swiss Registry'!$N$2:$N$703) </f>
        <v>139115501732233216</v>
      </c>
      <c r="J231" s="142" t="str">
        <f t="array" ref="J231">XLOOKUP(CELL("contents",F231),'Swiss Registry'!$B$2:$B$703,'Swiss Registry'!$N$2:$N$703) </f>
        <v>760122389345337405</v>
      </c>
    </row>
    <row r="232">
      <c r="A232" s="140">
        <v>278.0</v>
      </c>
      <c r="B232" s="125" t="str">
        <f>VLOOKUP(A232,'Swiss Registry'!$A$2:$B$703,2,False)</f>
        <v>voidvolta</v>
      </c>
      <c r="C232" s="111" t="str">
        <f t="shared" si="22"/>
        <v/>
      </c>
      <c r="D232" s="112" t="str">
        <f t="shared" si="23"/>
        <v>Act: Graham (graaahaaam)</v>
      </c>
      <c r="E232" s="107" t="str">
        <f t="shared" si="24"/>
        <v/>
      </c>
      <c r="F232" s="126" t="str">
        <f>VLOOKUP(G232,'Swiss Registry'!$A$2:$B$703,2,False)</f>
        <v>Graham (graaahaaam)</v>
      </c>
      <c r="G232" s="127">
        <v>135.0</v>
      </c>
      <c r="H232" s="93" t="s">
        <v>1462</v>
      </c>
      <c r="I232" s="141" t="str">
        <f t="array" ref="I232">XLOOKUP(CELL("contents",B232),'Swiss Registry'!$B$2:$B$703,'Swiss Registry'!$N$2:$N$703) </f>
        <v>208590765159350273</v>
      </c>
      <c r="J232" s="142" t="str">
        <f t="array" ref="J232">XLOOKUP(CELL("contents",F232),'Swiss Registry'!$B$2:$B$703,'Swiss Registry'!$N$2:$N$703) </f>
        <v>116227974885277697</v>
      </c>
    </row>
    <row r="233">
      <c r="A233" s="140">
        <v>241.0</v>
      </c>
      <c r="B233" s="125" t="str">
        <f>VLOOKUP(A233,'Swiss Registry'!$A$2:$B$703,2,False)</f>
        <v>imcob</v>
      </c>
      <c r="C233" s="105" t="str">
        <f t="shared" si="22"/>
        <v>Game 1</v>
      </c>
      <c r="D233" s="106" t="str">
        <f t="shared" si="23"/>
        <v>Game 2</v>
      </c>
      <c r="E233" s="110" t="str">
        <f t="shared" si="24"/>
        <v>Game 3</v>
      </c>
      <c r="F233" s="126" t="str">
        <f>VLOOKUP(G233,'Swiss Registry'!$A$2:$B$703,2,False)</f>
        <v>JoJ</v>
      </c>
      <c r="G233" s="127">
        <v>252.0</v>
      </c>
      <c r="H233" s="93" t="s">
        <v>2533</v>
      </c>
      <c r="I233" s="141" t="str">
        <f t="array" ref="I233">XLOOKUP(CELL("contents",B233),'Swiss Registry'!$B$2:$B$703,'Swiss Registry'!$N$2:$N$703) </f>
        <v>477903847159889922</v>
      </c>
      <c r="J233" s="142" t="str">
        <f t="array" ref="J233">XLOOKUP(CELL("contents",F233),'Swiss Registry'!$B$2:$B$703,'Swiss Registry'!$N$2:$N$703) </f>
        <v>275292063417892865</v>
      </c>
    </row>
    <row r="234">
      <c r="A234" s="140">
        <v>178.0</v>
      </c>
      <c r="B234" s="125" t="str">
        <f>VLOOKUP(A234,'Swiss Registry'!$A$2:$B$703,2,False)</f>
        <v>pinjarrapanther</v>
      </c>
      <c r="C234" s="105" t="str">
        <f t="shared" si="22"/>
        <v>Game 1</v>
      </c>
      <c r="D234" s="106" t="str">
        <f t="shared" si="23"/>
        <v>Game 2</v>
      </c>
      <c r="E234" s="107" t="str">
        <f t="shared" si="24"/>
        <v/>
      </c>
      <c r="F234" s="126" t="str">
        <f>VLOOKUP(G234,'Swiss Registry'!$A$2:$B$703,2,False)</f>
        <v>chad.lagos</v>
      </c>
      <c r="G234" s="127">
        <v>315.0</v>
      </c>
      <c r="H234" s="93" t="s">
        <v>2534</v>
      </c>
      <c r="I234" s="141" t="str">
        <f t="array" ref="I234">XLOOKUP(CELL("contents",B234),'Swiss Registry'!$B$2:$B$703,'Swiss Registry'!$N$2:$N$703) </f>
        <v>220831983591227393</v>
      </c>
      <c r="J234" s="142" t="str">
        <f t="array" ref="J234">XLOOKUP(CELL("contents",F234),'Swiss Registry'!$B$2:$B$703,'Swiss Registry'!$N$2:$N$703) </f>
        <v>688935874020638730</v>
      </c>
    </row>
    <row r="235">
      <c r="A235" s="140">
        <v>131.0</v>
      </c>
      <c r="B235" s="125" t="str">
        <f>VLOOKUP(A235,'Swiss Registry'!$A$2:$B$703,2,False)</f>
        <v>ReavenFTW</v>
      </c>
      <c r="C235" s="111" t="str">
        <f t="shared" si="22"/>
        <v/>
      </c>
      <c r="D235" s="112" t="str">
        <f t="shared" si="23"/>
        <v>Act: ReavenFTW</v>
      </c>
      <c r="E235" s="107" t="str">
        <f t="shared" si="24"/>
        <v/>
      </c>
      <c r="F235" s="126" t="str">
        <f>VLOOKUP(G235,'Swiss Registry'!$A$2:$B$703,2,False)</f>
        <v>Wifike</v>
      </c>
      <c r="G235" s="127">
        <v>390.0</v>
      </c>
      <c r="H235" s="93" t="s">
        <v>2535</v>
      </c>
      <c r="I235" s="141" t="str">
        <f t="array" ref="I235">XLOOKUP(CELL("contents",B235),'Swiss Registry'!$B$2:$B$703,'Swiss Registry'!$N$2:$N$703) </f>
        <v>491685671480721419</v>
      </c>
      <c r="J235" s="142" t="str">
        <f t="array" ref="J235">XLOOKUP(CELL("contents",F235),'Swiss Registry'!$B$2:$B$703,'Swiss Registry'!$N$2:$N$703) </f>
        <v>849829490254544947</v>
      </c>
    </row>
    <row r="236">
      <c r="A236" s="140">
        <v>333.0</v>
      </c>
      <c r="B236" s="125" t="str">
        <f>VLOOKUP(A236,'Swiss Registry'!$A$2:$B$703,2,False)</f>
        <v>4lowray</v>
      </c>
      <c r="C236" s="105" t="str">
        <f t="shared" si="22"/>
        <v>Game 1</v>
      </c>
      <c r="D236" s="106" t="str">
        <f t="shared" si="23"/>
        <v>Game 2</v>
      </c>
      <c r="E236" s="110" t="str">
        <f t="shared" si="24"/>
        <v>Game 3</v>
      </c>
      <c r="F236" s="126" t="str">
        <f>VLOOKUP(G236,'Swiss Registry'!$A$2:$B$703,2,False)</f>
        <v>madelinmorningstar</v>
      </c>
      <c r="G236" s="127">
        <v>453.0</v>
      </c>
      <c r="H236" s="93" t="s">
        <v>2536</v>
      </c>
      <c r="I236" s="141" t="str">
        <f t="array" ref="I236">XLOOKUP(CELL("contents",B236),'Swiss Registry'!$B$2:$B$703,'Swiss Registry'!$N$2:$N$703) </f>
        <v>1083677463932051566</v>
      </c>
      <c r="J236" s="142" t="str">
        <f t="array" ref="J236">XLOOKUP(CELL("contents",F236),'Swiss Registry'!$B$2:$B$703,'Swiss Registry'!$N$2:$N$703) </f>
        <v>1235691371579572346</v>
      </c>
    </row>
    <row r="237">
      <c r="A237" s="140">
        <v>449.0</v>
      </c>
      <c r="B237" s="125" t="str">
        <f>VLOOKUP(A237,'Swiss Registry'!$A$2:$B$703,2,False)</f>
        <v>biluv_v</v>
      </c>
      <c r="C237" s="105" t="str">
        <f t="shared" si="22"/>
        <v>Game 1</v>
      </c>
      <c r="D237" s="106" t="str">
        <f t="shared" si="23"/>
        <v>Game 2</v>
      </c>
      <c r="E237" s="107" t="str">
        <f t="shared" si="24"/>
        <v/>
      </c>
      <c r="F237" s="126" t="str">
        <f>VLOOKUP(G237,'Swiss Registry'!$A$2:$B$703,2,False)</f>
        <v>theamazingeevee</v>
      </c>
      <c r="G237" s="127">
        <v>324.0</v>
      </c>
      <c r="H237" s="93" t="s">
        <v>2537</v>
      </c>
      <c r="I237" s="141" t="str">
        <f t="array" ref="I237">XLOOKUP(CELL("contents",B237),'Swiss Registry'!$B$2:$B$703,'Swiss Registry'!$N$2:$N$703) </f>
        <v>1073292922390319195</v>
      </c>
      <c r="J237" s="142" t="str">
        <f t="array" ref="J237">XLOOKUP(CELL("contents",F237),'Swiss Registry'!$B$2:$B$703,'Swiss Registry'!$N$2:$N$703) </f>
        <v>101148936957366272</v>
      </c>
    </row>
    <row r="238">
      <c r="A238" s="140">
        <v>410.0</v>
      </c>
      <c r="B238" s="125" t="str">
        <f>VLOOKUP(A238,'Swiss Registry'!$A$2:$B$703,2,False)</f>
        <v>ultraemeraldman_16197</v>
      </c>
      <c r="C238" s="111" t="str">
        <f t="shared" si="22"/>
        <v/>
      </c>
      <c r="D238" s="112" t="str">
        <f t="shared" si="23"/>
        <v>Act: ultraemeraldman_16197</v>
      </c>
      <c r="E238" s="107" t="str">
        <f t="shared" si="24"/>
        <v/>
      </c>
      <c r="F238" s="126" t="str">
        <f>VLOOKUP(G238,'Swiss Registry'!$A$2:$B$703,2,False)</f>
        <v>yadyaksh</v>
      </c>
      <c r="G238" s="127">
        <v>452.0</v>
      </c>
      <c r="H238" s="93" t="s">
        <v>1475</v>
      </c>
      <c r="I238" s="141" t="str">
        <f t="array" ref="I238">XLOOKUP(CELL("contents",B238),'Swiss Registry'!$B$2:$B$703,'Swiss Registry'!$N$2:$N$703) </f>
        <v>1160240514046631987</v>
      </c>
      <c r="J238" s="142" t="str">
        <f t="array" ref="J238">XLOOKUP(CELL("contents",F238),'Swiss Registry'!$B$2:$B$703,'Swiss Registry'!$N$2:$N$703) </f>
        <v>1030027691136647208</v>
      </c>
    </row>
    <row r="239">
      <c r="A239" s="140">
        <v>450.0</v>
      </c>
      <c r="B239" s="125" t="str">
        <f>VLOOKUP(A239,'Swiss Registry'!$A$2:$B$703,2,False)</f>
        <v>larkindred</v>
      </c>
      <c r="C239" s="105" t="str">
        <f t="shared" si="22"/>
        <v>Game 1</v>
      </c>
      <c r="D239" s="106" t="str">
        <f t="shared" si="23"/>
        <v>Game 2</v>
      </c>
      <c r="E239" s="110" t="str">
        <f t="shared" si="24"/>
        <v>Game 3</v>
      </c>
      <c r="F239" s="126" t="str">
        <f>VLOOKUP(G239,'Swiss Registry'!$A$2:$B$703,2,False)</f>
        <v>HakkihanTunbak (I recently joined the discord)</v>
      </c>
      <c r="G239" s="127">
        <v>399.0</v>
      </c>
      <c r="H239" s="93" t="s">
        <v>2538</v>
      </c>
      <c r="I239" s="141" t="str">
        <f t="array" ref="I239">XLOOKUP(CELL("contents",B239),'Swiss Registry'!$B$2:$B$703,'Swiss Registry'!$N$2:$N$703) </f>
        <v>519615198294704153</v>
      </c>
      <c r="J239" s="142" t="str">
        <f t="array" ref="J239">XLOOKUP(CELL("contents",F239),'Swiss Registry'!$B$2:$B$703,'Swiss Registry'!$N$2:$N$703) </f>
        <v>332243794584141834</v>
      </c>
    </row>
    <row r="240">
      <c r="A240" s="140">
        <v>601.0</v>
      </c>
      <c r="B240" s="125" t="str">
        <f>VLOOKUP(A240,'Swiss Registry'!$A$2:$B$703,2,False)</f>
        <v>zy___</v>
      </c>
      <c r="C240" s="105" t="str">
        <f t="shared" si="22"/>
        <v>Game 1</v>
      </c>
      <c r="D240" s="106" t="str">
        <f t="shared" si="23"/>
        <v>Game 2</v>
      </c>
      <c r="E240" s="107" t="str">
        <f t="shared" si="24"/>
        <v/>
      </c>
      <c r="F240" s="126" t="str">
        <f>VLOOKUP(G240,'Swiss Registry'!$A$2:$B$703,2,False)</f>
        <v>almbkn</v>
      </c>
      <c r="G240" s="127">
        <v>544.0</v>
      </c>
      <c r="H240" s="93" t="s">
        <v>2539</v>
      </c>
      <c r="I240" s="141" t="str">
        <f t="array" ref="I240">XLOOKUP(CELL("contents",B240),'Swiss Registry'!$B$2:$B$703,'Swiss Registry'!$N$2:$N$703) </f>
        <v>401769953910587393</v>
      </c>
      <c r="J240" s="142" t="str">
        <f t="array" ref="J240">XLOOKUP(CELL("contents",F240),'Swiss Registry'!$B$2:$B$703,'Swiss Registry'!$N$2:$N$703) </f>
        <v>152476072473133056</v>
      </c>
    </row>
    <row r="241">
      <c r="A241" s="140">
        <v>388.0</v>
      </c>
      <c r="B241" s="125" t="str">
        <f>VLOOKUP(A241,'Swiss Registry'!$A$2:$B$703,2,False)</f>
        <v>Tyxerns</v>
      </c>
      <c r="C241" s="105" t="str">
        <f t="shared" si="22"/>
        <v>Game 1</v>
      </c>
      <c r="D241" s="106" t="str">
        <f t="shared" si="23"/>
        <v>Game 2</v>
      </c>
      <c r="E241" s="110" t="str">
        <f t="shared" si="24"/>
        <v>Game 3</v>
      </c>
      <c r="F241" s="126" t="str">
        <f>VLOOKUP(G241,'Swiss Registry'!$A$2:$B$703,2,False)</f>
        <v>warupeach</v>
      </c>
      <c r="G241" s="127">
        <v>575.0</v>
      </c>
      <c r="H241" s="93" t="s">
        <v>2540</v>
      </c>
      <c r="I241" s="141" t="str">
        <f t="array" ref="I241">XLOOKUP(CELL("contents",B241),'Swiss Registry'!$B$2:$B$703,'Swiss Registry'!$N$2:$N$703) </f>
        <v>520352187344355359</v>
      </c>
      <c r="J241" s="142" t="str">
        <f t="array" ref="J241">XLOOKUP(CELL("contents",F241),'Swiss Registry'!$B$2:$B$703,'Swiss Registry'!$N$2:$N$703) </f>
        <v>1260741423414775869</v>
      </c>
    </row>
    <row r="242">
      <c r="A242" s="140">
        <v>173.0</v>
      </c>
      <c r="B242" s="125" t="str">
        <f>VLOOKUP(A242,'Swiss Registry'!$A$2:$B$703,2,False)</f>
        <v>temraneee</v>
      </c>
      <c r="C242" s="105" t="str">
        <f t="shared" si="22"/>
        <v>Game 1</v>
      </c>
      <c r="D242" s="106" t="str">
        <f>IF(H242="dead","Dead Game",IF(H242="a:act","Act: "&amp;F242,IF(H242="b:act","Act: "&amp;#REF!,IF(ISURL(HYPERLINK(INDIRECT("Importer!B"&amp;MID(H242,6,4)+1,TRUE))),HYPERLINK(INDIRECT("Importer!B"&amp;MID(H242,6,4)+1,TRUE), "Game 2"),""))))</f>
        <v>Game 2</v>
      </c>
      <c r="E242" s="107" t="str">
        <f t="shared" si="24"/>
        <v/>
      </c>
      <c r="F242" s="126" t="str">
        <f>VLOOKUP(G242,'Swiss Registry'!$A$2:$B$703,2,False)</f>
        <v>Loneling</v>
      </c>
      <c r="G242" s="127">
        <v>153.0</v>
      </c>
      <c r="H242" s="93" t="s">
        <v>2541</v>
      </c>
      <c r="I242" s="141" t="str">
        <f t="array" ref="I242">XLOOKUP(CELL("contents",B242),'Swiss Registry'!$B$2:$B$703,'Swiss Registry'!$N$2:$N$703) </f>
        <v>131822654574297088</v>
      </c>
      <c r="J242" s="142" t="str">
        <f t="array" ref="J242">XLOOKUP(CELL("contents",F242),'Swiss Registry'!$B$2:$B$703,'Swiss Registry'!$N$2:$N$703) </f>
        <v>1260035840294260737</v>
      </c>
    </row>
    <row r="243">
      <c r="A243" s="140">
        <v>327.0</v>
      </c>
      <c r="B243" s="125" t="str">
        <f>VLOOKUP(A243,'Swiss Registry'!$A$2:$B$703,2,False)</f>
        <v>wyli.olivete</v>
      </c>
      <c r="C243" s="105" t="str">
        <f t="shared" si="22"/>
        <v>Game 1</v>
      </c>
      <c r="D243" s="106" t="str">
        <f t="shared" ref="D243:D271" si="25">IF(H243="dead","Dead Game",IF(H243="a:act","Act: "&amp;B243,IF(H243="b:act","Act: "&amp;F243,IF(ISURL(HYPERLINK(INDIRECT("Importer!B"&amp;MID(H243,6,4)+1,TRUE))),HYPERLINK(INDIRECT("Importer!B"&amp;MID(H243,6,4)+1,TRUE), "Game 2"),""))))</f>
        <v>Game 2</v>
      </c>
      <c r="E243" s="110" t="str">
        <f t="shared" si="24"/>
        <v>Game 3</v>
      </c>
      <c r="F243" s="126" t="str">
        <f>VLOOKUP(G243,'Swiss Registry'!$A$2:$B$703,2,False)</f>
        <v>caps lock 3009</v>
      </c>
      <c r="G243" s="127">
        <v>387.0</v>
      </c>
      <c r="H243" s="93" t="s">
        <v>2542</v>
      </c>
      <c r="I243" s="141" t="str">
        <f t="array" ref="I243">XLOOKUP(CELL("contents",B243),'Swiss Registry'!$B$2:$B$703,'Swiss Registry'!$N$2:$N$703) </f>
        <v>600915748629643276</v>
      </c>
      <c r="J243" s="142" t="str">
        <f t="array" ref="J243">XLOOKUP(CELL("contents",F243),'Swiss Registry'!$B$2:$B$703,'Swiss Registry'!$N$2:$N$703) </f>
        <v>735968904328904897</v>
      </c>
    </row>
    <row r="244">
      <c r="A244" s="140">
        <v>643.0</v>
      </c>
      <c r="B244" s="125" t="str">
        <f>VLOOKUP(A244,'Swiss Registry'!$A$2:$B$703,2,False)</f>
        <v>Dig Boshi</v>
      </c>
      <c r="C244" s="111" t="str">
        <f t="shared" si="22"/>
        <v/>
      </c>
      <c r="D244" s="112" t="str">
        <f t="shared" si="25"/>
        <v>Act: Dig Boshi</v>
      </c>
      <c r="E244" s="107" t="str">
        <f t="shared" si="24"/>
        <v/>
      </c>
      <c r="F244" s="126" t="str">
        <f>VLOOKUP(G244,'Swiss Registry'!$A$2:$B$703,2,False)</f>
        <v>2coinsglued</v>
      </c>
      <c r="G244" s="127">
        <v>209.0</v>
      </c>
      <c r="H244" s="93" t="s">
        <v>1486</v>
      </c>
      <c r="I244" s="141" t="str">
        <f t="array" ref="I244">XLOOKUP(CELL("contents",B244),'Swiss Registry'!$B$2:$B$703,'Swiss Registry'!$N$2:$N$703) </f>
        <v>1041574782090620938</v>
      </c>
      <c r="J244" s="142" t="str">
        <f t="array" ref="J244">XLOOKUP(CELL("contents",F244),'Swiss Registry'!$B$2:$B$703,'Swiss Registry'!$N$2:$N$703) </f>
        <v>SUB</v>
      </c>
    </row>
    <row r="245">
      <c r="A245" s="140">
        <v>551.0</v>
      </c>
      <c r="B245" s="125" t="str">
        <f>VLOOKUP(A245,'Swiss Registry'!$A$2:$B$703,2,False)</f>
        <v>Bedal.r</v>
      </c>
      <c r="C245" s="111" t="str">
        <f t="shared" si="22"/>
        <v/>
      </c>
      <c r="D245" s="112" t="str">
        <f t="shared" si="25"/>
        <v>Act: starii88</v>
      </c>
      <c r="E245" s="107" t="str">
        <f t="shared" si="24"/>
        <v/>
      </c>
      <c r="F245" s="126" t="str">
        <f>VLOOKUP(G245,'Swiss Registry'!$A$2:$B$703,2,False)</f>
        <v>starii88</v>
      </c>
      <c r="G245" s="127">
        <v>437.0</v>
      </c>
      <c r="H245" s="93" t="s">
        <v>1462</v>
      </c>
      <c r="I245" s="141" t="str">
        <f t="array" ref="I245">XLOOKUP(CELL("contents",B245),'Swiss Registry'!$B$2:$B$703,'Swiss Registry'!$N$2:$N$703) </f>
        <v>420576111848718336</v>
      </c>
      <c r="J245" s="142" t="str">
        <f t="array" ref="J245">XLOOKUP(CELL("contents",F245),'Swiss Registry'!$B$2:$B$703,'Swiss Registry'!$N$2:$N$703) </f>
        <v>343404916636647428</v>
      </c>
    </row>
    <row r="246">
      <c r="A246" s="140">
        <v>494.0</v>
      </c>
      <c r="B246" s="125" t="str">
        <f>VLOOKUP(A246,'Swiss Registry'!$A$2:$B$703,2,False)</f>
        <v>thefattestofyoshis</v>
      </c>
      <c r="C246" s="105" t="str">
        <f t="shared" si="22"/>
        <v>Game 1</v>
      </c>
      <c r="D246" s="106" t="str">
        <f t="shared" si="25"/>
        <v>Game 2</v>
      </c>
      <c r="E246" s="107" t="str">
        <f t="shared" si="24"/>
        <v/>
      </c>
      <c r="F246" s="126" t="str">
        <f>VLOOKUP(G246,'Swiss Registry'!$A$2:$B$703,2,False)</f>
        <v>Moneybaggslowbro</v>
      </c>
      <c r="G246" s="127">
        <v>465.0</v>
      </c>
      <c r="H246" s="93" t="s">
        <v>2543</v>
      </c>
      <c r="I246" s="141" t="str">
        <f t="array" ref="I246">XLOOKUP(CELL("contents",B246),'Swiss Registry'!$B$2:$B$703,'Swiss Registry'!$N$2:$N$703) </f>
        <v>484359933706371074</v>
      </c>
      <c r="J246" s="142" t="str">
        <f t="array" ref="J246">XLOOKUP(CELL("contents",F246),'Swiss Registry'!$B$2:$B$703,'Swiss Registry'!$N$2:$N$703) </f>
        <v>284366067126632448</v>
      </c>
    </row>
    <row r="247">
      <c r="A247" s="140">
        <v>489.0</v>
      </c>
      <c r="B247" s="125" t="str">
        <f>VLOOKUP(A247,'Swiss Registry'!$A$2:$B$703,2,False)</f>
        <v>luukthegamer</v>
      </c>
      <c r="C247" s="105" t="str">
        <f t="shared" si="22"/>
        <v>Game 1</v>
      </c>
      <c r="D247" s="106" t="str">
        <f t="shared" si="25"/>
        <v>Game 2</v>
      </c>
      <c r="E247" s="107" t="str">
        <f t="shared" si="24"/>
        <v/>
      </c>
      <c r="F247" s="126" t="str">
        <f>VLOOKUP(G247,'Swiss Registry'!$A$2:$B$703,2,False)</f>
        <v>tibetanator</v>
      </c>
      <c r="G247" s="127">
        <v>530.0</v>
      </c>
      <c r="H247" s="93" t="s">
        <v>2544</v>
      </c>
      <c r="I247" s="141" t="str">
        <f t="array" ref="I247">XLOOKUP(CELL("contents",B247),'Swiss Registry'!$B$2:$B$703,'Swiss Registry'!$N$2:$N$703) </f>
        <v>407167044174217218</v>
      </c>
      <c r="J247" s="142" t="str">
        <f t="array" ref="J247">XLOOKUP(CELL("contents",F247),'Swiss Registry'!$B$2:$B$703,'Swiss Registry'!$N$2:$N$703) </f>
        <v>734152855501668363</v>
      </c>
    </row>
    <row r="248">
      <c r="A248" s="140">
        <v>483.0</v>
      </c>
      <c r="B248" s="125" t="str">
        <f>VLOOKUP(A248,'Swiss Registry'!$A$2:$B$703,2,False)</f>
        <v>erfder (old style Erfder#3147)</v>
      </c>
      <c r="C248" s="105" t="str">
        <f t="shared" si="22"/>
        <v>Game 1</v>
      </c>
      <c r="D248" s="106" t="str">
        <f t="shared" si="25"/>
        <v>Game 2</v>
      </c>
      <c r="E248" s="110" t="str">
        <f t="shared" si="24"/>
        <v>Game 3</v>
      </c>
      <c r="F248" s="126" t="str">
        <f>VLOOKUP(G248,'Swiss Registry'!$A$2:$B$703,2,False)</f>
        <v>Tefo</v>
      </c>
      <c r="G248" s="127">
        <v>221.0</v>
      </c>
      <c r="H248" s="93" t="s">
        <v>2545</v>
      </c>
      <c r="I248" s="141" t="str">
        <f t="array" ref="I248">XLOOKUP(CELL("contents",B248),'Swiss Registry'!$B$2:$B$703,'Swiss Registry'!$N$2:$N$703) </f>
        <v>172402233676136448</v>
      </c>
      <c r="J248" s="142" t="str">
        <f t="array" ref="J248">XLOOKUP(CELL("contents",F248),'Swiss Registry'!$B$2:$B$703,'Swiss Registry'!$N$2:$N$703) </f>
        <v>398388682874159106</v>
      </c>
    </row>
    <row r="249">
      <c r="A249" s="140">
        <v>261.0</v>
      </c>
      <c r="B249" s="125" t="str">
        <f>VLOOKUP(A249,'Swiss Registry'!$A$2:$B$703,2,False)</f>
        <v>doc.steel</v>
      </c>
      <c r="C249" s="111" t="str">
        <f t="shared" si="22"/>
        <v/>
      </c>
      <c r="D249" s="112" t="str">
        <f t="shared" si="25"/>
        <v>Act: doc.steel</v>
      </c>
      <c r="E249" s="107" t="str">
        <f t="shared" si="24"/>
        <v/>
      </c>
      <c r="F249" s="126" t="str">
        <f>VLOOKUP(G249,'Swiss Registry'!$A$2:$B$703,2,False)</f>
        <v>deckline</v>
      </c>
      <c r="G249" s="127">
        <v>359.0</v>
      </c>
      <c r="H249" s="93" t="s">
        <v>1486</v>
      </c>
      <c r="I249" s="141" t="str">
        <f t="array" ref="I249">XLOOKUP(CELL("contents",B249),'Swiss Registry'!$B$2:$B$703,'Swiss Registry'!$N$2:$N$703) </f>
        <v>549319366538428453</v>
      </c>
      <c r="J249" s="142" t="str">
        <f t="array" ref="J249">XLOOKUP(CELL("contents",F249),'Swiss Registry'!$B$2:$B$703,'Swiss Registry'!$N$2:$N$703) </f>
        <v>189508379356430336</v>
      </c>
    </row>
    <row r="250">
      <c r="A250" s="140">
        <v>282.0</v>
      </c>
      <c r="B250" s="125" t="str">
        <f>VLOOKUP(A250,'Swiss Registry'!$A$2:$B$703,2,False)</f>
        <v>koentjelub</v>
      </c>
      <c r="C250" s="105" t="str">
        <f t="shared" si="22"/>
        <v>Game 1</v>
      </c>
      <c r="D250" s="106" t="str">
        <f t="shared" si="25"/>
        <v>Game 2</v>
      </c>
      <c r="E250" s="110" t="str">
        <f t="shared" si="24"/>
        <v>Game 3</v>
      </c>
      <c r="F250" s="126" t="str">
        <f>VLOOKUP(G250,'Swiss Registry'!$A$2:$B$703,2,False)</f>
        <v>wombatbaby</v>
      </c>
      <c r="G250" s="127">
        <v>490.0</v>
      </c>
      <c r="H250" s="93" t="s">
        <v>2546</v>
      </c>
      <c r="I250" s="141" t="str">
        <f t="array" ref="I250">XLOOKUP(CELL("contents",B250),'Swiss Registry'!$B$2:$B$703,'Swiss Registry'!$N$2:$N$703) </f>
        <v>862347198805442600</v>
      </c>
      <c r="J250" s="142" t="str">
        <f t="array" ref="J250">XLOOKUP(CELL("contents",F250),'Swiss Registry'!$B$2:$B$703,'Swiss Registry'!$N$2:$N$703) </f>
        <v>460542464130940930</v>
      </c>
    </row>
    <row r="251">
      <c r="A251" s="140">
        <v>417.0</v>
      </c>
      <c r="B251" s="125" t="str">
        <f>VLOOKUP(A251,'Swiss Registry'!$A$2:$B$703,2,False)</f>
        <v>peacemaker040</v>
      </c>
      <c r="C251" s="105" t="str">
        <f t="shared" si="22"/>
        <v>Game 1</v>
      </c>
      <c r="D251" s="106" t="str">
        <f t="shared" si="25"/>
        <v>Game 2</v>
      </c>
      <c r="E251" s="107" t="str">
        <f t="shared" si="24"/>
        <v/>
      </c>
      <c r="F251" s="126" t="str">
        <f>VLOOKUP(G251,'Swiss Registry'!$A$2:$B$703,2,False)</f>
        <v>Aahaahaah</v>
      </c>
      <c r="G251" s="127">
        <v>429.0</v>
      </c>
      <c r="H251" s="93" t="s">
        <v>2547</v>
      </c>
      <c r="I251" s="141" t="str">
        <f t="array" ref="I251">XLOOKUP(CELL("contents",B251),'Swiss Registry'!$B$2:$B$703,'Swiss Registry'!$N$2:$N$703) </f>
        <v>1080995333867307078</v>
      </c>
      <c r="J251" s="142" t="str">
        <f t="array" ref="J251">XLOOKUP(CELL("contents",F251),'Swiss Registry'!$B$2:$B$703,'Swiss Registry'!$N$2:$N$703) </f>
        <v>127698611189448704</v>
      </c>
    </row>
    <row r="252">
      <c r="A252" s="140">
        <v>652.0</v>
      </c>
      <c r="B252" s="125" t="str">
        <f>VLOOKUP(A252,'Swiss Registry'!$A$2:$B$703,2,False)</f>
        <v>Master_Penguini</v>
      </c>
      <c r="C252" s="105" t="str">
        <f t="shared" si="22"/>
        <v>Game 1</v>
      </c>
      <c r="D252" s="106" t="str">
        <f t="shared" si="25"/>
        <v>Game 2</v>
      </c>
      <c r="E252" s="110" t="str">
        <f t="shared" si="24"/>
        <v>Game 3</v>
      </c>
      <c r="F252" s="126" t="str">
        <f>VLOOKUP(G252,'Swiss Registry'!$A$2:$B$703,2,False)</f>
        <v>swope</v>
      </c>
      <c r="G252" s="127">
        <v>569.0</v>
      </c>
      <c r="H252" s="93" t="s">
        <v>2548</v>
      </c>
      <c r="I252" s="141" t="str">
        <f t="array" ref="I252">XLOOKUP(CELL("contents",B252),'Swiss Registry'!$B$2:$B$703,'Swiss Registry'!$N$2:$N$703) </f>
        <v>202851295176949760</v>
      </c>
      <c r="J252" s="142" t="str">
        <f t="array" ref="J252">XLOOKUP(CELL("contents",F252),'Swiss Registry'!$B$2:$B$703,'Swiss Registry'!$N$2:$N$703) </f>
        <v>141349140188626944</v>
      </c>
    </row>
    <row r="253">
      <c r="A253" s="140">
        <v>190.0</v>
      </c>
      <c r="B253" s="125" t="str">
        <f>VLOOKUP(A253,'Swiss Registry'!$A$2:$B$703,2,False)</f>
        <v>ilovemygrandma444</v>
      </c>
      <c r="C253" s="105" t="str">
        <f t="shared" si="22"/>
        <v>Game 1</v>
      </c>
      <c r="D253" s="106" t="str">
        <f t="shared" si="25"/>
        <v>Game 2</v>
      </c>
      <c r="E253" s="110" t="str">
        <f t="shared" si="24"/>
        <v>Game 3</v>
      </c>
      <c r="F253" s="126" t="str">
        <f>VLOOKUP(G253,'Swiss Registry'!$A$2:$B$703,2,False)</f>
        <v>cow3492</v>
      </c>
      <c r="G253" s="127">
        <v>623.0</v>
      </c>
      <c r="H253" s="93" t="s">
        <v>2549</v>
      </c>
      <c r="I253" s="141" t="str">
        <f t="array" ref="I253">XLOOKUP(CELL("contents",B253),'Swiss Registry'!$B$2:$B$703,'Swiss Registry'!$N$2:$N$703) </f>
        <v>330668313388515330</v>
      </c>
      <c r="J253" s="142" t="str">
        <f t="array" ref="J253">XLOOKUP(CELL("contents",F253),'Swiss Registry'!$B$2:$B$703,'Swiss Registry'!$N$2:$N$703) </f>
        <v>709052801598357585</v>
      </c>
    </row>
    <row r="254">
      <c r="A254" s="140">
        <v>224.0</v>
      </c>
      <c r="B254" s="125" t="str">
        <f>VLOOKUP(A254,'Swiss Registry'!$A$2:$B$703,2,False)</f>
        <v>vy_apostrophe</v>
      </c>
      <c r="C254" s="105" t="str">
        <f t="shared" si="22"/>
        <v>Game 1</v>
      </c>
      <c r="D254" s="106" t="str">
        <f t="shared" si="25"/>
        <v>Game 2</v>
      </c>
      <c r="E254" s="110" t="str">
        <f t="shared" si="24"/>
        <v>Game 3</v>
      </c>
      <c r="F254" s="126" t="str">
        <f>VLOOKUP(G254,'Swiss Registry'!$A$2:$B$703,2,False)</f>
        <v>krungus_01138</v>
      </c>
      <c r="G254" s="127">
        <v>654.0</v>
      </c>
      <c r="H254" s="93" t="s">
        <v>2550</v>
      </c>
      <c r="I254" s="141" t="str">
        <f t="array" ref="I254">XLOOKUP(CELL("contents",B254),'Swiss Registry'!$B$2:$B$703,'Swiss Registry'!$N$2:$N$703) </f>
        <v>739260362091659315</v>
      </c>
      <c r="J254" s="142" t="str">
        <f t="array" ref="J254">XLOOKUP(CELL("contents",F254),'Swiss Registry'!$B$2:$B$703,'Swiss Registry'!$N$2:$N$703) </f>
        <v>1281415539327242375</v>
      </c>
    </row>
    <row r="255">
      <c r="A255" s="140">
        <v>647.0</v>
      </c>
      <c r="B255" s="125" t="str">
        <f>VLOOKUP(A255,'Swiss Registry'!$A$2:$B$703,2,False)</f>
        <v>sdj</v>
      </c>
      <c r="C255" s="105" t="str">
        <f t="shared" si="22"/>
        <v>Game 1</v>
      </c>
      <c r="D255" s="106" t="str">
        <f t="shared" si="25"/>
        <v>Game 2</v>
      </c>
      <c r="E255" s="110" t="str">
        <f t="shared" si="24"/>
        <v>Game 3</v>
      </c>
      <c r="F255" s="126" t="str">
        <f>VLOOKUP(G255,'Swiss Registry'!$A$2:$B$703,2,False)</f>
        <v>YamHam</v>
      </c>
      <c r="G255" s="127">
        <v>666.0</v>
      </c>
      <c r="H255" s="93" t="s">
        <v>2551</v>
      </c>
      <c r="I255" s="141" t="str">
        <f t="array" ref="I255">XLOOKUP(CELL("contents",B255),'Swiss Registry'!$B$2:$B$703,'Swiss Registry'!$N$2:$N$703) </f>
        <v>229267701514764288</v>
      </c>
      <c r="J255" s="142" t="str">
        <f t="array" ref="J255">XLOOKUP(CELL("contents",F255),'Swiss Registry'!$B$2:$B$703,'Swiss Registry'!$N$2:$N$703) </f>
        <v>143746978201862144</v>
      </c>
    </row>
    <row r="256">
      <c r="A256" s="140">
        <v>532.0</v>
      </c>
      <c r="B256" s="125" t="str">
        <f>VLOOKUP(A256,'Swiss Registry'!$A$2:$B$703,2,False)</f>
        <v>bigjon.</v>
      </c>
      <c r="C256" s="105" t="str">
        <f t="shared" si="22"/>
        <v>Game 1</v>
      </c>
      <c r="D256" s="106" t="str">
        <f t="shared" si="25"/>
        <v>Game 2</v>
      </c>
      <c r="E256" s="107" t="str">
        <f t="shared" si="24"/>
        <v/>
      </c>
      <c r="F256" s="126" t="str">
        <f>VLOOKUP(G256,'Swiss Registry'!$A$2:$B$703,2,False)</f>
        <v>Somnanana</v>
      </c>
      <c r="G256" s="127">
        <v>606.0</v>
      </c>
      <c r="H256" s="93" t="s">
        <v>2552</v>
      </c>
      <c r="I256" s="141" t="str">
        <f t="array" ref="I256">XLOOKUP(CELL("contents",B256),'Swiss Registry'!$B$2:$B$703,'Swiss Registry'!$N$2:$N$703) </f>
        <v>289528250823213056</v>
      </c>
      <c r="J256" s="142" t="str">
        <f t="array" ref="J256">XLOOKUP(CELL("contents",F256),'Swiss Registry'!$B$2:$B$703,'Swiss Registry'!$N$2:$N$703) </f>
        <v>334000783152513024</v>
      </c>
    </row>
    <row r="257">
      <c r="A257" s="140">
        <v>250.0</v>
      </c>
      <c r="B257" s="125" t="str">
        <f>VLOOKUP(A257,'Swiss Registry'!$A$2:$B$703,2,False)</f>
        <v>@geosesarma</v>
      </c>
      <c r="C257" s="105" t="str">
        <f t="shared" si="22"/>
        <v>Game 1</v>
      </c>
      <c r="D257" s="106" t="str">
        <f t="shared" si="25"/>
        <v>Game 2</v>
      </c>
      <c r="E257" s="110" t="str">
        <f t="shared" si="24"/>
        <v>Game 3</v>
      </c>
      <c r="F257" s="126" t="str">
        <f>VLOOKUP(G257,'Swiss Registry'!$A$2:$B$703,2,False)</f>
        <v>perogee</v>
      </c>
      <c r="G257" s="127">
        <v>634.0</v>
      </c>
      <c r="H257" s="133" t="s">
        <v>2553</v>
      </c>
      <c r="I257" s="141" t="str">
        <f t="array" ref="I257">XLOOKUP(CELL("contents",B257),'Swiss Registry'!$B$2:$B$703,'Swiss Registry'!$N$2:$N$703) </f>
        <v>153953672051556352</v>
      </c>
      <c r="J257" s="142" t="str">
        <f t="array" ref="J257">XLOOKUP(CELL("contents",F257),'Swiss Registry'!$B$2:$B$703,'Swiss Registry'!$N$2:$N$703) </f>
        <v>196443684068261897</v>
      </c>
    </row>
    <row r="258">
      <c r="A258" s="140">
        <v>279.0</v>
      </c>
      <c r="B258" s="125" t="str">
        <f>VLOOKUP(A258,'Swiss Registry'!$A$2:$B$703,2,False)</f>
        <v>bruh504</v>
      </c>
      <c r="C258" s="111" t="str">
        <f t="shared" si="22"/>
        <v/>
      </c>
      <c r="D258" s="112" t="str">
        <f t="shared" si="25"/>
        <v>Act: bruh504</v>
      </c>
      <c r="E258" s="107" t="str">
        <f t="shared" si="24"/>
        <v/>
      </c>
      <c r="F258" s="126" t="str">
        <f>VLOOKUP(G258,'Swiss Registry'!$A$2:$B$703,2,False)</f>
        <v>doomlsinger</v>
      </c>
      <c r="G258" s="127">
        <v>467.0</v>
      </c>
      <c r="H258" s="133" t="s">
        <v>1475</v>
      </c>
      <c r="I258" s="141" t="str">
        <f t="array" ref="I258">XLOOKUP(CELL("contents",B258),'Swiss Registry'!$B$2:$B$703,'Swiss Registry'!$N$2:$N$703) </f>
        <v>392333717269643266</v>
      </c>
      <c r="J258" s="142" t="str">
        <f t="array" ref="J258">XLOOKUP(CELL("contents",F258),'Swiss Registry'!$B$2:$B$703,'Swiss Registry'!$N$2:$N$703) </f>
        <v>384034011602747394</v>
      </c>
    </row>
    <row r="259">
      <c r="A259" s="140">
        <v>686.0</v>
      </c>
      <c r="B259" s="125" t="str">
        <f>VLOOKUP(A259,'Swiss Registry'!$A$2:$B$703,2,False)</f>
        <v>Print Screen</v>
      </c>
      <c r="C259" s="105" t="str">
        <f t="shared" si="22"/>
        <v>Game 1</v>
      </c>
      <c r="D259" s="106" t="str">
        <f t="shared" si="25"/>
        <v>Game 2</v>
      </c>
      <c r="E259" s="110" t="str">
        <f t="shared" si="24"/>
        <v>Game 3</v>
      </c>
      <c r="F259" s="126" t="str">
        <f>VLOOKUP(G259,'Swiss Registry'!$A$2:$B$703,2,False)</f>
        <v>CodeRedSP</v>
      </c>
      <c r="G259" s="127">
        <v>485.0</v>
      </c>
      <c r="H259" s="133" t="s">
        <v>2554</v>
      </c>
      <c r="I259" s="141" t="str">
        <f t="array" ref="I259">XLOOKUP(CELL("contents",B259),'Swiss Registry'!$B$2:$B$703,'Swiss Registry'!$N$2:$N$703) </f>
        <v>138348102535872513</v>
      </c>
      <c r="J259" s="142" t="str">
        <f t="array" ref="J259">XLOOKUP(CELL("contents",F259),'Swiss Registry'!$B$2:$B$703,'Swiss Registry'!$N$2:$N$703) </f>
        <v>1288584285833527439</v>
      </c>
    </row>
    <row r="260">
      <c r="A260" s="140">
        <v>603.0</v>
      </c>
      <c r="B260" s="125" t="str">
        <f>VLOOKUP(A260,'Swiss Registry'!$A$2:$B$703,2,False)</f>
        <v>fuckboylenny</v>
      </c>
      <c r="C260" s="111" t="str">
        <f t="shared" si="22"/>
        <v/>
      </c>
      <c r="D260" s="112" t="str">
        <f t="shared" si="25"/>
        <v>Act: fuckboylenny</v>
      </c>
      <c r="E260" s="107" t="str">
        <f t="shared" si="24"/>
        <v/>
      </c>
      <c r="F260" s="126" t="str">
        <f>VLOOKUP(G260,'Swiss Registry'!$A$2:$B$703,2,False)</f>
        <v>Slimsinatra93</v>
      </c>
      <c r="G260" s="127">
        <v>631.0</v>
      </c>
      <c r="H260" s="133" t="s">
        <v>1475</v>
      </c>
      <c r="I260" s="141" t="str">
        <f t="array" ref="I260">XLOOKUP(CELL("contents",B260),'Swiss Registry'!$B$2:$B$703,'Swiss Registry'!$N$2:$N$703) </f>
        <v>1287687998716117037</v>
      </c>
      <c r="J260" s="142" t="str">
        <f t="array" ref="J260">XLOOKUP(CELL("contents",F260),'Swiss Registry'!$B$2:$B$703,'Swiss Registry'!$N$2:$N$703) </f>
        <v>418807730627936277</v>
      </c>
    </row>
    <row r="261">
      <c r="A261" s="140">
        <v>645.0</v>
      </c>
      <c r="B261" s="125" t="str">
        <f>VLOOKUP(A261,'Swiss Registry'!$A$2:$B$703,2,False)</f>
        <v>v1ctor23</v>
      </c>
      <c r="C261" s="105" t="str">
        <f t="shared" si="22"/>
        <v>Game 1</v>
      </c>
      <c r="D261" s="106" t="str">
        <f t="shared" si="25"/>
        <v>Game 2</v>
      </c>
      <c r="E261" s="107" t="str">
        <f t="shared" si="24"/>
        <v/>
      </c>
      <c r="F261" s="126" t="str">
        <f>VLOOKUP(G261,'Swiss Registry'!$A$2:$B$703,2,False)</f>
        <v>Melee Minion</v>
      </c>
      <c r="G261" s="127">
        <v>319.0</v>
      </c>
      <c r="H261" s="133" t="s">
        <v>2555</v>
      </c>
      <c r="I261" s="141" t="str">
        <f t="array" ref="I261">XLOOKUP(CELL("contents",B261),'Swiss Registry'!$B$2:$B$703,'Swiss Registry'!$N$2:$N$703) </f>
        <v>803357219600072714</v>
      </c>
      <c r="J261" s="142" t="str">
        <f t="array" ref="J261">XLOOKUP(CELL("contents",F261),'Swiss Registry'!$B$2:$B$703,'Swiss Registry'!$N$2:$N$703) </f>
        <v>140705872316858369</v>
      </c>
    </row>
    <row r="262">
      <c r="A262" s="140">
        <v>436.0</v>
      </c>
      <c r="B262" s="125" t="str">
        <f>VLOOKUP(A262,'Swiss Registry'!$A$2:$B$703,2,False)</f>
        <v>zioplys</v>
      </c>
      <c r="C262" s="105" t="str">
        <f t="shared" si="22"/>
        <v>Game 1</v>
      </c>
      <c r="D262" s="106" t="str">
        <f t="shared" si="25"/>
        <v>Game 2</v>
      </c>
      <c r="E262" s="107" t="str">
        <f t="shared" si="24"/>
        <v/>
      </c>
      <c r="F262" s="126" t="str">
        <f>VLOOKUP(G262,'Swiss Registry'!$A$2:$B$703,2,False)</f>
        <v>charku</v>
      </c>
      <c r="G262" s="127">
        <v>263.0</v>
      </c>
      <c r="H262" s="133" t="s">
        <v>2556</v>
      </c>
      <c r="I262" s="141" t="str">
        <f t="array" ref="I262">XLOOKUP(CELL("contents",B262),'Swiss Registry'!$B$2:$B$703,'Swiss Registry'!$N$2:$N$703) </f>
        <v>274221914312933379</v>
      </c>
      <c r="J262" s="142" t="str">
        <f t="array" ref="J262">XLOOKUP(CELL("contents",F262),'Swiss Registry'!$B$2:$B$703,'Swiss Registry'!$N$2:$N$703) </f>
        <v>492288203596759042</v>
      </c>
    </row>
    <row r="263">
      <c r="A263" s="140">
        <v>572.0</v>
      </c>
      <c r="B263" s="125" t="str">
        <f>VLOOKUP(A263,'Swiss Registry'!$A$2:$B$703,2,False)</f>
        <v>fayestra</v>
      </c>
      <c r="C263" s="105" t="str">
        <f t="shared" si="22"/>
        <v>Game 1</v>
      </c>
      <c r="D263" s="106" t="str">
        <f t="shared" si="25"/>
        <v>Game 2</v>
      </c>
      <c r="E263" s="107" t="str">
        <f t="shared" si="24"/>
        <v/>
      </c>
      <c r="F263" s="126" t="str">
        <f>VLOOKUP(G263,'Swiss Registry'!$A$2:$B$703,2,False)</f>
        <v>xerospacious</v>
      </c>
      <c r="G263" s="127">
        <v>197.0</v>
      </c>
      <c r="H263" s="133" t="s">
        <v>2557</v>
      </c>
      <c r="I263" s="141" t="str">
        <f t="array" ref="I263">XLOOKUP(CELL("contents",B263),'Swiss Registry'!$B$2:$B$703,'Swiss Registry'!$N$2:$N$703) </f>
        <v>169948103938408448</v>
      </c>
      <c r="J263" s="142" t="str">
        <f t="array" ref="J263">XLOOKUP(CELL("contents",F263),'Swiss Registry'!$B$2:$B$703,'Swiss Registry'!$N$2:$N$703) </f>
        <v>244792682927489025</v>
      </c>
    </row>
    <row r="264">
      <c r="A264" s="140">
        <v>591.0</v>
      </c>
      <c r="B264" s="125" t="str">
        <f>VLOOKUP(A264,'Swiss Registry'!$A$2:$B$703,2,False)</f>
        <v>funhouse3</v>
      </c>
      <c r="C264" s="111" t="str">
        <f t="shared" si="22"/>
        <v/>
      </c>
      <c r="D264" s="112" t="str">
        <f t="shared" si="25"/>
        <v>Act: funhouse3</v>
      </c>
      <c r="E264" s="107" t="str">
        <f t="shared" si="24"/>
        <v/>
      </c>
      <c r="F264" s="126" t="str">
        <f>VLOOKUP(G264,'Swiss Registry'!$A$2:$B$703,2,False)</f>
        <v>Spedonic</v>
      </c>
      <c r="G264" s="127">
        <v>685.0</v>
      </c>
      <c r="H264" s="133" t="s">
        <v>1475</v>
      </c>
      <c r="I264" s="141" t="str">
        <f t="array" ref="I264">XLOOKUP(CELL("contents",B264),'Swiss Registry'!$B$2:$B$703,'Swiss Registry'!$N$2:$N$703) </f>
        <v>102875527206932480</v>
      </c>
      <c r="J264" s="142" t="str">
        <f t="array" ref="J264">XLOOKUP(CELL("contents",F264),'Swiss Registry'!$B$2:$B$703,'Swiss Registry'!$N$2:$N$703) </f>
        <v>200135331620716544</v>
      </c>
    </row>
    <row r="265">
      <c r="A265" s="140">
        <v>683.0</v>
      </c>
      <c r="B265" s="125" t="str">
        <f>VLOOKUP(A265,'Swiss Registry'!$A$2:$B$703,2,False)</f>
        <v>ManiacalDolphin</v>
      </c>
      <c r="C265" s="105" t="str">
        <f t="shared" si="22"/>
        <v>Game 1</v>
      </c>
      <c r="D265" s="106" t="str">
        <f t="shared" si="25"/>
        <v>Game 2</v>
      </c>
      <c r="E265" s="110" t="str">
        <f t="shared" si="24"/>
        <v>Game 3</v>
      </c>
      <c r="F265" s="126" t="str">
        <f>VLOOKUP(G265,'Swiss Registry'!$A$2:$B$703,2,False)</f>
        <v>legoerofeggos</v>
      </c>
      <c r="G265" s="127">
        <v>394.0</v>
      </c>
      <c r="H265" s="133" t="s">
        <v>2558</v>
      </c>
      <c r="I265" s="141" t="str">
        <f t="array" ref="I265">XLOOKUP(CELL("contents",B265),'Swiss Registry'!$B$2:$B$703,'Swiss Registry'!$N$2:$N$703) </f>
        <v>218904208110387204</v>
      </c>
      <c r="J265" s="142" t="str">
        <f t="array" ref="J265">XLOOKUP(CELL("contents",F265),'Swiss Registry'!$B$2:$B$703,'Swiss Registry'!$N$2:$N$703) </f>
        <v>488402959785263141</v>
      </c>
    </row>
    <row r="266">
      <c r="A266" s="140">
        <v>508.0</v>
      </c>
      <c r="B266" s="125" t="str">
        <f>VLOOKUP(A266,'Swiss Registry'!$A$2:$B$703,2,False)</f>
        <v>michaelmeets</v>
      </c>
      <c r="C266" s="111" t="str">
        <f t="shared" si="22"/>
        <v/>
      </c>
      <c r="D266" s="112" t="str">
        <f t="shared" si="25"/>
        <v>Act: Coco / Yuii</v>
      </c>
      <c r="E266" s="107" t="str">
        <f t="shared" si="24"/>
        <v/>
      </c>
      <c r="F266" s="126" t="str">
        <f>VLOOKUP(G266,'Swiss Registry'!$A$2:$B$703,2,False)</f>
        <v>Coco / Yuii</v>
      </c>
      <c r="G266" s="127">
        <v>661.0</v>
      </c>
      <c r="H266" s="133" t="s">
        <v>1462</v>
      </c>
      <c r="I266" s="141" t="str">
        <f t="array" ref="I266">XLOOKUP(CELL("contents",B266),'Swiss Registry'!$B$2:$B$703,'Swiss Registry'!$N$2:$N$703) </f>
        <v>422543384125636628</v>
      </c>
      <c r="J266" s="142" t="str">
        <f t="array" ref="J266">XLOOKUP(CELL("contents",F266),'Swiss Registry'!$B$2:$B$703,'Swiss Registry'!$N$2:$N$703) </f>
        <v>285392368146841611</v>
      </c>
    </row>
    <row r="267">
      <c r="A267" s="140">
        <v>655.0</v>
      </c>
      <c r="B267" s="125" t="str">
        <f>VLOOKUP(A267,'Swiss Registry'!$A$2:$B$703,2,False)</f>
        <v>DonlyPhans</v>
      </c>
      <c r="C267" s="105" t="str">
        <f t="shared" si="22"/>
        <v>Game 1</v>
      </c>
      <c r="D267" s="106" t="str">
        <f t="shared" si="25"/>
        <v>Game 2</v>
      </c>
      <c r="E267" s="110" t="str">
        <f t="shared" si="24"/>
        <v>Game 3</v>
      </c>
      <c r="F267" s="126" t="str">
        <f>VLOOKUP(G267,'Swiss Registry'!$A$2:$B$703,2,False)</f>
        <v>coutt</v>
      </c>
      <c r="G267" s="127">
        <v>156.0</v>
      </c>
      <c r="H267" s="133" t="s">
        <v>2559</v>
      </c>
      <c r="I267" s="141" t="str">
        <f t="array" ref="I267">XLOOKUP(CELL("contents",B267),'Swiss Registry'!$B$2:$B$703,'Swiss Registry'!$N$2:$N$703) </f>
        <v>859201439577276416</v>
      </c>
      <c r="J267" s="142" t="str">
        <f t="array" ref="J267">XLOOKUP(CELL("contents",F267),'Swiss Registry'!$B$2:$B$703,'Swiss Registry'!$N$2:$N$703) </f>
        <v>262651676291235840</v>
      </c>
    </row>
    <row r="268">
      <c r="A268" s="140">
        <v>397.0</v>
      </c>
      <c r="B268" s="125" t="str">
        <f>VLOOKUP(A268,'Swiss Registry'!$A$2:$B$703,2,False)</f>
        <v>Polt99</v>
      </c>
      <c r="C268" s="105" t="str">
        <f t="shared" si="22"/>
        <v>Game 1</v>
      </c>
      <c r="D268" s="106" t="str">
        <f t="shared" si="25"/>
        <v>Game 2</v>
      </c>
      <c r="E268" s="107" t="str">
        <f t="shared" si="24"/>
        <v/>
      </c>
      <c r="F268" s="126" t="str">
        <f>VLOOKUP(G268,'Swiss Registry'!$A$2:$B$703,2,False)</f>
        <v>berkyderky</v>
      </c>
      <c r="G268" s="127">
        <v>470.0</v>
      </c>
      <c r="H268" s="133" t="s">
        <v>2560</v>
      </c>
      <c r="I268" s="141" t="str">
        <f t="array" ref="I268">XLOOKUP(CELL("contents",B268),'Swiss Registry'!$B$2:$B$703,'Swiss Registry'!$N$2:$N$703) </f>
        <v>760539294652694588</v>
      </c>
      <c r="J268" s="142" t="str">
        <f t="array" ref="J268">XLOOKUP(CELL("contents",F268),'Swiss Registry'!$B$2:$B$703,'Swiss Registry'!$N$2:$N$703) </f>
        <v>175687108864901121</v>
      </c>
    </row>
    <row r="269">
      <c r="A269" s="140">
        <v>440.0</v>
      </c>
      <c r="B269" s="125" t="str">
        <f>VLOOKUP(A269,'Swiss Registry'!$A$2:$B$703,2,False)</f>
        <v>Jsockamisama</v>
      </c>
      <c r="C269" s="105" t="str">
        <f t="shared" si="22"/>
        <v>Game 1</v>
      </c>
      <c r="D269" s="106" t="str">
        <f t="shared" si="25"/>
        <v>Game 2</v>
      </c>
      <c r="E269" s="110" t="str">
        <f t="shared" si="24"/>
        <v>Game 3</v>
      </c>
      <c r="F269" s="126" t="str">
        <f>VLOOKUP(G269,'Swiss Registry'!$A$2:$B$703,2,False)</f>
        <v>kewta</v>
      </c>
      <c r="G269" s="127">
        <v>228.0</v>
      </c>
      <c r="H269" s="133" t="s">
        <v>2561</v>
      </c>
      <c r="I269" s="141" t="str">
        <f t="array" ref="I269">XLOOKUP(CELL("contents",B269),'Swiss Registry'!$B$2:$B$703,'Swiss Registry'!$N$2:$N$703) </f>
        <v>630860220293316619</v>
      </c>
      <c r="J269" s="142" t="str">
        <f t="array" ref="J269">XLOOKUP(CELL("contents",F269),'Swiss Registry'!$B$2:$B$703,'Swiss Registry'!$N$2:$N$703) </f>
        <v>214076469641478144</v>
      </c>
    </row>
    <row r="270">
      <c r="A270" s="140">
        <v>164.0</v>
      </c>
      <c r="B270" s="125" t="str">
        <f>VLOOKUP(A270,'Swiss Registry'!$A$2:$B$703,2,False)</f>
        <v>Repiloid</v>
      </c>
      <c r="C270" s="111" t="str">
        <f t="shared" si="22"/>
        <v/>
      </c>
      <c r="D270" s="112" t="str">
        <f t="shared" si="25"/>
        <v>Act: JxJ</v>
      </c>
      <c r="E270" s="107" t="str">
        <f t="shared" si="24"/>
        <v/>
      </c>
      <c r="F270" s="126" t="str">
        <f>VLOOKUP(G270,'Swiss Registry'!$A$2:$B$703,2,False)</f>
        <v>JxJ</v>
      </c>
      <c r="G270" s="127">
        <v>203.0</v>
      </c>
      <c r="H270" s="133" t="s">
        <v>1523</v>
      </c>
      <c r="I270" s="141" t="str">
        <f t="array" ref="I270">XLOOKUP(CELL("contents",B270),'Swiss Registry'!$B$2:$B$703,'Swiss Registry'!$N$2:$N$703) </f>
        <v>SUB</v>
      </c>
      <c r="J270" s="142" t="str">
        <f t="array" ref="J270">XLOOKUP(CELL("contents",F270),'Swiss Registry'!$B$2:$B$703,'Swiss Registry'!$N$2:$N$703) </f>
        <v>431270421652832258</v>
      </c>
    </row>
    <row r="271">
      <c r="A271" s="140">
        <v>223.0</v>
      </c>
      <c r="B271" s="125" t="str">
        <f>VLOOKUP(A271,'Swiss Registry'!$A$2:$B$703,2,False)</f>
        <v>halbertsimpson</v>
      </c>
      <c r="C271" s="105" t="str">
        <f t="shared" si="22"/>
        <v>Game 1</v>
      </c>
      <c r="D271" s="106" t="str">
        <f t="shared" si="25"/>
        <v>Game 2</v>
      </c>
      <c r="E271" s="110" t="str">
        <f t="shared" si="24"/>
        <v>Game 3</v>
      </c>
      <c r="F271" s="126" t="str">
        <f>VLOOKUP(G271,'Swiss Registry'!$A$2:$B$703,2,False)</f>
        <v>Lawrencelot</v>
      </c>
      <c r="G271" s="127">
        <v>424.0</v>
      </c>
      <c r="H271" s="133" t="s">
        <v>2562</v>
      </c>
      <c r="I271" s="141" t="str">
        <f t="array" ref="I271">XLOOKUP(CELL("contents",B271),'Swiss Registry'!$B$2:$B$703,'Swiss Registry'!$N$2:$N$703) </f>
        <v>1011611946824503427</v>
      </c>
      <c r="J271" s="142" t="str">
        <f t="array" ref="J271">XLOOKUP(CELL("contents",F271),'Swiss Registry'!$B$2:$B$703,'Swiss Registry'!$N$2:$N$703) </f>
        <v>374642536989327370</v>
      </c>
    </row>
    <row r="272" ht="15.0" customHeight="1">
      <c r="A272" s="124"/>
      <c r="B272" s="122"/>
      <c r="C272" s="123"/>
      <c r="D272" s="138" t="s">
        <v>2563</v>
      </c>
      <c r="E272" s="123"/>
      <c r="F272" s="123"/>
      <c r="G272" s="124"/>
      <c r="H272" s="93"/>
      <c r="I272" s="139"/>
      <c r="J272" s="139"/>
    </row>
    <row r="273">
      <c r="A273" s="140">
        <v>110.0</v>
      </c>
      <c r="B273" s="125" t="str">
        <f>VLOOKUP(A273,'Swiss Registry'!$A$2:$B$703,2,False)</f>
        <v>Stao</v>
      </c>
      <c r="C273" s="111" t="str">
        <f t="shared" ref="C273:C315" si="26">IF(H273="dead","",IF(H273="a:act","",IF(H273="b:act","",IF(ISURL(HYPERLINK(INDIRECT("Importer!B"&amp;MID(H273,2,4)+1,TRUE))),HYPERLINK(INDIRECT("Importer!B"&amp;MID(H273,2,4)+1,TRUE), "Game 1"),""))))</f>
        <v/>
      </c>
      <c r="D273" s="112" t="str">
        <f t="shared" ref="D273:D281" si="27">IF(H273="dead","Dead Game",IF(H273="a:act","Act: "&amp;B273,IF(H273="b:act","Act: "&amp;F273,IF(ISURL(HYPERLINK(INDIRECT("Importer!B"&amp;MID(H273,6,4)+1,TRUE))),HYPERLINK(INDIRECT("Importer!B"&amp;MID(H273,6,4)+1,TRUE), "Game 2"),""))))</f>
        <v>Act: Genofool</v>
      </c>
      <c r="E273" s="107" t="str">
        <f t="shared" ref="E273:E315" si="28">IF(H273="dead","",IF(H273="a:act","",IF(H273="b:act","",IF(ISURL(HYPERLINK(INDIRECT("Importer!B"&amp;MID(H273,10,4)+1,TRUE))),HYPERLINK(INDIRECT("Importer!B"&amp;MID(H273,10,4)+1,TRUE), "Game 3"),""))))</f>
        <v/>
      </c>
      <c r="F273" s="126" t="str">
        <f>VLOOKUP(G273,'Swiss Registry'!$A$2:$B$703,2,False)</f>
        <v>Genofool</v>
      </c>
      <c r="G273" s="127">
        <v>688.0</v>
      </c>
      <c r="H273" s="133" t="s">
        <v>1523</v>
      </c>
      <c r="I273" s="141" t="str">
        <f t="array" ref="I273">XLOOKUP(CELL("contents",B273),'Swiss Registry'!$B$2:$B$703,'Swiss Registry'!$N$2:$N$703) </f>
        <v>135837929368059904</v>
      </c>
      <c r="J273" s="142" t="str">
        <f t="array" ref="J273">XLOOKUP(CELL("contents",F273),'Swiss Registry'!$B$2:$B$703,'Swiss Registry'!$N$2:$N$703) </f>
        <v>82969260036456448</v>
      </c>
    </row>
    <row r="274">
      <c r="A274" s="140">
        <v>691.0</v>
      </c>
      <c r="B274" s="125" t="str">
        <f>VLOOKUP(A274,'Swiss Registry'!$A$2:$B$703,2,False)</f>
        <v>aldrichunfaithful</v>
      </c>
      <c r="C274" s="105" t="str">
        <f t="shared" si="26"/>
        <v>Game 1</v>
      </c>
      <c r="D274" s="106" t="str">
        <f t="shared" si="27"/>
        <v>Game 2</v>
      </c>
      <c r="E274" s="110" t="str">
        <f t="shared" si="28"/>
        <v>Game 3</v>
      </c>
      <c r="F274" s="126" t="str">
        <f>VLOOKUP(G274,'Swiss Registry'!$A$2:$B$703,2,False)</f>
        <v>big_jerry</v>
      </c>
      <c r="G274" s="127">
        <v>658.0</v>
      </c>
      <c r="H274" s="133" t="s">
        <v>2564</v>
      </c>
      <c r="I274" s="141" t="str">
        <f t="array" ref="I274">XLOOKUP(CELL("contents",B274),'Swiss Registry'!$B$2:$B$703,'Swiss Registry'!$N$2:$N$703) </f>
        <v>743954201222053955</v>
      </c>
      <c r="J274" s="142" t="str">
        <f t="array" ref="J274">XLOOKUP(CELL("contents",F274),'Swiss Registry'!$B$2:$B$703,'Swiss Registry'!$N$2:$N$703) </f>
        <v>131588523852562432</v>
      </c>
    </row>
    <row r="275">
      <c r="A275" s="140">
        <v>326.0</v>
      </c>
      <c r="B275" s="125" t="str">
        <f>VLOOKUP(A275,'Swiss Registry'!$A$2:$B$703,2,False)</f>
        <v>plznostep</v>
      </c>
      <c r="C275" s="111" t="str">
        <f t="shared" si="26"/>
        <v/>
      </c>
      <c r="D275" s="112" t="str">
        <f t="shared" si="27"/>
        <v>Act: @struggles_under_pressure</v>
      </c>
      <c r="E275" s="107" t="str">
        <f t="shared" si="28"/>
        <v/>
      </c>
      <c r="F275" s="126" t="str">
        <f>VLOOKUP(G275,'Swiss Registry'!$A$2:$B$703,2,False)</f>
        <v>@struggles_under_pressure</v>
      </c>
      <c r="G275" s="127">
        <v>302.0</v>
      </c>
      <c r="H275" s="133" t="s">
        <v>1523</v>
      </c>
      <c r="I275" s="141" t="str">
        <f t="array" ref="I275">XLOOKUP(CELL("contents",B275),'Swiss Registry'!$B$2:$B$703,'Swiss Registry'!$N$2:$N$703) </f>
        <v>992491212558839857</v>
      </c>
      <c r="J275" s="142" t="str">
        <f t="array" ref="J275">XLOOKUP(CELL("contents",F275),'Swiss Registry'!$B$2:$B$703,'Swiss Registry'!$N$2:$N$703) </f>
        <v>883737062904324126</v>
      </c>
    </row>
    <row r="276">
      <c r="A276" s="140">
        <v>301.0</v>
      </c>
      <c r="B276" s="125" t="str">
        <f>VLOOKUP(A276,'Swiss Registry'!$A$2:$B$703,2,False)</f>
        <v>rajime.</v>
      </c>
      <c r="C276" s="105" t="str">
        <f t="shared" si="26"/>
        <v>Game 1</v>
      </c>
      <c r="D276" s="106" t="str">
        <f t="shared" si="27"/>
        <v>Game 2</v>
      </c>
      <c r="E276" s="107" t="str">
        <f t="shared" si="28"/>
        <v/>
      </c>
      <c r="F276" s="126" t="str">
        <f>VLOOKUP(G276,'Swiss Registry'!$A$2:$B$703,2,False)</f>
        <v>cremozar#6029</v>
      </c>
      <c r="G276" s="127">
        <v>472.0</v>
      </c>
      <c r="H276" s="133" t="s">
        <v>2565</v>
      </c>
      <c r="I276" s="141" t="str">
        <f t="array" ref="I276">XLOOKUP(CELL("contents",B276),'Swiss Registry'!$B$2:$B$703,'Swiss Registry'!$N$2:$N$703) </f>
        <v>556855693928431638</v>
      </c>
      <c r="J276" s="142" t="str">
        <f t="array" ref="J276">XLOOKUP(CELL("contents",F276),'Swiss Registry'!$B$2:$B$703,'Swiss Registry'!$N$2:$N$703) </f>
        <v>231155483157856256</v>
      </c>
    </row>
    <row r="277">
      <c r="A277" s="140">
        <v>201.0</v>
      </c>
      <c r="B277" s="125" t="str">
        <f>VLOOKUP(A277,'Swiss Registry'!$A$2:$B$703,2,False)</f>
        <v>sprasle</v>
      </c>
      <c r="C277" s="105" t="str">
        <f t="shared" si="26"/>
        <v>Game 1</v>
      </c>
      <c r="D277" s="106" t="str">
        <f t="shared" si="27"/>
        <v>Game 2</v>
      </c>
      <c r="E277" s="107" t="str">
        <f t="shared" si="28"/>
        <v/>
      </c>
      <c r="F277" s="126" t="str">
        <f>VLOOKUP(G277,'Swiss Registry'!$A$2:$B$703,2,False)</f>
        <v>goldthe1andonly</v>
      </c>
      <c r="G277" s="127">
        <v>468.0</v>
      </c>
      <c r="H277" s="133" t="s">
        <v>2566</v>
      </c>
      <c r="I277" s="141" t="str">
        <f t="array" ref="I277">XLOOKUP(CELL("contents",B277),'Swiss Registry'!$B$2:$B$703,'Swiss Registry'!$N$2:$N$703) </f>
        <v>146822995908755456</v>
      </c>
      <c r="J277" s="142" t="str">
        <f t="array" ref="J277">XLOOKUP(CELL("contents",F277),'Swiss Registry'!$B$2:$B$703,'Swiss Registry'!$N$2:$N$703) </f>
        <v>345724126478073867</v>
      </c>
    </row>
    <row r="278">
      <c r="A278" s="140">
        <v>426.0</v>
      </c>
      <c r="B278" s="125" t="str">
        <f>VLOOKUP(A278,'Swiss Registry'!$A$2:$B$703,2,False)</f>
        <v>felipe01788_</v>
      </c>
      <c r="C278" s="105" t="str">
        <f t="shared" si="26"/>
        <v>Game 1</v>
      </c>
      <c r="D278" s="106" t="str">
        <f t="shared" si="27"/>
        <v>Game 2</v>
      </c>
      <c r="E278" s="110" t="str">
        <f t="shared" si="28"/>
        <v>Game 3</v>
      </c>
      <c r="F278" s="126" t="str">
        <f>VLOOKUP(G278,'Swiss Registry'!$A$2:$B$703,2,False)</f>
        <v>isaiahterveen</v>
      </c>
      <c r="G278" s="127">
        <v>461.0</v>
      </c>
      <c r="H278" s="133" t="s">
        <v>2567</v>
      </c>
      <c r="I278" s="141" t="str">
        <f t="array" ref="I278">XLOOKUP(CELL("contents",B278),'Swiss Registry'!$B$2:$B$703,'Swiss Registry'!$N$2:$N$703) </f>
        <v>275511949880459264</v>
      </c>
      <c r="J278" s="142" t="str">
        <f t="array" ref="J278">XLOOKUP(CELL("contents",F278),'Swiss Registry'!$B$2:$B$703,'Swiss Registry'!$N$2:$N$703) </f>
        <v>753283686446661742</v>
      </c>
    </row>
    <row r="279">
      <c r="A279" s="140">
        <v>213.0</v>
      </c>
      <c r="B279" s="125" t="str">
        <f>VLOOKUP(A279,'Swiss Registry'!$A$2:$B$703,2,False)</f>
        <v>Pabby_1805</v>
      </c>
      <c r="C279" s="105" t="str">
        <f t="shared" si="26"/>
        <v>Game 1</v>
      </c>
      <c r="D279" s="106" t="str">
        <f t="shared" si="27"/>
        <v>Game 2</v>
      </c>
      <c r="E279" s="110" t="str">
        <f t="shared" si="28"/>
        <v>Game 3</v>
      </c>
      <c r="F279" s="126" t="str">
        <f>VLOOKUP(G279,'Swiss Registry'!$A$2:$B$703,2,False)</f>
        <v>lucyisafish</v>
      </c>
      <c r="G279" s="127">
        <v>268.0</v>
      </c>
      <c r="H279" s="133" t="s">
        <v>2568</v>
      </c>
      <c r="I279" s="141" t="str">
        <f t="array" ref="I279">XLOOKUP(CELL("contents",B279),'Swiss Registry'!$B$2:$B$703,'Swiss Registry'!$N$2:$N$703) </f>
        <v>211573220791287809</v>
      </c>
      <c r="J279" s="142" t="str">
        <f t="array" ref="J279">XLOOKUP(CELL("contents",F279),'Swiss Registry'!$B$2:$B$703,'Swiss Registry'!$N$2:$N$703) </f>
        <v>930202977854193705</v>
      </c>
    </row>
    <row r="280">
      <c r="A280" s="140">
        <v>570.0</v>
      </c>
      <c r="B280" s="125" t="str">
        <f>VLOOKUP(A280,'Swiss Registry'!$A$2:$B$703,2,False)</f>
        <v>Zacynthius02</v>
      </c>
      <c r="C280" s="105" t="str">
        <f t="shared" si="26"/>
        <v>Game 1</v>
      </c>
      <c r="D280" s="106" t="str">
        <f t="shared" si="27"/>
        <v>Game 2</v>
      </c>
      <c r="E280" s="110" t="str">
        <f t="shared" si="28"/>
        <v>Game 3</v>
      </c>
      <c r="F280" s="126" t="str">
        <f>VLOOKUP(G280,'Swiss Registry'!$A$2:$B$703,2,False)</f>
        <v>mcgowin (ID: lgv#9084)</v>
      </c>
      <c r="G280" s="127">
        <v>199.0</v>
      </c>
      <c r="H280" s="133" t="s">
        <v>2569</v>
      </c>
      <c r="I280" s="141" t="str">
        <f t="array" ref="I280">XLOOKUP(CELL("contents",B280),'Swiss Registry'!$B$2:$B$703,'Swiss Registry'!$N$2:$N$703) </f>
        <v>1144653653752434738</v>
      </c>
      <c r="J280" s="142" t="str">
        <f t="array" ref="J280">XLOOKUP(CELL("contents",F280),'Swiss Registry'!$B$2:$B$703,'Swiss Registry'!$N$2:$N$703) </f>
        <v>389896862444027916</v>
      </c>
    </row>
    <row r="281">
      <c r="A281" s="140">
        <v>438.0</v>
      </c>
      <c r="B281" s="125" t="str">
        <f>VLOOKUP(A281,'Swiss Registry'!$A$2:$B$703,2,False)</f>
        <v>javiercar#9743</v>
      </c>
      <c r="C281" s="105" t="str">
        <f t="shared" si="26"/>
        <v>Game 1</v>
      </c>
      <c r="D281" s="106" t="str">
        <f t="shared" si="27"/>
        <v>Game 2</v>
      </c>
      <c r="E281" s="107" t="str">
        <f t="shared" si="28"/>
        <v/>
      </c>
      <c r="F281" s="126" t="str">
        <f>VLOOKUP(G281,'Swiss Registry'!$A$2:$B$703,2,False)</f>
        <v>irrelevantone</v>
      </c>
      <c r="G281" s="127">
        <v>689.0</v>
      </c>
      <c r="H281" s="133" t="s">
        <v>2570</v>
      </c>
      <c r="I281" s="141" t="str">
        <f t="array" ref="I281">XLOOKUP(CELL("contents",B281),'Swiss Registry'!$B$2:$B$703,'Swiss Registry'!$N$2:$N$703) </f>
        <v>297884550976241685</v>
      </c>
      <c r="J281" s="142" t="str">
        <f t="array" ref="J281">XLOOKUP(CELL("contents",F281),'Swiss Registry'!$B$2:$B$703,'Swiss Registry'!$N$2:$N$703) </f>
        <v>284150733152976896</v>
      </c>
    </row>
    <row r="282">
      <c r="A282" s="140">
        <v>102.0</v>
      </c>
      <c r="B282" s="125" t="str">
        <f>VLOOKUP(A282,'Swiss Registry'!$A$2:$B$703,2,False)</f>
        <v>Frutiepie</v>
      </c>
      <c r="C282" s="105" t="str">
        <f t="shared" si="26"/>
        <v>Game 1</v>
      </c>
      <c r="D282" s="106" t="str">
        <f>IF(H282="dead","Dead Game",IF(H282="a:act","Act: "&amp;F282,IF(H282="b:act","Act: "&amp;#REF!,IF(ISURL(HYPERLINK(INDIRECT("Importer!B"&amp;MID(H282,6,4)+1,TRUE))),HYPERLINK(INDIRECT("Importer!B"&amp;MID(H282,6,4)+1,TRUE), "Game 2"),""))))</f>
        <v>Game 2</v>
      </c>
      <c r="E282" s="107" t="str">
        <f t="shared" si="28"/>
        <v/>
      </c>
      <c r="F282" s="126" t="str">
        <f>VLOOKUP(G282,'Swiss Registry'!$A$2:$B$703,2,False)</f>
        <v>Fierros47</v>
      </c>
      <c r="G282" s="127">
        <v>608.0</v>
      </c>
      <c r="H282" s="83" t="s">
        <v>2571</v>
      </c>
      <c r="I282" s="141" t="str">
        <f t="array" ref="I282">XLOOKUP(CELL("contents",B282),'Swiss Registry'!$B$2:$B$703,'Swiss Registry'!$N$2:$N$703) </f>
        <v>146457814892675072</v>
      </c>
      <c r="J282" s="142" t="str">
        <f t="array" ref="J282">XLOOKUP(CELL("contents",F282),'Swiss Registry'!$B$2:$B$703,'Swiss Registry'!$N$2:$N$703) </f>
        <v>348679052720078850</v>
      </c>
    </row>
    <row r="283">
      <c r="A283" s="140">
        <v>444.0</v>
      </c>
      <c r="B283" s="125" t="str">
        <f>VLOOKUP(A283,'Swiss Registry'!$A$2:$B$703,2,False)</f>
        <v>MCJD931</v>
      </c>
      <c r="C283" s="105" t="str">
        <f t="shared" si="26"/>
        <v>Game 1</v>
      </c>
      <c r="D283" s="106" t="str">
        <f t="shared" ref="D283:D315" si="29">IF(H283="dead","Dead Game",IF(H283="a:act","Act: "&amp;B283,IF(H283="b:act","Act: "&amp;F283,IF(ISURL(HYPERLINK(INDIRECT("Importer!B"&amp;MID(H283,6,4)+1,TRUE))),HYPERLINK(INDIRECT("Importer!B"&amp;MID(H283,6,4)+1,TRUE), "Game 2"),""))))</f>
        <v>Game 2</v>
      </c>
      <c r="E283" s="107" t="str">
        <f t="shared" si="28"/>
        <v/>
      </c>
      <c r="F283" s="126" t="str">
        <f>VLOOKUP(G283,'Swiss Registry'!$A$2:$B$703,2,False)</f>
        <v>SentientSanchez</v>
      </c>
      <c r="G283" s="127">
        <v>481.0</v>
      </c>
      <c r="H283" s="83" t="s">
        <v>2572</v>
      </c>
      <c r="I283" s="141" t="str">
        <f t="array" ref="I283">XLOOKUP(CELL("contents",B283),'Swiss Registry'!$B$2:$B$703,'Swiss Registry'!$N$2:$N$703) </f>
        <v>371725006276788225</v>
      </c>
      <c r="J283" s="142" t="str">
        <f t="array" ref="J283">XLOOKUP(CELL("contents",F283),'Swiss Registry'!$B$2:$B$703,'Swiss Registry'!$N$2:$N$703) </f>
        <v>730510085079433268</v>
      </c>
    </row>
    <row r="284">
      <c r="A284" s="140">
        <v>136.0</v>
      </c>
      <c r="B284" s="125" t="str">
        <f>VLOOKUP(A284,'Swiss Registry'!$A$2:$B$703,2,False)</f>
        <v>allmovingshadows</v>
      </c>
      <c r="C284" s="105" t="str">
        <f t="shared" si="26"/>
        <v>Game 1</v>
      </c>
      <c r="D284" s="106" t="str">
        <f t="shared" si="29"/>
        <v>Game 2</v>
      </c>
      <c r="E284" s="110" t="str">
        <f t="shared" si="28"/>
        <v>Game 3</v>
      </c>
      <c r="F284" s="126" t="str">
        <f>VLOOKUP(G284,'Swiss Registry'!$A$2:$B$703,2,False)</f>
        <v>liamworldpeace</v>
      </c>
      <c r="G284" s="127">
        <v>147.0</v>
      </c>
      <c r="H284" s="83" t="s">
        <v>2573</v>
      </c>
      <c r="I284" s="141" t="str">
        <f t="array" ref="I284">XLOOKUP(CELL("contents",B284),'Swiss Registry'!$B$2:$B$703,'Swiss Registry'!$N$2:$N$703) </f>
        <v>1218021450191994892</v>
      </c>
      <c r="J284" s="142" t="str">
        <f t="array" ref="J284">XLOOKUP(CELL("contents",F284),'Swiss Registry'!$B$2:$B$703,'Swiss Registry'!$N$2:$N$703) </f>
        <v>136299459914104832</v>
      </c>
    </row>
    <row r="285">
      <c r="A285" s="140">
        <v>140.0</v>
      </c>
      <c r="B285" s="125" t="str">
        <f>VLOOKUP(A285,'Swiss Registry'!$A$2:$B$703,2,False)</f>
        <v>Basharapplejuice</v>
      </c>
      <c r="C285" s="111" t="str">
        <f t="shared" si="26"/>
        <v/>
      </c>
      <c r="D285" s="112" t="str">
        <f t="shared" si="29"/>
        <v>Act: Basharapplejuice</v>
      </c>
      <c r="E285" s="107" t="str">
        <f t="shared" si="28"/>
        <v/>
      </c>
      <c r="F285" s="126" t="str">
        <f>VLOOKUP(G285,'Swiss Registry'!$A$2:$B$703,2,False)</f>
        <v>CraterLake</v>
      </c>
      <c r="G285" s="127">
        <v>545.0</v>
      </c>
      <c r="H285" s="83" t="s">
        <v>1486</v>
      </c>
      <c r="I285" s="141" t="str">
        <f t="array" ref="I285">XLOOKUP(CELL("contents",B285),'Swiss Registry'!$B$2:$B$703,'Swiss Registry'!$N$2:$N$703) </f>
        <v>215651907459481601</v>
      </c>
      <c r="J285" s="142" t="str">
        <f t="array" ref="J285">XLOOKUP(CELL("contents",F285),'Swiss Registry'!$B$2:$B$703,'Swiss Registry'!$N$2:$N$703) </f>
        <v>147742295389765633</v>
      </c>
    </row>
    <row r="286">
      <c r="A286" s="140">
        <v>188.0</v>
      </c>
      <c r="B286" s="125" t="str">
        <f>VLOOKUP(A286,'Swiss Registry'!$A$2:$B$703,2,False)</f>
        <v>Rebatca</v>
      </c>
      <c r="C286" s="105" t="str">
        <f t="shared" si="26"/>
        <v>Game 1</v>
      </c>
      <c r="D286" s="106" t="str">
        <f t="shared" si="29"/>
        <v>Game 2</v>
      </c>
      <c r="E286" s="110" t="str">
        <f t="shared" si="28"/>
        <v>Game 3</v>
      </c>
      <c r="F286" s="126" t="str">
        <f>VLOOKUP(G286,'Swiss Registry'!$A$2:$B$703,2,False)</f>
        <v>SpeccyGames</v>
      </c>
      <c r="G286" s="127">
        <v>214.0</v>
      </c>
      <c r="H286" s="83" t="s">
        <v>2574</v>
      </c>
      <c r="I286" s="141" t="str">
        <f t="array" ref="I286">XLOOKUP(CELL("contents",B286),'Swiss Registry'!$B$2:$B$703,'Swiss Registry'!$N$2:$N$703) </f>
        <v>186748597398667264</v>
      </c>
      <c r="J286" s="142" t="str">
        <f t="array" ref="J286">XLOOKUP(CELL("contents",F286),'Swiss Registry'!$B$2:$B$703,'Swiss Registry'!$N$2:$N$703) </f>
        <v>228257509809455104</v>
      </c>
    </row>
    <row r="287">
      <c r="A287" s="140">
        <v>692.0</v>
      </c>
      <c r="B287" s="125" t="str">
        <f>VLOOKUP(A287,'Swiss Registry'!$A$2:$B$703,2,False)</f>
        <v>walterbite</v>
      </c>
      <c r="C287" s="105" t="str">
        <f t="shared" si="26"/>
        <v>Game 1</v>
      </c>
      <c r="D287" s="106" t="str">
        <f t="shared" si="29"/>
        <v>Game 2</v>
      </c>
      <c r="E287" s="110" t="str">
        <f t="shared" si="28"/>
        <v>Game 3</v>
      </c>
      <c r="F287" s="126" t="str">
        <f>VLOOKUP(G287,'Swiss Registry'!$A$2:$B$703,2,False)</f>
        <v>pLzzazz</v>
      </c>
      <c r="G287" s="127">
        <v>291.0</v>
      </c>
      <c r="H287" s="83" t="s">
        <v>2575</v>
      </c>
      <c r="I287" s="141" t="str">
        <f t="array" ref="I287">XLOOKUP(CELL("contents",B287),'Swiss Registry'!$B$2:$B$703,'Swiss Registry'!$N$2:$N$703) </f>
        <v>155855401097625602</v>
      </c>
      <c r="J287" s="142" t="str">
        <f t="array" ref="J287">XLOOKUP(CELL("contents",F287),'Swiss Registry'!$B$2:$B$703,'Swiss Registry'!$N$2:$N$703) </f>
        <v>198612424885010432</v>
      </c>
    </row>
    <row r="288">
      <c r="A288" s="140">
        <v>502.0</v>
      </c>
      <c r="B288" s="125" t="str">
        <f>VLOOKUP(A288,'Swiss Registry'!$A$2:$B$703,2,False)</f>
        <v>hansenator.</v>
      </c>
      <c r="C288" s="105" t="str">
        <f t="shared" si="26"/>
        <v>Game 1</v>
      </c>
      <c r="D288" s="106" t="str">
        <f t="shared" si="29"/>
        <v>Game 2</v>
      </c>
      <c r="E288" s="107" t="str">
        <f t="shared" si="28"/>
        <v/>
      </c>
      <c r="F288" s="126" t="str">
        <f>VLOOKUP(G288,'Swiss Registry'!$A$2:$B$703,2,False)</f>
        <v>rizzarroflame</v>
      </c>
      <c r="G288" s="127">
        <v>493.0</v>
      </c>
      <c r="H288" s="83" t="s">
        <v>2576</v>
      </c>
      <c r="I288" s="141" t="str">
        <f t="array" ref="I288">XLOOKUP(CELL("contents",B288),'Swiss Registry'!$B$2:$B$703,'Swiss Registry'!$N$2:$N$703) </f>
        <v>95590324126097408</v>
      </c>
      <c r="J288" s="142" t="str">
        <f t="array" ref="J288">XLOOKUP(CELL("contents",F288),'Swiss Registry'!$B$2:$B$703,'Swiss Registry'!$N$2:$N$703) </f>
        <v>252382699904303104</v>
      </c>
    </row>
    <row r="289">
      <c r="A289" s="140">
        <v>628.0</v>
      </c>
      <c r="B289" s="125" t="str">
        <f>VLOOKUP(A289,'Swiss Registry'!$A$2:$B$703,2,False)</f>
        <v>Vassimobin</v>
      </c>
      <c r="C289" s="105" t="str">
        <f t="shared" si="26"/>
        <v>Game 1</v>
      </c>
      <c r="D289" s="106" t="str">
        <f t="shared" si="29"/>
        <v>Game 2</v>
      </c>
      <c r="E289" s="107" t="str">
        <f t="shared" si="28"/>
        <v/>
      </c>
      <c r="F289" s="126" t="str">
        <f>VLOOKUP(G289,'Swiss Registry'!$A$2:$B$703,2,False)</f>
        <v>litterofbiscuits</v>
      </c>
      <c r="G289" s="127">
        <v>159.0</v>
      </c>
      <c r="H289" s="83" t="s">
        <v>2577</v>
      </c>
      <c r="I289" s="141" t="str">
        <f t="array" ref="I289">XLOOKUP(CELL("contents",B289),'Swiss Registry'!$B$2:$B$703,'Swiss Registry'!$N$2:$N$703) </f>
        <v>521813775586951183</v>
      </c>
      <c r="J289" s="142" t="str">
        <f t="array" ref="J289">XLOOKUP(CELL("contents",F289),'Swiss Registry'!$B$2:$B$703,'Swiss Registry'!$N$2:$N$703) </f>
        <v>348980973825818626</v>
      </c>
    </row>
    <row r="290">
      <c r="A290" s="140">
        <v>149.0</v>
      </c>
      <c r="B290" s="125" t="str">
        <f>VLOOKUP(A290,'Swiss Registry'!$A$2:$B$703,2,False)</f>
        <v>Rezzo</v>
      </c>
      <c r="C290" s="105" t="str">
        <f t="shared" si="26"/>
        <v>Game 1</v>
      </c>
      <c r="D290" s="106" t="str">
        <f t="shared" si="29"/>
        <v>Game 2</v>
      </c>
      <c r="E290" s="110" t="str">
        <f t="shared" si="28"/>
        <v>Game 3</v>
      </c>
      <c r="F290" s="126" t="str">
        <f>VLOOKUP(G290,'Swiss Registry'!$A$2:$B$703,2,False)</f>
        <v>bobjoecarl</v>
      </c>
      <c r="G290" s="127">
        <v>367.0</v>
      </c>
      <c r="H290" s="83" t="s">
        <v>2578</v>
      </c>
      <c r="I290" s="141" t="str">
        <f t="array" ref="I290">XLOOKUP(CELL("contents",B290),'Swiss Registry'!$B$2:$B$703,'Swiss Registry'!$N$2:$N$703) </f>
        <v>208377004209209344</v>
      </c>
      <c r="J290" s="142" t="str">
        <f t="array" ref="J290">XLOOKUP(CELL("contents",F290),'Swiss Registry'!$B$2:$B$703,'Swiss Registry'!$N$2:$N$703) </f>
        <v>280531406734622730</v>
      </c>
    </row>
    <row r="291">
      <c r="A291" s="140">
        <v>381.0</v>
      </c>
      <c r="B291" s="125" t="str">
        <f>VLOOKUP(A291,'Swiss Registry'!$A$2:$B$703,2,False)</f>
        <v>lucida</v>
      </c>
      <c r="C291" s="111" t="str">
        <f t="shared" si="26"/>
        <v/>
      </c>
      <c r="D291" s="112" t="str">
        <f t="shared" si="29"/>
        <v>Act: lucida</v>
      </c>
      <c r="E291" s="107" t="str">
        <f t="shared" si="28"/>
        <v/>
      </c>
      <c r="F291" s="126" t="str">
        <f>VLOOKUP(G291,'Swiss Registry'!$A$2:$B$703,2,False)</f>
        <v>hangerguardian</v>
      </c>
      <c r="G291" s="127">
        <v>663.0</v>
      </c>
      <c r="H291" s="83" t="s">
        <v>1486</v>
      </c>
      <c r="I291" s="141" t="str">
        <f t="array" ref="I291">XLOOKUP(CELL("contents",B291),'Swiss Registry'!$B$2:$B$703,'Swiss Registry'!$N$2:$N$703) </f>
        <v>98218676867596288</v>
      </c>
      <c r="J291" s="142" t="str">
        <f t="array" ref="J291">XLOOKUP(CELL("contents",F291),'Swiss Registry'!$B$2:$B$703,'Swiss Registry'!$N$2:$N$703) </f>
        <v>191370461894934528</v>
      </c>
    </row>
    <row r="292">
      <c r="A292" s="140">
        <v>621.0</v>
      </c>
      <c r="B292" s="125" t="str">
        <f>VLOOKUP(A292,'Swiss Registry'!$A$2:$B$703,2,False)</f>
        <v>dinkdank_</v>
      </c>
      <c r="C292" s="105" t="str">
        <f t="shared" si="26"/>
        <v>Game 1</v>
      </c>
      <c r="D292" s="106" t="str">
        <f t="shared" si="29"/>
        <v>Game 2</v>
      </c>
      <c r="E292" s="110" t="str">
        <f t="shared" si="28"/>
        <v>Game 3</v>
      </c>
      <c r="F292" s="126" t="str">
        <f>VLOOKUP(G292,'Swiss Registry'!$A$2:$B$703,2,False)</f>
        <v>jpmockman</v>
      </c>
      <c r="G292" s="127">
        <v>281.0</v>
      </c>
      <c r="H292" s="83" t="s">
        <v>2579</v>
      </c>
      <c r="I292" s="141" t="str">
        <f t="array" ref="I292">XLOOKUP(CELL("contents",B292),'Swiss Registry'!$B$2:$B$703,'Swiss Registry'!$N$2:$N$703) </f>
        <v>722616383233589266</v>
      </c>
      <c r="J292" s="142" t="str">
        <f t="array" ref="J292">XLOOKUP(CELL("contents",F292),'Swiss Registry'!$B$2:$B$703,'Swiss Registry'!$N$2:$N$703) </f>
        <v>935729080282796103</v>
      </c>
    </row>
    <row r="293">
      <c r="A293" s="140">
        <v>195.0</v>
      </c>
      <c r="B293" s="125" t="str">
        <f>VLOOKUP(A293,'Swiss Registry'!$A$2:$B$703,2,False)</f>
        <v>inkyno1</v>
      </c>
      <c r="C293" s="105" t="str">
        <f t="shared" si="26"/>
        <v>Game 1</v>
      </c>
      <c r="D293" s="106" t="str">
        <f t="shared" si="29"/>
        <v>Game 2</v>
      </c>
      <c r="E293" s="107" t="str">
        <f t="shared" si="28"/>
        <v/>
      </c>
      <c r="F293" s="126" t="str">
        <f>VLOOKUP(G293,'Swiss Registry'!$A$2:$B$703,2,False)</f>
        <v>Ktools#9665</v>
      </c>
      <c r="G293" s="127">
        <v>617.0</v>
      </c>
      <c r="H293" s="83" t="s">
        <v>2580</v>
      </c>
      <c r="I293" s="141" t="str">
        <f t="array" ref="I293">XLOOKUP(CELL("contents",B293),'Swiss Registry'!$B$2:$B$703,'Swiss Registry'!$N$2:$N$703) </f>
        <v>240200903359987713</v>
      </c>
      <c r="J293" s="142" t="str">
        <f t="array" ref="J293">XLOOKUP(CELL("contents",F293),'Swiss Registry'!$B$2:$B$703,'Swiss Registry'!$N$2:$N$703) </f>
        <v>225653665149616129</v>
      </c>
    </row>
    <row r="294">
      <c r="A294" s="140">
        <v>111.0</v>
      </c>
      <c r="B294" s="125" t="str">
        <f>VLOOKUP(A294,'Swiss Registry'!$A$2:$B$703,2,False)</f>
        <v>TheTwo</v>
      </c>
      <c r="C294" s="105" t="str">
        <f t="shared" si="26"/>
        <v>Game 1</v>
      </c>
      <c r="D294" s="106" t="str">
        <f t="shared" si="29"/>
        <v>Game 2</v>
      </c>
      <c r="E294" s="107" t="str">
        <f t="shared" si="28"/>
        <v/>
      </c>
      <c r="F294" s="126" t="str">
        <f>VLOOKUP(G294,'Swiss Registry'!$A$2:$B$703,2,False)</f>
        <v>WraxiusGaming</v>
      </c>
      <c r="G294" s="127">
        <v>694.0</v>
      </c>
      <c r="H294" s="83" t="s">
        <v>2581</v>
      </c>
      <c r="I294" s="141" t="str">
        <f t="array" ref="I294">XLOOKUP(CELL("contents",B294),'Swiss Registry'!$B$2:$B$703,'Swiss Registry'!$N$2:$N$703) </f>
        <v>680173901170606171</v>
      </c>
      <c r="J294" s="142" t="str">
        <f t="array" ref="J294">XLOOKUP(CELL("contents",F294),'Swiss Registry'!$B$2:$B$703,'Swiss Registry'!$N$2:$N$703) </f>
        <v>476882845525213184</v>
      </c>
    </row>
    <row r="295">
      <c r="A295" s="140">
        <v>459.0</v>
      </c>
      <c r="B295" s="125" t="str">
        <f>VLOOKUP(A295,'Swiss Registry'!$A$2:$B$703,2,False)</f>
        <v>@aevitostrath or Timehacker Aevitos</v>
      </c>
      <c r="C295" s="105" t="str">
        <f t="shared" si="26"/>
        <v>Game 1</v>
      </c>
      <c r="D295" s="106" t="str">
        <f t="shared" si="29"/>
        <v>Game 2</v>
      </c>
      <c r="E295" s="107" t="str">
        <f t="shared" si="28"/>
        <v/>
      </c>
      <c r="F295" s="126" t="str">
        <f>VLOOKUP(G295,'Swiss Registry'!$A$2:$B$703,2,False)</f>
        <v>the_app</v>
      </c>
      <c r="G295" s="127">
        <v>638.0</v>
      </c>
      <c r="H295" s="83" t="s">
        <v>2582</v>
      </c>
      <c r="I295" s="141" t="str">
        <f t="array" ref="I295">XLOOKUP(CELL("contents",B295),'Swiss Registry'!$B$2:$B$703,'Swiss Registry'!$N$2:$N$703) </f>
        <v>1024789648263893047</v>
      </c>
      <c r="J295" s="142" t="str">
        <f t="array" ref="J295">XLOOKUP(CELL("contents",F295),'Swiss Registry'!$B$2:$B$703,'Swiss Registry'!$N$2:$N$703) </f>
        <v>289874645539094529</v>
      </c>
    </row>
    <row r="296">
      <c r="A296" s="140">
        <v>667.0</v>
      </c>
      <c r="B296" s="125" t="str">
        <f>VLOOKUP(A296,'Swiss Registry'!$A$2:$B$703,2,False)</f>
        <v>KingWafl</v>
      </c>
      <c r="C296" s="105" t="str">
        <f t="shared" si="26"/>
        <v>Game 1</v>
      </c>
      <c r="D296" s="106" t="str">
        <f t="shared" si="29"/>
        <v>Game 2</v>
      </c>
      <c r="E296" s="110" t="str">
        <f t="shared" si="28"/>
        <v>Game 3</v>
      </c>
      <c r="F296" s="126" t="str">
        <f>VLOOKUP(G296,'Swiss Registry'!$A$2:$B$703,2,False)</f>
        <v>rbvengeance (Nicknamed RBV in the server, you can use this as a shorthand)</v>
      </c>
      <c r="G296" s="127">
        <v>239.0</v>
      </c>
      <c r="H296" s="83" t="s">
        <v>2583</v>
      </c>
      <c r="I296" s="141" t="str">
        <f t="array" ref="I296">XLOOKUP(CELL("contents",B296),'Swiss Registry'!$B$2:$B$703,'Swiss Registry'!$N$2:$N$703) </f>
        <v>298196806171492363</v>
      </c>
      <c r="J296" s="142" t="str">
        <f t="array" ref="J296">XLOOKUP(CELL("contents",F296),'Swiss Registry'!$B$2:$B$703,'Swiss Registry'!$N$2:$N$703) </f>
        <v>184058713424920576</v>
      </c>
    </row>
    <row r="297">
      <c r="A297" s="140">
        <v>300.0</v>
      </c>
      <c r="B297" s="125" t="str">
        <f>VLOOKUP(A297,'Swiss Registry'!$A$2:$B$703,2,False)</f>
        <v>nick_parenti</v>
      </c>
      <c r="C297" s="105" t="str">
        <f t="shared" si="26"/>
        <v>Game 1</v>
      </c>
      <c r="D297" s="106" t="str">
        <f t="shared" si="29"/>
        <v>Game 2</v>
      </c>
      <c r="E297" s="107" t="str">
        <f t="shared" si="28"/>
        <v/>
      </c>
      <c r="F297" s="126" t="str">
        <f>VLOOKUP(G297,'Swiss Registry'!$A$2:$B$703,2,False)</f>
        <v>elysyr</v>
      </c>
      <c r="G297" s="127">
        <v>519.0</v>
      </c>
      <c r="H297" s="83" t="s">
        <v>2584</v>
      </c>
      <c r="I297" s="141" t="str">
        <f t="array" ref="I297">XLOOKUP(CELL("contents",B297),'Swiss Registry'!$B$2:$B$703,'Swiss Registry'!$N$2:$N$703) </f>
        <v>1065105750982152223</v>
      </c>
      <c r="J297" s="142" t="str">
        <f t="array" ref="J297">XLOOKUP(CELL("contents",F297),'Swiss Registry'!$B$2:$B$703,'Swiss Registry'!$N$2:$N$703) </f>
        <v>1252241314897068095</v>
      </c>
    </row>
    <row r="298">
      <c r="A298" s="140">
        <v>114.0</v>
      </c>
      <c r="B298" s="125" t="str">
        <f>VLOOKUP(A298,'Swiss Registry'!$A$2:$B$703,2,False)</f>
        <v>catholicguilttrip</v>
      </c>
      <c r="C298" s="105" t="str">
        <f t="shared" si="26"/>
        <v>Game 1</v>
      </c>
      <c r="D298" s="106" t="str">
        <f t="shared" si="29"/>
        <v>Game 2</v>
      </c>
      <c r="E298" s="107" t="str">
        <f t="shared" si="28"/>
        <v/>
      </c>
      <c r="F298" s="126" t="str">
        <f>VLOOKUP(G298,'Swiss Registry'!$A$2:$B$703,2,False)</f>
        <v>resen</v>
      </c>
      <c r="G298" s="127">
        <v>244.0</v>
      </c>
      <c r="H298" s="83" t="s">
        <v>2585</v>
      </c>
      <c r="I298" s="141" t="str">
        <f t="array" ref="I298">XLOOKUP(CELL("contents",B298),'Swiss Registry'!$B$2:$B$703,'Swiss Registry'!$N$2:$N$703) </f>
        <v>434909483127275521</v>
      </c>
      <c r="J298" s="142" t="str">
        <f t="array" ref="J298">XLOOKUP(CELL("contents",F298),'Swiss Registry'!$B$2:$B$703,'Swiss Registry'!$N$2:$N$703) </f>
        <v>348536721010458635</v>
      </c>
    </row>
    <row r="299">
      <c r="A299" s="140">
        <v>559.0</v>
      </c>
      <c r="B299" s="125" t="str">
        <f>VLOOKUP(A299,'Swiss Registry'!$A$2:$B$703,2,False)</f>
        <v>Mimien97</v>
      </c>
      <c r="C299" s="105" t="str">
        <f t="shared" si="26"/>
        <v>Game 1</v>
      </c>
      <c r="D299" s="106" t="str">
        <f t="shared" si="29"/>
        <v>Game 2</v>
      </c>
      <c r="E299" s="110" t="str">
        <f t="shared" si="28"/>
        <v>Game 3</v>
      </c>
      <c r="F299" s="126" t="str">
        <f>VLOOKUP(G299,'Swiss Registry'!$A$2:$B$703,2,False)</f>
        <v>aquaa</v>
      </c>
      <c r="G299" s="127">
        <v>143.0</v>
      </c>
      <c r="H299" s="83" t="s">
        <v>2586</v>
      </c>
      <c r="I299" s="141" t="str">
        <f t="array" ref="I299">XLOOKUP(CELL("contents",B299),'Swiss Registry'!$B$2:$B$703,'Swiss Registry'!$N$2:$N$703) </f>
        <v>441260054461546496</v>
      </c>
      <c r="J299" s="142" t="str">
        <f t="array" ref="J299">XLOOKUP(CELL("contents",F299),'Swiss Registry'!$B$2:$B$703,'Swiss Registry'!$N$2:$N$703) </f>
        <v>86675967501697024</v>
      </c>
    </row>
    <row r="300">
      <c r="A300" s="140">
        <v>556.0</v>
      </c>
      <c r="B300" s="125" t="str">
        <f>VLOOKUP(A300,'Swiss Registry'!$A$2:$B$703,2,False)</f>
        <v>Lhions</v>
      </c>
      <c r="C300" s="111" t="str">
        <f t="shared" si="26"/>
        <v/>
      </c>
      <c r="D300" s="112" t="str">
        <f t="shared" si="29"/>
        <v>Act: Lhions</v>
      </c>
      <c r="E300" s="107" t="str">
        <f t="shared" si="28"/>
        <v/>
      </c>
      <c r="F300" s="126" t="str">
        <f>VLOOKUP(G300,'Swiss Registry'!$A$2:$B$703,2,False)</f>
        <v>Daeronchick</v>
      </c>
      <c r="G300" s="127">
        <v>421.0</v>
      </c>
      <c r="H300" s="83" t="s">
        <v>1486</v>
      </c>
      <c r="I300" s="141" t="str">
        <f t="array" ref="I300">XLOOKUP(CELL("contents",B300),'Swiss Registry'!$B$2:$B$703,'Swiss Registry'!$N$2:$N$703) </f>
        <v>220957448066957312</v>
      </c>
      <c r="J300" s="142" t="str">
        <f t="array" ref="J300">XLOOKUP(CELL("contents",F300),'Swiss Registry'!$B$2:$B$703,'Swiss Registry'!$N$2:$N$703) </f>
        <v>409376335505522690</v>
      </c>
    </row>
    <row r="301">
      <c r="A301" s="140">
        <v>583.0</v>
      </c>
      <c r="B301" s="125" t="str">
        <f>VLOOKUP(A301,'Swiss Registry'!$A$2:$B$703,2,False)</f>
        <v>frogsella</v>
      </c>
      <c r="C301" s="105" t="str">
        <f t="shared" si="26"/>
        <v>Game 1</v>
      </c>
      <c r="D301" s="106" t="str">
        <f t="shared" si="29"/>
        <v>Game 2</v>
      </c>
      <c r="E301" s="107" t="str">
        <f t="shared" si="28"/>
        <v/>
      </c>
      <c r="F301" s="126" t="str">
        <f>VLOOKUP(G301,'Swiss Registry'!$A$2:$B$703,2,False)</f>
        <v>kebinsan</v>
      </c>
      <c r="G301" s="127">
        <v>217.0</v>
      </c>
      <c r="H301" s="83" t="s">
        <v>2587</v>
      </c>
      <c r="I301" s="141" t="str">
        <f t="array" ref="I301">XLOOKUP(CELL("contents",B301),'Swiss Registry'!$B$2:$B$703,'Swiss Registry'!$N$2:$N$703) </f>
        <v>229061659698659328</v>
      </c>
      <c r="J301" s="142" t="str">
        <f t="array" ref="J301">XLOOKUP(CELL("contents",F301),'Swiss Registry'!$B$2:$B$703,'Swiss Registry'!$N$2:$N$703) </f>
        <v>161516689433952256</v>
      </c>
    </row>
    <row r="302">
      <c r="A302" s="140">
        <v>510.0</v>
      </c>
      <c r="B302" s="125" t="str">
        <f>VLOOKUP(A302,'Swiss Registry'!$A$2:$B$703,2,False)</f>
        <v>Melninja</v>
      </c>
      <c r="C302" s="111" t="str">
        <f t="shared" si="26"/>
        <v/>
      </c>
      <c r="D302" s="112" t="str">
        <f t="shared" si="29"/>
        <v>Act: Melninja</v>
      </c>
      <c r="E302" s="107" t="str">
        <f t="shared" si="28"/>
        <v/>
      </c>
      <c r="F302" s="126" t="str">
        <f>VLOOKUP(G302,'Swiss Registry'!$A$2:$B$703,2,False)</f>
        <v>Luca Dylan</v>
      </c>
      <c r="G302" s="127">
        <v>542.0</v>
      </c>
      <c r="H302" s="83" t="s">
        <v>1486</v>
      </c>
      <c r="I302" s="141" t="str">
        <f t="array" ref="I302">XLOOKUP(CELL("contents",B302),'Swiss Registry'!$B$2:$B$703,'Swiss Registry'!$N$2:$N$703) </f>
        <v>303553097584607249</v>
      </c>
      <c r="J302" s="142" t="str">
        <f t="array" ref="J302">XLOOKUP(CELL("contents",F302),'Swiss Registry'!$B$2:$B$703,'Swiss Registry'!$N$2:$N$703) </f>
        <v>695567810511896586</v>
      </c>
    </row>
    <row r="303">
      <c r="A303" s="140">
        <v>535.0</v>
      </c>
      <c r="B303" s="125" t="str">
        <f>VLOOKUP(A303,'Swiss Registry'!$A$2:$B$703,2,False)</f>
        <v>scootymcbooty123</v>
      </c>
      <c r="C303" s="111" t="str">
        <f t="shared" si="26"/>
        <v/>
      </c>
      <c r="D303" s="112" t="str">
        <f t="shared" si="29"/>
        <v>Act: scootymcbooty123</v>
      </c>
      <c r="E303" s="107" t="str">
        <f t="shared" si="28"/>
        <v/>
      </c>
      <c r="F303" s="126" t="str">
        <f>VLOOKUP(G303,'Swiss Registry'!$A$2:$B$703,2,False)</f>
        <v>kinglazi</v>
      </c>
      <c r="G303" s="127">
        <v>351.0</v>
      </c>
      <c r="H303" s="83" t="s">
        <v>2588</v>
      </c>
      <c r="I303" s="141" t="str">
        <f t="array" ref="I303">XLOOKUP(CELL("contents",B303),'Swiss Registry'!$B$2:$B$703,'Swiss Registry'!$N$2:$N$703) </f>
        <v>1016157273816584242</v>
      </c>
      <c r="J303" s="142" t="str">
        <f t="array" ref="J303">XLOOKUP(CELL("contents",F303),'Swiss Registry'!$B$2:$B$703,'Swiss Registry'!$N$2:$N$703) </f>
        <v>266204930774269962</v>
      </c>
    </row>
    <row r="304">
      <c r="A304" s="140">
        <v>219.0</v>
      </c>
      <c r="B304" s="125" t="str">
        <f>VLOOKUP(A304,'Swiss Registry'!$A$2:$B$703,2,False)</f>
        <v>girlevader</v>
      </c>
      <c r="C304" s="111" t="str">
        <f t="shared" si="26"/>
        <v/>
      </c>
      <c r="D304" s="112" t="str">
        <f t="shared" si="29"/>
        <v>Act: bugthatlovesfish</v>
      </c>
      <c r="E304" s="107" t="str">
        <f t="shared" si="28"/>
        <v/>
      </c>
      <c r="F304" s="126" t="str">
        <f>VLOOKUP(G304,'Swiss Registry'!$A$2:$B$703,2,False)</f>
        <v>bugthatlovesfish</v>
      </c>
      <c r="G304" s="127">
        <v>697.0</v>
      </c>
      <c r="H304" s="83" t="s">
        <v>1523</v>
      </c>
      <c r="I304" s="141" t="str">
        <f t="array" ref="I304">XLOOKUP(CELL("contents",B304),'Swiss Registry'!$B$2:$B$703,'Swiss Registry'!$N$2:$N$703) </f>
        <v>1100068954283724900</v>
      </c>
      <c r="J304" s="142" t="str">
        <f t="array" ref="J304">XLOOKUP(CELL("contents",F304),'Swiss Registry'!$B$2:$B$703,'Swiss Registry'!$N$2:$N$703) </f>
        <v>248102672555704322</v>
      </c>
    </row>
    <row r="305">
      <c r="A305" s="140">
        <v>604.0</v>
      </c>
      <c r="B305" s="125" t="str">
        <f>VLOOKUP(A305,'Swiss Registry'!$A$2:$B$703,2,False)</f>
        <v>sensei_moon</v>
      </c>
      <c r="C305" s="105" t="str">
        <f t="shared" si="26"/>
        <v>Game 1</v>
      </c>
      <c r="D305" s="106" t="str">
        <f t="shared" si="29"/>
        <v>Game 2</v>
      </c>
      <c r="E305" s="107" t="str">
        <f t="shared" si="28"/>
        <v/>
      </c>
      <c r="F305" s="126" t="str">
        <f>VLOOKUP(G305,'Swiss Registry'!$A$2:$B$703,2,False)</f>
        <v>moggie776</v>
      </c>
      <c r="G305" s="127">
        <v>231.0</v>
      </c>
      <c r="H305" s="83" t="s">
        <v>2589</v>
      </c>
      <c r="I305" s="141" t="str">
        <f t="array" ref="I305">XLOOKUP(CELL("contents",B305),'Swiss Registry'!$B$2:$B$703,'Swiss Registry'!$N$2:$N$703) </f>
        <v>385834807839555584</v>
      </c>
      <c r="J305" s="142" t="str">
        <f t="array" ref="J305">XLOOKUP(CELL("contents",F305),'Swiss Registry'!$B$2:$B$703,'Swiss Registry'!$N$2:$N$703) </f>
        <v>662243961477398528</v>
      </c>
    </row>
    <row r="306">
      <c r="A306" s="140">
        <v>573.0</v>
      </c>
      <c r="B306" s="125" t="str">
        <f>VLOOKUP(A306,'Swiss Registry'!$A$2:$B$703,2,False)</f>
        <v>tamafuyu</v>
      </c>
      <c r="C306" s="105" t="str">
        <f t="shared" si="26"/>
        <v>Game 1</v>
      </c>
      <c r="D306" s="106" t="str">
        <f t="shared" si="29"/>
        <v>Game 2</v>
      </c>
      <c r="E306" s="107" t="str">
        <f t="shared" si="28"/>
        <v/>
      </c>
      <c r="F306" s="126" t="str">
        <f>VLOOKUP(G306,'Swiss Registry'!$A$2:$B$703,2,False)</f>
        <v>allance05</v>
      </c>
      <c r="G306" s="127">
        <v>690.0</v>
      </c>
      <c r="H306" s="83" t="s">
        <v>2590</v>
      </c>
      <c r="I306" s="141" t="str">
        <f t="array" ref="I306">XLOOKUP(CELL("contents",B306),'Swiss Registry'!$B$2:$B$703,'Swiss Registry'!$N$2:$N$703) </f>
        <v>98886753485623296</v>
      </c>
      <c r="J306" s="142" t="str">
        <f t="array" ref="J306">XLOOKUP(CELL("contents",F306),'Swiss Registry'!$B$2:$B$703,'Swiss Registry'!$N$2:$N$703) </f>
        <v>783282113288863754</v>
      </c>
    </row>
    <row r="307">
      <c r="A307" s="140">
        <v>341.0</v>
      </c>
      <c r="B307" s="125" t="str">
        <f>VLOOKUP(A307,'Swiss Registry'!$A$2:$B$703,2,False)</f>
        <v>terradayy</v>
      </c>
      <c r="C307" s="105" t="str">
        <f t="shared" si="26"/>
        <v>Game 1</v>
      </c>
      <c r="D307" s="106" t="str">
        <f t="shared" si="29"/>
        <v>Game 2</v>
      </c>
      <c r="E307" s="110" t="str">
        <f t="shared" si="28"/>
        <v>Game 3</v>
      </c>
      <c r="F307" s="126" t="str">
        <f>VLOOKUP(G307,'Swiss Registry'!$A$2:$B$703,2,False)</f>
        <v>papajefe</v>
      </c>
      <c r="G307" s="127">
        <v>335.0</v>
      </c>
      <c r="H307" s="83" t="s">
        <v>2591</v>
      </c>
      <c r="I307" s="141" t="str">
        <f t="array" ref="I307">XLOOKUP(CELL("contents",B307),'Swiss Registry'!$B$2:$B$703,'Swiss Registry'!$N$2:$N$703) </f>
        <v>167777634267168768</v>
      </c>
      <c r="J307" s="142" t="str">
        <f t="array" ref="J307">XLOOKUP(CELL("contents",F307),'Swiss Registry'!$B$2:$B$703,'Swiss Registry'!$N$2:$N$703) </f>
        <v>124733623705272323</v>
      </c>
    </row>
    <row r="308">
      <c r="A308" s="140">
        <v>128.0</v>
      </c>
      <c r="B308" s="125" t="str">
        <f>VLOOKUP(A308,'Swiss Registry'!$A$2:$B$703,2,False)</f>
        <v>iwasmoth</v>
      </c>
      <c r="C308" s="105" t="str">
        <f t="shared" si="26"/>
        <v>Game 1</v>
      </c>
      <c r="D308" s="106" t="str">
        <f t="shared" si="29"/>
        <v>Game 2</v>
      </c>
      <c r="E308" s="107" t="str">
        <f t="shared" si="28"/>
        <v/>
      </c>
      <c r="F308" s="126" t="str">
        <f>VLOOKUP(G308,'Swiss Registry'!$A$2:$B$703,2,False)</f>
        <v>valyns</v>
      </c>
      <c r="G308" s="127">
        <v>232.0</v>
      </c>
      <c r="H308" s="83" t="s">
        <v>2592</v>
      </c>
      <c r="I308" s="141" t="str">
        <f t="array" ref="I308">XLOOKUP(CELL("contents",B308),'Swiss Registry'!$B$2:$B$703,'Swiss Registry'!$N$2:$N$703) </f>
        <v>127915546229473280</v>
      </c>
      <c r="J308" s="142" t="str">
        <f t="array" ref="J308">XLOOKUP(CELL("contents",F308),'Swiss Registry'!$B$2:$B$703,'Swiss Registry'!$N$2:$N$703) </f>
        <v>118138165855911936</v>
      </c>
    </row>
    <row r="309">
      <c r="A309" s="140">
        <v>600.0</v>
      </c>
      <c r="B309" s="125" t="str">
        <f>VLOOKUP(A309,'Swiss Registry'!$A$2:$B$703,2,False)</f>
        <v>lindonh</v>
      </c>
      <c r="C309" s="111" t="str">
        <f t="shared" si="26"/>
        <v/>
      </c>
      <c r="D309" s="112" t="str">
        <f t="shared" si="29"/>
        <v>Act: dragonlord6954</v>
      </c>
      <c r="E309" s="107" t="str">
        <f t="shared" si="28"/>
        <v/>
      </c>
      <c r="F309" s="126" t="str">
        <f>VLOOKUP(G309,'Swiss Registry'!$A$2:$B$703,2,False)</f>
        <v>dragonlord6954</v>
      </c>
      <c r="G309" s="127">
        <v>400.0</v>
      </c>
      <c r="H309" s="83" t="s">
        <v>1523</v>
      </c>
      <c r="I309" s="141" t="str">
        <f t="array" ref="I309">XLOOKUP(CELL("contents",B309),'Swiss Registry'!$B$2:$B$703,'Swiss Registry'!$N$2:$N$703) </f>
        <v>420784558519091200</v>
      </c>
      <c r="J309" s="142" t="str">
        <f t="array" ref="J309">XLOOKUP(CELL("contents",F309),'Swiss Registry'!$B$2:$B$703,'Swiss Registry'!$N$2:$N$703) </f>
        <v>1071049773546733670</v>
      </c>
    </row>
    <row r="310">
      <c r="A310" s="140">
        <v>290.0</v>
      </c>
      <c r="B310" s="125" t="str">
        <f>VLOOKUP(A310,'Swiss Registry'!$A$2:$B$703,2,False)</f>
        <v>truelawbringer</v>
      </c>
      <c r="C310" s="105" t="str">
        <f t="shared" si="26"/>
        <v>Game 1</v>
      </c>
      <c r="D310" s="106" t="str">
        <f t="shared" si="29"/>
        <v>Game 2</v>
      </c>
      <c r="E310" s="107" t="str">
        <f t="shared" si="28"/>
        <v/>
      </c>
      <c r="F310" s="126" t="str">
        <f>VLOOKUP(G310,'Swiss Registry'!$A$2:$B$703,2,False)</f>
        <v>lemon04</v>
      </c>
      <c r="G310" s="127">
        <v>270.0</v>
      </c>
      <c r="H310" s="83" t="s">
        <v>2593</v>
      </c>
      <c r="I310" s="141" t="str">
        <f t="array" ref="I310">XLOOKUP(CELL("contents",B310),'Swiss Registry'!$B$2:$B$703,'Swiss Registry'!$N$2:$N$703) </f>
        <v>213542908421341184</v>
      </c>
      <c r="J310" s="142" t="str">
        <f t="array" ref="J310">XLOOKUP(CELL("contents",F310),'Swiss Registry'!$B$2:$B$703,'Swiss Registry'!$N$2:$N$703) </f>
        <v>177840825986711552</v>
      </c>
    </row>
    <row r="311">
      <c r="A311" s="140">
        <v>404.0</v>
      </c>
      <c r="B311" s="125" t="str">
        <f>VLOOKUP(A311,'Swiss Registry'!$A$2:$B$703,2,False)</f>
        <v>jew9318</v>
      </c>
      <c r="C311" s="105" t="str">
        <f t="shared" si="26"/>
        <v>Game 1</v>
      </c>
      <c r="D311" s="106" t="str">
        <f t="shared" si="29"/>
        <v>Game 2</v>
      </c>
      <c r="E311" s="110" t="str">
        <f t="shared" si="28"/>
        <v>Game 3</v>
      </c>
      <c r="F311" s="126" t="str">
        <f>VLOOKUP(G311,'Swiss Registry'!$A$2:$B$703,2,False)</f>
        <v>Nunleft</v>
      </c>
      <c r="G311" s="127">
        <v>353.0</v>
      </c>
      <c r="H311" s="83" t="s">
        <v>2594</v>
      </c>
      <c r="I311" s="141" t="str">
        <f t="array" ref="I311">XLOOKUP(CELL("contents",B311),'Swiss Registry'!$B$2:$B$703,'Swiss Registry'!$N$2:$N$703) </f>
        <v>155599548624928768</v>
      </c>
      <c r="J311" s="142" t="str">
        <f t="array" ref="J311">XLOOKUP(CELL("contents",F311),'Swiss Registry'!$B$2:$B$703,'Swiss Registry'!$N$2:$N$703) </f>
        <v>168635669982216192</v>
      </c>
    </row>
    <row r="312">
      <c r="A312" s="140">
        <v>366.0</v>
      </c>
      <c r="B312" s="125" t="str">
        <f>VLOOKUP(A312,'Swiss Registry'!$A$2:$B$703,2,False)</f>
        <v>dimiswooner</v>
      </c>
      <c r="C312" s="111" t="str">
        <f t="shared" si="26"/>
        <v/>
      </c>
      <c r="D312" s="112" t="str">
        <f t="shared" si="29"/>
        <v>Act: dimiswooner</v>
      </c>
      <c r="E312" s="107" t="str">
        <f t="shared" si="28"/>
        <v/>
      </c>
      <c r="F312" s="126" t="str">
        <f>VLOOKUP(G312,'Swiss Registry'!$A$2:$B$703,2,False)</f>
        <v>Josito</v>
      </c>
      <c r="G312" s="127">
        <v>641.0</v>
      </c>
      <c r="H312" s="83" t="s">
        <v>1486</v>
      </c>
      <c r="I312" s="141" t="str">
        <f t="array" ref="I312">XLOOKUP(CELL("contents",B312),'Swiss Registry'!$B$2:$B$703,'Swiss Registry'!$N$2:$N$703) </f>
        <v>593100232607137793</v>
      </c>
      <c r="J312" s="142" t="str">
        <f t="array" ref="J312">XLOOKUP(CELL("contents",F312),'Swiss Registry'!$B$2:$B$703,'Swiss Registry'!$N$2:$N$703) </f>
        <v>206542779122319360</v>
      </c>
    </row>
    <row r="313">
      <c r="A313" s="140">
        <v>401.0</v>
      </c>
      <c r="B313" s="125" t="str">
        <f>VLOOKUP(A313,'Swiss Registry'!$A$2:$B$703,2,False)</f>
        <v>.lucky_7.</v>
      </c>
      <c r="C313" s="111" t="str">
        <f t="shared" si="26"/>
        <v/>
      </c>
      <c r="D313" s="112" t="str">
        <f t="shared" si="29"/>
        <v>Act: .lucky_7.</v>
      </c>
      <c r="E313" s="107" t="str">
        <f t="shared" si="28"/>
        <v/>
      </c>
      <c r="F313" s="126" t="str">
        <f>VLOOKUP(G313,'Swiss Registry'!$A$2:$B$703,2,False)</f>
        <v>itsaregionaldialect</v>
      </c>
      <c r="G313" s="127">
        <v>657.0</v>
      </c>
      <c r="H313" s="83" t="s">
        <v>1486</v>
      </c>
      <c r="I313" s="141" t="str">
        <f t="array" ref="I313">XLOOKUP(CELL("contents",B313),'Swiss Registry'!$B$2:$B$703,'Swiss Registry'!$N$2:$N$703) </f>
        <v>324637010193285121</v>
      </c>
      <c r="J313" s="142" t="str">
        <f t="array" ref="J313">XLOOKUP(CELL("contents",F313),'Swiss Registry'!$B$2:$B$703,'Swiss Registry'!$N$2:$N$703) </f>
        <v>SUB</v>
      </c>
    </row>
    <row r="314">
      <c r="A314" s="140">
        <v>458.0</v>
      </c>
      <c r="B314" s="125" t="str">
        <f>VLOOKUP(A314,'Swiss Registry'!$A$2:$B$703,2,False)</f>
        <v>Antinomy</v>
      </c>
      <c r="C314" s="111" t="str">
        <f t="shared" si="26"/>
        <v/>
      </c>
      <c r="D314" s="112" t="str">
        <f t="shared" si="29"/>
        <v>Act: Drby</v>
      </c>
      <c r="E314" s="107" t="str">
        <f t="shared" si="28"/>
        <v/>
      </c>
      <c r="F314" s="126" t="str">
        <f>VLOOKUP(G314,'Swiss Registry'!$A$2:$B$703,2,False)</f>
        <v>Drby</v>
      </c>
      <c r="G314" s="127">
        <v>579.0</v>
      </c>
      <c r="H314" s="83" t="s">
        <v>1523</v>
      </c>
      <c r="I314" s="141" t="str">
        <f t="array" ref="I314">XLOOKUP(CELL("contents",B314),'Swiss Registry'!$B$2:$B$703,'Swiss Registry'!$N$2:$N$703) </f>
        <v>85928431623106560</v>
      </c>
      <c r="J314" s="142" t="str">
        <f t="array" ref="J314">XLOOKUP(CELL("contents",F314),'Swiss Registry'!$B$2:$B$703,'Swiss Registry'!$N$2:$N$703) </f>
        <v>246760558680997888</v>
      </c>
    </row>
    <row r="315">
      <c r="A315" s="140">
        <v>473.0</v>
      </c>
      <c r="B315" s="125" t="str">
        <f>VLOOKUP(A315,'Swiss Registry'!$A$2:$B$703,2,False)</f>
        <v>hachimaki.</v>
      </c>
      <c r="C315" s="111" t="str">
        <f t="shared" si="26"/>
        <v/>
      </c>
      <c r="D315" s="112" t="str">
        <f t="shared" si="29"/>
        <v>Act: GSC_Lover_Boy</v>
      </c>
      <c r="E315" s="107" t="str">
        <f t="shared" si="28"/>
        <v/>
      </c>
      <c r="F315" s="126" t="str">
        <f>VLOOKUP(G315,'Swiss Registry'!$A$2:$B$703,2,False)</f>
        <v>GSC_Lover_Boy</v>
      </c>
      <c r="G315" s="127">
        <v>497.0</v>
      </c>
      <c r="H315" s="83" t="s">
        <v>1523</v>
      </c>
      <c r="I315" s="141" t="str">
        <f t="array" ref="I315">XLOOKUP(CELL("contents",B315),'Swiss Registry'!$B$2:$B$703,'Swiss Registry'!$N$2:$N$703) </f>
        <v>165579227897266176</v>
      </c>
      <c r="J315" s="142" t="str">
        <f t="array" ref="J315">XLOOKUP(CELL("contents",F315),'Swiss Registry'!$B$2:$B$703,'Swiss Registry'!$N$2:$N$703) </f>
        <v>1287881690001440810</v>
      </c>
    </row>
  </sheetData>
  <mergeCells count="1">
    <mergeCell ref="C1:E1"/>
  </mergeCells>
  <conditionalFormatting sqref="B3:B46 B48:B91 B93:B136 B138:B181 B183:B226 B228:B271 B273:B315">
    <cfRule type="expression" dxfId="5" priority="1">
      <formula>IF(LEFT(H3:H315,1)="A",TRUE,FALSE)</formula>
    </cfRule>
  </conditionalFormatting>
  <conditionalFormatting sqref="F3:F46 I3:J46 F48:F91 I48:J91 F93:F136 I93:J136 F138:F181 I138:J181 F183:F226 I183:J226 F228:F271 I228:J271 F273:F315 I273:J315">
    <cfRule type="expression" dxfId="5" priority="2">
      <formula>IF(LEFT(H3:H315,1)="B",TRUE,FALSE)</formula>
    </cfRule>
  </conditionalFormatting>
  <conditionalFormatting sqref="B3:B46 B48:B91 B93:B136 B138:B181 B183:B226 B228:B271 B273:B315">
    <cfRule type="expression" dxfId="6" priority="3">
      <formula>IF(LEFT(H3:H315,1)="B",TRUE,FALSE)</formula>
    </cfRule>
  </conditionalFormatting>
  <conditionalFormatting sqref="F3:F46 I3:J46 F48:F91 I48:J91 F93:F136 I93:J136 F138:F181 I138:J181 F183:F226 I183:J226 F228:F271 I228:J271 F273:F315 I273:J315">
    <cfRule type="expression" dxfId="6" priority="4">
      <formula>IF(LEFT(H3:H315,1)="A",TRUE,FALSE)</formula>
    </cfRule>
  </conditionalFormatting>
  <conditionalFormatting sqref="B3:B46 B48:B91 B93:B136 B138:B181 B183:B226 B228:B271 B273:B315">
    <cfRule type="expression" dxfId="10" priority="5">
      <formula>COUNTIF(B:F, B3)&gt;1</formula>
    </cfRule>
  </conditionalFormatting>
  <conditionalFormatting sqref="J18">
    <cfRule type="notContainsBlanks" dxfId="2" priority="6">
      <formula>LEN(TRIM(J18))&gt;0</formula>
    </cfRule>
  </conditionalFormatting>
  <conditionalFormatting sqref="F3:F46 F48:F91 F93:F136 F138:F181 F183:F226 F228:F271 F273:F315">
    <cfRule type="expression" dxfId="10" priority="7">
      <formula>COUNTIF(B:F, F3)&gt;1</formula>
    </cfRule>
  </conditionalFormatting>
  <drawing r:id="rId2"/>
  <legacyDrawing r:id="rId3"/>
  <tableParts count="8">
    <tablePart r:id="rId12"/>
    <tablePart r:id="rId13"/>
    <tablePart r:id="rId14"/>
    <tablePart r:id="rId15"/>
    <tablePart r:id="rId16"/>
    <tablePart r:id="rId17"/>
    <tablePart r:id="rId18"/>
    <tablePart r:id="rId1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0"/>
    <col customWidth="1" hidden="1" min="9" max="10" width="21.13"/>
  </cols>
  <sheetData>
    <row r="1">
      <c r="A1" s="118"/>
      <c r="B1" s="119" t="s">
        <v>1454</v>
      </c>
      <c r="C1" s="134" t="s">
        <v>2595</v>
      </c>
      <c r="D1" s="77"/>
      <c r="E1" s="78"/>
      <c r="F1" s="120" t="s">
        <v>1454</v>
      </c>
      <c r="G1" s="121"/>
      <c r="H1" s="135" t="s">
        <v>1456</v>
      </c>
      <c r="I1" s="136" t="s">
        <v>1768</v>
      </c>
      <c r="J1" s="137" t="s">
        <v>1769</v>
      </c>
    </row>
    <row r="2" ht="15.0" customHeight="1">
      <c r="A2" s="124"/>
      <c r="B2" s="122"/>
      <c r="C2" s="123"/>
      <c r="D2" s="138" t="s">
        <v>1457</v>
      </c>
      <c r="E2" s="123"/>
      <c r="F2" s="122"/>
      <c r="G2" s="124"/>
      <c r="H2" s="83"/>
      <c r="I2" s="139"/>
      <c r="J2" s="139"/>
    </row>
    <row r="3">
      <c r="A3" s="140">
        <v>97.0</v>
      </c>
      <c r="B3" s="125" t="str">
        <f>VLOOKUP(A3,'Swiss Registry'!$A$2:$B$703,2,False)</f>
        <v>Seradess</v>
      </c>
      <c r="C3" s="111" t="str">
        <f t="shared" ref="C3:C44" si="1">IF(H3="dead","",IF(H3="a:act","",IF(H3="b:act","",IF(ISURL(HYPERLINK(INDIRECT("Importer!B"&amp;MID(H3,2,4)+1,TRUE))),HYPERLINK(INDIRECT("Importer!B"&amp;MID(H3,2,4)+1,TRUE), "Game 1"),""))))</f>
        <v/>
      </c>
      <c r="D3" s="112" t="str">
        <f t="shared" ref="D3:D41" si="2">IF(H3="dead","Dead Game",IF(H3="a:act","Act: "&amp;B3,IF(H3="b:act","Act: "&amp;F3,IF(ISURL(HYPERLINK(INDIRECT("Importer!B"&amp;MID(H3,6,4)+1,TRUE))),HYPERLINK(INDIRECT("Importer!B"&amp;MID(H3,6,4)+1,TRUE), "Game 2"),""))))</f>
        <v>Act: strawbbz</v>
      </c>
      <c r="E3" s="107" t="str">
        <f t="shared" ref="E3:E44" si="3">IF(H3="dead","",IF(H3="a:act","",IF(H3="b:act","",IF(ISURL(HYPERLINK(INDIRECT("Importer!B"&amp;MID(H3,10,4)+1,TRUE))),HYPERLINK(INDIRECT("Importer!B"&amp;MID(H3,10,4)+1,TRUE), "Game 3"),""))))</f>
        <v/>
      </c>
      <c r="F3" s="125" t="str">
        <f>VLOOKUP(G3,'Swiss Registry'!$A$2:$B$703,2,False)</f>
        <v>strawbbz</v>
      </c>
      <c r="G3" s="145">
        <v>507.0</v>
      </c>
      <c r="H3" s="93" t="s">
        <v>1523</v>
      </c>
      <c r="I3" s="141" t="str">
        <f t="array" ref="I3">XLOOKUP(CELL("contents",B3),'Swiss Registry'!$B$2:$B$703,'Swiss Registry'!$N$2:$N$703) </f>
        <v>244659660794101763</v>
      </c>
      <c r="J3" s="142" t="str">
        <f t="array" ref="J3">XLOOKUP(CELL("contents",F3),'Swiss Registry'!$B$2:$B$703,'Swiss Registry'!$N$2:$N$703) </f>
        <v>303671100980854788</v>
      </c>
    </row>
    <row r="4">
      <c r="A4" s="140">
        <v>1.0</v>
      </c>
      <c r="B4" s="125" t="str">
        <f>VLOOKUP(A4,'Swiss Registry'!$A$2:$B$703,2,False)</f>
        <v>Fakes</v>
      </c>
      <c r="C4" s="105" t="str">
        <f t="shared" si="1"/>
        <v>Game 1</v>
      </c>
      <c r="D4" s="106" t="str">
        <f t="shared" si="2"/>
        <v>Game 2</v>
      </c>
      <c r="E4" s="107" t="str">
        <f t="shared" si="3"/>
        <v/>
      </c>
      <c r="F4" s="125" t="str">
        <f>VLOOKUP(G4,'Swiss Registry'!$A$2:$B$703,2,False)</f>
        <v>Ho_Chi</v>
      </c>
      <c r="G4" s="145">
        <v>286.0</v>
      </c>
      <c r="H4" s="93" t="s">
        <v>2596</v>
      </c>
      <c r="I4" s="141" t="str">
        <f t="array" ref="I4">XLOOKUP(CELL("contents",B4),'Swiss Registry'!$B$2:$B$703,'Swiss Registry'!$N$2:$N$703) </f>
        <v>917864414269550693</v>
      </c>
      <c r="J4" s="142" t="str">
        <f t="array" ref="J4">XLOOKUP(CELL("contents",F4),'Swiss Registry'!$B$2:$B$703,'Swiss Registry'!$N$2:$N$703) </f>
        <v>427608109519863816</v>
      </c>
    </row>
    <row r="5">
      <c r="A5" s="140">
        <v>3.0</v>
      </c>
      <c r="B5" s="125" t="str">
        <f>VLOOKUP(A5,'Swiss Registry'!$A$2:$B$703,2,False)</f>
        <v>Triangles</v>
      </c>
      <c r="C5" s="105" t="str">
        <f t="shared" si="1"/>
        <v>Game 1</v>
      </c>
      <c r="D5" s="106" t="str">
        <f t="shared" si="2"/>
        <v>Game 2</v>
      </c>
      <c r="E5" s="107" t="str">
        <f t="shared" si="3"/>
        <v/>
      </c>
      <c r="F5" s="125" t="str">
        <f>VLOOKUP(G5,'Swiss Registry'!$A$2:$B$703,2,False)</f>
        <v>depressioncherry_66209</v>
      </c>
      <c r="G5" s="145">
        <v>185.0</v>
      </c>
      <c r="H5" s="93" t="s">
        <v>2597</v>
      </c>
      <c r="I5" s="141" t="str">
        <f t="array" ref="I5">XLOOKUP(CELL("contents",B5),'Swiss Registry'!$B$2:$B$703,'Swiss Registry'!$N$2:$N$703) </f>
        <v>587394354725912717</v>
      </c>
      <c r="J5" s="142" t="str">
        <f t="array" ref="J5">XLOOKUP(CELL("contents",F5),'Swiss Registry'!$B$2:$B$703,'Swiss Registry'!$N$2:$N$703) </f>
        <v>1223996337217863761</v>
      </c>
    </row>
    <row r="6">
      <c r="A6" s="140">
        <v>6.0</v>
      </c>
      <c r="B6" s="125" t="str">
        <f>VLOOKUP(A6,'Swiss Registry'!$A$2:$B$703,2,False)</f>
        <v>Fear</v>
      </c>
      <c r="C6" s="105" t="str">
        <f t="shared" si="1"/>
        <v>Game 1</v>
      </c>
      <c r="D6" s="106" t="str">
        <f t="shared" si="2"/>
        <v>Game 2</v>
      </c>
      <c r="E6" s="107" t="str">
        <f t="shared" si="3"/>
        <v/>
      </c>
      <c r="F6" s="125" t="str">
        <f>VLOOKUP(G6,'Swiss Registry'!$A$2:$B$703,2,False)</f>
        <v>_uka</v>
      </c>
      <c r="G6" s="145">
        <v>227.0</v>
      </c>
      <c r="H6" s="93" t="s">
        <v>2598</v>
      </c>
      <c r="I6" s="141" t="str">
        <f t="array" ref="I6">XLOOKUP(CELL("contents",B6),'Swiss Registry'!$B$2:$B$703,'Swiss Registry'!$N$2:$N$703) </f>
        <v>125981893828149248</v>
      </c>
      <c r="J6" s="142" t="str">
        <f t="array" ref="J6">XLOOKUP(CELL("contents",F6),'Swiss Registry'!$B$2:$B$703,'Swiss Registry'!$N$2:$N$703) </f>
        <v>277419088588832768</v>
      </c>
    </row>
    <row r="7">
      <c r="A7" s="140">
        <v>7.0</v>
      </c>
      <c r="B7" s="125" t="str">
        <f>VLOOKUP(A7,'Swiss Registry'!$A$2:$B$703,2,False)</f>
        <v>jumpy23</v>
      </c>
      <c r="C7" s="105" t="str">
        <f t="shared" si="1"/>
        <v>Game 1</v>
      </c>
      <c r="D7" s="106" t="str">
        <f t="shared" si="2"/>
        <v>Game 2</v>
      </c>
      <c r="E7" s="107" t="str">
        <f t="shared" si="3"/>
        <v/>
      </c>
      <c r="F7" s="125" t="str">
        <f>VLOOKUP(G7,'Swiss Registry'!$A$2:$B$703,2,False)</f>
        <v>Sophocles</v>
      </c>
      <c r="G7" s="145">
        <v>130.0</v>
      </c>
      <c r="H7" s="93" t="s">
        <v>2599</v>
      </c>
      <c r="I7" s="141" t="str">
        <f t="array" ref="I7">XLOOKUP(CELL("contents",B7),'Swiss Registry'!$B$2:$B$703,'Swiss Registry'!$N$2:$N$703) </f>
        <v>127527434865082368</v>
      </c>
      <c r="J7" s="142" t="str">
        <f t="array" ref="J7">XLOOKUP(CELL("contents",F7),'Swiss Registry'!$B$2:$B$703,'Swiss Registry'!$N$2:$N$703) </f>
        <v>109151686848679936</v>
      </c>
    </row>
    <row r="8">
      <c r="A8" s="140">
        <v>9.0</v>
      </c>
      <c r="B8" s="125" t="str">
        <f>VLOOKUP(A8,'Swiss Registry'!$A$2:$B$703,2,False)</f>
        <v>Kollin</v>
      </c>
      <c r="C8" s="105" t="str">
        <f t="shared" si="1"/>
        <v>Game 1</v>
      </c>
      <c r="D8" s="106" t="str">
        <f t="shared" si="2"/>
        <v>Game 2</v>
      </c>
      <c r="E8" s="110" t="str">
        <f t="shared" si="3"/>
        <v>Game 3</v>
      </c>
      <c r="F8" s="125" t="str">
        <f>VLOOKUP(G8,'Swiss Registry'!$A$2:$B$703,2,False)</f>
        <v>Saint-ome</v>
      </c>
      <c r="G8" s="145">
        <v>480.0</v>
      </c>
      <c r="H8" s="93" t="s">
        <v>2600</v>
      </c>
      <c r="I8" s="141" t="str">
        <f t="array" ref="I8">XLOOKUP(CELL("contents",B8),'Swiss Registry'!$B$2:$B$703,'Swiss Registry'!$N$2:$N$703) </f>
        <v>83000775151714304</v>
      </c>
      <c r="J8" s="142" t="str">
        <f t="array" ref="J8">XLOOKUP(CELL("contents",F8),'Swiss Registry'!$B$2:$B$703,'Swiss Registry'!$N$2:$N$703) </f>
        <v>398619797765488645</v>
      </c>
    </row>
    <row r="9">
      <c r="A9" s="140">
        <v>13.0</v>
      </c>
      <c r="B9" s="125" t="str">
        <f>VLOOKUP(A9,'Swiss Registry'!$A$2:$B$703,2,False)</f>
        <v>River</v>
      </c>
      <c r="C9" s="105" t="str">
        <f t="shared" si="1"/>
        <v>Game 1</v>
      </c>
      <c r="D9" s="106" t="str">
        <f t="shared" si="2"/>
        <v>Game 2</v>
      </c>
      <c r="E9" s="110" t="str">
        <f t="shared" si="3"/>
        <v>Game 3</v>
      </c>
      <c r="F9" s="125" t="str">
        <f>VLOOKUP(G9,'Swiss Registry'!$A$2:$B$703,2,False)</f>
        <v>annuit99</v>
      </c>
      <c r="G9" s="145">
        <v>113.0</v>
      </c>
      <c r="H9" s="93" t="s">
        <v>2601</v>
      </c>
      <c r="I9" s="141" t="str">
        <f t="array" ref="I9">XLOOKUP(CELL("contents",B9),'Swiss Registry'!$B$2:$B$703,'Swiss Registry'!$N$2:$N$703) </f>
        <v>543280883000541224</v>
      </c>
      <c r="J9" s="142" t="str">
        <f t="array" ref="J9">XLOOKUP(CELL("contents",F9),'Swiss Registry'!$B$2:$B$703,'Swiss Registry'!$N$2:$N$703) </f>
        <v>397519983669805060</v>
      </c>
    </row>
    <row r="10">
      <c r="A10" s="140">
        <v>15.0</v>
      </c>
      <c r="B10" s="125" t="str">
        <f>VLOOKUP(A10,'Swiss Registry'!$A$2:$B$703,2,False)</f>
        <v>Carapinga</v>
      </c>
      <c r="C10" s="105" t="str">
        <f t="shared" si="1"/>
        <v>Game 1</v>
      </c>
      <c r="D10" s="106" t="str">
        <f t="shared" si="2"/>
        <v>Game 2</v>
      </c>
      <c r="E10" s="110" t="str">
        <f t="shared" si="3"/>
        <v>Game 3</v>
      </c>
      <c r="F10" s="125" t="str">
        <f>VLOOKUP(G10,'Swiss Registry'!$A$2:$B$703,2,False)</f>
        <v>cepulo</v>
      </c>
      <c r="G10" s="145">
        <v>527.0</v>
      </c>
      <c r="H10" s="93" t="s">
        <v>2602</v>
      </c>
      <c r="I10" s="141" t="str">
        <f t="array" ref="I10">XLOOKUP(CELL("contents",B10),'Swiss Registry'!$B$2:$B$703,'Swiss Registry'!$N$2:$N$703) </f>
        <v>475993004994330629</v>
      </c>
      <c r="J10" s="142" t="str">
        <f t="array" ref="J10">XLOOKUP(CELL("contents",F10),'Swiss Registry'!$B$2:$B$703,'Swiss Registry'!$N$2:$N$703) </f>
        <v>1223051167505059850</v>
      </c>
    </row>
    <row r="11">
      <c r="A11" s="140">
        <v>16.0</v>
      </c>
      <c r="B11" s="125" t="str">
        <f>VLOOKUP(A11,'Swiss Registry'!$A$2:$B$703,2,False)</f>
        <v>Mielke</v>
      </c>
      <c r="C11" s="105" t="str">
        <f t="shared" si="1"/>
        <v>Game 1</v>
      </c>
      <c r="D11" s="106" t="str">
        <f t="shared" si="2"/>
        <v>Game 2</v>
      </c>
      <c r="E11" s="107" t="str">
        <f t="shared" si="3"/>
        <v/>
      </c>
      <c r="F11" s="125" t="str">
        <f>VLOOKUP(G11,'Swiss Registry'!$A$2:$B$703,2,False)</f>
        <v>fastandsleepy</v>
      </c>
      <c r="G11" s="145">
        <v>423.0</v>
      </c>
      <c r="H11" s="93" t="s">
        <v>2603</v>
      </c>
      <c r="I11" s="141" t="str">
        <f t="array" ref="I11">XLOOKUP(CELL("contents",B11),'Swiss Registry'!$B$2:$B$703,'Swiss Registry'!$N$2:$N$703) </f>
        <v>324650949371232257</v>
      </c>
      <c r="J11" s="142" t="str">
        <f t="array" ref="J11">XLOOKUP(CELL("contents",F11),'Swiss Registry'!$B$2:$B$703,'Swiss Registry'!$N$2:$N$703) </f>
        <v>428574676449624065</v>
      </c>
    </row>
    <row r="12">
      <c r="A12" s="140">
        <v>18.0</v>
      </c>
      <c r="B12" s="125" t="str">
        <f>VLOOKUP(A12,'Swiss Registry'!$A$2:$B$703,2,False)</f>
        <v>Pokology</v>
      </c>
      <c r="C12" s="105" t="str">
        <f t="shared" si="1"/>
        <v>Game 1</v>
      </c>
      <c r="D12" s="106" t="str">
        <f t="shared" si="2"/>
        <v>Game 2</v>
      </c>
      <c r="E12" s="110" t="str">
        <f t="shared" si="3"/>
        <v>Game 3</v>
      </c>
      <c r="F12" s="125" t="str">
        <f>VLOOKUP(G12,'Swiss Registry'!$A$2:$B$703,2,False)</f>
        <v>denizs8</v>
      </c>
      <c r="G12" s="145">
        <v>555.0</v>
      </c>
      <c r="H12" s="93" t="s">
        <v>2604</v>
      </c>
      <c r="I12" s="141" t="str">
        <f t="array" ref="I12">XLOOKUP(CELL("contents",B12),'Swiss Registry'!$B$2:$B$703,'Swiss Registry'!$N$2:$N$703) </f>
        <v>647891006347542566</v>
      </c>
      <c r="J12" s="142" t="str">
        <f t="array" ref="J12">XLOOKUP(CELL("contents",F12),'Swiss Registry'!$B$2:$B$703,'Swiss Registry'!$N$2:$N$703) </f>
        <v>188407578202472448</v>
      </c>
    </row>
    <row r="13">
      <c r="A13" s="140">
        <v>22.0</v>
      </c>
      <c r="B13" s="125" t="str">
        <f>VLOOKUP(A13,'Swiss Registry'!$A$2:$B$703,2,False)</f>
        <v>laxuy</v>
      </c>
      <c r="C13" s="105" t="str">
        <f t="shared" si="1"/>
        <v>Game 1</v>
      </c>
      <c r="D13" s="106" t="str">
        <f t="shared" si="2"/>
        <v>Game 2</v>
      </c>
      <c r="E13" s="107" t="str">
        <f t="shared" si="3"/>
        <v/>
      </c>
      <c r="F13" s="125" t="str">
        <f>VLOOKUP(G13,'Swiss Registry'!$A$2:$B$703,2,False)</f>
        <v>monchooo</v>
      </c>
      <c r="G13" s="145">
        <v>269.0</v>
      </c>
      <c r="H13" s="93" t="s">
        <v>2605</v>
      </c>
      <c r="I13" s="141" t="str">
        <f t="array" ref="I13">XLOOKUP(CELL("contents",B13),'Swiss Registry'!$B$2:$B$703,'Swiss Registry'!$N$2:$N$703) </f>
        <v>162377920117997568</v>
      </c>
      <c r="J13" s="142" t="str">
        <f t="array" ref="J13">XLOOKUP(CELL("contents",F13),'Swiss Registry'!$B$2:$B$703,'Swiss Registry'!$N$2:$N$703) </f>
        <v>202168691893207041</v>
      </c>
    </row>
    <row r="14">
      <c r="A14" s="140">
        <v>25.0</v>
      </c>
      <c r="B14" s="125" t="str">
        <f>VLOOKUP(A14,'Swiss Registry'!$A$2:$B$703,2,False)</f>
        <v>JR</v>
      </c>
      <c r="C14" s="105" t="str">
        <f t="shared" si="1"/>
        <v>Game 1</v>
      </c>
      <c r="D14" s="106" t="str">
        <f t="shared" si="2"/>
        <v>Game 2</v>
      </c>
      <c r="E14" s="110" t="str">
        <f t="shared" si="3"/>
        <v>Game 3</v>
      </c>
      <c r="F14" s="125" t="str">
        <f>VLOOKUP(G14,'Swiss Registry'!$A$2:$B$703,2,False)</f>
        <v>secondari</v>
      </c>
      <c r="G14" s="145">
        <v>325.0</v>
      </c>
      <c r="H14" s="93" t="s">
        <v>2606</v>
      </c>
      <c r="I14" s="141" t="str">
        <f t="array" ref="I14">XLOOKUP(CELL("contents",B14),'Swiss Registry'!$B$2:$B$703,'Swiss Registry'!$N$2:$N$703) </f>
        <v>319563636483817472</v>
      </c>
      <c r="J14" s="142" t="str">
        <f t="array" ref="J14">XLOOKUP(CELL("contents",F14),'Swiss Registry'!$B$2:$B$703,'Swiss Registry'!$N$2:$N$703) </f>
        <v>77493060862214144</v>
      </c>
    </row>
    <row r="15">
      <c r="A15" s="140">
        <v>27.0</v>
      </c>
      <c r="B15" s="125" t="str">
        <f>VLOOKUP(A15,'Swiss Registry'!$A$2:$B$703,2,False)</f>
        <v>Sheik</v>
      </c>
      <c r="C15" s="105" t="str">
        <f t="shared" si="1"/>
        <v>Game 1</v>
      </c>
      <c r="D15" s="106" t="str">
        <f t="shared" si="2"/>
        <v>Game 2</v>
      </c>
      <c r="E15" s="107" t="str">
        <f t="shared" si="3"/>
        <v/>
      </c>
      <c r="F15" s="125" t="str">
        <f>VLOOKUP(G15,'Swiss Registry'!$A$2:$B$703,2,False)</f>
        <v>tyler.cox</v>
      </c>
      <c r="G15" s="145">
        <v>525.0</v>
      </c>
      <c r="H15" s="93" t="s">
        <v>2607</v>
      </c>
      <c r="I15" s="141" t="str">
        <f t="array" ref="I15">XLOOKUP(CELL("contents",B15),'Swiss Registry'!$B$2:$B$703,'Swiss Registry'!$N$2:$N$703) </f>
        <v>700432987858403420</v>
      </c>
      <c r="J15" s="142" t="str">
        <f t="array" ref="J15">XLOOKUP(CELL("contents",F15),'Swiss Registry'!$B$2:$B$703,'Swiss Registry'!$N$2:$N$703) </f>
        <v>188804160152403968</v>
      </c>
    </row>
    <row r="16">
      <c r="A16" s="140">
        <v>29.0</v>
      </c>
      <c r="B16" s="125">
        <f>VLOOKUP(A16,'Swiss Registry'!$A$2:$B$703,2,False)</f>
        <v>48</v>
      </c>
      <c r="C16" s="105" t="str">
        <f t="shared" si="1"/>
        <v>Game 1</v>
      </c>
      <c r="D16" s="106" t="str">
        <f t="shared" si="2"/>
        <v>Game 2</v>
      </c>
      <c r="E16" s="110" t="str">
        <f t="shared" si="3"/>
        <v>Game 3</v>
      </c>
      <c r="F16" s="125" t="str">
        <f>VLOOKUP(G16,'Swiss Registry'!$A$2:$B$703,2,False)</f>
        <v>dicerat8</v>
      </c>
      <c r="G16" s="145">
        <v>120.0</v>
      </c>
      <c r="H16" s="93" t="s">
        <v>2608</v>
      </c>
      <c r="I16" s="141" t="str">
        <f t="array" ref="I16">XLOOKUP(CELL("contents",B16),'Swiss Registry'!$B$2:$B$703,'Swiss Registry'!$N$2:$N$703) </f>
        <v>247063915790336004</v>
      </c>
      <c r="J16" s="142" t="str">
        <f t="array" ref="J16">XLOOKUP(CELL("contents",F16),'Swiss Registry'!$B$2:$B$703,'Swiss Registry'!$N$2:$N$703) </f>
        <v>811484330421387285</v>
      </c>
    </row>
    <row r="17">
      <c r="A17" s="140">
        <v>32.0</v>
      </c>
      <c r="B17" s="125" t="str">
        <f>VLOOKUP(A17,'Swiss Registry'!$A$2:$B$703,2,False)</f>
        <v>Johnald</v>
      </c>
      <c r="C17" s="105" t="str">
        <f t="shared" si="1"/>
        <v>Game 1</v>
      </c>
      <c r="D17" s="106" t="str">
        <f t="shared" si="2"/>
        <v>Game 2</v>
      </c>
      <c r="E17" s="107" t="str">
        <f t="shared" si="3"/>
        <v/>
      </c>
      <c r="F17" s="125" t="str">
        <f>VLOOKUP(G17,'Swiss Registry'!$A$2:$B$703,2,False)</f>
        <v>Ghostmalone.</v>
      </c>
      <c r="G17" s="145">
        <v>264.0</v>
      </c>
      <c r="H17" s="93" t="s">
        <v>2609</v>
      </c>
      <c r="I17" s="141" t="str">
        <f t="array" ref="I17">XLOOKUP(CELL("contents",B17),'Swiss Registry'!$B$2:$B$703,'Swiss Registry'!$N$2:$N$703) </f>
        <v>196328307241910272</v>
      </c>
      <c r="J17" s="142" t="str">
        <f t="array" ref="J17">XLOOKUP(CELL("contents",F17),'Swiss Registry'!$B$2:$B$703,'Swiss Registry'!$N$2:$N$703) </f>
        <v>329857381746081792</v>
      </c>
    </row>
    <row r="18">
      <c r="A18" s="140">
        <v>42.0</v>
      </c>
      <c r="B18" s="125" t="str">
        <f>VLOOKUP(A18,'Swiss Registry'!$A$2:$B$703,2,False)</f>
        <v>ThisGuyMuks</v>
      </c>
      <c r="C18" s="105" t="str">
        <f t="shared" si="1"/>
        <v>Game 1</v>
      </c>
      <c r="D18" s="106" t="str">
        <f t="shared" si="2"/>
        <v>Game 2</v>
      </c>
      <c r="E18" s="110" t="str">
        <f t="shared" si="3"/>
        <v>Game 3</v>
      </c>
      <c r="F18" s="125" t="str">
        <f>VLOOKUP(G18,'Swiss Registry'!$A$2:$B$703,2,False)</f>
        <v>oskari1707</v>
      </c>
      <c r="G18" s="145">
        <v>517.0</v>
      </c>
      <c r="H18" s="93" t="s">
        <v>2610</v>
      </c>
      <c r="I18" s="141" t="str">
        <f t="array" ref="I18">XLOOKUP(CELL("contents",B18),'Swiss Registry'!$B$2:$B$703,'Swiss Registry'!$N$2:$N$703) </f>
        <v>397627331637805056</v>
      </c>
      <c r="J18" s="142" t="str">
        <f t="array" ref="J18">XLOOKUP(CELL("contents",F18),'Swiss Registry'!$B$2:$B$703,'Swiss Registry'!$N$2:$N$703) </f>
        <v>920018351684730910</v>
      </c>
    </row>
    <row r="19">
      <c r="A19" s="140">
        <v>45.0</v>
      </c>
      <c r="B19" s="125" t="str">
        <f>VLOOKUP(A19,'Swiss Registry'!$A$2:$B$703,2,False)</f>
        <v>DeezCastforms</v>
      </c>
      <c r="C19" s="105" t="str">
        <f t="shared" si="1"/>
        <v>Game 1</v>
      </c>
      <c r="D19" s="106" t="str">
        <f t="shared" si="2"/>
        <v>Game 2</v>
      </c>
      <c r="E19" s="110" t="str">
        <f t="shared" si="3"/>
        <v>Game 3</v>
      </c>
      <c r="F19" s="125" t="str">
        <f>VLOOKUP(G19,'Swiss Registry'!$A$2:$B$703,2,False)</f>
        <v>Amir (lordamir &amp; lordamir2)</v>
      </c>
      <c r="G19" s="145">
        <v>157.0</v>
      </c>
      <c r="H19" s="93" t="s">
        <v>2611</v>
      </c>
      <c r="I19" s="141" t="str">
        <f t="array" ref="I19">XLOOKUP(CELL("contents",B19),'Swiss Registry'!$B$2:$B$703,'Swiss Registry'!$N$2:$N$703) </f>
        <v>358052192915292161</v>
      </c>
      <c r="J19" s="142" t="str">
        <f t="array" ref="J19">XLOOKUP(CELL("contents",F19),'Swiss Registry'!$B$2:$B$703,'Swiss Registry'!$N$2:$N$703) </f>
        <v>480949875953893376</v>
      </c>
    </row>
    <row r="20">
      <c r="A20" s="140">
        <v>46.0</v>
      </c>
      <c r="B20" s="125" t="str">
        <f>VLOOKUP(A20,'Swiss Registry'!$A$2:$B$703,2,False)</f>
        <v>Zelph</v>
      </c>
      <c r="C20" s="105" t="str">
        <f t="shared" si="1"/>
        <v>Game 1</v>
      </c>
      <c r="D20" s="106" t="str">
        <f t="shared" si="2"/>
        <v>Game 2</v>
      </c>
      <c r="E20" s="110" t="str">
        <f t="shared" si="3"/>
        <v>Game 3</v>
      </c>
      <c r="F20" s="125" t="str">
        <f>VLOOKUP(G20,'Swiss Registry'!$A$2:$B$703,2,False)</f>
        <v>luisin</v>
      </c>
      <c r="G20" s="145">
        <v>558.0</v>
      </c>
      <c r="H20" s="93" t="s">
        <v>2612</v>
      </c>
      <c r="I20" s="141" t="str">
        <f t="array" ref="I20">XLOOKUP(CELL("contents",B20),'Swiss Registry'!$B$2:$B$703,'Swiss Registry'!$N$2:$N$703) </f>
        <v>895466276191862855</v>
      </c>
      <c r="J20" s="142" t="str">
        <f t="array" ref="J20">XLOOKUP(CELL("contents",F20),'Swiss Registry'!$B$2:$B$703,'Swiss Registry'!$N$2:$N$703) </f>
        <v>623656981244149798</v>
      </c>
    </row>
    <row r="21">
      <c r="A21" s="140">
        <v>55.0</v>
      </c>
      <c r="B21" s="125" t="str">
        <f>VLOOKUP(A21,'Swiss Registry'!$A$2:$B$703,2,False)</f>
        <v>Kai (aplgd)</v>
      </c>
      <c r="C21" s="105" t="str">
        <f t="shared" si="1"/>
        <v>Game 1</v>
      </c>
      <c r="D21" s="106" t="str">
        <f t="shared" si="2"/>
        <v>Game 2</v>
      </c>
      <c r="E21" s="110" t="str">
        <f t="shared" si="3"/>
        <v>Game 3</v>
      </c>
      <c r="F21" s="125" t="str">
        <f>VLOOKUP(G21,'Swiss Registry'!$A$2:$B$703,2,False)</f>
        <v>Cake</v>
      </c>
      <c r="G21" s="145">
        <v>86.0</v>
      </c>
      <c r="H21" s="93" t="s">
        <v>2613</v>
      </c>
      <c r="I21" s="141" t="str">
        <f t="array" ref="I21">XLOOKUP(CELL("contents",B21),'Swiss Registry'!$B$2:$B$703,'Swiss Registry'!$N$2:$N$703) </f>
        <v>782951193495207938</v>
      </c>
      <c r="J21" s="142" t="str">
        <f t="array" ref="J21">XLOOKUP(CELL("contents",F21),'Swiss Registry'!$B$2:$B$703,'Swiss Registry'!$N$2:$N$703) </f>
        <v>1062100541871771689</v>
      </c>
    </row>
    <row r="22">
      <c r="A22" s="140">
        <v>57.0</v>
      </c>
      <c r="B22" s="125" t="str">
        <f>VLOOKUP(A22,'Swiss Registry'!$A$2:$B$703,2,False)</f>
        <v>MeEsSm</v>
      </c>
      <c r="C22" s="105" t="str">
        <f t="shared" si="1"/>
        <v>Game 1</v>
      </c>
      <c r="D22" s="106" t="str">
        <f t="shared" si="2"/>
        <v>Game 2</v>
      </c>
      <c r="E22" s="107" t="str">
        <f t="shared" si="3"/>
        <v/>
      </c>
      <c r="F22" s="125" t="str">
        <f>VLOOKUP(G22,'Swiss Registry'!$A$2:$B$703,2,False)</f>
        <v>Egor</v>
      </c>
      <c r="G22" s="145">
        <v>82.0</v>
      </c>
      <c r="H22" s="93" t="s">
        <v>2614</v>
      </c>
      <c r="I22" s="141" t="str">
        <f t="array" ref="I22">XLOOKUP(CELL("contents",B22),'Swiss Registry'!$B$2:$B$703,'Swiss Registry'!$N$2:$N$703) </f>
        <v>316388400540286978</v>
      </c>
      <c r="J22" s="142" t="str">
        <f t="array" ref="J22">XLOOKUP(CELL("contents",F22),'Swiss Registry'!$B$2:$B$703,'Swiss Registry'!$N$2:$N$703) </f>
        <v>435128937400500224</v>
      </c>
    </row>
    <row r="23">
      <c r="A23" s="140">
        <v>65.0</v>
      </c>
      <c r="B23" s="125" t="str">
        <f>VLOOKUP(A23,'Swiss Registry'!$A$2:$B$703,2,False)</f>
        <v>shawtyyyyyyy</v>
      </c>
      <c r="C23" s="105" t="str">
        <f t="shared" si="1"/>
        <v>Game 1</v>
      </c>
      <c r="D23" s="106" t="str">
        <f t="shared" si="2"/>
        <v>Game 2</v>
      </c>
      <c r="E23" s="107" t="str">
        <f t="shared" si="3"/>
        <v/>
      </c>
      <c r="F23" s="125" t="str">
        <f>VLOOKUP(G23,'Swiss Registry'!$A$2:$B$703,2,False)</f>
        <v>Churi</v>
      </c>
      <c r="G23" s="145">
        <v>77.0</v>
      </c>
      <c r="H23" s="93" t="s">
        <v>2615</v>
      </c>
      <c r="I23" s="141" t="str">
        <f t="array" ref="I23">XLOOKUP(CELL("contents",B23),'Swiss Registry'!$B$2:$B$703,'Swiss Registry'!$N$2:$N$703) </f>
        <v>721487439847358505</v>
      </c>
      <c r="J23" s="142" t="str">
        <f t="array" ref="J23">XLOOKUP(CELL("contents",F23),'Swiss Registry'!$B$2:$B$703,'Swiss Registry'!$N$2:$N$703) </f>
        <v>740316248210014380</v>
      </c>
    </row>
    <row r="24">
      <c r="A24" s="140">
        <v>69.0</v>
      </c>
      <c r="B24" s="125" t="str">
        <f>VLOOKUP(A24,'Swiss Registry'!$A$2:$B$703,2,False)</f>
        <v>Alice</v>
      </c>
      <c r="C24" s="105" t="str">
        <f t="shared" si="1"/>
        <v>Game 1</v>
      </c>
      <c r="D24" s="106" t="str">
        <f t="shared" si="2"/>
        <v>Game 2</v>
      </c>
      <c r="E24" s="107" t="str">
        <f t="shared" si="3"/>
        <v/>
      </c>
      <c r="F24" s="125" t="str">
        <f>VLOOKUP(G24,'Swiss Registry'!$A$2:$B$703,2,False)</f>
        <v>xXEricXx</v>
      </c>
      <c r="G24" s="145">
        <v>74.0</v>
      </c>
      <c r="H24" s="93" t="s">
        <v>2616</v>
      </c>
      <c r="I24" s="141" t="str">
        <f t="array" ref="I24">XLOOKUP(CELL("contents",B24),'Swiss Registry'!$B$2:$B$703,'Swiss Registry'!$N$2:$N$703) </f>
        <v>236760957034954753</v>
      </c>
      <c r="J24" s="142" t="str">
        <f t="array" ref="J24">XLOOKUP(CELL("contents",F24),'Swiss Registry'!$B$2:$B$703,'Swiss Registry'!$N$2:$N$703) </f>
        <v>188804001054064640</v>
      </c>
    </row>
    <row r="25">
      <c r="A25" s="140">
        <v>4.0</v>
      </c>
      <c r="B25" s="125" t="str">
        <f>VLOOKUP(A25,'Swiss Registry'!$A$2:$B$703,2,False)</f>
        <v>pkLeech</v>
      </c>
      <c r="C25" s="105" t="str">
        <f t="shared" si="1"/>
        <v>Game 1</v>
      </c>
      <c r="D25" s="106" t="str">
        <f t="shared" si="2"/>
        <v>Game 2</v>
      </c>
      <c r="E25" s="110" t="str">
        <f t="shared" si="3"/>
        <v>Game 3</v>
      </c>
      <c r="F25" s="125" t="str">
        <f>VLOOKUP(G25,'Swiss Registry'!$A$2:$B$703,2,False)</f>
        <v>Ghostfall22</v>
      </c>
      <c r="G25" s="145">
        <v>613.0</v>
      </c>
      <c r="H25" s="93" t="s">
        <v>2617</v>
      </c>
      <c r="I25" s="141" t="str">
        <f t="array" ref="I25">XLOOKUP(CELL("contents",B25),'Swiss Registry'!$B$2:$B$703,'Swiss Registry'!$N$2:$N$703) </f>
        <v>461288985944391708</v>
      </c>
      <c r="J25" s="142" t="str">
        <f t="array" ref="J25">XLOOKUP(CELL("contents",F25),'Swiss Registry'!$B$2:$B$703,'Swiss Registry'!$N$2:$N$703) </f>
        <v>894720722683985930</v>
      </c>
    </row>
    <row r="26">
      <c r="A26" s="140">
        <v>5.0</v>
      </c>
      <c r="B26" s="125" t="str">
        <f>VLOOKUP(A26,'Swiss Registry'!$A$2:$B$703,2,False)</f>
        <v>Caloom</v>
      </c>
      <c r="C26" s="111" t="str">
        <f t="shared" si="1"/>
        <v/>
      </c>
      <c r="D26" s="112" t="str">
        <f t="shared" si="2"/>
        <v>Act: milkshook00</v>
      </c>
      <c r="E26" s="107" t="str">
        <f t="shared" si="3"/>
        <v/>
      </c>
      <c r="F26" s="125" t="str">
        <f>VLOOKUP(G26,'Swiss Registry'!$A$2:$B$703,2,False)</f>
        <v>milkshook00</v>
      </c>
      <c r="G26" s="145">
        <v>662.0</v>
      </c>
      <c r="H26" s="93" t="s">
        <v>1523</v>
      </c>
      <c r="I26" s="141" t="str">
        <f t="array" ref="I26">XLOOKUP(CELL("contents",B26),'Swiss Registry'!$B$2:$B$703,'Swiss Registry'!$N$2:$N$703) </f>
        <v>428981810811109386</v>
      </c>
      <c r="J26" s="142" t="str">
        <f t="array" ref="J26">XLOOKUP(CELL("contents",F26),'Swiss Registry'!$B$2:$B$703,'Swiss Registry'!$N$2:$N$703) </f>
        <v>167697420719882241</v>
      </c>
    </row>
    <row r="27">
      <c r="A27" s="140">
        <v>10.0</v>
      </c>
      <c r="B27" s="125" t="str">
        <f>VLOOKUP(A27,'Swiss Registry'!$A$2:$B$703,2,False)</f>
        <v>Cyberodin</v>
      </c>
      <c r="C27" s="105" t="str">
        <f t="shared" si="1"/>
        <v>Game 1</v>
      </c>
      <c r="D27" s="106" t="str">
        <f t="shared" si="2"/>
        <v>Game 2</v>
      </c>
      <c r="E27" s="107" t="str">
        <f t="shared" si="3"/>
        <v/>
      </c>
      <c r="F27" s="125" t="str">
        <f>VLOOKUP(G27,'Swiss Registry'!$A$2:$B$703,2,False)</f>
        <v>ThunderousBagel</v>
      </c>
      <c r="G27" s="145">
        <v>380.0</v>
      </c>
      <c r="H27" s="93" t="s">
        <v>2618</v>
      </c>
      <c r="I27" s="141" t="str">
        <f t="array" ref="I27">XLOOKUP(CELL("contents",B27),'Swiss Registry'!$B$2:$B$703,'Swiss Registry'!$N$2:$N$703) </f>
        <v>259426043285340160</v>
      </c>
      <c r="J27" s="142" t="str">
        <f t="array" ref="J27">XLOOKUP(CELL("contents",F27),'Swiss Registry'!$B$2:$B$703,'Swiss Registry'!$N$2:$N$703) </f>
        <v>458020570085326851</v>
      </c>
    </row>
    <row r="28">
      <c r="A28" s="140">
        <v>11.0</v>
      </c>
      <c r="B28" s="125" t="str">
        <f>VLOOKUP(A28,'Swiss Registry'!$A$2:$B$703,2,False)</f>
        <v>Blues</v>
      </c>
      <c r="C28" s="105" t="str">
        <f t="shared" si="1"/>
        <v>Game 1</v>
      </c>
      <c r="D28" s="106" t="str">
        <f t="shared" si="2"/>
        <v>Game 2</v>
      </c>
      <c r="E28" s="107" t="str">
        <f t="shared" si="3"/>
        <v/>
      </c>
      <c r="F28" s="125" t="str">
        <f>VLOOKUP(G28,'Swiss Registry'!$A$2:$B$703,2,False)</f>
        <v>med470</v>
      </c>
      <c r="G28" s="145">
        <v>479.0</v>
      </c>
      <c r="H28" s="93" t="s">
        <v>2619</v>
      </c>
      <c r="I28" s="141" t="str">
        <f t="array" ref="I28">XLOOKUP(CELL("contents",B28),'Swiss Registry'!$B$2:$B$703,'Swiss Registry'!$N$2:$N$703) </f>
        <v>687987394292482066</v>
      </c>
      <c r="J28" s="142" t="str">
        <f t="array" ref="J28">XLOOKUP(CELL("contents",F28),'Swiss Registry'!$B$2:$B$703,'Swiss Registry'!$N$2:$N$703) </f>
        <v>187473742010646531</v>
      </c>
    </row>
    <row r="29">
      <c r="A29" s="140">
        <v>12.0</v>
      </c>
      <c r="B29" s="125" t="str">
        <f>VLOOKUP(A29,'Swiss Registry'!$A$2:$B$703,2,False)</f>
        <v>Pak</v>
      </c>
      <c r="C29" s="105" t="str">
        <f t="shared" si="1"/>
        <v>Game 1</v>
      </c>
      <c r="D29" s="106" t="str">
        <f t="shared" si="2"/>
        <v>Game 2</v>
      </c>
      <c r="E29" s="107" t="str">
        <f t="shared" si="3"/>
        <v/>
      </c>
      <c r="F29" s="125" t="str">
        <f>VLOOKUP(G29,'Swiss Registry'!$A$2:$B$703,2,False)</f>
        <v>woeishuen</v>
      </c>
      <c r="G29" s="145">
        <v>430.0</v>
      </c>
      <c r="H29" s="93" t="s">
        <v>2620</v>
      </c>
      <c r="I29" s="141" t="str">
        <f t="array" ref="I29">XLOOKUP(CELL("contents",B29),'Swiss Registry'!$B$2:$B$703,'Swiss Registry'!$N$2:$N$703) </f>
        <v>172884622986706945</v>
      </c>
      <c r="J29" s="142" t="str">
        <f t="array" ref="J29">XLOOKUP(CELL("contents",F29),'Swiss Registry'!$B$2:$B$703,'Swiss Registry'!$N$2:$N$703) </f>
        <v>311487498486415360</v>
      </c>
    </row>
    <row r="30">
      <c r="A30" s="140">
        <v>14.0</v>
      </c>
      <c r="B30" s="125" t="str">
        <f>VLOOKUP(A30,'Swiss Registry'!$A$2:$B$703,2,False)</f>
        <v>Voyager</v>
      </c>
      <c r="C30" s="105" t="str">
        <f t="shared" si="1"/>
        <v>Game 1</v>
      </c>
      <c r="D30" s="106" t="str">
        <f t="shared" si="2"/>
        <v>Game 2</v>
      </c>
      <c r="E30" s="107" t="str">
        <f t="shared" si="3"/>
        <v/>
      </c>
      <c r="F30" s="125" t="str">
        <f>VLOOKUP(G30,'Swiss Registry'!$A$2:$B$703,2,False)</f>
        <v>justbestlevels</v>
      </c>
      <c r="G30" s="145">
        <v>687.0</v>
      </c>
      <c r="H30" s="93" t="s">
        <v>2621</v>
      </c>
      <c r="I30" s="141" t="str">
        <f t="array" ref="I30">XLOOKUP(CELL("contents",B30),'Swiss Registry'!$B$2:$B$703,'Swiss Registry'!$N$2:$N$703) </f>
        <v>554730792488534056</v>
      </c>
      <c r="J30" s="142" t="str">
        <f t="array" ref="J30">XLOOKUP(CELL("contents",F30),'Swiss Registry'!$B$2:$B$703,'Swiss Registry'!$N$2:$N$703) </f>
        <v>1266216530601971775</v>
      </c>
    </row>
    <row r="31">
      <c r="A31" s="140">
        <v>19.0</v>
      </c>
      <c r="B31" s="125" t="str">
        <f>VLOOKUP(A31,'Swiss Registry'!$A$2:$B$703,2,False)</f>
        <v>void</v>
      </c>
      <c r="C31" s="105" t="str">
        <f t="shared" si="1"/>
        <v>Game 1</v>
      </c>
      <c r="D31" s="106" t="str">
        <f t="shared" si="2"/>
        <v>Game 2</v>
      </c>
      <c r="E31" s="107" t="str">
        <f t="shared" si="3"/>
        <v/>
      </c>
      <c r="F31" s="125" t="str">
        <f>VLOOKUP(G31,'Swiss Registry'!$A$2:$B$703,2,False)</f>
        <v>samjamslam</v>
      </c>
      <c r="G31" s="145">
        <v>207.0</v>
      </c>
      <c r="H31" s="93" t="s">
        <v>2622</v>
      </c>
      <c r="I31" s="141" t="str">
        <f t="array" ref="I31">XLOOKUP(CELL("contents",B31),'Swiss Registry'!$B$2:$B$703,'Swiss Registry'!$N$2:$N$703) </f>
        <v>153249462641229824</v>
      </c>
      <c r="J31" s="142" t="str">
        <f t="array" ref="J31">XLOOKUP(CELL("contents",F31),'Swiss Registry'!$B$2:$B$703,'Swiss Registry'!$N$2:$N$703) </f>
        <v>589902999342546965</v>
      </c>
    </row>
    <row r="32">
      <c r="A32" s="140">
        <v>20.0</v>
      </c>
      <c r="B32" s="125" t="str">
        <f>VLOOKUP(A32,'Swiss Registry'!$A$2:$B$703,2,False)</f>
        <v>Mayo</v>
      </c>
      <c r="C32" s="105" t="str">
        <f t="shared" si="1"/>
        <v>Game 1</v>
      </c>
      <c r="D32" s="106" t="str">
        <f t="shared" si="2"/>
        <v>Game 2</v>
      </c>
      <c r="E32" s="107" t="str">
        <f t="shared" si="3"/>
        <v/>
      </c>
      <c r="F32" s="125" t="str">
        <f>VLOOKUP(G32,'Swiss Registry'!$A$2:$B$703,2,False)</f>
        <v>.brever.</v>
      </c>
      <c r="G32" s="145">
        <v>121.0</v>
      </c>
      <c r="H32" s="93" t="s">
        <v>2623</v>
      </c>
      <c r="I32" s="141" t="str">
        <f t="array" ref="I32">XLOOKUP(CELL("contents",B32),'Swiss Registry'!$B$2:$B$703,'Swiss Registry'!$N$2:$N$703) </f>
        <v>244639333187846144</v>
      </c>
      <c r="J32" s="142" t="str">
        <f t="array" ref="J32">XLOOKUP(CELL("contents",F32),'Swiss Registry'!$B$2:$B$703,'Swiss Registry'!$N$2:$N$703) </f>
        <v>215872454222938112</v>
      </c>
    </row>
    <row r="33">
      <c r="A33" s="140">
        <v>21.0</v>
      </c>
      <c r="B33" s="125" t="str">
        <f>VLOOKUP(A33,'Swiss Registry'!$A$2:$B$703,2,False)</f>
        <v>Adam</v>
      </c>
      <c r="C33" s="105" t="str">
        <f t="shared" si="1"/>
        <v>Game 1</v>
      </c>
      <c r="D33" s="106" t="str">
        <f t="shared" si="2"/>
        <v>Game 2</v>
      </c>
      <c r="E33" s="107" t="str">
        <f t="shared" si="3"/>
        <v/>
      </c>
      <c r="F33" s="125" t="str">
        <f>VLOOKUP(G33,'Swiss Registry'!$A$2:$B$703,2,False)</f>
        <v>ccgeek_</v>
      </c>
      <c r="G33" s="145">
        <v>206.0</v>
      </c>
      <c r="H33" s="93" t="s">
        <v>2624</v>
      </c>
      <c r="I33" s="141" t="str">
        <f t="array" ref="I33">XLOOKUP(CELL("contents",B33),'Swiss Registry'!$B$2:$B$703,'Swiss Registry'!$N$2:$N$703) </f>
        <v>714861229935689862</v>
      </c>
      <c r="J33" s="142" t="str">
        <f t="array" ref="J33">XLOOKUP(CELL("contents",F33),'Swiss Registry'!$B$2:$B$703,'Swiss Registry'!$N$2:$N$703) </f>
        <v>861286170708279336</v>
      </c>
    </row>
    <row r="34">
      <c r="A34" s="140">
        <v>24.0</v>
      </c>
      <c r="B34" s="125" t="str">
        <f>VLOOKUP(A34,'Swiss Registry'!$A$2:$B$703,2,False)</f>
        <v>Big Will</v>
      </c>
      <c r="C34" s="105" t="str">
        <f t="shared" si="1"/>
        <v>Game 1</v>
      </c>
      <c r="D34" s="106" t="str">
        <f t="shared" si="2"/>
        <v>Game 2</v>
      </c>
      <c r="E34" s="107" t="str">
        <f t="shared" si="3"/>
        <v/>
      </c>
      <c r="F34" s="125" t="str">
        <f>VLOOKUP(G34,'Swiss Registry'!$A$2:$B$703,2,False)</f>
        <v>sheikhater</v>
      </c>
      <c r="G34" s="145">
        <v>627.0</v>
      </c>
      <c r="H34" s="93" t="s">
        <v>2625</v>
      </c>
      <c r="I34" s="141" t="str">
        <f t="array" ref="I34">XLOOKUP(CELL("contents",B34),'Swiss Registry'!$B$2:$B$703,'Swiss Registry'!$N$2:$N$703) </f>
        <v>119592871962607616</v>
      </c>
      <c r="J34" s="142" t="str">
        <f t="array" ref="J34">XLOOKUP(CELL("contents",F34),'Swiss Registry'!$B$2:$B$703,'Swiss Registry'!$N$2:$N$703) </f>
        <v>355167649497481218</v>
      </c>
    </row>
    <row r="35">
      <c r="A35" s="140">
        <v>26.0</v>
      </c>
      <c r="B35" s="125" t="str">
        <f>VLOOKUP(A35,'Swiss Registry'!$A$2:$B$703,2,False)</f>
        <v>keepingiticy</v>
      </c>
      <c r="C35" s="105" t="str">
        <f t="shared" si="1"/>
        <v>Game 1</v>
      </c>
      <c r="D35" s="106" t="str">
        <f t="shared" si="2"/>
        <v>Game 2</v>
      </c>
      <c r="E35" s="107" t="str">
        <f t="shared" si="3"/>
        <v/>
      </c>
      <c r="F35" s="125" t="str">
        <f>VLOOKUP(G35,'Swiss Registry'!$A$2:$B$703,2,False)</f>
        <v>air602</v>
      </c>
      <c r="G35" s="145">
        <v>372.0</v>
      </c>
      <c r="H35" s="93" t="s">
        <v>2626</v>
      </c>
      <c r="I35" s="141" t="str">
        <f t="array" ref="I35">XLOOKUP(CELL("contents",B35),'Swiss Registry'!$B$2:$B$703,'Swiss Registry'!$N$2:$N$703) </f>
        <v>174532509701373952</v>
      </c>
      <c r="J35" s="142" t="str">
        <f t="array" ref="J35">XLOOKUP(CELL("contents",F35),'Swiss Registry'!$B$2:$B$703,'Swiss Registry'!$N$2:$N$703) </f>
        <v>336743385945735171</v>
      </c>
    </row>
    <row r="36">
      <c r="A36" s="140">
        <v>28.0</v>
      </c>
      <c r="B36" s="125" t="str">
        <f>VLOOKUP(A36,'Swiss Registry'!$A$2:$B$703,2,False)</f>
        <v>Typhoon Carter</v>
      </c>
      <c r="C36" s="105" t="str">
        <f t="shared" si="1"/>
        <v>Game 1</v>
      </c>
      <c r="D36" s="106" t="str">
        <f t="shared" si="2"/>
        <v>Game 2</v>
      </c>
      <c r="E36" s="110" t="str">
        <f t="shared" si="3"/>
        <v>Game 3</v>
      </c>
      <c r="F36" s="125" t="str">
        <f>VLOOKUP(G36,'Swiss Registry'!$A$2:$B$703,2,False)</f>
        <v>lengloi</v>
      </c>
      <c r="G36" s="145">
        <v>129.0</v>
      </c>
      <c r="H36" s="93" t="s">
        <v>2627</v>
      </c>
      <c r="I36" s="141" t="str">
        <f t="array" ref="I36">XLOOKUP(CELL("contents",B36),'Swiss Registry'!$B$2:$B$703,'Swiss Registry'!$N$2:$N$703) </f>
        <v>313800288647774211</v>
      </c>
      <c r="J36" s="142" t="str">
        <f t="array" ref="J36">XLOOKUP(CELL("contents",F36),'Swiss Registry'!$B$2:$B$703,'Swiss Registry'!$N$2:$N$703) </f>
        <v>442724252819390474</v>
      </c>
    </row>
    <row r="37">
      <c r="A37" s="140">
        <v>30.0</v>
      </c>
      <c r="B37" s="125" t="str">
        <f>VLOOKUP(A37,'Swiss Registry'!$A$2:$B$703,2,False)</f>
        <v>eliandiditagain</v>
      </c>
      <c r="C37" s="105" t="str">
        <f t="shared" si="1"/>
        <v>Game 1</v>
      </c>
      <c r="D37" s="106" t="str">
        <f t="shared" si="2"/>
        <v>Game 2</v>
      </c>
      <c r="E37" s="107" t="str">
        <f t="shared" si="3"/>
        <v/>
      </c>
      <c r="F37" s="125" t="str">
        <f>VLOOKUP(G37,'Swiss Registry'!$A$2:$B$703,2,False)</f>
        <v>chtx</v>
      </c>
      <c r="G37" s="145">
        <v>377.0</v>
      </c>
      <c r="H37" s="93" t="s">
        <v>2628</v>
      </c>
      <c r="I37" s="141" t="str">
        <f t="array" ref="I37">XLOOKUP(CELL("contents",B37),'Swiss Registry'!$B$2:$B$703,'Swiss Registry'!$N$2:$N$703) </f>
        <v>268922335946342400</v>
      </c>
      <c r="J37" s="142" t="str">
        <f t="array" ref="J37">XLOOKUP(CELL("contents",F37),'Swiss Registry'!$B$2:$B$703,'Swiss Registry'!$N$2:$N$703) </f>
        <v>883745894825099354</v>
      </c>
    </row>
    <row r="38">
      <c r="A38" s="140">
        <v>34.0</v>
      </c>
      <c r="B38" s="125" t="str">
        <f>VLOOKUP(A38,'Swiss Registry'!$A$2:$B$703,2,False)</f>
        <v>D3stiny</v>
      </c>
      <c r="C38" s="111" t="str">
        <f t="shared" si="1"/>
        <v/>
      </c>
      <c r="D38" s="112" t="str">
        <f t="shared" si="2"/>
        <v>Act: xho_xho_</v>
      </c>
      <c r="E38" s="107" t="str">
        <f t="shared" si="3"/>
        <v/>
      </c>
      <c r="F38" s="125" t="str">
        <f>VLOOKUP(G38,'Swiss Registry'!$A$2:$B$703,2,False)</f>
        <v>xho_xho_</v>
      </c>
      <c r="G38" s="145">
        <v>550.0</v>
      </c>
      <c r="H38" s="93" t="s">
        <v>1523</v>
      </c>
      <c r="I38" s="141" t="str">
        <f t="array" ref="I38">XLOOKUP(CELL("contents",B38),'Swiss Registry'!$B$2:$B$703,'Swiss Registry'!$N$2:$N$703) </f>
        <v>836748504621252618</v>
      </c>
      <c r="J38" s="142" t="str">
        <f t="array" ref="J38">XLOOKUP(CELL("contents",F38),'Swiss Registry'!$B$2:$B$703,'Swiss Registry'!$N$2:$N$703) </f>
        <v>1026473914269978624</v>
      </c>
    </row>
    <row r="39">
      <c r="A39" s="140">
        <v>35.0</v>
      </c>
      <c r="B39" s="125" t="str">
        <f>VLOOKUP(A39,'Swiss Registry'!$A$2:$B$703,2,False)</f>
        <v>Zacpz</v>
      </c>
      <c r="C39" s="105" t="str">
        <f t="shared" si="1"/>
        <v>Game 1</v>
      </c>
      <c r="D39" s="106" t="str">
        <f t="shared" si="2"/>
        <v>Game 2</v>
      </c>
      <c r="E39" s="107" t="str">
        <f t="shared" si="3"/>
        <v/>
      </c>
      <c r="F39" s="125" t="str">
        <f>VLOOKUP(G39,'Swiss Registry'!$A$2:$B$703,2,False)</f>
        <v>Scrigman</v>
      </c>
      <c r="G39" s="145">
        <v>150.0</v>
      </c>
      <c r="H39" s="93" t="s">
        <v>2629</v>
      </c>
      <c r="I39" s="141" t="str">
        <f t="array" ref="I39">XLOOKUP(CELL("contents",B39),'Swiss Registry'!$B$2:$B$703,'Swiss Registry'!$N$2:$N$703) </f>
        <v>719547987277119638</v>
      </c>
      <c r="J39" s="142" t="str">
        <f t="array" ref="J39">XLOOKUP(CELL("contents",F39),'Swiss Registry'!$B$2:$B$703,'Swiss Registry'!$N$2:$N$703) </f>
        <v>211942228153597952</v>
      </c>
    </row>
    <row r="40">
      <c r="A40" s="140">
        <v>36.0</v>
      </c>
      <c r="B40" s="125" t="str">
        <f>VLOOKUP(A40,'Swiss Registry'!$A$2:$B$703,2,False)</f>
        <v>Segale</v>
      </c>
      <c r="C40" s="105" t="str">
        <f t="shared" si="1"/>
        <v>Game 1</v>
      </c>
      <c r="D40" s="106" t="str">
        <f t="shared" si="2"/>
        <v>Game 2</v>
      </c>
      <c r="E40" s="107" t="str">
        <f t="shared" si="3"/>
        <v/>
      </c>
      <c r="F40" s="125" t="str">
        <f>VLOOKUP(G40,'Swiss Registry'!$A$2:$B$703,2,False)</f>
        <v>busyboi</v>
      </c>
      <c r="G40" s="145">
        <v>475.0</v>
      </c>
      <c r="H40" s="93" t="s">
        <v>2630</v>
      </c>
      <c r="I40" s="141" t="str">
        <f t="array" ref="I40">XLOOKUP(CELL("contents",B40),'Swiss Registry'!$B$2:$B$703,'Swiss Registry'!$N$2:$N$703) </f>
        <v>1059548623416856608</v>
      </c>
      <c r="J40" s="142" t="str">
        <f t="array" ref="J40">XLOOKUP(CELL("contents",F40),'Swiss Registry'!$B$2:$B$703,'Swiss Registry'!$N$2:$N$703) </f>
        <v>170563297433747457</v>
      </c>
    </row>
    <row r="41">
      <c r="A41" s="140">
        <v>38.0</v>
      </c>
      <c r="B41" s="125" t="str">
        <f>VLOOKUP(A41,'Swiss Registry'!$A$2:$B$703,2,False)</f>
        <v>Colteor</v>
      </c>
      <c r="C41" s="105" t="str">
        <f t="shared" si="1"/>
        <v>Game 1</v>
      </c>
      <c r="D41" s="106" t="str">
        <f t="shared" si="2"/>
        <v>Game 2</v>
      </c>
      <c r="E41" s="107" t="str">
        <f t="shared" si="3"/>
        <v/>
      </c>
      <c r="F41" s="125" t="str">
        <f>VLOOKUP(G41,'Swiss Registry'!$A$2:$B$703,2,False)</f>
        <v>SoCalSon</v>
      </c>
      <c r="G41" s="145">
        <v>457.0</v>
      </c>
      <c r="H41" s="93" t="s">
        <v>2631</v>
      </c>
      <c r="I41" s="141" t="str">
        <f t="array" ref="I41">XLOOKUP(CELL("contents",B41),'Swiss Registry'!$B$2:$B$703,'Swiss Registry'!$N$2:$N$703) </f>
        <v>327152054747529217</v>
      </c>
      <c r="J41" s="142" t="str">
        <f t="array" ref="J41">XLOOKUP(CELL("contents",F41),'Swiss Registry'!$B$2:$B$703,'Swiss Registry'!$N$2:$N$703) </f>
        <v>468130505280192512</v>
      </c>
    </row>
    <row r="42">
      <c r="A42" s="140">
        <v>39.0</v>
      </c>
      <c r="B42" s="125" t="str">
        <f>VLOOKUP(A42,'Swiss Registry'!$A$2:$B$703,2,False)</f>
        <v>earlgr3y</v>
      </c>
      <c r="C42" s="105" t="str">
        <f t="shared" si="1"/>
        <v>Game 1</v>
      </c>
      <c r="D42" s="106" t="str">
        <f>IF(H42="dead","Dead Game",IF(H42="a:act","Act: "&amp;F42,IF(H42="b:act","Act: "&amp;#REF!,IF(ISURL(HYPERLINK(INDIRECT("Importer!B"&amp;MID(H42,6,4)+1,TRUE))),HYPERLINK(INDIRECT("Importer!B"&amp;MID(H42,6,4)+1,TRUE), "Game 2"),""))))</f>
        <v>Game 2</v>
      </c>
      <c r="E42" s="107" t="str">
        <f t="shared" si="3"/>
        <v/>
      </c>
      <c r="F42" s="125" t="str">
        <f>VLOOKUP(G42,'Swiss Registry'!$A$2:$B$703,2,False)</f>
        <v>_rekkzz_</v>
      </c>
      <c r="G42" s="145">
        <v>578.0</v>
      </c>
      <c r="H42" s="93" t="s">
        <v>2632</v>
      </c>
      <c r="I42" s="141" t="str">
        <f t="array" ref="I42">XLOOKUP(CELL("contents",B42),'Swiss Registry'!$B$2:$B$703,'Swiss Registry'!$N$2:$N$703) </f>
        <v>1058405539903713330</v>
      </c>
      <c r="J42" s="142" t="str">
        <f t="array" ref="J42">XLOOKUP(CELL("contents",F42),'Swiss Registry'!$B$2:$B$703,'Swiss Registry'!$N$2:$N$703) </f>
        <v>1066999557575147581</v>
      </c>
    </row>
    <row r="43">
      <c r="A43" s="140">
        <v>41.0</v>
      </c>
      <c r="B43" s="125" t="str">
        <f>VLOOKUP(A43,'Swiss Registry'!$A$2:$B$703,2,False)</f>
        <v>Celdanami</v>
      </c>
      <c r="C43" s="105" t="str">
        <f t="shared" si="1"/>
        <v>Game 1</v>
      </c>
      <c r="D43" s="106" t="str">
        <f t="shared" ref="D43:D44" si="4">IF(H43="dead","Dead Game",IF(H43="a:act","Act: "&amp;B43,IF(H43="b:act","Act: "&amp;F43,IF(ISURL(HYPERLINK(INDIRECT("Importer!B"&amp;MID(H43,6,4)+1,TRUE))),HYPERLINK(INDIRECT("Importer!B"&amp;MID(H43,6,4)+1,TRUE), "Game 2"),""))))</f>
        <v>Game 2</v>
      </c>
      <c r="E43" s="107" t="str">
        <f t="shared" si="3"/>
        <v/>
      </c>
      <c r="F43" s="125" t="str">
        <f>VLOOKUP(G43,'Swiss Registry'!$A$2:$B$703,2,False)</f>
        <v>mintyerb</v>
      </c>
      <c r="G43" s="145">
        <v>568.0</v>
      </c>
      <c r="H43" s="93" t="s">
        <v>2633</v>
      </c>
      <c r="I43" s="141" t="str">
        <f t="array" ref="I43">XLOOKUP(CELL("contents",B43),'Swiss Registry'!$B$2:$B$703,'Swiss Registry'!$N$2:$N$703) </f>
        <v>1031364783804526612</v>
      </c>
      <c r="J43" s="142" t="str">
        <f t="array" ref="J43">XLOOKUP(CELL("contents",F43),'Swiss Registry'!$B$2:$B$703,'Swiss Registry'!$N$2:$N$703) </f>
        <v>411341688288575500</v>
      </c>
    </row>
    <row r="44">
      <c r="A44" s="140">
        <v>43.0</v>
      </c>
      <c r="B44" s="125" t="str">
        <f>VLOOKUP(A44,'Swiss Registry'!$A$2:$B$703,2,False)</f>
        <v>Christos</v>
      </c>
      <c r="C44" s="105" t="str">
        <f t="shared" si="1"/>
        <v>Game 1</v>
      </c>
      <c r="D44" s="106" t="str">
        <f t="shared" si="4"/>
        <v>Game 2</v>
      </c>
      <c r="E44" s="107" t="str">
        <f t="shared" si="3"/>
        <v/>
      </c>
      <c r="F44" s="125" t="str">
        <f>VLOOKUP(G44,'Swiss Registry'!$A$2:$B$703,2,False)</f>
        <v>Beignet</v>
      </c>
      <c r="G44" s="145">
        <v>233.0</v>
      </c>
      <c r="H44" s="93" t="s">
        <v>2634</v>
      </c>
      <c r="I44" s="141" t="str">
        <f t="array" ref="I44">XLOOKUP(CELL("contents",B44),'Swiss Registry'!$B$2:$B$703,'Swiss Registry'!$N$2:$N$703) </f>
        <v>202869299113623563</v>
      </c>
      <c r="J44" s="142" t="str">
        <f t="array" ref="J44">XLOOKUP(CELL("contents",F44),'Swiss Registry'!$B$2:$B$703,'Swiss Registry'!$N$2:$N$703) </f>
        <v>473550253396721694</v>
      </c>
    </row>
    <row r="45" ht="15.0" customHeight="1">
      <c r="A45" s="122"/>
      <c r="B45" s="122"/>
      <c r="C45" s="123"/>
      <c r="D45" s="138" t="s">
        <v>2635</v>
      </c>
      <c r="E45" s="123"/>
      <c r="F45" s="122"/>
      <c r="G45" s="146"/>
      <c r="H45" s="93"/>
      <c r="I45" s="139"/>
      <c r="J45" s="139"/>
    </row>
    <row r="46">
      <c r="A46" s="140">
        <v>44.0</v>
      </c>
      <c r="B46" s="125" t="str">
        <f>VLOOKUP(A46,'Swiss Registry'!$A$2:$B$703,2,False)</f>
        <v>Dridri457</v>
      </c>
      <c r="C46" s="105" t="str">
        <f t="shared" ref="C46:C85" si="5">IF(H46="dead","",IF(H46="a:act","",IF(H46="b:act","",IF(ISURL(HYPERLINK(INDIRECT("Importer!B"&amp;MID(H46,2,4)+1,TRUE))),HYPERLINK(INDIRECT("Importer!B"&amp;MID(H46,2,4)+1,TRUE), "Game 1"),""))))</f>
        <v>Game 1</v>
      </c>
      <c r="D46" s="106" t="str">
        <f t="shared" ref="D46:D81" si="6">IF(H46="dead","Dead Game",IF(H46="a:act","Act: "&amp;B46,IF(H46="b:act","Act: "&amp;F46,IF(ISURL(HYPERLINK(INDIRECT("Importer!B"&amp;MID(H46,6,4)+1,TRUE))),HYPERLINK(INDIRECT("Importer!B"&amp;MID(H46,6,4)+1,TRUE), "Game 2"),""))))</f>
        <v>Game 2</v>
      </c>
      <c r="E46" s="107" t="str">
        <f t="shared" ref="E46:E85" si="7">IF(H46="dead","",IF(H46="a:act","",IF(H46="b:act","",IF(ISURL(HYPERLINK(INDIRECT("Importer!B"&amp;MID(H46,10,4)+1,TRUE))),HYPERLINK(INDIRECT("Importer!B"&amp;MID(H46,10,4)+1,TRUE), "Game 3"),""))))</f>
        <v/>
      </c>
      <c r="F46" s="125" t="str">
        <f>VLOOKUP(G46,'Swiss Registry'!$A$2:$B$703,2,False)</f>
        <v>@spreek</v>
      </c>
      <c r="G46" s="145">
        <v>640.0</v>
      </c>
      <c r="H46" s="93" t="s">
        <v>2636</v>
      </c>
      <c r="I46" s="141" t="str">
        <f t="array" ref="I46">XLOOKUP(CELL("contents",B46),'Swiss Registry'!$B$2:$B$703,'Swiss Registry'!$N$2:$N$703) </f>
        <v>1067112559704014909</v>
      </c>
      <c r="J46" s="142" t="str">
        <f t="array" ref="J46">XLOOKUP(CELL("contents",F46),'Swiss Registry'!$B$2:$B$703,'Swiss Registry'!$N$2:$N$703) </f>
        <v>136272881666621440</v>
      </c>
    </row>
    <row r="47">
      <c r="A47" s="140">
        <v>47.0</v>
      </c>
      <c r="B47" s="125" t="str">
        <f>VLOOKUP(A47,'Swiss Registry'!$A$2:$B$703,2,False)</f>
        <v>Figull400</v>
      </c>
      <c r="C47" s="105" t="str">
        <f t="shared" si="5"/>
        <v>Game 1</v>
      </c>
      <c r="D47" s="106" t="str">
        <f t="shared" si="6"/>
        <v>Game 2</v>
      </c>
      <c r="E47" s="107" t="str">
        <f t="shared" si="7"/>
        <v/>
      </c>
      <c r="F47" s="125" t="str">
        <f>VLOOKUP(G47,'Swiss Registry'!$A$2:$B$703,2,False)</f>
        <v>Fantasmal_.</v>
      </c>
      <c r="G47" s="145">
        <v>515.0</v>
      </c>
      <c r="H47" s="93" t="s">
        <v>2637</v>
      </c>
      <c r="I47" s="141" t="str">
        <f t="array" ref="I47">XLOOKUP(CELL("contents",B47),'Swiss Registry'!$B$2:$B$703,'Swiss Registry'!$N$2:$N$703) </f>
        <v>758667386822983680</v>
      </c>
      <c r="J47" s="142" t="str">
        <f t="array" ref="J47">XLOOKUP(CELL("contents",F47),'Swiss Registry'!$B$2:$B$703,'Swiss Registry'!$N$2:$N$703) </f>
        <v>1232210933489864785</v>
      </c>
    </row>
    <row r="48">
      <c r="A48" s="140">
        <v>48.0</v>
      </c>
      <c r="B48" s="125" t="str">
        <f>VLOOKUP(A48,'Swiss Registry'!$A$2:$B$703,2,False)</f>
        <v>Don Tonionie</v>
      </c>
      <c r="C48" s="105" t="str">
        <f t="shared" si="5"/>
        <v>Game 1</v>
      </c>
      <c r="D48" s="106" t="str">
        <f t="shared" si="6"/>
        <v>Game 2</v>
      </c>
      <c r="E48" s="107" t="str">
        <f t="shared" si="7"/>
        <v/>
      </c>
      <c r="F48" s="125" t="str">
        <f>VLOOKUP(G48,'Swiss Registry'!$A$2:$B$703,2,False)</f>
        <v>no8ull</v>
      </c>
      <c r="G48" s="145">
        <v>482.0</v>
      </c>
      <c r="H48" s="93" t="s">
        <v>2638</v>
      </c>
      <c r="I48" s="141" t="str">
        <f t="array" ref="I48">XLOOKUP(CELL("contents",B48),'Swiss Registry'!$B$2:$B$703,'Swiss Registry'!$N$2:$N$703) </f>
        <v>281159058155634700</v>
      </c>
      <c r="J48" s="142" t="str">
        <f t="array" ref="J48">XLOOKUP(CELL("contents",F48),'Swiss Registry'!$B$2:$B$703,'Swiss Registry'!$N$2:$N$703) </f>
        <v>647900479602425856</v>
      </c>
    </row>
    <row r="49">
      <c r="A49" s="140">
        <v>49.0</v>
      </c>
      <c r="B49" s="125" t="str">
        <f>VLOOKUP(A49,'Swiss Registry'!$A$2:$B$703,2,False)</f>
        <v>Bhol</v>
      </c>
      <c r="C49" s="105" t="str">
        <f t="shared" si="5"/>
        <v>Game 1</v>
      </c>
      <c r="D49" s="106" t="str">
        <f t="shared" si="6"/>
        <v>Game 2</v>
      </c>
      <c r="E49" s="110" t="str">
        <f t="shared" si="7"/>
        <v>Game 3</v>
      </c>
      <c r="F49" s="125" t="str">
        <f>VLOOKUP(G49,'Swiss Registry'!$A$2:$B$703,2,False)</f>
        <v>flareliger</v>
      </c>
      <c r="G49" s="145">
        <v>522.0</v>
      </c>
      <c r="H49" s="93" t="s">
        <v>2639</v>
      </c>
      <c r="I49" s="141" t="str">
        <f t="array" ref="I49">XLOOKUP(CELL("contents",B49),'Swiss Registry'!$B$2:$B$703,'Swiss Registry'!$N$2:$N$703) </f>
        <v>708350647879335966</v>
      </c>
      <c r="J49" s="142" t="str">
        <f t="array" ref="J49">XLOOKUP(CELL("contents",F49),'Swiss Registry'!$B$2:$B$703,'Swiss Registry'!$N$2:$N$703) </f>
        <v>605517695961661523</v>
      </c>
    </row>
    <row r="50">
      <c r="A50" s="140">
        <v>50.0</v>
      </c>
      <c r="B50" s="125" t="str">
        <f>VLOOKUP(A50,'Swiss Registry'!$A$2:$B$703,2,False)</f>
        <v>xTina</v>
      </c>
      <c r="C50" s="105" t="str">
        <f t="shared" si="5"/>
        <v>Game 1</v>
      </c>
      <c r="D50" s="106" t="str">
        <f t="shared" si="6"/>
        <v>Game 2</v>
      </c>
      <c r="E50" s="107" t="str">
        <f t="shared" si="7"/>
        <v/>
      </c>
      <c r="F50" s="125" t="str">
        <f>VLOOKUP(G50,'Swiss Registry'!$A$2:$B$703,2,False)</f>
        <v>zettsbro</v>
      </c>
      <c r="G50" s="145">
        <v>166.0</v>
      </c>
      <c r="H50" s="93" t="s">
        <v>2640</v>
      </c>
      <c r="I50" s="141" t="str">
        <f t="array" ref="I50">XLOOKUP(CELL("contents",B50),'Swiss Registry'!$B$2:$B$703,'Swiss Registry'!$N$2:$N$703) </f>
        <v>157273003971969025</v>
      </c>
      <c r="J50" s="142" t="str">
        <f t="array" ref="J50">XLOOKUP(CELL("contents",F50),'Swiss Registry'!$B$2:$B$703,'Swiss Registry'!$N$2:$N$703) </f>
        <v>453604164077879296</v>
      </c>
    </row>
    <row r="51">
      <c r="A51" s="140">
        <v>53.0</v>
      </c>
      <c r="B51" s="125" t="str">
        <f>VLOOKUP(A51,'Swiss Registry'!$A$2:$B$703,2,False)</f>
        <v>Evakiyama</v>
      </c>
      <c r="C51" s="105" t="str">
        <f t="shared" si="5"/>
        <v>Game 1</v>
      </c>
      <c r="D51" s="106" t="str">
        <f t="shared" si="6"/>
        <v>Game 2</v>
      </c>
      <c r="E51" s="107" t="str">
        <f t="shared" si="7"/>
        <v/>
      </c>
      <c r="F51" s="125" t="str">
        <f>VLOOKUP(G51,'Swiss Registry'!$A$2:$B$703,2,False)</f>
        <v>Dwightasaurus</v>
      </c>
      <c r="G51" s="145">
        <v>352.0</v>
      </c>
      <c r="H51" s="93" t="s">
        <v>2641</v>
      </c>
      <c r="I51" s="141" t="str">
        <f t="array" ref="I51">XLOOKUP(CELL("contents",B51),'Swiss Registry'!$B$2:$B$703,'Swiss Registry'!$N$2:$N$703) </f>
        <v>379787698799640576</v>
      </c>
      <c r="J51" s="142" t="str">
        <f t="array" ref="J51">XLOOKUP(CELL("contents",F51),'Swiss Registry'!$B$2:$B$703,'Swiss Registry'!$N$2:$N$703) </f>
        <v>393205826900197377</v>
      </c>
    </row>
    <row r="52">
      <c r="A52" s="140">
        <v>56.0</v>
      </c>
      <c r="B52" s="125" t="str">
        <f>VLOOKUP(A52,'Swiss Registry'!$A$2:$B$703,2,False)</f>
        <v>Vayun</v>
      </c>
      <c r="C52" s="111" t="str">
        <f t="shared" si="5"/>
        <v/>
      </c>
      <c r="D52" s="112" t="str">
        <f t="shared" si="6"/>
        <v>Act: adv_fella</v>
      </c>
      <c r="E52" s="107" t="str">
        <f t="shared" si="7"/>
        <v/>
      </c>
      <c r="F52" s="125" t="str">
        <f>VLOOKUP(G52,'Swiss Registry'!$A$2:$B$703,2,False)</f>
        <v>adv_fella</v>
      </c>
      <c r="G52" s="145">
        <v>593.0</v>
      </c>
      <c r="H52" s="93" t="s">
        <v>1523</v>
      </c>
      <c r="I52" s="141" t="str">
        <f t="array" ref="I52">XLOOKUP(CELL("contents",B52),'Swiss Registry'!$B$2:$B$703,'Swiss Registry'!$N$2:$N$703) </f>
        <v>773919415153983489</v>
      </c>
      <c r="J52" s="142" t="str">
        <f t="array" ref="J52">XLOOKUP(CELL("contents",F52),'Swiss Registry'!$B$2:$B$703,'Swiss Registry'!$N$2:$N$703) </f>
        <v>1045171502057799710</v>
      </c>
    </row>
    <row r="53">
      <c r="A53" s="140">
        <v>58.0</v>
      </c>
      <c r="B53" s="125" t="str">
        <f>VLOOKUP(A53,'Swiss Registry'!$A$2:$B$703,2,False)</f>
        <v>kingofironfrisk</v>
      </c>
      <c r="C53" s="105" t="str">
        <f t="shared" si="5"/>
        <v>Game 1</v>
      </c>
      <c r="D53" s="106" t="str">
        <f t="shared" si="6"/>
        <v>Game 2</v>
      </c>
      <c r="E53" s="107" t="str">
        <f t="shared" si="7"/>
        <v/>
      </c>
      <c r="F53" s="125" t="str">
        <f>VLOOKUP(G53,'Swiss Registry'!$A$2:$B$703,2,False)</f>
        <v>rovels</v>
      </c>
      <c r="G53" s="145">
        <v>193.0</v>
      </c>
      <c r="H53" s="93" t="s">
        <v>2642</v>
      </c>
      <c r="I53" s="141" t="str">
        <f t="array" ref="I53">XLOOKUP(CELL("contents",B53),'Swiss Registry'!$B$2:$B$703,'Swiss Registry'!$N$2:$N$703) </f>
        <v>232531609293684746</v>
      </c>
      <c r="J53" s="142" t="str">
        <f t="array" ref="J53">XLOOKUP(CELL("contents",F53),'Swiss Registry'!$B$2:$B$703,'Swiss Registry'!$N$2:$N$703) </f>
        <v>213427649148616704</v>
      </c>
    </row>
    <row r="54">
      <c r="A54" s="140">
        <v>59.0</v>
      </c>
      <c r="B54" s="125" t="str">
        <f>VLOOKUP(A54,'Swiss Registry'!$A$2:$B$703,2,False)</f>
        <v>OopsAllDeoxys</v>
      </c>
      <c r="C54" s="105" t="str">
        <f t="shared" si="5"/>
        <v>Game 1</v>
      </c>
      <c r="D54" s="106" t="str">
        <f t="shared" si="6"/>
        <v>Game 2</v>
      </c>
      <c r="E54" s="110" t="str">
        <f t="shared" si="7"/>
        <v>Game 3</v>
      </c>
      <c r="F54" s="125" t="str">
        <f>VLOOKUP(G54,'Swiss Registry'!$A$2:$B$703,2,False)</f>
        <v>kvistsivk</v>
      </c>
      <c r="G54" s="145">
        <v>169.0</v>
      </c>
      <c r="H54" s="93" t="s">
        <v>2643</v>
      </c>
      <c r="I54" s="141" t="str">
        <f t="array" ref="I54">XLOOKUP(CELL("contents",B54),'Swiss Registry'!$B$2:$B$703,'Swiss Registry'!$N$2:$N$703) </f>
        <v>528307805422223380</v>
      </c>
      <c r="J54" s="142" t="str">
        <f t="array" ref="J54">XLOOKUP(CELL("contents",F54),'Swiss Registry'!$B$2:$B$703,'Swiss Registry'!$N$2:$N$703) </f>
        <v>1168036455071875245</v>
      </c>
    </row>
    <row r="55">
      <c r="A55" s="140">
        <v>60.0</v>
      </c>
      <c r="B55" s="125" t="str">
        <f>VLOOKUP(A55,'Swiss Registry'!$A$2:$B$703,2,False)</f>
        <v>Exiline</v>
      </c>
      <c r="C55" s="111" t="str">
        <f t="shared" si="5"/>
        <v/>
      </c>
      <c r="D55" s="112" t="str">
        <f t="shared" si="6"/>
        <v>Act: Exiline</v>
      </c>
      <c r="E55" s="107" t="str">
        <f t="shared" si="7"/>
        <v/>
      </c>
      <c r="F55" s="125" t="str">
        <f>VLOOKUP(G55,'Swiss Registry'!$A$2:$B$703,2,False)</f>
        <v>jerdgerd</v>
      </c>
      <c r="G55" s="145">
        <v>320.0</v>
      </c>
      <c r="H55" s="93" t="s">
        <v>1486</v>
      </c>
      <c r="I55" s="141" t="str">
        <f t="array" ref="I55">XLOOKUP(CELL("contents",B55),'Swiss Registry'!$B$2:$B$703,'Swiss Registry'!$N$2:$N$703) </f>
        <v>155646670988640258</v>
      </c>
      <c r="J55" s="142" t="str">
        <f t="array" ref="J55">XLOOKUP(CELL("contents",F55),'Swiss Registry'!$B$2:$B$703,'Swiss Registry'!$N$2:$N$703) </f>
        <v>253276541948002304</v>
      </c>
    </row>
    <row r="56">
      <c r="A56" s="140">
        <v>61.0</v>
      </c>
      <c r="B56" s="125" t="str">
        <f>VLOOKUP(A56,'Swiss Registry'!$A$2:$B$703,2,False)</f>
        <v>Zpanther</v>
      </c>
      <c r="C56" s="105" t="str">
        <f t="shared" si="5"/>
        <v>Game 1</v>
      </c>
      <c r="D56" s="106" t="str">
        <f t="shared" si="6"/>
        <v>Game 2</v>
      </c>
      <c r="E56" s="110" t="str">
        <f t="shared" si="7"/>
        <v>Game 3</v>
      </c>
      <c r="F56" s="125" t="str">
        <f>VLOOKUP(G56,'Swiss Registry'!$A$2:$B$703,2,False)</f>
        <v>b1ur</v>
      </c>
      <c r="G56" s="145">
        <v>642.0</v>
      </c>
      <c r="H56" s="93" t="s">
        <v>2644</v>
      </c>
      <c r="I56" s="141" t="str">
        <f t="array" ref="I56">XLOOKUP(CELL("contents",B56),'Swiss Registry'!$B$2:$B$703,'Swiss Registry'!$N$2:$N$703) </f>
        <v>884609024937574432</v>
      </c>
      <c r="J56" s="142" t="str">
        <f t="array" ref="J56">XLOOKUP(CELL("contents",F56),'Swiss Registry'!$B$2:$B$703,'Swiss Registry'!$N$2:$N$703) </f>
        <v>196380416473563136</v>
      </c>
    </row>
    <row r="57">
      <c r="A57" s="140">
        <v>62.0</v>
      </c>
      <c r="B57" s="125" t="str">
        <f>VLOOKUP(A57,'Swiss Registry'!$A$2:$B$703,2,False)</f>
        <v>Nicole</v>
      </c>
      <c r="C57" s="105" t="str">
        <f t="shared" si="5"/>
        <v>Game 1</v>
      </c>
      <c r="D57" s="106" t="str">
        <f t="shared" si="6"/>
        <v>Game 2</v>
      </c>
      <c r="E57" s="107" t="str">
        <f t="shared" si="7"/>
        <v/>
      </c>
      <c r="F57" s="125" t="str">
        <f>VLOOKUP(G57,'Swiss Registry'!$A$2:$B$703,2,False)</f>
        <v>Forte_French</v>
      </c>
      <c r="G57" s="145">
        <v>442.0</v>
      </c>
      <c r="H57" s="93" t="s">
        <v>2645</v>
      </c>
      <c r="I57" s="141" t="str">
        <f t="array" ref="I57">XLOOKUP(CELL("contents",B57),'Swiss Registry'!$B$2:$B$703,'Swiss Registry'!$N$2:$N$703) </f>
        <v>372784289420410882</v>
      </c>
      <c r="J57" s="142" t="str">
        <f t="array" ref="J57">XLOOKUP(CELL("contents",F57),'Swiss Registry'!$B$2:$B$703,'Swiss Registry'!$N$2:$N$703) </f>
        <v>345986385502797844</v>
      </c>
    </row>
    <row r="58">
      <c r="A58" s="140">
        <v>63.0</v>
      </c>
      <c r="B58" s="125" t="str">
        <f>VLOOKUP(A58,'Swiss Registry'!$A$2:$B$703,2,False)</f>
        <v>Rambode</v>
      </c>
      <c r="C58" s="105" t="str">
        <f t="shared" si="5"/>
        <v>Game 1</v>
      </c>
      <c r="D58" s="106" t="str">
        <f t="shared" si="6"/>
        <v>Game 2</v>
      </c>
      <c r="E58" s="107" t="str">
        <f t="shared" si="7"/>
        <v/>
      </c>
      <c r="F58" s="125" t="str">
        <f>VLOOKUP(G58,'Swiss Registry'!$A$2:$B$703,2,False)</f>
        <v>sapphire918</v>
      </c>
      <c r="G58" s="145">
        <v>660.0</v>
      </c>
      <c r="H58" s="93" t="s">
        <v>2646</v>
      </c>
      <c r="I58" s="141" t="str">
        <f t="array" ref="I58">XLOOKUP(CELL("contents",B58),'Swiss Registry'!$B$2:$B$703,'Swiss Registry'!$N$2:$N$703) </f>
        <v>205091412088324096</v>
      </c>
      <c r="J58" s="142" t="str">
        <f t="array" ref="J58">XLOOKUP(CELL("contents",F58),'Swiss Registry'!$B$2:$B$703,'Swiss Registry'!$N$2:$N$703) </f>
        <v>247172567494819840</v>
      </c>
    </row>
    <row r="59">
      <c r="A59" s="140">
        <v>64.0</v>
      </c>
      <c r="B59" s="125" t="str">
        <f>VLOOKUP(A59,'Swiss Registry'!$A$2:$B$703,2,False)</f>
        <v>xGangg</v>
      </c>
      <c r="C59" s="105" t="str">
        <f t="shared" si="5"/>
        <v>Game 1</v>
      </c>
      <c r="D59" s="106" t="str">
        <f t="shared" si="6"/>
        <v>Game 2</v>
      </c>
      <c r="E59" s="107" t="str">
        <f t="shared" si="7"/>
        <v/>
      </c>
      <c r="F59" s="125" t="str">
        <f>VLOOKUP(G59,'Swiss Registry'!$A$2:$B$703,2,False)</f>
        <v>danielck9797</v>
      </c>
      <c r="G59" s="145">
        <v>376.0</v>
      </c>
      <c r="H59" s="93" t="s">
        <v>2647</v>
      </c>
      <c r="I59" s="141" t="str">
        <f t="array" ref="I59">XLOOKUP(CELL("contents",B59),'Swiss Registry'!$B$2:$B$703,'Swiss Registry'!$N$2:$N$703) </f>
        <v>219915887254175744</v>
      </c>
      <c r="J59" s="142" t="str">
        <f t="array" ref="J59">XLOOKUP(CELL("contents",F59),'Swiss Registry'!$B$2:$B$703,'Swiss Registry'!$N$2:$N$703) </f>
        <v>397204999957905408</v>
      </c>
    </row>
    <row r="60">
      <c r="A60" s="140">
        <v>70.0</v>
      </c>
      <c r="B60" s="125" t="str">
        <f>VLOOKUP(A60,'Swiss Registry'!$A$2:$B$703,2,False)</f>
        <v>H&gt;L</v>
      </c>
      <c r="C60" s="111" t="str">
        <f t="shared" si="5"/>
        <v/>
      </c>
      <c r="D60" s="112" t="str">
        <f t="shared" si="6"/>
        <v>Act: H&gt;L</v>
      </c>
      <c r="E60" s="107" t="str">
        <f t="shared" si="7"/>
        <v/>
      </c>
      <c r="F60" s="125" t="str">
        <f>VLOOKUP(G60,'Swiss Registry'!$A$2:$B$703,2,False)</f>
        <v>GreenCity</v>
      </c>
      <c r="G60" s="145">
        <v>108.0</v>
      </c>
      <c r="H60" s="93" t="s">
        <v>1486</v>
      </c>
      <c r="I60" s="141" t="str">
        <f t="array" ref="I60">XLOOKUP(CELL("contents",B60),'Swiss Registry'!$B$2:$B$703,'Swiss Registry'!$N$2:$N$703) </f>
        <v>669658442071408672</v>
      </c>
      <c r="J60" s="142" t="str">
        <f t="array" ref="J60">XLOOKUP(CELL("contents",F60),'Swiss Registry'!$B$2:$B$703,'Swiss Registry'!$N$2:$N$703) </f>
        <v>SUB</v>
      </c>
    </row>
    <row r="61">
      <c r="A61" s="140">
        <v>75.0</v>
      </c>
      <c r="B61" s="125" t="str">
        <f>VLOOKUP(A61,'Swiss Registry'!$A$2:$B$703,2,False)</f>
        <v>Marshy</v>
      </c>
      <c r="C61" s="105" t="str">
        <f t="shared" si="5"/>
        <v>Game 1</v>
      </c>
      <c r="D61" s="106" t="str">
        <f t="shared" si="6"/>
        <v>Game 2</v>
      </c>
      <c r="E61" s="110" t="str">
        <f t="shared" si="7"/>
        <v>Game 3</v>
      </c>
      <c r="F61" s="125" t="str">
        <f>VLOOKUP(G61,'Swiss Registry'!$A$2:$B$703,2,False)</f>
        <v>dragonsareoptimal</v>
      </c>
      <c r="G61" s="145">
        <v>222.0</v>
      </c>
      <c r="H61" s="93" t="s">
        <v>2648</v>
      </c>
      <c r="I61" s="141" t="str">
        <f t="array" ref="I61">XLOOKUP(CELL("contents",B61),'Swiss Registry'!$B$2:$B$703,'Swiss Registry'!$N$2:$N$703) </f>
        <v>322051190097575947</v>
      </c>
      <c r="J61" s="142" t="str">
        <f t="array" ref="J61">XLOOKUP(CELL("contents",F61),'Swiss Registry'!$B$2:$B$703,'Swiss Registry'!$N$2:$N$703) </f>
        <v>168945056303022081</v>
      </c>
    </row>
    <row r="62">
      <c r="A62" s="140">
        <v>78.0</v>
      </c>
      <c r="B62" s="125" t="str">
        <f>VLOOKUP(A62,'Swiss Registry'!$A$2:$B$703,2,False)</f>
        <v>OOF_MAXIMA</v>
      </c>
      <c r="C62" s="105" t="str">
        <f t="shared" si="5"/>
        <v>Game 1</v>
      </c>
      <c r="D62" s="106" t="str">
        <f t="shared" si="6"/>
        <v>Game 2</v>
      </c>
      <c r="E62" s="107" t="str">
        <f t="shared" si="7"/>
        <v/>
      </c>
      <c r="F62" s="125" t="str">
        <f>VLOOKUP(G62,'Swiss Registry'!$A$2:$B$703,2,False)</f>
        <v>ChocoboJoe</v>
      </c>
      <c r="G62" s="145">
        <v>566.0</v>
      </c>
      <c r="H62" s="93" t="s">
        <v>2649</v>
      </c>
      <c r="I62" s="141" t="str">
        <f t="array" ref="I62">XLOOKUP(CELL("contents",B62),'Swiss Registry'!$B$2:$B$703,'Swiss Registry'!$N$2:$N$703) </f>
        <v>400765707467620362</v>
      </c>
      <c r="J62" s="142" t="str">
        <f t="array" ref="J62">XLOOKUP(CELL("contents",F62),'Swiss Registry'!$B$2:$B$703,'Swiss Registry'!$N$2:$N$703) </f>
        <v>301575831858446356</v>
      </c>
    </row>
    <row r="63">
      <c r="A63" s="140">
        <v>80.0</v>
      </c>
      <c r="B63" s="125" t="str">
        <f>VLOOKUP(A63,'Swiss Registry'!$A$2:$B$703,2,False)</f>
        <v>Incognition</v>
      </c>
      <c r="C63" s="105" t="str">
        <f t="shared" si="5"/>
        <v>Game 1</v>
      </c>
      <c r="D63" s="106" t="str">
        <f t="shared" si="6"/>
        <v>Game 2</v>
      </c>
      <c r="E63" s="110" t="str">
        <f t="shared" si="7"/>
        <v>Game 3</v>
      </c>
      <c r="F63" s="125" t="str">
        <f>VLOOKUP(G63,'Swiss Registry'!$A$2:$B$703,2,False)</f>
        <v>Tiberiusfieri</v>
      </c>
      <c r="G63" s="145">
        <v>334.0</v>
      </c>
      <c r="H63" s="93" t="s">
        <v>2650</v>
      </c>
      <c r="I63" s="141" t="str">
        <f t="array" ref="I63">XLOOKUP(CELL("contents",B63),'Swiss Registry'!$B$2:$B$703,'Swiss Registry'!$N$2:$N$703) </f>
        <v>248186612213612546</v>
      </c>
      <c r="J63" s="142" t="str">
        <f t="array" ref="J63">XLOOKUP(CELL("contents",F63),'Swiss Registry'!$B$2:$B$703,'Swiss Registry'!$N$2:$N$703) </f>
        <v>820892117370011668</v>
      </c>
    </row>
    <row r="64">
      <c r="A64" s="140">
        <v>81.0</v>
      </c>
      <c r="B64" s="125" t="str">
        <f>VLOOKUP(A64,'Swiss Registry'!$A$2:$B$703,2,False)</f>
        <v>Tempokin</v>
      </c>
      <c r="C64" s="105" t="str">
        <f t="shared" si="5"/>
        <v>Game 1</v>
      </c>
      <c r="D64" s="106" t="str">
        <f t="shared" si="6"/>
        <v>Game 2</v>
      </c>
      <c r="E64" s="107" t="str">
        <f t="shared" si="7"/>
        <v/>
      </c>
      <c r="F64" s="125" t="str">
        <f>VLOOKUP(G64,'Swiss Registry'!$A$2:$B$703,2,False)</f>
        <v>Simonf</v>
      </c>
      <c r="G64" s="145">
        <v>633.0</v>
      </c>
      <c r="H64" s="93" t="s">
        <v>2651</v>
      </c>
      <c r="I64" s="141" t="str">
        <f t="array" ref="I64">XLOOKUP(CELL("contents",B64),'Swiss Registry'!$B$2:$B$703,'Swiss Registry'!$N$2:$N$703) </f>
        <v>305870832977182722</v>
      </c>
      <c r="J64" s="142" t="str">
        <f t="array" ref="J64">XLOOKUP(CELL("contents",F64),'Swiss Registry'!$B$2:$B$703,'Swiss Registry'!$N$2:$N$703) </f>
        <v>158927868745744385</v>
      </c>
    </row>
    <row r="65">
      <c r="A65" s="140">
        <v>83.0</v>
      </c>
      <c r="B65" s="125" t="str">
        <f>VLOOKUP(A65,'Swiss Registry'!$A$2:$B$703,2,False)</f>
        <v>King Raska</v>
      </c>
      <c r="C65" s="105" t="str">
        <f t="shared" si="5"/>
        <v>Game 1</v>
      </c>
      <c r="D65" s="106" t="str">
        <f t="shared" si="6"/>
        <v>Game 2</v>
      </c>
      <c r="E65" s="110" t="str">
        <f t="shared" si="7"/>
        <v>Game 3</v>
      </c>
      <c r="F65" s="125" t="str">
        <f>VLOOKUP(G65,'Swiss Registry'!$A$2:$B$703,2,False)</f>
        <v>Blanched</v>
      </c>
      <c r="G65" s="145">
        <v>695.0</v>
      </c>
      <c r="H65" s="93" t="s">
        <v>2652</v>
      </c>
      <c r="I65" s="141" t="str">
        <f t="array" ref="I65">XLOOKUP(CELL("contents",B65),'Swiss Registry'!$B$2:$B$703,'Swiss Registry'!$N$2:$N$703) </f>
        <v>156914061856997376</v>
      </c>
      <c r="J65" s="142" t="str">
        <f t="array" ref="J65">XLOOKUP(CELL("contents",F65),'Swiss Registry'!$B$2:$B$703,'Swiss Registry'!$N$2:$N$703) </f>
        <v>270997842628182026</v>
      </c>
    </row>
    <row r="66">
      <c r="A66" s="140">
        <v>84.0</v>
      </c>
      <c r="B66" s="125" t="str">
        <f>VLOOKUP(A66,'Swiss Registry'!$A$2:$B$703,2,False)</f>
        <v>qsns</v>
      </c>
      <c r="C66" s="105" t="str">
        <f t="shared" si="5"/>
        <v>Game 1</v>
      </c>
      <c r="D66" s="106" t="str">
        <f t="shared" si="6"/>
        <v>Game 2</v>
      </c>
      <c r="E66" s="110" t="str">
        <f t="shared" si="7"/>
        <v>Game 3</v>
      </c>
      <c r="F66" s="125" t="str">
        <f>VLOOKUP(G66,'Swiss Registry'!$A$2:$B$703,2,False)</f>
        <v>onewhorants</v>
      </c>
      <c r="G66" s="145">
        <v>460.0</v>
      </c>
      <c r="H66" s="93" t="s">
        <v>2653</v>
      </c>
      <c r="I66" s="141" t="str">
        <f t="array" ref="I66">XLOOKUP(CELL("contents",B66),'Swiss Registry'!$B$2:$B$703,'Swiss Registry'!$N$2:$N$703) </f>
        <v>125692081212620801</v>
      </c>
      <c r="J66" s="142" t="str">
        <f t="array" ref="J66">XLOOKUP(CELL("contents",F66),'Swiss Registry'!$B$2:$B$703,'Swiss Registry'!$N$2:$N$703) </f>
        <v>257001953056260096</v>
      </c>
    </row>
    <row r="67">
      <c r="A67" s="140">
        <v>85.0</v>
      </c>
      <c r="B67" s="125" t="str">
        <f>VLOOKUP(A67,'Swiss Registry'!$A$2:$B$703,2,False)</f>
        <v>Cyberas</v>
      </c>
      <c r="C67" s="105" t="str">
        <f t="shared" si="5"/>
        <v>Game 1</v>
      </c>
      <c r="D67" s="106" t="str">
        <f t="shared" si="6"/>
        <v>Game 2</v>
      </c>
      <c r="E67" s="107" t="str">
        <f t="shared" si="7"/>
        <v/>
      </c>
      <c r="F67" s="125" t="str">
        <f>VLOOKUP(G67,'Swiss Registry'!$A$2:$B$703,2,False)</f>
        <v>poots6476</v>
      </c>
      <c r="G67" s="145">
        <v>360.0</v>
      </c>
      <c r="H67" s="93" t="s">
        <v>2654</v>
      </c>
      <c r="I67" s="141" t="str">
        <f t="array" ref="I67">XLOOKUP(CELL("contents",B67),'Swiss Registry'!$B$2:$B$703,'Swiss Registry'!$N$2:$N$703) </f>
        <v>133696854662709248</v>
      </c>
      <c r="J67" s="142" t="str">
        <f t="array" ref="J67">XLOOKUP(CELL("contents",F67),'Swiss Registry'!$B$2:$B$703,'Swiss Registry'!$N$2:$N$703) </f>
        <v>177568483909959680</v>
      </c>
    </row>
    <row r="68">
      <c r="A68" s="140">
        <v>90.0</v>
      </c>
      <c r="B68" s="125" t="str">
        <f>VLOOKUP(A68,'Swiss Registry'!$A$2:$B$703,2,False)</f>
        <v>Mantis</v>
      </c>
      <c r="C68" s="105" t="str">
        <f t="shared" si="5"/>
        <v>Game 1</v>
      </c>
      <c r="D68" s="106" t="str">
        <f t="shared" si="6"/>
        <v>Game 2</v>
      </c>
      <c r="E68" s="107" t="str">
        <f t="shared" si="7"/>
        <v/>
      </c>
      <c r="F68" s="125" t="str">
        <f>VLOOKUP(G68,'Swiss Registry'!$A$2:$B$703,2,False)</f>
        <v>EatYourToastSon</v>
      </c>
      <c r="G68" s="145">
        <v>611.0</v>
      </c>
      <c r="H68" s="93" t="s">
        <v>2655</v>
      </c>
      <c r="I68" s="141" t="str">
        <f t="array" ref="I68">XLOOKUP(CELL("contents",B68),'Swiss Registry'!$B$2:$B$703,'Swiss Registry'!$N$2:$N$703) </f>
        <v>396370625515487242</v>
      </c>
      <c r="J68" s="142" t="str">
        <f t="array" ref="J68">XLOOKUP(CELL("contents",F68),'Swiss Registry'!$B$2:$B$703,'Swiss Registry'!$N$2:$N$703) </f>
        <v>508374686359486495</v>
      </c>
    </row>
    <row r="69">
      <c r="A69" s="140">
        <v>91.0</v>
      </c>
      <c r="B69" s="125" t="str">
        <f>VLOOKUP(A69,'Swiss Registry'!$A$2:$B$703,2,False)</f>
        <v>Younglemonhope</v>
      </c>
      <c r="C69" s="105" t="str">
        <f t="shared" si="5"/>
        <v>Game 1</v>
      </c>
      <c r="D69" s="106" t="str">
        <f t="shared" si="6"/>
        <v>Game 2</v>
      </c>
      <c r="E69" s="110" t="str">
        <f t="shared" si="7"/>
        <v>Game 3</v>
      </c>
      <c r="F69" s="125" t="str">
        <f>VLOOKUP(G69,'Swiss Registry'!$A$2:$B$703,2,False)</f>
        <v>dadaasdcfaw</v>
      </c>
      <c r="G69" s="145">
        <v>212.0</v>
      </c>
      <c r="H69" s="93" t="s">
        <v>2656</v>
      </c>
      <c r="I69" s="141" t="str">
        <f t="array" ref="I69">XLOOKUP(CELL("contents",B69),'Swiss Registry'!$B$2:$B$703,'Swiss Registry'!$N$2:$N$703) </f>
        <v>111211333336256512</v>
      </c>
      <c r="J69" s="142" t="str">
        <f t="array" ref="J69">XLOOKUP(CELL("contents",F69),'Swiss Registry'!$B$2:$B$703,'Swiss Registry'!$N$2:$N$703) </f>
        <v>327733812467466240</v>
      </c>
    </row>
    <row r="70">
      <c r="A70" s="140">
        <v>93.0</v>
      </c>
      <c r="B70" s="125" t="str">
        <f>VLOOKUP(A70,'Swiss Registry'!$A$2:$B$703,2,False)</f>
        <v>Shadowtime2000</v>
      </c>
      <c r="C70" s="111" t="str">
        <f t="shared" si="5"/>
        <v/>
      </c>
      <c r="D70" s="112" t="str">
        <f t="shared" si="6"/>
        <v>Act: wavy_ish</v>
      </c>
      <c r="E70" s="107" t="str">
        <f t="shared" si="7"/>
        <v/>
      </c>
      <c r="F70" s="125" t="str">
        <f>VLOOKUP(G70,'Swiss Registry'!$A$2:$B$703,2,False)</f>
        <v>wavy_ish</v>
      </c>
      <c r="G70" s="145">
        <v>398.0</v>
      </c>
      <c r="H70" s="93" t="s">
        <v>1523</v>
      </c>
      <c r="I70" s="141" t="str">
        <f t="array" ref="I70">XLOOKUP(CELL("contents",B70),'Swiss Registry'!$B$2:$B$703,'Swiss Registry'!$N$2:$N$703) </f>
        <v>537051269253300275</v>
      </c>
      <c r="J70" s="142" t="str">
        <f t="array" ref="J70">XLOOKUP(CELL("contents",F70),'Swiss Registry'!$B$2:$B$703,'Swiss Registry'!$N$2:$N$703) </f>
        <v>354755541249032192</v>
      </c>
    </row>
    <row r="71">
      <c r="A71" s="140">
        <v>94.0</v>
      </c>
      <c r="B71" s="125" t="str">
        <f>VLOOKUP(A71,'Swiss Registry'!$A$2:$B$703,2,False)</f>
        <v>ratdogreborn</v>
      </c>
      <c r="C71" s="105" t="str">
        <f t="shared" si="5"/>
        <v>Game 1</v>
      </c>
      <c r="D71" s="106" t="str">
        <f t="shared" si="6"/>
        <v>Game 2</v>
      </c>
      <c r="E71" s="107" t="str">
        <f t="shared" si="7"/>
        <v/>
      </c>
      <c r="F71" s="125" t="str">
        <f>VLOOKUP(G71,'Swiss Registry'!$A$2:$B$703,2,False)</f>
        <v>f1remaster (Hikari)</v>
      </c>
      <c r="G71" s="145">
        <v>329.0</v>
      </c>
      <c r="H71" s="93" t="s">
        <v>2657</v>
      </c>
      <c r="I71" s="141" t="str">
        <f t="array" ref="I71">XLOOKUP(CELL("contents",B71),'Swiss Registry'!$B$2:$B$703,'Swiss Registry'!$N$2:$N$703) </f>
        <v>197429652208222208</v>
      </c>
      <c r="J71" s="142" t="str">
        <f t="array" ref="J71">XLOOKUP(CELL("contents",F71),'Swiss Registry'!$B$2:$B$703,'Swiss Registry'!$N$2:$N$703) </f>
        <v>295050390435659787</v>
      </c>
    </row>
    <row r="72">
      <c r="A72" s="140">
        <v>95.0</v>
      </c>
      <c r="B72" s="125" t="str">
        <f>VLOOKUP(A72,'Swiss Registry'!$A$2:$B$703,2,False)</f>
        <v>Otto</v>
      </c>
      <c r="C72" s="105" t="str">
        <f t="shared" si="5"/>
        <v>Game 1</v>
      </c>
      <c r="D72" s="106" t="str">
        <f t="shared" si="6"/>
        <v>Game 2</v>
      </c>
      <c r="E72" s="110" t="str">
        <f t="shared" si="7"/>
        <v>Game 3</v>
      </c>
      <c r="F72" s="125" t="str">
        <f>VLOOKUP(G72,'Swiss Registry'!$A$2:$B$703,2,False)</f>
        <v>tehpenguinofdoom</v>
      </c>
      <c r="G72" s="145">
        <v>539.0</v>
      </c>
      <c r="H72" s="93" t="s">
        <v>2658</v>
      </c>
      <c r="I72" s="141" t="str">
        <f t="array" ref="I72">XLOOKUP(CELL("contents",B72),'Swiss Registry'!$B$2:$B$703,'Swiss Registry'!$N$2:$N$703) </f>
        <v>286683342131298304</v>
      </c>
      <c r="J72" s="142" t="str">
        <f t="array" ref="J72">XLOOKUP(CELL("contents",F72),'Swiss Registry'!$B$2:$B$703,'Swiss Registry'!$N$2:$N$703) </f>
        <v>884242717255807047</v>
      </c>
    </row>
    <row r="73">
      <c r="A73" s="140">
        <v>98.0</v>
      </c>
      <c r="B73" s="125" t="str">
        <f>VLOOKUP(A73,'Swiss Registry'!$A$2:$B$703,2,False)</f>
        <v>Dancing Along/Abreaction</v>
      </c>
      <c r="C73" s="105" t="str">
        <f t="shared" si="5"/>
        <v>Game 1</v>
      </c>
      <c r="D73" s="106" t="str">
        <f t="shared" si="6"/>
        <v>Game 2</v>
      </c>
      <c r="E73" s="110" t="str">
        <f t="shared" si="7"/>
        <v>Game 3</v>
      </c>
      <c r="F73" s="125" t="str">
        <f>VLOOKUP(G73,'Swiss Registry'!$A$2:$B$703,2,False)</f>
        <v>The_Badger1230</v>
      </c>
      <c r="G73" s="145">
        <v>105.0</v>
      </c>
      <c r="H73" s="93" t="s">
        <v>2659</v>
      </c>
      <c r="I73" s="141" t="str">
        <f t="array" ref="I73">XLOOKUP(CELL("contents",B73),'Swiss Registry'!$B$2:$B$703,'Swiss Registry'!$N$2:$N$703) </f>
        <v>386999541255110676</v>
      </c>
      <c r="J73" s="142" t="str">
        <f t="array" ref="J73">XLOOKUP(CELL("contents",F73),'Swiss Registry'!$B$2:$B$703,'Swiss Registry'!$N$2:$N$703) </f>
        <v>615213996345131145</v>
      </c>
    </row>
    <row r="74">
      <c r="A74" s="140">
        <v>99.0</v>
      </c>
      <c r="B74" s="125" t="str">
        <f>VLOOKUP(A74,'Swiss Registry'!$A$2:$B$703,2,False)</f>
        <v>Just_Leo</v>
      </c>
      <c r="C74" s="105" t="str">
        <f t="shared" si="5"/>
        <v>Game 1</v>
      </c>
      <c r="D74" s="106" t="str">
        <f t="shared" si="6"/>
        <v>Game 2</v>
      </c>
      <c r="E74" s="110" t="str">
        <f t="shared" si="7"/>
        <v>Game 3</v>
      </c>
      <c r="F74" s="125" t="str">
        <f>VLOOKUP(G74,'Swiss Registry'!$A$2:$B$703,2,False)</f>
        <v>socialinclusion</v>
      </c>
      <c r="G74" s="145">
        <v>676.0</v>
      </c>
      <c r="H74" s="93" t="s">
        <v>2660</v>
      </c>
      <c r="I74" s="141" t="str">
        <f t="array" ref="I74">XLOOKUP(CELL("contents",B74),'Swiss Registry'!$B$2:$B$703,'Swiss Registry'!$N$2:$N$703) </f>
        <v>1136751969478914138</v>
      </c>
      <c r="J74" s="142" t="str">
        <f t="array" ref="J74">XLOOKUP(CELL("contents",F74),'Swiss Registry'!$B$2:$B$703,'Swiss Registry'!$N$2:$N$703) </f>
        <v>1287659687881474109</v>
      </c>
    </row>
    <row r="75">
      <c r="A75" s="140">
        <v>100.0</v>
      </c>
      <c r="B75" s="125" t="str">
        <f>VLOOKUP(A75,'Swiss Registry'!$A$2:$B$703,2,False)</f>
        <v>Zinc</v>
      </c>
      <c r="C75" s="105" t="str">
        <f t="shared" si="5"/>
        <v>Game 1</v>
      </c>
      <c r="D75" s="106" t="str">
        <f t="shared" si="6"/>
        <v>Game 2</v>
      </c>
      <c r="E75" s="110" t="str">
        <f t="shared" si="7"/>
        <v>Game 3</v>
      </c>
      <c r="F75" s="125" t="str">
        <f>VLOOKUP(G75,'Swiss Registry'!$A$2:$B$703,2,False)</f>
        <v>lexi.pup</v>
      </c>
      <c r="G75" s="145">
        <v>547.0</v>
      </c>
      <c r="H75" s="93" t="s">
        <v>2661</v>
      </c>
      <c r="I75" s="141" t="str">
        <f t="array" ref="I75">XLOOKUP(CELL("contents",B75),'Swiss Registry'!$B$2:$B$703,'Swiss Registry'!$N$2:$N$703) </f>
        <v>399291432235696139</v>
      </c>
      <c r="J75" s="142" t="str">
        <f t="array" ref="J75">XLOOKUP(CELL("contents",F75),'Swiss Registry'!$B$2:$B$703,'Swiss Registry'!$N$2:$N$703) </f>
        <v>768313209161383936</v>
      </c>
    </row>
    <row r="76">
      <c r="A76" s="140">
        <v>339.0</v>
      </c>
      <c r="B76" s="125" t="str">
        <f>VLOOKUP(A76,'Swiss Registry'!$A$2:$B$703,2,False)</f>
        <v>Jabba</v>
      </c>
      <c r="C76" s="105" t="str">
        <f t="shared" si="5"/>
        <v>Game 1</v>
      </c>
      <c r="D76" s="106" t="str">
        <f t="shared" si="6"/>
        <v>Game 2</v>
      </c>
      <c r="E76" s="110" t="str">
        <f t="shared" si="7"/>
        <v>Game 3</v>
      </c>
      <c r="F76" s="125" t="str">
        <f>VLOOKUP(G76,'Swiss Registry'!$A$2:$B$703,2,False)</f>
        <v>sbmalus</v>
      </c>
      <c r="G76" s="145">
        <v>564.0</v>
      </c>
      <c r="H76" s="93" t="s">
        <v>2662</v>
      </c>
      <c r="I76" s="141" t="str">
        <f t="array" ref="I76">XLOOKUP(CELL("contents",B76),'Swiss Registry'!$B$2:$B$703,'Swiss Registry'!$N$2:$N$703) </f>
        <v>191625883503558656</v>
      </c>
      <c r="J76" s="142" t="str">
        <f t="array" ref="J76">XLOOKUP(CELL("contents",F76),'Swiss Registry'!$B$2:$B$703,'Swiss Registry'!$N$2:$N$703) </f>
        <v>492395234429370371</v>
      </c>
    </row>
    <row r="77">
      <c r="A77" s="140">
        <v>171.0</v>
      </c>
      <c r="B77" s="125" t="str">
        <f>VLOOKUP(A77,'Swiss Registry'!$A$2:$B$703,2,False)</f>
        <v>knexhawk</v>
      </c>
      <c r="C77" s="105" t="str">
        <f t="shared" si="5"/>
        <v>Game 1</v>
      </c>
      <c r="D77" s="106" t="str">
        <f t="shared" si="6"/>
        <v>Game 2</v>
      </c>
      <c r="E77" s="110" t="str">
        <f t="shared" si="7"/>
        <v>Game 3</v>
      </c>
      <c r="F77" s="125" t="str">
        <f>VLOOKUP(G77,'Swiss Registry'!$A$2:$B$703,2,False)</f>
        <v>squirtle_squadbig_squatto</v>
      </c>
      <c r="G77" s="145">
        <v>200.0</v>
      </c>
      <c r="H77" s="93" t="s">
        <v>2663</v>
      </c>
      <c r="I77" s="141" t="str">
        <f t="array" ref="I77">XLOOKUP(CELL("contents",B77),'Swiss Registry'!$B$2:$B$703,'Swiss Registry'!$N$2:$N$703) </f>
        <v>481499066245578762</v>
      </c>
      <c r="J77" s="142" t="str">
        <f t="array" ref="J77">XLOOKUP(CELL("contents",F77),'Swiss Registry'!$B$2:$B$703,'Swiss Registry'!$N$2:$N$703) </f>
        <v>867120639248564234</v>
      </c>
    </row>
    <row r="78">
      <c r="A78" s="140">
        <v>194.0</v>
      </c>
      <c r="B78" s="125" t="str">
        <f>VLOOKUP(A78,'Swiss Registry'!$A$2:$B$703,2,False)</f>
        <v>bd31</v>
      </c>
      <c r="C78" s="105" t="str">
        <f t="shared" si="5"/>
        <v>Game 1</v>
      </c>
      <c r="D78" s="106" t="str">
        <f t="shared" si="6"/>
        <v>Game 2</v>
      </c>
      <c r="E78" s="110" t="str">
        <f t="shared" si="7"/>
        <v>Game 3</v>
      </c>
      <c r="F78" s="125" t="str">
        <f>VLOOKUP(G78,'Swiss Registry'!$A$2:$B$703,2,False)</f>
        <v>thedarvinist</v>
      </c>
      <c r="G78" s="145">
        <v>393.0</v>
      </c>
      <c r="H78" s="93" t="s">
        <v>2664</v>
      </c>
      <c r="I78" s="141" t="str">
        <f t="array" ref="I78">XLOOKUP(CELL("contents",B78),'Swiss Registry'!$B$2:$B$703,'Swiss Registry'!$N$2:$N$703) </f>
        <v>217343749439750145</v>
      </c>
      <c r="J78" s="142" t="str">
        <f t="array" ref="J78">XLOOKUP(CELL("contents",F78),'Swiss Registry'!$B$2:$B$703,'Swiss Registry'!$N$2:$N$703) </f>
        <v>431455323476328449</v>
      </c>
    </row>
    <row r="79">
      <c r="A79" s="140">
        <v>402.0</v>
      </c>
      <c r="B79" s="125" t="str">
        <f>VLOOKUP(A79,'Swiss Registry'!$A$2:$B$703,2,False)</f>
        <v>.verb</v>
      </c>
      <c r="C79" s="105" t="str">
        <f t="shared" si="5"/>
        <v>Game 1</v>
      </c>
      <c r="D79" s="106" t="str">
        <f t="shared" si="6"/>
        <v>Game 2</v>
      </c>
      <c r="E79" s="110" t="str">
        <f t="shared" si="7"/>
        <v>Game 3</v>
      </c>
      <c r="F79" s="125" t="str">
        <f>VLOOKUP(G79,'Swiss Registry'!$A$2:$B$703,2,False)</f>
        <v>mmtimmo</v>
      </c>
      <c r="G79" s="145">
        <v>500.0</v>
      </c>
      <c r="H79" s="93" t="s">
        <v>2665</v>
      </c>
      <c r="I79" s="141" t="str">
        <f t="array" ref="I79">XLOOKUP(CELL("contents",B79),'Swiss Registry'!$B$2:$B$703,'Swiss Registry'!$N$2:$N$703) </f>
        <v>97926747856580608</v>
      </c>
      <c r="J79" s="142" t="str">
        <f t="array" ref="J79">XLOOKUP(CELL("contents",F79),'Swiss Registry'!$B$2:$B$703,'Swiss Registry'!$N$2:$N$703) </f>
        <v>201614901452603392</v>
      </c>
    </row>
    <row r="80">
      <c r="A80" s="140">
        <v>184.0</v>
      </c>
      <c r="B80" s="125" t="str">
        <f>VLOOKUP(A80,'Swiss Registry'!$A$2:$B$703,2,False)</f>
        <v>Skarpherim</v>
      </c>
      <c r="C80" s="105" t="str">
        <f t="shared" si="5"/>
        <v>Game 1</v>
      </c>
      <c r="D80" s="106" t="str">
        <f t="shared" si="6"/>
        <v>Game 2</v>
      </c>
      <c r="E80" s="107" t="str">
        <f t="shared" si="7"/>
        <v/>
      </c>
      <c r="F80" s="125" t="str">
        <f>VLOOKUP(G80,'Swiss Registry'!$A$2:$B$703,2,False)</f>
        <v>yuramas</v>
      </c>
      <c r="G80" s="145">
        <v>428.0</v>
      </c>
      <c r="H80" s="93" t="s">
        <v>2666</v>
      </c>
      <c r="I80" s="141" t="str">
        <f t="array" ref="I80">XLOOKUP(CELL("contents",B80),'Swiss Registry'!$B$2:$B$703,'Swiss Registry'!$N$2:$N$703) </f>
        <v>1167951538963103815</v>
      </c>
      <c r="J80" s="142" t="str">
        <f t="array" ref="J80">XLOOKUP(CELL("contents",F80),'Swiss Registry'!$B$2:$B$703,'Swiss Registry'!$N$2:$N$703) </f>
        <v>551444761064636416</v>
      </c>
    </row>
    <row r="81">
      <c r="A81" s="140">
        <v>586.0</v>
      </c>
      <c r="B81" s="125" t="str">
        <f>VLOOKUP(A81,'Swiss Registry'!$A$2:$B$703,2,False)</f>
        <v>Yoink 0</v>
      </c>
      <c r="C81" s="105" t="str">
        <f t="shared" si="5"/>
        <v>Game 1</v>
      </c>
      <c r="D81" s="106" t="str">
        <f t="shared" si="6"/>
        <v>Game 2</v>
      </c>
      <c r="E81" s="107" t="str">
        <f t="shared" si="7"/>
        <v/>
      </c>
      <c r="F81" s="125" t="str">
        <f>VLOOKUP(G81,'Swiss Registry'!$A$2:$B$703,2,False)</f>
        <v>Nicko8</v>
      </c>
      <c r="G81" s="145">
        <v>622.0</v>
      </c>
      <c r="H81" s="93" t="s">
        <v>2667</v>
      </c>
      <c r="I81" s="141" t="str">
        <f t="array" ref="I81">XLOOKUP(CELL("contents",B81),'Swiss Registry'!$B$2:$B$703,'Swiss Registry'!$N$2:$N$703) </f>
        <v>1139533634194391050</v>
      </c>
      <c r="J81" s="142" t="str">
        <f t="array" ref="J81">XLOOKUP(CELL("contents",F81),'Swiss Registry'!$B$2:$B$703,'Swiss Registry'!$N$2:$N$703) </f>
        <v>148744968666742784</v>
      </c>
    </row>
    <row r="82">
      <c r="A82" s="140">
        <v>107.0</v>
      </c>
      <c r="B82" s="125" t="str">
        <f>VLOOKUP(A82,'Swiss Registry'!$A$2:$B$703,2,False)</f>
        <v>style_purposes</v>
      </c>
      <c r="C82" s="105" t="str">
        <f t="shared" si="5"/>
        <v>Game 1</v>
      </c>
      <c r="D82" s="106" t="str">
        <f>IF(H82="dead","Dead Game",IF(H82="a:act","Act: "&amp;F82,IF(H82="b:act","Act: "&amp;#REF!,IF(ISURL(HYPERLINK(INDIRECT("Importer!B"&amp;MID(H82,6,4)+1,TRUE))),HYPERLINK(INDIRECT("Importer!B"&amp;MID(H82,6,4)+1,TRUE), "Game 2"),""))))</f>
        <v>Game 2</v>
      </c>
      <c r="E82" s="110" t="str">
        <f t="shared" si="7"/>
        <v>Game 3</v>
      </c>
      <c r="F82" s="125" t="str">
        <f>VLOOKUP(G82,'Swiss Registry'!$A$2:$B$703,2,False)</f>
        <v>Agustin Palacios</v>
      </c>
      <c r="G82" s="145">
        <v>265.0</v>
      </c>
      <c r="H82" s="93" t="s">
        <v>2668</v>
      </c>
      <c r="I82" s="141" t="str">
        <f t="array" ref="I82">XLOOKUP(CELL("contents",B82),'Swiss Registry'!$B$2:$B$703,'Swiss Registry'!$N$2:$N$703) </f>
        <v>608850851150430226</v>
      </c>
      <c r="J82" s="142" t="str">
        <f t="array" ref="J82">XLOOKUP(CELL("contents",F82),'Swiss Registry'!$B$2:$B$703,'Swiss Registry'!$N$2:$N$703) </f>
        <v>547461638647840805</v>
      </c>
    </row>
    <row r="83">
      <c r="A83" s="140">
        <v>276.0</v>
      </c>
      <c r="B83" s="125" t="str">
        <f>VLOOKUP(A83,'Swiss Registry'!$A$2:$B$703,2,False)</f>
        <v>Papa Escargo</v>
      </c>
      <c r="C83" s="105" t="str">
        <f t="shared" si="5"/>
        <v>Game 1</v>
      </c>
      <c r="D83" s="106" t="str">
        <f t="shared" ref="D83:D85" si="8">IF(H83="dead","Dead Game",IF(H83="a:act","Act: "&amp;B83,IF(H83="b:act","Act: "&amp;F83,IF(ISURL(HYPERLINK(INDIRECT("Importer!B"&amp;MID(H83,6,4)+1,TRUE))),HYPERLINK(INDIRECT("Importer!B"&amp;MID(H83,6,4)+1,TRUE), "Game 2"),""))))</f>
        <v>Game 2</v>
      </c>
      <c r="E83" s="110" t="str">
        <f t="shared" si="7"/>
        <v>Game 3</v>
      </c>
      <c r="F83" s="125" t="str">
        <f>VLOOKUP(G83,'Swiss Registry'!$A$2:$B$703,2,False)</f>
        <v>executive_assistant</v>
      </c>
      <c r="G83" s="145">
        <v>375.0</v>
      </c>
      <c r="H83" s="93" t="s">
        <v>2669</v>
      </c>
      <c r="I83" s="141" t="str">
        <f t="array" ref="I83">XLOOKUP(CELL("contents",B83),'Swiss Registry'!$B$2:$B$703,'Swiss Registry'!$N$2:$N$703) </f>
        <v>510329516531515427</v>
      </c>
      <c r="J83" s="142" t="str">
        <f t="array" ref="J83">XLOOKUP(CELL("contents",F83),'Swiss Registry'!$B$2:$B$703,'Swiss Registry'!$N$2:$N$703) </f>
        <v>446542834766577665</v>
      </c>
    </row>
    <row r="84">
      <c r="A84" s="140">
        <v>474.0</v>
      </c>
      <c r="B84" s="125" t="str">
        <f>VLOOKUP(A84,'Swiss Registry'!$A$2:$B$703,2,False)</f>
        <v>gstrem_</v>
      </c>
      <c r="C84" s="111" t="str">
        <f t="shared" si="5"/>
        <v/>
      </c>
      <c r="D84" s="112" t="str">
        <f t="shared" si="8"/>
        <v>Act: sieefffmon</v>
      </c>
      <c r="E84" s="107" t="str">
        <f t="shared" si="7"/>
        <v/>
      </c>
      <c r="F84" s="125" t="str">
        <f>VLOOKUP(G84,'Swiss Registry'!$A$2:$B$703,2,False)</f>
        <v>sieefffmon</v>
      </c>
      <c r="G84" s="145">
        <v>330.0</v>
      </c>
      <c r="H84" s="93" t="s">
        <v>1714</v>
      </c>
      <c r="I84" s="141" t="str">
        <f t="array" ref="I84">XLOOKUP(CELL("contents",B84),'Swiss Registry'!$B$2:$B$703,'Swiss Registry'!$N$2:$N$703) </f>
        <v>575673302429859849</v>
      </c>
      <c r="J84" s="142" t="str">
        <f t="array" ref="J84">XLOOKUP(CELL("contents",F84),'Swiss Registry'!$B$2:$B$703,'Swiss Registry'!$N$2:$N$703) </f>
        <v>257242537582919691</v>
      </c>
    </row>
    <row r="85">
      <c r="A85" s="140">
        <v>585.0</v>
      </c>
      <c r="B85" s="125" t="str">
        <f>VLOOKUP(A85,'Swiss Registry'!$A$2:$B$703,2,False)</f>
        <v>Goose824</v>
      </c>
      <c r="C85" s="111" t="str">
        <f t="shared" si="5"/>
        <v/>
      </c>
      <c r="D85" s="112" t="str">
        <f t="shared" si="8"/>
        <v>Act: dhgss</v>
      </c>
      <c r="E85" s="107" t="str">
        <f t="shared" si="7"/>
        <v/>
      </c>
      <c r="F85" s="125" t="str">
        <f>VLOOKUP(G85,'Swiss Registry'!$A$2:$B$703,2,False)</f>
        <v>dhgss</v>
      </c>
      <c r="G85" s="145">
        <v>338.0</v>
      </c>
      <c r="H85" s="93" t="s">
        <v>1523</v>
      </c>
      <c r="I85" s="141" t="str">
        <f t="array" ref="I85">XLOOKUP(CELL("contents",B85),'Swiss Registry'!$B$2:$B$703,'Swiss Registry'!$N$2:$N$703) </f>
        <v>260566711202218005</v>
      </c>
      <c r="J85" s="142" t="str">
        <f t="array" ref="J85">XLOOKUP(CELL("contents",F85),'Swiss Registry'!$B$2:$B$703,'Swiss Registry'!$N$2:$N$703) </f>
        <v>158287368925872129</v>
      </c>
    </row>
    <row r="86" ht="15.0" customHeight="1">
      <c r="A86" s="122"/>
      <c r="B86" s="122"/>
      <c r="C86" s="123"/>
      <c r="D86" s="138" t="s">
        <v>2670</v>
      </c>
      <c r="E86" s="123"/>
      <c r="F86" s="122"/>
      <c r="G86" s="146"/>
      <c r="H86" s="93"/>
      <c r="I86" s="139"/>
      <c r="J86" s="139"/>
    </row>
    <row r="87">
      <c r="A87" s="140">
        <v>609.0</v>
      </c>
      <c r="B87" s="125" t="str">
        <f>VLOOKUP(A87,'Swiss Registry'!$A$2:$B$703,2,False)</f>
        <v>clarissen</v>
      </c>
      <c r="C87" s="111" t="str">
        <f t="shared" ref="C87:C125" si="9">IF(H87="dead","",IF(H87="a:act","",IF(H87="b:act","",IF(ISURL(HYPERLINK(INDIRECT("Importer!B"&amp;MID(H87,2,4)+1,TRUE))),HYPERLINK(INDIRECT("Importer!B"&amp;MID(H87,2,4)+1,TRUE), "Game 1"),""))))</f>
        <v/>
      </c>
      <c r="D87" s="112" t="str">
        <f t="shared" ref="D87:D121" si="10">IF(H87="dead","Dead Game",IF(H87="a:act","Act: "&amp;B87,IF(H87="b:act","Act: "&amp;F87,IF(ISURL(HYPERLINK(INDIRECT("Importer!B"&amp;MID(H87,6,4)+1,TRUE))),HYPERLINK(INDIRECT("Importer!B"&amp;MID(H87,6,4)+1,TRUE), "Game 2"),""))))</f>
        <v>Act: gogozeppeli1890 (rconquer)</v>
      </c>
      <c r="E87" s="107" t="str">
        <f t="shared" ref="E87:E125" si="11">IF(H87="dead","",IF(H87="a:act","",IF(H87="b:act","",IF(ISURL(HYPERLINK(INDIRECT("Importer!B"&amp;MID(H87,10,4)+1,TRUE))),HYPERLINK(INDIRECT("Importer!B"&amp;MID(H87,10,4)+1,TRUE), "Game 3"),""))))</f>
        <v/>
      </c>
      <c r="F87" s="125" t="str">
        <f>VLOOKUP(G87,'Swiss Registry'!$A$2:$B$703,2,False)</f>
        <v>gogozeppeli1890 (rconquer)</v>
      </c>
      <c r="G87" s="145">
        <v>247.0</v>
      </c>
      <c r="H87" s="93" t="s">
        <v>1523</v>
      </c>
      <c r="I87" s="141" t="str">
        <f t="array" ref="I87">XLOOKUP(CELL("contents",B87),'Swiss Registry'!$B$2:$B$703,'Swiss Registry'!$N$2:$N$703) </f>
        <v>443637291165024277</v>
      </c>
      <c r="J87" s="142" t="str">
        <f t="array" ref="J87">XLOOKUP(CELL("contents",F87),'Swiss Registry'!$B$2:$B$703,'Swiss Registry'!$N$2:$N$703) </f>
        <v>195721708504743936</v>
      </c>
    </row>
    <row r="88">
      <c r="A88" s="140">
        <v>163.0</v>
      </c>
      <c r="B88" s="125" t="str">
        <f>VLOOKUP(A88,'Swiss Registry'!$A$2:$B$703,2,False)</f>
        <v>tonii5531</v>
      </c>
      <c r="C88" s="105" t="str">
        <f t="shared" si="9"/>
        <v>Game 1</v>
      </c>
      <c r="D88" s="106" t="str">
        <f t="shared" si="10"/>
        <v>Game 2</v>
      </c>
      <c r="E88" s="107" t="str">
        <f t="shared" si="11"/>
        <v/>
      </c>
      <c r="F88" s="125" t="str">
        <f>VLOOKUP(G88,'Swiss Registry'!$A$2:$B$703,2,False)</f>
        <v>moistmania</v>
      </c>
      <c r="G88" s="145">
        <v>257.0</v>
      </c>
      <c r="H88" s="93" t="s">
        <v>2671</v>
      </c>
      <c r="I88" s="141" t="str">
        <f t="array" ref="I88">XLOOKUP(CELL("contents",B88),'Swiss Registry'!$B$2:$B$703,'Swiss Registry'!$N$2:$N$703) </f>
        <v>472908398451752991</v>
      </c>
      <c r="J88" s="142" t="str">
        <f t="array" ref="J88">XLOOKUP(CELL("contents",F88),'Swiss Registry'!$B$2:$B$703,'Swiss Registry'!$N$2:$N$703) </f>
        <v>1133736210683150467</v>
      </c>
    </row>
    <row r="89">
      <c r="A89" s="140">
        <v>466.0</v>
      </c>
      <c r="B89" s="125" t="str">
        <f>VLOOKUP(A89,'Swiss Registry'!$A$2:$B$703,2,False)</f>
        <v>wwwmonmon</v>
      </c>
      <c r="C89" s="105" t="str">
        <f t="shared" si="9"/>
        <v>Game 1</v>
      </c>
      <c r="D89" s="106" t="str">
        <f t="shared" si="10"/>
        <v>Game 2</v>
      </c>
      <c r="E89" s="110" t="str">
        <f t="shared" si="11"/>
        <v>Game 3</v>
      </c>
      <c r="F89" s="125" t="str">
        <f>VLOOKUP(G89,'Swiss Registry'!$A$2:$B$703,2,False)</f>
        <v>Alargemongoose</v>
      </c>
      <c r="G89" s="145">
        <v>226.0</v>
      </c>
      <c r="H89" s="93" t="s">
        <v>2672</v>
      </c>
      <c r="I89" s="141" t="str">
        <f t="array" ref="I89">XLOOKUP(CELL("contents",B89),'Swiss Registry'!$B$2:$B$703,'Swiss Registry'!$N$2:$N$703) </f>
        <v>579395206680412172</v>
      </c>
      <c r="J89" s="142" t="str">
        <f t="array" ref="J89">XLOOKUP(CELL("contents",F89),'Swiss Registry'!$B$2:$B$703,'Swiss Registry'!$N$2:$N$703) </f>
        <v>646736314645086228</v>
      </c>
    </row>
    <row r="90">
      <c r="A90" s="140">
        <v>284.0</v>
      </c>
      <c r="B90" s="125" t="str">
        <f>VLOOKUP(A90,'Swiss Registry'!$A$2:$B$703,2,False)</f>
        <v>jd_orph</v>
      </c>
      <c r="C90" s="105" t="str">
        <f t="shared" si="9"/>
        <v>Game 1</v>
      </c>
      <c r="D90" s="106" t="str">
        <f t="shared" si="10"/>
        <v>Game 2</v>
      </c>
      <c r="E90" s="107" t="str">
        <f t="shared" si="11"/>
        <v/>
      </c>
      <c r="F90" s="125" t="str">
        <f>VLOOKUP(G90,'Swiss Registry'!$A$2:$B$703,2,False)</f>
        <v>Tefo</v>
      </c>
      <c r="G90" s="145">
        <v>221.0</v>
      </c>
      <c r="H90" s="93" t="s">
        <v>2673</v>
      </c>
      <c r="I90" s="141" t="str">
        <f t="array" ref="I90">XLOOKUP(CELL("contents",B90),'Swiss Registry'!$B$2:$B$703,'Swiss Registry'!$N$2:$N$703) </f>
        <v>486001893655445534</v>
      </c>
      <c r="J90" s="142" t="str">
        <f t="array" ref="J90">XLOOKUP(CELL("contents",F90),'Swiss Registry'!$B$2:$B$703,'Swiss Registry'!$N$2:$N$703) </f>
        <v>398388682874159106</v>
      </c>
    </row>
    <row r="91">
      <c r="A91" s="140">
        <v>454.0</v>
      </c>
      <c r="B91" s="125" t="str">
        <f>VLOOKUP(A91,'Swiss Registry'!$A$2:$B$703,2,False)</f>
        <v>datguycactus</v>
      </c>
      <c r="C91" s="111" t="str">
        <f t="shared" si="9"/>
        <v/>
      </c>
      <c r="D91" s="112" t="str">
        <f t="shared" si="10"/>
        <v>Act: dylan69__</v>
      </c>
      <c r="E91" s="107" t="str">
        <f t="shared" si="11"/>
        <v/>
      </c>
      <c r="F91" s="125" t="str">
        <f>VLOOKUP(G91,'Swiss Registry'!$A$2:$B$703,2,False)</f>
        <v>dylan69__</v>
      </c>
      <c r="G91" s="145">
        <v>415.0</v>
      </c>
      <c r="H91" s="93" t="s">
        <v>1523</v>
      </c>
      <c r="I91" s="141" t="str">
        <f t="array" ref="I91">XLOOKUP(CELL("contents",B91),'Swiss Registry'!$B$2:$B$703,'Swiss Registry'!$N$2:$N$703) </f>
        <v>764554384594960404</v>
      </c>
      <c r="J91" s="142" t="str">
        <f t="array" ref="J91">XLOOKUP(CELL("contents",F91),'Swiss Registry'!$B$2:$B$703,'Swiss Registry'!$N$2:$N$703) </f>
        <v>475864364793069568</v>
      </c>
    </row>
    <row r="92">
      <c r="A92" s="140">
        <v>486.0</v>
      </c>
      <c r="B92" s="125" t="str">
        <f>VLOOKUP(A92,'Swiss Registry'!$A$2:$B$703,2,False)</f>
        <v>venomshoc</v>
      </c>
      <c r="C92" s="105" t="str">
        <f t="shared" si="9"/>
        <v>Game 1</v>
      </c>
      <c r="D92" s="106" t="str">
        <f t="shared" si="10"/>
        <v>Game 2</v>
      </c>
      <c r="E92" s="107" t="str">
        <f t="shared" si="11"/>
        <v/>
      </c>
      <c r="F92" s="125" t="str">
        <f>VLOOKUP(G92,'Swiss Registry'!$A$2:$B$703,2,False)</f>
        <v>Don7331</v>
      </c>
      <c r="G92" s="145">
        <v>363.0</v>
      </c>
      <c r="H92" s="93" t="s">
        <v>2674</v>
      </c>
      <c r="I92" s="141" t="str">
        <f t="array" ref="I92">XLOOKUP(CELL("contents",B92),'Swiss Registry'!$B$2:$B$703,'Swiss Registry'!$N$2:$N$703) </f>
        <v>314453127224885249</v>
      </c>
      <c r="J92" s="142" t="str">
        <f t="array" ref="J92">XLOOKUP(CELL("contents",F92),'Swiss Registry'!$B$2:$B$703,'Swiss Registry'!$N$2:$N$703) </f>
        <v>605567062794043403</v>
      </c>
    </row>
    <row r="93">
      <c r="A93" s="140">
        <v>240.0</v>
      </c>
      <c r="B93" s="125" t="str">
        <f>VLOOKUP(A93,'Swiss Registry'!$A$2:$B$703,2,False)</f>
        <v>wiilink100</v>
      </c>
      <c r="C93" s="105" t="str">
        <f t="shared" si="9"/>
        <v>Game 1</v>
      </c>
      <c r="D93" s="106" t="str">
        <f t="shared" si="10"/>
        <v>Game 2</v>
      </c>
      <c r="E93" s="107" t="str">
        <f t="shared" si="11"/>
        <v/>
      </c>
      <c r="F93" s="125" t="str">
        <f>VLOOKUP(G93,'Swiss Registry'!$A$2:$B$703,2,False)</f>
        <v>Rainer7849</v>
      </c>
      <c r="G93" s="145">
        <v>299.0</v>
      </c>
      <c r="H93" s="93" t="s">
        <v>2675</v>
      </c>
      <c r="I93" s="141" t="str">
        <f t="array" ref="I93">XLOOKUP(CELL("contents",B93),'Swiss Registry'!$B$2:$B$703,'Swiss Registry'!$N$2:$N$703) </f>
        <v>160990967980097536</v>
      </c>
      <c r="J93" s="142" t="str">
        <f t="array" ref="J93">XLOOKUP(CELL("contents",F93),'Swiss Registry'!$B$2:$B$703,'Swiss Registry'!$N$2:$N$703) </f>
        <v>452288242931335179</v>
      </c>
    </row>
    <row r="94">
      <c r="A94" s="140">
        <v>337.0</v>
      </c>
      <c r="B94" s="125" t="str">
        <f>VLOOKUP(A94,'Swiss Registry'!$A$2:$B$703,2,False)</f>
        <v>iNeedJuuce</v>
      </c>
      <c r="C94" s="105" t="str">
        <f t="shared" si="9"/>
        <v>Game 1</v>
      </c>
      <c r="D94" s="106" t="str">
        <f t="shared" si="10"/>
        <v>Game 2</v>
      </c>
      <c r="E94" s="107" t="str">
        <f t="shared" si="11"/>
        <v/>
      </c>
      <c r="F94" s="125" t="str">
        <f>VLOOKUP(G94,'Swiss Registry'!$A$2:$B$703,2,False)</f>
        <v>s_2_w</v>
      </c>
      <c r="G94" s="145">
        <v>543.0</v>
      </c>
      <c r="H94" s="93" t="s">
        <v>2676</v>
      </c>
      <c r="I94" s="141" t="str">
        <f t="array" ref="I94">XLOOKUP(CELL("contents",B94),'Swiss Registry'!$B$2:$B$703,'Swiss Registry'!$N$2:$N$703) </f>
        <v>618933361523687456</v>
      </c>
      <c r="J94" s="142" t="str">
        <f t="array" ref="J94">XLOOKUP(CELL("contents",F94),'Swiss Registry'!$B$2:$B$703,'Swiss Registry'!$N$2:$N$703) </f>
        <v>849644863661801493</v>
      </c>
    </row>
    <row r="95">
      <c r="A95" s="140">
        <v>693.0</v>
      </c>
      <c r="B95" s="125" t="str">
        <f>VLOOKUP(A95,'Swiss Registry'!$A$2:$B$703,2,False)</f>
        <v>sligoblues</v>
      </c>
      <c r="C95" s="105" t="str">
        <f t="shared" si="9"/>
        <v>Game 1</v>
      </c>
      <c r="D95" s="106" t="str">
        <f t="shared" si="10"/>
        <v>Game 2</v>
      </c>
      <c r="E95" s="107" t="str">
        <f t="shared" si="11"/>
        <v/>
      </c>
      <c r="F95" s="125" t="str">
        <f>VLOOKUP(G95,'Swiss Registry'!$A$2:$B$703,2,False)</f>
        <v>jozin457</v>
      </c>
      <c r="G95" s="145">
        <v>433.0</v>
      </c>
      <c r="H95" s="93" t="s">
        <v>2677</v>
      </c>
      <c r="I95" s="141" t="str">
        <f t="array" ref="I95">XLOOKUP(CELL("contents",B95),'Swiss Registry'!$B$2:$B$703,'Swiss Registry'!$N$2:$N$703) </f>
        <v>583755075298656300</v>
      </c>
      <c r="J95" s="142" t="str">
        <f t="array" ref="J95">XLOOKUP(CELL("contents",F95),'Swiss Registry'!$B$2:$B$703,'Swiss Registry'!$N$2:$N$703) </f>
        <v>229620219092533248</v>
      </c>
    </row>
    <row r="96">
      <c r="A96" s="140">
        <v>307.0</v>
      </c>
      <c r="B96" s="125" t="str">
        <f>VLOOKUP(A96,'Swiss Registry'!$A$2:$B$703,2,False)</f>
        <v>ghostreported</v>
      </c>
      <c r="C96" s="105" t="str">
        <f t="shared" si="9"/>
        <v>Game 1</v>
      </c>
      <c r="D96" s="106" t="str">
        <f t="shared" si="10"/>
        <v>Game 2</v>
      </c>
      <c r="E96" s="107" t="str">
        <f t="shared" si="11"/>
        <v/>
      </c>
      <c r="F96" s="125" t="str">
        <f>VLOOKUP(G96,'Swiss Registry'!$A$2:$B$703,2,False)</f>
        <v>incognidoqueen</v>
      </c>
      <c r="G96" s="145">
        <v>597.0</v>
      </c>
      <c r="H96" s="93" t="s">
        <v>2678</v>
      </c>
      <c r="I96" s="141" t="str">
        <f t="array" ref="I96">XLOOKUP(CELL("contents",B96),'Swiss Registry'!$B$2:$B$703,'Swiss Registry'!$N$2:$N$703) </f>
        <v>965685598545403924</v>
      </c>
      <c r="J96" s="142" t="str">
        <f t="array" ref="J96">XLOOKUP(CELL("contents",F96),'Swiss Registry'!$B$2:$B$703,'Swiss Registry'!$N$2:$N$703) </f>
        <v>425232168743075841</v>
      </c>
    </row>
    <row r="97">
      <c r="A97" s="140">
        <v>266.0</v>
      </c>
      <c r="B97" s="125" t="str">
        <f>VLOOKUP(A97,'Swiss Registry'!$A$2:$B$703,2,False)</f>
        <v>lemonlc</v>
      </c>
      <c r="C97" s="105" t="str">
        <f t="shared" si="9"/>
        <v>Game 1</v>
      </c>
      <c r="D97" s="106" t="str">
        <f t="shared" si="10"/>
        <v>Game 2</v>
      </c>
      <c r="E97" s="107" t="str">
        <f t="shared" si="11"/>
        <v/>
      </c>
      <c r="F97" s="125" t="str">
        <f>VLOOKUP(G97,'Swiss Registry'!$A$2:$B$703,2,False)</f>
        <v>emerald_harrold</v>
      </c>
      <c r="G97" s="145">
        <v>595.0</v>
      </c>
      <c r="H97" s="93" t="s">
        <v>2679</v>
      </c>
      <c r="I97" s="141" t="str">
        <f t="array" ref="I97">XLOOKUP(CELL("contents",B97),'Swiss Registry'!$B$2:$B$703,'Swiss Registry'!$N$2:$N$703) </f>
        <v>1137309984468766750</v>
      </c>
      <c r="J97" s="142" t="str">
        <f t="array" ref="J97">XLOOKUP(CELL("contents",F97),'Swiss Registry'!$B$2:$B$703,'Swiss Registry'!$N$2:$N$703) </f>
        <v>895687390142812161</v>
      </c>
    </row>
    <row r="98">
      <c r="A98" s="140">
        <v>513.0</v>
      </c>
      <c r="B98" s="125" t="str">
        <f>VLOOKUP(A98,'Swiss Registry'!$A$2:$B$703,2,False)</f>
        <v>stolenpaper</v>
      </c>
      <c r="C98" s="105" t="str">
        <f t="shared" si="9"/>
        <v>Game 1</v>
      </c>
      <c r="D98" s="106" t="str">
        <f t="shared" si="10"/>
        <v>Game 2</v>
      </c>
      <c r="E98" s="107" t="str">
        <f t="shared" si="11"/>
        <v/>
      </c>
      <c r="F98" s="125" t="str">
        <f>VLOOKUP(G98,'Swiss Registry'!$A$2:$B$703,2,False)</f>
        <v>blunderpolicy</v>
      </c>
      <c r="G98" s="145">
        <v>594.0</v>
      </c>
      <c r="H98" s="93" t="s">
        <v>2680</v>
      </c>
      <c r="I98" s="141" t="str">
        <f t="array" ref="I98">XLOOKUP(CELL("contents",B98),'Swiss Registry'!$B$2:$B$703,'Swiss Registry'!$N$2:$N$703) </f>
        <v>278063602005573632</v>
      </c>
      <c r="J98" s="142" t="str">
        <f t="array" ref="J98">XLOOKUP(CELL("contents",F98),'Swiss Registry'!$B$2:$B$703,'Swiss Registry'!$N$2:$N$703) </f>
        <v>306969912566611968</v>
      </c>
    </row>
    <row r="99">
      <c r="A99" s="140">
        <v>448.0</v>
      </c>
      <c r="B99" s="125" t="str">
        <f>VLOOKUP(A99,'Swiss Registry'!$A$2:$B$703,2,False)</f>
        <v>egocheck</v>
      </c>
      <c r="C99" s="105" t="str">
        <f t="shared" si="9"/>
        <v>Game 1</v>
      </c>
      <c r="D99" s="106" t="str">
        <f t="shared" si="10"/>
        <v>Game 2</v>
      </c>
      <c r="E99" s="110" t="str">
        <f t="shared" si="11"/>
        <v>Game 3</v>
      </c>
      <c r="F99" s="125" t="str">
        <f>VLOOKUP(G99,'Swiss Registry'!$A$2:$B$703,2,False)</f>
        <v>CheesiMoon</v>
      </c>
      <c r="G99" s="145">
        <v>124.0</v>
      </c>
      <c r="H99" s="93" t="s">
        <v>2681</v>
      </c>
      <c r="I99" s="141" t="str">
        <f t="array" ref="I99">XLOOKUP(CELL("contents",B99),'Swiss Registry'!$B$2:$B$703,'Swiss Registry'!$N$2:$N$703) </f>
        <v>352554361001345026</v>
      </c>
      <c r="J99" s="142" t="str">
        <f t="array" ref="J99">XLOOKUP(CELL("contents",F99),'Swiss Registry'!$B$2:$B$703,'Swiss Registry'!$N$2:$N$703) </f>
        <v>231980254887936000</v>
      </c>
    </row>
    <row r="100">
      <c r="A100" s="140">
        <v>567.0</v>
      </c>
      <c r="B100" s="125" t="str">
        <f>VLOOKUP(A100,'Swiss Registry'!$A$2:$B$703,2,False)</f>
        <v>Kenuckz</v>
      </c>
      <c r="C100" s="105" t="str">
        <f t="shared" si="9"/>
        <v>Game 1</v>
      </c>
      <c r="D100" s="106" t="str">
        <f t="shared" si="10"/>
        <v>Game 2</v>
      </c>
      <c r="E100" s="110" t="str">
        <f t="shared" si="11"/>
        <v>Game 3</v>
      </c>
      <c r="F100" s="125" t="str">
        <f>VLOOKUP(G100,'Swiss Registry'!$A$2:$B$703,2,False)</f>
        <v>.aj2.0</v>
      </c>
      <c r="G100" s="145">
        <v>451.0</v>
      </c>
      <c r="H100" s="93" t="s">
        <v>2682</v>
      </c>
      <c r="I100" s="141" t="str">
        <f t="array" ref="I100">XLOOKUP(CELL("contents",B100),'Swiss Registry'!$B$2:$B$703,'Swiss Registry'!$N$2:$N$703) </f>
        <v>152582039177134080</v>
      </c>
      <c r="J100" s="142" t="str">
        <f t="array" ref="J100">XLOOKUP(CELL("contents",F100),'Swiss Registry'!$B$2:$B$703,'Swiss Registry'!$N$2:$N$703) </f>
        <v>736549979220607107</v>
      </c>
    </row>
    <row r="101">
      <c r="A101" s="140">
        <v>669.0</v>
      </c>
      <c r="B101" s="125" t="str">
        <f>VLOOKUP(A101,'Swiss Registry'!$A$2:$B$703,2,False)</f>
        <v>Salamaster</v>
      </c>
      <c r="C101" s="105" t="str">
        <f t="shared" si="9"/>
        <v>Game 1</v>
      </c>
      <c r="D101" s="106" t="str">
        <f t="shared" si="10"/>
        <v>Game 2</v>
      </c>
      <c r="E101" s="107" t="str">
        <f t="shared" si="11"/>
        <v/>
      </c>
      <c r="F101" s="125" t="str">
        <f>VLOOKUP(G101,'Swiss Registry'!$A$2:$B$703,2,False)</f>
        <v>gorbinator.</v>
      </c>
      <c r="G101" s="145">
        <v>303.0</v>
      </c>
      <c r="H101" s="93" t="s">
        <v>2683</v>
      </c>
      <c r="I101" s="141" t="str">
        <f t="array" ref="I101">XLOOKUP(CELL("contents",B101),'Swiss Registry'!$B$2:$B$703,'Swiss Registry'!$N$2:$N$703) </f>
        <v>188476137071050752</v>
      </c>
      <c r="J101" s="142" t="str">
        <f t="array" ref="J101">XLOOKUP(CELL("contents",F101),'Swiss Registry'!$B$2:$B$703,'Swiss Registry'!$N$2:$N$703) </f>
        <v>557345709712736266</v>
      </c>
    </row>
    <row r="102">
      <c r="A102" s="140">
        <v>576.0</v>
      </c>
      <c r="B102" s="125" t="str">
        <f>VLOOKUP(A102,'Swiss Registry'!$A$2:$B$703,2,False)</f>
        <v>S.k.magnet</v>
      </c>
      <c r="C102" s="105" t="str">
        <f t="shared" si="9"/>
        <v>Game 1</v>
      </c>
      <c r="D102" s="106" t="str">
        <f t="shared" si="10"/>
        <v>Game 2</v>
      </c>
      <c r="E102" s="107" t="str">
        <f t="shared" si="11"/>
        <v/>
      </c>
      <c r="F102" s="125" t="str">
        <f>VLOOKUP(G102,'Swiss Registry'!$A$2:$B$703,2,False)</f>
        <v>gonzasaurio50</v>
      </c>
      <c r="G102" s="145">
        <v>385.0</v>
      </c>
      <c r="H102" s="93" t="s">
        <v>2684</v>
      </c>
      <c r="I102" s="141" t="str">
        <f t="array" ref="I102">XLOOKUP(CELL("contents",B102),'Swiss Registry'!$B$2:$B$703,'Swiss Registry'!$N$2:$N$703) </f>
        <v>1147160651219869766</v>
      </c>
      <c r="J102" s="142" t="str">
        <f t="array" ref="J102">XLOOKUP(CELL("contents",F102),'Swiss Registry'!$B$2:$B$703,'Swiss Registry'!$N$2:$N$703) </f>
        <v>481894982127714305</v>
      </c>
    </row>
    <row r="103">
      <c r="A103" s="140">
        <v>134.0</v>
      </c>
      <c r="B103" s="125" t="str">
        <f>VLOOKUP(A103,'Swiss Registry'!$A$2:$B$703,2,False)</f>
        <v>Svejk97</v>
      </c>
      <c r="C103" s="105" t="str">
        <f t="shared" si="9"/>
        <v>Game 1</v>
      </c>
      <c r="D103" s="106" t="str">
        <f t="shared" si="10"/>
        <v>Game 2</v>
      </c>
      <c r="E103" s="107" t="str">
        <f t="shared" si="11"/>
        <v/>
      </c>
      <c r="F103" s="125" t="str">
        <f>VLOOKUP(G103,'Swiss Registry'!$A$2:$B$703,2,False)</f>
        <v>.GeneralRevan</v>
      </c>
      <c r="G103" s="145">
        <v>238.0</v>
      </c>
      <c r="H103" s="93" t="s">
        <v>2685</v>
      </c>
      <c r="I103" s="141" t="str">
        <f t="array" ref="I103">XLOOKUP(CELL("contents",B103),'Swiss Registry'!$B$2:$B$703,'Swiss Registry'!$N$2:$N$703) </f>
        <v>1288951419465891851</v>
      </c>
      <c r="J103" s="142" t="str">
        <f t="array" ref="J103">XLOOKUP(CELL("contents",F103),'Swiss Registry'!$B$2:$B$703,'Swiss Registry'!$N$2:$N$703) </f>
        <v>306988395660443648</v>
      </c>
    </row>
    <row r="104">
      <c r="A104" s="140">
        <v>235.0</v>
      </c>
      <c r="B104" s="125" t="str">
        <f>VLOOKUP(A104,'Swiss Registry'!$A$2:$B$703,2,False)</f>
        <v>greencatkid</v>
      </c>
      <c r="C104" s="105" t="str">
        <f t="shared" si="9"/>
        <v>Game 1</v>
      </c>
      <c r="D104" s="106" t="str">
        <f t="shared" si="10"/>
        <v>Game 2</v>
      </c>
      <c r="E104" s="107" t="str">
        <f t="shared" si="11"/>
        <v/>
      </c>
      <c r="F104" s="125" t="str">
        <f>VLOOKUP(G104,'Swiss Registry'!$A$2:$B$703,2,False)</f>
        <v>thestonewallsmith</v>
      </c>
      <c r="G104" s="145">
        <v>191.0</v>
      </c>
      <c r="H104" s="93" t="s">
        <v>2686</v>
      </c>
      <c r="I104" s="141" t="str">
        <f t="array" ref="I104">XLOOKUP(CELL("contents",B104),'Swiss Registry'!$B$2:$B$703,'Swiss Registry'!$N$2:$N$703) </f>
        <v>265277015777607691</v>
      </c>
      <c r="J104" s="142" t="str">
        <f t="array" ref="J104">XLOOKUP(CELL("contents",F104),'Swiss Registry'!$B$2:$B$703,'Swiss Registry'!$N$2:$N$703) </f>
        <v>320335928155701250</v>
      </c>
    </row>
    <row r="105">
      <c r="A105" s="140">
        <v>331.0</v>
      </c>
      <c r="B105" s="125" t="str">
        <f>VLOOKUP(A105,'Swiss Registry'!$A$2:$B$703,2,False)</f>
        <v>pac_rojo</v>
      </c>
      <c r="C105" s="105" t="str">
        <f t="shared" si="9"/>
        <v>Game 1</v>
      </c>
      <c r="D105" s="106" t="str">
        <f t="shared" si="10"/>
        <v>Game 2</v>
      </c>
      <c r="E105" s="107" t="str">
        <f t="shared" si="11"/>
        <v/>
      </c>
      <c r="F105" s="125" t="str">
        <f>VLOOKUP(G105,'Swiss Registry'!$A$2:$B$703,2,False)</f>
        <v>Himura</v>
      </c>
      <c r="G105" s="145">
        <v>133.0</v>
      </c>
      <c r="H105" s="93" t="s">
        <v>2687</v>
      </c>
      <c r="I105" s="141" t="str">
        <f t="array" ref="I105">XLOOKUP(CELL("contents",B105),'Swiss Registry'!$B$2:$B$703,'Swiss Registry'!$N$2:$N$703) </f>
        <v>658992933772591105</v>
      </c>
      <c r="J105" s="142" t="str">
        <f t="array" ref="J105">XLOOKUP(CELL("contents",F105),'Swiss Registry'!$B$2:$B$703,'Swiss Registry'!$N$2:$N$703) </f>
        <v>437955382024077312</v>
      </c>
    </row>
    <row r="106">
      <c r="A106" s="140">
        <v>145.0</v>
      </c>
      <c r="B106" s="125" t="str">
        <f>VLOOKUP(A106,'Swiss Registry'!$A$2:$B$703,2,False)</f>
        <v>Stockings</v>
      </c>
      <c r="C106" s="105" t="str">
        <f t="shared" si="9"/>
        <v>Game 1</v>
      </c>
      <c r="D106" s="106" t="str">
        <f t="shared" si="10"/>
        <v>Game 2</v>
      </c>
      <c r="E106" s="110" t="str">
        <f t="shared" si="11"/>
        <v>Game 3</v>
      </c>
      <c r="F106" s="125" t="str">
        <f>VLOOKUP(G106,'Swiss Registry'!$A$2:$B$703,2,False)</f>
        <v>bohrier</v>
      </c>
      <c r="G106" s="145">
        <v>350.0</v>
      </c>
      <c r="H106" s="143" t="s">
        <v>2688</v>
      </c>
      <c r="I106" s="141" t="str">
        <f t="array" ref="I106">XLOOKUP(CELL("contents",B106),'Swiss Registry'!$B$2:$B$703,'Swiss Registry'!$N$2:$N$703) </f>
        <v>163080133283020800</v>
      </c>
      <c r="J106" s="142" t="str">
        <f t="array" ref="J106">XLOOKUP(CELL("contents",F106),'Swiss Registry'!$B$2:$B$703,'Swiss Registry'!$N$2:$N$703) </f>
        <v>713435200469860403</v>
      </c>
    </row>
    <row r="107">
      <c r="A107" s="140">
        <v>411.0</v>
      </c>
      <c r="B107" s="125" t="str">
        <f>VLOOKUP(A107,'Swiss Registry'!$A$2:$B$703,2,False)</f>
        <v>FaceOFF</v>
      </c>
      <c r="C107" s="111" t="str">
        <f t="shared" si="9"/>
        <v/>
      </c>
      <c r="D107" s="112" t="str">
        <f t="shared" si="10"/>
        <v>Act: FaceOFF</v>
      </c>
      <c r="E107" s="107" t="str">
        <f t="shared" si="11"/>
        <v/>
      </c>
      <c r="F107" s="125" t="str">
        <f>VLOOKUP(G107,'Swiss Registry'!$A$2:$B$703,2,False)</f>
        <v>anashensoul</v>
      </c>
      <c r="G107" s="145">
        <v>155.0</v>
      </c>
      <c r="H107" s="93" t="s">
        <v>1706</v>
      </c>
      <c r="I107" s="141" t="str">
        <f t="array" ref="I107">XLOOKUP(CELL("contents",B107),'Swiss Registry'!$B$2:$B$703,'Swiss Registry'!$N$2:$N$703) </f>
        <v>330062412294127616</v>
      </c>
      <c r="J107" s="142" t="str">
        <f t="array" ref="J107">XLOOKUP(CELL("contents",F107),'Swiss Registry'!$B$2:$B$703,'Swiss Registry'!$N$2:$N$703) </f>
        <v>212292910882750466</v>
      </c>
    </row>
    <row r="108">
      <c r="A108" s="140">
        <v>447.0</v>
      </c>
      <c r="B108" s="125" t="str">
        <f>VLOOKUP(A108,'Swiss Registry'!$A$2:$B$703,2,False)</f>
        <v>TRXXJEH</v>
      </c>
      <c r="C108" s="105" t="str">
        <f t="shared" si="9"/>
        <v>Game 1</v>
      </c>
      <c r="D108" s="106" t="str">
        <f t="shared" si="10"/>
        <v>Game 2</v>
      </c>
      <c r="E108" s="107" t="str">
        <f t="shared" si="11"/>
        <v/>
      </c>
      <c r="F108" s="125" t="str">
        <f>VLOOKUP(G108,'Swiss Registry'!$A$2:$B$703,2,False)</f>
        <v>choicescarf002</v>
      </c>
      <c r="G108" s="145">
        <v>504.0</v>
      </c>
      <c r="H108" s="93" t="s">
        <v>2689</v>
      </c>
      <c r="I108" s="141" t="str">
        <f t="array" ref="I108">XLOOKUP(CELL("contents",B108),'Swiss Registry'!$B$2:$B$703,'Swiss Registry'!$N$2:$N$703) </f>
        <v>911230685602275379</v>
      </c>
      <c r="J108" s="142" t="str">
        <f t="array" ref="J108">XLOOKUP(CELL("contents",F108),'Swiss Registry'!$B$2:$B$703,'Swiss Registry'!$N$2:$N$703) </f>
        <v>359154373063999490</v>
      </c>
    </row>
    <row r="109">
      <c r="A109" s="140">
        <v>237.0</v>
      </c>
      <c r="B109" s="125" t="str">
        <f>VLOOKUP(A109,'Swiss Registry'!$A$2:$B$703,2,False)</f>
        <v>heyitsmeriley</v>
      </c>
      <c r="C109" s="105" t="str">
        <f t="shared" si="9"/>
        <v>Game 1</v>
      </c>
      <c r="D109" s="106" t="str">
        <f t="shared" si="10"/>
        <v>Game 2</v>
      </c>
      <c r="E109" s="107" t="str">
        <f t="shared" si="11"/>
        <v/>
      </c>
      <c r="F109" s="125" t="str">
        <f>VLOOKUP(G109,'Swiss Registry'!$A$2:$B$703,2,False)</f>
        <v>tree69420</v>
      </c>
      <c r="G109" s="145">
        <v>177.0</v>
      </c>
      <c r="H109" s="93" t="s">
        <v>2690</v>
      </c>
      <c r="I109" s="141" t="str">
        <f t="array" ref="I109">XLOOKUP(CELL("contents",B109),'Swiss Registry'!$B$2:$B$703,'Swiss Registry'!$N$2:$N$703) </f>
        <v>271422310412451840</v>
      </c>
      <c r="J109" s="142" t="str">
        <f t="array" ref="J109">XLOOKUP(CELL("contents",F109),'Swiss Registry'!$B$2:$B$703,'Swiss Registry'!$N$2:$N$703) </f>
        <v>798958594116419604</v>
      </c>
    </row>
    <row r="110">
      <c r="A110" s="140">
        <v>343.0</v>
      </c>
      <c r="B110" s="125" t="str">
        <f>VLOOKUP(A110,'Swiss Registry'!$A$2:$B$703,2,False)</f>
        <v>Lunasran</v>
      </c>
      <c r="C110" s="105" t="str">
        <f t="shared" si="9"/>
        <v>Game 1</v>
      </c>
      <c r="D110" s="106" t="str">
        <f t="shared" si="10"/>
        <v>Game 2</v>
      </c>
      <c r="E110" s="110" t="str">
        <f t="shared" si="11"/>
        <v>Game 3</v>
      </c>
      <c r="F110" s="125" t="str">
        <f>VLOOKUP(G110,'Swiss Registry'!$A$2:$B$703,2,False)</f>
        <v>Cream314</v>
      </c>
      <c r="G110" s="145">
        <v>557.0</v>
      </c>
      <c r="H110" s="93" t="s">
        <v>2691</v>
      </c>
      <c r="I110" s="141" t="str">
        <f t="array" ref="I110">XLOOKUP(CELL("contents",B110),'Swiss Registry'!$B$2:$B$703,'Swiss Registry'!$N$2:$N$703) </f>
        <v>1088892947367481436</v>
      </c>
      <c r="J110" s="142" t="str">
        <f t="array" ref="J110">XLOOKUP(CELL("contents",F110),'Swiss Registry'!$B$2:$B$703,'Swiss Registry'!$N$2:$N$703) </f>
        <v>272909263205040140</v>
      </c>
    </row>
    <row r="111">
      <c r="A111" s="140">
        <v>680.0</v>
      </c>
      <c r="B111" s="125" t="str">
        <f>VLOOKUP(A111,'Swiss Registry'!$A$2:$B$703,2,False)</f>
        <v>jthompson9021</v>
      </c>
      <c r="C111" s="105" t="str">
        <f t="shared" si="9"/>
        <v>Game 1</v>
      </c>
      <c r="D111" s="106" t="str">
        <f t="shared" si="10"/>
        <v>Game 2</v>
      </c>
      <c r="E111" s="110" t="str">
        <f t="shared" si="11"/>
        <v>Game 3</v>
      </c>
      <c r="F111" s="125" t="str">
        <f>VLOOKUP(G111,'Swiss Registry'!$A$2:$B$703,2,False)</f>
        <v>saltocorto</v>
      </c>
      <c r="G111" s="145">
        <v>192.0</v>
      </c>
      <c r="H111" s="93" t="s">
        <v>2692</v>
      </c>
      <c r="I111" s="141" t="str">
        <f t="array" ref="I111">XLOOKUP(CELL("contents",B111),'Swiss Registry'!$B$2:$B$703,'Swiss Registry'!$N$2:$N$703) </f>
        <v>198634963766214656</v>
      </c>
      <c r="J111" s="142" t="str">
        <f t="array" ref="J111">XLOOKUP(CELL("contents",F111),'Swiss Registry'!$B$2:$B$703,'Swiss Registry'!$N$2:$N$703) </f>
        <v>443892793593692170</v>
      </c>
    </row>
    <row r="112">
      <c r="A112" s="140">
        <v>701.0</v>
      </c>
      <c r="B112" s="125" t="str">
        <f>VLOOKUP(A112,'Swiss Registry'!$A$2:$B$703,2,False)</f>
        <v>jaden_17522</v>
      </c>
      <c r="C112" s="105" t="str">
        <f t="shared" si="9"/>
        <v>Game 1</v>
      </c>
      <c r="D112" s="106" t="str">
        <f t="shared" si="10"/>
        <v>Game 2</v>
      </c>
      <c r="E112" s="107" t="str">
        <f t="shared" si="11"/>
        <v/>
      </c>
      <c r="F112" s="125" t="str">
        <f>VLOOKUP(G112,'Swiss Registry'!$A$2:$B$703,2,False)</f>
        <v>Colby2D</v>
      </c>
      <c r="G112" s="145">
        <v>476.0</v>
      </c>
      <c r="H112" s="93" t="s">
        <v>2693</v>
      </c>
      <c r="I112" s="141" t="str">
        <f t="array" ref="I112">XLOOKUP(CELL("contents",B112),'Swiss Registry'!$B$2:$B$703,'Swiss Registry'!$N$2:$N$703) </f>
        <v>1215851373057413160</v>
      </c>
      <c r="J112" s="142" t="str">
        <f t="array" ref="J112">XLOOKUP(CELL("contents",F112),'Swiss Registry'!$B$2:$B$703,'Swiss Registry'!$N$2:$N$703) </f>
        <v>255541617597874176</v>
      </c>
    </row>
    <row r="113">
      <c r="A113" s="140">
        <v>245.0</v>
      </c>
      <c r="B113" s="125" t="str">
        <f>VLOOKUP(A113,'Swiss Registry'!$A$2:$B$703,2,False)</f>
        <v>durmain (slamonBbq)</v>
      </c>
      <c r="C113" s="105" t="str">
        <f t="shared" si="9"/>
        <v>Game 1</v>
      </c>
      <c r="D113" s="106" t="str">
        <f t="shared" si="10"/>
        <v>Game 2</v>
      </c>
      <c r="E113" s="107" t="str">
        <f t="shared" si="11"/>
        <v/>
      </c>
      <c r="F113" s="125" t="str">
        <f>VLOOKUP(G113,'Swiss Registry'!$A$2:$B$703,2,False)</f>
        <v>cocoo7538</v>
      </c>
      <c r="G113" s="145">
        <v>103.0</v>
      </c>
      <c r="H113" s="93" t="s">
        <v>2694</v>
      </c>
      <c r="I113" s="141" t="str">
        <f t="array" ref="I113">XLOOKUP(CELL("contents",B113),'Swiss Registry'!$B$2:$B$703,'Swiss Registry'!$N$2:$N$703) </f>
        <v>166049321983279104</v>
      </c>
      <c r="J113" s="142" t="str">
        <f t="array" ref="J113">XLOOKUP(CELL("contents",F113),'Swiss Registry'!$B$2:$B$703,'Swiss Registry'!$N$2:$N$703) </f>
        <v>690750151727251466</v>
      </c>
    </row>
    <row r="114">
      <c r="A114" s="140">
        <v>588.0</v>
      </c>
      <c r="B114" s="125" t="str">
        <f>VLOOKUP(A114,'Swiss Registry'!$A$2:$B$703,2,False)</f>
        <v>witgiz</v>
      </c>
      <c r="C114" s="105" t="str">
        <f t="shared" si="9"/>
        <v>Game 1</v>
      </c>
      <c r="D114" s="106" t="str">
        <f t="shared" si="10"/>
        <v>Game 2</v>
      </c>
      <c r="E114" s="107" t="str">
        <f t="shared" si="11"/>
        <v/>
      </c>
      <c r="F114" s="125" t="str">
        <f>VLOOKUP(G114,'Swiss Registry'!$A$2:$B$703,2,False)</f>
        <v>elmagneto</v>
      </c>
      <c r="G114" s="145">
        <v>635.0</v>
      </c>
      <c r="H114" s="93" t="s">
        <v>2695</v>
      </c>
      <c r="I114" s="141" t="str">
        <f t="array" ref="I114">XLOOKUP(CELL("contents",B114),'Swiss Registry'!$B$2:$B$703,'Swiss Registry'!$N$2:$N$703) </f>
        <v>745414414429192303</v>
      </c>
      <c r="J114" s="142" t="str">
        <f t="array" ref="J114">XLOOKUP(CELL("contents",F114),'Swiss Registry'!$B$2:$B$703,'Swiss Registry'!$N$2:$N$703) </f>
        <v>381169925601099779</v>
      </c>
    </row>
    <row r="115">
      <c r="A115" s="140">
        <v>361.0</v>
      </c>
      <c r="B115" s="125" t="str">
        <f>VLOOKUP(A115,'Swiss Registry'!$A$2:$B$703,2,False)</f>
        <v>Guebor</v>
      </c>
      <c r="C115" s="111" t="str">
        <f t="shared" si="9"/>
        <v/>
      </c>
      <c r="D115" s="112" t="str">
        <f t="shared" si="10"/>
        <v>Act: Guebor</v>
      </c>
      <c r="E115" s="107" t="str">
        <f t="shared" si="11"/>
        <v/>
      </c>
      <c r="F115" s="125" t="str">
        <f>VLOOKUP(G115,'Swiss Registry'!$A$2:$B$703,2,False)</f>
        <v>SUB 2</v>
      </c>
      <c r="G115" s="145">
        <v>119.0</v>
      </c>
      <c r="H115" s="93" t="s">
        <v>1486</v>
      </c>
      <c r="I115" s="141" t="str">
        <f t="array" ref="I115">XLOOKUP(CELL("contents",B115),'Swiss Registry'!$B$2:$B$703,'Swiss Registry'!$N$2:$N$703) </f>
        <v>172722236384477184</v>
      </c>
      <c r="J115" s="147" t="str">
        <f t="array" ref="J115">XLOOKUP(CELL("contents",F115),'Swiss Registry'!$B$2:$B$703,'Swiss Registry'!$N$2:$N$703) </f>
        <v>SUB</v>
      </c>
    </row>
    <row r="116">
      <c r="A116" s="140">
        <v>2.0</v>
      </c>
      <c r="B116" s="125" t="str">
        <f>VLOOKUP(A116,'Swiss Registry'!$A$2:$B$703,2,False)</f>
        <v>Altina</v>
      </c>
      <c r="C116" s="111" t="str">
        <f t="shared" si="9"/>
        <v/>
      </c>
      <c r="D116" s="112" t="str">
        <f t="shared" si="10"/>
        <v>Act: jeem16</v>
      </c>
      <c r="E116" s="107" t="str">
        <f t="shared" si="11"/>
        <v/>
      </c>
      <c r="F116" s="125" t="str">
        <f>VLOOKUP(G116,'Swiss Registry'!$A$2:$B$703,2,False)</f>
        <v>jeem16</v>
      </c>
      <c r="G116" s="145">
        <v>304.0</v>
      </c>
      <c r="H116" s="93" t="s">
        <v>1523</v>
      </c>
      <c r="I116" s="141" t="str">
        <f t="array" ref="I116">XLOOKUP(CELL("contents",B116),'Swiss Registry'!$B$2:$B$703,'Swiss Registry'!$N$2:$N$703) </f>
        <v>195417421459226626</v>
      </c>
      <c r="J116" s="142" t="str">
        <f t="array" ref="J116">XLOOKUP(CELL("contents",F116),'Swiss Registry'!$B$2:$B$703,'Swiss Registry'!$N$2:$N$703) </f>
        <v>137996807513964544</v>
      </c>
    </row>
    <row r="117">
      <c r="A117" s="140">
        <v>8.0</v>
      </c>
      <c r="B117" s="125" t="str">
        <f>VLOOKUP(A117,'Swiss Registry'!$A$2:$B$703,2,False)</f>
        <v>Leo</v>
      </c>
      <c r="C117" s="111" t="str">
        <f t="shared" si="9"/>
        <v/>
      </c>
      <c r="D117" s="112" t="str">
        <f t="shared" si="10"/>
        <v>Act: lucyisafish</v>
      </c>
      <c r="E117" s="107" t="str">
        <f t="shared" si="11"/>
        <v/>
      </c>
      <c r="F117" s="125" t="str">
        <f>VLOOKUP(G117,'Swiss Registry'!$A$2:$B$703,2,False)</f>
        <v>lucyisafish</v>
      </c>
      <c r="G117" s="145">
        <v>268.0</v>
      </c>
      <c r="H117" s="93" t="s">
        <v>1523</v>
      </c>
      <c r="I117" s="141" t="str">
        <f t="array" ref="I117">XLOOKUP(CELL("contents",B117),'Swiss Registry'!$B$2:$B$703,'Swiss Registry'!$N$2:$N$703) </f>
        <v>221637804185223170</v>
      </c>
      <c r="J117" s="142" t="str">
        <f t="array" ref="J117">XLOOKUP(CELL("contents",F117),'Swiss Registry'!$B$2:$B$703,'Swiss Registry'!$N$2:$N$703) </f>
        <v>930202977854193705</v>
      </c>
    </row>
    <row r="118">
      <c r="A118" s="140">
        <v>17.0</v>
      </c>
      <c r="B118" s="125" t="str">
        <f>VLOOKUP(A118,'Swiss Registry'!$A$2:$B$703,2,False)</f>
        <v>Tyros</v>
      </c>
      <c r="C118" s="105" t="str">
        <f t="shared" si="9"/>
        <v>Game 1</v>
      </c>
      <c r="D118" s="106" t="str">
        <f t="shared" si="10"/>
        <v>Game 2</v>
      </c>
      <c r="E118" s="110" t="str">
        <f t="shared" si="11"/>
        <v>Game 3</v>
      </c>
      <c r="F118" s="125" t="str">
        <f>VLOOKUP(G118,'Swiss Registry'!$A$2:$B$703,2,False)</f>
        <v>Stuckkkk</v>
      </c>
      <c r="G118" s="145">
        <v>648.0</v>
      </c>
      <c r="H118" s="93" t="s">
        <v>2696</v>
      </c>
      <c r="I118" s="141" t="str">
        <f t="array" ref="I118">XLOOKUP(CELL("contents",B118),'Swiss Registry'!$B$2:$B$703,'Swiss Registry'!$N$2:$N$703) </f>
        <v>417524121719799819</v>
      </c>
      <c r="J118" s="142" t="str">
        <f t="array" ref="J118">XLOOKUP(CELL("contents",F118),'Swiss Registry'!$B$2:$B$703,'Swiss Registry'!$N$2:$N$703) </f>
        <v>321430793153019924</v>
      </c>
    </row>
    <row r="119">
      <c r="A119" s="140">
        <v>23.0</v>
      </c>
      <c r="B119" s="125" t="str">
        <f>VLOOKUP(A119,'Swiss Registry'!$A$2:$B$703,2,False)</f>
        <v>udm31</v>
      </c>
      <c r="C119" s="105" t="str">
        <f t="shared" si="9"/>
        <v>Game 1</v>
      </c>
      <c r="D119" s="106" t="str">
        <f t="shared" si="10"/>
        <v>Game 2</v>
      </c>
      <c r="E119" s="107" t="str">
        <f t="shared" si="11"/>
        <v/>
      </c>
      <c r="F119" s="125" t="str">
        <f>VLOOKUP(G119,'Swiss Registry'!$A$2:$B$703,2,False)</f>
        <v>shadowinger</v>
      </c>
      <c r="G119" s="145">
        <v>151.0</v>
      </c>
      <c r="H119" s="93" t="s">
        <v>2697</v>
      </c>
      <c r="I119" s="141" t="str">
        <f t="array" ref="I119">XLOOKUP(CELL("contents",B119),'Swiss Registry'!$B$2:$B$703,'Swiss Registry'!$N$2:$N$703) </f>
        <v>892364236523708427</v>
      </c>
      <c r="J119" s="142" t="str">
        <f t="array" ref="J119">XLOOKUP(CELL("contents",F119),'Swiss Registry'!$B$2:$B$703,'Swiss Registry'!$N$2:$N$703) </f>
        <v>417742328602820608</v>
      </c>
    </row>
    <row r="120">
      <c r="A120" s="140">
        <v>249.0</v>
      </c>
      <c r="B120" s="125" t="str">
        <f>VLOOKUP(A120,'Swiss Registry'!$A$2:$B$703,2,False)</f>
        <v>gambling.goddess</v>
      </c>
      <c r="C120" s="111" t="str">
        <f t="shared" si="9"/>
        <v/>
      </c>
      <c r="D120" s="112" t="str">
        <f t="shared" si="10"/>
        <v>Act: gambling.goddess</v>
      </c>
      <c r="E120" s="107" t="str">
        <f t="shared" si="11"/>
        <v/>
      </c>
      <c r="F120" s="125" t="str">
        <f>VLOOKUP(G120,'Swiss Registry'!$A$2:$B$703,2,False)</f>
        <v>Spfunkm</v>
      </c>
      <c r="G120" s="145">
        <v>31.0</v>
      </c>
      <c r="H120" s="93" t="s">
        <v>1486</v>
      </c>
      <c r="I120" s="141" t="str">
        <f t="array" ref="I120">XLOOKUP(CELL("contents",B120),'Swiss Registry'!$B$2:$B$703,'Swiss Registry'!$N$2:$N$703) </f>
        <v>1254224283958378530</v>
      </c>
      <c r="J120" s="142" t="str">
        <f t="array" ref="J120">XLOOKUP(CELL("contents",F120),'Swiss Registry'!$B$2:$B$703,'Swiss Registry'!$N$2:$N$703) </f>
        <v>SUB</v>
      </c>
    </row>
    <row r="121">
      <c r="A121" s="140">
        <v>638.0</v>
      </c>
      <c r="B121" s="148" t="str">
        <f>VLOOKUP(A121,'Swiss Registry'!$A$2:$B$703,2,False)</f>
        <v>the_app</v>
      </c>
      <c r="C121" s="111" t="str">
        <f t="shared" si="9"/>
        <v/>
      </c>
      <c r="D121" s="112" t="str">
        <f t="shared" si="10"/>
        <v>Act: the_app</v>
      </c>
      <c r="E121" s="107" t="str">
        <f t="shared" si="11"/>
        <v/>
      </c>
      <c r="F121" s="125" t="str">
        <f>VLOOKUP(G121,'Swiss Registry'!$A$2:$B$703,2,False)</f>
        <v>W_R</v>
      </c>
      <c r="G121" s="145">
        <v>33.0</v>
      </c>
      <c r="H121" s="93" t="s">
        <v>1486</v>
      </c>
      <c r="I121" s="141" t="str">
        <f t="array" ref="I121">XLOOKUP(CELL("contents",B121),'Swiss Registry'!$B$2:$B$703,'Swiss Registry'!$N$2:$N$703) </f>
        <v>289874645539094529</v>
      </c>
      <c r="J121" s="142" t="str">
        <f t="array" ref="J121">XLOOKUP(CELL("contents",F121),'Swiss Registry'!$B$2:$B$703,'Swiss Registry'!$N$2:$N$703) </f>
        <v>SUB</v>
      </c>
    </row>
    <row r="122">
      <c r="A122" s="140">
        <v>37.0</v>
      </c>
      <c r="B122" s="125" t="str">
        <f>VLOOKUP(A122,'Swiss Registry'!$A$2:$B$703,2,False)</f>
        <v>Zerkas</v>
      </c>
      <c r="C122" s="105" t="str">
        <f t="shared" si="9"/>
        <v>Game 1</v>
      </c>
      <c r="D122" s="106" t="str">
        <f>IF(H122="dead","Dead Game",IF(H122="a:act","Act: "&amp;F122,IF(H122="b:act","Act: "&amp;#REF!,IF(ISURL(HYPERLINK(INDIRECT("Importer!B"&amp;MID(H122,6,4)+1,TRUE))),HYPERLINK(INDIRECT("Importer!B"&amp;MID(H122,6,4)+1,TRUE), "Game 2"),""))))</f>
        <v>Game 2</v>
      </c>
      <c r="E122" s="107" t="str">
        <f t="shared" si="11"/>
        <v/>
      </c>
      <c r="F122" s="125" t="str">
        <f>VLOOKUP(G122,'Swiss Registry'!$A$2:$B$703,2,False)</f>
        <v>ilikeeatingcrayons</v>
      </c>
      <c r="G122" s="145">
        <v>182.0</v>
      </c>
      <c r="H122" s="93" t="s">
        <v>2698</v>
      </c>
      <c r="I122" s="141" t="str">
        <f t="array" ref="I122">XLOOKUP(CELL("contents",B122),'Swiss Registry'!$B$2:$B$703,'Swiss Registry'!$N$2:$N$703) </f>
        <v>832336642315518002</v>
      </c>
      <c r="J122" s="142" t="str">
        <f t="array" ref="J122">XLOOKUP(CELL("contents",F122),'Swiss Registry'!$B$2:$B$703,'Swiss Registry'!$N$2:$N$703) </f>
        <v>538490956991692811</v>
      </c>
    </row>
    <row r="123">
      <c r="A123" s="140">
        <v>40.0</v>
      </c>
      <c r="B123" s="125" t="str">
        <f>VLOOKUP(A123,'Swiss Registry'!$A$2:$B$703,2,False)</f>
        <v>goldmason</v>
      </c>
      <c r="C123" s="111" t="str">
        <f t="shared" si="9"/>
        <v/>
      </c>
      <c r="D123" s="112" t="str">
        <f t="shared" ref="D123:D125" si="12">IF(H123="dead","Dead Game",IF(H123="a:act","Act: "&amp;B123,IF(H123="b:act","Act: "&amp;F123,IF(ISURL(HYPERLINK(INDIRECT("Importer!B"&amp;MID(H123,6,4)+1,TRUE))),HYPERLINK(INDIRECT("Importer!B"&amp;MID(H123,6,4)+1,TRUE), "Game 2"),""))))</f>
        <v>Act: biff_the_banana</v>
      </c>
      <c r="E123" s="107" t="str">
        <f t="shared" si="11"/>
        <v/>
      </c>
      <c r="F123" s="125" t="str">
        <f>VLOOKUP(G123,'Swiss Registry'!$A$2:$B$703,2,False)</f>
        <v>biff_the_banana</v>
      </c>
      <c r="G123" s="145">
        <v>409.0</v>
      </c>
      <c r="H123" s="93" t="s">
        <v>1714</v>
      </c>
      <c r="I123" s="141" t="str">
        <f t="array" ref="I123">XLOOKUP(CELL("contents",B123),'Swiss Registry'!$B$2:$B$703,'Swiss Registry'!$N$2:$N$703) </f>
        <v>140308490609623041</v>
      </c>
      <c r="J123" s="142" t="str">
        <f t="array" ref="J123">XLOOKUP(CELL("contents",F123),'Swiss Registry'!$B$2:$B$703,'Swiss Registry'!$N$2:$N$703) </f>
        <v>254196036694704129</v>
      </c>
    </row>
    <row r="124">
      <c r="A124" s="140">
        <v>52.0</v>
      </c>
      <c r="B124" s="125" t="str">
        <f>VLOOKUP(A124,'Swiss Registry'!$A$2:$B$703,2,False)</f>
        <v>OOZ</v>
      </c>
      <c r="C124" s="105" t="str">
        <f t="shared" si="9"/>
        <v>Game 1</v>
      </c>
      <c r="D124" s="106" t="str">
        <f t="shared" si="12"/>
        <v>Game 2</v>
      </c>
      <c r="E124" s="107" t="str">
        <f t="shared" si="11"/>
        <v/>
      </c>
      <c r="F124" s="125" t="str">
        <f>VLOOKUP(G124,'Swiss Registry'!$A$2:$B$703,2,False)</f>
        <v>tavi_tavi</v>
      </c>
      <c r="G124" s="145">
        <v>251.0</v>
      </c>
      <c r="H124" s="93" t="s">
        <v>2699</v>
      </c>
      <c r="I124" s="141" t="str">
        <f t="array" ref="I124">XLOOKUP(CELL("contents",B124),'Swiss Registry'!$B$2:$B$703,'Swiss Registry'!$N$2:$N$703) </f>
        <v>163395445421244418</v>
      </c>
      <c r="J124" s="142" t="str">
        <f t="array" ref="J124">XLOOKUP(CELL("contents",F124),'Swiss Registry'!$B$2:$B$703,'Swiss Registry'!$N$2:$N$703) </f>
        <v>332692132143824896</v>
      </c>
    </row>
    <row r="125">
      <c r="A125" s="140">
        <v>66.0</v>
      </c>
      <c r="B125" s="125" t="str">
        <f>VLOOKUP(A125,'Swiss Registry'!$A$2:$B$703,2,False)</f>
        <v>Mackenzie</v>
      </c>
      <c r="C125" s="105" t="str">
        <f t="shared" si="9"/>
        <v>Game 1</v>
      </c>
      <c r="D125" s="106" t="str">
        <f t="shared" si="12"/>
        <v>Game 2</v>
      </c>
      <c r="E125" s="110" t="str">
        <f t="shared" si="11"/>
        <v>Game 3</v>
      </c>
      <c r="F125" s="125" t="str">
        <f>VLOOKUP(G125,'Swiss Registry'!$A$2:$B$703,2,False)</f>
        <v>isaiahterveen</v>
      </c>
      <c r="G125" s="145">
        <v>461.0</v>
      </c>
      <c r="H125" s="93" t="s">
        <v>2700</v>
      </c>
      <c r="I125" s="141" t="str">
        <f t="array" ref="I125">XLOOKUP(CELL("contents",B125),'Swiss Registry'!$B$2:$B$703,'Swiss Registry'!$N$2:$N$703) </f>
        <v>173519000842534913</v>
      </c>
      <c r="J125" s="142" t="str">
        <f t="array" ref="J125">XLOOKUP(CELL("contents",F125),'Swiss Registry'!$B$2:$B$703,'Swiss Registry'!$N$2:$N$703) </f>
        <v>753283686446661742</v>
      </c>
    </row>
    <row r="126" ht="15.0" customHeight="1">
      <c r="A126" s="122"/>
      <c r="B126" s="122"/>
      <c r="C126" s="123"/>
      <c r="D126" s="138" t="s">
        <v>2701</v>
      </c>
      <c r="E126" s="123"/>
      <c r="F126" s="122"/>
      <c r="G126" s="146"/>
      <c r="H126" s="93"/>
      <c r="I126" s="139"/>
      <c r="J126" s="139"/>
    </row>
    <row r="127">
      <c r="A127" s="140">
        <v>71.0</v>
      </c>
      <c r="B127" s="125" t="str">
        <f>VLOOKUP(A127,'Swiss Registry'!$A$2:$B$703,2,False)</f>
        <v>Sanke Carp</v>
      </c>
      <c r="C127" s="105" t="str">
        <f t="shared" ref="C127:C165" si="13">IF(H127="dead","",IF(H127="a:act","",IF(H127="b:act","",IF(ISURL(HYPERLINK(INDIRECT("Importer!B"&amp;MID(H127,2,4)+1,TRUE))),HYPERLINK(INDIRECT("Importer!B"&amp;MID(H127,2,4)+1,TRUE), "Game 1"),""))))</f>
        <v>Game 1</v>
      </c>
      <c r="D127" s="106" t="str">
        <f t="shared" ref="D127:D161" si="14">IF(H127="dead","Dead Game",IF(H127="a:act","Act: "&amp;B127,IF(H127="b:act","Act: "&amp;F127,IF(ISURL(HYPERLINK(INDIRECT("Importer!B"&amp;MID(H127,6,4)+1,TRUE))),HYPERLINK(INDIRECT("Importer!B"&amp;MID(H127,6,4)+1,TRUE), "Game 2"),""))))</f>
        <v>Game 2</v>
      </c>
      <c r="E127" s="107" t="str">
        <f t="shared" ref="E127:E165" si="15">IF(H127="dead","",IF(H127="a:act","",IF(H127="b:act","",IF(ISURL(HYPERLINK(INDIRECT("Importer!B"&amp;MID(H127,10,4)+1,TRUE))),HYPERLINK(INDIRECT("Importer!B"&amp;MID(H127,10,4)+1,TRUE), "Game 3"),""))))</f>
        <v/>
      </c>
      <c r="F127" s="125" t="str">
        <f>VLOOKUP(G127,'Swiss Registry'!$A$2:$B$703,2,False)</f>
        <v>steffmoney</v>
      </c>
      <c r="G127" s="145">
        <v>196.0</v>
      </c>
      <c r="H127" s="93" t="s">
        <v>2702</v>
      </c>
      <c r="I127" s="141" t="str">
        <f t="array" ref="I127">XLOOKUP(CELL("contents",B127),'Swiss Registry'!$B$2:$B$703,'Swiss Registry'!$N$2:$N$703) </f>
        <v>191955347160825856</v>
      </c>
      <c r="J127" s="142" t="str">
        <f t="array" ref="J127">XLOOKUP(CELL("contents",F127),'Swiss Registry'!$B$2:$B$703,'Swiss Registry'!$N$2:$N$703) </f>
        <v>311143163060289537</v>
      </c>
    </row>
    <row r="128">
      <c r="A128" s="140">
        <v>72.0</v>
      </c>
      <c r="B128" s="125" t="str">
        <f>VLOOKUP(A128,'Swiss Registry'!$A$2:$B$703,2,False)</f>
        <v>Roy Yamaha</v>
      </c>
      <c r="C128" s="105" t="str">
        <f t="shared" si="13"/>
        <v>Game 1</v>
      </c>
      <c r="D128" s="106" t="str">
        <f t="shared" si="14"/>
        <v>Game 2</v>
      </c>
      <c r="E128" s="110" t="str">
        <f t="shared" si="15"/>
        <v>Game 3</v>
      </c>
      <c r="F128" s="125" t="str">
        <f>VLOOKUP(G128,'Swiss Registry'!$A$2:$B$703,2,False)</f>
        <v>Mulikki123</v>
      </c>
      <c r="G128" s="145">
        <v>523.0</v>
      </c>
      <c r="H128" s="93" t="s">
        <v>2703</v>
      </c>
      <c r="I128" s="141" t="str">
        <f t="array" ref="I128">XLOOKUP(CELL("contents",B128),'Swiss Registry'!$B$2:$B$703,'Swiss Registry'!$N$2:$N$703) </f>
        <v>973581296846663711</v>
      </c>
      <c r="J128" s="142" t="str">
        <f t="array" ref="J128">XLOOKUP(CELL("contents",F128),'Swiss Registry'!$B$2:$B$703,'Swiss Registry'!$N$2:$N$703) </f>
        <v>408945189940494339</v>
      </c>
    </row>
    <row r="129">
      <c r="A129" s="140">
        <v>79.0</v>
      </c>
      <c r="B129" s="125" t="str">
        <f>VLOOKUP(A129,'Swiss Registry'!$A$2:$B$703,2,False)</f>
        <v>Buzzed</v>
      </c>
      <c r="C129" s="105" t="str">
        <f t="shared" si="13"/>
        <v>Game 1</v>
      </c>
      <c r="D129" s="106" t="str">
        <f t="shared" si="14"/>
        <v>Game 2</v>
      </c>
      <c r="E129" s="107" t="str">
        <f t="shared" si="15"/>
        <v/>
      </c>
      <c r="F129" s="125" t="str">
        <f>VLOOKUP(G129,'Swiss Registry'!$A$2:$B$703,2,False)</f>
        <v>Goodnightloulou</v>
      </c>
      <c r="G129" s="145">
        <v>561.0</v>
      </c>
      <c r="H129" s="93" t="s">
        <v>2704</v>
      </c>
      <c r="I129" s="141" t="str">
        <f t="array" ref="I129">XLOOKUP(CELL("contents",B129),'Swiss Registry'!$B$2:$B$703,'Swiss Registry'!$N$2:$N$703) </f>
        <v>103393211443085312</v>
      </c>
      <c r="J129" s="142" t="str">
        <f t="array" ref="J129">XLOOKUP(CELL("contents",F129),'Swiss Registry'!$B$2:$B$703,'Swiss Registry'!$N$2:$N$703) </f>
        <v>1003852969177006150</v>
      </c>
    </row>
    <row r="130">
      <c r="A130" s="140">
        <v>87.0</v>
      </c>
      <c r="B130" s="125" t="str">
        <f>VLOOKUP(A130,'Swiss Registry'!$A$2:$B$703,2,False)</f>
        <v>Zcarlett</v>
      </c>
      <c r="C130" s="105" t="str">
        <f t="shared" si="13"/>
        <v>Game 1</v>
      </c>
      <c r="D130" s="106" t="str">
        <f t="shared" si="14"/>
        <v>Game 2</v>
      </c>
      <c r="E130" s="107" t="str">
        <f t="shared" si="15"/>
        <v/>
      </c>
      <c r="F130" s="125" t="str">
        <f>VLOOKUP(G130,'Swiss Registry'!$A$2:$B$703,2,False)</f>
        <v>Witchgender</v>
      </c>
      <c r="G130" s="145">
        <v>323.0</v>
      </c>
      <c r="H130" s="93" t="s">
        <v>2705</v>
      </c>
      <c r="I130" s="141" t="str">
        <f t="array" ref="I130">XLOOKUP(CELL("contents",B130),'Swiss Registry'!$B$2:$B$703,'Swiss Registry'!$N$2:$N$703) </f>
        <v>513029374392533043</v>
      </c>
      <c r="J130" s="142" t="str">
        <f t="array" ref="J130">XLOOKUP(CELL("contents",F130),'Swiss Registry'!$B$2:$B$703,'Swiss Registry'!$N$2:$N$703) </f>
        <v>398504218102857728</v>
      </c>
    </row>
    <row r="131">
      <c r="A131" s="140">
        <v>89.0</v>
      </c>
      <c r="B131" s="125" t="str">
        <f>VLOOKUP(A131,'Swiss Registry'!$A$2:$B$703,2,False)</f>
        <v>Alecss</v>
      </c>
      <c r="C131" s="105" t="str">
        <f t="shared" si="13"/>
        <v>Game 1</v>
      </c>
      <c r="D131" s="106" t="str">
        <f t="shared" si="14"/>
        <v>Game 2</v>
      </c>
      <c r="E131" s="110" t="str">
        <f t="shared" si="15"/>
        <v>Game 3</v>
      </c>
      <c r="F131" s="125" t="str">
        <f>VLOOKUP(G131,'Swiss Registry'!$A$2:$B$703,2,False)</f>
        <v>swaggy001066</v>
      </c>
      <c r="G131" s="145">
        <v>132.0</v>
      </c>
      <c r="H131" s="93" t="s">
        <v>2706</v>
      </c>
      <c r="I131" s="141" t="str">
        <f t="array" ref="I131">XLOOKUP(CELL("contents",B131),'Swiss Registry'!$B$2:$B$703,'Swiss Registry'!$N$2:$N$703) </f>
        <v>1066130063470374962</v>
      </c>
      <c r="J131" s="142" t="str">
        <f t="array" ref="J131">XLOOKUP(CELL("contents",F131),'Swiss Registry'!$B$2:$B$703,'Swiss Registry'!$N$2:$N$703) </f>
        <v>1003019485395042344</v>
      </c>
    </row>
    <row r="132">
      <c r="A132" s="140">
        <v>92.0</v>
      </c>
      <c r="B132" s="125" t="str">
        <f>VLOOKUP(A132,'Swiss Registry'!$A$2:$B$703,2,False)</f>
        <v>Cryolite</v>
      </c>
      <c r="C132" s="105" t="str">
        <f t="shared" si="13"/>
        <v>Game 1</v>
      </c>
      <c r="D132" s="106" t="str">
        <f t="shared" si="14"/>
        <v>Game 2</v>
      </c>
      <c r="E132" s="110" t="str">
        <f t="shared" si="15"/>
        <v>Game 3</v>
      </c>
      <c r="F132" s="125" t="str">
        <f>VLOOKUP(G132,'Swiss Registry'!$A$2:$B$703,2,False)</f>
        <v>scootymcbooty123</v>
      </c>
      <c r="G132" s="145">
        <v>535.0</v>
      </c>
      <c r="H132" s="93" t="s">
        <v>2707</v>
      </c>
      <c r="I132" s="141" t="str">
        <f t="array" ref="I132">XLOOKUP(CELL("contents",B132),'Swiss Registry'!$B$2:$B$703,'Swiss Registry'!$N$2:$N$703) </f>
        <v>413599141537513473</v>
      </c>
      <c r="J132" s="142" t="str">
        <f t="array" ref="J132">XLOOKUP(CELL("contents",F132),'Swiss Registry'!$B$2:$B$703,'Swiss Registry'!$N$2:$N$703) </f>
        <v>1016157273816584242</v>
      </c>
    </row>
    <row r="133">
      <c r="A133" s="140">
        <v>96.0</v>
      </c>
      <c r="B133" s="125" t="str">
        <f>VLOOKUP(A133,'Swiss Registry'!$A$2:$B$703,2,False)</f>
        <v>Hinkage</v>
      </c>
      <c r="C133" s="105" t="str">
        <f t="shared" si="13"/>
        <v>Game 1</v>
      </c>
      <c r="D133" s="106" t="str">
        <f t="shared" si="14"/>
        <v>Game 2</v>
      </c>
      <c r="E133" s="110" t="str">
        <f t="shared" si="15"/>
        <v>Game 3</v>
      </c>
      <c r="F133" s="125" t="str">
        <f>VLOOKUP(G133,'Swiss Registry'!$A$2:$B$703,2,False)</f>
        <v>GSC_Lover_Boy</v>
      </c>
      <c r="G133" s="145">
        <v>497.0</v>
      </c>
      <c r="H133" s="93" t="s">
        <v>2708</v>
      </c>
      <c r="I133" s="141" t="str">
        <f t="array" ref="I133">XLOOKUP(CELL("contents",B133),'Swiss Registry'!$B$2:$B$703,'Swiss Registry'!$N$2:$N$703) </f>
        <v>252639778036645908</v>
      </c>
      <c r="J133" s="142" t="str">
        <f t="array" ref="J133">XLOOKUP(CELL("contents",F133),'Swiss Registry'!$B$2:$B$703,'Swiss Registry'!$N$2:$N$703) </f>
        <v>1287881690001440810</v>
      </c>
    </row>
    <row r="134">
      <c r="A134" s="140">
        <v>364.0</v>
      </c>
      <c r="B134" s="125" t="str">
        <f>VLOOKUP(A134,'Swiss Registry'!$A$2:$B$703,2,False)</f>
        <v>Psychokinetic4</v>
      </c>
      <c r="C134" s="105" t="str">
        <f t="shared" si="13"/>
        <v>Game 1</v>
      </c>
      <c r="D134" s="106" t="str">
        <f t="shared" si="14"/>
        <v>Game 2</v>
      </c>
      <c r="E134" s="110" t="str">
        <f t="shared" si="15"/>
        <v>Game 3</v>
      </c>
      <c r="F134" s="125" t="str">
        <f>VLOOKUP(G134,'Swiss Registry'!$A$2:$B$703,2,False)</f>
        <v>HunarPG</v>
      </c>
      <c r="G134" s="145">
        <v>379.0</v>
      </c>
      <c r="H134" s="93" t="s">
        <v>2709</v>
      </c>
      <c r="I134" s="141" t="str">
        <f t="array" ref="I134">XLOOKUP(CELL("contents",B134),'Swiss Registry'!$B$2:$B$703,'Swiss Registry'!$N$2:$N$703) </f>
        <v>197151675914518528</v>
      </c>
      <c r="J134" s="142" t="str">
        <f t="array" ref="J134">XLOOKUP(CELL("contents",F134),'Swiss Registry'!$B$2:$B$703,'Swiss Registry'!$N$2:$N$703) </f>
        <v>851681863474741300</v>
      </c>
    </row>
    <row r="135">
      <c r="A135" s="140">
        <v>295.0</v>
      </c>
      <c r="B135" s="125" t="str">
        <f>VLOOKUP(A135,'Swiss Registry'!$A$2:$B$703,2,False)</f>
        <v>kuru1432</v>
      </c>
      <c r="C135" s="105" t="str">
        <f t="shared" si="13"/>
        <v>Game 1</v>
      </c>
      <c r="D135" s="106" t="str">
        <f t="shared" si="14"/>
        <v>Game 2</v>
      </c>
      <c r="E135" s="107" t="str">
        <f t="shared" si="15"/>
        <v/>
      </c>
      <c r="F135" s="125" t="str">
        <f>VLOOKUP(G135,'Swiss Registry'!$A$2:$B$703,2,False)</f>
        <v>wolfturds</v>
      </c>
      <c r="G135" s="145">
        <v>618.0</v>
      </c>
      <c r="H135" s="93" t="s">
        <v>2710</v>
      </c>
      <c r="I135" s="141" t="str">
        <f t="array" ref="I135">XLOOKUP(CELL("contents",B135),'Swiss Registry'!$B$2:$B$703,'Swiss Registry'!$N$2:$N$703) </f>
        <v>194274180454154240</v>
      </c>
      <c r="J135" s="142" t="str">
        <f t="array" ref="J135">XLOOKUP(CELL("contents",F135),'Swiss Registry'!$B$2:$B$703,'Swiss Registry'!$N$2:$N$703) </f>
        <v>305122620498509824</v>
      </c>
    </row>
    <row r="136">
      <c r="A136" s="140">
        <v>678.0</v>
      </c>
      <c r="B136" s="125" t="str">
        <f>VLOOKUP(A136,'Swiss Registry'!$A$2:$B$703,2,False)</f>
        <v>Latlat1</v>
      </c>
      <c r="C136" s="105" t="str">
        <f t="shared" si="13"/>
        <v>Game 1</v>
      </c>
      <c r="D136" s="106" t="str">
        <f t="shared" si="14"/>
        <v>Game 2</v>
      </c>
      <c r="E136" s="107" t="str">
        <f t="shared" si="15"/>
        <v/>
      </c>
      <c r="F136" s="125" t="str">
        <f>VLOOKUP(G136,'Swiss Registry'!$A$2:$B$703,2,False)</f>
        <v>bydy2</v>
      </c>
      <c r="G136" s="145">
        <v>679.0</v>
      </c>
      <c r="H136" s="93" t="s">
        <v>2711</v>
      </c>
      <c r="I136" s="141" t="str">
        <f t="array" ref="I136">XLOOKUP(CELL("contents",B136),'Swiss Registry'!$B$2:$B$703,'Swiss Registry'!$N$2:$N$703) </f>
        <v>186768858357432320</v>
      </c>
      <c r="J136" s="142" t="str">
        <f t="array" ref="J136">XLOOKUP(CELL("contents",F136),'Swiss Registry'!$B$2:$B$703,'Swiss Registry'!$N$2:$N$703) </f>
        <v>245276997687836672</v>
      </c>
    </row>
    <row r="137">
      <c r="A137" s="140">
        <v>172.0</v>
      </c>
      <c r="B137" s="125" t="str">
        <f>VLOOKUP(A137,'Swiss Registry'!$A$2:$B$703,2,False)</f>
        <v>Redmoonie</v>
      </c>
      <c r="C137" s="105" t="str">
        <f t="shared" si="13"/>
        <v>Game 1</v>
      </c>
      <c r="D137" s="106" t="str">
        <f t="shared" si="14"/>
        <v>Game 2</v>
      </c>
      <c r="E137" s="107" t="str">
        <f t="shared" si="15"/>
        <v/>
      </c>
      <c r="F137" s="125" t="str">
        <f>VLOOKUP(G137,'Swiss Registry'!$A$2:$B$703,2,False)</f>
        <v>DeathbyDunsparce</v>
      </c>
      <c r="G137" s="145">
        <v>646.0</v>
      </c>
      <c r="H137" s="93" t="s">
        <v>2712</v>
      </c>
      <c r="I137" s="141" t="str">
        <f t="array" ref="I137">XLOOKUP(CELL("contents",B137),'Swiss Registry'!$B$2:$B$703,'Swiss Registry'!$N$2:$N$703) </f>
        <v>903044957298909185</v>
      </c>
      <c r="J137" s="142" t="str">
        <f t="array" ref="J137">XLOOKUP(CELL("contents",F137),'Swiss Registry'!$B$2:$B$703,'Swiss Registry'!$N$2:$N$703) </f>
        <v>313084425498001409</v>
      </c>
    </row>
    <row r="138">
      <c r="A138" s="140">
        <v>344.0</v>
      </c>
      <c r="B138" s="125" t="str">
        <f>VLOOKUP(A138,'Swiss Registry'!$A$2:$B$703,2,False)</f>
        <v>Samnyg</v>
      </c>
      <c r="C138" s="105" t="str">
        <f t="shared" si="13"/>
        <v>Game 1</v>
      </c>
      <c r="D138" s="106" t="str">
        <f t="shared" si="14"/>
        <v>Game 2</v>
      </c>
      <c r="E138" s="107" t="str">
        <f t="shared" si="15"/>
        <v/>
      </c>
      <c r="F138" s="125" t="str">
        <f>VLOOKUP(G138,'Swiss Registry'!$A$2:$B$703,2,False)</f>
        <v>almarkowbender</v>
      </c>
      <c r="G138" s="145">
        <v>321.0</v>
      </c>
      <c r="H138" s="93" t="s">
        <v>2713</v>
      </c>
      <c r="I138" s="141" t="str">
        <f t="array" ref="I138">XLOOKUP(CELL("contents",B138),'Swiss Registry'!$B$2:$B$703,'Swiss Registry'!$N$2:$N$703) </f>
        <v>1024088105533317191</v>
      </c>
      <c r="J138" s="142" t="str">
        <f t="array" ref="J138">XLOOKUP(CELL("contents",F138),'Swiss Registry'!$B$2:$B$703,'Swiss Registry'!$N$2:$N$703) </f>
        <v>341270044979757056</v>
      </c>
    </row>
    <row r="139">
      <c r="A139" s="140">
        <v>435.0</v>
      </c>
      <c r="B139" s="125" t="str">
        <f>VLOOKUP(A139,'Swiss Registry'!$A$2:$B$703,2,False)</f>
        <v>UnzipsCrogre</v>
      </c>
      <c r="C139" s="111" t="str">
        <f t="shared" si="13"/>
        <v/>
      </c>
      <c r="D139" s="112" t="str">
        <f t="shared" si="14"/>
        <v>Act: UnzipsCrogre</v>
      </c>
      <c r="E139" s="107" t="str">
        <f t="shared" si="15"/>
        <v/>
      </c>
      <c r="F139" s="125" t="str">
        <f>VLOOKUP(G139,'Swiss Registry'!$A$2:$B$703,2,False)</f>
        <v>millingwinds</v>
      </c>
      <c r="G139" s="145">
        <v>365.0</v>
      </c>
      <c r="H139" s="93" t="s">
        <v>1706</v>
      </c>
      <c r="I139" s="141" t="str">
        <f t="array" ref="I139">XLOOKUP(CELL("contents",B139),'Swiss Registry'!$B$2:$B$703,'Swiss Registry'!$N$2:$N$703) </f>
        <v>168150536862826497</v>
      </c>
      <c r="J139" s="142" t="str">
        <f t="array" ref="J139">XLOOKUP(CELL("contents",F139),'Swiss Registry'!$B$2:$B$703,'Swiss Registry'!$N$2:$N$703) </f>
        <v>732108291253075968</v>
      </c>
    </row>
    <row r="140">
      <c r="A140" s="140">
        <v>127.0</v>
      </c>
      <c r="B140" s="125" t="str">
        <f>VLOOKUP(A140,'Swiss Registry'!$A$2:$B$703,2,False)</f>
        <v>blisy</v>
      </c>
      <c r="C140" s="105" t="str">
        <f t="shared" si="13"/>
        <v>Game 1</v>
      </c>
      <c r="D140" s="106" t="str">
        <f t="shared" si="14"/>
        <v>Game 2</v>
      </c>
      <c r="E140" s="110" t="str">
        <f t="shared" si="15"/>
        <v>Game 3</v>
      </c>
      <c r="F140" s="125" t="str">
        <f>VLOOKUP(G140,'Swiss Registry'!$A$2:$B$703,2,False)</f>
        <v>starii88</v>
      </c>
      <c r="G140" s="145">
        <v>437.0</v>
      </c>
      <c r="H140" s="93" t="s">
        <v>2714</v>
      </c>
      <c r="I140" s="141" t="str">
        <f t="array" ref="I140">XLOOKUP(CELL("contents",B140),'Swiss Registry'!$B$2:$B$703,'Swiss Registry'!$N$2:$N$703) </f>
        <v>291688941491322880</v>
      </c>
      <c r="J140" s="142" t="str">
        <f t="array" ref="J140">XLOOKUP(CELL("contents",F140),'Swiss Registry'!$B$2:$B$703,'Swiss Registry'!$N$2:$N$703) </f>
        <v>343404916636647428</v>
      </c>
    </row>
    <row r="141">
      <c r="A141" s="140">
        <v>465.0</v>
      </c>
      <c r="B141" s="125" t="str">
        <f>VLOOKUP(A141,'Swiss Registry'!$A$2:$B$703,2,False)</f>
        <v>Moneybaggslowbro</v>
      </c>
      <c r="C141" s="105" t="str">
        <f t="shared" si="13"/>
        <v>Game 1</v>
      </c>
      <c r="D141" s="106" t="str">
        <f t="shared" si="14"/>
        <v>Game 2</v>
      </c>
      <c r="E141" s="110" t="str">
        <f t="shared" si="15"/>
        <v>Game 3</v>
      </c>
      <c r="F141" s="125" t="str">
        <f>VLOOKUP(G141,'Swiss Registry'!$A$2:$B$703,2,False)</f>
        <v>thegreatest23</v>
      </c>
      <c r="G141" s="145">
        <v>463.0</v>
      </c>
      <c r="H141" s="93" t="s">
        <v>2715</v>
      </c>
      <c r="I141" s="141" t="str">
        <f t="array" ref="I141">XLOOKUP(CELL("contents",B141),'Swiss Registry'!$B$2:$B$703,'Swiss Registry'!$N$2:$N$703) </f>
        <v>284366067126632448</v>
      </c>
      <c r="J141" s="142" t="str">
        <f t="array" ref="J141">XLOOKUP(CELL("contents",F141),'Swiss Registry'!$B$2:$B$703,'Swiss Registry'!$N$2:$N$703) </f>
        <v>477886359105961995</v>
      </c>
    </row>
    <row r="142">
      <c r="A142" s="140">
        <v>608.0</v>
      </c>
      <c r="B142" s="125" t="str">
        <f>VLOOKUP(A142,'Swiss Registry'!$A$2:$B$703,2,False)</f>
        <v>Fierros47</v>
      </c>
      <c r="C142" s="105" t="str">
        <f t="shared" si="13"/>
        <v>Game 1</v>
      </c>
      <c r="D142" s="106" t="str">
        <f t="shared" si="14"/>
        <v>Game 2</v>
      </c>
      <c r="E142" s="107" t="str">
        <f t="shared" si="15"/>
        <v/>
      </c>
      <c r="F142" s="125" t="str">
        <f>VLOOKUP(G142,'Swiss Registry'!$A$2:$B$703,2,False)</f>
        <v>@struggles_under_pressure</v>
      </c>
      <c r="G142" s="145">
        <v>302.0</v>
      </c>
      <c r="H142" s="93" t="s">
        <v>2716</v>
      </c>
      <c r="I142" s="141" t="str">
        <f t="array" ref="I142">XLOOKUP(CELL("contents",B142),'Swiss Registry'!$B$2:$B$703,'Swiss Registry'!$N$2:$N$703) </f>
        <v>348679052720078850</v>
      </c>
      <c r="J142" s="142" t="str">
        <f t="array" ref="J142">XLOOKUP(CELL("contents",F142),'Swiss Registry'!$B$2:$B$703,'Swiss Registry'!$N$2:$N$703) </f>
        <v>883737062904324126</v>
      </c>
    </row>
    <row r="143">
      <c r="A143" s="140">
        <v>686.0</v>
      </c>
      <c r="B143" s="125" t="str">
        <f>VLOOKUP(A143,'Swiss Registry'!$A$2:$B$703,2,False)</f>
        <v>Print Screen</v>
      </c>
      <c r="C143" s="105" t="str">
        <f t="shared" si="13"/>
        <v>Game 1</v>
      </c>
      <c r="D143" s="106" t="str">
        <f t="shared" si="14"/>
        <v>Game 2</v>
      </c>
      <c r="E143" s="107" t="str">
        <f t="shared" si="15"/>
        <v/>
      </c>
      <c r="F143" s="125" t="str">
        <f>VLOOKUP(G143,'Swiss Registry'!$A$2:$B$703,2,False)</f>
        <v>tibetanator</v>
      </c>
      <c r="G143" s="145">
        <v>530.0</v>
      </c>
      <c r="H143" s="93" t="s">
        <v>2717</v>
      </c>
      <c r="I143" s="141" t="str">
        <f t="array" ref="I143">XLOOKUP(CELL("contents",B143),'Swiss Registry'!$B$2:$B$703,'Swiss Registry'!$N$2:$N$703) </f>
        <v>138348102535872513</v>
      </c>
      <c r="J143" s="142" t="str">
        <f t="array" ref="J143">XLOOKUP(CELL("contents",F143),'Swiss Registry'!$B$2:$B$703,'Swiss Registry'!$N$2:$N$703) </f>
        <v>734152855501668363</v>
      </c>
    </row>
    <row r="144">
      <c r="A144" s="140">
        <v>469.0</v>
      </c>
      <c r="B144" s="125" t="str">
        <f>VLOOKUP(A144,'Swiss Registry'!$A$2:$B$703,2,False)</f>
        <v>DanWhoDis</v>
      </c>
      <c r="C144" s="105" t="str">
        <f t="shared" si="13"/>
        <v>Game 1</v>
      </c>
      <c r="D144" s="106" t="str">
        <f t="shared" si="14"/>
        <v>Game 2</v>
      </c>
      <c r="E144" s="110" t="str">
        <f t="shared" si="15"/>
        <v>Game 3</v>
      </c>
      <c r="F144" s="125" t="str">
        <f>VLOOKUP(G144,'Swiss Registry'!$A$2:$B$703,2,False)</f>
        <v>Vholtninja</v>
      </c>
      <c r="G144" s="145">
        <v>518.0</v>
      </c>
      <c r="H144" s="93" t="s">
        <v>2718</v>
      </c>
      <c r="I144" s="141" t="str">
        <f t="array" ref="I144">XLOOKUP(CELL("contents",B144),'Swiss Registry'!$B$2:$B$703,'Swiss Registry'!$N$2:$N$703) </f>
        <v>226027083472699395</v>
      </c>
      <c r="J144" s="142" t="str">
        <f t="array" ref="J144">XLOOKUP(CELL("contents",F144),'Swiss Registry'!$B$2:$B$703,'Swiss Registry'!$N$2:$N$703) </f>
        <v>495147477398192128</v>
      </c>
    </row>
    <row r="145">
      <c r="A145" s="140">
        <v>450.0</v>
      </c>
      <c r="B145" s="125" t="str">
        <f>VLOOKUP(A145,'Swiss Registry'!$A$2:$B$703,2,False)</f>
        <v>larkindred</v>
      </c>
      <c r="C145" s="105" t="str">
        <f t="shared" si="13"/>
        <v>Game 1</v>
      </c>
      <c r="D145" s="106" t="str">
        <f t="shared" si="14"/>
        <v>Game 2</v>
      </c>
      <c r="E145" s="110" t="str">
        <f t="shared" si="15"/>
        <v>Game 3</v>
      </c>
      <c r="F145" s="125" t="str">
        <f>VLOOKUP(G145,'Swiss Registry'!$A$2:$B$703,2,False)</f>
        <v>tj_srevlis</v>
      </c>
      <c r="G145" s="145">
        <v>441.0</v>
      </c>
      <c r="H145" s="93" t="s">
        <v>2719</v>
      </c>
      <c r="I145" s="141" t="str">
        <f t="array" ref="I145">XLOOKUP(CELL("contents",B145),'Swiss Registry'!$B$2:$B$703,'Swiss Registry'!$N$2:$N$703) </f>
        <v>519615198294704153</v>
      </c>
      <c r="J145" s="142" t="str">
        <f t="array" ref="J145">XLOOKUP(CELL("contents",F145),'Swiss Registry'!$B$2:$B$703,'Swiss Registry'!$N$2:$N$703) </f>
        <v>764262621599105045</v>
      </c>
    </row>
    <row r="146">
      <c r="A146" s="140">
        <v>168.0</v>
      </c>
      <c r="B146" s="125" t="str">
        <f>VLOOKUP(A146,'Swiss Registry'!$A$2:$B$703,2,False)</f>
        <v>triiplemonstre</v>
      </c>
      <c r="C146" s="111" t="str">
        <f t="shared" si="13"/>
        <v/>
      </c>
      <c r="D146" s="112" t="str">
        <f t="shared" si="14"/>
        <v>Act: nekuyagokoro</v>
      </c>
      <c r="E146" s="107" t="str">
        <f t="shared" si="15"/>
        <v/>
      </c>
      <c r="F146" s="125" t="str">
        <f>VLOOKUP(G146,'Swiss Registry'!$A$2:$B$703,2,False)</f>
        <v>nekuyagokoro</v>
      </c>
      <c r="G146" s="145">
        <v>179.0</v>
      </c>
      <c r="H146" s="93" t="s">
        <v>1523</v>
      </c>
      <c r="I146" s="141" t="str">
        <f t="array" ref="I146">XLOOKUP(CELL("contents",B146),'Swiss Registry'!$B$2:$B$703,'Swiss Registry'!$N$2:$N$703) </f>
        <v>495893557526134784</v>
      </c>
      <c r="J146" s="142" t="str">
        <f t="array" ref="J146">XLOOKUP(CELL("contents",F146),'Swiss Registry'!$B$2:$B$703,'Swiss Registry'!$N$2:$N$703) </f>
        <v>138449766794133504</v>
      </c>
    </row>
    <row r="147">
      <c r="A147" s="140">
        <v>682.0</v>
      </c>
      <c r="B147" s="125" t="str">
        <f>VLOOKUP(A147,'Swiss Registry'!$A$2:$B$703,2,False)</f>
        <v>5darkelves_gmen</v>
      </c>
      <c r="C147" s="105" t="str">
        <f t="shared" si="13"/>
        <v>Game 1</v>
      </c>
      <c r="D147" s="106" t="str">
        <f t="shared" si="14"/>
        <v>Game 2</v>
      </c>
      <c r="E147" s="107" t="str">
        <f t="shared" si="15"/>
        <v/>
      </c>
      <c r="F147" s="125" t="str">
        <f>VLOOKUP(G147,'Swiss Registry'!$A$2:$B$703,2,False)</f>
        <v>ashvinbutduck</v>
      </c>
      <c r="G147" s="145">
        <v>248.0</v>
      </c>
      <c r="H147" s="93" t="s">
        <v>2720</v>
      </c>
      <c r="I147" s="141" t="str">
        <f t="array" ref="I147">XLOOKUP(CELL("contents",B147),'Swiss Registry'!$B$2:$B$703,'Swiss Registry'!$N$2:$N$703) </f>
        <v>952068071336607775</v>
      </c>
      <c r="J147" s="142" t="str">
        <f t="array" ref="J147">XLOOKUP(CELL("contents",F147),'Swiss Registry'!$B$2:$B$703,'Swiss Registry'!$N$2:$N$703) </f>
        <v>601228993894547479</v>
      </c>
    </row>
    <row r="148">
      <c r="A148" s="140">
        <v>468.0</v>
      </c>
      <c r="B148" s="125" t="str">
        <f>VLOOKUP(A148,'Swiss Registry'!$A$2:$B$703,2,False)</f>
        <v>goldthe1andonly</v>
      </c>
      <c r="C148" s="105" t="str">
        <f t="shared" si="13"/>
        <v>Game 1</v>
      </c>
      <c r="D148" s="106" t="str">
        <f t="shared" si="14"/>
        <v>Game 2</v>
      </c>
      <c r="E148" s="110" t="str">
        <f t="shared" si="15"/>
        <v>Game 3</v>
      </c>
      <c r="F148" s="125" t="str">
        <f>VLOOKUP(G148,'Swiss Registry'!$A$2:$B$703,2,False)</f>
        <v>usbreon</v>
      </c>
      <c r="G148" s="145">
        <v>277.0</v>
      </c>
      <c r="H148" s="93" t="s">
        <v>2721</v>
      </c>
      <c r="I148" s="141" t="str">
        <f t="array" ref="I148">XLOOKUP(CELL("contents",B148),'Swiss Registry'!$B$2:$B$703,'Swiss Registry'!$N$2:$N$703) </f>
        <v>345724126478073867</v>
      </c>
      <c r="J148" s="142" t="str">
        <f t="array" ref="J148">XLOOKUP(CELL("contents",F148),'Swiss Registry'!$B$2:$B$703,'Swiss Registry'!$N$2:$N$703) </f>
        <v>125596608422215680</v>
      </c>
    </row>
    <row r="149">
      <c r="A149" s="140">
        <v>244.0</v>
      </c>
      <c r="B149" s="125" t="str">
        <f>VLOOKUP(A149,'Swiss Registry'!$A$2:$B$703,2,False)</f>
        <v>resen</v>
      </c>
      <c r="C149" s="105" t="str">
        <f t="shared" si="13"/>
        <v>Game 1</v>
      </c>
      <c r="D149" s="106" t="str">
        <f t="shared" si="14"/>
        <v>Game 2</v>
      </c>
      <c r="E149" s="110" t="str">
        <f t="shared" si="15"/>
        <v>Game 3</v>
      </c>
      <c r="F149" s="125" t="str">
        <f>VLOOKUP(G149,'Swiss Registry'!$A$2:$B$703,2,False)</f>
        <v>Cyber-DJ</v>
      </c>
      <c r="G149" s="145">
        <v>389.0</v>
      </c>
      <c r="H149" s="93" t="s">
        <v>2722</v>
      </c>
      <c r="I149" s="141" t="str">
        <f t="array" ref="I149">XLOOKUP(CELL("contents",B149),'Swiss Registry'!$B$2:$B$703,'Swiss Registry'!$N$2:$N$703) </f>
        <v>348536721010458635</v>
      </c>
      <c r="J149" s="142" t="str">
        <f t="array" ref="J149">XLOOKUP(CELL("contents",F149),'Swiss Registry'!$B$2:$B$703,'Swiss Registry'!$N$2:$N$703) </f>
        <v>1217308528272871476</v>
      </c>
    </row>
    <row r="150">
      <c r="A150" s="140">
        <v>495.0</v>
      </c>
      <c r="B150" s="125" t="str">
        <f>VLOOKUP(A150,'Swiss Registry'!$A$2:$B$703,2,False)</f>
        <v>Raven_queen</v>
      </c>
      <c r="C150" s="105" t="str">
        <f t="shared" si="13"/>
        <v>Game 1</v>
      </c>
      <c r="D150" s="106" t="str">
        <f t="shared" si="14"/>
        <v>Game 2</v>
      </c>
      <c r="E150" s="107" t="str">
        <f t="shared" si="15"/>
        <v/>
      </c>
      <c r="F150" s="125" t="str">
        <f>VLOOKUP(G150,'Swiss Registry'!$A$2:$B$703,2,False)</f>
        <v>kalarse</v>
      </c>
      <c r="G150" s="145">
        <v>258.0</v>
      </c>
      <c r="H150" s="93" t="s">
        <v>2723</v>
      </c>
      <c r="I150" s="141" t="str">
        <f t="array" ref="I150">XLOOKUP(CELL("contents",B150),'Swiss Registry'!$B$2:$B$703,'Swiss Registry'!$N$2:$N$703) </f>
        <v>698505458129829940</v>
      </c>
      <c r="J150" s="142" t="str">
        <f t="array" ref="J150">XLOOKUP(CELL("contents",F150),'Swiss Registry'!$B$2:$B$703,'Swiss Registry'!$N$2:$N$703) </f>
        <v>105796893690376192</v>
      </c>
    </row>
    <row r="151">
      <c r="A151" s="140">
        <v>677.0</v>
      </c>
      <c r="B151" s="125" t="str">
        <f>VLOOKUP(A151,'Swiss Registry'!$A$2:$B$703,2,False)</f>
        <v>garcilp</v>
      </c>
      <c r="C151" s="105" t="str">
        <f t="shared" si="13"/>
        <v>Game 1</v>
      </c>
      <c r="D151" s="106" t="str">
        <f t="shared" si="14"/>
        <v>Game 2</v>
      </c>
      <c r="E151" s="110" t="str">
        <f t="shared" si="15"/>
        <v>Game 3</v>
      </c>
      <c r="F151" s="125" t="str">
        <f>VLOOKUP(G151,'Swiss Registry'!$A$2:$B$703,2,False)</f>
        <v>Baptista</v>
      </c>
      <c r="G151" s="145">
        <v>370.0</v>
      </c>
      <c r="H151" s="93" t="s">
        <v>2724</v>
      </c>
      <c r="I151" s="141" t="str">
        <f t="array" ref="I151">XLOOKUP(CELL("contents",B151),'Swiss Registry'!$B$2:$B$703,'Swiss Registry'!$N$2:$N$703) </f>
        <v>121071467692556291</v>
      </c>
      <c r="J151" s="142" t="str">
        <f t="array" ref="J151">XLOOKUP(CELL("contents",F151),'Swiss Registry'!$B$2:$B$703,'Swiss Registry'!$N$2:$N$703) </f>
        <v>344223527399981069</v>
      </c>
    </row>
    <row r="152">
      <c r="A152" s="140">
        <v>291.0</v>
      </c>
      <c r="B152" s="125" t="str">
        <f>VLOOKUP(A152,'Swiss Registry'!$A$2:$B$703,2,False)</f>
        <v>pLzzazz</v>
      </c>
      <c r="C152" s="105" t="str">
        <f t="shared" si="13"/>
        <v>Game 1</v>
      </c>
      <c r="D152" s="106" t="str">
        <f t="shared" si="14"/>
        <v>Game 2</v>
      </c>
      <c r="E152" s="107" t="str">
        <f t="shared" si="15"/>
        <v/>
      </c>
      <c r="F152" s="125" t="str">
        <f>VLOOKUP(G152,'Swiss Registry'!$A$2:$B$703,2,False)</f>
        <v>gudemuch</v>
      </c>
      <c r="G152" s="145">
        <v>498.0</v>
      </c>
      <c r="H152" s="93" t="s">
        <v>2725</v>
      </c>
      <c r="I152" s="141" t="str">
        <f t="array" ref="I152">XLOOKUP(CELL("contents",B152),'Swiss Registry'!$B$2:$B$703,'Swiss Registry'!$N$2:$N$703) </f>
        <v>198612424885010432</v>
      </c>
      <c r="J152" s="142" t="str">
        <f t="array" ref="J152">XLOOKUP(CELL("contents",F152),'Swiss Registry'!$B$2:$B$703,'Swiss Registry'!$N$2:$N$703) </f>
        <v>689102490154696705</v>
      </c>
    </row>
    <row r="153">
      <c r="A153" s="140">
        <v>314.0</v>
      </c>
      <c r="B153" s="125" t="str">
        <f>VLOOKUP(A153,'Swiss Registry'!$A$2:$B$703,2,False)</f>
        <v>triskeriaki</v>
      </c>
      <c r="C153" s="111" t="str">
        <f t="shared" si="13"/>
        <v/>
      </c>
      <c r="D153" s="112" t="str">
        <f t="shared" si="14"/>
        <v>Act: triskeriaki</v>
      </c>
      <c r="E153" s="107" t="str">
        <f t="shared" si="15"/>
        <v/>
      </c>
      <c r="F153" s="125" t="str">
        <f>VLOOKUP(G153,'Swiss Registry'!$A$2:$B$703,2,False)</f>
        <v>brestelli</v>
      </c>
      <c r="G153" s="145">
        <v>581.0</v>
      </c>
      <c r="H153" s="93" t="s">
        <v>1486</v>
      </c>
      <c r="I153" s="141" t="str">
        <f t="array" ref="I153">XLOOKUP(CELL("contents",B153),'Swiss Registry'!$B$2:$B$703,'Swiss Registry'!$N$2:$N$703) </f>
        <v>316007672510021634</v>
      </c>
      <c r="J153" s="142" t="str">
        <f t="array" ref="J153">XLOOKUP(CELL("contents",F153),'Swiss Registry'!$B$2:$B$703,'Swiss Registry'!$N$2:$N$703) </f>
        <v>688796987193163984</v>
      </c>
    </row>
    <row r="154">
      <c r="A154" s="140">
        <v>187.0</v>
      </c>
      <c r="B154" s="125" t="str">
        <f>VLOOKUP(A154,'Swiss Registry'!$A$2:$B$703,2,False)</f>
        <v>nicki4</v>
      </c>
      <c r="C154" s="105" t="str">
        <f t="shared" si="13"/>
        <v>Game 1</v>
      </c>
      <c r="D154" s="106" t="str">
        <f t="shared" si="14"/>
        <v>Game 2</v>
      </c>
      <c r="E154" s="107" t="str">
        <f t="shared" si="15"/>
        <v/>
      </c>
      <c r="F154" s="125" t="str">
        <f>VLOOKUP(G154,'Swiss Registry'!$A$2:$B$703,2,False)</f>
        <v>Zacynthius02</v>
      </c>
      <c r="G154" s="145">
        <v>570.0</v>
      </c>
      <c r="H154" s="93" t="s">
        <v>2726</v>
      </c>
      <c r="I154" s="141" t="str">
        <f t="array" ref="I154">XLOOKUP(CELL("contents",B154),'Swiss Registry'!$B$2:$B$703,'Swiss Registry'!$N$2:$N$703) </f>
        <v>229576207560212480</v>
      </c>
      <c r="J154" s="142" t="str">
        <f t="array" ref="J154">XLOOKUP(CELL("contents",F154),'Swiss Registry'!$B$2:$B$703,'Swiss Registry'!$N$2:$N$703) </f>
        <v>1144653653752434738</v>
      </c>
    </row>
    <row r="155">
      <c r="A155" s="140">
        <v>279.0</v>
      </c>
      <c r="B155" s="125" t="str">
        <f>VLOOKUP(A155,'Swiss Registry'!$A$2:$B$703,2,False)</f>
        <v>bruh504</v>
      </c>
      <c r="C155" s="105" t="str">
        <f t="shared" si="13"/>
        <v>Game 1</v>
      </c>
      <c r="D155" s="106" t="str">
        <f t="shared" si="14"/>
        <v>Game 2</v>
      </c>
      <c r="E155" s="107" t="str">
        <f t="shared" si="15"/>
        <v/>
      </c>
      <c r="F155" s="125" t="str">
        <f>VLOOKUP(G155,'Swiss Registry'!$A$2:$B$703,2,False)</f>
        <v>SgtPingwen</v>
      </c>
      <c r="G155" s="145">
        <v>317.0</v>
      </c>
      <c r="H155" s="93" t="s">
        <v>2727</v>
      </c>
      <c r="I155" s="141" t="str">
        <f t="array" ref="I155">XLOOKUP(CELL("contents",B155),'Swiss Registry'!$B$2:$B$703,'Swiss Registry'!$N$2:$N$703) </f>
        <v>392333717269643266</v>
      </c>
      <c r="J155" s="142" t="str">
        <f t="array" ref="J155">XLOOKUP(CELL("contents",F155),'Swiss Registry'!$B$2:$B$703,'Swiss Registry'!$N$2:$N$703) </f>
        <v>115227471175090181</v>
      </c>
    </row>
    <row r="156">
      <c r="A156" s="140">
        <v>112.0</v>
      </c>
      <c r="B156" s="125" t="str">
        <f>VLOOKUP(A156,'Swiss Registry'!$A$2:$B$703,2,False)</f>
        <v>SqueamishCube</v>
      </c>
      <c r="C156" s="105" t="str">
        <f t="shared" si="13"/>
        <v>Game 1</v>
      </c>
      <c r="D156" s="106" t="str">
        <f t="shared" si="14"/>
        <v>Game 2</v>
      </c>
      <c r="E156" s="110" t="str">
        <f t="shared" si="15"/>
        <v>Game 3</v>
      </c>
      <c r="F156" s="125" t="str">
        <f>VLOOKUP(G156,'Swiss Registry'!$A$2:$B$703,2,False)</f>
        <v>cashzachary</v>
      </c>
      <c r="G156" s="145">
        <v>118.0</v>
      </c>
      <c r="H156" s="93" t="s">
        <v>2728</v>
      </c>
      <c r="I156" s="141" t="str">
        <f t="array" ref="I156">XLOOKUP(CELL("contents",B156),'Swiss Registry'!$B$2:$B$703,'Swiss Registry'!$N$2:$N$703) </f>
        <v>423951482795065368</v>
      </c>
      <c r="J156" s="142" t="str">
        <f t="array" ref="J156">XLOOKUP(CELL("contents",F156),'Swiss Registry'!$B$2:$B$703,'Swiss Registry'!$N$2:$N$703) </f>
        <v>1238981053226549308</v>
      </c>
    </row>
    <row r="157">
      <c r="A157" s="140">
        <v>422.0</v>
      </c>
      <c r="B157" s="125" t="str">
        <f>VLOOKUP(A157,'Swiss Registry'!$A$2:$B$703,2,False)</f>
        <v>ShotoNC</v>
      </c>
      <c r="C157" s="111" t="str">
        <f t="shared" si="13"/>
        <v/>
      </c>
      <c r="D157" s="112" t="str">
        <f t="shared" si="14"/>
        <v>Act: ShotoNC</v>
      </c>
      <c r="E157" s="107" t="str">
        <f t="shared" si="15"/>
        <v/>
      </c>
      <c r="F157" s="125" t="str">
        <f>VLOOKUP(G157,'Swiss Registry'!$A$2:$B$703,2,False)</f>
        <v>swope</v>
      </c>
      <c r="G157" s="145">
        <v>569.0</v>
      </c>
      <c r="H157" s="93" t="s">
        <v>1486</v>
      </c>
      <c r="I157" s="141" t="str">
        <f t="array" ref="I157">XLOOKUP(CELL("contents",B157),'Swiss Registry'!$B$2:$B$703,'Swiss Registry'!$N$2:$N$703) </f>
        <v>79029742778454016</v>
      </c>
      <c r="J157" s="142" t="str">
        <f t="array" ref="J157">XLOOKUP(CELL("contents",F157),'Swiss Registry'!$B$2:$B$703,'Swiss Registry'!$N$2:$N$703) </f>
        <v>141349140188626944</v>
      </c>
    </row>
    <row r="158">
      <c r="A158" s="140">
        <v>294.0</v>
      </c>
      <c r="B158" s="125" t="str">
        <f>VLOOKUP(A158,'Swiss Registry'!$A$2:$B$703,2,False)</f>
        <v>dorugang</v>
      </c>
      <c r="C158" s="105" t="str">
        <f t="shared" si="13"/>
        <v>Game 1</v>
      </c>
      <c r="D158" s="106" t="str">
        <f t="shared" si="14"/>
        <v>Game 2</v>
      </c>
      <c r="E158" s="110" t="str">
        <f t="shared" si="15"/>
        <v>Game 3</v>
      </c>
      <c r="F158" s="125" t="str">
        <f>VLOOKUP(G158,'Swiss Registry'!$A$2:$B$703,2,False)</f>
        <v>_deacon</v>
      </c>
      <c r="G158" s="145">
        <v>536.0</v>
      </c>
      <c r="H158" s="93" t="s">
        <v>2729</v>
      </c>
      <c r="I158" s="141" t="str">
        <f t="array" ref="I158">XLOOKUP(CELL("contents",B158),'Swiss Registry'!$B$2:$B$703,'Swiss Registry'!$N$2:$N$703) </f>
        <v>1203049772785868861</v>
      </c>
      <c r="J158" s="142" t="str">
        <f t="array" ref="J158">XLOOKUP(CELL("contents",F158),'Swiss Registry'!$B$2:$B$703,'Swiss Registry'!$N$2:$N$703) </f>
        <v>193748470564126720</v>
      </c>
    </row>
    <row r="159">
      <c r="A159" s="140">
        <v>310.0</v>
      </c>
      <c r="B159" s="125" t="str">
        <f>VLOOKUP(A159,'Swiss Registry'!$A$2:$B$703,2,False)</f>
        <v>tanao</v>
      </c>
      <c r="C159" s="105" t="str">
        <f t="shared" si="13"/>
        <v>Game 1</v>
      </c>
      <c r="D159" s="106" t="str">
        <f t="shared" si="14"/>
        <v>Game 2</v>
      </c>
      <c r="E159" s="110" t="str">
        <f t="shared" si="15"/>
        <v>Game 3</v>
      </c>
      <c r="F159" s="125" t="str">
        <f>VLOOKUP(G159,'Swiss Registry'!$A$2:$B$703,2,False)</f>
        <v>UsernameABCD</v>
      </c>
      <c r="G159" s="145">
        <v>208.0</v>
      </c>
      <c r="H159" s="93" t="s">
        <v>2730</v>
      </c>
      <c r="I159" s="141" t="str">
        <f t="array" ref="I159">XLOOKUP(CELL("contents",B159),'Swiss Registry'!$B$2:$B$703,'Swiss Registry'!$N$2:$N$703) </f>
        <v>136404228787798017</v>
      </c>
      <c r="J159" s="142" t="str">
        <f t="array" ref="J159">XLOOKUP(CELL("contents",F159),'Swiss Registry'!$B$2:$B$703,'Swiss Registry'!$N$2:$N$703) </f>
        <v>341334237485465614</v>
      </c>
    </row>
    <row r="160">
      <c r="A160" s="140">
        <v>603.0</v>
      </c>
      <c r="B160" s="125" t="str">
        <f>VLOOKUP(A160,'Swiss Registry'!$A$2:$B$703,2,False)</f>
        <v>fuckboylenny</v>
      </c>
      <c r="C160" s="105" t="str">
        <f t="shared" si="13"/>
        <v>Game 1</v>
      </c>
      <c r="D160" s="106" t="str">
        <f t="shared" si="14"/>
        <v>Game 2</v>
      </c>
      <c r="E160" s="107" t="str">
        <f t="shared" si="15"/>
        <v/>
      </c>
      <c r="F160" s="125" t="str">
        <f>VLOOKUP(G160,'Swiss Registry'!$A$2:$B$703,2,False)</f>
        <v>kewta</v>
      </c>
      <c r="G160" s="145">
        <v>228.0</v>
      </c>
      <c r="H160" s="93" t="s">
        <v>2731</v>
      </c>
      <c r="I160" s="141" t="str">
        <f t="array" ref="I160">XLOOKUP(CELL("contents",B160),'Swiss Registry'!$B$2:$B$703,'Swiss Registry'!$N$2:$N$703) </f>
        <v>1287687998716117037</v>
      </c>
      <c r="J160" s="142" t="str">
        <f t="array" ref="J160">XLOOKUP(CELL("contents",F160),'Swiss Registry'!$B$2:$B$703,'Swiss Registry'!$N$2:$N$703) </f>
        <v>214076469641478144</v>
      </c>
    </row>
    <row r="161">
      <c r="A161" s="140">
        <v>499.0</v>
      </c>
      <c r="B161" s="125" t="str">
        <f>VLOOKUP(A161,'Swiss Registry'!$A$2:$B$703,2,False)</f>
        <v>leofox___</v>
      </c>
      <c r="C161" s="105" t="str">
        <f t="shared" si="13"/>
        <v>Game 1</v>
      </c>
      <c r="D161" s="106" t="str">
        <f t="shared" si="14"/>
        <v>Game 2</v>
      </c>
      <c r="E161" s="110" t="str">
        <f t="shared" si="15"/>
        <v>Game 3</v>
      </c>
      <c r="F161" s="125" t="str">
        <f>VLOOKUP(G161,'Swiss Registry'!$A$2:$B$703,2,False)</f>
        <v>JoJ</v>
      </c>
      <c r="G161" s="145">
        <v>252.0</v>
      </c>
      <c r="H161" s="93" t="s">
        <v>2732</v>
      </c>
      <c r="I161" s="141" t="str">
        <f t="array" ref="I161">XLOOKUP(CELL("contents",B161),'Swiss Registry'!$B$2:$B$703,'Swiss Registry'!$N$2:$N$703) </f>
        <v>1186654173094228048</v>
      </c>
      <c r="J161" s="142" t="str">
        <f t="array" ref="J161">XLOOKUP(CELL("contents",F161),'Swiss Registry'!$B$2:$B$703,'Swiss Registry'!$N$2:$N$703) </f>
        <v>275292063417892865</v>
      </c>
    </row>
    <row r="162">
      <c r="A162" s="140">
        <v>571.0</v>
      </c>
      <c r="B162" s="125" t="str">
        <f>VLOOKUP(A162,'Swiss Registry'!$A$2:$B$703,2,False)</f>
        <v>ltg04</v>
      </c>
      <c r="C162" s="105" t="str">
        <f t="shared" si="13"/>
        <v>Game 1</v>
      </c>
      <c r="D162" s="106" t="str">
        <f>IF(H162="dead","Dead Game",IF(H162="a:act","Act: "&amp;F162,IF(H162="b:act","Act: "&amp;#REF!,IF(ISURL(HYPERLINK(INDIRECT("Importer!B"&amp;MID(H162,6,4)+1,TRUE))),HYPERLINK(INDIRECT("Importer!B"&amp;MID(H162,6,4)+1,TRUE), "Game 2"),""))))</f>
        <v>Game 2</v>
      </c>
      <c r="E162" s="110" t="str">
        <f t="shared" si="15"/>
        <v>Game 3</v>
      </c>
      <c r="F162" s="125" t="str">
        <f>VLOOKUP(G162,'Swiss Registry'!$A$2:$B$703,2,False)</f>
        <v>Shifty1239</v>
      </c>
      <c r="G162" s="145">
        <v>538.0</v>
      </c>
      <c r="H162" s="93" t="s">
        <v>2733</v>
      </c>
      <c r="I162" s="141" t="str">
        <f t="array" ref="I162">XLOOKUP(CELL("contents",B162),'Swiss Registry'!$B$2:$B$703,'Swiss Registry'!$N$2:$N$703) </f>
        <v>314526869506621440</v>
      </c>
      <c r="J162" s="142" t="str">
        <f t="array" ref="J162">XLOOKUP(CELL("contents",F162),'Swiss Registry'!$B$2:$B$703,'Swiss Registry'!$N$2:$N$703) </f>
        <v>121304787051479040</v>
      </c>
    </row>
    <row r="163">
      <c r="A163" s="140">
        <v>254.0</v>
      </c>
      <c r="B163" s="125" t="str">
        <f>VLOOKUP(A163,'Swiss Registry'!$A$2:$B$703,2,False)</f>
        <v>.seden</v>
      </c>
      <c r="C163" s="105" t="str">
        <f t="shared" si="13"/>
        <v>Game 1</v>
      </c>
      <c r="D163" s="106" t="str">
        <f t="shared" ref="D163:D165" si="16">IF(H163="dead","Dead Game",IF(H163="a:act","Act: "&amp;B163,IF(H163="b:act","Act: "&amp;F163,IF(ISURL(HYPERLINK(INDIRECT("Importer!B"&amp;MID(H163,6,4)+1,TRUE))),HYPERLINK(INDIRECT("Importer!B"&amp;MID(H163,6,4)+1,TRUE), "Game 2"),""))))</f>
        <v>Game 2</v>
      </c>
      <c r="E163" s="110" t="str">
        <f t="shared" si="15"/>
        <v>Game 3</v>
      </c>
      <c r="F163" s="125" t="str">
        <f>VLOOKUP(G163,'Swiss Registry'!$A$2:$B$703,2,False)</f>
        <v>Rebatca</v>
      </c>
      <c r="G163" s="145">
        <v>188.0</v>
      </c>
      <c r="H163" s="93" t="s">
        <v>2734</v>
      </c>
      <c r="I163" s="141" t="str">
        <f t="array" ref="I163">XLOOKUP(CELL("contents",B163),'Swiss Registry'!$B$2:$B$703,'Swiss Registry'!$N$2:$N$703) </f>
        <v>248581453158285312</v>
      </c>
      <c r="J163" s="142" t="str">
        <f t="array" ref="J163">XLOOKUP(CELL("contents",F163),'Swiss Registry'!$B$2:$B$703,'Swiss Registry'!$N$2:$N$703) </f>
        <v>186748597398667264</v>
      </c>
    </row>
    <row r="164">
      <c r="A164" s="140">
        <v>137.0</v>
      </c>
      <c r="B164" s="125" t="str">
        <f>VLOOKUP(A164,'Swiss Registry'!$A$2:$B$703,2,False)</f>
        <v>Wizzyhatg</v>
      </c>
      <c r="C164" s="105" t="str">
        <f t="shared" si="13"/>
        <v>Game 1</v>
      </c>
      <c r="D164" s="106" t="str">
        <f t="shared" si="16"/>
        <v>Game 2</v>
      </c>
      <c r="E164" s="110" t="str">
        <f t="shared" si="15"/>
        <v>Game 3</v>
      </c>
      <c r="F164" s="125" t="str">
        <f>VLOOKUP(G164,'Swiss Registry'!$A$2:$B$703,2,False)</f>
        <v>elysyr</v>
      </c>
      <c r="G164" s="145">
        <v>519.0</v>
      </c>
      <c r="H164" s="93" t="s">
        <v>2735</v>
      </c>
      <c r="I164" s="141" t="str">
        <f t="array" ref="I164">XLOOKUP(CELL("contents",B164),'Swiss Registry'!$B$2:$B$703,'Swiss Registry'!$N$2:$N$703) </f>
        <v>193484979798409216</v>
      </c>
      <c r="J164" s="142" t="str">
        <f t="array" ref="J164">XLOOKUP(CELL("contents",F164),'Swiss Registry'!$B$2:$B$703,'Swiss Registry'!$N$2:$N$703) </f>
        <v>1252241314897068095</v>
      </c>
    </row>
    <row r="165">
      <c r="A165" s="140">
        <v>218.0</v>
      </c>
      <c r="B165" s="125" t="str">
        <f>VLOOKUP(A165,'Swiss Registry'!$A$2:$B$703,2,False)</f>
        <v>PuruglyIsUgly</v>
      </c>
      <c r="C165" s="105" t="str">
        <f t="shared" si="13"/>
        <v>Game 1</v>
      </c>
      <c r="D165" s="106" t="str">
        <f t="shared" si="16"/>
        <v>Game 2</v>
      </c>
      <c r="E165" s="107" t="str">
        <f t="shared" si="15"/>
        <v/>
      </c>
      <c r="F165" s="125" t="str">
        <f>VLOOKUP(G165,'Swiss Registry'!$A$2:$B$703,2,False)</f>
        <v>SentientSanchez</v>
      </c>
      <c r="G165" s="145">
        <v>481.0</v>
      </c>
      <c r="H165" s="93" t="s">
        <v>2736</v>
      </c>
      <c r="I165" s="141" t="str">
        <f t="array" ref="I165">XLOOKUP(CELL("contents",B165),'Swiss Registry'!$B$2:$B$703,'Swiss Registry'!$N$2:$N$703) </f>
        <v>600422095641378837</v>
      </c>
      <c r="J165" s="142" t="str">
        <f t="array" ref="J165">XLOOKUP(CELL("contents",F165),'Swiss Registry'!$B$2:$B$703,'Swiss Registry'!$N$2:$N$703) </f>
        <v>730510085079433268</v>
      </c>
    </row>
    <row r="166" ht="15.0" customHeight="1">
      <c r="A166" s="122"/>
      <c r="B166" s="122"/>
      <c r="C166" s="123"/>
      <c r="D166" s="138" t="s">
        <v>1593</v>
      </c>
      <c r="E166" s="123"/>
      <c r="F166" s="122"/>
      <c r="G166" s="146"/>
      <c r="H166" s="93"/>
      <c r="I166" s="139"/>
      <c r="J166" s="139"/>
    </row>
    <row r="167">
      <c r="A167" s="140">
        <v>614.0</v>
      </c>
      <c r="B167" s="125" t="str">
        <f>VLOOKUP(A167,'Swiss Registry'!$A$2:$B$703,2,False)</f>
        <v>Leeto64</v>
      </c>
      <c r="C167" s="111" t="str">
        <f t="shared" ref="C167:C205" si="17">IF(H167="dead","",IF(H167="a:act","",IF(H167="b:act","",IF(ISURL(HYPERLINK(INDIRECT("Importer!B"&amp;MID(H167,2,4)+1,TRUE))),HYPERLINK(INDIRECT("Importer!B"&amp;MID(H167,2,4)+1,TRUE), "Game 1"),""))))</f>
        <v/>
      </c>
      <c r="D167" s="112" t="str">
        <f t="shared" ref="D167:D201" si="18">IF(H167="dead","Dead Game",IF(H167="a:act","Act: "&amp;B167,IF(H167="b:act","Act: "&amp;F167,IF(ISURL(HYPERLINK(INDIRECT("Importer!B"&amp;MID(H167,6,4)+1,TRUE))),HYPERLINK(INDIRECT("Importer!B"&amp;MID(H167,6,4)+1,TRUE), "Game 2"),""))))</f>
        <v>Act: Leeto64</v>
      </c>
      <c r="E167" s="107" t="str">
        <f t="shared" ref="E167:E205" si="19">IF(H167="dead","",IF(H167="a:act","",IF(H167="b:act","",IF(ISURL(HYPERLINK(INDIRECT("Importer!B"&amp;MID(H167,10,4)+1,TRUE))),HYPERLINK(INDIRECT("Importer!B"&amp;MID(H167,10,4)+1,TRUE), "Game 3"),""))))</f>
        <v/>
      </c>
      <c r="F167" s="125" t="str">
        <f>VLOOKUP(G167,'Swiss Registry'!$A$2:$B$703,2,False)</f>
        <v>olliertlol</v>
      </c>
      <c r="G167" s="145">
        <v>514.0</v>
      </c>
      <c r="H167" s="93" t="s">
        <v>1486</v>
      </c>
      <c r="I167" s="141" t="str">
        <f t="array" ref="I167">XLOOKUP(CELL("contents",B167),'Swiss Registry'!$B$2:$B$703,'Swiss Registry'!$N$2:$N$703) </f>
        <v>170563833054625792</v>
      </c>
      <c r="J167" s="142" t="str">
        <f t="array" ref="J167">XLOOKUP(CELL("contents",F167),'Swiss Registry'!$B$2:$B$703,'Swiss Registry'!$N$2:$N$703) </f>
        <v>1217597446507729028</v>
      </c>
    </row>
    <row r="168">
      <c r="A168" s="140">
        <v>405.0</v>
      </c>
      <c r="B168" s="125" t="str">
        <f>VLOOKUP(A168,'Swiss Registry'!$A$2:$B$703,2,False)</f>
        <v>doh#5604</v>
      </c>
      <c r="C168" s="105" t="str">
        <f t="shared" si="17"/>
        <v>Game 1</v>
      </c>
      <c r="D168" s="106" t="str">
        <f t="shared" si="18"/>
        <v>Game 2</v>
      </c>
      <c r="E168" s="107" t="str">
        <f t="shared" si="19"/>
        <v/>
      </c>
      <c r="F168" s="125" t="str">
        <f>VLOOKUP(G168,'Swiss Registry'!$A$2:$B$703,2,False)</f>
        <v>green.9082</v>
      </c>
      <c r="G168" s="145">
        <v>287.0</v>
      </c>
      <c r="H168" s="93" t="s">
        <v>2737</v>
      </c>
      <c r="I168" s="141" t="str">
        <f t="array" ref="I168">XLOOKUP(CELL("contents",B168),'Swiss Registry'!$B$2:$B$703,'Swiss Registry'!$N$2:$N$703) </f>
        <v>612030143174803466</v>
      </c>
      <c r="J168" s="142" t="str">
        <f t="array" ref="J168">XLOOKUP(CELL("contents",F168),'Swiss Registry'!$B$2:$B$703,'Swiss Registry'!$N$2:$N$703) </f>
        <v>627563478973939723</v>
      </c>
    </row>
    <row r="169">
      <c r="A169" s="140">
        <v>559.0</v>
      </c>
      <c r="B169" s="125" t="str">
        <f>VLOOKUP(A169,'Swiss Registry'!$A$2:$B$703,2,False)</f>
        <v>Mimien97</v>
      </c>
      <c r="C169" s="105" t="str">
        <f t="shared" si="17"/>
        <v>Game 1</v>
      </c>
      <c r="D169" s="106" t="str">
        <f t="shared" si="18"/>
        <v>Game 2</v>
      </c>
      <c r="E169" s="107" t="str">
        <f t="shared" si="19"/>
        <v/>
      </c>
      <c r="F169" s="125" t="str">
        <f>VLOOKUP(G169,'Swiss Registry'!$A$2:$B$703,2,False)</f>
        <v>sdj</v>
      </c>
      <c r="G169" s="145">
        <v>647.0</v>
      </c>
      <c r="H169" s="93" t="s">
        <v>2738</v>
      </c>
      <c r="I169" s="141" t="str">
        <f t="array" ref="I169">XLOOKUP(CELL("contents",B169),'Swiss Registry'!$B$2:$B$703,'Swiss Registry'!$N$2:$N$703) </f>
        <v>441260054461546496</v>
      </c>
      <c r="J169" s="142" t="str">
        <f t="array" ref="J169">XLOOKUP(CELL("contents",F169),'Swiss Registry'!$B$2:$B$703,'Swiss Registry'!$N$2:$N$703) </f>
        <v>229267701514764288</v>
      </c>
    </row>
    <row r="170">
      <c r="A170" s="140">
        <v>400.0</v>
      </c>
      <c r="B170" s="125" t="str">
        <f>VLOOKUP(A170,'Swiss Registry'!$A$2:$B$703,2,False)</f>
        <v>dragonlord6954</v>
      </c>
      <c r="C170" s="105" t="str">
        <f t="shared" si="17"/>
        <v>Game 1</v>
      </c>
      <c r="D170" s="106" t="str">
        <f t="shared" si="18"/>
        <v>Game 2</v>
      </c>
      <c r="E170" s="110" t="str">
        <f t="shared" si="19"/>
        <v>Game 3</v>
      </c>
      <c r="F170" s="125" t="str">
        <f>VLOOKUP(G170,'Swiss Registry'!$A$2:$B$703,2,False)</f>
        <v>Calm Stiege</v>
      </c>
      <c r="G170" s="145">
        <v>160.0</v>
      </c>
      <c r="H170" s="93" t="s">
        <v>2739</v>
      </c>
      <c r="I170" s="141" t="str">
        <f t="array" ref="I170">XLOOKUP(CELL("contents",B170),'Swiss Registry'!$B$2:$B$703,'Swiss Registry'!$N$2:$N$703) </f>
        <v>1071049773546733670</v>
      </c>
      <c r="J170" s="142" t="str">
        <f t="array" ref="J170">XLOOKUP(CELL("contents",F170),'Swiss Registry'!$B$2:$B$703,'Swiss Registry'!$N$2:$N$703) </f>
        <v>486649841347330048</v>
      </c>
    </row>
    <row r="171">
      <c r="A171" s="140">
        <v>510.0</v>
      </c>
      <c r="B171" s="125" t="str">
        <f>VLOOKUP(A171,'Swiss Registry'!$A$2:$B$703,2,False)</f>
        <v>Melninja</v>
      </c>
      <c r="C171" s="105" t="str">
        <f t="shared" si="17"/>
        <v>Game 1</v>
      </c>
      <c r="D171" s="106" t="str">
        <f t="shared" si="18"/>
        <v>Game 2</v>
      </c>
      <c r="E171" s="110" t="str">
        <f t="shared" si="19"/>
        <v>Game 3</v>
      </c>
      <c r="F171" s="125" t="str">
        <f>VLOOKUP(G171,'Swiss Registry'!$A$2:$B$703,2,False)</f>
        <v>skittleskitty</v>
      </c>
      <c r="G171" s="145">
        <v>243.0</v>
      </c>
      <c r="H171" s="93" t="s">
        <v>2740</v>
      </c>
      <c r="I171" s="141" t="str">
        <f t="array" ref="I171">XLOOKUP(CELL("contents",B171),'Swiss Registry'!$B$2:$B$703,'Swiss Registry'!$N$2:$N$703) </f>
        <v>303553097584607249</v>
      </c>
      <c r="J171" s="142" t="str">
        <f t="array" ref="J171">XLOOKUP(CELL("contents",F171),'Swiss Registry'!$B$2:$B$703,'Swiss Registry'!$N$2:$N$703) </f>
        <v>280113950140530699</v>
      </c>
    </row>
    <row r="172">
      <c r="A172" s="140">
        <v>492.0</v>
      </c>
      <c r="B172" s="125" t="str">
        <f>VLOOKUP(A172,'Swiss Registry'!$A$2:$B$703,2,False)</f>
        <v>cisconduct</v>
      </c>
      <c r="C172" s="105" t="str">
        <f t="shared" si="17"/>
        <v>Game 1</v>
      </c>
      <c r="D172" s="106" t="str">
        <f t="shared" si="18"/>
        <v>Game 2</v>
      </c>
      <c r="E172" s="110" t="str">
        <f t="shared" si="19"/>
        <v>Game 3</v>
      </c>
      <c r="F172" s="125" t="str">
        <f>VLOOKUP(G172,'Swiss Registry'!$A$2:$B$703,2,False)</f>
        <v>@pek__</v>
      </c>
      <c r="G172" s="145">
        <v>696.0</v>
      </c>
      <c r="H172" s="93" t="s">
        <v>2741</v>
      </c>
      <c r="I172" s="141" t="str">
        <f t="array" ref="I172">XLOOKUP(CELL("contents",B172),'Swiss Registry'!$B$2:$B$703,'Swiss Registry'!$N$2:$N$703) </f>
        <v>703804773228609587</v>
      </c>
      <c r="J172" s="142" t="str">
        <f t="array" ref="J172">XLOOKUP(CELL("contents",F172),'Swiss Registry'!$B$2:$B$703,'Swiss Registry'!$N$2:$N$703) </f>
        <v>195931152521887744</v>
      </c>
    </row>
    <row r="173">
      <c r="A173" s="140">
        <v>261.0</v>
      </c>
      <c r="B173" s="125" t="str">
        <f>VLOOKUP(A173,'Swiss Registry'!$A$2:$B$703,2,False)</f>
        <v>doc.steel</v>
      </c>
      <c r="C173" s="105" t="str">
        <f t="shared" si="17"/>
        <v>Game 1</v>
      </c>
      <c r="D173" s="106" t="str">
        <f t="shared" si="18"/>
        <v>Game 2</v>
      </c>
      <c r="E173" s="107" t="str">
        <f t="shared" si="19"/>
        <v/>
      </c>
      <c r="F173" s="125" t="str">
        <f>VLOOKUP(G173,'Swiss Registry'!$A$2:$B$703,2,False)</f>
        <v>koentjelub</v>
      </c>
      <c r="G173" s="145">
        <v>282.0</v>
      </c>
      <c r="H173" s="93" t="s">
        <v>2742</v>
      </c>
      <c r="I173" s="141" t="str">
        <f t="array" ref="I173">XLOOKUP(CELL("contents",B173),'Swiss Registry'!$B$2:$B$703,'Swiss Registry'!$N$2:$N$703) </f>
        <v>549319366538428453</v>
      </c>
      <c r="J173" s="142" t="str">
        <f t="array" ref="J173">XLOOKUP(CELL("contents",F173),'Swiss Registry'!$B$2:$B$703,'Swiss Registry'!$N$2:$N$703) </f>
        <v>862347198805442600</v>
      </c>
    </row>
    <row r="174">
      <c r="A174" s="140">
        <v>582.0</v>
      </c>
      <c r="B174" s="125" t="str">
        <f>VLOOKUP(A174,'Swiss Registry'!$A$2:$B$703,2,False)</f>
        <v>swordpeace3232</v>
      </c>
      <c r="C174" s="105" t="str">
        <f t="shared" si="17"/>
        <v>Game 1</v>
      </c>
      <c r="D174" s="106" t="str">
        <f t="shared" si="18"/>
        <v>Game 2</v>
      </c>
      <c r="E174" s="110" t="str">
        <f t="shared" si="19"/>
        <v>Game 3</v>
      </c>
      <c r="F174" s="125" t="str">
        <f>VLOOKUP(G174,'Swiss Registry'!$A$2:$B$703,2,False)</f>
        <v>Ehtis</v>
      </c>
      <c r="G174" s="145">
        <v>675.0</v>
      </c>
      <c r="H174" s="93" t="s">
        <v>2743</v>
      </c>
      <c r="I174" s="141" t="str">
        <f t="array" ref="I174">XLOOKUP(CELL("contents",B174),'Swiss Registry'!$B$2:$B$703,'Swiss Registry'!$N$2:$N$703) </f>
        <v>578664990714888212</v>
      </c>
      <c r="J174" s="142" t="str">
        <f t="array" ref="J174">XLOOKUP(CELL("contents",F174),'Swiss Registry'!$B$2:$B$703,'Swiss Registry'!$N$2:$N$703) </f>
        <v>318819800639995904</v>
      </c>
    </row>
    <row r="175">
      <c r="A175" s="140">
        <v>484.0</v>
      </c>
      <c r="B175" s="125" t="str">
        <f>VLOOKUP(A175,'Swiss Registry'!$A$2:$B$703,2,False)</f>
        <v>LevysChair</v>
      </c>
      <c r="C175" s="105" t="str">
        <f t="shared" si="17"/>
        <v>Game 1</v>
      </c>
      <c r="D175" s="106" t="str">
        <f t="shared" si="18"/>
        <v>Game 2</v>
      </c>
      <c r="E175" s="110" t="str">
        <f t="shared" si="19"/>
        <v>Game 3</v>
      </c>
      <c r="F175" s="125" t="str">
        <f>VLOOKUP(G175,'Swiss Registry'!$A$2:$B$703,2,False)</f>
        <v>Vassimobin</v>
      </c>
      <c r="G175" s="145">
        <v>628.0</v>
      </c>
      <c r="H175" s="93" t="s">
        <v>2744</v>
      </c>
      <c r="I175" s="141" t="str">
        <f t="array" ref="I175">XLOOKUP(CELL("contents",B175),'Swiss Registry'!$B$2:$B$703,'Swiss Registry'!$N$2:$N$703) </f>
        <v>287039271523844096</v>
      </c>
      <c r="J175" s="142" t="str">
        <f t="array" ref="J175">XLOOKUP(CELL("contents",F175),'Swiss Registry'!$B$2:$B$703,'Swiss Registry'!$N$2:$N$703) </f>
        <v>521813775586951183</v>
      </c>
    </row>
    <row r="176">
      <c r="A176" s="140">
        <v>198.0</v>
      </c>
      <c r="B176" s="125" t="str">
        <f>VLOOKUP(A176,'Swiss Registry'!$A$2:$B$703,2,False)</f>
        <v>Kenava</v>
      </c>
      <c r="C176" s="105" t="str">
        <f t="shared" si="17"/>
        <v>Game 1</v>
      </c>
      <c r="D176" s="106" t="str">
        <f t="shared" si="18"/>
        <v>Game 2</v>
      </c>
      <c r="E176" s="110" t="str">
        <f t="shared" si="19"/>
        <v>Game 3</v>
      </c>
      <c r="F176" s="125" t="str">
        <f>VLOOKUP(G176,'Swiss Registry'!$A$2:$B$703,2,False)</f>
        <v>dinkdank_</v>
      </c>
      <c r="G176" s="145">
        <v>621.0</v>
      </c>
      <c r="H176" s="93" t="s">
        <v>2745</v>
      </c>
      <c r="I176" s="141" t="str">
        <f t="array" ref="I176">XLOOKUP(CELL("contents",B176),'Swiss Registry'!$B$2:$B$703,'Swiss Registry'!$N$2:$N$703) </f>
        <v>727218490024394774</v>
      </c>
      <c r="J176" s="142" t="str">
        <f t="array" ref="J176">XLOOKUP(CELL("contents",F176),'Swiss Registry'!$B$2:$B$703,'Swiss Registry'!$N$2:$N$703) </f>
        <v>722616383233589266</v>
      </c>
    </row>
    <row r="177">
      <c r="A177" s="140">
        <v>573.0</v>
      </c>
      <c r="B177" s="125" t="str">
        <f>VLOOKUP(A177,'Swiss Registry'!$A$2:$B$703,2,False)</f>
        <v>tamafuyu</v>
      </c>
      <c r="C177" s="105" t="str">
        <f t="shared" si="17"/>
        <v>Game 1</v>
      </c>
      <c r="D177" s="106" t="str">
        <f t="shared" si="18"/>
        <v>Game 2</v>
      </c>
      <c r="E177" s="107" t="str">
        <f t="shared" si="19"/>
        <v/>
      </c>
      <c r="F177" s="125" t="str">
        <f>VLOOKUP(G177,'Swiss Registry'!$A$2:$B$703,2,False)</f>
        <v>chrisdrums19</v>
      </c>
      <c r="G177" s="145">
        <v>439.0</v>
      </c>
      <c r="H177" s="93" t="s">
        <v>2746</v>
      </c>
      <c r="I177" s="141" t="str">
        <f t="array" ref="I177">XLOOKUP(CELL("contents",B177),'Swiss Registry'!$B$2:$B$703,'Swiss Registry'!$N$2:$N$703) </f>
        <v>98886753485623296</v>
      </c>
      <c r="J177" s="142" t="str">
        <f t="array" ref="J177">XLOOKUP(CELL("contents",F177),'Swiss Registry'!$B$2:$B$703,'Swiss Registry'!$N$2:$N$703) </f>
        <v>213534987708923905</v>
      </c>
    </row>
    <row r="178">
      <c r="A178" s="140">
        <v>296.0</v>
      </c>
      <c r="B178" s="125" t="str">
        <f>VLOOKUP(A178,'Swiss Registry'!$A$2:$B$703,2,False)</f>
        <v>Superstar</v>
      </c>
      <c r="C178" s="105" t="str">
        <f t="shared" si="17"/>
        <v>Game 1</v>
      </c>
      <c r="D178" s="106" t="str">
        <f t="shared" si="18"/>
        <v>Game 2</v>
      </c>
      <c r="E178" s="110" t="str">
        <f t="shared" si="19"/>
        <v>Game 3</v>
      </c>
      <c r="F178" s="125" t="str">
        <f>VLOOKUP(G178,'Swiss Registry'!$A$2:$B$703,2,False)</f>
        <v>comseal</v>
      </c>
      <c r="G178" s="145">
        <v>427.0</v>
      </c>
      <c r="H178" s="93" t="s">
        <v>2747</v>
      </c>
      <c r="I178" s="141" t="str">
        <f t="array" ref="I178">XLOOKUP(CELL("contents",B178),'Swiss Registry'!$B$2:$B$703,'Swiss Registry'!$N$2:$N$703) </f>
        <v>563859704300699688</v>
      </c>
      <c r="J178" s="142" t="str">
        <f t="array" ref="J178">XLOOKUP(CELL("contents",F178),'Swiss Registry'!$B$2:$B$703,'Swiss Registry'!$N$2:$N$703) </f>
        <v>282867212270698496</v>
      </c>
    </row>
    <row r="179">
      <c r="A179" s="140">
        <v>414.0</v>
      </c>
      <c r="B179" s="125" t="str">
        <f>VLOOKUP(A179,'Swiss Registry'!$A$2:$B$703,2,False)</f>
        <v>KeshBa45</v>
      </c>
      <c r="C179" s="105" t="str">
        <f t="shared" si="17"/>
        <v>Game 1</v>
      </c>
      <c r="D179" s="106" t="str">
        <f t="shared" si="18"/>
        <v>Game 2</v>
      </c>
      <c r="E179" s="107" t="str">
        <f t="shared" si="19"/>
        <v/>
      </c>
      <c r="F179" s="125" t="str">
        <f>VLOOKUP(G179,'Swiss Registry'!$A$2:$B$703,2,False)</f>
        <v>dustyfans</v>
      </c>
      <c r="G179" s="145">
        <v>630.0</v>
      </c>
      <c r="H179" s="93" t="s">
        <v>2748</v>
      </c>
      <c r="I179" s="141" t="str">
        <f t="array" ref="I179">XLOOKUP(CELL("contents",B179),'Swiss Registry'!$B$2:$B$703,'Swiss Registry'!$N$2:$N$703) </f>
        <v>1171463268276113533</v>
      </c>
      <c r="J179" s="142" t="str">
        <f t="array" ref="J179">XLOOKUP(CELL("contents",F179),'Swiss Registry'!$B$2:$B$703,'Swiss Registry'!$N$2:$N$703) </f>
        <v>325004772493230092</v>
      </c>
    </row>
    <row r="180">
      <c r="A180" s="140">
        <v>574.0</v>
      </c>
      <c r="B180" s="125" t="str">
        <f>VLOOKUP(A180,'Swiss Registry'!$A$2:$B$703,2,False)</f>
        <v>crustaceus</v>
      </c>
      <c r="C180" s="105" t="str">
        <f t="shared" si="17"/>
        <v>Game 1</v>
      </c>
      <c r="D180" s="106" t="str">
        <f t="shared" si="18"/>
        <v>Game 2</v>
      </c>
      <c r="E180" s="107" t="str">
        <f t="shared" si="19"/>
        <v/>
      </c>
      <c r="F180" s="125" t="str">
        <f>VLOOKUP(G180,'Swiss Registry'!$A$2:$B$703,2,False)</f>
        <v>Ktools#9665</v>
      </c>
      <c r="G180" s="145">
        <v>617.0</v>
      </c>
      <c r="H180" s="93" t="s">
        <v>2749</v>
      </c>
      <c r="I180" s="141" t="str">
        <f t="array" ref="I180">XLOOKUP(CELL("contents",B180),'Swiss Registry'!$B$2:$B$703,'Swiss Registry'!$N$2:$N$703) </f>
        <v>119952719183216640</v>
      </c>
      <c r="J180" s="142" t="str">
        <f t="array" ref="J180">XLOOKUP(CELL("contents",F180),'Swiss Registry'!$B$2:$B$703,'Swiss Registry'!$N$2:$N$703) </f>
        <v>225653665149616129</v>
      </c>
    </row>
    <row r="181">
      <c r="A181" s="140">
        <v>397.0</v>
      </c>
      <c r="B181" s="125" t="str">
        <f>VLOOKUP(A181,'Swiss Registry'!$A$2:$B$703,2,False)</f>
        <v>Polt99</v>
      </c>
      <c r="C181" s="105" t="str">
        <f t="shared" si="17"/>
        <v>Game 1</v>
      </c>
      <c r="D181" s="106" t="str">
        <f t="shared" si="18"/>
        <v>Game 2</v>
      </c>
      <c r="E181" s="110" t="str">
        <f t="shared" si="19"/>
        <v>Game 3</v>
      </c>
      <c r="F181" s="125" t="str">
        <f>VLOOKUP(G181,'Swiss Registry'!$A$2:$B$703,2,False)</f>
        <v>Mamakoko</v>
      </c>
      <c r="G181" s="145">
        <v>154.0</v>
      </c>
      <c r="H181" s="93" t="s">
        <v>2750</v>
      </c>
      <c r="I181" s="141" t="str">
        <f t="array" ref="I181">XLOOKUP(CELL("contents",B181),'Swiss Registry'!$B$2:$B$703,'Swiss Registry'!$N$2:$N$703) </f>
        <v>760539294652694588</v>
      </c>
      <c r="J181" s="142" t="str">
        <f t="array" ref="J181">XLOOKUP(CELL("contents",F181),'Swiss Registry'!$B$2:$B$703,'Swiss Registry'!$N$2:$N$703) </f>
        <v>652184640559382538</v>
      </c>
    </row>
    <row r="182">
      <c r="A182" s="140">
        <v>598.0</v>
      </c>
      <c r="B182" s="125" t="str">
        <f>VLOOKUP(A182,'Swiss Registry'!$A$2:$B$703,2,False)</f>
        <v>draccus_comun</v>
      </c>
      <c r="C182" s="105" t="str">
        <f t="shared" si="17"/>
        <v>Game 1</v>
      </c>
      <c r="D182" s="106" t="str">
        <f t="shared" si="18"/>
        <v>Game 2</v>
      </c>
      <c r="E182" s="110" t="str">
        <f t="shared" si="19"/>
        <v>Game 3</v>
      </c>
      <c r="F182" s="125" t="str">
        <f>VLOOKUP(G182,'Swiss Registry'!$A$2:$B$703,2,False)</f>
        <v>aldrichunfaithful</v>
      </c>
      <c r="G182" s="145">
        <v>691.0</v>
      </c>
      <c r="H182" s="93" t="s">
        <v>2751</v>
      </c>
      <c r="I182" s="141" t="str">
        <f t="array" ref="I182">XLOOKUP(CELL("contents",B182),'Swiss Registry'!$B$2:$B$703,'Swiss Registry'!$N$2:$N$703) </f>
        <v>1288506532857909365</v>
      </c>
      <c r="J182" s="142" t="str">
        <f t="array" ref="J182">XLOOKUP(CELL("contents",F182),'Swiss Registry'!$B$2:$B$703,'Swiss Registry'!$N$2:$N$703) </f>
        <v>743954201222053955</v>
      </c>
    </row>
    <row r="183">
      <c r="A183" s="140">
        <v>410.0</v>
      </c>
      <c r="B183" s="125" t="str">
        <f>VLOOKUP(A183,'Swiss Registry'!$A$2:$B$703,2,False)</f>
        <v>ultraemeraldman_16197</v>
      </c>
      <c r="C183" s="105" t="str">
        <f t="shared" si="17"/>
        <v>Game 1</v>
      </c>
      <c r="D183" s="106" t="str">
        <f t="shared" si="18"/>
        <v>Game 2</v>
      </c>
      <c r="E183" s="110" t="str">
        <f t="shared" si="19"/>
        <v>Game 3</v>
      </c>
      <c r="F183" s="125" t="str">
        <f>VLOOKUP(G183,'Swiss Registry'!$A$2:$B$703,2,False)</f>
        <v>frogsella</v>
      </c>
      <c r="G183" s="145">
        <v>583.0</v>
      </c>
      <c r="H183" s="93" t="s">
        <v>2752</v>
      </c>
      <c r="I183" s="141" t="str">
        <f t="array" ref="I183">XLOOKUP(CELL("contents",B183),'Swiss Registry'!$B$2:$B$703,'Swiss Registry'!$N$2:$N$703) </f>
        <v>1160240514046631987</v>
      </c>
      <c r="J183" s="142" t="str">
        <f t="array" ref="J183">XLOOKUP(CELL("contents",F183),'Swiss Registry'!$B$2:$B$703,'Swiss Registry'!$N$2:$N$703) </f>
        <v>229061659698659328</v>
      </c>
    </row>
    <row r="184">
      <c r="A184" s="140">
        <v>383.0</v>
      </c>
      <c r="B184" s="125" t="str">
        <f>VLOOKUP(A184,'Swiss Registry'!$A$2:$B$703,2,False)</f>
        <v>treeshhhh</v>
      </c>
      <c r="C184" s="105" t="str">
        <f t="shared" si="17"/>
        <v>Game 1</v>
      </c>
      <c r="D184" s="106" t="str">
        <f t="shared" si="18"/>
        <v>Game 2</v>
      </c>
      <c r="E184" s="110" t="str">
        <f t="shared" si="19"/>
        <v>Game 3</v>
      </c>
      <c r="F184" s="125" t="str">
        <f>VLOOKUP(G184,'Swiss Registry'!$A$2:$B$703,2,False)</f>
        <v>Klird</v>
      </c>
      <c r="G184" s="145">
        <v>599.0</v>
      </c>
      <c r="H184" s="93" t="s">
        <v>2753</v>
      </c>
      <c r="I184" s="141" t="str">
        <f t="array" ref="I184">XLOOKUP(CELL("contents",B184),'Swiss Registry'!$B$2:$B$703,'Swiss Registry'!$N$2:$N$703) </f>
        <v>844002548070875156</v>
      </c>
      <c r="J184" s="142" t="str">
        <f t="array" ref="J184">XLOOKUP(CELL("contents",F184),'Swiss Registry'!$B$2:$B$703,'Swiss Registry'!$N$2:$N$703) </f>
        <v>393218478187741186</v>
      </c>
    </row>
    <row r="185">
      <c r="A185" s="140">
        <v>521.0</v>
      </c>
      <c r="B185" s="125" t="str">
        <f>VLOOKUP(A185,'Swiss Registry'!$A$2:$B$703,2,False)</f>
        <v>Grain_Jar</v>
      </c>
      <c r="C185" s="105" t="str">
        <f t="shared" si="17"/>
        <v>Game 1</v>
      </c>
      <c r="D185" s="106" t="str">
        <f t="shared" si="18"/>
        <v>Game 2</v>
      </c>
      <c r="E185" s="107" t="str">
        <f t="shared" si="19"/>
        <v/>
      </c>
      <c r="F185" s="125" t="str">
        <f>VLOOKUP(G185,'Swiss Registry'!$A$2:$B$703,2,False)</f>
        <v>Typlion</v>
      </c>
      <c r="G185" s="145">
        <v>357.0</v>
      </c>
      <c r="H185" s="93" t="s">
        <v>2754</v>
      </c>
      <c r="I185" s="141" t="str">
        <f t="array" ref="I185">XLOOKUP(CELL("contents",B185),'Swiss Registry'!$B$2:$B$703,'Swiss Registry'!$N$2:$N$703) </f>
        <v>348920220192210955</v>
      </c>
      <c r="J185" s="142" t="str">
        <f t="array" ref="J185">XLOOKUP(CELL("contents",F185),'Swiss Registry'!$B$2:$B$703,'Swiss Registry'!$N$2:$N$703) </f>
        <v>306096394463215618</v>
      </c>
    </row>
    <row r="186">
      <c r="A186" s="140">
        <v>412.0</v>
      </c>
      <c r="B186" s="125" t="str">
        <f>VLOOKUP(A186,'Swiss Registry'!$A$2:$B$703,2,False)</f>
        <v>Yatagarasuwu</v>
      </c>
      <c r="C186" s="111" t="str">
        <f t="shared" si="17"/>
        <v/>
      </c>
      <c r="D186" s="112" t="str">
        <f t="shared" si="18"/>
        <v>Act: I am the Jarl</v>
      </c>
      <c r="E186" s="107" t="str">
        <f t="shared" si="19"/>
        <v/>
      </c>
      <c r="F186" s="125" t="str">
        <f>VLOOKUP(G186,'Swiss Registry'!$A$2:$B$703,2,False)</f>
        <v>I am the Jarl</v>
      </c>
      <c r="G186" s="145">
        <v>220.0</v>
      </c>
      <c r="H186" s="93" t="s">
        <v>1523</v>
      </c>
      <c r="I186" s="141" t="str">
        <f t="array" ref="I186">XLOOKUP(CELL("contents",B186),'Swiss Registry'!$B$2:$B$703,'Swiss Registry'!$N$2:$N$703) </f>
        <v>260941235768786944</v>
      </c>
      <c r="J186" s="142" t="str">
        <f t="array" ref="J186">XLOOKUP(CELL("contents",F186),'Swiss Registry'!$B$2:$B$703,'Swiss Registry'!$N$2:$N$703) </f>
        <v>800149729161248800</v>
      </c>
    </row>
    <row r="187">
      <c r="A187" s="140">
        <v>626.0</v>
      </c>
      <c r="B187" s="125" t="str">
        <f>VLOOKUP(A187,'Swiss Registry'!$A$2:$B$703,2,False)</f>
        <v>tsuki.no.miko</v>
      </c>
      <c r="C187" s="105" t="str">
        <f t="shared" si="17"/>
        <v>Game 1</v>
      </c>
      <c r="D187" s="106" t="str">
        <f t="shared" si="18"/>
        <v>Game 2</v>
      </c>
      <c r="E187" s="110" t="str">
        <f t="shared" si="19"/>
        <v>Game 3</v>
      </c>
      <c r="F187" s="125" t="str">
        <f>VLOOKUP(G187,'Swiss Registry'!$A$2:$B$703,2,False)</f>
        <v>scrapmetal56</v>
      </c>
      <c r="G187" s="145">
        <v>644.0</v>
      </c>
      <c r="H187" s="93" t="s">
        <v>2755</v>
      </c>
      <c r="I187" s="141" t="str">
        <f t="array" ref="I187">XLOOKUP(CELL("contents",B187),'Swiss Registry'!$B$2:$B$703,'Swiss Registry'!$N$2:$N$703) </f>
        <v>285250442479403010</v>
      </c>
      <c r="J187" s="142" t="str">
        <f t="array" ref="J187">XLOOKUP(CELL("contents",F187),'Swiss Registry'!$B$2:$B$703,'Swiss Registry'!$N$2:$N$703) </f>
        <v>289371283995492352</v>
      </c>
    </row>
    <row r="188">
      <c r="A188" s="140">
        <v>683.0</v>
      </c>
      <c r="B188" s="125" t="str">
        <f>VLOOKUP(A188,'Swiss Registry'!$A$2:$B$703,2,False)</f>
        <v>ManiacalDolphin</v>
      </c>
      <c r="C188" s="105" t="str">
        <f t="shared" si="17"/>
        <v>Game 1</v>
      </c>
      <c r="D188" s="106" t="str">
        <f t="shared" si="18"/>
        <v>Game 2</v>
      </c>
      <c r="E188" s="107" t="str">
        <f t="shared" si="19"/>
        <v/>
      </c>
      <c r="F188" s="125" t="str">
        <f>VLOOKUP(G188,'Swiss Registry'!$A$2:$B$703,2,False)</f>
        <v>Rezzo</v>
      </c>
      <c r="G188" s="145">
        <v>149.0</v>
      </c>
      <c r="H188" s="93" t="s">
        <v>2756</v>
      </c>
      <c r="I188" s="141" t="str">
        <f t="array" ref="I188">XLOOKUP(CELL("contents",B188),'Swiss Registry'!$B$2:$B$703,'Swiss Registry'!$N$2:$N$703) </f>
        <v>218904208110387204</v>
      </c>
      <c r="J188" s="142" t="str">
        <f t="array" ref="J188">XLOOKUP(CELL("contents",F188),'Swiss Registry'!$B$2:$B$703,'Swiss Registry'!$N$2:$N$703) </f>
        <v>208377004209209344</v>
      </c>
    </row>
    <row r="189">
      <c r="A189" s="140">
        <v>117.0</v>
      </c>
      <c r="B189" s="125" t="str">
        <f>VLOOKUP(A189,'Swiss Registry'!$A$2:$B$703,2,False)</f>
        <v>diegoyuhhi</v>
      </c>
      <c r="C189" s="111" t="str">
        <f t="shared" si="17"/>
        <v/>
      </c>
      <c r="D189" s="112" t="str">
        <f t="shared" si="18"/>
        <v>Act: Sificon</v>
      </c>
      <c r="E189" s="107" t="str">
        <f t="shared" si="19"/>
        <v/>
      </c>
      <c r="F189" s="125" t="str">
        <f>VLOOKUP(G189,'Swiss Registry'!$A$2:$B$703,2,False)</f>
        <v>Sificon</v>
      </c>
      <c r="G189" s="145">
        <v>471.0</v>
      </c>
      <c r="H189" s="93" t="s">
        <v>1523</v>
      </c>
      <c r="I189" s="141" t="str">
        <f t="array" ref="I189">XLOOKUP(CELL("contents",B189),'Swiss Registry'!$B$2:$B$703,'Swiss Registry'!$N$2:$N$703) </f>
        <v>533729841275600906</v>
      </c>
      <c r="J189" s="142" t="str">
        <f t="array" ref="J189">XLOOKUP(CELL("contents",F189),'Swiss Registry'!$B$2:$B$703,'Swiss Registry'!$N$2:$N$703) </f>
        <v>363775331292676097</v>
      </c>
    </row>
    <row r="190">
      <c r="A190" s="140">
        <v>674.0</v>
      </c>
      <c r="B190" s="125" t="str">
        <f>VLOOKUP(A190,'Swiss Registry'!$A$2:$B$703,2,False)</f>
        <v>Hypermoth</v>
      </c>
      <c r="C190" s="105" t="str">
        <f t="shared" si="17"/>
        <v>Game 1</v>
      </c>
      <c r="D190" s="106" t="str">
        <f t="shared" si="18"/>
        <v>Game 2</v>
      </c>
      <c r="E190" s="107" t="str">
        <f t="shared" si="19"/>
        <v/>
      </c>
      <c r="F190" s="125" t="str">
        <f>VLOOKUP(G190,'Swiss Registry'!$A$2:$B$703,2,False)</f>
        <v>darth_halux</v>
      </c>
      <c r="G190" s="145">
        <v>183.0</v>
      </c>
      <c r="H190" s="93" t="s">
        <v>2757</v>
      </c>
      <c r="I190" s="141" t="str">
        <f t="array" ref="I190">XLOOKUP(CELL("contents",B190),'Swiss Registry'!$B$2:$B$703,'Swiss Registry'!$N$2:$N$703) </f>
        <v>160179454256087041</v>
      </c>
      <c r="J190" s="142" t="str">
        <f t="array" ref="J190">XLOOKUP(CELL("contents",F190),'Swiss Registry'!$B$2:$B$703,'Swiss Registry'!$N$2:$N$703) </f>
        <v>303185896054980618</v>
      </c>
    </row>
    <row r="191">
      <c r="A191" s="140">
        <v>607.0</v>
      </c>
      <c r="B191" s="125" t="str">
        <f>VLOOKUP(A191,'Swiss Registry'!$A$2:$B$703,2,False)</f>
        <v>@xlimexheep</v>
      </c>
      <c r="C191" s="105" t="str">
        <f t="shared" si="17"/>
        <v>Game 1</v>
      </c>
      <c r="D191" s="106" t="str">
        <f t="shared" si="18"/>
        <v>Game 2</v>
      </c>
      <c r="E191" s="107" t="str">
        <f t="shared" si="19"/>
        <v/>
      </c>
      <c r="F191" s="125" t="str">
        <f>VLOOKUP(G191,'Swiss Registry'!$A$2:$B$703,2,False)</f>
        <v>charku</v>
      </c>
      <c r="G191" s="145">
        <v>263.0</v>
      </c>
      <c r="H191" s="93" t="s">
        <v>2758</v>
      </c>
      <c r="I191" s="141" t="str">
        <f t="array" ref="I191">XLOOKUP(CELL("contents",B191),'Swiss Registry'!$B$2:$B$703,'Swiss Registry'!$N$2:$N$703) </f>
        <v>172204426302324736</v>
      </c>
      <c r="J191" s="142" t="str">
        <f t="array" ref="J191">XLOOKUP(CELL("contents",F191),'Swiss Registry'!$B$2:$B$703,'Swiss Registry'!$N$2:$N$703) </f>
        <v>492288203596759042</v>
      </c>
    </row>
    <row r="192">
      <c r="A192" s="140">
        <v>563.0</v>
      </c>
      <c r="B192" s="125" t="str">
        <f>VLOOKUP(A192,'Swiss Registry'!$A$2:$B$703,2,False)</f>
        <v>Mintyfresh756</v>
      </c>
      <c r="C192" s="105" t="str">
        <f t="shared" si="17"/>
        <v>Game 1</v>
      </c>
      <c r="D192" s="106" t="str">
        <f t="shared" si="18"/>
        <v>Game 2</v>
      </c>
      <c r="E192" s="107" t="str">
        <f t="shared" si="19"/>
        <v/>
      </c>
      <c r="F192" s="125" t="str">
        <f>VLOOKUP(G192,'Swiss Registry'!$A$2:$B$703,2,False)</f>
        <v>Greyaz</v>
      </c>
      <c r="G192" s="145">
        <v>684.0</v>
      </c>
      <c r="H192" s="93" t="s">
        <v>2759</v>
      </c>
      <c r="I192" s="141" t="str">
        <f t="array" ref="I192">XLOOKUP(CELL("contents",B192),'Swiss Registry'!$B$2:$B$703,'Swiss Registry'!$N$2:$N$703) </f>
        <v>229365099960336384</v>
      </c>
      <c r="J192" s="142" t="str">
        <f t="array" ref="J192">XLOOKUP(CELL("contents",F192),'Swiss Registry'!$B$2:$B$703,'Swiss Registry'!$N$2:$N$703) </f>
        <v>267764029538304000</v>
      </c>
    </row>
    <row r="193">
      <c r="A193" s="140">
        <v>544.0</v>
      </c>
      <c r="B193" s="125" t="str">
        <f>VLOOKUP(A193,'Swiss Registry'!$A$2:$B$703,2,False)</f>
        <v>almbkn</v>
      </c>
      <c r="C193" s="105" t="str">
        <f t="shared" si="17"/>
        <v>Game 1</v>
      </c>
      <c r="D193" s="106" t="str">
        <f t="shared" si="18"/>
        <v>Game 2</v>
      </c>
      <c r="E193" s="107" t="str">
        <f t="shared" si="19"/>
        <v/>
      </c>
      <c r="F193" s="125" t="str">
        <f>VLOOKUP(G193,'Swiss Registry'!$A$2:$B$703,2,False)</f>
        <v>Dig Boshi</v>
      </c>
      <c r="G193" s="145">
        <v>643.0</v>
      </c>
      <c r="H193" s="93" t="s">
        <v>2760</v>
      </c>
      <c r="I193" s="141" t="str">
        <f t="array" ref="I193">XLOOKUP(CELL("contents",B193),'Swiss Registry'!$B$2:$B$703,'Swiss Registry'!$N$2:$N$703) </f>
        <v>152476072473133056</v>
      </c>
      <c r="J193" s="142" t="str">
        <f t="array" ref="J193">XLOOKUP(CELL("contents",F193),'Swiss Registry'!$B$2:$B$703,'Swiss Registry'!$N$2:$N$703) </f>
        <v>1041574782090620938</v>
      </c>
    </row>
    <row r="194">
      <c r="A194" s="140">
        <v>560.0</v>
      </c>
      <c r="B194" s="125" t="str">
        <f>VLOOKUP(A194,'Swiss Registry'!$A$2:$B$703,2,False)</f>
        <v>otael</v>
      </c>
      <c r="C194" s="105" t="str">
        <f t="shared" si="17"/>
        <v>Game 1</v>
      </c>
      <c r="D194" s="106" t="str">
        <f t="shared" si="18"/>
        <v>Game 2</v>
      </c>
      <c r="E194" s="107" t="str">
        <f t="shared" si="19"/>
        <v/>
      </c>
      <c r="F194" s="125" t="str">
        <f>VLOOKUP(G194,'Swiss Registry'!$A$2:$B$703,2,False)</f>
        <v>biluv_v</v>
      </c>
      <c r="G194" s="145">
        <v>449.0</v>
      </c>
      <c r="H194" s="93" t="s">
        <v>2761</v>
      </c>
      <c r="I194" s="141" t="str">
        <f t="array" ref="I194">XLOOKUP(CELL("contents",B194),'Swiss Registry'!$B$2:$B$703,'Swiss Registry'!$N$2:$N$703) </f>
        <v>123122853632540672</v>
      </c>
      <c r="J194" s="142" t="str">
        <f t="array" ref="J194">XLOOKUP(CELL("contents",F194),'Swiss Registry'!$B$2:$B$703,'Swiss Registry'!$N$2:$N$703) </f>
        <v>1073292922390319195</v>
      </c>
    </row>
    <row r="195">
      <c r="A195" s="140">
        <v>432.0</v>
      </c>
      <c r="B195" s="125" t="str">
        <f>VLOOKUP(A195,'Swiss Registry'!$A$2:$B$703,2,False)</f>
        <v>saiyanpride.</v>
      </c>
      <c r="C195" s="105" t="str">
        <f t="shared" si="17"/>
        <v>Game 1</v>
      </c>
      <c r="D195" s="106" t="str">
        <f t="shared" si="18"/>
        <v>Game 2</v>
      </c>
      <c r="E195" s="107" t="str">
        <f t="shared" si="19"/>
        <v/>
      </c>
      <c r="F195" s="125" t="str">
        <f>VLOOKUP(G195,'Swiss Registry'!$A$2:$B$703,2,False)</f>
        <v>.lucky_7.</v>
      </c>
      <c r="G195" s="145">
        <v>401.0</v>
      </c>
      <c r="H195" s="93" t="s">
        <v>2762</v>
      </c>
      <c r="I195" s="141" t="str">
        <f t="array" ref="I195">XLOOKUP(CELL("contents",B195),'Swiss Registry'!$B$2:$B$703,'Swiss Registry'!$N$2:$N$703) </f>
        <v>779576321550450710</v>
      </c>
      <c r="J195" s="142" t="str">
        <f t="array" ref="J195">XLOOKUP(CELL("contents",F195),'Swiss Registry'!$B$2:$B$703,'Swiss Registry'!$N$2:$N$703) </f>
        <v>324637010193285121</v>
      </c>
    </row>
    <row r="196">
      <c r="A196" s="140">
        <v>230.0</v>
      </c>
      <c r="B196" s="125" t="str">
        <f>VLOOKUP(A196,'Swiss Registry'!$A$2:$B$703,2,False)</f>
        <v>J0af</v>
      </c>
      <c r="C196" s="105" t="str">
        <f t="shared" si="17"/>
        <v>Game 1</v>
      </c>
      <c r="D196" s="106" t="str">
        <f t="shared" si="18"/>
        <v>Game 2</v>
      </c>
      <c r="E196" s="107" t="str">
        <f t="shared" si="19"/>
        <v/>
      </c>
      <c r="F196" s="125" t="str">
        <f>VLOOKUP(G196,'Swiss Registry'!$A$2:$B$703,2,False)</f>
        <v>deftbrixton</v>
      </c>
      <c r="G196" s="145">
        <v>533.0</v>
      </c>
      <c r="H196" s="93" t="s">
        <v>2763</v>
      </c>
      <c r="I196" s="141" t="str">
        <f t="array" ref="I196">XLOOKUP(CELL("contents",B196),'Swiss Registry'!$B$2:$B$703,'Swiss Registry'!$N$2:$N$703) </f>
        <v>144056588959744001</v>
      </c>
      <c r="J196" s="142" t="str">
        <f t="array" ref="J196">XLOOKUP(CELL("contents",F196),'Swiss Registry'!$B$2:$B$703,'Swiss Registry'!$N$2:$N$703) </f>
        <v>685522474179231877</v>
      </c>
    </row>
    <row r="197">
      <c r="A197" s="140">
        <v>283.0</v>
      </c>
      <c r="B197" s="125" t="str">
        <f>VLOOKUP(A197,'Swiss Registry'!$A$2:$B$703,2,False)</f>
        <v>Kydreith33</v>
      </c>
      <c r="C197" s="105" t="str">
        <f t="shared" si="17"/>
        <v>Game 1</v>
      </c>
      <c r="D197" s="106" t="str">
        <f t="shared" si="18"/>
        <v>Game 2</v>
      </c>
      <c r="E197" s="107" t="str">
        <f t="shared" si="19"/>
        <v/>
      </c>
      <c r="F197" s="125" t="str">
        <f>VLOOKUP(G197,'Swiss Registry'!$A$2:$B$703,2,False)</f>
        <v>.turkeyleg</v>
      </c>
      <c r="G197" s="145">
        <v>407.0</v>
      </c>
      <c r="H197" s="93" t="s">
        <v>2764</v>
      </c>
      <c r="I197" s="141" t="str">
        <f t="array" ref="I197">XLOOKUP(CELL("contents",B197),'Swiss Registry'!$B$2:$B$703,'Swiss Registry'!$N$2:$N$703) </f>
        <v>420018683759296513</v>
      </c>
      <c r="J197" s="142" t="str">
        <f t="array" ref="J197">XLOOKUP(CELL("contents",F197),'Swiss Registry'!$B$2:$B$703,'Swiss Registry'!$N$2:$N$703) </f>
        <v>457524456177401858</v>
      </c>
    </row>
    <row r="198">
      <c r="A198" s="140">
        <v>453.0</v>
      </c>
      <c r="B198" s="125" t="str">
        <f>VLOOKUP(A198,'Swiss Registry'!$A$2:$B$703,2,False)</f>
        <v>madelinmorningstar</v>
      </c>
      <c r="C198" s="105" t="str">
        <f t="shared" si="17"/>
        <v>Game 1</v>
      </c>
      <c r="D198" s="106" t="str">
        <f t="shared" si="18"/>
        <v>Game 2</v>
      </c>
      <c r="E198" s="110" t="str">
        <f t="shared" si="19"/>
        <v>Game 3</v>
      </c>
      <c r="F198" s="125" t="str">
        <f>VLOOKUP(G198,'Swiss Registry'!$A$2:$B$703,2,False)</f>
        <v>Drby</v>
      </c>
      <c r="G198" s="145">
        <v>579.0</v>
      </c>
      <c r="H198" s="93" t="s">
        <v>2765</v>
      </c>
      <c r="I198" s="141" t="str">
        <f t="array" ref="I198">XLOOKUP(CELL("contents",B198),'Swiss Registry'!$B$2:$B$703,'Swiss Registry'!$N$2:$N$703) </f>
        <v>1235691371579572346</v>
      </c>
      <c r="J198" s="142" t="str">
        <f t="array" ref="J198">XLOOKUP(CELL("contents",F198),'Swiss Registry'!$B$2:$B$703,'Swiss Registry'!$N$2:$N$703) </f>
        <v>246760558680997888</v>
      </c>
    </row>
    <row r="199">
      <c r="A199" s="140">
        <v>587.0</v>
      </c>
      <c r="B199" s="125" t="str">
        <f>VLOOKUP(A199,'Swiss Registry'!$A$2:$B$703,2,False)</f>
        <v>JCK_ionic</v>
      </c>
      <c r="C199" s="105" t="str">
        <f t="shared" si="17"/>
        <v>Game 1</v>
      </c>
      <c r="D199" s="106" t="str">
        <f t="shared" si="18"/>
        <v>Game 2</v>
      </c>
      <c r="E199" s="110" t="str">
        <f t="shared" si="19"/>
        <v>Game 3</v>
      </c>
      <c r="F199" s="125" t="str">
        <f>VLOOKUP(G199,'Swiss Registry'!$A$2:$B$703,2,False)</f>
        <v>bugthatlovesfish</v>
      </c>
      <c r="G199" s="145">
        <v>697.0</v>
      </c>
      <c r="H199" s="93" t="s">
        <v>2766</v>
      </c>
      <c r="I199" s="141" t="str">
        <f t="array" ref="I199">XLOOKUP(CELL("contents",B199),'Swiss Registry'!$B$2:$B$703,'Swiss Registry'!$N$2:$N$703) </f>
        <v>285602550345105409</v>
      </c>
      <c r="J199" s="142" t="str">
        <f t="array" ref="J199">XLOOKUP(CELL("contents",F199),'Swiss Registry'!$B$2:$B$703,'Swiss Registry'!$N$2:$N$703) </f>
        <v>248102672555704322</v>
      </c>
    </row>
    <row r="200">
      <c r="A200" s="140">
        <v>354.0</v>
      </c>
      <c r="B200" s="125" t="str">
        <f>VLOOKUP(A200,'Swiss Registry'!$A$2:$B$703,2,False)</f>
        <v>grahamsandwich</v>
      </c>
      <c r="C200" s="105" t="str">
        <f t="shared" si="17"/>
        <v>Game 1</v>
      </c>
      <c r="D200" s="106" t="str">
        <f t="shared" si="18"/>
        <v>Game 2</v>
      </c>
      <c r="E200" s="107" t="str">
        <f t="shared" si="19"/>
        <v/>
      </c>
      <c r="F200" s="125" t="str">
        <f>VLOOKUP(G200,'Swiss Registry'!$A$2:$B$703,2,False)</f>
        <v>Coco / Yuii</v>
      </c>
      <c r="G200" s="145">
        <v>661.0</v>
      </c>
      <c r="H200" s="93" t="s">
        <v>2767</v>
      </c>
      <c r="I200" s="141" t="str">
        <f t="array" ref="I200">XLOOKUP(CELL("contents",B200),'Swiss Registry'!$B$2:$B$703,'Swiss Registry'!$N$2:$N$703) </f>
        <v>256944534900965376</v>
      </c>
      <c r="J200" s="142" t="str">
        <f t="array" ref="J200">XLOOKUP(CELL("contents",F200),'Swiss Registry'!$B$2:$B$703,'Swiss Registry'!$N$2:$N$703) </f>
        <v>285392368146841611</v>
      </c>
    </row>
    <row r="201">
      <c r="A201" s="140">
        <v>153.0</v>
      </c>
      <c r="B201" s="125" t="str">
        <f>VLOOKUP(A201,'Swiss Registry'!$A$2:$B$703,2,False)</f>
        <v>Loneling</v>
      </c>
      <c r="C201" s="105" t="str">
        <f t="shared" si="17"/>
        <v>Game 1</v>
      </c>
      <c r="D201" s="106" t="str">
        <f t="shared" si="18"/>
        <v>Game 2</v>
      </c>
      <c r="E201" s="110" t="str">
        <f t="shared" si="19"/>
        <v>Game 3</v>
      </c>
      <c r="F201" s="125" t="str">
        <f>VLOOKUP(G201,'Swiss Registry'!$A$2:$B$703,2,False)</f>
        <v>@geosesarma</v>
      </c>
      <c r="G201" s="145">
        <v>250.0</v>
      </c>
      <c r="H201" s="93" t="s">
        <v>2768</v>
      </c>
      <c r="I201" s="141" t="str">
        <f t="array" ref="I201">XLOOKUP(CELL("contents",B201),'Swiss Registry'!$B$2:$B$703,'Swiss Registry'!$N$2:$N$703) </f>
        <v>1260035840294260737</v>
      </c>
      <c r="J201" s="142" t="str">
        <f t="array" ref="J201">XLOOKUP(CELL("contents",F201),'Swiss Registry'!$B$2:$B$703,'Swiss Registry'!$N$2:$N$703) </f>
        <v>153953672051556352</v>
      </c>
    </row>
    <row r="202">
      <c r="A202" s="140">
        <v>327.0</v>
      </c>
      <c r="B202" s="125" t="str">
        <f>VLOOKUP(A202,'Swiss Registry'!$A$2:$B$703,2,False)</f>
        <v>wyli.olivete</v>
      </c>
      <c r="C202" s="111" t="str">
        <f t="shared" si="17"/>
        <v/>
      </c>
      <c r="D202" s="112" t="str">
        <f>IF(H202="dead","Dead Game",IF(H202="a:act","Act: "&amp;F202,IF(H202="b:act","Act: "&amp;#REF!,IF(ISURL(HYPERLINK(INDIRECT("Importer!B"&amp;MID(H202,6,4)+1,TRUE))),HYPERLINK(INDIRECT("Importer!B"&amp;MID(H202,6,4)+1,TRUE), "Game 2"),""))))</f>
        <v>Act: funhouse3</v>
      </c>
      <c r="E202" s="107" t="str">
        <f t="shared" si="19"/>
        <v/>
      </c>
      <c r="F202" s="125" t="str">
        <f>VLOOKUP(G202,'Swiss Registry'!$A$2:$B$703,2,False)</f>
        <v>funhouse3</v>
      </c>
      <c r="G202" s="145">
        <v>591.0</v>
      </c>
      <c r="H202" s="93" t="s">
        <v>1486</v>
      </c>
      <c r="I202" s="141" t="str">
        <f t="array" ref="I202">XLOOKUP(CELL("contents",B202),'Swiss Registry'!$B$2:$B$703,'Swiss Registry'!$N$2:$N$703) </f>
        <v>600915748629643276</v>
      </c>
      <c r="J202" s="142" t="str">
        <f t="array" ref="J202">XLOOKUP(CELL("contents",F202),'Swiss Registry'!$B$2:$B$703,'Swiss Registry'!$N$2:$N$703) </f>
        <v>102875527206932480</v>
      </c>
    </row>
    <row r="203">
      <c r="A203" s="140">
        <v>532.0</v>
      </c>
      <c r="B203" s="125" t="str">
        <f>VLOOKUP(A203,'Swiss Registry'!$A$2:$B$703,2,False)</f>
        <v>bigjon.</v>
      </c>
      <c r="C203" s="111" t="str">
        <f t="shared" si="17"/>
        <v/>
      </c>
      <c r="D203" s="112" t="str">
        <f t="shared" ref="D203:D205" si="20">IF(H203="dead","Dead Game",IF(H203="a:act","Act: "&amp;B203,IF(H203="b:act","Act: "&amp;F203,IF(ISURL(HYPERLINK(INDIRECT("Importer!B"&amp;MID(H203,6,4)+1,TRUE))),HYPERLINK(INDIRECT("Importer!B"&amp;MID(H203,6,4)+1,TRUE), "Game 2"),""))))</f>
        <v>Act: bigjon.</v>
      </c>
      <c r="E203" s="107" t="str">
        <f t="shared" si="19"/>
        <v/>
      </c>
      <c r="F203" s="125" t="str">
        <f>VLOOKUP(G203,'Swiss Registry'!$A$2:$B$703,2,False)</f>
        <v>YlisseanStarlight</v>
      </c>
      <c r="G203" s="145">
        <v>104.0</v>
      </c>
      <c r="H203" s="93" t="s">
        <v>1486</v>
      </c>
      <c r="I203" s="141" t="str">
        <f t="array" ref="I203">XLOOKUP(CELL("contents",B203),'Swiss Registry'!$B$2:$B$703,'Swiss Registry'!$N$2:$N$703) </f>
        <v>289528250823213056</v>
      </c>
      <c r="J203" s="142" t="str">
        <f t="array" ref="J203">XLOOKUP(CELL("contents",F203),'Swiss Registry'!$B$2:$B$703,'Swiss Registry'!$N$2:$N$703) </f>
        <v>308326695117783040</v>
      </c>
    </row>
    <row r="204">
      <c r="A204" s="140">
        <v>346.0</v>
      </c>
      <c r="B204" s="125" t="str">
        <f>VLOOKUP(A204,'Swiss Registry'!$A$2:$B$703,2,False)</f>
        <v>countsligo</v>
      </c>
      <c r="C204" s="105" t="str">
        <f t="shared" si="17"/>
        <v>Game 1</v>
      </c>
      <c r="D204" s="106" t="str">
        <f t="shared" si="20"/>
        <v>Game 2</v>
      </c>
      <c r="E204" s="107" t="str">
        <f t="shared" si="19"/>
        <v/>
      </c>
      <c r="F204" s="125" t="str">
        <f>VLOOKUP(G204,'Swiss Registry'!$A$2:$B$703,2,False)</f>
        <v>Redrame</v>
      </c>
      <c r="G204" s="145">
        <v>318.0</v>
      </c>
      <c r="H204" s="93" t="s">
        <v>2769</v>
      </c>
      <c r="I204" s="141" t="str">
        <f t="array" ref="I204">XLOOKUP(CELL("contents",B204),'Swiss Registry'!$B$2:$B$703,'Swiss Registry'!$N$2:$N$703) </f>
        <v>442172713763602432</v>
      </c>
      <c r="J204" s="142" t="str">
        <f t="array" ref="J204">XLOOKUP(CELL("contents",F204),'Swiss Registry'!$B$2:$B$703,'Swiss Registry'!$N$2:$N$703) </f>
        <v>127968794130907137</v>
      </c>
    </row>
    <row r="205">
      <c r="A205" s="140">
        <v>366.0</v>
      </c>
      <c r="B205" s="125" t="str">
        <f>VLOOKUP(A205,'Swiss Registry'!$A$2:$B$703,2,False)</f>
        <v>dimiswooner</v>
      </c>
      <c r="C205" s="105" t="str">
        <f t="shared" si="17"/>
        <v>Game 1</v>
      </c>
      <c r="D205" s="106" t="str">
        <f t="shared" si="20"/>
        <v>Game 2</v>
      </c>
      <c r="E205" s="107" t="str">
        <f t="shared" si="19"/>
        <v/>
      </c>
      <c r="F205" s="125" t="str">
        <f>VLOOKUP(G205,'Swiss Registry'!$A$2:$B$703,2,False)</f>
        <v>jew9318</v>
      </c>
      <c r="G205" s="145">
        <v>404.0</v>
      </c>
      <c r="H205" s="93" t="s">
        <v>2770</v>
      </c>
      <c r="I205" s="141" t="str">
        <f t="array" ref="I205">XLOOKUP(CELL("contents",B205),'Swiss Registry'!$B$2:$B$703,'Swiss Registry'!$N$2:$N$703) </f>
        <v>593100232607137793</v>
      </c>
      <c r="J205" s="142" t="str">
        <f t="array" ref="J205">XLOOKUP(CELL("contents",F205),'Swiss Registry'!$B$2:$B$703,'Swiss Registry'!$N$2:$N$703) </f>
        <v>155599548624928768</v>
      </c>
    </row>
    <row r="206" ht="15.0" customHeight="1">
      <c r="A206" s="122"/>
      <c r="B206" s="122"/>
      <c r="C206" s="123"/>
      <c r="D206" s="138" t="s">
        <v>2771</v>
      </c>
      <c r="E206" s="123"/>
      <c r="F206" s="122"/>
      <c r="G206" s="146"/>
      <c r="H206" s="93"/>
      <c r="I206" s="139"/>
      <c r="J206" s="139"/>
    </row>
    <row r="207">
      <c r="A207" s="140">
        <v>445.0</v>
      </c>
      <c r="B207" s="125" t="str">
        <f>VLOOKUP(A207,'Swiss Registry'!$A$2:$B$703,2,False)</f>
        <v>1captainmorgan</v>
      </c>
      <c r="C207" s="105" t="str">
        <f t="shared" ref="C207:C249" si="21">IF(H207="dead","",IF(H207="a:act","",IF(H207="b:act","",IF(ISURL(HYPERLINK(INDIRECT("Importer!B"&amp;MID(H207,2,4)+1,TRUE))),HYPERLINK(INDIRECT("Importer!B"&amp;MID(H207,2,4)+1,TRUE), "Game 1"),""))))</f>
        <v>Game 1</v>
      </c>
      <c r="D207" s="106" t="str">
        <f t="shared" ref="D207:D249" si="22">IF(H207="dead","Dead Game",IF(H207="a:act","Act: "&amp;B207,IF(H207="b:act","Act: "&amp;F207,IF(ISURL(HYPERLINK(INDIRECT("Importer!B"&amp;MID(H207,6,4)+1,TRUE))),HYPERLINK(INDIRECT("Importer!B"&amp;MID(H207,6,4)+1,TRUE), "Game 2"),""))))</f>
        <v>Game 2</v>
      </c>
      <c r="E207" s="107" t="str">
        <f t="shared" ref="E207:E249" si="23">IF(H207="dead","",IF(H207="a:act","",IF(H207="b:act","",IF(ISURL(HYPERLINK(INDIRECT("Importer!B"&amp;MID(H207,10,4)+1,TRUE))),HYPERLINK(INDIRECT("Importer!B"&amp;MID(H207,10,4)+1,TRUE), "Game 3"),""))))</f>
        <v/>
      </c>
      <c r="F207" s="125" t="str">
        <f>VLOOKUP(G207,'Swiss Registry'!$A$2:$B$703,2,False)</f>
        <v>yallen</v>
      </c>
      <c r="G207" s="145">
        <v>531.0</v>
      </c>
      <c r="H207" s="93" t="s">
        <v>2772</v>
      </c>
      <c r="I207" s="141" t="str">
        <f t="array" ref="I207">XLOOKUP(CELL("contents",B207),'Swiss Registry'!$B$2:$B$703,'Swiss Registry'!$N$2:$N$703) </f>
        <v>214065054411259905</v>
      </c>
      <c r="J207" s="142" t="str">
        <f t="array" ref="J207">XLOOKUP(CELL("contents",F207),'Swiss Registry'!$B$2:$B$703,'Swiss Registry'!$N$2:$N$703) </f>
        <v>444702392383176724</v>
      </c>
    </row>
    <row r="208">
      <c r="A208" s="140">
        <v>406.0</v>
      </c>
      <c r="B208" s="125" t="str">
        <f>VLOOKUP(A208,'Swiss Registry'!$A$2:$B$703,2,False)</f>
        <v>epiclyepicgamer</v>
      </c>
      <c r="C208" s="105" t="str">
        <f t="shared" si="21"/>
        <v>Game 1</v>
      </c>
      <c r="D208" s="106" t="str">
        <f t="shared" si="22"/>
        <v>Game 2</v>
      </c>
      <c r="E208" s="110" t="str">
        <f t="shared" si="23"/>
        <v>Game 3</v>
      </c>
      <c r="F208" s="125" t="str">
        <f>VLOOKUP(G208,'Swiss Registry'!$A$2:$B$703,2,False)</f>
        <v>yd12k</v>
      </c>
      <c r="G208" s="145">
        <v>403.0</v>
      </c>
      <c r="H208" s="93" t="s">
        <v>2773</v>
      </c>
      <c r="I208" s="141" t="str">
        <f t="array" ref="I208">XLOOKUP(CELL("contents",B208),'Swiss Registry'!$B$2:$B$703,'Swiss Registry'!$N$2:$N$703) </f>
        <v>839557955140976701</v>
      </c>
      <c r="J208" s="142" t="str">
        <f t="array" ref="J208">XLOOKUP(CELL("contents",F208),'Swiss Registry'!$B$2:$B$703,'Swiss Registry'!$N$2:$N$703) </f>
        <v>116854172426567680</v>
      </c>
    </row>
    <row r="209">
      <c r="A209" s="140">
        <v>381.0</v>
      </c>
      <c r="B209" s="125" t="str">
        <f>VLOOKUP(A209,'Swiss Registry'!$A$2:$B$703,2,False)</f>
        <v>lucida</v>
      </c>
      <c r="C209" s="105" t="str">
        <f t="shared" si="21"/>
        <v>Game 1</v>
      </c>
      <c r="D209" s="106" t="str">
        <f t="shared" si="22"/>
        <v>Game 2</v>
      </c>
      <c r="E209" s="107" t="str">
        <f t="shared" si="23"/>
        <v/>
      </c>
      <c r="F209" s="125" t="str">
        <f>VLOOKUP(G209,'Swiss Registry'!$A$2:$B$703,2,False)</f>
        <v>kylemckell</v>
      </c>
      <c r="G209" s="145">
        <v>167.0</v>
      </c>
      <c r="H209" s="93" t="s">
        <v>2774</v>
      </c>
      <c r="I209" s="141" t="str">
        <f t="array" ref="I209">XLOOKUP(CELL("contents",B209),'Swiss Registry'!$B$2:$B$703,'Swiss Registry'!$N$2:$N$703) </f>
        <v>98218676867596288</v>
      </c>
      <c r="J209" s="142" t="str">
        <f t="array" ref="J209">XLOOKUP(CELL("contents",F209),'Swiss Registry'!$B$2:$B$703,'Swiss Registry'!$N$2:$N$703) </f>
        <v>147505520025141248</v>
      </c>
    </row>
    <row r="210">
      <c r="A210" s="140">
        <v>636.0</v>
      </c>
      <c r="B210" s="125" t="str">
        <f>VLOOKUP(A210,'Swiss Registry'!$A$2:$B$703,2,False)</f>
        <v>Eggman</v>
      </c>
      <c r="C210" s="111" t="str">
        <f t="shared" si="21"/>
        <v/>
      </c>
      <c r="D210" s="112" t="str">
        <f t="shared" si="22"/>
        <v>Act: ebitachy</v>
      </c>
      <c r="E210" s="107" t="str">
        <f t="shared" si="23"/>
        <v/>
      </c>
      <c r="F210" s="125" t="str">
        <f>VLOOKUP(G210,'Swiss Registry'!$A$2:$B$703,2,False)</f>
        <v>ebitachy</v>
      </c>
      <c r="G210" s="145">
        <v>584.0</v>
      </c>
      <c r="H210" s="93" t="s">
        <v>1523</v>
      </c>
      <c r="I210" s="141" t="str">
        <f t="array" ref="I210">XLOOKUP(CELL("contents",B210),'Swiss Registry'!$B$2:$B$703,'Swiss Registry'!$N$2:$N$703) </f>
        <v>516714630890913803</v>
      </c>
      <c r="J210" s="142" t="str">
        <f t="array" ref="J210">XLOOKUP(CELL("contents",F210),'Swiss Registry'!$B$2:$B$703,'Swiss Registry'!$N$2:$N$703) </f>
        <v>219131577030934529</v>
      </c>
    </row>
    <row r="211">
      <c r="A211" s="140">
        <v>462.0</v>
      </c>
      <c r="B211" s="125" t="str">
        <f>VLOOKUP(A211,'Swiss Registry'!$A$2:$B$703,2,False)</f>
        <v>MoxieKrok</v>
      </c>
      <c r="C211" s="105" t="str">
        <f t="shared" si="21"/>
        <v>Game 1</v>
      </c>
      <c r="D211" s="106" t="str">
        <f t="shared" si="22"/>
        <v>Game 2</v>
      </c>
      <c r="E211" s="107" t="str">
        <f t="shared" si="23"/>
        <v/>
      </c>
      <c r="F211" s="125" t="str">
        <f>VLOOKUP(G211,'Swiss Registry'!$A$2:$B$703,2,False)</f>
        <v>billgatesalt_53189</v>
      </c>
      <c r="G211" s="145">
        <v>271.0</v>
      </c>
      <c r="H211" s="93" t="s">
        <v>2775</v>
      </c>
      <c r="I211" s="141" t="str">
        <f t="array" ref="I211">XLOOKUP(CELL("contents",B211),'Swiss Registry'!$B$2:$B$703,'Swiss Registry'!$N$2:$N$703) </f>
        <v>125066316477497344</v>
      </c>
      <c r="J211" s="142" t="str">
        <f t="array" ref="J211">XLOOKUP(CELL("contents",F211),'Swiss Registry'!$B$2:$B$703,'Swiss Registry'!$N$2:$N$703) </f>
        <v>1288299733126746152</v>
      </c>
    </row>
    <row r="212">
      <c r="A212" s="140">
        <v>434.0</v>
      </c>
      <c r="B212" s="125" t="str">
        <f>VLOOKUP(A212,'Swiss Registry'!$A$2:$B$703,2,False)</f>
        <v>nemesis_deno</v>
      </c>
      <c r="C212" s="105" t="str">
        <f t="shared" si="21"/>
        <v>Game 1</v>
      </c>
      <c r="D212" s="106" t="str">
        <f t="shared" si="22"/>
        <v>Game 2</v>
      </c>
      <c r="E212" s="107" t="str">
        <f t="shared" si="23"/>
        <v/>
      </c>
      <c r="F212" s="125" t="str">
        <f>VLOOKUP(G212,'Swiss Registry'!$A$2:$B$703,2,False)</f>
        <v>btalb</v>
      </c>
      <c r="G212" s="145">
        <v>142.0</v>
      </c>
      <c r="H212" s="93" t="s">
        <v>2776</v>
      </c>
      <c r="I212" s="141" t="str">
        <f t="array" ref="I212">XLOOKUP(CELL("contents",B212),'Swiss Registry'!$B$2:$B$703,'Swiss Registry'!$N$2:$N$703) </f>
        <v>465952239350186006</v>
      </c>
      <c r="J212" s="142" t="str">
        <f t="array" ref="J212">XLOOKUP(CELL("contents",F212),'Swiss Registry'!$B$2:$B$703,'Swiss Registry'!$N$2:$N$703) </f>
        <v>210558965510045696</v>
      </c>
    </row>
    <row r="213">
      <c r="A213" s="140">
        <v>625.0</v>
      </c>
      <c r="B213" s="125" t="str">
        <f>VLOOKUP(A213,'Swiss Registry'!$A$2:$B$703,2,False)</f>
        <v>Microsoft_J</v>
      </c>
      <c r="C213" s="105" t="str">
        <f t="shared" si="21"/>
        <v>Game 1</v>
      </c>
      <c r="D213" s="106" t="str">
        <f t="shared" si="22"/>
        <v>Game 2</v>
      </c>
      <c r="E213" s="107" t="str">
        <f t="shared" si="23"/>
        <v/>
      </c>
      <c r="F213" s="125" t="str">
        <f>VLOOKUP(G213,'Swiss Registry'!$A$2:$B$703,2,False)</f>
        <v>tub69</v>
      </c>
      <c r="G213" s="145">
        <v>540.0</v>
      </c>
      <c r="H213" s="93" t="s">
        <v>2777</v>
      </c>
      <c r="I213" s="141" t="str">
        <f t="array" ref="I213">XLOOKUP(CELL("contents",B213),'Swiss Registry'!$B$2:$B$703,'Swiss Registry'!$N$2:$N$703) </f>
        <v>178809494728343552</v>
      </c>
      <c r="J213" s="142" t="str">
        <f t="array" ref="J213">XLOOKUP(CELL("contents",F213),'Swiss Registry'!$B$2:$B$703,'Swiss Registry'!$N$2:$N$703) </f>
        <v>283982333520904192</v>
      </c>
    </row>
    <row r="214">
      <c r="A214" s="140">
        <v>655.0</v>
      </c>
      <c r="B214" s="125" t="str">
        <f>VLOOKUP(A214,'Swiss Registry'!$A$2:$B$703,2,False)</f>
        <v>DonlyPhans</v>
      </c>
      <c r="C214" s="105" t="str">
        <f t="shared" si="21"/>
        <v>Game 1</v>
      </c>
      <c r="D214" s="106" t="str">
        <f t="shared" si="22"/>
        <v>Game 2</v>
      </c>
      <c r="E214" s="107" t="str">
        <f t="shared" si="23"/>
        <v/>
      </c>
      <c r="F214" s="125" t="str">
        <f>VLOOKUP(G214,'Swiss Registry'!$A$2:$B$703,2,False)</f>
        <v>mewunderscoretwo</v>
      </c>
      <c r="G214" s="145">
        <v>288.0</v>
      </c>
      <c r="H214" s="93" t="s">
        <v>2778</v>
      </c>
      <c r="I214" s="141" t="str">
        <f t="array" ref="I214">XLOOKUP(CELL("contents",B214),'Swiss Registry'!$B$2:$B$703,'Swiss Registry'!$N$2:$N$703) </f>
        <v>859201439577276416</v>
      </c>
      <c r="J214" s="142" t="str">
        <f t="array" ref="J214">XLOOKUP(CELL("contents",F214),'Swiss Registry'!$B$2:$B$703,'Swiss Registry'!$N$2:$N$703) </f>
        <v>234366103998955521</v>
      </c>
    </row>
    <row r="215">
      <c r="A215" s="140">
        <v>623.0</v>
      </c>
      <c r="B215" s="125" t="str">
        <f>VLOOKUP(A215,'Swiss Registry'!$A$2:$B$703,2,False)</f>
        <v>cow3492</v>
      </c>
      <c r="C215" s="105" t="str">
        <f t="shared" si="21"/>
        <v>Game 1</v>
      </c>
      <c r="D215" s="106" t="str">
        <f t="shared" si="22"/>
        <v>Game 2</v>
      </c>
      <c r="E215" s="110" t="str">
        <f t="shared" si="23"/>
        <v>Game 3</v>
      </c>
      <c r="F215" s="125" t="str">
        <f>VLOOKUP(G215,'Swiss Registry'!$A$2:$B$703,2,False)</f>
        <v>zxgzxg</v>
      </c>
      <c r="G215" s="145">
        <v>275.0</v>
      </c>
      <c r="H215" s="93" t="s">
        <v>2779</v>
      </c>
      <c r="I215" s="141" t="str">
        <f t="array" ref="I215">XLOOKUP(CELL("contents",B215),'Swiss Registry'!$B$2:$B$703,'Swiss Registry'!$N$2:$N$703) </f>
        <v>709052801598357585</v>
      </c>
      <c r="J215" s="142" t="str">
        <f t="array" ref="J215">XLOOKUP(CELL("contents",F215),'Swiss Registry'!$B$2:$B$703,'Swiss Registry'!$N$2:$N$703) </f>
        <v>674132846037958657</v>
      </c>
    </row>
    <row r="216">
      <c r="A216" s="140">
        <v>694.0</v>
      </c>
      <c r="B216" s="125" t="str">
        <f>VLOOKUP(A216,'Swiss Registry'!$A$2:$B$703,2,False)</f>
        <v>WraxiusGaming</v>
      </c>
      <c r="C216" s="105" t="str">
        <f t="shared" si="21"/>
        <v>Game 1</v>
      </c>
      <c r="D216" s="106" t="str">
        <f t="shared" si="22"/>
        <v>Game 2</v>
      </c>
      <c r="E216" s="107" t="str">
        <f t="shared" si="23"/>
        <v/>
      </c>
      <c r="F216" s="125" t="str">
        <f>VLOOKUP(G216,'Swiss Registry'!$A$2:$B$703,2,False)</f>
        <v>pinjarrapanther</v>
      </c>
      <c r="G216" s="145">
        <v>178.0</v>
      </c>
      <c r="H216" s="93" t="s">
        <v>2780</v>
      </c>
      <c r="I216" s="141" t="str">
        <f t="array" ref="I216">XLOOKUP(CELL("contents",B216),'Swiss Registry'!$B$2:$B$703,'Swiss Registry'!$N$2:$N$703) </f>
        <v>476882845525213184</v>
      </c>
      <c r="J216" s="142" t="str">
        <f t="array" ref="J216">XLOOKUP(CELL("contents",F216),'Swiss Registry'!$B$2:$B$703,'Swiss Registry'!$N$2:$N$703) </f>
        <v>220831983591227393</v>
      </c>
    </row>
    <row r="217">
      <c r="A217" s="140">
        <v>289.0</v>
      </c>
      <c r="B217" s="125" t="str">
        <f>VLOOKUP(A217,'Swiss Registry'!$A$2:$B$703,2,False)</f>
        <v>sanbaibeepo</v>
      </c>
      <c r="C217" s="105" t="str">
        <f t="shared" si="21"/>
        <v>Game 1</v>
      </c>
      <c r="D217" s="106" t="str">
        <f t="shared" si="22"/>
        <v>Game 2</v>
      </c>
      <c r="E217" s="107" t="str">
        <f t="shared" si="23"/>
        <v/>
      </c>
      <c r="F217" s="125" t="str">
        <f>VLOOKUP(G217,'Swiss Registry'!$A$2:$B$703,2,False)</f>
        <v>tahat_t</v>
      </c>
      <c r="G217" s="145">
        <v>671.0</v>
      </c>
      <c r="H217" s="93" t="s">
        <v>2781</v>
      </c>
      <c r="I217" s="141" t="str">
        <f t="array" ref="I217">XLOOKUP(CELL("contents",B217),'Swiss Registry'!$B$2:$B$703,'Swiss Registry'!$N$2:$N$703) </f>
        <v>139195151946874881</v>
      </c>
      <c r="J217" s="142" t="str">
        <f t="array" ref="J217">XLOOKUP(CELL("contents",F217),'Swiss Registry'!$B$2:$B$703,'Swiss Registry'!$N$2:$N$703) </f>
        <v>1095502363118284891</v>
      </c>
    </row>
    <row r="218">
      <c r="A218" s="140">
        <v>472.0</v>
      </c>
      <c r="B218" s="125" t="str">
        <f>VLOOKUP(A218,'Swiss Registry'!$A$2:$B$703,2,False)</f>
        <v>cremozar#6029</v>
      </c>
      <c r="C218" s="111" t="str">
        <f t="shared" si="21"/>
        <v/>
      </c>
      <c r="D218" s="112" t="str">
        <f t="shared" si="22"/>
        <v>Act: .alig.</v>
      </c>
      <c r="E218" s="107" t="str">
        <f t="shared" si="23"/>
        <v/>
      </c>
      <c r="F218" s="125" t="str">
        <f>VLOOKUP(G218,'Swiss Registry'!$A$2:$B$703,2,False)</f>
        <v>.alig.</v>
      </c>
      <c r="G218" s="145">
        <v>211.0</v>
      </c>
      <c r="H218" s="93" t="s">
        <v>1523</v>
      </c>
      <c r="I218" s="141" t="str">
        <f t="array" ref="I218">XLOOKUP(CELL("contents",B218),'Swiss Registry'!$B$2:$B$703,'Swiss Registry'!$N$2:$N$703) </f>
        <v>231155483157856256</v>
      </c>
      <c r="J218" s="142" t="str">
        <f t="array" ref="J218">XLOOKUP(CELL("contents",F218),'Swiss Registry'!$B$2:$B$703,'Swiss Registry'!$N$2:$N$703) </f>
        <v>192192076841091072</v>
      </c>
    </row>
    <row r="219">
      <c r="A219" s="140">
        <v>387.0</v>
      </c>
      <c r="B219" s="125" t="str">
        <f>VLOOKUP(A219,'Swiss Registry'!$A$2:$B$703,2,False)</f>
        <v>caps lock 3009</v>
      </c>
      <c r="C219" s="105" t="str">
        <f t="shared" si="21"/>
        <v>Game 1</v>
      </c>
      <c r="D219" s="106" t="str">
        <f t="shared" si="22"/>
        <v>Game 2</v>
      </c>
      <c r="E219" s="107" t="str">
        <f t="shared" si="23"/>
        <v/>
      </c>
      <c r="F219" s="125" t="str">
        <f>VLOOKUP(G219,'Swiss Registry'!$A$2:$B$703,2,False)</f>
        <v>TacCat</v>
      </c>
      <c r="G219" s="145">
        <v>210.0</v>
      </c>
      <c r="H219" s="93" t="s">
        <v>2782</v>
      </c>
      <c r="I219" s="141" t="str">
        <f t="array" ref="I219">XLOOKUP(CELL("contents",B219),'Swiss Registry'!$B$2:$B$703,'Swiss Registry'!$N$2:$N$703) </f>
        <v>735968904328904897</v>
      </c>
      <c r="J219" s="142" t="str">
        <f t="array" ref="J219">XLOOKUP(CELL("contents",F219),'Swiss Registry'!$B$2:$B$703,'Swiss Registry'!$N$2:$N$703) </f>
        <v>209102896740958208</v>
      </c>
    </row>
    <row r="220">
      <c r="A220" s="140">
        <v>512.0</v>
      </c>
      <c r="B220" s="125" t="str">
        <f>VLOOKUP(A220,'Swiss Registry'!$A$2:$B$703,2,False)</f>
        <v>msousa</v>
      </c>
      <c r="C220" s="111" t="str">
        <f t="shared" si="21"/>
        <v/>
      </c>
      <c r="D220" s="112" t="str">
        <f t="shared" si="22"/>
        <v>Act: msousa</v>
      </c>
      <c r="E220" s="107" t="str">
        <f t="shared" si="23"/>
        <v/>
      </c>
      <c r="F220" s="125" t="str">
        <f>VLOOKUP(G220,'Swiss Registry'!$A$2:$B$703,2,False)</f>
        <v>gpd_123</v>
      </c>
      <c r="G220" s="145">
        <v>503.0</v>
      </c>
      <c r="H220" s="93" t="s">
        <v>1486</v>
      </c>
      <c r="I220" s="141" t="str">
        <f t="array" ref="I220">XLOOKUP(CELL("contents",B220),'Swiss Registry'!$B$2:$B$703,'Swiss Registry'!$N$2:$N$703) </f>
        <v>489109056183599104</v>
      </c>
      <c r="J220" s="142" t="str">
        <f t="array" ref="J220">XLOOKUP(CELL("contents",F220),'Swiss Registry'!$B$2:$B$703,'Swiss Registry'!$N$2:$N$703) </f>
        <v>1287682191584792579</v>
      </c>
    </row>
    <row r="221">
      <c r="A221" s="140">
        <v>349.0</v>
      </c>
      <c r="B221" s="125" t="str">
        <f>VLOOKUP(A221,'Swiss Registry'!$A$2:$B$703,2,False)</f>
        <v>Reptikrook</v>
      </c>
      <c r="C221" s="105" t="str">
        <f t="shared" si="21"/>
        <v>Game 1</v>
      </c>
      <c r="D221" s="106" t="str">
        <f t="shared" si="22"/>
        <v>Game 2</v>
      </c>
      <c r="E221" s="110" t="str">
        <f t="shared" si="23"/>
        <v>Game 3</v>
      </c>
      <c r="F221" s="125" t="str">
        <f>VLOOKUP(G221,'Swiss Registry'!$A$2:$B$703,2,False)</f>
        <v>Derde</v>
      </c>
      <c r="G221" s="145">
        <v>174.0</v>
      </c>
      <c r="H221" s="93" t="s">
        <v>2783</v>
      </c>
      <c r="I221" s="141" t="str">
        <f t="array" ref="I221">XLOOKUP(CELL("contents",B221),'Swiss Registry'!$B$2:$B$703,'Swiss Registry'!$N$2:$N$703) </f>
        <v>477623186104516629</v>
      </c>
      <c r="J221" s="142" t="str">
        <f t="array" ref="J221">XLOOKUP(CELL("contents",F221),'Swiss Registry'!$B$2:$B$703,'Swiss Registry'!$N$2:$N$703) </f>
        <v>788102162861260891</v>
      </c>
    </row>
    <row r="222">
      <c r="A222" s="140">
        <v>141.0</v>
      </c>
      <c r="B222" s="125" t="str">
        <f>VLOOKUP(A222,'Swiss Registry'!$A$2:$B$703,2,False)</f>
        <v>danielsemmson</v>
      </c>
      <c r="C222" s="105" t="str">
        <f t="shared" si="21"/>
        <v>Game 1</v>
      </c>
      <c r="D222" s="106" t="str">
        <f t="shared" si="22"/>
        <v>Game 2</v>
      </c>
      <c r="E222" s="110" t="str">
        <f t="shared" si="23"/>
        <v>Game 3</v>
      </c>
      <c r="F222" s="125" t="str">
        <f>VLOOKUP(G222,'Swiss Registry'!$A$2:$B$703,2,False)</f>
        <v>diamonddiancie</v>
      </c>
      <c r="G222" s="145">
        <v>313.0</v>
      </c>
      <c r="H222" s="93" t="s">
        <v>2784</v>
      </c>
      <c r="I222" s="141" t="str">
        <f t="array" ref="I222">XLOOKUP(CELL("contents",B222),'Swiss Registry'!$B$2:$B$703,'Swiss Registry'!$N$2:$N$703) </f>
        <v>1128107355633107014</v>
      </c>
      <c r="J222" s="142" t="str">
        <f t="array" ref="J222">XLOOKUP(CELL("contents",F222),'Swiss Registry'!$B$2:$B$703,'Swiss Registry'!$N$2:$N$703) </f>
        <v>501497739226644522</v>
      </c>
    </row>
    <row r="223">
      <c r="A223" s="140">
        <v>224.0</v>
      </c>
      <c r="B223" s="125" t="str">
        <f>VLOOKUP(A223,'Swiss Registry'!$A$2:$B$703,2,False)</f>
        <v>vy_apostrophe</v>
      </c>
      <c r="C223" s="111" t="str">
        <f t="shared" si="21"/>
        <v/>
      </c>
      <c r="D223" s="112" t="str">
        <f t="shared" si="22"/>
        <v>Act: vy_apostrophe</v>
      </c>
      <c r="E223" s="107" t="str">
        <f t="shared" si="23"/>
        <v/>
      </c>
      <c r="F223" s="125" t="str">
        <f>VLOOKUP(G223,'Swiss Registry'!$A$2:$B$703,2,False)</f>
        <v>darth0068</v>
      </c>
      <c r="G223" s="145">
        <v>392.0</v>
      </c>
      <c r="H223" s="93" t="s">
        <v>1486</v>
      </c>
      <c r="I223" s="141" t="str">
        <f t="array" ref="I223">XLOOKUP(CELL("contents",B223),'Swiss Registry'!$B$2:$B$703,'Swiss Registry'!$N$2:$N$703) </f>
        <v>739260362091659315</v>
      </c>
      <c r="J223" s="142" t="str">
        <f t="array" ref="J223">XLOOKUP(CELL("contents",F223),'Swiss Registry'!$B$2:$B$703,'Swiss Registry'!$N$2:$N$703) </f>
        <v>672056990951800862</v>
      </c>
    </row>
    <row r="224">
      <c r="A224" s="140">
        <v>336.0</v>
      </c>
      <c r="B224" s="125" t="str">
        <f>VLOOKUP(A224,'Swiss Registry'!$A$2:$B$703,2,False)</f>
        <v>nadiddhrabb</v>
      </c>
      <c r="C224" s="111" t="str">
        <f t="shared" si="21"/>
        <v/>
      </c>
      <c r="D224" s="112" t="str">
        <f t="shared" si="22"/>
        <v>Act: nadiddhrabb</v>
      </c>
      <c r="E224" s="107" t="str">
        <f t="shared" si="23"/>
        <v/>
      </c>
      <c r="F224" s="125" t="str">
        <f>VLOOKUP(G224,'Swiss Registry'!$A$2:$B$703,2,False)</f>
        <v>jensendale</v>
      </c>
      <c r="G224" s="145">
        <v>229.0</v>
      </c>
      <c r="H224" s="93" t="s">
        <v>1486</v>
      </c>
      <c r="I224" s="141" t="str">
        <f t="array" ref="I224">XLOOKUP(CELL("contents",B224),'Swiss Registry'!$B$2:$B$703,'Swiss Registry'!$N$2:$N$703) </f>
        <v>708579140605050922</v>
      </c>
      <c r="J224" s="142" t="str">
        <f t="array" ref="J224">XLOOKUP(CELL("contents",F224),'Swiss Registry'!$B$2:$B$703,'Swiss Registry'!$N$2:$N$703) </f>
        <v>1153475592411418724</v>
      </c>
    </row>
    <row r="225">
      <c r="A225" s="140">
        <v>362.0</v>
      </c>
      <c r="B225" s="125" t="str">
        <f>VLOOKUP(A225,'Swiss Registry'!$A$2:$B$703,2,False)</f>
        <v>James67</v>
      </c>
      <c r="C225" s="105" t="str">
        <f t="shared" si="21"/>
        <v>Game 1</v>
      </c>
      <c r="D225" s="106" t="str">
        <f t="shared" si="22"/>
        <v>Game 2</v>
      </c>
      <c r="E225" s="107" t="str">
        <f t="shared" si="23"/>
        <v/>
      </c>
      <c r="F225" s="125" t="str">
        <f>VLOOKUP(G225,'Swiss Registry'!$A$2:$B$703,2,False)</f>
        <v>jankcity</v>
      </c>
      <c r="G225" s="145">
        <v>698.0</v>
      </c>
      <c r="H225" s="93" t="s">
        <v>2785</v>
      </c>
      <c r="I225" s="141" t="str">
        <f t="array" ref="I225">XLOOKUP(CELL("contents",B225),'Swiss Registry'!$B$2:$B$703,'Swiss Registry'!$N$2:$N$703) </f>
        <v>349259766528344076</v>
      </c>
      <c r="J225" s="142" t="str">
        <f t="array" ref="J225">XLOOKUP(CELL("contents",F225),'Swiss Registry'!$B$2:$B$703,'Swiss Registry'!$N$2:$N$703) </f>
        <v>532236765914988557</v>
      </c>
    </row>
    <row r="226">
      <c r="A226" s="140">
        <v>528.0</v>
      </c>
      <c r="B226" s="125" t="str">
        <f>VLOOKUP(A226,'Swiss Registry'!$A$2:$B$703,2,False)</f>
        <v>Kenmarijuana</v>
      </c>
      <c r="C226" s="111" t="str">
        <f t="shared" si="21"/>
        <v/>
      </c>
      <c r="D226" s="112" t="str">
        <f t="shared" si="22"/>
        <v>Act: Kenmarijuana</v>
      </c>
      <c r="E226" s="107" t="str">
        <f t="shared" si="23"/>
        <v/>
      </c>
      <c r="F226" s="125" t="str">
        <f>VLOOKUP(G226,'Swiss Registry'!$A$2:$B$703,2,False)</f>
        <v>rizzarroflame</v>
      </c>
      <c r="G226" s="145">
        <v>493.0</v>
      </c>
      <c r="H226" s="93" t="s">
        <v>1486</v>
      </c>
      <c r="I226" s="141" t="str">
        <f t="array" ref="I226">XLOOKUP(CELL("contents",B226),'Swiss Registry'!$B$2:$B$703,'Swiss Registry'!$N$2:$N$703) </f>
        <v>508684602261504010</v>
      </c>
      <c r="J226" s="142" t="str">
        <f t="array" ref="J226">XLOOKUP(CELL("contents",F226),'Swiss Registry'!$B$2:$B$703,'Swiss Registry'!$N$2:$N$703) </f>
        <v>252382699904303104</v>
      </c>
    </row>
    <row r="227">
      <c r="A227" s="140">
        <v>255.0</v>
      </c>
      <c r="B227" s="125" t="str">
        <f>VLOOKUP(A227,'Swiss Registry'!$A$2:$B$703,2,False)</f>
        <v>.FunkyCop</v>
      </c>
      <c r="C227" s="105" t="str">
        <f t="shared" si="21"/>
        <v>Game 1</v>
      </c>
      <c r="D227" s="106" t="str">
        <f t="shared" si="22"/>
        <v>Game 2</v>
      </c>
      <c r="E227" s="107" t="str">
        <f t="shared" si="23"/>
        <v/>
      </c>
      <c r="F227" s="125" t="str">
        <f>VLOOKUP(G227,'Swiss Registry'!$A$2:$B$703,2,False)</f>
        <v>zoyotte</v>
      </c>
      <c r="G227" s="145">
        <v>602.0</v>
      </c>
      <c r="H227" s="93" t="s">
        <v>2786</v>
      </c>
      <c r="I227" s="141" t="str">
        <f t="array" ref="I227">XLOOKUP(CELL("contents",B227),'Swiss Registry'!$B$2:$B$703,'Swiss Registry'!$N$2:$N$703) </f>
        <v>227532710363660288</v>
      </c>
      <c r="J227" s="142" t="str">
        <f t="array" ref="J227">XLOOKUP(CELL("contents",F227),'Swiss Registry'!$B$2:$B$703,'Swiss Registry'!$N$2:$N$703) </f>
        <v>429574111350489088</v>
      </c>
    </row>
    <row r="228">
      <c r="A228" s="140">
        <v>128.0</v>
      </c>
      <c r="B228" s="125" t="str">
        <f>VLOOKUP(A228,'Swiss Registry'!$A$2:$B$703,2,False)</f>
        <v>iwasmoth</v>
      </c>
      <c r="C228" s="105" t="str">
        <f t="shared" si="21"/>
        <v>Game 1</v>
      </c>
      <c r="D228" s="106" t="str">
        <f t="shared" si="22"/>
        <v>Game 2</v>
      </c>
      <c r="E228" s="107" t="str">
        <f t="shared" si="23"/>
        <v/>
      </c>
      <c r="F228" s="125" t="str">
        <f>VLOOKUP(G228,'Swiss Registry'!$A$2:$B$703,2,False)</f>
        <v>Graham (graaahaaam)</v>
      </c>
      <c r="G228" s="145">
        <v>135.0</v>
      </c>
      <c r="H228" s="93" t="s">
        <v>2787</v>
      </c>
      <c r="I228" s="141" t="str">
        <f t="array" ref="I228">XLOOKUP(CELL("contents",B228),'Swiss Registry'!$B$2:$B$703,'Swiss Registry'!$N$2:$N$703) </f>
        <v>127915546229473280</v>
      </c>
      <c r="J228" s="142" t="str">
        <f t="array" ref="J228">XLOOKUP(CELL("contents",F228),'Swiss Registry'!$B$2:$B$703,'Swiss Registry'!$N$2:$N$703) </f>
        <v>116227974885277697</v>
      </c>
    </row>
    <row r="229">
      <c r="A229" s="140">
        <v>260.0</v>
      </c>
      <c r="B229" s="125" t="str">
        <f>VLOOKUP(A229,'Swiss Registry'!$A$2:$B$703,2,False)</f>
        <v>Attazer</v>
      </c>
      <c r="C229" s="105" t="str">
        <f t="shared" si="21"/>
        <v>Game 1</v>
      </c>
      <c r="D229" s="106" t="str">
        <f t="shared" si="22"/>
        <v>Game 2</v>
      </c>
      <c r="E229" s="110" t="str">
        <f t="shared" si="23"/>
        <v>Game 3</v>
      </c>
      <c r="F229" s="125" t="str">
        <f>VLOOKUP(G229,'Swiss Registry'!$A$2:$B$703,2,False)</f>
        <v>JxJ</v>
      </c>
      <c r="G229" s="145">
        <v>203.0</v>
      </c>
      <c r="H229" s="93" t="s">
        <v>2788</v>
      </c>
      <c r="I229" s="141" t="str">
        <f t="array" ref="I229">XLOOKUP(CELL("contents",B229),'Swiss Registry'!$B$2:$B$703,'Swiss Registry'!$N$2:$N$703) </f>
        <v>240653064753774592</v>
      </c>
      <c r="J229" s="142" t="str">
        <f t="array" ref="J229">XLOOKUP(CELL("contents",F229),'Swiss Registry'!$B$2:$B$703,'Swiss Registry'!$N$2:$N$703) </f>
        <v>431270421652832258</v>
      </c>
    </row>
    <row r="230">
      <c r="A230" s="140">
        <v>355.0</v>
      </c>
      <c r="B230" s="125" t="str">
        <f>VLOOKUP(A230,'Swiss Registry'!$A$2:$B$703,2,False)</f>
        <v>Sorenkazer</v>
      </c>
      <c r="C230" s="105" t="str">
        <f t="shared" si="21"/>
        <v>Game 1</v>
      </c>
      <c r="D230" s="106" t="str">
        <f t="shared" si="22"/>
        <v>Game 2</v>
      </c>
      <c r="E230" s="110" t="str">
        <f t="shared" si="23"/>
        <v>Game 3</v>
      </c>
      <c r="F230" s="125" t="str">
        <f>VLOOKUP(G230,'Swiss Registry'!$A$2:$B$703,2,False)</f>
        <v>poosh_i</v>
      </c>
      <c r="G230" s="145">
        <v>384.0</v>
      </c>
      <c r="H230" s="93" t="s">
        <v>2789</v>
      </c>
      <c r="I230" s="141" t="str">
        <f t="array" ref="I230">XLOOKUP(CELL("contents",B230),'Swiss Registry'!$B$2:$B$703,'Swiss Registry'!$N$2:$N$703) </f>
        <v>245004928748224513</v>
      </c>
      <c r="J230" s="142" t="str">
        <f t="array" ref="J230">XLOOKUP(CELL("contents",F230),'Swiss Registry'!$B$2:$B$703,'Swiss Registry'!$N$2:$N$703) </f>
        <v>157452846374191104</v>
      </c>
    </row>
    <row r="231">
      <c r="A231" s="140">
        <v>345.0</v>
      </c>
      <c r="B231" s="125" t="str">
        <f>VLOOKUP(A231,'Swiss Registry'!$A$2:$B$703,2,False)</f>
        <v>diegoin10</v>
      </c>
      <c r="C231" s="105" t="str">
        <f t="shared" si="21"/>
        <v>Game 1</v>
      </c>
      <c r="D231" s="106" t="str">
        <f t="shared" si="22"/>
        <v>Game 2</v>
      </c>
      <c r="E231" s="110" t="str">
        <f t="shared" si="23"/>
        <v>Game 3</v>
      </c>
      <c r="F231" s="125" t="str">
        <f>VLOOKUP(G231,'Swiss Registry'!$A$2:$B$703,2,False)</f>
        <v>owlman7507</v>
      </c>
      <c r="G231" s="145">
        <v>487.0</v>
      </c>
      <c r="H231" s="93" t="s">
        <v>2790</v>
      </c>
      <c r="I231" s="141" t="str">
        <f t="array" ref="I231">XLOOKUP(CELL("contents",B231),'Swiss Registry'!$B$2:$B$703,'Swiss Registry'!$N$2:$N$703) </f>
        <v>808756098936733747</v>
      </c>
      <c r="J231" s="142" t="str">
        <f t="array" ref="J231">XLOOKUP(CELL("contents",F231),'Swiss Registry'!$B$2:$B$703,'Swiss Registry'!$N$2:$N$703) </f>
        <v>684894520751816770</v>
      </c>
    </row>
    <row r="232">
      <c r="A232" s="140">
        <v>126.0</v>
      </c>
      <c r="B232" s="125" t="str">
        <f>VLOOKUP(A232,'Swiss Registry'!$A$2:$B$703,2,False)</f>
        <v>jussydkt</v>
      </c>
      <c r="C232" s="105" t="str">
        <f t="shared" si="21"/>
        <v>Game 1</v>
      </c>
      <c r="D232" s="106" t="str">
        <f t="shared" si="22"/>
        <v>Game 2</v>
      </c>
      <c r="E232" s="110" t="str">
        <f t="shared" si="23"/>
        <v>Game 3</v>
      </c>
      <c r="F232" s="125" t="str">
        <f>VLOOKUP(G232,'Swiss Registry'!$A$2:$B$703,2,False)</f>
        <v>br.twfb</v>
      </c>
      <c r="G232" s="145">
        <v>161.0</v>
      </c>
      <c r="H232" s="93" t="s">
        <v>2791</v>
      </c>
      <c r="I232" s="141" t="str">
        <f t="array" ref="I232">XLOOKUP(CELL("contents",B232),'Swiss Registry'!$B$2:$B$703,'Swiss Registry'!$N$2:$N$703) </f>
        <v>344773420463947777</v>
      </c>
      <c r="J232" s="142" t="str">
        <f t="array" ref="J232">XLOOKUP(CELL("contents",F232),'Swiss Registry'!$B$2:$B$703,'Swiss Registry'!$N$2:$N$703) </f>
        <v>194544710604292097</v>
      </c>
    </row>
    <row r="233">
      <c r="A233" s="140">
        <v>431.0</v>
      </c>
      <c r="B233" s="125" t="str">
        <f>VLOOKUP(A233,'Swiss Registry'!$A$2:$B$703,2,False)</f>
        <v>ditdus.</v>
      </c>
      <c r="C233" s="105" t="str">
        <f t="shared" si="21"/>
        <v>Game 1</v>
      </c>
      <c r="D233" s="106" t="str">
        <f t="shared" si="22"/>
        <v>Game 2</v>
      </c>
      <c r="E233" s="107" t="str">
        <f t="shared" si="23"/>
        <v/>
      </c>
      <c r="F233" s="125" t="str">
        <f>VLOOKUP(G233,'Swiss Registry'!$A$2:$B$703,2,False)</f>
        <v>halbertsimpson</v>
      </c>
      <c r="G233" s="145">
        <v>223.0</v>
      </c>
      <c r="H233" s="93" t="s">
        <v>2792</v>
      </c>
      <c r="I233" s="141" t="str">
        <f t="array" ref="I233">XLOOKUP(CELL("contents",B233),'Swiss Registry'!$B$2:$B$703,'Swiss Registry'!$N$2:$N$703) </f>
        <v>1287828167775485963</v>
      </c>
      <c r="J233" s="142" t="str">
        <f t="array" ref="J233">XLOOKUP(CELL("contents",F233),'Swiss Registry'!$B$2:$B$703,'Swiss Registry'!$N$2:$N$703) </f>
        <v>1011611946824503427</v>
      </c>
    </row>
    <row r="234">
      <c r="A234" s="140">
        <v>308.0</v>
      </c>
      <c r="B234" s="125" t="str">
        <f>VLOOKUP(A234,'Swiss Registry'!$A$2:$B$703,2,False)</f>
        <v>hipimochi</v>
      </c>
      <c r="C234" s="105" t="str">
        <f t="shared" si="21"/>
        <v>Game 1</v>
      </c>
      <c r="D234" s="106" t="str">
        <f t="shared" si="22"/>
        <v>Game 2</v>
      </c>
      <c r="E234" s="110" t="str">
        <f t="shared" si="23"/>
        <v>Game 3</v>
      </c>
      <c r="F234" s="125" t="str">
        <f>VLOOKUP(G234,'Swiss Registry'!$A$2:$B$703,2,False)</f>
        <v>Axselo</v>
      </c>
      <c r="G234" s="145">
        <v>215.0</v>
      </c>
      <c r="H234" s="93" t="s">
        <v>2793</v>
      </c>
      <c r="I234" s="141" t="str">
        <f t="array" ref="I234">XLOOKUP(CELL("contents",B234),'Swiss Registry'!$B$2:$B$703,'Swiss Registry'!$N$2:$N$703) </f>
        <v>264931346223333377</v>
      </c>
      <c r="J234" s="142" t="str">
        <f t="array" ref="J234">XLOOKUP(CELL("contents",F234),'Swiss Registry'!$B$2:$B$703,'Swiss Registry'!$N$2:$N$703) </f>
        <v>627180078048215060</v>
      </c>
    </row>
    <row r="235">
      <c r="A235" s="140">
        <v>270.0</v>
      </c>
      <c r="B235" s="125" t="str">
        <f>VLOOKUP(A235,'Swiss Registry'!$A$2:$B$703,2,False)</f>
        <v>lemon04</v>
      </c>
      <c r="C235" s="105" t="str">
        <f t="shared" si="21"/>
        <v>Game 1</v>
      </c>
      <c r="D235" s="106" t="str">
        <f t="shared" si="22"/>
        <v>Game 2</v>
      </c>
      <c r="E235" s="107" t="str">
        <f t="shared" si="23"/>
        <v/>
      </c>
      <c r="F235" s="125" t="str">
        <f>VLOOKUP(G235,'Swiss Registry'!$A$2:$B$703,2,False)</f>
        <v>fayestra</v>
      </c>
      <c r="G235" s="145">
        <v>572.0</v>
      </c>
      <c r="H235" s="93" t="s">
        <v>2794</v>
      </c>
      <c r="I235" s="141" t="str">
        <f t="array" ref="I235">XLOOKUP(CELL("contents",B235),'Swiss Registry'!$B$2:$B$703,'Swiss Registry'!$N$2:$N$703) </f>
        <v>177840825986711552</v>
      </c>
      <c r="J235" s="142" t="str">
        <f t="array" ref="J235">XLOOKUP(CELL("contents",F235),'Swiss Registry'!$B$2:$B$703,'Swiss Registry'!$N$2:$N$703) </f>
        <v>169948103938408448</v>
      </c>
    </row>
    <row r="236">
      <c r="A236" s="140">
        <v>429.0</v>
      </c>
      <c r="B236" s="125" t="str">
        <f>VLOOKUP(A236,'Swiss Registry'!$A$2:$B$703,2,False)</f>
        <v>Aahaahaah</v>
      </c>
      <c r="C236" s="105" t="str">
        <f t="shared" si="21"/>
        <v>Game 1</v>
      </c>
      <c r="D236" s="106" t="str">
        <f t="shared" si="22"/>
        <v>Game 2</v>
      </c>
      <c r="E236" s="107" t="str">
        <f t="shared" si="23"/>
        <v/>
      </c>
      <c r="F236" s="125" t="str">
        <f>VLOOKUP(G236,'Swiss Registry'!$A$2:$B$703,2,False)</f>
        <v>jotaentrena</v>
      </c>
      <c r="G236" s="145">
        <v>548.0</v>
      </c>
      <c r="H236" s="93" t="s">
        <v>2795</v>
      </c>
      <c r="I236" s="141" t="str">
        <f t="array" ref="I236">XLOOKUP(CELL("contents",B236),'Swiss Registry'!$B$2:$B$703,'Swiss Registry'!$N$2:$N$703) </f>
        <v>127698611189448704</v>
      </c>
      <c r="J236" s="142" t="str">
        <f t="array" ref="J236">XLOOKUP(CELL("contents",F236),'Swiss Registry'!$B$2:$B$703,'Swiss Registry'!$N$2:$N$703) </f>
        <v>423465310478401536</v>
      </c>
    </row>
    <row r="237">
      <c r="A237" s="140">
        <v>446.0</v>
      </c>
      <c r="B237" s="125" t="str">
        <f>VLOOKUP(A237,'Swiss Registry'!$A$2:$B$703,2,False)</f>
        <v>MrBluestacks</v>
      </c>
      <c r="C237" s="105" t="str">
        <f t="shared" si="21"/>
        <v>Game 1</v>
      </c>
      <c r="D237" s="106" t="str">
        <f t="shared" si="22"/>
        <v>Game 2</v>
      </c>
      <c r="E237" s="110" t="str">
        <f t="shared" si="23"/>
        <v>Game 3</v>
      </c>
      <c r="F237" s="125" t="str">
        <f>VLOOKUP(G237,'Swiss Registry'!$A$2:$B$703,2,False)</f>
        <v>KingWafl</v>
      </c>
      <c r="G237" s="145">
        <v>667.0</v>
      </c>
      <c r="H237" s="93" t="s">
        <v>2796</v>
      </c>
      <c r="I237" s="141" t="str">
        <f t="array" ref="I237">XLOOKUP(CELL("contents",B237),'Swiss Registry'!$B$2:$B$703,'Swiss Registry'!$N$2:$N$703) </f>
        <v>225833081435586561</v>
      </c>
      <c r="J237" s="142" t="str">
        <f t="array" ref="J237">XLOOKUP(CELL("contents",F237),'Swiss Registry'!$B$2:$B$703,'Swiss Registry'!$N$2:$N$703) </f>
        <v>298196806171492363</v>
      </c>
    </row>
    <row r="238">
      <c r="A238" s="140">
        <v>297.0</v>
      </c>
      <c r="B238" s="125" t="str">
        <f>VLOOKUP(A238,'Swiss Registry'!$A$2:$B$703,2,False)</f>
        <v>.germ_</v>
      </c>
      <c r="C238" s="105" t="str">
        <f t="shared" si="21"/>
        <v>Game 1</v>
      </c>
      <c r="D238" s="106" t="str">
        <f t="shared" si="22"/>
        <v>Game 2</v>
      </c>
      <c r="E238" s="107" t="str">
        <f t="shared" si="23"/>
        <v/>
      </c>
      <c r="F238" s="125" t="str">
        <f>VLOOKUP(G238,'Swiss Registry'!$A$2:$B$703,2,False)</f>
        <v>derevien</v>
      </c>
      <c r="G238" s="145">
        <v>541.0</v>
      </c>
      <c r="H238" s="93" t="s">
        <v>2797</v>
      </c>
      <c r="I238" s="141" t="str">
        <f t="array" ref="I238">XLOOKUP(CELL("contents",B238),'Swiss Registry'!$B$2:$B$703,'Swiss Registry'!$N$2:$N$703) </f>
        <v>358009888791592981</v>
      </c>
      <c r="J238" s="142" t="str">
        <f t="array" ref="J238">XLOOKUP(CELL("contents",F238),'Swiss Registry'!$B$2:$B$703,'Swiss Registry'!$N$2:$N$703) </f>
        <v>219178413062225922</v>
      </c>
    </row>
    <row r="239">
      <c r="A239" s="140">
        <v>341.0</v>
      </c>
      <c r="B239" s="125" t="str">
        <f>VLOOKUP(A239,'Swiss Registry'!$A$2:$B$703,2,False)</f>
        <v>terradayy</v>
      </c>
      <c r="C239" s="111" t="str">
        <f t="shared" si="21"/>
        <v/>
      </c>
      <c r="D239" s="112" t="str">
        <f t="shared" si="22"/>
        <v>Act: Lhions</v>
      </c>
      <c r="E239" s="107" t="str">
        <f t="shared" si="23"/>
        <v/>
      </c>
      <c r="F239" s="125" t="str">
        <f>VLOOKUP(G239,'Swiss Registry'!$A$2:$B$703,2,False)</f>
        <v>Lhions</v>
      </c>
      <c r="G239" s="145">
        <v>556.0</v>
      </c>
      <c r="H239" s="93" t="s">
        <v>1523</v>
      </c>
      <c r="I239" s="141" t="str">
        <f t="array" ref="I239">XLOOKUP(CELL("contents",B239),'Swiss Registry'!$B$2:$B$703,'Swiss Registry'!$N$2:$N$703) </f>
        <v>167777634267168768</v>
      </c>
      <c r="J239" s="142" t="str">
        <f t="array" ref="J239">XLOOKUP(CELL("contents",F239),'Swiss Registry'!$B$2:$B$703,'Swiss Registry'!$N$2:$N$703) </f>
        <v>220957448066957312</v>
      </c>
    </row>
    <row r="240">
      <c r="A240" s="140">
        <v>552.0</v>
      </c>
      <c r="B240" s="125" t="str">
        <f>VLOOKUP(A240,'Swiss Registry'!$A$2:$B$703,2,False)</f>
        <v>marcelbruer</v>
      </c>
      <c r="C240" s="105" t="str">
        <f t="shared" si="21"/>
        <v>Game 1</v>
      </c>
      <c r="D240" s="106" t="str">
        <f t="shared" si="22"/>
        <v>Game 2</v>
      </c>
      <c r="E240" s="110" t="str">
        <f t="shared" si="23"/>
        <v>Game 3</v>
      </c>
      <c r="F240" s="125" t="str">
        <f>VLOOKUP(G240,'Swiss Registry'!$A$2:$B$703,2,False)</f>
        <v>Melee Minion</v>
      </c>
      <c r="G240" s="145">
        <v>319.0</v>
      </c>
      <c r="H240" s="93" t="s">
        <v>2798</v>
      </c>
      <c r="I240" s="141" t="str">
        <f t="array" ref="I240">XLOOKUP(CELL("contents",B240),'Swiss Registry'!$B$2:$B$703,'Swiss Registry'!$N$2:$N$703) </f>
        <v>192472740651991040</v>
      </c>
      <c r="J240" s="142" t="str">
        <f t="array" ref="J240">XLOOKUP(CELL("contents",F240),'Swiss Registry'!$B$2:$B$703,'Swiss Registry'!$N$2:$N$703) </f>
        <v>140705872316858369</v>
      </c>
    </row>
    <row r="241">
      <c r="A241" s="140">
        <v>688.0</v>
      </c>
      <c r="B241" s="125" t="str">
        <f>VLOOKUP(A241,'Swiss Registry'!$A$2:$B$703,2,False)</f>
        <v>Genofool</v>
      </c>
      <c r="C241" s="105" t="str">
        <f t="shared" si="21"/>
        <v>Game 1</v>
      </c>
      <c r="D241" s="106" t="str">
        <f t="shared" si="22"/>
        <v>Game 2</v>
      </c>
      <c r="E241" s="110" t="str">
        <f t="shared" si="23"/>
        <v>Game 3</v>
      </c>
      <c r="F241" s="125" t="str">
        <f>VLOOKUP(G241,'Swiss Registry'!$A$2:$B$703,2,False)</f>
        <v>ReavenFTW</v>
      </c>
      <c r="G241" s="145">
        <v>131.0</v>
      </c>
      <c r="H241" s="93" t="s">
        <v>2799</v>
      </c>
      <c r="I241" s="141" t="str">
        <f t="array" ref="I241">XLOOKUP(CELL("contents",B241),'Swiss Registry'!$B$2:$B$703,'Swiss Registry'!$N$2:$N$703) </f>
        <v>82969260036456448</v>
      </c>
      <c r="J241" s="142" t="str">
        <f t="array" ref="J241">XLOOKUP(CELL("contents",F241),'Swiss Registry'!$B$2:$B$703,'Swiss Registry'!$N$2:$N$703) </f>
        <v>491685671480721419</v>
      </c>
    </row>
    <row r="242">
      <c r="A242" s="140">
        <v>619.0</v>
      </c>
      <c r="B242" s="125" t="str">
        <f>VLOOKUP(A242,'Swiss Registry'!$A$2:$B$703,2,False)</f>
        <v>kinou_pkm</v>
      </c>
      <c r="C242" s="111" t="str">
        <f t="shared" si="21"/>
        <v/>
      </c>
      <c r="D242" s="112" t="str">
        <f t="shared" si="22"/>
        <v>Act: kinou_pkm</v>
      </c>
      <c r="E242" s="107" t="str">
        <f t="shared" si="23"/>
        <v/>
      </c>
      <c r="F242" s="125" t="str">
        <f>VLOOKUP(G242,'Swiss Registry'!$A$2:$B$703,2,False)</f>
        <v>Felizelise</v>
      </c>
      <c r="G242" s="145">
        <v>673.0</v>
      </c>
      <c r="H242" s="93" t="s">
        <v>1486</v>
      </c>
      <c r="I242" s="141" t="str">
        <f t="array" ref="I242">XLOOKUP(CELL("contents",B242),'Swiss Registry'!$B$2:$B$703,'Swiss Registry'!$N$2:$N$703) </f>
        <v>760122389345337405</v>
      </c>
      <c r="J242" s="142" t="str">
        <f t="array" ref="J242">XLOOKUP(CELL("contents",F242),'Swiss Registry'!$B$2:$B$703,'Swiss Registry'!$N$2:$N$703) </f>
        <v>377637716818526208</v>
      </c>
    </row>
    <row r="243">
      <c r="A243" s="140">
        <v>388.0</v>
      </c>
      <c r="B243" s="125" t="str">
        <f>VLOOKUP(A243,'Swiss Registry'!$A$2:$B$703,2,False)</f>
        <v>Tyxerns</v>
      </c>
      <c r="C243" s="105" t="str">
        <f t="shared" si="21"/>
        <v>Game 1</v>
      </c>
      <c r="D243" s="106" t="str">
        <f t="shared" si="22"/>
        <v>Game 2</v>
      </c>
      <c r="E243" s="107" t="str">
        <f t="shared" si="23"/>
        <v/>
      </c>
      <c r="F243" s="125" t="str">
        <f>VLOOKUP(G243,'Swiss Registry'!$A$2:$B$703,2,False)</f>
        <v>allmovingshadows</v>
      </c>
      <c r="G243" s="145">
        <v>136.0</v>
      </c>
      <c r="H243" s="93" t="s">
        <v>2800</v>
      </c>
      <c r="I243" s="141" t="str">
        <f t="array" ref="I243">XLOOKUP(CELL("contents",B243),'Swiss Registry'!$B$2:$B$703,'Swiss Registry'!$N$2:$N$703) </f>
        <v>520352187344355359</v>
      </c>
      <c r="J243" s="142" t="str">
        <f t="array" ref="J243">XLOOKUP(CELL("contents",F243),'Swiss Registry'!$B$2:$B$703,'Swiss Registry'!$N$2:$N$703) </f>
        <v>1218021450191994892</v>
      </c>
    </row>
    <row r="244">
      <c r="A244" s="140">
        <v>418.0</v>
      </c>
      <c r="B244" s="125" t="str">
        <f>VLOOKUP(A244,'Swiss Registry'!$A$2:$B$703,2,False)</f>
        <v>skitz_money</v>
      </c>
      <c r="C244" s="111" t="str">
        <f t="shared" si="21"/>
        <v/>
      </c>
      <c r="D244" s="112" t="str">
        <f t="shared" si="22"/>
        <v>Act: irrelevantone</v>
      </c>
      <c r="E244" s="107" t="str">
        <f t="shared" si="23"/>
        <v/>
      </c>
      <c r="F244" s="125" t="str">
        <f>VLOOKUP(G244,'Swiss Registry'!$A$2:$B$703,2,False)</f>
        <v>irrelevantone</v>
      </c>
      <c r="G244" s="145">
        <v>689.0</v>
      </c>
      <c r="H244" s="93" t="s">
        <v>1523</v>
      </c>
      <c r="I244" s="141" t="str">
        <f t="array" ref="I244">XLOOKUP(CELL("contents",B244),'Swiss Registry'!$B$2:$B$703,'Swiss Registry'!$N$2:$N$703) </f>
        <v>175361436610985984</v>
      </c>
      <c r="J244" s="142" t="str">
        <f t="array" ref="J244">XLOOKUP(CELL("contents",F244),'Swiss Registry'!$B$2:$B$703,'Swiss Registry'!$N$2:$N$703) </f>
        <v>284150733152976896</v>
      </c>
    </row>
    <row r="245">
      <c r="A245" s="140">
        <v>280.0</v>
      </c>
      <c r="B245" s="125" t="str">
        <f>VLOOKUP(A245,'Swiss Registry'!$A$2:$B$703,2,False)</f>
        <v>xamvius</v>
      </c>
      <c r="C245" s="105" t="str">
        <f t="shared" si="21"/>
        <v>Game 1</v>
      </c>
      <c r="D245" s="106" t="str">
        <f t="shared" si="22"/>
        <v>Game 2</v>
      </c>
      <c r="E245" s="110" t="str">
        <f t="shared" si="23"/>
        <v>Game 3</v>
      </c>
      <c r="F245" s="125" t="str">
        <f>VLOOKUP(G245,'Swiss Registry'!$A$2:$B$703,2,False)</f>
        <v>Upon_Link_Main</v>
      </c>
      <c r="G245" s="145">
        <v>616.0</v>
      </c>
      <c r="H245" s="93" t="s">
        <v>2801</v>
      </c>
      <c r="I245" s="141" t="str">
        <f t="array" ref="I245">XLOOKUP(CELL("contents",B245),'Swiss Registry'!$B$2:$B$703,'Swiss Registry'!$N$2:$N$703) </f>
        <v>173625348469030913</v>
      </c>
      <c r="J245" s="142" t="str">
        <f t="array" ref="J245">XLOOKUP(CELL("contents",F245),'Swiss Registry'!$B$2:$B$703,'Swiss Registry'!$N$2:$N$703) </f>
        <v>355216493618921472</v>
      </c>
    </row>
    <row r="246">
      <c r="A246" s="140">
        <v>534.0</v>
      </c>
      <c r="B246" s="125" t="str">
        <f>VLOOKUP(A246,'Swiss Registry'!$A$2:$B$703,2,False)</f>
        <v>etibamecus.</v>
      </c>
      <c r="C246" s="105" t="str">
        <f t="shared" si="21"/>
        <v>Game 1</v>
      </c>
      <c r="D246" s="106" t="str">
        <f t="shared" si="22"/>
        <v>Game 2</v>
      </c>
      <c r="E246" s="110" t="str">
        <f t="shared" si="23"/>
        <v>Game 3</v>
      </c>
      <c r="F246" s="125" t="str">
        <f>VLOOKUP(G246,'Swiss Registry'!$A$2:$B$703,2,False)</f>
        <v>Basharapplejuice</v>
      </c>
      <c r="G246" s="145">
        <v>140.0</v>
      </c>
      <c r="H246" s="93" t="s">
        <v>2802</v>
      </c>
      <c r="I246" s="141" t="str">
        <f t="array" ref="I246">XLOOKUP(CELL("contents",B246),'Swiss Registry'!$B$2:$B$703,'Swiss Registry'!$N$2:$N$703) </f>
        <v>375394551445323787</v>
      </c>
      <c r="J246" s="142" t="str">
        <f t="array" ref="J246">XLOOKUP(CELL("contents",F246),'Swiss Registry'!$B$2:$B$703,'Swiss Registry'!$N$2:$N$703) </f>
        <v>215651907459481601</v>
      </c>
    </row>
    <row r="247">
      <c r="A247" s="140">
        <v>267.0</v>
      </c>
      <c r="B247" s="125" t="str">
        <f>VLOOKUP(A247,'Swiss Registry'!$A$2:$B$703,2,False)</f>
        <v>mintchocolateguy</v>
      </c>
      <c r="C247" s="105" t="str">
        <f t="shared" si="21"/>
        <v>Game 1</v>
      </c>
      <c r="D247" s="106" t="str">
        <f t="shared" si="22"/>
        <v>Game 2</v>
      </c>
      <c r="E247" s="110" t="str">
        <f t="shared" si="23"/>
        <v>Game 3</v>
      </c>
      <c r="F247" s="125" t="str">
        <f>VLOOKUP(G247,'Swiss Registry'!$A$2:$B$703,2,False)</f>
        <v>moggie776</v>
      </c>
      <c r="G247" s="145">
        <v>231.0</v>
      </c>
      <c r="H247" s="93" t="s">
        <v>2803</v>
      </c>
      <c r="I247" s="141" t="str">
        <f t="array" ref="I247">XLOOKUP(CELL("contents",B247),'Swiss Registry'!$B$2:$B$703,'Swiss Registry'!$N$2:$N$703) </f>
        <v>698335732191723551</v>
      </c>
      <c r="J247" s="142" t="str">
        <f t="array" ref="J247">XLOOKUP(CELL("contents",F247),'Swiss Registry'!$B$2:$B$703,'Swiss Registry'!$N$2:$N$703) </f>
        <v>662243961477398528</v>
      </c>
    </row>
    <row r="248">
      <c r="A248" s="140">
        <v>138.0</v>
      </c>
      <c r="B248" s="125" t="str">
        <f>VLOOKUP(A248,'Swiss Registry'!$A$2:$B$703,2,False)</f>
        <v>Drekt93#0078</v>
      </c>
      <c r="C248" s="105" t="str">
        <f t="shared" si="21"/>
        <v>Game 1</v>
      </c>
      <c r="D248" s="106" t="str">
        <f t="shared" si="22"/>
        <v>Game 2</v>
      </c>
      <c r="E248" s="110" t="str">
        <f t="shared" si="23"/>
        <v>Game 3</v>
      </c>
      <c r="F248" s="125" t="str">
        <f>VLOOKUP(G248,'Swiss Registry'!$A$2:$B$703,2,False)</f>
        <v>clinkbug</v>
      </c>
      <c r="G248" s="145">
        <v>292.0</v>
      </c>
      <c r="H248" s="93" t="s">
        <v>2804</v>
      </c>
      <c r="I248" s="141" t="str">
        <f t="array" ref="I248">XLOOKUP(CELL("contents",B248),'Swiss Registry'!$B$2:$B$703,'Swiss Registry'!$N$2:$N$703) </f>
        <v>140406234460323840</v>
      </c>
      <c r="J248" s="142" t="str">
        <f t="array" ref="J248">XLOOKUP(CELL("contents",F248),'Swiss Registry'!$B$2:$B$703,'Swiss Registry'!$N$2:$N$703) </f>
        <v>803823426427027496</v>
      </c>
    </row>
    <row r="249">
      <c r="A249" s="140">
        <v>610.0</v>
      </c>
      <c r="B249" s="125" t="str">
        <f>VLOOKUP(A249,'Swiss Registry'!$A$2:$B$703,2,False)</f>
        <v>nichard_</v>
      </c>
      <c r="C249" s="105" t="str">
        <f t="shared" si="21"/>
        <v>Game 1</v>
      </c>
      <c r="D249" s="106" t="str">
        <f t="shared" si="22"/>
        <v>Game 2</v>
      </c>
      <c r="E249" s="107" t="str">
        <f t="shared" si="23"/>
        <v/>
      </c>
      <c r="F249" s="125" t="str">
        <f>VLOOKUP(G249,'Swiss Registry'!$A$2:$B$703,2,False)</f>
        <v>theepiccd56</v>
      </c>
      <c r="G249" s="145">
        <v>322.0</v>
      </c>
      <c r="H249" s="93" t="s">
        <v>2805</v>
      </c>
      <c r="I249" s="141" t="str">
        <f t="array" ref="I249">XLOOKUP(CELL("contents",B249),'Swiss Registry'!$B$2:$B$703,'Swiss Registry'!$N$2:$N$703) </f>
        <v>737461610175528960</v>
      </c>
      <c r="J249" s="142" t="str">
        <f t="array" ref="J249">XLOOKUP(CELL("contents",F249),'Swiss Registry'!$B$2:$B$703,'Swiss Registry'!$N$2:$N$703) </f>
        <v>148946268033515521</v>
      </c>
    </row>
  </sheetData>
  <mergeCells count="1">
    <mergeCell ref="C1:E1"/>
  </mergeCells>
  <conditionalFormatting sqref="B3:B44 B46:B85 B87:B125 B127:B165 B167:B205 B207:B249">
    <cfRule type="expression" dxfId="5" priority="1">
      <formula>IF(LEFT(H3:H249,1)="A",TRUE,FALSE)</formula>
    </cfRule>
  </conditionalFormatting>
  <conditionalFormatting sqref="F3:F44 I3:J44 F46:F85 I46:J85 F87:F125 I87:J125 F127:F165 I127:J165 F167:F205 I167:J205 F207:F249 I207:J249">
    <cfRule type="expression" dxfId="5" priority="2">
      <formula>IF(LEFT(H3:H249,1)="B",TRUE,FALSE)</formula>
    </cfRule>
  </conditionalFormatting>
  <conditionalFormatting sqref="B3:B44 B46:B85 B87:B125 B127:B165 B167:B205 B207:B249">
    <cfRule type="expression" dxfId="6" priority="3">
      <formula>IF(LEFT(H3:H249,1)="B",TRUE,FALSE)</formula>
    </cfRule>
  </conditionalFormatting>
  <conditionalFormatting sqref="F3:F44 I3:J44 F46:F85 I46:J85 F87:F125 I87:J125 F127:F165 I127:J165 F167:F205 I167:J205 F207:F249 I207:J249">
    <cfRule type="expression" dxfId="6" priority="4">
      <formula>IF(LEFT(H3:H249,1)="A",TRUE,FALSE)</formula>
    </cfRule>
  </conditionalFormatting>
  <conditionalFormatting sqref="B3:B44 B46:B85 B87:B125 B127:B165 B167:B205 B207:B249">
    <cfRule type="expression" dxfId="10" priority="5">
      <formula>COUNTIF(B:F, B3)&gt;1</formula>
    </cfRule>
  </conditionalFormatting>
  <conditionalFormatting sqref="J18">
    <cfRule type="notContainsBlanks" dxfId="2" priority="6">
      <formula>LEN(TRIM(J18))&gt;0</formula>
    </cfRule>
  </conditionalFormatting>
  <conditionalFormatting sqref="F3:F44 F46:F85 F87:F125 F127:F165 F167:F205 F207:F249">
    <cfRule type="expression" dxfId="10" priority="7">
      <formula>COUNTIF(B:F, F3)&gt;1</formula>
    </cfRule>
  </conditionalFormatting>
  <drawing r:id="rId2"/>
  <legacyDrawing r:id="rId3"/>
  <tableParts count="7">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0"/>
    <col customWidth="1" hidden="1" min="9" max="10" width="21.13"/>
  </cols>
  <sheetData>
    <row r="1">
      <c r="A1" s="118"/>
      <c r="B1" s="119" t="s">
        <v>1454</v>
      </c>
      <c r="C1" s="134" t="s">
        <v>2806</v>
      </c>
      <c r="D1" s="77"/>
      <c r="E1" s="78"/>
      <c r="F1" s="120" t="s">
        <v>1454</v>
      </c>
      <c r="G1" s="118"/>
      <c r="H1" s="135" t="s">
        <v>1456</v>
      </c>
      <c r="I1" s="136" t="s">
        <v>1768</v>
      </c>
      <c r="J1" s="137" t="s">
        <v>1769</v>
      </c>
    </row>
    <row r="2" ht="15.0" customHeight="1">
      <c r="A2" s="124"/>
      <c r="B2" s="122"/>
      <c r="C2" s="123"/>
      <c r="D2" s="138" t="s">
        <v>2807</v>
      </c>
      <c r="E2" s="123"/>
      <c r="F2" s="122"/>
      <c r="G2" s="124"/>
      <c r="H2" s="83"/>
      <c r="I2" s="139"/>
      <c r="J2" s="139"/>
    </row>
    <row r="3">
      <c r="A3" s="140">
        <v>6.0</v>
      </c>
      <c r="B3" s="125" t="str">
        <f>VLOOKUP(A3,'Swiss Registry'!$A$2:$B$703,2,False)</f>
        <v>Fear</v>
      </c>
      <c r="C3" s="105" t="str">
        <f t="shared" ref="C3:C38" si="1">IF(H3="dead","",IF(H3="a:act","",IF(H3="b:act","",IF(ISURL(HYPERLINK(INDIRECT("Importer!B"&amp;MID(H3,2,4)+1,TRUE))),HYPERLINK(INDIRECT("Importer!B"&amp;MID(H3,2,4)+1,TRUE), "Game 1"),""))))</f>
        <v>Game 1</v>
      </c>
      <c r="D3" s="106" t="str">
        <f t="shared" ref="D3:D38" si="2">IF(H3="dead","Dead Game",IF(H3="a:act","Act: "&amp;B3,IF(H3="b:act","Act: "&amp;F3,IF(ISURL(HYPERLINK(INDIRECT("Importer!B"&amp;MID(H3,6,4)+1,TRUE))),HYPERLINK(INDIRECT("Importer!B"&amp;MID(H3,6,4)+1,TRUE), "Game 2"),""))))</f>
        <v>Game 2</v>
      </c>
      <c r="E3" s="110" t="str">
        <f t="shared" ref="E3:E38" si="3">IF(H3="dead","",IF(H3="a:act","",IF(H3="b:act","",IF(ISURL(HYPERLINK(INDIRECT("Importer!B"&amp;MID(H3,10,4)+1,TRUE))),HYPERLINK(INDIRECT("Importer!B"&amp;MID(H3,10,4)+1,TRUE), "Game 3"),""))))</f>
        <v>Game 3</v>
      </c>
      <c r="F3" s="125" t="str">
        <f>VLOOKUP(G3,'Swiss Registry'!$A$2:$B$703,2,False)</f>
        <v>pac_rojo</v>
      </c>
      <c r="G3" s="140">
        <v>331.0</v>
      </c>
      <c r="H3" s="93" t="s">
        <v>2808</v>
      </c>
      <c r="I3" s="141" t="str">
        <f t="array" ref="I3">XLOOKUP(CELL("contents",B3),'Swiss Registry'!$B$2:$B$703,'Swiss Registry'!$N$2:$N$703) </f>
        <v>125981893828149248</v>
      </c>
      <c r="J3" s="142" t="str">
        <f t="array" ref="J3">XLOOKUP(CELL("contents",F3),'Swiss Registry'!$B$2:$B$703,'Swiss Registry'!$N$2:$N$703) </f>
        <v>658992933772591105</v>
      </c>
    </row>
    <row r="4">
      <c r="A4" s="140">
        <v>1.0</v>
      </c>
      <c r="B4" s="125" t="str">
        <f>VLOOKUP(A4,'Swiss Registry'!$A$2:$B$703,2,False)</f>
        <v>Fakes</v>
      </c>
      <c r="C4" s="105" t="str">
        <f t="shared" si="1"/>
        <v>Game 1</v>
      </c>
      <c r="D4" s="106" t="str">
        <f t="shared" si="2"/>
        <v>Game 2</v>
      </c>
      <c r="E4" s="107" t="str">
        <f t="shared" si="3"/>
        <v/>
      </c>
      <c r="F4" s="125" t="str">
        <f>VLOOKUP(G4,'Swiss Registry'!$A$2:$B$703,2,False)</f>
        <v>depressioncherry_66209</v>
      </c>
      <c r="G4" s="140">
        <v>185.0</v>
      </c>
      <c r="H4" s="93" t="s">
        <v>2809</v>
      </c>
      <c r="I4" s="141" t="str">
        <f t="array" ref="I4">XLOOKUP(CELL("contents",B4),'Swiss Registry'!$B$2:$B$703,'Swiss Registry'!$N$2:$N$703) </f>
        <v>917864414269550693</v>
      </c>
      <c r="J4" s="142" t="str">
        <f t="array" ref="J4">XLOOKUP(CELL("contents",F4),'Swiss Registry'!$B$2:$B$703,'Swiss Registry'!$N$2:$N$703) </f>
        <v>1223996337217863761</v>
      </c>
    </row>
    <row r="5">
      <c r="A5" s="140">
        <v>7.0</v>
      </c>
      <c r="B5" s="125" t="str">
        <f>VLOOKUP(A5,'Swiss Registry'!$A$2:$B$703,2,False)</f>
        <v>jumpy23</v>
      </c>
      <c r="C5" s="105" t="str">
        <f t="shared" si="1"/>
        <v>Game 1</v>
      </c>
      <c r="D5" s="106" t="str">
        <f t="shared" si="2"/>
        <v>Game 2</v>
      </c>
      <c r="E5" s="110" t="str">
        <f t="shared" si="3"/>
        <v>Game 3</v>
      </c>
      <c r="F5" s="125" t="str">
        <f>VLOOKUP(G5,'Swiss Registry'!$A$2:$B$703,2,False)</f>
        <v>monchooo</v>
      </c>
      <c r="G5" s="140">
        <v>269.0</v>
      </c>
      <c r="H5" s="93" t="s">
        <v>2810</v>
      </c>
      <c r="I5" s="141" t="str">
        <f t="array" ref="I5">XLOOKUP(CELL("contents",B5),'Swiss Registry'!$B$2:$B$703,'Swiss Registry'!$N$2:$N$703) </f>
        <v>127527434865082368</v>
      </c>
      <c r="J5" s="142" t="str">
        <f t="array" ref="J5">XLOOKUP(CELL("contents",F5),'Swiss Registry'!$B$2:$B$703,'Swiss Registry'!$N$2:$N$703) </f>
        <v>202168691893207041</v>
      </c>
    </row>
    <row r="6">
      <c r="A6" s="140">
        <v>9.0</v>
      </c>
      <c r="B6" s="125" t="str">
        <f>VLOOKUP(A6,'Swiss Registry'!$A$2:$B$703,2,False)</f>
        <v>Kollin</v>
      </c>
      <c r="C6" s="105" t="str">
        <f t="shared" si="1"/>
        <v>Game 1</v>
      </c>
      <c r="D6" s="106" t="str">
        <f t="shared" si="2"/>
        <v>Game 2</v>
      </c>
      <c r="E6" s="110" t="str">
        <f t="shared" si="3"/>
        <v>Game 3</v>
      </c>
      <c r="F6" s="125" t="str">
        <f>VLOOKUP(G6,'Swiss Registry'!$A$2:$B$703,2,False)</f>
        <v>annuit99</v>
      </c>
      <c r="G6" s="140">
        <v>113.0</v>
      </c>
      <c r="H6" s="93" t="s">
        <v>2811</v>
      </c>
      <c r="I6" s="141" t="str">
        <f t="array" ref="I6">XLOOKUP(CELL("contents",B6),'Swiss Registry'!$B$2:$B$703,'Swiss Registry'!$N$2:$N$703) </f>
        <v>83000775151714304</v>
      </c>
      <c r="J6" s="142" t="str">
        <f t="array" ref="J6">XLOOKUP(CELL("contents",F6),'Swiss Registry'!$B$2:$B$703,'Swiss Registry'!$N$2:$N$703) </f>
        <v>397519983669805060</v>
      </c>
    </row>
    <row r="7">
      <c r="A7" s="140">
        <v>16.0</v>
      </c>
      <c r="B7" s="125" t="str">
        <f>VLOOKUP(A7,'Swiss Registry'!$A$2:$B$703,2,False)</f>
        <v>Mielke</v>
      </c>
      <c r="C7" s="105" t="str">
        <f t="shared" si="1"/>
        <v>Game 1</v>
      </c>
      <c r="D7" s="106" t="str">
        <f t="shared" si="2"/>
        <v>Game 2</v>
      </c>
      <c r="E7" s="110" t="str">
        <f t="shared" si="3"/>
        <v>Game 3</v>
      </c>
      <c r="F7" s="125" t="str">
        <f>VLOOKUP(G7,'Swiss Registry'!$A$2:$B$703,2,False)</f>
        <v>oskari1707</v>
      </c>
      <c r="G7" s="140">
        <v>517.0</v>
      </c>
      <c r="H7" s="93" t="s">
        <v>2812</v>
      </c>
      <c r="I7" s="141" t="str">
        <f t="array" ref="I7">XLOOKUP(CELL("contents",B7),'Swiss Registry'!$B$2:$B$703,'Swiss Registry'!$N$2:$N$703) </f>
        <v>324650949371232257</v>
      </c>
      <c r="J7" s="142" t="str">
        <f t="array" ref="J7">XLOOKUP(CELL("contents",F7),'Swiss Registry'!$B$2:$B$703,'Swiss Registry'!$N$2:$N$703) </f>
        <v>920018351684730910</v>
      </c>
    </row>
    <row r="8">
      <c r="A8" s="140">
        <v>18.0</v>
      </c>
      <c r="B8" s="125" t="str">
        <f>VLOOKUP(A8,'Swiss Registry'!$A$2:$B$703,2,False)</f>
        <v>Pokology</v>
      </c>
      <c r="C8" s="105" t="str">
        <f t="shared" si="1"/>
        <v>Game 1</v>
      </c>
      <c r="D8" s="106" t="str">
        <f t="shared" si="2"/>
        <v>Game 2</v>
      </c>
      <c r="E8" s="107" t="str">
        <f t="shared" si="3"/>
        <v/>
      </c>
      <c r="F8" s="125" t="str">
        <f>VLOOKUP(G8,'Swiss Registry'!$A$2:$B$703,2,False)</f>
        <v>cepulo</v>
      </c>
      <c r="G8" s="140">
        <v>527.0</v>
      </c>
      <c r="H8" s="93" t="s">
        <v>2813</v>
      </c>
      <c r="I8" s="141" t="str">
        <f t="array" ref="I8">XLOOKUP(CELL("contents",B8),'Swiss Registry'!$B$2:$B$703,'Swiss Registry'!$N$2:$N$703) </f>
        <v>647891006347542566</v>
      </c>
      <c r="J8" s="142" t="str">
        <f t="array" ref="J8">XLOOKUP(CELL("contents",F8),'Swiss Registry'!$B$2:$B$703,'Swiss Registry'!$N$2:$N$703) </f>
        <v>1223051167505059850</v>
      </c>
    </row>
    <row r="9">
      <c r="A9" s="140">
        <v>25.0</v>
      </c>
      <c r="B9" s="125" t="str">
        <f>VLOOKUP(A9,'Swiss Registry'!$A$2:$B$703,2,False)</f>
        <v>JR</v>
      </c>
      <c r="C9" s="105" t="str">
        <f t="shared" si="1"/>
        <v>Game 1</v>
      </c>
      <c r="D9" s="106" t="str">
        <f t="shared" si="2"/>
        <v>Game 2</v>
      </c>
      <c r="E9" s="107" t="str">
        <f t="shared" si="3"/>
        <v/>
      </c>
      <c r="F9" s="125" t="str">
        <f>VLOOKUP(G9,'Swiss Registry'!$A$2:$B$703,2,False)</f>
        <v>dicerat8</v>
      </c>
      <c r="G9" s="140">
        <v>120.0</v>
      </c>
      <c r="H9" s="93" t="s">
        <v>2814</v>
      </c>
      <c r="I9" s="141" t="str">
        <f t="array" ref="I9">XLOOKUP(CELL("contents",B9),'Swiss Registry'!$B$2:$B$703,'Swiss Registry'!$N$2:$N$703) </f>
        <v>319563636483817472</v>
      </c>
      <c r="J9" s="142" t="str">
        <f t="array" ref="J9">XLOOKUP(CELL("contents",F9),'Swiss Registry'!$B$2:$B$703,'Swiss Registry'!$N$2:$N$703) </f>
        <v>811484330421387285</v>
      </c>
    </row>
    <row r="10">
      <c r="A10" s="140">
        <v>27.0</v>
      </c>
      <c r="B10" s="125" t="str">
        <f>VLOOKUP(A10,'Swiss Registry'!$A$2:$B$703,2,False)</f>
        <v>Sheik</v>
      </c>
      <c r="C10" s="105" t="str">
        <f t="shared" si="1"/>
        <v>Game 1</v>
      </c>
      <c r="D10" s="106" t="str">
        <f t="shared" si="2"/>
        <v>Game 2</v>
      </c>
      <c r="E10" s="110" t="str">
        <f t="shared" si="3"/>
        <v>Game 3</v>
      </c>
      <c r="F10" s="125" t="str">
        <f>VLOOKUP(G10,'Swiss Registry'!$A$2:$B$703,2,False)</f>
        <v>Amir (lordamir &amp; lordamir2)</v>
      </c>
      <c r="G10" s="140">
        <v>157.0</v>
      </c>
      <c r="H10" s="93" t="s">
        <v>2815</v>
      </c>
      <c r="I10" s="141" t="str">
        <f t="array" ref="I10">XLOOKUP(CELL("contents",B10),'Swiss Registry'!$B$2:$B$703,'Swiss Registry'!$N$2:$N$703) </f>
        <v>700432987858403420</v>
      </c>
      <c r="J10" s="142" t="str">
        <f t="array" ref="J10">XLOOKUP(CELL("contents",F10),'Swiss Registry'!$B$2:$B$703,'Swiss Registry'!$N$2:$N$703) </f>
        <v>480949875953893376</v>
      </c>
    </row>
    <row r="11">
      <c r="A11" s="140">
        <v>32.0</v>
      </c>
      <c r="B11" s="125" t="str">
        <f>VLOOKUP(A11,'Swiss Registry'!$A$2:$B$703,2,False)</f>
        <v>Johnald</v>
      </c>
      <c r="C11" s="105" t="str">
        <f t="shared" si="1"/>
        <v>Game 1</v>
      </c>
      <c r="D11" s="106" t="str">
        <f t="shared" si="2"/>
        <v>Game 2</v>
      </c>
      <c r="E11" s="107" t="str">
        <f t="shared" si="3"/>
        <v/>
      </c>
      <c r="F11" s="125" t="str">
        <f>VLOOKUP(G11,'Swiss Registry'!$A$2:$B$703,2,False)</f>
        <v>Cake</v>
      </c>
      <c r="G11" s="140">
        <v>86.0</v>
      </c>
      <c r="H11" s="93" t="s">
        <v>2816</v>
      </c>
      <c r="I11" s="141" t="str">
        <f t="array" ref="I11">XLOOKUP(CELL("contents",B11),'Swiss Registry'!$B$2:$B$703,'Swiss Registry'!$N$2:$N$703) </f>
        <v>196328307241910272</v>
      </c>
      <c r="J11" s="142" t="str">
        <f t="array" ref="J11">XLOOKUP(CELL("contents",F11),'Swiss Registry'!$B$2:$B$703,'Swiss Registry'!$N$2:$N$703) </f>
        <v>1062100541871771689</v>
      </c>
    </row>
    <row r="12">
      <c r="A12" s="140">
        <v>46.0</v>
      </c>
      <c r="B12" s="125" t="str">
        <f>VLOOKUP(A12,'Swiss Registry'!$A$2:$B$703,2,False)</f>
        <v>Zelph</v>
      </c>
      <c r="C12" s="105" t="str">
        <f t="shared" si="1"/>
        <v>Game 1</v>
      </c>
      <c r="D12" s="106" t="str">
        <f t="shared" si="2"/>
        <v>Game 2</v>
      </c>
      <c r="E12" s="110" t="str">
        <f t="shared" si="3"/>
        <v>Game 3</v>
      </c>
      <c r="F12" s="125" t="str">
        <f>VLOOKUP(G12,'Swiss Registry'!$A$2:$B$703,2,False)</f>
        <v>Egor</v>
      </c>
      <c r="G12" s="140">
        <v>82.0</v>
      </c>
      <c r="H12" s="93" t="s">
        <v>2817</v>
      </c>
      <c r="I12" s="141" t="str">
        <f t="array" ref="I12">XLOOKUP(CELL("contents",B12),'Swiss Registry'!$B$2:$B$703,'Swiss Registry'!$N$2:$N$703) </f>
        <v>895466276191862855</v>
      </c>
      <c r="J12" s="142" t="str">
        <f t="array" ref="J12">XLOOKUP(CELL("contents",F12),'Swiss Registry'!$B$2:$B$703,'Swiss Registry'!$N$2:$N$703) </f>
        <v>435128937400500224</v>
      </c>
    </row>
    <row r="13">
      <c r="A13" s="140">
        <v>69.0</v>
      </c>
      <c r="B13" s="125" t="str">
        <f>VLOOKUP(A13,'Swiss Registry'!$A$2:$B$703,2,False)</f>
        <v>Alice</v>
      </c>
      <c r="C13" s="105" t="str">
        <f t="shared" si="1"/>
        <v>Game 1</v>
      </c>
      <c r="D13" s="106" t="str">
        <f t="shared" si="2"/>
        <v>Game 2</v>
      </c>
      <c r="E13" s="107" t="str">
        <f t="shared" si="3"/>
        <v/>
      </c>
      <c r="F13" s="125" t="str">
        <f>VLOOKUP(G13,'Swiss Registry'!$A$2:$B$703,2,False)</f>
        <v>Churi</v>
      </c>
      <c r="G13" s="140">
        <v>77.0</v>
      </c>
      <c r="H13" s="93" t="s">
        <v>2818</v>
      </c>
      <c r="I13" s="141" t="str">
        <f t="array" ref="I13">XLOOKUP(CELL("contents",B13),'Swiss Registry'!$B$2:$B$703,'Swiss Registry'!$N$2:$N$703) </f>
        <v>236760957034954753</v>
      </c>
      <c r="J13" s="142" t="str">
        <f t="array" ref="J13">XLOOKUP(CELL("contents",F13),'Swiss Registry'!$B$2:$B$703,'Swiss Registry'!$N$2:$N$703) </f>
        <v>740316248210014380</v>
      </c>
    </row>
    <row r="14">
      <c r="A14" s="140">
        <v>3.0</v>
      </c>
      <c r="B14" s="125" t="str">
        <f>VLOOKUP(A14,'Swiss Registry'!$A$2:$B$703,2,False)</f>
        <v>Triangles</v>
      </c>
      <c r="C14" s="105" t="str">
        <f t="shared" si="1"/>
        <v>Game 1</v>
      </c>
      <c r="D14" s="106" t="str">
        <f t="shared" si="2"/>
        <v>Game 2</v>
      </c>
      <c r="E14" s="107" t="str">
        <f t="shared" si="3"/>
        <v/>
      </c>
      <c r="F14" s="125" t="str">
        <f>VLOOKUP(G14,'Swiss Registry'!$A$2:$B$703,2,False)</f>
        <v>strawbbz</v>
      </c>
      <c r="G14" s="140">
        <v>507.0</v>
      </c>
      <c r="H14" s="93" t="s">
        <v>2819</v>
      </c>
      <c r="I14" s="141" t="str">
        <f t="array" ref="I14">XLOOKUP(CELL("contents",B14),'Swiss Registry'!$B$2:$B$703,'Swiss Registry'!$N$2:$N$703) </f>
        <v>587394354725912717</v>
      </c>
      <c r="J14" s="142" t="str">
        <f t="array" ref="J14">XLOOKUP(CELL("contents",F14),'Swiss Registry'!$B$2:$B$703,'Swiss Registry'!$N$2:$N$703) </f>
        <v>303671100980854788</v>
      </c>
    </row>
    <row r="15">
      <c r="A15" s="140">
        <v>4.0</v>
      </c>
      <c r="B15" s="125" t="str">
        <f>VLOOKUP(A15,'Swiss Registry'!$A$2:$B$703,2,False)</f>
        <v>pkLeech</v>
      </c>
      <c r="C15" s="105" t="str">
        <f t="shared" si="1"/>
        <v>Game 1</v>
      </c>
      <c r="D15" s="106" t="str">
        <f t="shared" si="2"/>
        <v>Game 2</v>
      </c>
      <c r="E15" s="107" t="str">
        <f t="shared" si="3"/>
        <v/>
      </c>
      <c r="F15" s="125" t="str">
        <f>VLOOKUP(G15,'Swiss Registry'!$A$2:$B$703,2,False)</f>
        <v>milkshook00</v>
      </c>
      <c r="G15" s="140">
        <v>662.0</v>
      </c>
      <c r="H15" s="93" t="s">
        <v>2820</v>
      </c>
      <c r="I15" s="141" t="str">
        <f t="array" ref="I15">XLOOKUP(CELL("contents",B15),'Swiss Registry'!$B$2:$B$703,'Swiss Registry'!$N$2:$N$703) </f>
        <v>461288985944391708</v>
      </c>
      <c r="J15" s="142" t="str">
        <f t="array" ref="J15">XLOOKUP(CELL("contents",F15),'Swiss Registry'!$B$2:$B$703,'Swiss Registry'!$N$2:$N$703) </f>
        <v>167697420719882241</v>
      </c>
    </row>
    <row r="16">
      <c r="A16" s="140">
        <v>10.0</v>
      </c>
      <c r="B16" s="125" t="str">
        <f>VLOOKUP(A16,'Swiss Registry'!$A$2:$B$703,2,False)</f>
        <v>Cyberodin</v>
      </c>
      <c r="C16" s="105" t="str">
        <f t="shared" si="1"/>
        <v>Game 1</v>
      </c>
      <c r="D16" s="106" t="str">
        <f t="shared" si="2"/>
        <v>Game 2</v>
      </c>
      <c r="E16" s="110" t="str">
        <f t="shared" si="3"/>
        <v>Game 3</v>
      </c>
      <c r="F16" s="125" t="str">
        <f>VLOOKUP(G16,'Swiss Registry'!$A$2:$B$703,2,False)</f>
        <v>xho_xho_</v>
      </c>
      <c r="G16" s="140">
        <v>550.0</v>
      </c>
      <c r="H16" s="93" t="s">
        <v>2821</v>
      </c>
      <c r="I16" s="141" t="str">
        <f t="array" ref="I16">XLOOKUP(CELL("contents",B16),'Swiss Registry'!$B$2:$B$703,'Swiss Registry'!$N$2:$N$703) </f>
        <v>259426043285340160</v>
      </c>
      <c r="J16" s="142" t="str">
        <f t="array" ref="J16">XLOOKUP(CELL("contents",F16),'Swiss Registry'!$B$2:$B$703,'Swiss Registry'!$N$2:$N$703) </f>
        <v>1026473914269978624</v>
      </c>
    </row>
    <row r="17">
      <c r="A17" s="140">
        <v>11.0</v>
      </c>
      <c r="B17" s="125" t="str">
        <f>VLOOKUP(A17,'Swiss Registry'!$A$2:$B$703,2,False)</f>
        <v>Blues</v>
      </c>
      <c r="C17" s="105" t="str">
        <f t="shared" si="1"/>
        <v>Game 1</v>
      </c>
      <c r="D17" s="106" t="str">
        <f t="shared" si="2"/>
        <v>Game 2</v>
      </c>
      <c r="E17" s="110" t="str">
        <f t="shared" si="3"/>
        <v>Game 3</v>
      </c>
      <c r="F17" s="125" t="str">
        <f>VLOOKUP(G17,'Swiss Registry'!$A$2:$B$703,2,False)</f>
        <v>mmtimmo</v>
      </c>
      <c r="G17" s="140">
        <v>500.0</v>
      </c>
      <c r="H17" s="93" t="s">
        <v>2822</v>
      </c>
      <c r="I17" s="141" t="str">
        <f t="array" ref="I17">XLOOKUP(CELL("contents",B17),'Swiss Registry'!$B$2:$B$703,'Swiss Registry'!$N$2:$N$703) </f>
        <v>687987394292482066</v>
      </c>
      <c r="J17" s="142" t="str">
        <f t="array" ref="J17">XLOOKUP(CELL("contents",F17),'Swiss Registry'!$B$2:$B$703,'Swiss Registry'!$N$2:$N$703) </f>
        <v>201614901452603392</v>
      </c>
    </row>
    <row r="18">
      <c r="A18" s="140">
        <v>12.0</v>
      </c>
      <c r="B18" s="125" t="str">
        <f>VLOOKUP(A18,'Swiss Registry'!$A$2:$B$703,2,False)</f>
        <v>Pak</v>
      </c>
      <c r="C18" s="105" t="str">
        <f t="shared" si="1"/>
        <v>Game 1</v>
      </c>
      <c r="D18" s="106" t="str">
        <f t="shared" si="2"/>
        <v>Game 2</v>
      </c>
      <c r="E18" s="107" t="str">
        <f t="shared" si="3"/>
        <v/>
      </c>
      <c r="F18" s="125" t="str">
        <f>VLOOKUP(G18,'Swiss Registry'!$A$2:$B$703,2,False)</f>
        <v>gorbinator.</v>
      </c>
      <c r="G18" s="140">
        <v>303.0</v>
      </c>
      <c r="H18" s="93" t="s">
        <v>2823</v>
      </c>
      <c r="I18" s="141" t="str">
        <f t="array" ref="I18">XLOOKUP(CELL("contents",B18),'Swiss Registry'!$B$2:$B$703,'Swiss Registry'!$N$2:$N$703) </f>
        <v>172884622986706945</v>
      </c>
      <c r="J18" s="142" t="str">
        <f t="array" ref="J18">XLOOKUP(CELL("contents",F18),'Swiss Registry'!$B$2:$B$703,'Swiss Registry'!$N$2:$N$703) </f>
        <v>557345709712736266</v>
      </c>
    </row>
    <row r="19">
      <c r="A19" s="140">
        <v>13.0</v>
      </c>
      <c r="B19" s="125" t="str">
        <f>VLOOKUP(A19,'Swiss Registry'!$A$2:$B$703,2,False)</f>
        <v>River</v>
      </c>
      <c r="C19" s="105" t="str">
        <f t="shared" si="1"/>
        <v>Game 1</v>
      </c>
      <c r="D19" s="106" t="str">
        <f t="shared" si="2"/>
        <v>Game 2</v>
      </c>
      <c r="E19" s="107" t="str">
        <f t="shared" si="3"/>
        <v/>
      </c>
      <c r="F19" s="125" t="str">
        <f>VLOOKUP(G19,'Swiss Registry'!$A$2:$B$703,2,False)</f>
        <v>adv_fella</v>
      </c>
      <c r="G19" s="140">
        <v>593.0</v>
      </c>
      <c r="H19" s="93" t="s">
        <v>2824</v>
      </c>
      <c r="I19" s="141" t="str">
        <f t="array" ref="I19">XLOOKUP(CELL("contents",B19),'Swiss Registry'!$B$2:$B$703,'Swiss Registry'!$N$2:$N$703) </f>
        <v>543280883000541224</v>
      </c>
      <c r="J19" s="142" t="str">
        <f t="array" ref="J19">XLOOKUP(CELL("contents",F19),'Swiss Registry'!$B$2:$B$703,'Swiss Registry'!$N$2:$N$703) </f>
        <v>1045171502057799710</v>
      </c>
    </row>
    <row r="20">
      <c r="A20" s="140">
        <v>15.0</v>
      </c>
      <c r="B20" s="125" t="str">
        <f>VLOOKUP(A20,'Swiss Registry'!$A$2:$B$703,2,False)</f>
        <v>Carapinga</v>
      </c>
      <c r="C20" s="105" t="str">
        <f t="shared" si="1"/>
        <v>Game 1</v>
      </c>
      <c r="D20" s="106" t="str">
        <f t="shared" si="2"/>
        <v>Game 2</v>
      </c>
      <c r="E20" s="107" t="str">
        <f t="shared" si="3"/>
        <v/>
      </c>
      <c r="F20" s="125" t="str">
        <f>VLOOKUP(G20,'Swiss Registry'!$A$2:$B$703,2,False)</f>
        <v>heyitsmeriley</v>
      </c>
      <c r="G20" s="140">
        <v>237.0</v>
      </c>
      <c r="H20" s="93" t="s">
        <v>2825</v>
      </c>
      <c r="I20" s="141" t="str">
        <f t="array" ref="I20">XLOOKUP(CELL("contents",B20),'Swiss Registry'!$B$2:$B$703,'Swiss Registry'!$N$2:$N$703) </f>
        <v>475993004994330629</v>
      </c>
      <c r="J20" s="142" t="str">
        <f t="array" ref="J20">XLOOKUP(CELL("contents",F20),'Swiss Registry'!$B$2:$B$703,'Swiss Registry'!$N$2:$N$703) </f>
        <v>271422310412451840</v>
      </c>
    </row>
    <row r="21">
      <c r="A21" s="140">
        <v>20.0</v>
      </c>
      <c r="B21" s="125" t="str">
        <f>VLOOKUP(A21,'Swiss Registry'!$A$2:$B$703,2,False)</f>
        <v>Mayo</v>
      </c>
      <c r="C21" s="105" t="str">
        <f t="shared" si="1"/>
        <v>Game 1</v>
      </c>
      <c r="D21" s="106" t="str">
        <f t="shared" si="2"/>
        <v>Game 2</v>
      </c>
      <c r="E21" s="110" t="str">
        <f t="shared" si="3"/>
        <v>Game 3</v>
      </c>
      <c r="F21" s="125" t="str">
        <f>VLOOKUP(G21,'Swiss Registry'!$A$2:$B$703,2,False)</f>
        <v>Agustin Palacios</v>
      </c>
      <c r="G21" s="140">
        <v>265.0</v>
      </c>
      <c r="H21" s="93" t="s">
        <v>2826</v>
      </c>
      <c r="I21" s="141" t="str">
        <f t="array" ref="I21">XLOOKUP(CELL("contents",B21),'Swiss Registry'!$B$2:$B$703,'Swiss Registry'!$N$2:$N$703) </f>
        <v>244639333187846144</v>
      </c>
      <c r="J21" s="142" t="str">
        <f t="array" ref="J21">XLOOKUP(CELL("contents",F21),'Swiss Registry'!$B$2:$B$703,'Swiss Registry'!$N$2:$N$703) </f>
        <v>547461638647840805</v>
      </c>
    </row>
    <row r="22">
      <c r="A22" s="140">
        <v>21.0</v>
      </c>
      <c r="B22" s="125" t="str">
        <f>VLOOKUP(A22,'Swiss Registry'!$A$2:$B$703,2,False)</f>
        <v>Adam</v>
      </c>
      <c r="C22" s="105" t="str">
        <f t="shared" si="1"/>
        <v>Game 1</v>
      </c>
      <c r="D22" s="106" t="str">
        <f t="shared" si="2"/>
        <v>Game 2</v>
      </c>
      <c r="E22" s="110" t="str">
        <f t="shared" si="3"/>
        <v>Game 3</v>
      </c>
      <c r="F22" s="125" t="str">
        <f>VLOOKUP(G22,'Swiss Registry'!$A$2:$B$703,2,False)</f>
        <v>wavy_ish</v>
      </c>
      <c r="G22" s="140">
        <v>398.0</v>
      </c>
      <c r="H22" s="93" t="s">
        <v>2827</v>
      </c>
      <c r="I22" s="141" t="str">
        <f t="array" ref="I22">XLOOKUP(CELL("contents",B22),'Swiss Registry'!$B$2:$B$703,'Swiss Registry'!$N$2:$N$703) </f>
        <v>714861229935689862</v>
      </c>
      <c r="J22" s="142" t="str">
        <f t="array" ref="J22">XLOOKUP(CELL("contents",F22),'Swiss Registry'!$B$2:$B$703,'Swiss Registry'!$N$2:$N$703) </f>
        <v>354755541249032192</v>
      </c>
    </row>
    <row r="23">
      <c r="A23" s="140">
        <v>22.0</v>
      </c>
      <c r="B23" s="125" t="str">
        <f>VLOOKUP(A23,'Swiss Registry'!$A$2:$B$703,2,False)</f>
        <v>laxuy</v>
      </c>
      <c r="C23" s="105" t="str">
        <f t="shared" si="1"/>
        <v>Game 1</v>
      </c>
      <c r="D23" s="106" t="str">
        <f t="shared" si="2"/>
        <v>Game 2</v>
      </c>
      <c r="E23" s="107" t="str">
        <f t="shared" si="3"/>
        <v/>
      </c>
      <c r="F23" s="125" t="str">
        <f>VLOOKUP(G23,'Swiss Registry'!$A$2:$B$703,2,False)</f>
        <v>dylan69__</v>
      </c>
      <c r="G23" s="140">
        <v>415.0</v>
      </c>
      <c r="H23" s="93" t="s">
        <v>2828</v>
      </c>
      <c r="I23" s="141" t="str">
        <f t="array" ref="I23">XLOOKUP(CELL("contents",B23),'Swiss Registry'!$B$2:$B$703,'Swiss Registry'!$N$2:$N$703) </f>
        <v>162377920117997568</v>
      </c>
      <c r="J23" s="142" t="str">
        <f t="array" ref="J23">XLOOKUP(CELL("contents",F23),'Swiss Registry'!$B$2:$B$703,'Swiss Registry'!$N$2:$N$703) </f>
        <v>475864364793069568</v>
      </c>
    </row>
    <row r="24">
      <c r="A24" s="140">
        <v>24.0</v>
      </c>
      <c r="B24" s="125" t="str">
        <f>VLOOKUP(A24,'Swiss Registry'!$A$2:$B$703,2,False)</f>
        <v>Big Will</v>
      </c>
      <c r="C24" s="105" t="str">
        <f t="shared" si="1"/>
        <v>Game 1</v>
      </c>
      <c r="D24" s="106" t="str">
        <f t="shared" si="2"/>
        <v>Game 2</v>
      </c>
      <c r="E24" s="107" t="str">
        <f t="shared" si="3"/>
        <v/>
      </c>
      <c r="F24" s="125" t="str">
        <f>VLOOKUP(G24,'Swiss Registry'!$A$2:$B$703,2,False)</f>
        <v>Blanched</v>
      </c>
      <c r="G24" s="140">
        <v>695.0</v>
      </c>
      <c r="H24" s="93" t="s">
        <v>2829</v>
      </c>
      <c r="I24" s="141" t="str">
        <f t="array" ref="I24">XLOOKUP(CELL("contents",B24),'Swiss Registry'!$B$2:$B$703,'Swiss Registry'!$N$2:$N$703) </f>
        <v>119592871962607616</v>
      </c>
      <c r="J24" s="142" t="str">
        <f t="array" ref="J24">XLOOKUP(CELL("contents",F24),'Swiss Registry'!$B$2:$B$703,'Swiss Registry'!$N$2:$N$703) </f>
        <v>270997842628182026</v>
      </c>
    </row>
    <row r="25">
      <c r="A25" s="140">
        <v>26.0</v>
      </c>
      <c r="B25" s="125" t="str">
        <f>VLOOKUP(A25,'Swiss Registry'!$A$2:$B$703,2,False)</f>
        <v>keepingiticy</v>
      </c>
      <c r="C25" s="105" t="str">
        <f t="shared" si="1"/>
        <v>Game 1</v>
      </c>
      <c r="D25" s="106" t="str">
        <f t="shared" si="2"/>
        <v>Game 2</v>
      </c>
      <c r="E25" s="110" t="str">
        <f t="shared" si="3"/>
        <v>Game 3</v>
      </c>
      <c r="F25" s="125" t="str">
        <f>VLOOKUP(G25,'Swiss Registry'!$A$2:$B$703,2,False)</f>
        <v>socialinclusion</v>
      </c>
      <c r="G25" s="140">
        <v>676.0</v>
      </c>
      <c r="H25" s="93" t="s">
        <v>2830</v>
      </c>
      <c r="I25" s="141" t="str">
        <f t="array" ref="I25">XLOOKUP(CELL("contents",B25),'Swiss Registry'!$B$2:$B$703,'Swiss Registry'!$N$2:$N$703) </f>
        <v>174532509701373952</v>
      </c>
      <c r="J25" s="142" t="str">
        <f t="array" ref="J25">XLOOKUP(CELL("contents",F25),'Swiss Registry'!$B$2:$B$703,'Swiss Registry'!$N$2:$N$703) </f>
        <v>1287659687881474109</v>
      </c>
    </row>
    <row r="26">
      <c r="A26" s="140">
        <v>28.0</v>
      </c>
      <c r="B26" s="125" t="str">
        <f>VLOOKUP(A26,'Swiss Registry'!$A$2:$B$703,2,False)</f>
        <v>Typhoon Carter</v>
      </c>
      <c r="C26" s="105" t="str">
        <f t="shared" si="1"/>
        <v>Game 1</v>
      </c>
      <c r="D26" s="106" t="str">
        <f t="shared" si="2"/>
        <v>Game 2</v>
      </c>
      <c r="E26" s="107" t="str">
        <f t="shared" si="3"/>
        <v/>
      </c>
      <c r="F26" s="125" t="str">
        <f>VLOOKUP(G26,'Swiss Registry'!$A$2:$B$703,2,False)</f>
        <v>dadaasdcfaw</v>
      </c>
      <c r="G26" s="140">
        <v>212.0</v>
      </c>
      <c r="H26" s="93" t="s">
        <v>2831</v>
      </c>
      <c r="I26" s="141" t="str">
        <f t="array" ref="I26">XLOOKUP(CELL("contents",B26),'Swiss Registry'!$B$2:$B$703,'Swiss Registry'!$N$2:$N$703) </f>
        <v>313800288647774211</v>
      </c>
      <c r="J26" s="142" t="str">
        <f t="array" ref="J26">XLOOKUP(CELL("contents",F26),'Swiss Registry'!$B$2:$B$703,'Swiss Registry'!$N$2:$N$703) </f>
        <v>327733812467466240</v>
      </c>
    </row>
    <row r="27">
      <c r="A27" s="140">
        <v>29.0</v>
      </c>
      <c r="B27" s="125">
        <f>VLOOKUP(A27,'Swiss Registry'!$A$2:$B$703,2,False)</f>
        <v>48</v>
      </c>
      <c r="C27" s="105" t="str">
        <f t="shared" si="1"/>
        <v>Game 1</v>
      </c>
      <c r="D27" s="106" t="str">
        <f t="shared" si="2"/>
        <v>Game 2</v>
      </c>
      <c r="E27" s="110" t="str">
        <f t="shared" si="3"/>
        <v>Game 3</v>
      </c>
      <c r="F27" s="125" t="str">
        <f>VLOOKUP(G27,'Swiss Registry'!$A$2:$B$703,2,False)</f>
        <v>sligoblues</v>
      </c>
      <c r="G27" s="140">
        <v>693.0</v>
      </c>
      <c r="H27" s="93" t="s">
        <v>2832</v>
      </c>
      <c r="I27" s="141" t="str">
        <f t="array" ref="I27">XLOOKUP(CELL("contents",B27),'Swiss Registry'!$B$2:$B$703,'Swiss Registry'!$N$2:$N$703) </f>
        <v>247063915790336004</v>
      </c>
      <c r="J27" s="142" t="str">
        <f t="array" ref="J27">XLOOKUP(CELL("contents",F27),'Swiss Registry'!$B$2:$B$703,'Swiss Registry'!$N$2:$N$703) </f>
        <v>583755075298656300</v>
      </c>
    </row>
    <row r="28">
      <c r="A28" s="140">
        <v>30.0</v>
      </c>
      <c r="B28" s="125" t="str">
        <f>VLOOKUP(A28,'Swiss Registry'!$A$2:$B$703,2,False)</f>
        <v>eliandiditagain</v>
      </c>
      <c r="C28" s="105" t="str">
        <f t="shared" si="1"/>
        <v>Game 1</v>
      </c>
      <c r="D28" s="106" t="str">
        <f t="shared" si="2"/>
        <v>Game 2</v>
      </c>
      <c r="E28" s="107" t="str">
        <f t="shared" si="3"/>
        <v/>
      </c>
      <c r="F28" s="125" t="str">
        <f>VLOOKUP(G28,'Swiss Registry'!$A$2:$B$703,2,False)</f>
        <v>tonii5531</v>
      </c>
      <c r="G28" s="140">
        <v>163.0</v>
      </c>
      <c r="H28" s="93" t="s">
        <v>2833</v>
      </c>
      <c r="I28" s="141" t="str">
        <f t="array" ref="I28">XLOOKUP(CELL("contents",B28),'Swiss Registry'!$B$2:$B$703,'Swiss Registry'!$N$2:$N$703) </f>
        <v>268922335946342400</v>
      </c>
      <c r="J28" s="142" t="str">
        <f t="array" ref="J28">XLOOKUP(CELL("contents",F28),'Swiss Registry'!$B$2:$B$703,'Swiss Registry'!$N$2:$N$703) </f>
        <v>472908398451752991</v>
      </c>
    </row>
    <row r="29">
      <c r="A29" s="140">
        <v>35.0</v>
      </c>
      <c r="B29" s="125" t="str">
        <f>VLOOKUP(A29,'Swiss Registry'!$A$2:$B$703,2,False)</f>
        <v>Zacpz</v>
      </c>
      <c r="C29" s="105" t="str">
        <f t="shared" si="1"/>
        <v>Game 1</v>
      </c>
      <c r="D29" s="106" t="str">
        <f t="shared" si="2"/>
        <v>Game 2</v>
      </c>
      <c r="E29" s="107" t="str">
        <f t="shared" si="3"/>
        <v/>
      </c>
      <c r="F29" s="125" t="str">
        <f>VLOOKUP(G29,'Swiss Registry'!$A$2:$B$703,2,False)</f>
        <v>Saint-ome</v>
      </c>
      <c r="G29" s="140">
        <v>480.0</v>
      </c>
      <c r="H29" s="93" t="s">
        <v>2834</v>
      </c>
      <c r="I29" s="141" t="str">
        <f t="array" ref="I29">XLOOKUP(CELL("contents",B29),'Swiss Registry'!$B$2:$B$703,'Swiss Registry'!$N$2:$N$703) </f>
        <v>719547987277119638</v>
      </c>
      <c r="J29" s="142" t="str">
        <f t="array" ref="J29">XLOOKUP(CELL("contents",F29),'Swiss Registry'!$B$2:$B$703,'Swiss Registry'!$N$2:$N$703) </f>
        <v>398619797765488645</v>
      </c>
    </row>
    <row r="30">
      <c r="A30" s="140">
        <v>36.0</v>
      </c>
      <c r="B30" s="125" t="str">
        <f>VLOOKUP(A30,'Swiss Registry'!$A$2:$B$703,2,False)</f>
        <v>Segale</v>
      </c>
      <c r="C30" s="105" t="str">
        <f t="shared" si="1"/>
        <v>Game 1</v>
      </c>
      <c r="D30" s="106" t="str">
        <f t="shared" si="2"/>
        <v>Game 2</v>
      </c>
      <c r="E30" s="107" t="str">
        <f t="shared" si="3"/>
        <v/>
      </c>
      <c r="F30" s="125" t="str">
        <f>VLOOKUP(G30,'Swiss Registry'!$A$2:$B$703,2,False)</f>
        <v>s_2_w</v>
      </c>
      <c r="G30" s="140">
        <v>543.0</v>
      </c>
      <c r="H30" s="93" t="s">
        <v>2835</v>
      </c>
      <c r="I30" s="141" t="str">
        <f t="array" ref="I30">XLOOKUP(CELL("contents",B30),'Swiss Registry'!$B$2:$B$703,'Swiss Registry'!$N$2:$N$703) </f>
        <v>1059548623416856608</v>
      </c>
      <c r="J30" s="142" t="str">
        <f t="array" ref="J30">XLOOKUP(CELL("contents",F30),'Swiss Registry'!$B$2:$B$703,'Swiss Registry'!$N$2:$N$703) </f>
        <v>849644863661801493</v>
      </c>
    </row>
    <row r="31">
      <c r="A31" s="140">
        <v>38.0</v>
      </c>
      <c r="B31" s="125" t="str">
        <f>VLOOKUP(A31,'Swiss Registry'!$A$2:$B$703,2,False)</f>
        <v>Colteor</v>
      </c>
      <c r="C31" s="105" t="str">
        <f t="shared" si="1"/>
        <v>Game 1</v>
      </c>
      <c r="D31" s="106" t="str">
        <f t="shared" si="2"/>
        <v>Game 2</v>
      </c>
      <c r="E31" s="107" t="str">
        <f t="shared" si="3"/>
        <v/>
      </c>
      <c r="F31" s="125" t="str">
        <f>VLOOKUP(G31,'Swiss Registry'!$A$2:$B$703,2,False)</f>
        <v>sieefffmon</v>
      </c>
      <c r="G31" s="140">
        <v>330.0</v>
      </c>
      <c r="H31" s="93" t="s">
        <v>2836</v>
      </c>
      <c r="I31" s="141" t="str">
        <f t="array" ref="I31">XLOOKUP(CELL("contents",B31),'Swiss Registry'!$B$2:$B$703,'Swiss Registry'!$N$2:$N$703) </f>
        <v>327152054747529217</v>
      </c>
      <c r="J31" s="142" t="str">
        <f t="array" ref="J31">XLOOKUP(CELL("contents",F31),'Swiss Registry'!$B$2:$B$703,'Swiss Registry'!$N$2:$N$703) </f>
        <v>257242537582919691</v>
      </c>
    </row>
    <row r="32">
      <c r="A32" s="140">
        <v>39.0</v>
      </c>
      <c r="B32" s="125" t="str">
        <f>VLOOKUP(A32,'Swiss Registry'!$A$2:$B$703,2,False)</f>
        <v>earlgr3y</v>
      </c>
      <c r="C32" s="105" t="str">
        <f t="shared" si="1"/>
        <v>Game 1</v>
      </c>
      <c r="D32" s="106" t="str">
        <f t="shared" si="2"/>
        <v>Game 2</v>
      </c>
      <c r="E32" s="110" t="str">
        <f t="shared" si="3"/>
        <v>Game 3</v>
      </c>
      <c r="F32" s="125" t="str">
        <f>VLOOKUP(G32,'Swiss Registry'!$A$2:$B$703,2,False)</f>
        <v>jaden_17522</v>
      </c>
      <c r="G32" s="140">
        <v>701.0</v>
      </c>
      <c r="H32" s="93" t="s">
        <v>2837</v>
      </c>
      <c r="I32" s="141" t="str">
        <f t="array" ref="I32">XLOOKUP(CELL("contents",B32),'Swiss Registry'!$B$2:$B$703,'Swiss Registry'!$N$2:$N$703) </f>
        <v>1058405539903713330</v>
      </c>
      <c r="J32" s="142" t="str">
        <f t="array" ref="J32">XLOOKUP(CELL("contents",F32),'Swiss Registry'!$B$2:$B$703,'Swiss Registry'!$N$2:$N$703) </f>
        <v>1215851373057413160</v>
      </c>
    </row>
    <row r="33">
      <c r="A33" s="140">
        <v>41.0</v>
      </c>
      <c r="B33" s="125" t="str">
        <f>VLOOKUP(A33,'Swiss Registry'!$A$2:$B$703,2,False)</f>
        <v>Celdanami</v>
      </c>
      <c r="C33" s="105" t="str">
        <f t="shared" si="1"/>
        <v>Game 1</v>
      </c>
      <c r="D33" s="106" t="str">
        <f t="shared" si="2"/>
        <v>Game 2</v>
      </c>
      <c r="E33" s="107" t="str">
        <f t="shared" si="3"/>
        <v/>
      </c>
      <c r="F33" s="125" t="str">
        <f>VLOOKUP(G33,'Swiss Registry'!$A$2:$B$703,2,False)</f>
        <v>.GeneralRevan</v>
      </c>
      <c r="G33" s="140">
        <v>238.0</v>
      </c>
      <c r="H33" s="93" t="s">
        <v>2838</v>
      </c>
      <c r="I33" s="141" t="str">
        <f t="array" ref="I33">XLOOKUP(CELL("contents",B33),'Swiss Registry'!$B$2:$B$703,'Swiss Registry'!$N$2:$N$703) </f>
        <v>1031364783804526612</v>
      </c>
      <c r="J33" s="142" t="str">
        <f t="array" ref="J33">XLOOKUP(CELL("contents",F33),'Swiss Registry'!$B$2:$B$703,'Swiss Registry'!$N$2:$N$703) </f>
        <v>306988395660443648</v>
      </c>
    </row>
    <row r="34">
      <c r="A34" s="140">
        <v>42.0</v>
      </c>
      <c r="B34" s="125" t="str">
        <f>VLOOKUP(A34,'Swiss Registry'!$A$2:$B$703,2,False)</f>
        <v>ThisGuyMuks</v>
      </c>
      <c r="C34" s="105" t="str">
        <f t="shared" si="1"/>
        <v>Game 1</v>
      </c>
      <c r="D34" s="106" t="str">
        <f t="shared" si="2"/>
        <v>Game 2</v>
      </c>
      <c r="E34" s="110" t="str">
        <f t="shared" si="3"/>
        <v>Game 3</v>
      </c>
      <c r="F34" s="125" t="str">
        <f>VLOOKUP(G34,'Swiss Registry'!$A$2:$B$703,2,False)</f>
        <v>Sophocles</v>
      </c>
      <c r="G34" s="140">
        <v>130.0</v>
      </c>
      <c r="H34" s="93" t="s">
        <v>2839</v>
      </c>
      <c r="I34" s="141" t="str">
        <f t="array" ref="I34">XLOOKUP(CELL("contents",B34),'Swiss Registry'!$B$2:$B$703,'Swiss Registry'!$N$2:$N$703) </f>
        <v>397627331637805056</v>
      </c>
      <c r="J34" s="142" t="str">
        <f t="array" ref="J34">XLOOKUP(CELL("contents",F34),'Swiss Registry'!$B$2:$B$703,'Swiss Registry'!$N$2:$N$703) </f>
        <v>109151686848679936</v>
      </c>
    </row>
    <row r="35">
      <c r="A35" s="140">
        <v>43.0</v>
      </c>
      <c r="B35" s="125" t="str">
        <f>VLOOKUP(A35,'Swiss Registry'!$A$2:$B$703,2,False)</f>
        <v>Christos</v>
      </c>
      <c r="C35" s="105" t="str">
        <f t="shared" si="1"/>
        <v>Game 1</v>
      </c>
      <c r="D35" s="106" t="str">
        <f t="shared" si="2"/>
        <v>Game 2</v>
      </c>
      <c r="E35" s="107" t="str">
        <f t="shared" si="3"/>
        <v/>
      </c>
      <c r="F35" s="125" t="str">
        <f>VLOOKUP(G35,'Swiss Registry'!$A$2:$B$703,2,False)</f>
        <v>tyler.cox</v>
      </c>
      <c r="G35" s="140">
        <v>525.0</v>
      </c>
      <c r="H35" s="93" t="s">
        <v>2840</v>
      </c>
      <c r="I35" s="141" t="str">
        <f t="array" ref="I35">XLOOKUP(CELL("contents",B35),'Swiss Registry'!$B$2:$B$703,'Swiss Registry'!$N$2:$N$703) </f>
        <v>202869299113623563</v>
      </c>
      <c r="J35" s="142" t="str">
        <f t="array" ref="J35">XLOOKUP(CELL("contents",F35),'Swiss Registry'!$B$2:$B$703,'Swiss Registry'!$N$2:$N$703) </f>
        <v>188804160152403968</v>
      </c>
    </row>
    <row r="36">
      <c r="A36" s="140">
        <v>45.0</v>
      </c>
      <c r="B36" s="125" t="str">
        <f>VLOOKUP(A36,'Swiss Registry'!$A$2:$B$703,2,False)</f>
        <v>DeezCastforms</v>
      </c>
      <c r="C36" s="105" t="str">
        <f t="shared" si="1"/>
        <v>Game 1</v>
      </c>
      <c r="D36" s="106" t="str">
        <f t="shared" si="2"/>
        <v>Game 2</v>
      </c>
      <c r="E36" s="107" t="str">
        <f t="shared" si="3"/>
        <v/>
      </c>
      <c r="F36" s="125" t="str">
        <f>VLOOKUP(G36,'Swiss Registry'!$A$2:$B$703,2,False)</f>
        <v>blunderpolicy</v>
      </c>
      <c r="G36" s="140">
        <v>594.0</v>
      </c>
      <c r="H36" s="93" t="s">
        <v>2841</v>
      </c>
      <c r="I36" s="141" t="str">
        <f t="array" ref="I36">XLOOKUP(CELL("contents",B36),'Swiss Registry'!$B$2:$B$703,'Swiss Registry'!$N$2:$N$703) </f>
        <v>358052192915292161</v>
      </c>
      <c r="J36" s="142" t="str">
        <f t="array" ref="J36">XLOOKUP(CELL("contents",F36),'Swiss Registry'!$B$2:$B$703,'Swiss Registry'!$N$2:$N$703) </f>
        <v>306969912566611968</v>
      </c>
    </row>
    <row r="37">
      <c r="A37" s="140">
        <v>47.0</v>
      </c>
      <c r="B37" s="125" t="str">
        <f>VLOOKUP(A37,'Swiss Registry'!$A$2:$B$703,2,False)</f>
        <v>Figull400</v>
      </c>
      <c r="C37" s="105" t="str">
        <f t="shared" si="1"/>
        <v>Game 1</v>
      </c>
      <c r="D37" s="106" t="str">
        <f t="shared" si="2"/>
        <v>Game 2</v>
      </c>
      <c r="E37" s="110" t="str">
        <f t="shared" si="3"/>
        <v>Game 3</v>
      </c>
      <c r="F37" s="125" t="str">
        <f>VLOOKUP(G37,'Swiss Registry'!$A$2:$B$703,2,False)</f>
        <v>Stockings</v>
      </c>
      <c r="G37" s="140">
        <v>145.0</v>
      </c>
      <c r="H37" s="93" t="s">
        <v>2842</v>
      </c>
      <c r="I37" s="141" t="str">
        <f t="array" ref="I37">XLOOKUP(CELL("contents",B37),'Swiss Registry'!$B$2:$B$703,'Swiss Registry'!$N$2:$N$703) </f>
        <v>758667386822983680</v>
      </c>
      <c r="J37" s="142" t="str">
        <f t="array" ref="J37">XLOOKUP(CELL("contents",F37),'Swiss Registry'!$B$2:$B$703,'Swiss Registry'!$N$2:$N$703) </f>
        <v>163080133283020800</v>
      </c>
    </row>
    <row r="38">
      <c r="A38" s="140">
        <v>48.0</v>
      </c>
      <c r="B38" s="125" t="str">
        <f>VLOOKUP(A38,'Swiss Registry'!$A$2:$B$703,2,False)</f>
        <v>Don Tonionie</v>
      </c>
      <c r="C38" s="105" t="str">
        <f t="shared" si="1"/>
        <v>Game 1</v>
      </c>
      <c r="D38" s="106" t="str">
        <f t="shared" si="2"/>
        <v>Game 2</v>
      </c>
      <c r="E38" s="107" t="str">
        <f t="shared" si="3"/>
        <v/>
      </c>
      <c r="F38" s="125" t="str">
        <f>VLOOKUP(G38,'Swiss Registry'!$A$2:$B$703,2,False)</f>
        <v>sbmalus</v>
      </c>
      <c r="G38" s="140">
        <v>564.0</v>
      </c>
      <c r="H38" s="93" t="s">
        <v>2843</v>
      </c>
      <c r="I38" s="141" t="str">
        <f t="array" ref="I38">XLOOKUP(CELL("contents",B38),'Swiss Registry'!$B$2:$B$703,'Swiss Registry'!$N$2:$N$703) </f>
        <v>281159058155634700</v>
      </c>
      <c r="J38" s="142" t="str">
        <f t="array" ref="J38">XLOOKUP(CELL("contents",F38),'Swiss Registry'!$B$2:$B$703,'Swiss Registry'!$N$2:$N$703) </f>
        <v>492395234429370371</v>
      </c>
    </row>
    <row r="39" ht="15.0" customHeight="1">
      <c r="A39" s="124"/>
      <c r="B39" s="122"/>
      <c r="C39" s="123"/>
      <c r="D39" s="138" t="s">
        <v>2844</v>
      </c>
      <c r="E39" s="123"/>
      <c r="F39" s="122"/>
      <c r="G39" s="124"/>
      <c r="H39" s="93"/>
      <c r="I39" s="139"/>
      <c r="J39" s="139"/>
    </row>
    <row r="40">
      <c r="A40" s="140">
        <v>49.0</v>
      </c>
      <c r="B40" s="125" t="str">
        <f>VLOOKUP(A40,'Swiss Registry'!$A$2:$B$703,2,False)</f>
        <v>Bhol</v>
      </c>
      <c r="C40" s="105" t="str">
        <f t="shared" ref="C40:C74" si="4">IF(H40="dead","",IF(H40="a:act","",IF(H40="b:act","",IF(ISURL(HYPERLINK(INDIRECT("Importer!B"&amp;MID(H40,2,4)+1,TRUE))),HYPERLINK(INDIRECT("Importer!B"&amp;MID(H40,2,4)+1,TRUE), "Game 1"),""))))</f>
        <v>Game 1</v>
      </c>
      <c r="D40" s="106" t="str">
        <f t="shared" ref="D40:D74" si="5">IF(H40="dead","Dead Game",IF(H40="a:act","Act: "&amp;B40,IF(H40="b:act","Act: "&amp;F40,IF(ISURL(HYPERLINK(INDIRECT("Importer!B"&amp;MID(H40,6,4)+1,TRUE))),HYPERLINK(INDIRECT("Importer!B"&amp;MID(H40,6,4)+1,TRUE), "Game 2"),""))))</f>
        <v>Game 2</v>
      </c>
      <c r="E40" s="110" t="str">
        <f t="shared" ref="E40:E74" si="6">IF(H40="dead","",IF(H40="a:act","",IF(H40="b:act","",IF(ISURL(HYPERLINK(INDIRECT("Importer!B"&amp;MID(H40,10,4)+1,TRUE))),HYPERLINK(INDIRECT("Importer!B"&amp;MID(H40,10,4)+1,TRUE), "Game 3"),""))))</f>
        <v>Game 3</v>
      </c>
      <c r="F40" s="125" t="str">
        <f>VLOOKUP(G40,'Swiss Registry'!$A$2:$B$703,2,False)</f>
        <v>Papa Escargo</v>
      </c>
      <c r="G40" s="140">
        <v>276.0</v>
      </c>
      <c r="H40" s="93" t="s">
        <v>2845</v>
      </c>
      <c r="I40" s="141" t="str">
        <f t="array" ref="I40">XLOOKUP(CELL("contents",B40),'Swiss Registry'!$B$2:$B$703,'Swiss Registry'!$N$2:$N$703) </f>
        <v>708350647879335966</v>
      </c>
      <c r="J40" s="142" t="str">
        <f t="array" ref="J40">XLOOKUP(CELL("contents",F40),'Swiss Registry'!$B$2:$B$703,'Swiss Registry'!$N$2:$N$703) </f>
        <v>510329516531515427</v>
      </c>
    </row>
    <row r="41">
      <c r="A41" s="140">
        <v>50.0</v>
      </c>
      <c r="B41" s="125" t="str">
        <f>VLOOKUP(A41,'Swiss Registry'!$A$2:$B$703,2,False)</f>
        <v>xTina</v>
      </c>
      <c r="C41" s="105" t="str">
        <f t="shared" si="4"/>
        <v>Game 1</v>
      </c>
      <c r="D41" s="106" t="str">
        <f t="shared" si="5"/>
        <v>Game 2</v>
      </c>
      <c r="E41" s="110" t="str">
        <f t="shared" si="6"/>
        <v>Game 3</v>
      </c>
      <c r="F41" s="125" t="str">
        <f>VLOOKUP(G41,'Swiss Registry'!$A$2:$B$703,2,False)</f>
        <v>ghostreported</v>
      </c>
      <c r="G41" s="140">
        <v>307.0</v>
      </c>
      <c r="H41" s="93" t="s">
        <v>2846</v>
      </c>
      <c r="I41" s="141" t="str">
        <f t="array" ref="I41">XLOOKUP(CELL("contents",B41),'Swiss Registry'!$B$2:$B$703,'Swiss Registry'!$N$2:$N$703) </f>
        <v>157273003971969025</v>
      </c>
      <c r="J41" s="142" t="str">
        <f t="array" ref="J41">XLOOKUP(CELL("contents",F41),'Swiss Registry'!$B$2:$B$703,'Swiss Registry'!$N$2:$N$703) </f>
        <v>965685598545403924</v>
      </c>
    </row>
    <row r="42">
      <c r="A42" s="140">
        <v>55.0</v>
      </c>
      <c r="B42" s="125" t="str">
        <f>VLOOKUP(A42,'Swiss Registry'!$A$2:$B$703,2,False)</f>
        <v>Kai (aplgd)</v>
      </c>
      <c r="C42" s="105" t="str">
        <f t="shared" si="4"/>
        <v>Game 1</v>
      </c>
      <c r="D42" s="106" t="str">
        <f t="shared" si="5"/>
        <v>Game 2</v>
      </c>
      <c r="E42" s="110" t="str">
        <f t="shared" si="6"/>
        <v>Game 3</v>
      </c>
      <c r="F42" s="125" t="str">
        <f>VLOOKUP(G42,'Swiss Registry'!$A$2:$B$703,2,False)</f>
        <v>@spreek</v>
      </c>
      <c r="G42" s="140">
        <v>640.0</v>
      </c>
      <c r="H42" s="93" t="s">
        <v>2847</v>
      </c>
      <c r="I42" s="141" t="str">
        <f t="array" ref="I42">XLOOKUP(CELL("contents",B42),'Swiss Registry'!$B$2:$B$703,'Swiss Registry'!$N$2:$N$703) </f>
        <v>782951193495207938</v>
      </c>
      <c r="J42" s="142" t="str">
        <f t="array" ref="J42">XLOOKUP(CELL("contents",F42),'Swiss Registry'!$B$2:$B$703,'Swiss Registry'!$N$2:$N$703) </f>
        <v>136272881666621440</v>
      </c>
    </row>
    <row r="43">
      <c r="A43" s="140">
        <v>57.0</v>
      </c>
      <c r="B43" s="125" t="str">
        <f>VLOOKUP(A43,'Swiss Registry'!$A$2:$B$703,2,False)</f>
        <v>MeEsSm</v>
      </c>
      <c r="C43" s="105" t="str">
        <f t="shared" si="4"/>
        <v>Game 1</v>
      </c>
      <c r="D43" s="106" t="str">
        <f t="shared" si="5"/>
        <v>Game 2</v>
      </c>
      <c r="E43" s="110" t="str">
        <f t="shared" si="6"/>
        <v>Game 3</v>
      </c>
      <c r="F43" s="125" t="str">
        <f>VLOOKUP(G43,'Swiss Registry'!$A$2:$B$703,2,False)</f>
        <v>venomshoc</v>
      </c>
      <c r="G43" s="140">
        <v>486.0</v>
      </c>
      <c r="H43" s="93" t="s">
        <v>2848</v>
      </c>
      <c r="I43" s="141" t="str">
        <f t="array" ref="I43">XLOOKUP(CELL("contents",B43),'Swiss Registry'!$B$2:$B$703,'Swiss Registry'!$N$2:$N$703) </f>
        <v>316388400540286978</v>
      </c>
      <c r="J43" s="142" t="str">
        <f t="array" ref="J43">XLOOKUP(CELL("contents",F43),'Swiss Registry'!$B$2:$B$703,'Swiss Registry'!$N$2:$N$703) </f>
        <v>314453127224885249</v>
      </c>
    </row>
    <row r="44">
      <c r="A44" s="140">
        <v>58.0</v>
      </c>
      <c r="B44" s="125" t="str">
        <f>VLOOKUP(A44,'Swiss Registry'!$A$2:$B$703,2,False)</f>
        <v>kingofironfrisk</v>
      </c>
      <c r="C44" s="105" t="str">
        <f t="shared" si="4"/>
        <v>Game 1</v>
      </c>
      <c r="D44" s="106" t="str">
        <f t="shared" si="5"/>
        <v>Game 2</v>
      </c>
      <c r="E44" s="107" t="str">
        <f t="shared" si="6"/>
        <v/>
      </c>
      <c r="F44" s="125" t="str">
        <f>VLOOKUP(G44,'Swiss Registry'!$A$2:$B$703,2,False)</f>
        <v>Kenuckz</v>
      </c>
      <c r="G44" s="140">
        <v>567.0</v>
      </c>
      <c r="H44" s="93" t="s">
        <v>2849</v>
      </c>
      <c r="I44" s="141" t="str">
        <f t="array" ref="I44">XLOOKUP(CELL("contents",B44),'Swiss Registry'!$B$2:$B$703,'Swiss Registry'!$N$2:$N$703) </f>
        <v>232531609293684746</v>
      </c>
      <c r="J44" s="142" t="str">
        <f t="array" ref="J44">XLOOKUP(CELL("contents",F44),'Swiss Registry'!$B$2:$B$703,'Swiss Registry'!$N$2:$N$703) </f>
        <v>152582039177134080</v>
      </c>
    </row>
    <row r="45">
      <c r="A45" s="140">
        <v>59.0</v>
      </c>
      <c r="B45" s="125" t="str">
        <f>VLOOKUP(A45,'Swiss Registry'!$A$2:$B$703,2,False)</f>
        <v>OopsAllDeoxys</v>
      </c>
      <c r="C45" s="105" t="str">
        <f t="shared" si="4"/>
        <v>Game 1</v>
      </c>
      <c r="D45" s="106" t="str">
        <f t="shared" si="5"/>
        <v>Game 2</v>
      </c>
      <c r="E45" s="110" t="str">
        <f t="shared" si="6"/>
        <v>Game 3</v>
      </c>
      <c r="F45" s="125" t="str">
        <f>VLOOKUP(G45,'Swiss Registry'!$A$2:$B$703,2,False)</f>
        <v>FaceOFF</v>
      </c>
      <c r="G45" s="140">
        <v>411.0</v>
      </c>
      <c r="H45" s="93" t="s">
        <v>2850</v>
      </c>
      <c r="I45" s="141" t="str">
        <f t="array" ref="I45">XLOOKUP(CELL("contents",B45),'Swiss Registry'!$B$2:$B$703,'Swiss Registry'!$N$2:$N$703) </f>
        <v>528307805422223380</v>
      </c>
      <c r="J45" s="142" t="str">
        <f t="array" ref="J45">XLOOKUP(CELL("contents",F45),'Swiss Registry'!$B$2:$B$703,'Swiss Registry'!$N$2:$N$703) </f>
        <v>330062412294127616</v>
      </c>
    </row>
    <row r="46">
      <c r="A46" s="140">
        <v>60.0</v>
      </c>
      <c r="B46" s="125" t="str">
        <f>VLOOKUP(A46,'Swiss Registry'!$A$2:$B$703,2,False)</f>
        <v>Exiline</v>
      </c>
      <c r="C46" s="105" t="str">
        <f t="shared" si="4"/>
        <v>Game 1</v>
      </c>
      <c r="D46" s="106" t="str">
        <f t="shared" si="5"/>
        <v>Game 2</v>
      </c>
      <c r="E46" s="107" t="str">
        <f t="shared" si="6"/>
        <v/>
      </c>
      <c r="F46" s="125" t="str">
        <f>VLOOKUP(G46,'Swiss Registry'!$A$2:$B$703,2,False)</f>
        <v>Lunasran</v>
      </c>
      <c r="G46" s="140">
        <v>343.0</v>
      </c>
      <c r="H46" s="93" t="s">
        <v>2851</v>
      </c>
      <c r="I46" s="141" t="str">
        <f t="array" ref="I46">XLOOKUP(CELL("contents",B46),'Swiss Registry'!$B$2:$B$703,'Swiss Registry'!$N$2:$N$703) </f>
        <v>155646670988640258</v>
      </c>
      <c r="J46" s="142" t="str">
        <f t="array" ref="J46">XLOOKUP(CELL("contents",F46),'Swiss Registry'!$B$2:$B$703,'Swiss Registry'!$N$2:$N$703) </f>
        <v>1088892947367481436</v>
      </c>
    </row>
    <row r="47">
      <c r="A47" s="140">
        <v>61.0</v>
      </c>
      <c r="B47" s="125" t="str">
        <f>VLOOKUP(A47,'Swiss Registry'!$A$2:$B$703,2,False)</f>
        <v>Zpanther</v>
      </c>
      <c r="C47" s="105" t="str">
        <f t="shared" si="4"/>
        <v>Game 1</v>
      </c>
      <c r="D47" s="106" t="str">
        <f t="shared" si="5"/>
        <v>Game 2</v>
      </c>
      <c r="E47" s="107" t="str">
        <f t="shared" si="6"/>
        <v/>
      </c>
      <c r="F47" s="125" t="str">
        <f>VLOOKUP(G47,'Swiss Registry'!$A$2:$B$703,2,False)</f>
        <v>Rainer7849</v>
      </c>
      <c r="G47" s="140">
        <v>299.0</v>
      </c>
      <c r="H47" s="93" t="s">
        <v>2852</v>
      </c>
      <c r="I47" s="141" t="str">
        <f t="array" ref="I47">XLOOKUP(CELL("contents",B47),'Swiss Registry'!$B$2:$B$703,'Swiss Registry'!$N$2:$N$703) </f>
        <v>884609024937574432</v>
      </c>
      <c r="J47" s="142" t="str">
        <f t="array" ref="J47">XLOOKUP(CELL("contents",F47),'Swiss Registry'!$B$2:$B$703,'Swiss Registry'!$N$2:$N$703) </f>
        <v>452288242931335179</v>
      </c>
    </row>
    <row r="48">
      <c r="A48" s="140">
        <v>62.0</v>
      </c>
      <c r="B48" s="125" t="str">
        <f>VLOOKUP(A48,'Swiss Registry'!$A$2:$B$703,2,False)</f>
        <v>Nicole</v>
      </c>
      <c r="C48" s="105" t="str">
        <f t="shared" si="4"/>
        <v>Game 1</v>
      </c>
      <c r="D48" s="106" t="str">
        <f t="shared" si="5"/>
        <v>Game 2</v>
      </c>
      <c r="E48" s="110" t="str">
        <f t="shared" si="6"/>
        <v>Game 3</v>
      </c>
      <c r="F48" s="125" t="str">
        <f>VLOOKUP(G48,'Swiss Registry'!$A$2:$B$703,2,False)</f>
        <v>secondari</v>
      </c>
      <c r="G48" s="140">
        <v>325.0</v>
      </c>
      <c r="H48" s="93" t="s">
        <v>2853</v>
      </c>
      <c r="I48" s="141" t="str">
        <f t="array" ref="I48">XLOOKUP(CELL("contents",B48),'Swiss Registry'!$B$2:$B$703,'Swiss Registry'!$N$2:$N$703) </f>
        <v>372784289420410882</v>
      </c>
      <c r="J48" s="142" t="str">
        <f t="array" ref="J48">XLOOKUP(CELL("contents",F48),'Swiss Registry'!$B$2:$B$703,'Swiss Registry'!$N$2:$N$703) </f>
        <v>77493060862214144</v>
      </c>
    </row>
    <row r="49">
      <c r="A49" s="140">
        <v>63.0</v>
      </c>
      <c r="B49" s="125" t="str">
        <f>VLOOKUP(A49,'Swiss Registry'!$A$2:$B$703,2,False)</f>
        <v>Rambode</v>
      </c>
      <c r="C49" s="105" t="str">
        <f t="shared" si="4"/>
        <v>Game 1</v>
      </c>
      <c r="D49" s="106" t="str">
        <f t="shared" si="5"/>
        <v>Game 2</v>
      </c>
      <c r="E49" s="110" t="str">
        <f t="shared" si="6"/>
        <v>Game 3</v>
      </c>
      <c r="F49" s="125" t="str">
        <f>VLOOKUP(G49,'Swiss Registry'!$A$2:$B$703,2,False)</f>
        <v>denizs8</v>
      </c>
      <c r="G49" s="140">
        <v>555.0</v>
      </c>
      <c r="H49" s="93" t="s">
        <v>2854</v>
      </c>
      <c r="I49" s="141" t="str">
        <f t="array" ref="I49">XLOOKUP(CELL("contents",B49),'Swiss Registry'!$B$2:$B$703,'Swiss Registry'!$N$2:$N$703) </f>
        <v>205091412088324096</v>
      </c>
      <c r="J49" s="142" t="str">
        <f t="array" ref="J49">XLOOKUP(CELL("contents",F49),'Swiss Registry'!$B$2:$B$703,'Swiss Registry'!$N$2:$N$703) </f>
        <v>188407578202472448</v>
      </c>
    </row>
    <row r="50">
      <c r="A50" s="140">
        <v>64.0</v>
      </c>
      <c r="B50" s="125" t="str">
        <f>VLOOKUP(A50,'Swiss Registry'!$A$2:$B$703,2,False)</f>
        <v>xGangg</v>
      </c>
      <c r="C50" s="105" t="str">
        <f t="shared" si="4"/>
        <v>Game 1</v>
      </c>
      <c r="D50" s="106" t="str">
        <f t="shared" si="5"/>
        <v>Game 2</v>
      </c>
      <c r="E50" s="107" t="str">
        <f t="shared" si="6"/>
        <v/>
      </c>
      <c r="F50" s="125" t="str">
        <f>VLOOKUP(G50,'Swiss Registry'!$A$2:$B$703,2,False)</f>
        <v>jd_orph</v>
      </c>
      <c r="G50" s="140">
        <v>284.0</v>
      </c>
      <c r="H50" s="93" t="s">
        <v>2855</v>
      </c>
      <c r="I50" s="141" t="str">
        <f t="array" ref="I50">XLOOKUP(CELL("contents",B50),'Swiss Registry'!$B$2:$B$703,'Swiss Registry'!$N$2:$N$703) </f>
        <v>219915887254175744</v>
      </c>
      <c r="J50" s="142" t="str">
        <f t="array" ref="J50">XLOOKUP(CELL("contents",F50),'Swiss Registry'!$B$2:$B$703,'Swiss Registry'!$N$2:$N$703) </f>
        <v>486001893655445534</v>
      </c>
    </row>
    <row r="51">
      <c r="A51" s="140">
        <v>65.0</v>
      </c>
      <c r="B51" s="125" t="str">
        <f>VLOOKUP(A51,'Swiss Registry'!$A$2:$B$703,2,False)</f>
        <v>shawtyyyyyyy</v>
      </c>
      <c r="C51" s="111" t="str">
        <f t="shared" si="4"/>
        <v/>
      </c>
      <c r="D51" s="112" t="str">
        <f t="shared" si="5"/>
        <v>Act: Nicko8</v>
      </c>
      <c r="E51" s="107" t="str">
        <f t="shared" si="6"/>
        <v/>
      </c>
      <c r="F51" s="125" t="str">
        <f>VLOOKUP(G51,'Swiss Registry'!$A$2:$B$703,2,False)</f>
        <v>Nicko8</v>
      </c>
      <c r="G51" s="140">
        <v>622.0</v>
      </c>
      <c r="H51" s="93" t="s">
        <v>1523</v>
      </c>
      <c r="I51" s="141" t="str">
        <f t="array" ref="I51">XLOOKUP(CELL("contents",B51),'Swiss Registry'!$B$2:$B$703,'Swiss Registry'!$N$2:$N$703) </f>
        <v>721487439847358505</v>
      </c>
      <c r="J51" s="142" t="str">
        <f t="array" ref="J51">XLOOKUP(CELL("contents",F51),'Swiss Registry'!$B$2:$B$703,'Swiss Registry'!$N$2:$N$703) </f>
        <v>148744968666742784</v>
      </c>
    </row>
    <row r="52">
      <c r="A52" s="140">
        <v>70.0</v>
      </c>
      <c r="B52" s="125" t="str">
        <f>VLOOKUP(A52,'Swiss Registry'!$A$2:$B$703,2,False)</f>
        <v>H&gt;L</v>
      </c>
      <c r="C52" s="105" t="str">
        <f t="shared" si="4"/>
        <v>Game 1</v>
      </c>
      <c r="D52" s="106" t="str">
        <f t="shared" si="5"/>
        <v>Game 2</v>
      </c>
      <c r="E52" s="110" t="str">
        <f t="shared" si="6"/>
        <v>Game 3</v>
      </c>
      <c r="F52" s="125" t="str">
        <f>VLOOKUP(G52,'Swiss Registry'!$A$2:$B$703,2,False)</f>
        <v>gonzasaurio50</v>
      </c>
      <c r="G52" s="140">
        <v>385.0</v>
      </c>
      <c r="H52" s="93" t="s">
        <v>2856</v>
      </c>
      <c r="I52" s="141" t="str">
        <f t="array" ref="I52">XLOOKUP(CELL("contents",B52),'Swiss Registry'!$B$2:$B$703,'Swiss Registry'!$N$2:$N$703) </f>
        <v>669658442071408672</v>
      </c>
      <c r="J52" s="142" t="str">
        <f t="array" ref="J52">XLOOKUP(CELL("contents",F52),'Swiss Registry'!$B$2:$B$703,'Swiss Registry'!$N$2:$N$703) </f>
        <v>481894982127714305</v>
      </c>
    </row>
    <row r="53">
      <c r="A53" s="140">
        <v>74.0</v>
      </c>
      <c r="B53" s="125" t="str">
        <f>VLOOKUP(A53,'Swiss Registry'!$A$2:$B$703,2,False)</f>
        <v>xXEricXx</v>
      </c>
      <c r="C53" s="105" t="str">
        <f t="shared" si="4"/>
        <v>Game 1</v>
      </c>
      <c r="D53" s="106" t="str">
        <f t="shared" si="5"/>
        <v>Game 2</v>
      </c>
      <c r="E53" s="110" t="str">
        <f t="shared" si="6"/>
        <v>Game 3</v>
      </c>
      <c r="F53" s="125" t="str">
        <f>VLOOKUP(G53,'Swiss Registry'!$A$2:$B$703,2,False)</f>
        <v>samjamslam</v>
      </c>
      <c r="G53" s="140">
        <v>207.0</v>
      </c>
      <c r="H53" s="93" t="s">
        <v>2857</v>
      </c>
      <c r="I53" s="141" t="str">
        <f t="array" ref="I53">XLOOKUP(CELL("contents",B53),'Swiss Registry'!$B$2:$B$703,'Swiss Registry'!$N$2:$N$703) </f>
        <v>188804001054064640</v>
      </c>
      <c r="J53" s="142" t="str">
        <f t="array" ref="J53">XLOOKUP(CELL("contents",F53),'Swiss Registry'!$B$2:$B$703,'Swiss Registry'!$N$2:$N$703) </f>
        <v>589902999342546965</v>
      </c>
    </row>
    <row r="54">
      <c r="A54" s="140">
        <v>78.0</v>
      </c>
      <c r="B54" s="125" t="str">
        <f>VLOOKUP(A54,'Swiss Registry'!$A$2:$B$703,2,False)</f>
        <v>OOF_MAXIMA</v>
      </c>
      <c r="C54" s="105" t="str">
        <f t="shared" si="4"/>
        <v>Game 1</v>
      </c>
      <c r="D54" s="106" t="str">
        <f t="shared" si="5"/>
        <v>Game 2</v>
      </c>
      <c r="E54" s="107" t="str">
        <f t="shared" si="6"/>
        <v/>
      </c>
      <c r="F54" s="125" t="str">
        <f>VLOOKUP(G54,'Swiss Registry'!$A$2:$B$703,2,False)</f>
        <v>f1remaster (Hikari)</v>
      </c>
      <c r="G54" s="140">
        <v>329.0</v>
      </c>
      <c r="H54" s="93" t="s">
        <v>2858</v>
      </c>
      <c r="I54" s="141" t="str">
        <f t="array" ref="I54">XLOOKUP(CELL("contents",B54),'Swiss Registry'!$B$2:$B$703,'Swiss Registry'!$N$2:$N$703) </f>
        <v>400765707467620362</v>
      </c>
      <c r="J54" s="142" t="str">
        <f t="array" ref="J54">XLOOKUP(CELL("contents",F54),'Swiss Registry'!$B$2:$B$703,'Swiss Registry'!$N$2:$N$703) </f>
        <v>295050390435659787</v>
      </c>
    </row>
    <row r="55">
      <c r="A55" s="140">
        <v>80.0</v>
      </c>
      <c r="B55" s="125" t="str">
        <f>VLOOKUP(A55,'Swiss Registry'!$A$2:$B$703,2,False)</f>
        <v>Incognition</v>
      </c>
      <c r="C55" s="105" t="str">
        <f t="shared" si="4"/>
        <v>Game 1</v>
      </c>
      <c r="D55" s="106" t="str">
        <f t="shared" si="5"/>
        <v>Game 2</v>
      </c>
      <c r="E55" s="107" t="str">
        <f t="shared" si="6"/>
        <v/>
      </c>
      <c r="F55" s="125" t="str">
        <f>VLOOKUP(G55,'Swiss Registry'!$A$2:$B$703,2,False)</f>
        <v>choicescarf002</v>
      </c>
      <c r="G55" s="140">
        <v>504.0</v>
      </c>
      <c r="H55" s="93" t="s">
        <v>2859</v>
      </c>
      <c r="I55" s="141" t="str">
        <f t="array" ref="I55">XLOOKUP(CELL("contents",B55),'Swiss Registry'!$B$2:$B$703,'Swiss Registry'!$N$2:$N$703) </f>
        <v>248186612213612546</v>
      </c>
      <c r="J55" s="142" t="str">
        <f t="array" ref="J55">XLOOKUP(CELL("contents",F55),'Swiss Registry'!$B$2:$B$703,'Swiss Registry'!$N$2:$N$703) </f>
        <v>359154373063999490</v>
      </c>
    </row>
    <row r="56">
      <c r="A56" s="140">
        <v>81.0</v>
      </c>
      <c r="B56" s="125" t="str">
        <f>VLOOKUP(A56,'Swiss Registry'!$A$2:$B$703,2,False)</f>
        <v>Tempokin</v>
      </c>
      <c r="C56" s="105" t="str">
        <f t="shared" si="4"/>
        <v>Game 1</v>
      </c>
      <c r="D56" s="106" t="str">
        <f t="shared" si="5"/>
        <v>Game 2</v>
      </c>
      <c r="E56" s="107" t="str">
        <f t="shared" si="6"/>
        <v/>
      </c>
      <c r="F56" s="125" t="str">
        <f>VLOOKUP(G56,'Swiss Registry'!$A$2:$B$703,2,False)</f>
        <v>witgiz</v>
      </c>
      <c r="G56" s="140">
        <v>588.0</v>
      </c>
      <c r="H56" s="93" t="s">
        <v>2860</v>
      </c>
      <c r="I56" s="141" t="str">
        <f t="array" ref="I56">XLOOKUP(CELL("contents",B56),'Swiss Registry'!$B$2:$B$703,'Swiss Registry'!$N$2:$N$703) </f>
        <v>305870832977182722</v>
      </c>
      <c r="J56" s="142" t="str">
        <f t="array" ref="J56">XLOOKUP(CELL("contents",F56),'Swiss Registry'!$B$2:$B$703,'Swiss Registry'!$N$2:$N$703) </f>
        <v>745414414429192303</v>
      </c>
    </row>
    <row r="57">
      <c r="A57" s="140">
        <v>84.0</v>
      </c>
      <c r="B57" s="125" t="str">
        <f>VLOOKUP(A57,'Swiss Registry'!$A$2:$B$703,2,False)</f>
        <v>qsns</v>
      </c>
      <c r="C57" s="105" t="str">
        <f t="shared" si="4"/>
        <v>Game 1</v>
      </c>
      <c r="D57" s="106" t="str">
        <f t="shared" si="5"/>
        <v>Game 2</v>
      </c>
      <c r="E57" s="107" t="str">
        <f t="shared" si="6"/>
        <v/>
      </c>
      <c r="F57" s="125" t="str">
        <f>VLOOKUP(G57,'Swiss Registry'!$A$2:$B$703,2,False)</f>
        <v>saltocorto</v>
      </c>
      <c r="G57" s="140">
        <v>192.0</v>
      </c>
      <c r="H57" s="93" t="s">
        <v>2861</v>
      </c>
      <c r="I57" s="141" t="str">
        <f t="array" ref="I57">XLOOKUP(CELL("contents",B57),'Swiss Registry'!$B$2:$B$703,'Swiss Registry'!$N$2:$N$703) </f>
        <v>125692081212620801</v>
      </c>
      <c r="J57" s="142" t="str">
        <f t="array" ref="J57">XLOOKUP(CELL("contents",F57),'Swiss Registry'!$B$2:$B$703,'Swiss Registry'!$N$2:$N$703) </f>
        <v>443892793593692170</v>
      </c>
    </row>
    <row r="58">
      <c r="A58" s="140">
        <v>85.0</v>
      </c>
      <c r="B58" s="125" t="str">
        <f>VLOOKUP(A58,'Swiss Registry'!$A$2:$B$703,2,False)</f>
        <v>Cyberas</v>
      </c>
      <c r="C58" s="105" t="str">
        <f t="shared" si="4"/>
        <v>Game 1</v>
      </c>
      <c r="D58" s="106" t="str">
        <f t="shared" si="5"/>
        <v>Game 2</v>
      </c>
      <c r="E58" s="110" t="str">
        <f t="shared" si="6"/>
        <v>Game 3</v>
      </c>
      <c r="F58" s="125" t="str">
        <f>VLOOKUP(G58,'Swiss Registry'!$A$2:$B$703,2,False)</f>
        <v>Alargemongoose</v>
      </c>
      <c r="G58" s="140">
        <v>226.0</v>
      </c>
      <c r="H58" s="93" t="s">
        <v>2862</v>
      </c>
      <c r="I58" s="141" t="str">
        <f t="array" ref="I58">XLOOKUP(CELL("contents",B58),'Swiss Registry'!$B$2:$B$703,'Swiss Registry'!$N$2:$N$703) </f>
        <v>133696854662709248</v>
      </c>
      <c r="J58" s="142" t="str">
        <f t="array" ref="J58">XLOOKUP(CELL("contents",F58),'Swiss Registry'!$B$2:$B$703,'Swiss Registry'!$N$2:$N$703) </f>
        <v>646736314645086228</v>
      </c>
    </row>
    <row r="59">
      <c r="A59" s="140">
        <v>90.0</v>
      </c>
      <c r="B59" s="125" t="str">
        <f>VLOOKUP(A59,'Swiss Registry'!$A$2:$B$703,2,False)</f>
        <v>Mantis</v>
      </c>
      <c r="C59" s="105" t="str">
        <f t="shared" si="4"/>
        <v>Game 1</v>
      </c>
      <c r="D59" s="106" t="str">
        <f t="shared" si="5"/>
        <v>Game 2</v>
      </c>
      <c r="E59" s="110" t="str">
        <f t="shared" si="6"/>
        <v>Game 3</v>
      </c>
      <c r="F59" s="125" t="str">
        <f>VLOOKUP(G59,'Swiss Registry'!$A$2:$B$703,2,False)</f>
        <v>justbestlevels</v>
      </c>
      <c r="G59" s="140">
        <v>687.0</v>
      </c>
      <c r="H59" s="93" t="s">
        <v>2863</v>
      </c>
      <c r="I59" s="141" t="str">
        <f t="array" ref="I59">XLOOKUP(CELL("contents",B59),'Swiss Registry'!$B$2:$B$703,'Swiss Registry'!$N$2:$N$703) </f>
        <v>396370625515487242</v>
      </c>
      <c r="J59" s="142" t="str">
        <f t="array" ref="J59">XLOOKUP(CELL("contents",F59),'Swiss Registry'!$B$2:$B$703,'Swiss Registry'!$N$2:$N$703) </f>
        <v>1266216530601971775</v>
      </c>
    </row>
    <row r="60">
      <c r="A60" s="140">
        <v>95.0</v>
      </c>
      <c r="B60" s="125" t="str">
        <f>VLOOKUP(A60,'Swiss Registry'!$A$2:$B$703,2,False)</f>
        <v>Otto</v>
      </c>
      <c r="C60" s="105" t="str">
        <f t="shared" si="4"/>
        <v>Game 1</v>
      </c>
      <c r="D60" s="106" t="str">
        <f t="shared" si="5"/>
        <v>Game 2</v>
      </c>
      <c r="E60" s="107" t="str">
        <f t="shared" si="6"/>
        <v/>
      </c>
      <c r="F60" s="125" t="str">
        <f>VLOOKUP(G60,'Swiss Registry'!$A$2:$B$703,2,False)</f>
        <v>Ghostmalone.</v>
      </c>
      <c r="G60" s="140">
        <v>264.0</v>
      </c>
      <c r="H60" s="93" t="s">
        <v>2864</v>
      </c>
      <c r="I60" s="141" t="str">
        <f t="array" ref="I60">XLOOKUP(CELL("contents",B60),'Swiss Registry'!$B$2:$B$703,'Swiss Registry'!$N$2:$N$703) </f>
        <v>286683342131298304</v>
      </c>
      <c r="J60" s="142" t="str">
        <f t="array" ref="J60">XLOOKUP(CELL("contents",F60),'Swiss Registry'!$B$2:$B$703,'Swiss Registry'!$N$2:$N$703) </f>
        <v>329857381746081792</v>
      </c>
    </row>
    <row r="61">
      <c r="A61" s="140">
        <v>97.0</v>
      </c>
      <c r="B61" s="125" t="str">
        <f>VLOOKUP(A61,'Swiss Registry'!$A$2:$B$703,2,False)</f>
        <v>Seradess</v>
      </c>
      <c r="C61" s="105" t="str">
        <f t="shared" si="4"/>
        <v>Game 1</v>
      </c>
      <c r="D61" s="106" t="str">
        <f t="shared" si="5"/>
        <v>Game 2</v>
      </c>
      <c r="E61" s="107" t="str">
        <f t="shared" si="6"/>
        <v/>
      </c>
      <c r="F61" s="125" t="str">
        <f>VLOOKUP(G61,'Swiss Registry'!$A$2:$B$703,2,False)</f>
        <v>Dwightasaurus</v>
      </c>
      <c r="G61" s="140">
        <v>352.0</v>
      </c>
      <c r="H61" s="93" t="s">
        <v>2865</v>
      </c>
      <c r="I61" s="141" t="str">
        <f t="array" ref="I61">XLOOKUP(CELL("contents",B61),'Swiss Registry'!$B$2:$B$703,'Swiss Registry'!$N$2:$N$703) </f>
        <v>244659660794101763</v>
      </c>
      <c r="J61" s="142" t="str">
        <f t="array" ref="J61">XLOOKUP(CELL("contents",F61),'Swiss Registry'!$B$2:$B$703,'Swiss Registry'!$N$2:$N$703) </f>
        <v>393205826900197377</v>
      </c>
    </row>
    <row r="62">
      <c r="A62" s="140">
        <v>98.0</v>
      </c>
      <c r="B62" s="125" t="str">
        <f>VLOOKUP(A62,'Swiss Registry'!$A$2:$B$703,2,False)</f>
        <v>Dancing Along/Abreaction</v>
      </c>
      <c r="C62" s="105" t="str">
        <f t="shared" si="4"/>
        <v>Game 1</v>
      </c>
      <c r="D62" s="106" t="str">
        <f t="shared" si="5"/>
        <v>Game 2</v>
      </c>
      <c r="E62" s="107" t="str">
        <f t="shared" si="6"/>
        <v/>
      </c>
      <c r="F62" s="125" t="str">
        <f>VLOOKUP(G62,'Swiss Registry'!$A$2:$B$703,2,False)</f>
        <v>emerald_harrold</v>
      </c>
      <c r="G62" s="140">
        <v>595.0</v>
      </c>
      <c r="H62" s="93" t="s">
        <v>2866</v>
      </c>
      <c r="I62" s="141" t="str">
        <f t="array" ref="I62">XLOOKUP(CELL("contents",B62),'Swiss Registry'!$B$2:$B$703,'Swiss Registry'!$N$2:$N$703) </f>
        <v>386999541255110676</v>
      </c>
      <c r="J62" s="142" t="str">
        <f t="array" ref="J62">XLOOKUP(CELL("contents",F62),'Swiss Registry'!$B$2:$B$703,'Swiss Registry'!$N$2:$N$703) </f>
        <v>895687390142812161</v>
      </c>
    </row>
    <row r="63">
      <c r="A63" s="140">
        <v>558.0</v>
      </c>
      <c r="B63" s="125" t="str">
        <f>VLOOKUP(A63,'Swiss Registry'!$A$2:$B$703,2,False)</f>
        <v>luisin</v>
      </c>
      <c r="C63" s="105" t="str">
        <f t="shared" si="4"/>
        <v>Game 1</v>
      </c>
      <c r="D63" s="106" t="str">
        <f t="shared" si="5"/>
        <v>Game 2</v>
      </c>
      <c r="E63" s="107" t="str">
        <f t="shared" si="6"/>
        <v/>
      </c>
      <c r="F63" s="125" t="str">
        <f>VLOOKUP(G63,'Swiss Registry'!$A$2:$B$703,2,False)</f>
        <v>Ho_Chi</v>
      </c>
      <c r="G63" s="140">
        <v>286.0</v>
      </c>
      <c r="H63" s="93" t="s">
        <v>2867</v>
      </c>
      <c r="I63" s="141" t="str">
        <f t="array" ref="I63">XLOOKUP(CELL("contents",B63),'Swiss Registry'!$B$2:$B$703,'Swiss Registry'!$N$2:$N$703) </f>
        <v>623656981244149798</v>
      </c>
      <c r="J63" s="142" t="str">
        <f t="array" ref="J63">XLOOKUP(CELL("contents",F63),'Swiss Registry'!$B$2:$B$703,'Swiss Registry'!$N$2:$N$703) </f>
        <v>427608109519863816</v>
      </c>
    </row>
    <row r="64">
      <c r="A64" s="140">
        <v>171.0</v>
      </c>
      <c r="B64" s="125" t="str">
        <f>VLOOKUP(A64,'Swiss Registry'!$A$2:$B$703,2,False)</f>
        <v>knexhawk</v>
      </c>
      <c r="C64" s="105" t="str">
        <f t="shared" si="4"/>
        <v>Game 1</v>
      </c>
      <c r="D64" s="106" t="str">
        <f t="shared" si="5"/>
        <v>Game 2</v>
      </c>
      <c r="E64" s="107" t="str">
        <f t="shared" si="6"/>
        <v/>
      </c>
      <c r="F64" s="125" t="str">
        <f>VLOOKUP(G64,'Swiss Registry'!$A$2:$B$703,2,False)</f>
        <v>dragonsareoptimal</v>
      </c>
      <c r="G64" s="140">
        <v>222.0</v>
      </c>
      <c r="H64" s="93" t="s">
        <v>2868</v>
      </c>
      <c r="I64" s="141" t="str">
        <f t="array" ref="I64">XLOOKUP(CELL("contents",B64),'Swiss Registry'!$B$2:$B$703,'Swiss Registry'!$N$2:$N$703) </f>
        <v>481499066245578762</v>
      </c>
      <c r="J64" s="142" t="str">
        <f t="array" ref="J64">XLOOKUP(CELL("contents",F64),'Swiss Registry'!$B$2:$B$703,'Swiss Registry'!$N$2:$N$703) </f>
        <v>168945056303022081</v>
      </c>
    </row>
    <row r="65">
      <c r="A65" s="140">
        <v>194.0</v>
      </c>
      <c r="B65" s="125" t="str">
        <f>VLOOKUP(A65,'Swiss Registry'!$A$2:$B$703,2,False)</f>
        <v>bd31</v>
      </c>
      <c r="C65" s="111" t="str">
        <f t="shared" si="4"/>
        <v/>
      </c>
      <c r="D65" s="112" t="str">
        <f t="shared" si="5"/>
        <v>Act: fastandsleepy</v>
      </c>
      <c r="E65" s="107" t="str">
        <f t="shared" si="6"/>
        <v/>
      </c>
      <c r="F65" s="125" t="str">
        <f>VLOOKUP(G65,'Swiss Registry'!$A$2:$B$703,2,False)</f>
        <v>fastandsleepy</v>
      </c>
      <c r="G65" s="140">
        <v>423.0</v>
      </c>
      <c r="H65" s="93" t="s">
        <v>1523</v>
      </c>
      <c r="I65" s="141" t="str">
        <f t="array" ref="I65">XLOOKUP(CELL("contents",B65),'Swiss Registry'!$B$2:$B$703,'Swiss Registry'!$N$2:$N$703) </f>
        <v>217343749439750145</v>
      </c>
      <c r="J65" s="142" t="str">
        <f t="array" ref="J65">XLOOKUP(CELL("contents",F65),'Swiss Registry'!$B$2:$B$703,'Swiss Registry'!$N$2:$N$703) </f>
        <v>428574676449624065</v>
      </c>
    </row>
    <row r="66">
      <c r="A66" s="140">
        <v>184.0</v>
      </c>
      <c r="B66" s="125" t="str">
        <f>VLOOKUP(A66,'Swiss Registry'!$A$2:$B$703,2,False)</f>
        <v>Skarpherim</v>
      </c>
      <c r="C66" s="105" t="str">
        <f t="shared" si="4"/>
        <v>Game 1</v>
      </c>
      <c r="D66" s="106" t="str">
        <f t="shared" si="5"/>
        <v>Game 2</v>
      </c>
      <c r="E66" s="110" t="str">
        <f t="shared" si="6"/>
        <v>Game 3</v>
      </c>
      <c r="F66" s="125" t="str">
        <f>VLOOKUP(G66,'Swiss Registry'!$A$2:$B$703,2,False)</f>
        <v>lexi.pup</v>
      </c>
      <c r="G66" s="140">
        <v>547.0</v>
      </c>
      <c r="H66" s="93" t="s">
        <v>2869</v>
      </c>
      <c r="I66" s="141" t="str">
        <f t="array" ref="I66">XLOOKUP(CELL("contents",B66),'Swiss Registry'!$B$2:$B$703,'Swiss Registry'!$N$2:$N$703) </f>
        <v>1167951538963103815</v>
      </c>
      <c r="J66" s="142" t="str">
        <f t="array" ref="J66">XLOOKUP(CELL("contents",F66),'Swiss Registry'!$B$2:$B$703,'Swiss Registry'!$N$2:$N$703) </f>
        <v>768313209161383936</v>
      </c>
    </row>
    <row r="67">
      <c r="A67" s="140">
        <v>227.0</v>
      </c>
      <c r="B67" s="125" t="str">
        <f>VLOOKUP(A67,'Swiss Registry'!$A$2:$B$703,2,False)</f>
        <v>_uka</v>
      </c>
      <c r="C67" s="105" t="str">
        <f t="shared" si="4"/>
        <v>Game 1</v>
      </c>
      <c r="D67" s="106" t="str">
        <f t="shared" si="5"/>
        <v>Game 2</v>
      </c>
      <c r="E67" s="107" t="str">
        <f t="shared" si="6"/>
        <v/>
      </c>
      <c r="F67" s="125" t="str">
        <f>VLOOKUP(G67,'Swiss Registry'!$A$2:$B$703,2,False)</f>
        <v>dhgss</v>
      </c>
      <c r="G67" s="140">
        <v>338.0</v>
      </c>
      <c r="H67" s="93" t="s">
        <v>2870</v>
      </c>
      <c r="I67" s="141" t="str">
        <f t="array" ref="I67">XLOOKUP(CELL("contents",B67),'Swiss Registry'!$B$2:$B$703,'Swiss Registry'!$N$2:$N$703) </f>
        <v>277419088588832768</v>
      </c>
      <c r="J67" s="142" t="str">
        <f t="array" ref="J67">XLOOKUP(CELL("contents",F67),'Swiss Registry'!$B$2:$B$703,'Swiss Registry'!$N$2:$N$703) </f>
        <v>158287368925872129</v>
      </c>
    </row>
    <row r="68">
      <c r="A68" s="140">
        <v>247.0</v>
      </c>
      <c r="B68" s="125" t="str">
        <f>VLOOKUP(A68,'Swiss Registry'!$A$2:$B$703,2,False)</f>
        <v>gogozeppeli1890 (rconquer)</v>
      </c>
      <c r="C68" s="105" t="str">
        <f t="shared" si="4"/>
        <v>Game 1</v>
      </c>
      <c r="D68" s="106" t="str">
        <f t="shared" si="5"/>
        <v>Game 2</v>
      </c>
      <c r="E68" s="107" t="str">
        <f t="shared" si="6"/>
        <v/>
      </c>
      <c r="F68" s="125" t="str">
        <f>VLOOKUP(G68,'Swiss Registry'!$A$2:$B$703,2,False)</f>
        <v>CheesiMoon</v>
      </c>
      <c r="G68" s="140">
        <v>124.0</v>
      </c>
      <c r="H68" s="93" t="s">
        <v>2871</v>
      </c>
      <c r="I68" s="141" t="str">
        <f t="array" ref="I68">XLOOKUP(CELL("contents",B68),'Swiss Registry'!$B$2:$B$703,'Swiss Registry'!$N$2:$N$703) </f>
        <v>195721708504743936</v>
      </c>
      <c r="J68" s="142" t="str">
        <f t="array" ref="J68">XLOOKUP(CELL("contents",F68),'Swiss Registry'!$B$2:$B$703,'Swiss Registry'!$N$2:$N$703) </f>
        <v>231980254887936000</v>
      </c>
    </row>
    <row r="69">
      <c r="A69" s="140">
        <v>235.0</v>
      </c>
      <c r="B69" s="125" t="str">
        <f>VLOOKUP(A69,'Swiss Registry'!$A$2:$B$703,2,False)</f>
        <v>greencatkid</v>
      </c>
      <c r="C69" s="105" t="str">
        <f t="shared" si="4"/>
        <v>Game 1</v>
      </c>
      <c r="D69" s="106" t="str">
        <f t="shared" si="5"/>
        <v>Game 2</v>
      </c>
      <c r="E69" s="107" t="str">
        <f t="shared" si="6"/>
        <v/>
      </c>
      <c r="F69" s="125" t="str">
        <f>VLOOKUP(G69,'Swiss Registry'!$A$2:$B$703,2,False)</f>
        <v>durmain (slamonBbq)</v>
      </c>
      <c r="G69" s="140">
        <v>245.0</v>
      </c>
      <c r="H69" s="93" t="s">
        <v>2872</v>
      </c>
      <c r="I69" s="141" t="str">
        <f t="array" ref="I69">XLOOKUP(CELL("contents",B69),'Swiss Registry'!$B$2:$B$703,'Swiss Registry'!$N$2:$N$703) </f>
        <v>265277015777607691</v>
      </c>
      <c r="J69" s="142" t="str">
        <f t="array" ref="J69">XLOOKUP(CELL("contents",F69),'Swiss Registry'!$B$2:$B$703,'Swiss Registry'!$N$2:$N$703) </f>
        <v>166049321983279104</v>
      </c>
    </row>
    <row r="70">
      <c r="A70" s="140">
        <v>531.0</v>
      </c>
      <c r="B70" s="125" t="str">
        <f>VLOOKUP(A70,'Swiss Registry'!$A$2:$B$703,2,False)</f>
        <v>yallen</v>
      </c>
      <c r="C70" s="111" t="str">
        <f t="shared" si="4"/>
        <v/>
      </c>
      <c r="D70" s="112" t="str">
        <f t="shared" si="5"/>
        <v>Act: yallen</v>
      </c>
      <c r="E70" s="107" t="str">
        <f t="shared" si="6"/>
        <v/>
      </c>
      <c r="F70" s="125" t="str">
        <f>VLOOKUP(G70,'Swiss Registry'!$A$2:$B$703,2,False)</f>
        <v>SUB 2</v>
      </c>
      <c r="G70" s="140">
        <v>119.0</v>
      </c>
      <c r="H70" s="93" t="s">
        <v>1486</v>
      </c>
      <c r="I70" s="141" t="str">
        <f t="array" ref="I70">XLOOKUP(CELL("contents",B70),'Swiss Registry'!$B$2:$B$703,'Swiss Registry'!$N$2:$N$703) </f>
        <v>444702392383176724</v>
      </c>
      <c r="J70" s="147" t="str">
        <f t="array" ref="J70">XLOOKUP(CELL("contents",F70),'Swiss Registry'!$B$2:$B$703,'Swiss Registry'!$N$2:$N$703) </f>
        <v>SUB</v>
      </c>
    </row>
    <row r="71">
      <c r="A71" s="140">
        <v>5.0</v>
      </c>
      <c r="B71" s="125" t="str">
        <f>VLOOKUP(A71,'Swiss Registry'!$A$2:$B$703,2,False)</f>
        <v>Caloom</v>
      </c>
      <c r="C71" s="105" t="str">
        <f t="shared" si="4"/>
        <v>Game 1</v>
      </c>
      <c r="D71" s="106" t="str">
        <f t="shared" si="5"/>
        <v>Game 2</v>
      </c>
      <c r="E71" s="107" t="str">
        <f t="shared" si="6"/>
        <v/>
      </c>
      <c r="F71" s="125" t="str">
        <f>VLOOKUP(G71,'Swiss Registry'!$A$2:$B$703,2,False)</f>
        <v>Don7331</v>
      </c>
      <c r="G71" s="140">
        <v>363.0</v>
      </c>
      <c r="H71" s="93" t="s">
        <v>2873</v>
      </c>
      <c r="I71" s="141" t="str">
        <f t="array" ref="I71">XLOOKUP(CELL("contents",B71),'Swiss Registry'!$B$2:$B$703,'Swiss Registry'!$N$2:$N$703) </f>
        <v>428981810811109386</v>
      </c>
      <c r="J71" s="142" t="str">
        <f t="array" ref="J71">XLOOKUP(CELL("contents",F71),'Swiss Registry'!$B$2:$B$703,'Swiss Registry'!$N$2:$N$703) </f>
        <v>605567062794043403</v>
      </c>
    </row>
    <row r="72">
      <c r="A72" s="140">
        <v>14.0</v>
      </c>
      <c r="B72" s="125" t="str">
        <f>VLOOKUP(A72,'Swiss Registry'!$A$2:$B$703,2,False)</f>
        <v>Voyager</v>
      </c>
      <c r="C72" s="105" t="str">
        <f t="shared" si="4"/>
        <v>Game 1</v>
      </c>
      <c r="D72" s="106" t="str">
        <f t="shared" si="5"/>
        <v>Game 2</v>
      </c>
      <c r="E72" s="107" t="str">
        <f t="shared" si="6"/>
        <v/>
      </c>
      <c r="F72" s="125" t="str">
        <f>VLOOKUP(G72,'Swiss Registry'!$A$2:$B$703,2,False)</f>
        <v>wiilink100</v>
      </c>
      <c r="G72" s="140">
        <v>240.0</v>
      </c>
      <c r="H72" s="93" t="s">
        <v>2874</v>
      </c>
      <c r="I72" s="141" t="str">
        <f t="array" ref="I72">XLOOKUP(CELL("contents",B72),'Swiss Registry'!$B$2:$B$703,'Swiss Registry'!$N$2:$N$703) </f>
        <v>554730792488534056</v>
      </c>
      <c r="J72" s="142" t="str">
        <f t="array" ref="J72">XLOOKUP(CELL("contents",F72),'Swiss Registry'!$B$2:$B$703,'Swiss Registry'!$N$2:$N$703) </f>
        <v>160990967980097536</v>
      </c>
    </row>
    <row r="73">
      <c r="A73" s="140">
        <v>19.0</v>
      </c>
      <c r="B73" s="125" t="str">
        <f>VLOOKUP(A73,'Swiss Registry'!$A$2:$B$703,2,False)</f>
        <v>void</v>
      </c>
      <c r="C73" s="105" t="str">
        <f t="shared" si="4"/>
        <v>Game 1</v>
      </c>
      <c r="D73" s="106" t="str">
        <f t="shared" si="5"/>
        <v>Game 2</v>
      </c>
      <c r="E73" s="110" t="str">
        <f t="shared" si="6"/>
        <v>Game 3</v>
      </c>
      <c r="F73" s="125" t="str">
        <f>VLOOKUP(G73,'Swiss Registry'!$A$2:$B$703,2,False)</f>
        <v>Rebatca</v>
      </c>
      <c r="G73" s="140">
        <v>188.0</v>
      </c>
      <c r="H73" s="93" t="s">
        <v>2875</v>
      </c>
      <c r="I73" s="141" t="str">
        <f t="array" ref="I73">XLOOKUP(CELL("contents",B73),'Swiss Registry'!$B$2:$B$703,'Swiss Registry'!$N$2:$N$703) </f>
        <v>153249462641229824</v>
      </c>
      <c r="J73" s="142" t="str">
        <f t="array" ref="J73">XLOOKUP(CELL("contents",F73),'Swiss Registry'!$B$2:$B$703,'Swiss Registry'!$N$2:$N$703) </f>
        <v>186748597398667264</v>
      </c>
    </row>
    <row r="74">
      <c r="A74" s="140">
        <v>23.0</v>
      </c>
      <c r="B74" s="125" t="str">
        <f>VLOOKUP(A74,'Swiss Registry'!$A$2:$B$703,2,False)</f>
        <v>udm31</v>
      </c>
      <c r="C74" s="105" t="str">
        <f t="shared" si="4"/>
        <v>Game 1</v>
      </c>
      <c r="D74" s="106" t="str">
        <f t="shared" si="5"/>
        <v>Game 2</v>
      </c>
      <c r="E74" s="107" t="str">
        <f t="shared" si="6"/>
        <v/>
      </c>
      <c r="F74" s="125" t="str">
        <f>VLOOKUP(G74,'Swiss Registry'!$A$2:$B$703,2,False)</f>
        <v>lucida</v>
      </c>
      <c r="G74" s="140">
        <v>381.0</v>
      </c>
      <c r="H74" s="93" t="s">
        <v>2876</v>
      </c>
      <c r="I74" s="141" t="str">
        <f t="array" ref="I74">XLOOKUP(CELL("contents",B74),'Swiss Registry'!$B$2:$B$703,'Swiss Registry'!$N$2:$N$703) </f>
        <v>892364236523708427</v>
      </c>
      <c r="J74" s="142" t="str">
        <f t="array" ref="J74">XLOOKUP(CELL("contents",F74),'Swiss Registry'!$B$2:$B$703,'Swiss Registry'!$N$2:$N$703) </f>
        <v>98218676867596288</v>
      </c>
    </row>
    <row r="75" ht="15.0" customHeight="1">
      <c r="A75" s="124"/>
      <c r="B75" s="122"/>
      <c r="C75" s="123"/>
      <c r="D75" s="138" t="s">
        <v>2877</v>
      </c>
      <c r="E75" s="123"/>
      <c r="F75" s="122"/>
      <c r="G75" s="124"/>
      <c r="H75" s="93"/>
      <c r="I75" s="139"/>
      <c r="J75" s="139"/>
    </row>
    <row r="76">
      <c r="A76" s="140">
        <v>34.0</v>
      </c>
      <c r="B76" s="125" t="str">
        <f>VLOOKUP(A76,'Swiss Registry'!$A$2:$B$703,2,False)</f>
        <v>D3stiny</v>
      </c>
      <c r="C76" s="105" t="str">
        <f t="shared" ref="C76:C110" si="7">IF(H76="dead","",IF(H76="a:act","",IF(H76="b:act","",IF(ISURL(HYPERLINK(INDIRECT("Importer!B"&amp;MID(H76,2,4)+1,TRUE))),HYPERLINK(INDIRECT("Importer!B"&amp;MID(H76,2,4)+1,TRUE), "Game 1"),""))))</f>
        <v>Game 1</v>
      </c>
      <c r="D76" s="106" t="str">
        <f t="shared" ref="D76:D110" si="8">IF(H76="dead","Dead Game",IF(H76="a:act","Act: "&amp;B76,IF(H76="b:act","Act: "&amp;F76,IF(ISURL(HYPERLINK(INDIRECT("Importer!B"&amp;MID(H76,6,4)+1,TRUE))),HYPERLINK(INDIRECT("Importer!B"&amp;MID(H76,6,4)+1,TRUE), "Game 2"),""))))</f>
        <v>Game 2</v>
      </c>
      <c r="E76" s="107" t="str">
        <f t="shared" ref="E76:E110" si="9">IF(H76="dead","",IF(H76="a:act","",IF(H76="b:act","",IF(ISURL(HYPERLINK(INDIRECT("Importer!B"&amp;MID(H76,10,4)+1,TRUE))),HYPERLINK(INDIRECT("Importer!B"&amp;MID(H76,10,4)+1,TRUE), "Game 3"),""))))</f>
        <v/>
      </c>
      <c r="F76" s="125" t="str">
        <f>VLOOKUP(G76,'Swiss Registry'!$A$2:$B$703,2,False)</f>
        <v>ShotoNC</v>
      </c>
      <c r="G76" s="140">
        <v>422.0</v>
      </c>
      <c r="H76" s="93" t="s">
        <v>2878</v>
      </c>
      <c r="I76" s="141" t="str">
        <f t="array" ref="I76">XLOOKUP(CELL("contents",B76),'Swiss Registry'!$B$2:$B$703,'Swiss Registry'!$N$2:$N$703) </f>
        <v>836748504621252618</v>
      </c>
      <c r="J76" s="142" t="str">
        <f t="array" ref="J76">XLOOKUP(CELL("contents",F76),'Swiss Registry'!$B$2:$B$703,'Swiss Registry'!$N$2:$N$703) </f>
        <v>79029742778454016</v>
      </c>
    </row>
    <row r="77">
      <c r="A77" s="140">
        <v>37.0</v>
      </c>
      <c r="B77" s="125" t="str">
        <f>VLOOKUP(A77,'Swiss Registry'!$A$2:$B$703,2,False)</f>
        <v>Zerkas</v>
      </c>
      <c r="C77" s="105" t="str">
        <f t="shared" si="7"/>
        <v>Game 1</v>
      </c>
      <c r="D77" s="106" t="str">
        <f t="shared" si="8"/>
        <v>Game 2</v>
      </c>
      <c r="E77" s="107" t="str">
        <f t="shared" si="9"/>
        <v/>
      </c>
      <c r="F77" s="125" t="str">
        <f>VLOOKUP(G77,'Swiss Registry'!$A$2:$B$703,2,False)</f>
        <v>tehpenguinofdoom</v>
      </c>
      <c r="G77" s="140">
        <v>539.0</v>
      </c>
      <c r="H77" s="93" t="s">
        <v>2879</v>
      </c>
      <c r="I77" s="141" t="str">
        <f t="array" ref="I77">XLOOKUP(CELL("contents",B77),'Swiss Registry'!$B$2:$B$703,'Swiss Registry'!$N$2:$N$703) </f>
        <v>832336642315518002</v>
      </c>
      <c r="J77" s="142" t="str">
        <f t="array" ref="J77">XLOOKUP(CELL("contents",F77),'Swiss Registry'!$B$2:$B$703,'Swiss Registry'!$N$2:$N$703) </f>
        <v>884242717255807047</v>
      </c>
    </row>
    <row r="78">
      <c r="A78" s="140">
        <v>44.0</v>
      </c>
      <c r="B78" s="125" t="str">
        <f>VLOOKUP(A78,'Swiss Registry'!$A$2:$B$703,2,False)</f>
        <v>Dridri457</v>
      </c>
      <c r="C78" s="105" t="str">
        <f t="shared" si="7"/>
        <v>Game 1</v>
      </c>
      <c r="D78" s="106" t="str">
        <f t="shared" si="8"/>
        <v>Game 2</v>
      </c>
      <c r="E78" s="110" t="str">
        <f t="shared" si="9"/>
        <v>Game 3</v>
      </c>
      <c r="F78" s="125" t="str">
        <f>VLOOKUP(G78,'Swiss Registry'!$A$2:$B$703,2,False)</f>
        <v>Hypermoth</v>
      </c>
      <c r="G78" s="140">
        <v>674.0</v>
      </c>
      <c r="H78" s="93" t="s">
        <v>2880</v>
      </c>
      <c r="I78" s="141" t="str">
        <f t="array" ref="I78">XLOOKUP(CELL("contents",B78),'Swiss Registry'!$B$2:$B$703,'Swiss Registry'!$N$2:$N$703) </f>
        <v>1067112559704014909</v>
      </c>
      <c r="J78" s="142" t="str">
        <f t="array" ref="J78">XLOOKUP(CELL("contents",F78),'Swiss Registry'!$B$2:$B$703,'Swiss Registry'!$N$2:$N$703) </f>
        <v>160179454256087041</v>
      </c>
    </row>
    <row r="79">
      <c r="A79" s="140">
        <v>52.0</v>
      </c>
      <c r="B79" s="125" t="str">
        <f>VLOOKUP(A79,'Swiss Registry'!$A$2:$B$703,2,False)</f>
        <v>OOZ</v>
      </c>
      <c r="C79" s="105" t="str">
        <f t="shared" si="7"/>
        <v>Game 1</v>
      </c>
      <c r="D79" s="106" t="str">
        <f t="shared" si="8"/>
        <v>Game 2</v>
      </c>
      <c r="E79" s="107" t="str">
        <f t="shared" si="9"/>
        <v/>
      </c>
      <c r="F79" s="125" t="str">
        <f>VLOOKUP(G79,'Swiss Registry'!$A$2:$B$703,2,False)</f>
        <v>thedarvinist</v>
      </c>
      <c r="G79" s="140">
        <v>393.0</v>
      </c>
      <c r="H79" s="93" t="s">
        <v>2881</v>
      </c>
      <c r="I79" s="141" t="str">
        <f t="array" ref="I79">XLOOKUP(CELL("contents",B79),'Swiss Registry'!$B$2:$B$703,'Swiss Registry'!$N$2:$N$703) </f>
        <v>163395445421244418</v>
      </c>
      <c r="J79" s="142" t="str">
        <f t="array" ref="J79">XLOOKUP(CELL("contents",F79),'Swiss Registry'!$B$2:$B$703,'Swiss Registry'!$N$2:$N$703) </f>
        <v>431455323476328449</v>
      </c>
    </row>
    <row r="80">
      <c r="A80" s="140">
        <v>53.0</v>
      </c>
      <c r="B80" s="125" t="str">
        <f>VLOOKUP(A80,'Swiss Registry'!$A$2:$B$703,2,False)</f>
        <v>Evakiyama</v>
      </c>
      <c r="C80" s="105" t="str">
        <f t="shared" si="7"/>
        <v>Game 1</v>
      </c>
      <c r="D80" s="106" t="str">
        <f t="shared" si="8"/>
        <v>Game 2</v>
      </c>
      <c r="E80" s="107" t="str">
        <f t="shared" si="9"/>
        <v/>
      </c>
      <c r="F80" s="125" t="str">
        <f>VLOOKUP(G80,'Swiss Registry'!$A$2:$B$703,2,False)</f>
        <v>Vassimobin</v>
      </c>
      <c r="G80" s="140">
        <v>628.0</v>
      </c>
      <c r="H80" s="93" t="s">
        <v>2882</v>
      </c>
      <c r="I80" s="141" t="str">
        <f t="array" ref="I80">XLOOKUP(CELL("contents",B80),'Swiss Registry'!$B$2:$B$703,'Swiss Registry'!$N$2:$N$703) </f>
        <v>379787698799640576</v>
      </c>
      <c r="J80" s="142" t="str">
        <f t="array" ref="J80">XLOOKUP(CELL("contents",F80),'Swiss Registry'!$B$2:$B$703,'Swiss Registry'!$N$2:$N$703) </f>
        <v>521813775586951183</v>
      </c>
    </row>
    <row r="81">
      <c r="A81" s="140">
        <v>56.0</v>
      </c>
      <c r="B81" s="125" t="str">
        <f>VLOOKUP(A81,'Swiss Registry'!$A$2:$B$703,2,False)</f>
        <v>Vayun</v>
      </c>
      <c r="C81" s="105" t="str">
        <f t="shared" si="7"/>
        <v>Game 1</v>
      </c>
      <c r="D81" s="106" t="str">
        <f t="shared" si="8"/>
        <v>Game 2</v>
      </c>
      <c r="E81" s="107" t="str">
        <f t="shared" si="9"/>
        <v/>
      </c>
      <c r="F81" s="125" t="str">
        <f>VLOOKUP(G81,'Swiss Registry'!$A$2:$B$703,2,False)</f>
        <v>ebitachy</v>
      </c>
      <c r="G81" s="140">
        <v>584.0</v>
      </c>
      <c r="H81" s="93" t="s">
        <v>2883</v>
      </c>
      <c r="I81" s="141" t="str">
        <f t="array" ref="I81">XLOOKUP(CELL("contents",B81),'Swiss Registry'!$B$2:$B$703,'Swiss Registry'!$N$2:$N$703) </f>
        <v>773919415153983489</v>
      </c>
      <c r="J81" s="142" t="str">
        <f t="array" ref="J81">XLOOKUP(CELL("contents",F81),'Swiss Registry'!$B$2:$B$703,'Swiss Registry'!$N$2:$N$703) </f>
        <v>219131577030934529</v>
      </c>
    </row>
    <row r="82">
      <c r="A82" s="140">
        <v>66.0</v>
      </c>
      <c r="B82" s="125" t="str">
        <f>VLOOKUP(A82,'Swiss Registry'!$A$2:$B$703,2,False)</f>
        <v>Mackenzie</v>
      </c>
      <c r="C82" s="111" t="str">
        <f t="shared" si="7"/>
        <v/>
      </c>
      <c r="D82" s="112" t="str">
        <f t="shared" si="8"/>
        <v>Act: Mackenzie</v>
      </c>
      <c r="E82" s="107" t="str">
        <f t="shared" si="9"/>
        <v/>
      </c>
      <c r="F82" s="125" t="str">
        <f>VLOOKUP(G82,'Swiss Registry'!$A$2:$B$703,2,False)</f>
        <v>GreenCity</v>
      </c>
      <c r="G82" s="140">
        <v>108.0</v>
      </c>
      <c r="H82" s="93" t="s">
        <v>1486</v>
      </c>
      <c r="I82" s="141" t="str">
        <f t="array" ref="I82">XLOOKUP(CELL("contents",B82),'Swiss Registry'!$B$2:$B$703,'Swiss Registry'!$N$2:$N$703) </f>
        <v>173519000842534913</v>
      </c>
      <c r="J82" s="142" t="str">
        <f t="array" ref="J82">XLOOKUP(CELL("contents",F82),'Swiss Registry'!$B$2:$B$703,'Swiss Registry'!$N$2:$N$703) </f>
        <v>SUB</v>
      </c>
    </row>
    <row r="83">
      <c r="A83" s="140">
        <v>71.0</v>
      </c>
      <c r="B83" s="125" t="str">
        <f>VLOOKUP(A83,'Swiss Registry'!$A$2:$B$703,2,False)</f>
        <v>Sanke Carp</v>
      </c>
      <c r="C83" s="105" t="str">
        <f t="shared" si="7"/>
        <v>Game 1</v>
      </c>
      <c r="D83" s="106" t="str">
        <f t="shared" si="8"/>
        <v>Game 2</v>
      </c>
      <c r="E83" s="110" t="str">
        <f t="shared" si="9"/>
        <v>Game 3</v>
      </c>
      <c r="F83" s="125" t="str">
        <f>VLOOKUP(G83,'Swiss Registry'!$A$2:$B$703,2,False)</f>
        <v>aldrichunfaithful</v>
      </c>
      <c r="G83" s="140">
        <v>691.0</v>
      </c>
      <c r="H83" s="93" t="s">
        <v>2884</v>
      </c>
      <c r="I83" s="141" t="str">
        <f t="array" ref="I83">XLOOKUP(CELL("contents",B83),'Swiss Registry'!$B$2:$B$703,'Swiss Registry'!$N$2:$N$703) </f>
        <v>191955347160825856</v>
      </c>
      <c r="J83" s="142" t="str">
        <f t="array" ref="J83">XLOOKUP(CELL("contents",F83),'Swiss Registry'!$B$2:$B$703,'Swiss Registry'!$N$2:$N$703) </f>
        <v>743954201222053955</v>
      </c>
    </row>
    <row r="84">
      <c r="A84" s="140">
        <v>75.0</v>
      </c>
      <c r="B84" s="125" t="str">
        <f>VLOOKUP(A84,'Swiss Registry'!$A$2:$B$703,2,False)</f>
        <v>Marshy</v>
      </c>
      <c r="C84" s="111" t="str">
        <f t="shared" si="7"/>
        <v/>
      </c>
      <c r="D84" s="112" t="str">
        <f t="shared" si="8"/>
        <v>Act: almarkowbender</v>
      </c>
      <c r="E84" s="107" t="str">
        <f t="shared" si="9"/>
        <v/>
      </c>
      <c r="F84" s="125" t="str">
        <f>VLOOKUP(G84,'Swiss Registry'!$A$2:$B$703,2,False)</f>
        <v>almarkowbender</v>
      </c>
      <c r="G84" s="140">
        <v>321.0</v>
      </c>
      <c r="H84" s="93" t="s">
        <v>1523</v>
      </c>
      <c r="I84" s="141" t="str">
        <f t="array" ref="I84">XLOOKUP(CELL("contents",B84),'Swiss Registry'!$B$2:$B$703,'Swiss Registry'!$N$2:$N$703) </f>
        <v>322051190097575947</v>
      </c>
      <c r="J84" s="142" t="str">
        <f t="array" ref="J84">XLOOKUP(CELL("contents",F84),'Swiss Registry'!$B$2:$B$703,'Swiss Registry'!$N$2:$N$703) </f>
        <v>341270044979757056</v>
      </c>
    </row>
    <row r="85">
      <c r="A85" s="140">
        <v>79.0</v>
      </c>
      <c r="B85" s="125" t="str">
        <f>VLOOKUP(A85,'Swiss Registry'!$A$2:$B$703,2,False)</f>
        <v>Buzzed</v>
      </c>
      <c r="C85" s="105" t="str">
        <f t="shared" si="7"/>
        <v>Game 1</v>
      </c>
      <c r="D85" s="106" t="str">
        <f t="shared" si="8"/>
        <v>Game 2</v>
      </c>
      <c r="E85" s="107" t="str">
        <f t="shared" si="9"/>
        <v/>
      </c>
      <c r="F85" s="125" t="str">
        <f>VLOOKUP(G85,'Swiss Registry'!$A$2:$B$703,2,False)</f>
        <v>jankcity</v>
      </c>
      <c r="G85" s="140">
        <v>698.0</v>
      </c>
      <c r="H85" s="93" t="s">
        <v>2885</v>
      </c>
      <c r="I85" s="141" t="str">
        <f t="array" ref="I85">XLOOKUP(CELL("contents",B85),'Swiss Registry'!$B$2:$B$703,'Swiss Registry'!$N$2:$N$703) </f>
        <v>103393211443085312</v>
      </c>
      <c r="J85" s="142" t="str">
        <f t="array" ref="J85">XLOOKUP(CELL("contents",F85),'Swiss Registry'!$B$2:$B$703,'Swiss Registry'!$N$2:$N$703) </f>
        <v>532236765914988557</v>
      </c>
    </row>
    <row r="86">
      <c r="A86" s="140">
        <v>83.0</v>
      </c>
      <c r="B86" s="125" t="str">
        <f>VLOOKUP(A86,'Swiss Registry'!$A$2:$B$703,2,False)</f>
        <v>King Raska</v>
      </c>
      <c r="C86" s="105" t="str">
        <f t="shared" si="7"/>
        <v>Game 1</v>
      </c>
      <c r="D86" s="106" t="str">
        <f t="shared" si="8"/>
        <v>Game 2</v>
      </c>
      <c r="E86" s="110" t="str">
        <f t="shared" si="9"/>
        <v>Game 3</v>
      </c>
      <c r="F86" s="125" t="str">
        <f>VLOOKUP(G86,'Swiss Registry'!$A$2:$B$703,2,False)</f>
        <v>msousa</v>
      </c>
      <c r="G86" s="140">
        <v>512.0</v>
      </c>
      <c r="H86" s="93" t="s">
        <v>2886</v>
      </c>
      <c r="I86" s="141" t="str">
        <f t="array" ref="I86">XLOOKUP(CELL("contents",B86),'Swiss Registry'!$B$2:$B$703,'Swiss Registry'!$N$2:$N$703) </f>
        <v>156914061856997376</v>
      </c>
      <c r="J86" s="142" t="str">
        <f t="array" ref="J86">XLOOKUP(CELL("contents",F86),'Swiss Registry'!$B$2:$B$703,'Swiss Registry'!$N$2:$N$703) </f>
        <v>489109056183599104</v>
      </c>
    </row>
    <row r="87">
      <c r="A87" s="140">
        <v>87.0</v>
      </c>
      <c r="B87" s="125" t="str">
        <f>VLOOKUP(A87,'Swiss Registry'!$A$2:$B$703,2,False)</f>
        <v>Zcarlett</v>
      </c>
      <c r="C87" s="105" t="str">
        <f t="shared" si="7"/>
        <v>Game 1</v>
      </c>
      <c r="D87" s="106" t="str">
        <f t="shared" si="8"/>
        <v>Game 2</v>
      </c>
      <c r="E87" s="110" t="str">
        <f t="shared" si="9"/>
        <v>Game 3</v>
      </c>
      <c r="F87" s="125" t="str">
        <f>VLOOKUP(G87,'Swiss Registry'!$A$2:$B$703,2,False)</f>
        <v>fuckboylenny</v>
      </c>
      <c r="G87" s="140">
        <v>603.0</v>
      </c>
      <c r="H87" s="93" t="s">
        <v>2887</v>
      </c>
      <c r="I87" s="141" t="str">
        <f t="array" ref="I87">XLOOKUP(CELL("contents",B87),'Swiss Registry'!$B$2:$B$703,'Swiss Registry'!$N$2:$N$703) </f>
        <v>513029374392533043</v>
      </c>
      <c r="J87" s="142" t="str">
        <f t="array" ref="J87">XLOOKUP(CELL("contents",F87),'Swiss Registry'!$B$2:$B$703,'Swiss Registry'!$N$2:$N$703) </f>
        <v>1287687998716117037</v>
      </c>
    </row>
    <row r="88">
      <c r="A88" s="140">
        <v>89.0</v>
      </c>
      <c r="B88" s="125" t="str">
        <f>VLOOKUP(A88,'Swiss Registry'!$A$2:$B$703,2,False)</f>
        <v>Alecss</v>
      </c>
      <c r="C88" s="105" t="str">
        <f t="shared" si="7"/>
        <v>Game 1</v>
      </c>
      <c r="D88" s="106" t="str">
        <f t="shared" si="8"/>
        <v>Game 2</v>
      </c>
      <c r="E88" s="110" t="str">
        <f t="shared" si="9"/>
        <v>Game 3</v>
      </c>
      <c r="F88" s="125" t="str">
        <f>VLOOKUP(G88,'Swiss Registry'!$A$2:$B$703,2,False)</f>
        <v>KingWafl</v>
      </c>
      <c r="G88" s="140">
        <v>667.0</v>
      </c>
      <c r="H88" s="93" t="s">
        <v>2888</v>
      </c>
      <c r="I88" s="141" t="str">
        <f t="array" ref="I88">XLOOKUP(CELL("contents",B88),'Swiss Registry'!$B$2:$B$703,'Swiss Registry'!$N$2:$N$703) </f>
        <v>1066130063470374962</v>
      </c>
      <c r="J88" s="142" t="str">
        <f t="array" ref="J88">XLOOKUP(CELL("contents",F88),'Swiss Registry'!$B$2:$B$703,'Swiss Registry'!$N$2:$N$703) </f>
        <v>298196806171492363</v>
      </c>
    </row>
    <row r="89">
      <c r="A89" s="140">
        <v>91.0</v>
      </c>
      <c r="B89" s="125" t="str">
        <f>VLOOKUP(A89,'Swiss Registry'!$A$2:$B$703,2,False)</f>
        <v>Younglemonhope</v>
      </c>
      <c r="C89" s="105" t="str">
        <f t="shared" si="7"/>
        <v>Game 1</v>
      </c>
      <c r="D89" s="106" t="str">
        <f t="shared" si="8"/>
        <v>Game 2</v>
      </c>
      <c r="E89" s="107" t="str">
        <f t="shared" si="9"/>
        <v/>
      </c>
      <c r="F89" s="125" t="str">
        <f>VLOOKUP(G89,'Swiss Registry'!$A$2:$B$703,2,False)</f>
        <v>flareliger</v>
      </c>
      <c r="G89" s="140">
        <v>522.0</v>
      </c>
      <c r="H89" s="93" t="s">
        <v>2889</v>
      </c>
      <c r="I89" s="141" t="str">
        <f t="array" ref="I89">XLOOKUP(CELL("contents",B89),'Swiss Registry'!$B$2:$B$703,'Swiss Registry'!$N$2:$N$703) </f>
        <v>111211333336256512</v>
      </c>
      <c r="J89" s="142" t="str">
        <f t="array" ref="J89">XLOOKUP(CELL("contents",F89),'Swiss Registry'!$B$2:$B$703,'Swiss Registry'!$N$2:$N$703) </f>
        <v>605517695961661523</v>
      </c>
    </row>
    <row r="90">
      <c r="A90" s="140">
        <v>93.0</v>
      </c>
      <c r="B90" s="125" t="str">
        <f>VLOOKUP(A90,'Swiss Registry'!$A$2:$B$703,2,False)</f>
        <v>Shadowtime2000</v>
      </c>
      <c r="C90" s="111" t="str">
        <f t="shared" si="7"/>
        <v/>
      </c>
      <c r="D90" s="112" t="str">
        <f t="shared" si="8"/>
        <v>Act: stolenpaper</v>
      </c>
      <c r="E90" s="107" t="str">
        <f t="shared" si="9"/>
        <v/>
      </c>
      <c r="F90" s="125" t="str">
        <f>VLOOKUP(G90,'Swiss Registry'!$A$2:$B$703,2,False)</f>
        <v>stolenpaper</v>
      </c>
      <c r="G90" s="140">
        <v>513.0</v>
      </c>
      <c r="H90" s="93" t="s">
        <v>1523</v>
      </c>
      <c r="I90" s="141" t="str">
        <f t="array" ref="I90">XLOOKUP(CELL("contents",B90),'Swiss Registry'!$B$2:$B$703,'Swiss Registry'!$N$2:$N$703) </f>
        <v>537051269253300275</v>
      </c>
      <c r="J90" s="142" t="str">
        <f t="array" ref="J90">XLOOKUP(CELL("contents",F90),'Swiss Registry'!$B$2:$B$703,'Swiss Registry'!$N$2:$N$703) </f>
        <v>278063602005573632</v>
      </c>
    </row>
    <row r="91">
      <c r="A91" s="140">
        <v>94.0</v>
      </c>
      <c r="B91" s="125" t="str">
        <f>VLOOKUP(A91,'Swiss Registry'!$A$2:$B$703,2,False)</f>
        <v>ratdogreborn</v>
      </c>
      <c r="C91" s="105" t="str">
        <f t="shared" si="7"/>
        <v>Game 1</v>
      </c>
      <c r="D91" s="106" t="str">
        <f t="shared" si="8"/>
        <v>Game 2</v>
      </c>
      <c r="E91" s="110" t="str">
        <f t="shared" si="9"/>
        <v>Game 3</v>
      </c>
      <c r="F91" s="125" t="str">
        <f>VLOOKUP(G91,'Swiss Registry'!$A$2:$B$703,2,False)</f>
        <v>J0af</v>
      </c>
      <c r="G91" s="140">
        <v>230.0</v>
      </c>
      <c r="H91" s="93" t="s">
        <v>2890</v>
      </c>
      <c r="I91" s="141" t="str">
        <f t="array" ref="I91">XLOOKUP(CELL("contents",B91),'Swiss Registry'!$B$2:$B$703,'Swiss Registry'!$N$2:$N$703) </f>
        <v>197429652208222208</v>
      </c>
      <c r="J91" s="142" t="str">
        <f t="array" ref="J91">XLOOKUP(CELL("contents",F91),'Swiss Registry'!$B$2:$B$703,'Swiss Registry'!$N$2:$N$703) </f>
        <v>144056588959744001</v>
      </c>
    </row>
    <row r="92">
      <c r="A92" s="140">
        <v>96.0</v>
      </c>
      <c r="B92" s="125" t="str">
        <f>VLOOKUP(A92,'Swiss Registry'!$A$2:$B$703,2,False)</f>
        <v>Hinkage</v>
      </c>
      <c r="C92" s="105" t="str">
        <f t="shared" si="7"/>
        <v>Game 1</v>
      </c>
      <c r="D92" s="106" t="str">
        <f t="shared" si="8"/>
        <v>Game 2</v>
      </c>
      <c r="E92" s="107" t="str">
        <f t="shared" si="9"/>
        <v/>
      </c>
      <c r="F92" s="125" t="str">
        <f>VLOOKUP(G92,'Swiss Registry'!$A$2:$B$703,2,False)</f>
        <v>Cream314</v>
      </c>
      <c r="G92" s="140">
        <v>557.0</v>
      </c>
      <c r="H92" s="93" t="s">
        <v>2891</v>
      </c>
      <c r="I92" s="141" t="str">
        <f t="array" ref="I92">XLOOKUP(CELL("contents",B92),'Swiss Registry'!$B$2:$B$703,'Swiss Registry'!$N$2:$N$703) </f>
        <v>252639778036645908</v>
      </c>
      <c r="J92" s="142" t="str">
        <f t="array" ref="J92">XLOOKUP(CELL("contents",F92),'Swiss Registry'!$B$2:$B$703,'Swiss Registry'!$N$2:$N$703) </f>
        <v>272909263205040140</v>
      </c>
    </row>
    <row r="93">
      <c r="A93" s="140">
        <v>99.0</v>
      </c>
      <c r="B93" s="125" t="str">
        <f>VLOOKUP(A93,'Swiss Registry'!$A$2:$B$703,2,False)</f>
        <v>Just_Leo</v>
      </c>
      <c r="C93" s="111" t="str">
        <f t="shared" si="7"/>
        <v/>
      </c>
      <c r="D93" s="112" t="str">
        <f t="shared" si="8"/>
        <v>Act: Just_Leo</v>
      </c>
      <c r="E93" s="107" t="str">
        <f t="shared" si="9"/>
        <v/>
      </c>
      <c r="F93" s="125" t="str">
        <f>VLOOKUP(G93,'Swiss Registry'!$A$2:$B$703,2,False)</f>
        <v>rovels</v>
      </c>
      <c r="G93" s="140">
        <v>193.0</v>
      </c>
      <c r="H93" s="93" t="s">
        <v>1486</v>
      </c>
      <c r="I93" s="141" t="str">
        <f t="array" ref="I93">XLOOKUP(CELL("contents",B93),'Swiss Registry'!$B$2:$B$703,'Swiss Registry'!$N$2:$N$703) </f>
        <v>1136751969478914138</v>
      </c>
      <c r="J93" s="142" t="str">
        <f t="array" ref="J93">XLOOKUP(CELL("contents",F93),'Swiss Registry'!$B$2:$B$703,'Swiss Registry'!$N$2:$N$703) </f>
        <v>213427649148616704</v>
      </c>
    </row>
    <row r="94">
      <c r="A94" s="140">
        <v>100.0</v>
      </c>
      <c r="B94" s="125" t="str">
        <f>VLOOKUP(A94,'Swiss Registry'!$A$2:$B$703,2,False)</f>
        <v>Zinc</v>
      </c>
      <c r="C94" s="111" t="str">
        <f t="shared" si="7"/>
        <v/>
      </c>
      <c r="D94" s="112" t="str">
        <f t="shared" si="8"/>
        <v>Act: Zinc</v>
      </c>
      <c r="E94" s="107" t="str">
        <f t="shared" si="9"/>
        <v/>
      </c>
      <c r="F94" s="125" t="str">
        <f>VLOOKUP(G94,'Swiss Registry'!$A$2:$B$703,2,False)</f>
        <v>Redrame</v>
      </c>
      <c r="G94" s="140">
        <v>318.0</v>
      </c>
      <c r="H94" s="93" t="s">
        <v>1486</v>
      </c>
      <c r="I94" s="141" t="str">
        <f t="array" ref="I94">XLOOKUP(CELL("contents",B94),'Swiss Registry'!$B$2:$B$703,'Swiss Registry'!$N$2:$N$703) </f>
        <v>399291432235696139</v>
      </c>
      <c r="J94" s="142" t="str">
        <f t="array" ref="J94">XLOOKUP(CELL("contents",F94),'Swiss Registry'!$B$2:$B$703,'Swiss Registry'!$N$2:$N$703) </f>
        <v>127968794130907137</v>
      </c>
    </row>
    <row r="95">
      <c r="A95" s="140">
        <v>339.0</v>
      </c>
      <c r="B95" s="125" t="str">
        <f>VLOOKUP(A95,'Swiss Registry'!$A$2:$B$703,2,False)</f>
        <v>Jabba</v>
      </c>
      <c r="C95" s="105" t="str">
        <f t="shared" si="7"/>
        <v>Game 1</v>
      </c>
      <c r="D95" s="106" t="str">
        <f t="shared" si="8"/>
        <v>Game 2</v>
      </c>
      <c r="E95" s="110" t="str">
        <f t="shared" si="9"/>
        <v>Game 3</v>
      </c>
      <c r="F95" s="125" t="str">
        <f>VLOOKUP(G95,'Swiss Registry'!$A$2:$B$703,2,False)</f>
        <v>kalarse</v>
      </c>
      <c r="G95" s="140">
        <v>258.0</v>
      </c>
      <c r="H95" s="93" t="s">
        <v>2892</v>
      </c>
      <c r="I95" s="141" t="str">
        <f t="array" ref="I95">XLOOKUP(CELL("contents",B95),'Swiss Registry'!$B$2:$B$703,'Swiss Registry'!$N$2:$N$703) </f>
        <v>191625883503558656</v>
      </c>
      <c r="J95" s="142" t="str">
        <f t="array" ref="J95">XLOOKUP(CELL("contents",F95),'Swiss Registry'!$B$2:$B$703,'Swiss Registry'!$N$2:$N$703) </f>
        <v>105796893690376192</v>
      </c>
    </row>
    <row r="96">
      <c r="A96" s="140">
        <v>364.0</v>
      </c>
      <c r="B96" s="125" t="str">
        <f>VLOOKUP(A96,'Swiss Registry'!$A$2:$B$703,2,False)</f>
        <v>Psychokinetic4</v>
      </c>
      <c r="C96" s="105" t="str">
        <f t="shared" si="7"/>
        <v>Game 1</v>
      </c>
      <c r="D96" s="106" t="str">
        <f t="shared" si="8"/>
        <v>Game 2</v>
      </c>
      <c r="E96" s="107" t="str">
        <f t="shared" si="9"/>
        <v/>
      </c>
      <c r="F96" s="125" t="str">
        <f>VLOOKUP(G96,'Swiss Registry'!$A$2:$B$703,2,False)</f>
        <v>Fantasmal_.</v>
      </c>
      <c r="G96" s="140">
        <v>515.0</v>
      </c>
      <c r="H96" s="93" t="s">
        <v>2893</v>
      </c>
      <c r="I96" s="141" t="str">
        <f t="array" ref="I96">XLOOKUP(CELL("contents",B96),'Swiss Registry'!$B$2:$B$703,'Swiss Registry'!$N$2:$N$703) </f>
        <v>197151675914518528</v>
      </c>
      <c r="J96" s="142" t="str">
        <f t="array" ref="J96">XLOOKUP(CELL("contents",F96),'Swiss Registry'!$B$2:$B$703,'Swiss Registry'!$N$2:$N$703) </f>
        <v>1232210933489864785</v>
      </c>
    </row>
    <row r="97">
      <c r="A97" s="140">
        <v>402.0</v>
      </c>
      <c r="B97" s="125" t="str">
        <f>VLOOKUP(A97,'Swiss Registry'!$A$2:$B$703,2,False)</f>
        <v>.verb</v>
      </c>
      <c r="C97" s="105" t="str">
        <f t="shared" si="7"/>
        <v>Game 1</v>
      </c>
      <c r="D97" s="106" t="str">
        <f t="shared" si="8"/>
        <v>Game 2</v>
      </c>
      <c r="E97" s="110" t="str">
        <f t="shared" si="9"/>
        <v>Game 3</v>
      </c>
      <c r="F97" s="125" t="str">
        <f>VLOOKUP(G97,'Swiss Registry'!$A$2:$B$703,2,False)</f>
        <v>Basharapplejuice</v>
      </c>
      <c r="G97" s="140">
        <v>140.0</v>
      </c>
      <c r="H97" s="93" t="s">
        <v>2894</v>
      </c>
      <c r="I97" s="141" t="str">
        <f t="array" ref="I97">XLOOKUP(CELL("contents",B97),'Swiss Registry'!$B$2:$B$703,'Swiss Registry'!$N$2:$N$703) </f>
        <v>97926747856580608</v>
      </c>
      <c r="J97" s="142" t="str">
        <f t="array" ref="J97">XLOOKUP(CELL("contents",F97),'Swiss Registry'!$B$2:$B$703,'Swiss Registry'!$N$2:$N$703) </f>
        <v>215651907459481601</v>
      </c>
    </row>
    <row r="98">
      <c r="A98" s="140">
        <v>586.0</v>
      </c>
      <c r="B98" s="125" t="str">
        <f>VLOOKUP(A98,'Swiss Registry'!$A$2:$B$703,2,False)</f>
        <v>Yoink 0</v>
      </c>
      <c r="C98" s="105" t="str">
        <f t="shared" si="7"/>
        <v>Game 1</v>
      </c>
      <c r="D98" s="106" t="str">
        <f t="shared" si="8"/>
        <v>Game 2</v>
      </c>
      <c r="E98" s="110" t="str">
        <f t="shared" si="9"/>
        <v>Game 3</v>
      </c>
      <c r="F98" s="125" t="str">
        <f>VLOOKUP(G98,'Swiss Registry'!$A$2:$B$703,2,False)</f>
        <v>Melee Minion</v>
      </c>
      <c r="G98" s="140">
        <v>319.0</v>
      </c>
      <c r="H98" s="93" t="s">
        <v>2895</v>
      </c>
      <c r="I98" s="141" t="str">
        <f t="array" ref="I98">XLOOKUP(CELL("contents",B98),'Swiss Registry'!$B$2:$B$703,'Swiss Registry'!$N$2:$N$703) </f>
        <v>1139533634194391050</v>
      </c>
      <c r="J98" s="142" t="str">
        <f t="array" ref="J98">XLOOKUP(CELL("contents",F98),'Swiss Registry'!$B$2:$B$703,'Swiss Registry'!$N$2:$N$703) </f>
        <v>140705872316858369</v>
      </c>
    </row>
    <row r="99">
      <c r="A99" s="140">
        <v>249.0</v>
      </c>
      <c r="B99" s="125" t="str">
        <f>VLOOKUP(A99,'Swiss Registry'!$A$2:$B$703,2,False)</f>
        <v>gambling.goddess</v>
      </c>
      <c r="C99" s="105" t="str">
        <f t="shared" si="7"/>
        <v>Game 1</v>
      </c>
      <c r="D99" s="106" t="str">
        <f t="shared" si="8"/>
        <v>Game 2</v>
      </c>
      <c r="E99" s="107" t="str">
        <f t="shared" si="9"/>
        <v/>
      </c>
      <c r="F99" s="125" t="str">
        <f>VLOOKUP(G99,'Swiss Registry'!$A$2:$B$703,2,False)</f>
        <v>ashvinbutduck</v>
      </c>
      <c r="G99" s="140">
        <v>248.0</v>
      </c>
      <c r="H99" s="93" t="s">
        <v>2896</v>
      </c>
      <c r="I99" s="141" t="str">
        <f t="array" ref="I99">XLOOKUP(CELL("contents",B99),'Swiss Registry'!$B$2:$B$703,'Swiss Registry'!$N$2:$N$703) </f>
        <v>1254224283958378530</v>
      </c>
      <c r="J99" s="142" t="str">
        <f t="array" ref="J99">XLOOKUP(CELL("contents",F99),'Swiss Registry'!$B$2:$B$703,'Swiss Registry'!$N$2:$N$703) </f>
        <v>601228993894547479</v>
      </c>
    </row>
    <row r="100">
      <c r="A100" s="140">
        <v>320.0</v>
      </c>
      <c r="B100" s="125" t="str">
        <f>VLOOKUP(A100,'Swiss Registry'!$A$2:$B$703,2,False)</f>
        <v>jerdgerd</v>
      </c>
      <c r="C100" s="105" t="str">
        <f t="shared" si="7"/>
        <v>Game 1</v>
      </c>
      <c r="D100" s="106" t="str">
        <f t="shared" si="8"/>
        <v>Game 2</v>
      </c>
      <c r="E100" s="110" t="str">
        <f t="shared" si="9"/>
        <v>Game 3</v>
      </c>
      <c r="F100" s="125" t="str">
        <f>VLOOKUP(G100,'Swiss Registry'!$A$2:$B$703,2,False)</f>
        <v>med470</v>
      </c>
      <c r="G100" s="140">
        <v>479.0</v>
      </c>
      <c r="H100" s="93" t="s">
        <v>2897</v>
      </c>
      <c r="I100" s="141" t="str">
        <f t="array" ref="I100">XLOOKUP(CELL("contents",B100),'Swiss Registry'!$B$2:$B$703,'Swiss Registry'!$N$2:$N$703) </f>
        <v>253276541948002304</v>
      </c>
      <c r="J100" s="142" t="str">
        <f t="array" ref="J100">XLOOKUP(CELL("contents",F100),'Swiss Registry'!$B$2:$B$703,'Swiss Registry'!$N$2:$N$703) </f>
        <v>187473742010646531</v>
      </c>
    </row>
    <row r="101">
      <c r="A101" s="140">
        <v>474.0</v>
      </c>
      <c r="B101" s="125" t="str">
        <f>VLOOKUP(A101,'Swiss Registry'!$A$2:$B$703,2,False)</f>
        <v>gstrem_</v>
      </c>
      <c r="C101" s="105" t="str">
        <f t="shared" si="7"/>
        <v>Game 1</v>
      </c>
      <c r="D101" s="106" t="str">
        <f t="shared" si="8"/>
        <v>Game 2</v>
      </c>
      <c r="E101" s="110" t="str">
        <f t="shared" si="9"/>
        <v>Game 3</v>
      </c>
      <c r="F101" s="125" t="str">
        <f>VLOOKUP(G101,'Swiss Registry'!$A$2:$B$703,2,False)</f>
        <v>yuramas</v>
      </c>
      <c r="G101" s="140">
        <v>428.0</v>
      </c>
      <c r="H101" s="93" t="s">
        <v>2898</v>
      </c>
      <c r="I101" s="141" t="str">
        <f t="array" ref="I101">XLOOKUP(CELL("contents",B101),'Swiss Registry'!$B$2:$B$703,'Swiss Registry'!$N$2:$N$703) </f>
        <v>575673302429859849</v>
      </c>
      <c r="J101" s="142" t="str">
        <f t="array" ref="J101">XLOOKUP(CELL("contents",F101),'Swiss Registry'!$B$2:$B$703,'Swiss Registry'!$N$2:$N$703) </f>
        <v>551444761064636416</v>
      </c>
    </row>
    <row r="102">
      <c r="A102" s="140">
        <v>283.0</v>
      </c>
      <c r="B102" s="125" t="str">
        <f>VLOOKUP(A102,'Swiss Registry'!$A$2:$B$703,2,False)</f>
        <v>Kydreith33</v>
      </c>
      <c r="C102" s="105" t="str">
        <f t="shared" si="7"/>
        <v>Game 1</v>
      </c>
      <c r="D102" s="106" t="str">
        <f t="shared" si="8"/>
        <v>Game 2</v>
      </c>
      <c r="E102" s="110" t="str">
        <f t="shared" si="9"/>
        <v>Game 3</v>
      </c>
      <c r="F102" s="125" t="str">
        <f>VLOOKUP(G102,'Swiss Registry'!$A$2:$B$703,2,False)</f>
        <v>Simonf</v>
      </c>
      <c r="G102" s="140">
        <v>633.0</v>
      </c>
      <c r="H102" s="93" t="s">
        <v>2899</v>
      </c>
      <c r="I102" s="141" t="str">
        <f t="array" ref="I102">XLOOKUP(CELL("contents",B102),'Swiss Registry'!$B$2:$B$703,'Swiss Registry'!$N$2:$N$703) </f>
        <v>420018683759296513</v>
      </c>
      <c r="J102" s="142" t="str">
        <f t="array" ref="J102">XLOOKUP(CELL("contents",F102),'Swiss Registry'!$B$2:$B$703,'Swiss Registry'!$N$2:$N$703) </f>
        <v>158927868745744385</v>
      </c>
    </row>
    <row r="103">
      <c r="A103" s="140">
        <v>107.0</v>
      </c>
      <c r="B103" s="125" t="str">
        <f>VLOOKUP(A103,'Swiss Registry'!$A$2:$B$703,2,False)</f>
        <v>style_purposes</v>
      </c>
      <c r="C103" s="105" t="str">
        <f t="shared" si="7"/>
        <v>Game 1</v>
      </c>
      <c r="D103" s="106" t="str">
        <f t="shared" si="8"/>
        <v>Game 2</v>
      </c>
      <c r="E103" s="110" t="str">
        <f t="shared" si="9"/>
        <v>Game 3</v>
      </c>
      <c r="F103" s="125" t="str">
        <f>VLOOKUP(G103,'Swiss Registry'!$A$2:$B$703,2,False)</f>
        <v>goldthe1andonly</v>
      </c>
      <c r="G103" s="140">
        <v>468.0</v>
      </c>
      <c r="H103" s="93" t="s">
        <v>2900</v>
      </c>
      <c r="I103" s="141" t="str">
        <f t="array" ref="I103">XLOOKUP(CELL("contents",B103),'Swiss Registry'!$B$2:$B$703,'Swiss Registry'!$N$2:$N$703) </f>
        <v>608850851150430226</v>
      </c>
      <c r="J103" s="142" t="str">
        <f t="array" ref="J103">XLOOKUP(CELL("contents",F103),'Swiss Registry'!$B$2:$B$703,'Swiss Registry'!$N$2:$N$703) </f>
        <v>345724126478073867</v>
      </c>
    </row>
    <row r="104">
      <c r="A104" s="140">
        <v>172.0</v>
      </c>
      <c r="B104" s="125" t="str">
        <f>VLOOKUP(A104,'Swiss Registry'!$A$2:$B$703,2,False)</f>
        <v>Redmoonie</v>
      </c>
      <c r="C104" s="105" t="str">
        <f t="shared" si="7"/>
        <v>Game 1</v>
      </c>
      <c r="D104" s="106" t="str">
        <f t="shared" si="8"/>
        <v>Game 2</v>
      </c>
      <c r="E104" s="107" t="str">
        <f t="shared" si="9"/>
        <v/>
      </c>
      <c r="F104" s="125" t="str">
        <f>VLOOKUP(G104,'Swiss Registry'!$A$2:$B$703,2,False)</f>
        <v>blisy</v>
      </c>
      <c r="G104" s="140">
        <v>127.0</v>
      </c>
      <c r="H104" s="93" t="s">
        <v>2901</v>
      </c>
      <c r="I104" s="141" t="str">
        <f t="array" ref="I104">XLOOKUP(CELL("contents",B104),'Swiss Registry'!$B$2:$B$703,'Swiss Registry'!$N$2:$N$703) </f>
        <v>903044957298909185</v>
      </c>
      <c r="J104" s="142" t="str">
        <f t="array" ref="J104">XLOOKUP(CELL("contents",F104),'Swiss Registry'!$B$2:$B$703,'Swiss Registry'!$N$2:$N$703) </f>
        <v>291688941491322880</v>
      </c>
    </row>
    <row r="105">
      <c r="A105" s="140">
        <v>623.0</v>
      </c>
      <c r="B105" s="125" t="str">
        <f>VLOOKUP(A105,'Swiss Registry'!$A$2:$B$703,2,False)</f>
        <v>cow3492</v>
      </c>
      <c r="C105" s="111" t="str">
        <f t="shared" si="7"/>
        <v/>
      </c>
      <c r="D105" s="112" t="str">
        <f t="shared" si="8"/>
        <v>Act: .lucky_7.</v>
      </c>
      <c r="E105" s="107" t="str">
        <f t="shared" si="9"/>
        <v/>
      </c>
      <c r="F105" s="125" t="str">
        <f>VLOOKUP(G105,'Swiss Registry'!$A$2:$B$703,2,False)</f>
        <v>.lucky_7.</v>
      </c>
      <c r="G105" s="140">
        <v>401.0</v>
      </c>
      <c r="H105" s="93" t="s">
        <v>1523</v>
      </c>
      <c r="I105" s="141" t="str">
        <f t="array" ref="I105">XLOOKUP(CELL("contents",B105),'Swiss Registry'!$B$2:$B$703,'Swiss Registry'!$N$2:$N$703) </f>
        <v>709052801598357585</v>
      </c>
      <c r="J105" s="142" t="str">
        <f t="array" ref="J105">XLOOKUP(CELL("contents",F105),'Swiss Registry'!$B$2:$B$703,'Swiss Registry'!$N$2:$N$703) </f>
        <v>324637010193285121</v>
      </c>
    </row>
    <row r="106">
      <c r="A106" s="140">
        <v>268.0</v>
      </c>
      <c r="B106" s="125" t="str">
        <f>VLOOKUP(A106,'Swiss Registry'!$A$2:$B$703,2,False)</f>
        <v>lucyisafish</v>
      </c>
      <c r="C106" s="105" t="str">
        <f t="shared" si="7"/>
        <v>Game 1</v>
      </c>
      <c r="D106" s="106" t="str">
        <f t="shared" si="8"/>
        <v>Game 2</v>
      </c>
      <c r="E106" s="107" t="str">
        <f t="shared" si="9"/>
        <v/>
      </c>
      <c r="F106" s="125" t="str">
        <f>VLOOKUP(G106,'Swiss Registry'!$A$2:$B$703,2,False)</f>
        <v>tree69420</v>
      </c>
      <c r="G106" s="140">
        <v>177.0</v>
      </c>
      <c r="H106" s="93" t="s">
        <v>2902</v>
      </c>
      <c r="I106" s="141" t="str">
        <f t="array" ref="I106">XLOOKUP(CELL("contents",B106),'Swiss Registry'!$B$2:$B$703,'Swiss Registry'!$N$2:$N$703) </f>
        <v>930202977854193705</v>
      </c>
      <c r="J106" s="142" t="str">
        <f t="array" ref="J106">XLOOKUP(CELL("contents",F106),'Swiss Registry'!$B$2:$B$703,'Swiss Registry'!$N$2:$N$703) </f>
        <v>798958594116419604</v>
      </c>
    </row>
    <row r="107">
      <c r="A107" s="140">
        <v>648.0</v>
      </c>
      <c r="B107" s="125" t="str">
        <f>VLOOKUP(A107,'Swiss Registry'!$A$2:$B$703,2,False)</f>
        <v>Stuckkkk</v>
      </c>
      <c r="C107" s="105" t="str">
        <f t="shared" si="7"/>
        <v>Game 1</v>
      </c>
      <c r="D107" s="106" t="str">
        <f t="shared" si="8"/>
        <v>Game 2</v>
      </c>
      <c r="E107" s="107" t="str">
        <f t="shared" si="9"/>
        <v/>
      </c>
      <c r="F107" s="125" t="str">
        <f>VLOOKUP(G107,'Swiss Registry'!$A$2:$B$703,2,False)</f>
        <v>kinou_pkm</v>
      </c>
      <c r="G107" s="140">
        <v>619.0</v>
      </c>
      <c r="H107" s="93" t="s">
        <v>2903</v>
      </c>
      <c r="I107" s="141" t="str">
        <f t="array" ref="I107">XLOOKUP(CELL("contents",B107),'Swiss Registry'!$B$2:$B$703,'Swiss Registry'!$N$2:$N$703) </f>
        <v>321430793153019924</v>
      </c>
      <c r="J107" s="142" t="str">
        <f t="array" ref="J107">XLOOKUP(CELL("contents",F107),'Swiss Registry'!$B$2:$B$703,'Swiss Registry'!$N$2:$N$703) </f>
        <v>760122389345337405</v>
      </c>
    </row>
    <row r="108">
      <c r="A108" s="140">
        <v>435.0</v>
      </c>
      <c r="B108" s="125" t="str">
        <f>VLOOKUP(A108,'Swiss Registry'!$A$2:$B$703,2,False)</f>
        <v>UnzipsCrogre</v>
      </c>
      <c r="C108" s="105" t="str">
        <f t="shared" si="7"/>
        <v>Game 1</v>
      </c>
      <c r="D108" s="106" t="str">
        <f t="shared" si="8"/>
        <v>Game 2</v>
      </c>
      <c r="E108" s="107" t="str">
        <f t="shared" si="9"/>
        <v/>
      </c>
      <c r="F108" s="125" t="str">
        <f>VLOOKUP(G108,'Swiss Registry'!$A$2:$B$703,2,False)</f>
        <v>Forte_French</v>
      </c>
      <c r="G108" s="140">
        <v>442.0</v>
      </c>
      <c r="H108" s="93" t="s">
        <v>2904</v>
      </c>
      <c r="I108" s="141" t="str">
        <f t="array" ref="I108">XLOOKUP(CELL("contents",B108),'Swiss Registry'!$B$2:$B$703,'Swiss Registry'!$N$2:$N$703) </f>
        <v>168150536862826497</v>
      </c>
      <c r="J108" s="142" t="str">
        <f t="array" ref="J108">XLOOKUP(CELL("contents",F108),'Swiss Registry'!$B$2:$B$703,'Swiss Registry'!$N$2:$N$703) </f>
        <v>345986385502797844</v>
      </c>
    </row>
    <row r="109">
      <c r="A109" s="140">
        <v>694.0</v>
      </c>
      <c r="B109" s="125" t="str">
        <f>VLOOKUP(A109,'Swiss Registry'!$A$2:$B$703,2,False)</f>
        <v>WraxiusGaming</v>
      </c>
      <c r="C109" s="105" t="str">
        <f t="shared" si="7"/>
        <v>Game 1</v>
      </c>
      <c r="D109" s="106" t="str">
        <f t="shared" si="8"/>
        <v>Game 2</v>
      </c>
      <c r="E109" s="110" t="str">
        <f t="shared" si="9"/>
        <v>Game 3</v>
      </c>
      <c r="F109" s="125" t="str">
        <f>VLOOKUP(G109,'Swiss Registry'!$A$2:$B$703,2,False)</f>
        <v>biluv_v</v>
      </c>
      <c r="G109" s="140">
        <v>449.0</v>
      </c>
      <c r="H109" s="93" t="s">
        <v>2905</v>
      </c>
      <c r="I109" s="141" t="str">
        <f t="array" ref="I109">XLOOKUP(CELL("contents",B109),'Swiss Registry'!$B$2:$B$703,'Swiss Registry'!$N$2:$N$703) </f>
        <v>476882845525213184</v>
      </c>
      <c r="J109" s="142" t="str">
        <f t="array" ref="J109">XLOOKUP(CELL("contents",F109),'Swiss Registry'!$B$2:$B$703,'Swiss Registry'!$N$2:$N$703) </f>
        <v>1073292922390319195</v>
      </c>
    </row>
    <row r="110">
      <c r="A110" s="140">
        <v>476.0</v>
      </c>
      <c r="B110" s="125" t="str">
        <f>VLOOKUP(A110,'Swiss Registry'!$A$2:$B$703,2,False)</f>
        <v>Colby2D</v>
      </c>
      <c r="C110" s="105" t="str">
        <f t="shared" si="7"/>
        <v>Game 1</v>
      </c>
      <c r="D110" s="106" t="str">
        <f t="shared" si="8"/>
        <v>Game 2</v>
      </c>
      <c r="E110" s="107" t="str">
        <f t="shared" si="9"/>
        <v/>
      </c>
      <c r="F110" s="125" t="str">
        <f>VLOOKUP(G110,'Swiss Registry'!$A$2:$B$703,2,False)</f>
        <v>Mulikki123</v>
      </c>
      <c r="G110" s="140">
        <v>523.0</v>
      </c>
      <c r="H110" s="93" t="s">
        <v>2906</v>
      </c>
      <c r="I110" s="141" t="str">
        <f t="array" ref="I110">XLOOKUP(CELL("contents",B110),'Swiss Registry'!$B$2:$B$703,'Swiss Registry'!$N$2:$N$703) </f>
        <v>255541617597874176</v>
      </c>
      <c r="J110" s="142" t="str">
        <f t="array" ref="J110">XLOOKUP(CELL("contents",F110),'Swiss Registry'!$B$2:$B$703,'Swiss Registry'!$N$2:$N$703) </f>
        <v>408945189940494339</v>
      </c>
    </row>
    <row r="111" ht="15.0" customHeight="1">
      <c r="A111" s="124"/>
      <c r="B111" s="122"/>
      <c r="C111" s="123"/>
      <c r="D111" s="138" t="s">
        <v>2907</v>
      </c>
      <c r="E111" s="123"/>
      <c r="F111" s="122"/>
      <c r="G111" s="124"/>
      <c r="H111" s="93"/>
      <c r="I111" s="139"/>
      <c r="J111" s="139"/>
    </row>
    <row r="112">
      <c r="A112" s="140">
        <v>304.0</v>
      </c>
      <c r="B112" s="125" t="str">
        <f>VLOOKUP(A112,'Swiss Registry'!$A$2:$B$703,2,False)</f>
        <v>jeem16</v>
      </c>
      <c r="C112" s="111" t="str">
        <f t="shared" ref="C112:C146" si="10">IF(H112="dead","",IF(H112="a:act","",IF(H112="b:act","",IF(ISURL(HYPERLINK(INDIRECT("Importer!B"&amp;MID(H112,2,4)+1,TRUE))),HYPERLINK(INDIRECT("Importer!B"&amp;MID(H112,2,4)+1,TRUE), "Game 1"),""))))</f>
        <v/>
      </c>
      <c r="D112" s="112" t="str">
        <f t="shared" ref="D112:D146" si="11">IF(H112="dead","Dead Game",IF(H112="a:act","Act: "&amp;B112,IF(H112="b:act","Act: "&amp;F112,IF(ISURL(HYPERLINK(INDIRECT("Importer!B"&amp;MID(H112,6,4)+1,TRUE))),HYPERLINK(INDIRECT("Importer!B"&amp;MID(H112,6,4)+1,TRUE), "Game 2"),""))))</f>
        <v>Act: jeem16</v>
      </c>
      <c r="E112" s="107" t="str">
        <f t="shared" ref="E112:E146" si="12">IF(H112="dead","",IF(H112="a:act","",IF(H112="b:act","",IF(ISURL(HYPERLINK(INDIRECT("Importer!B"&amp;MID(H112,10,4)+1,TRUE))),HYPERLINK(INDIRECT("Importer!B"&amp;MID(H112,10,4)+1,TRUE), "Game 3"),""))))</f>
        <v/>
      </c>
      <c r="F112" s="125" t="str">
        <f>VLOOKUP(G112,'Swiss Registry'!$A$2:$B$703,2,False)</f>
        <v>larkindred</v>
      </c>
      <c r="G112" s="140">
        <v>450.0</v>
      </c>
      <c r="H112" s="93" t="s">
        <v>1486</v>
      </c>
      <c r="I112" s="141" t="str">
        <f t="array" ref="I112">XLOOKUP(CELL("contents",B112),'Swiss Registry'!$B$2:$B$703,'Swiss Registry'!$N$2:$N$703) </f>
        <v>137996807513964544</v>
      </c>
      <c r="J112" s="142" t="str">
        <f t="array" ref="J112">XLOOKUP(CELL("contents",F112),'Swiss Registry'!$B$2:$B$703,'Swiss Registry'!$N$2:$N$703) </f>
        <v>519615198294704153</v>
      </c>
    </row>
    <row r="113">
      <c r="A113" s="140">
        <v>377.0</v>
      </c>
      <c r="B113" s="125" t="str">
        <f>VLOOKUP(A113,'Swiss Registry'!$A$2:$B$703,2,False)</f>
        <v>chtx</v>
      </c>
      <c r="C113" s="105" t="str">
        <f t="shared" si="10"/>
        <v>Game 1</v>
      </c>
      <c r="D113" s="106" t="str">
        <f t="shared" si="11"/>
        <v>Game 2</v>
      </c>
      <c r="E113" s="110" t="str">
        <f t="shared" si="12"/>
        <v>Game 3</v>
      </c>
      <c r="F113" s="125" t="str">
        <f>VLOOKUP(G113,'Swiss Registry'!$A$2:$B$703,2,False)</f>
        <v>DonlyPhans</v>
      </c>
      <c r="G113" s="140">
        <v>655.0</v>
      </c>
      <c r="H113" s="93" t="s">
        <v>2908</v>
      </c>
      <c r="I113" s="141" t="str">
        <f t="array" ref="I113">XLOOKUP(CELL("contents",B113),'Swiss Registry'!$B$2:$B$703,'Swiss Registry'!$N$2:$N$703) </f>
        <v>883745894825099354</v>
      </c>
      <c r="J113" s="142" t="str">
        <f t="array" ref="J113">XLOOKUP(CELL("contents",F113),'Swiss Registry'!$B$2:$B$703,'Swiss Registry'!$N$2:$N$703) </f>
        <v>859201439577276416</v>
      </c>
    </row>
    <row r="114">
      <c r="A114" s="140">
        <v>263.0</v>
      </c>
      <c r="B114" s="125" t="str">
        <f>VLOOKUP(A114,'Swiss Registry'!$A$2:$B$703,2,False)</f>
        <v>charku</v>
      </c>
      <c r="C114" s="105" t="str">
        <f t="shared" si="10"/>
        <v>Game 1</v>
      </c>
      <c r="D114" s="106" t="str">
        <f t="shared" si="11"/>
        <v>Game 2</v>
      </c>
      <c r="E114" s="110" t="str">
        <f t="shared" si="12"/>
        <v>Game 3</v>
      </c>
      <c r="F114" s="125" t="str">
        <f>VLOOKUP(G114,'Swiss Registry'!$A$2:$B$703,2,False)</f>
        <v>executive_assistant</v>
      </c>
      <c r="G114" s="140">
        <v>375.0</v>
      </c>
      <c r="H114" s="93" t="s">
        <v>2909</v>
      </c>
      <c r="I114" s="141" t="str">
        <f t="array" ref="I114">XLOOKUP(CELL("contents",B114),'Swiss Registry'!$B$2:$B$703,'Swiss Registry'!$N$2:$N$703) </f>
        <v>492288203596759042</v>
      </c>
      <c r="J114" s="142" t="str">
        <f t="array" ref="J114">XLOOKUP(CELL("contents",F114),'Swiss Registry'!$B$2:$B$703,'Swiss Registry'!$N$2:$N$703) </f>
        <v>446542834766577665</v>
      </c>
    </row>
    <row r="115">
      <c r="A115" s="140">
        <v>121.0</v>
      </c>
      <c r="B115" s="125" t="str">
        <f>VLOOKUP(A115,'Swiss Registry'!$A$2:$B$703,2,False)</f>
        <v>.brever.</v>
      </c>
      <c r="C115" s="105" t="str">
        <f t="shared" si="10"/>
        <v>Game 1</v>
      </c>
      <c r="D115" s="106" t="str">
        <f t="shared" si="11"/>
        <v>Game 2</v>
      </c>
      <c r="E115" s="110" t="str">
        <f t="shared" si="12"/>
        <v>Game 3</v>
      </c>
      <c r="F115" s="125" t="str">
        <f>VLOOKUP(G115,'Swiss Registry'!$A$2:$B$703,2,False)</f>
        <v>tahat_t</v>
      </c>
      <c r="G115" s="140">
        <v>671.0</v>
      </c>
      <c r="H115" s="93" t="s">
        <v>2910</v>
      </c>
      <c r="I115" s="141" t="str">
        <f t="array" ref="I115">XLOOKUP(CELL("contents",B115),'Swiss Registry'!$B$2:$B$703,'Swiss Registry'!$N$2:$N$703) </f>
        <v>215872454222938112</v>
      </c>
      <c r="J115" s="142" t="str">
        <f t="array" ref="J115">XLOOKUP(CELL("contents",F115),'Swiss Registry'!$B$2:$B$703,'Swiss Registry'!$N$2:$N$703) </f>
        <v>1095502363118284891</v>
      </c>
    </row>
    <row r="116">
      <c r="A116" s="140">
        <v>587.0</v>
      </c>
      <c r="B116" s="125" t="str">
        <f>VLOOKUP(A116,'Swiss Registry'!$A$2:$B$703,2,False)</f>
        <v>JCK_ionic</v>
      </c>
      <c r="C116" s="105" t="str">
        <f t="shared" si="10"/>
        <v>Game 1</v>
      </c>
      <c r="D116" s="106" t="str">
        <f t="shared" si="11"/>
        <v>Game 2</v>
      </c>
      <c r="E116" s="110" t="str">
        <f t="shared" si="12"/>
        <v>Game 3</v>
      </c>
      <c r="F116" s="125" t="str">
        <f>VLOOKUP(G116,'Swiss Registry'!$A$2:$B$703,2,False)</f>
        <v>_deacon</v>
      </c>
      <c r="G116" s="140">
        <v>536.0</v>
      </c>
      <c r="H116" s="93" t="s">
        <v>2911</v>
      </c>
      <c r="I116" s="141" t="str">
        <f t="array" ref="I116">XLOOKUP(CELL("contents",B116),'Swiss Registry'!$B$2:$B$703,'Swiss Registry'!$N$2:$N$703) </f>
        <v>285602550345105409</v>
      </c>
      <c r="J116" s="142" t="str">
        <f t="array" ref="J116">XLOOKUP(CELL("contents",F116),'Swiss Registry'!$B$2:$B$703,'Swiss Registry'!$N$2:$N$703) </f>
        <v>193748470564126720</v>
      </c>
    </row>
    <row r="117">
      <c r="A117" s="140">
        <v>576.0</v>
      </c>
      <c r="B117" s="125" t="str">
        <f>VLOOKUP(A117,'Swiss Registry'!$A$2:$B$703,2,False)</f>
        <v>S.k.magnet</v>
      </c>
      <c r="C117" s="105" t="str">
        <f t="shared" si="10"/>
        <v>Game 1</v>
      </c>
      <c r="D117" s="106" t="str">
        <f t="shared" si="11"/>
        <v>Game 2</v>
      </c>
      <c r="E117" s="110" t="str">
        <f t="shared" si="12"/>
        <v>Game 3</v>
      </c>
      <c r="F117" s="125" t="str">
        <f>VLOOKUP(G117,'Swiss Registry'!$A$2:$B$703,2,False)</f>
        <v>I am the Jarl</v>
      </c>
      <c r="G117" s="140">
        <v>220.0</v>
      </c>
      <c r="H117" s="93" t="s">
        <v>2912</v>
      </c>
      <c r="I117" s="141" t="str">
        <f t="array" ref="I117">XLOOKUP(CELL("contents",B117),'Swiss Registry'!$B$2:$B$703,'Swiss Registry'!$N$2:$N$703) </f>
        <v>1147160651219869766</v>
      </c>
      <c r="J117" s="142" t="str">
        <f t="array" ref="J117">XLOOKUP(CELL("contents",F117),'Swiss Registry'!$B$2:$B$703,'Swiss Registry'!$N$2:$N$703) </f>
        <v>800149729161248800</v>
      </c>
    </row>
    <row r="118">
      <c r="A118" s="140">
        <v>198.0</v>
      </c>
      <c r="B118" s="125" t="str">
        <f>VLOOKUP(A118,'Swiss Registry'!$A$2:$B$703,2,False)</f>
        <v>Kenava</v>
      </c>
      <c r="C118" s="105" t="str">
        <f t="shared" si="10"/>
        <v>Game 1</v>
      </c>
      <c r="D118" s="106" t="str">
        <f t="shared" si="11"/>
        <v>Game 2</v>
      </c>
      <c r="E118" s="107" t="str">
        <f t="shared" si="12"/>
        <v/>
      </c>
      <c r="F118" s="125" t="str">
        <f>VLOOKUP(G118,'Swiss Registry'!$A$2:$B$703,2,False)</f>
        <v>sheikhater</v>
      </c>
      <c r="G118" s="140">
        <v>627.0</v>
      </c>
      <c r="H118" s="93" t="s">
        <v>2913</v>
      </c>
      <c r="I118" s="141" t="str">
        <f t="array" ref="I118">XLOOKUP(CELL("contents",B118),'Swiss Registry'!$B$2:$B$703,'Swiss Registry'!$N$2:$N$703) </f>
        <v>727218490024394774</v>
      </c>
      <c r="J118" s="142" t="str">
        <f t="array" ref="J118">XLOOKUP(CELL("contents",F118),'Swiss Registry'!$B$2:$B$703,'Swiss Registry'!$N$2:$N$703) </f>
        <v>355167649497481218</v>
      </c>
    </row>
    <row r="119">
      <c r="A119" s="140">
        <v>131.0</v>
      </c>
      <c r="B119" s="125" t="str">
        <f>VLOOKUP(A119,'Swiss Registry'!$A$2:$B$703,2,False)</f>
        <v>ReavenFTW</v>
      </c>
      <c r="C119" s="105" t="str">
        <f t="shared" si="10"/>
        <v>Game 1</v>
      </c>
      <c r="D119" s="106" t="str">
        <f t="shared" si="11"/>
        <v>Game 2</v>
      </c>
      <c r="E119" s="107" t="str">
        <f t="shared" si="12"/>
        <v/>
      </c>
      <c r="F119" s="125" t="str">
        <f>VLOOKUP(G119,'Swiss Registry'!$A$2:$B$703,2,False)</f>
        <v>Aahaahaah</v>
      </c>
      <c r="G119" s="140">
        <v>429.0</v>
      </c>
      <c r="H119" s="93" t="s">
        <v>2914</v>
      </c>
      <c r="I119" s="141" t="str">
        <f t="array" ref="I119">XLOOKUP(CELL("contents",B119),'Swiss Registry'!$B$2:$B$703,'Swiss Registry'!$N$2:$N$703) </f>
        <v>491685671480721419</v>
      </c>
      <c r="J119" s="142" t="str">
        <f t="array" ref="J119">XLOOKUP(CELL("contents",F119),'Swiss Registry'!$B$2:$B$703,'Swiss Registry'!$N$2:$N$703) </f>
        <v>127698611189448704</v>
      </c>
    </row>
    <row r="120">
      <c r="A120" s="140">
        <v>154.0</v>
      </c>
      <c r="B120" s="125" t="str">
        <f>VLOOKUP(A120,'Swiss Registry'!$A$2:$B$703,2,False)</f>
        <v>Mamakoko</v>
      </c>
      <c r="C120" s="105" t="str">
        <f t="shared" si="10"/>
        <v>Game 1</v>
      </c>
      <c r="D120" s="106" t="str">
        <f t="shared" si="11"/>
        <v>Game 2</v>
      </c>
      <c r="E120" s="110" t="str">
        <f t="shared" si="12"/>
        <v>Game 3</v>
      </c>
      <c r="F120" s="125" t="str">
        <f>VLOOKUP(G120,'Swiss Registry'!$A$2:$B$703,2,False)</f>
        <v>billgatesalt_53189</v>
      </c>
      <c r="G120" s="140">
        <v>271.0</v>
      </c>
      <c r="H120" s="93" t="s">
        <v>2915</v>
      </c>
      <c r="I120" s="141" t="str">
        <f t="array" ref="I120">XLOOKUP(CELL("contents",B120),'Swiss Registry'!$B$2:$B$703,'Swiss Registry'!$N$2:$N$703) </f>
        <v>652184640559382538</v>
      </c>
      <c r="J120" s="142" t="str">
        <f t="array" ref="J120">XLOOKUP(CELL("contents",F120),'Swiss Registry'!$B$2:$B$703,'Swiss Registry'!$N$2:$N$703) </f>
        <v>1288299733126746152</v>
      </c>
    </row>
    <row r="121">
      <c r="A121" s="140">
        <v>630.0</v>
      </c>
      <c r="B121" s="125" t="str">
        <f>VLOOKUP(A121,'Swiss Registry'!$A$2:$B$703,2,False)</f>
        <v>dustyfans</v>
      </c>
      <c r="C121" s="105" t="str">
        <f t="shared" si="10"/>
        <v>Game 1</v>
      </c>
      <c r="D121" s="106" t="str">
        <f t="shared" si="11"/>
        <v>Game 2</v>
      </c>
      <c r="E121" s="110" t="str">
        <f t="shared" si="12"/>
        <v>Game 3</v>
      </c>
      <c r="F121" s="125" t="str">
        <f>VLOOKUP(G121,'Swiss Registry'!$A$2:$B$703,2,False)</f>
        <v>Salamaster</v>
      </c>
      <c r="G121" s="140">
        <v>669.0</v>
      </c>
      <c r="H121" s="93" t="s">
        <v>2916</v>
      </c>
      <c r="I121" s="141" t="str">
        <f t="array" ref="I121">XLOOKUP(CELL("contents",B121),'Swiss Registry'!$B$2:$B$703,'Swiss Registry'!$N$2:$N$703) </f>
        <v>325004772493230092</v>
      </c>
      <c r="J121" s="142" t="str">
        <f t="array" ref="J121">XLOOKUP(CELL("contents",F121),'Swiss Registry'!$B$2:$B$703,'Swiss Registry'!$N$2:$N$703) </f>
        <v>188476137071050752</v>
      </c>
    </row>
    <row r="122">
      <c r="A122" s="140">
        <v>210.0</v>
      </c>
      <c r="B122" s="125" t="str">
        <f>VLOOKUP(A122,'Swiss Registry'!$A$2:$B$703,2,False)</f>
        <v>TacCat</v>
      </c>
      <c r="C122" s="105" t="str">
        <f t="shared" si="10"/>
        <v>Game 1</v>
      </c>
      <c r="D122" s="106" t="str">
        <f t="shared" si="11"/>
        <v>Game 2</v>
      </c>
      <c r="E122" s="110" t="str">
        <f t="shared" si="12"/>
        <v>Game 3</v>
      </c>
      <c r="F122" s="125" t="str">
        <f>VLOOKUP(G122,'Swiss Registry'!$A$2:$B$703,2,False)</f>
        <v>nadiddhrabb</v>
      </c>
      <c r="G122" s="140">
        <v>336.0</v>
      </c>
      <c r="H122" s="93" t="s">
        <v>2917</v>
      </c>
      <c r="I122" s="141" t="str">
        <f t="array" ref="I122">XLOOKUP(CELL("contents",B122),'Swiss Registry'!$B$2:$B$703,'Swiss Registry'!$N$2:$N$703) </f>
        <v>209102896740958208</v>
      </c>
      <c r="J122" s="142" t="str">
        <f t="array" ref="J122">XLOOKUP(CELL("contents",F122),'Swiss Registry'!$B$2:$B$703,'Swiss Registry'!$N$2:$N$703) </f>
        <v>708579140605050922</v>
      </c>
    </row>
    <row r="123">
      <c r="A123" s="140">
        <v>618.0</v>
      </c>
      <c r="B123" s="125" t="str">
        <f>VLOOKUP(A123,'Swiss Registry'!$A$2:$B$703,2,False)</f>
        <v>wolfturds</v>
      </c>
      <c r="C123" s="105" t="str">
        <f t="shared" si="10"/>
        <v>Game 1</v>
      </c>
      <c r="D123" s="106" t="str">
        <f t="shared" si="11"/>
        <v>Game 2</v>
      </c>
      <c r="E123" s="107" t="str">
        <f t="shared" si="12"/>
        <v/>
      </c>
      <c r="F123" s="125" t="str">
        <f>VLOOKUP(G123,'Swiss Registry'!$A$2:$B$703,2,False)</f>
        <v>anashensoul</v>
      </c>
      <c r="G123" s="140">
        <v>155.0</v>
      </c>
      <c r="H123" s="93" t="s">
        <v>2918</v>
      </c>
      <c r="I123" s="141" t="str">
        <f t="array" ref="I123">XLOOKUP(CELL("contents",B123),'Swiss Registry'!$B$2:$B$703,'Swiss Registry'!$N$2:$N$703) </f>
        <v>305122620498509824</v>
      </c>
      <c r="J123" s="142" t="str">
        <f t="array" ref="J123">XLOOKUP(CELL("contents",F123),'Swiss Registry'!$B$2:$B$703,'Swiss Registry'!$N$2:$N$703) </f>
        <v>212292910882750466</v>
      </c>
    </row>
    <row r="124">
      <c r="A124" s="140">
        <v>215.0</v>
      </c>
      <c r="B124" s="125" t="str">
        <f>VLOOKUP(A124,'Swiss Registry'!$A$2:$B$703,2,False)</f>
        <v>Axselo</v>
      </c>
      <c r="C124" s="105" t="str">
        <f t="shared" si="10"/>
        <v>Game 1</v>
      </c>
      <c r="D124" s="106" t="str">
        <f t="shared" si="11"/>
        <v>Game 2</v>
      </c>
      <c r="E124" s="107" t="str">
        <f t="shared" si="12"/>
        <v/>
      </c>
      <c r="F124" s="125" t="str">
        <f>VLOOKUP(G124,'Swiss Registry'!$A$2:$B$703,2,False)</f>
        <v>SoCalSon</v>
      </c>
      <c r="G124" s="140">
        <v>457.0</v>
      </c>
      <c r="H124" s="93" t="s">
        <v>2919</v>
      </c>
      <c r="I124" s="141" t="str">
        <f t="array" ref="I124">XLOOKUP(CELL("contents",B124),'Swiss Registry'!$B$2:$B$703,'Swiss Registry'!$N$2:$N$703) </f>
        <v>627180078048215060</v>
      </c>
      <c r="J124" s="142" t="str">
        <f t="array" ref="J124">XLOOKUP(CELL("contents",F124),'Swiss Registry'!$B$2:$B$703,'Swiss Registry'!$N$2:$N$703) </f>
        <v>468130505280192512</v>
      </c>
    </row>
    <row r="125">
      <c r="A125" s="140">
        <v>224.0</v>
      </c>
      <c r="B125" s="125" t="str">
        <f>VLOOKUP(A125,'Swiss Registry'!$A$2:$B$703,2,False)</f>
        <v>vy_apostrophe</v>
      </c>
      <c r="C125" s="105" t="str">
        <f t="shared" si="10"/>
        <v>Game 1</v>
      </c>
      <c r="D125" s="106" t="str">
        <f t="shared" si="11"/>
        <v>Game 2</v>
      </c>
      <c r="E125" s="107" t="str">
        <f t="shared" si="12"/>
        <v/>
      </c>
      <c r="F125" s="125" t="str">
        <f>VLOOKUP(G125,'Swiss Registry'!$A$2:$B$703,2,False)</f>
        <v>Attazer</v>
      </c>
      <c r="G125" s="140">
        <v>260.0</v>
      </c>
      <c r="H125" s="93" t="s">
        <v>2920</v>
      </c>
      <c r="I125" s="141" t="str">
        <f t="array" ref="I125">XLOOKUP(CELL("contents",B125),'Swiss Registry'!$B$2:$B$703,'Swiss Registry'!$N$2:$N$703) </f>
        <v>739260362091659315</v>
      </c>
      <c r="J125" s="142" t="str">
        <f t="array" ref="J125">XLOOKUP(CELL("contents",F125),'Swiss Registry'!$B$2:$B$703,'Swiss Registry'!$N$2:$N$703) </f>
        <v>240653064753774592</v>
      </c>
    </row>
    <row r="126">
      <c r="A126" s="140">
        <v>448.0</v>
      </c>
      <c r="B126" s="125" t="str">
        <f>VLOOKUP(A126,'Swiss Registry'!$A$2:$B$703,2,False)</f>
        <v>egocheck</v>
      </c>
      <c r="C126" s="105" t="str">
        <f t="shared" si="10"/>
        <v>Game 1</v>
      </c>
      <c r="D126" s="106" t="str">
        <f t="shared" si="11"/>
        <v>Game 2</v>
      </c>
      <c r="E126" s="107" t="str">
        <f t="shared" si="12"/>
        <v/>
      </c>
      <c r="F126" s="125" t="str">
        <f>VLOOKUP(G126,'Swiss Registry'!$A$2:$B$703,2,False)</f>
        <v>nekuyagokoro</v>
      </c>
      <c r="G126" s="140">
        <v>179.0</v>
      </c>
      <c r="H126" s="93" t="s">
        <v>2921</v>
      </c>
      <c r="I126" s="141" t="str">
        <f t="array" ref="I126">XLOOKUP(CELL("contents",B126),'Swiss Registry'!$B$2:$B$703,'Swiss Registry'!$N$2:$N$703) </f>
        <v>352554361001345026</v>
      </c>
      <c r="J126" s="142" t="str">
        <f t="array" ref="J126">XLOOKUP(CELL("contents",F126),'Swiss Registry'!$B$2:$B$703,'Swiss Registry'!$N$2:$N$703) </f>
        <v>138449766794133504</v>
      </c>
    </row>
    <row r="127">
      <c r="A127" s="140">
        <v>535.0</v>
      </c>
      <c r="B127" s="125" t="str">
        <f>VLOOKUP(A127,'Swiss Registry'!$A$2:$B$703,2,False)</f>
        <v>scootymcbooty123</v>
      </c>
      <c r="C127" s="105" t="str">
        <f t="shared" si="10"/>
        <v>Game 1</v>
      </c>
      <c r="D127" s="106" t="str">
        <f t="shared" si="11"/>
        <v>Game 2</v>
      </c>
      <c r="E127" s="107" t="str">
        <f t="shared" si="12"/>
        <v/>
      </c>
      <c r="F127" s="125" t="str">
        <f>VLOOKUP(G127,'Swiss Registry'!$A$2:$B$703,2,False)</f>
        <v>Drby</v>
      </c>
      <c r="G127" s="140">
        <v>579.0</v>
      </c>
      <c r="H127" s="93" t="s">
        <v>2922</v>
      </c>
      <c r="I127" s="141" t="str">
        <f t="array" ref="I127">XLOOKUP(CELL("contents",B127),'Swiss Registry'!$B$2:$B$703,'Swiss Registry'!$N$2:$N$703) </f>
        <v>1016157273816584242</v>
      </c>
      <c r="J127" s="142" t="str">
        <f t="array" ref="J127">XLOOKUP(CELL("contents",F127),'Swiss Registry'!$B$2:$B$703,'Swiss Registry'!$N$2:$N$703) </f>
        <v>246760558680997888</v>
      </c>
    </row>
    <row r="128">
      <c r="A128" s="140">
        <v>206.0</v>
      </c>
      <c r="B128" s="125" t="str">
        <f>VLOOKUP(A128,'Swiss Registry'!$A$2:$B$703,2,False)</f>
        <v>ccgeek_</v>
      </c>
      <c r="C128" s="105" t="str">
        <f t="shared" si="10"/>
        <v>Game 1</v>
      </c>
      <c r="D128" s="106" t="str">
        <f t="shared" si="11"/>
        <v>Game 2</v>
      </c>
      <c r="E128" s="107" t="str">
        <f t="shared" si="12"/>
        <v/>
      </c>
      <c r="F128" s="125" t="str">
        <f>VLOOKUP(G128,'Swiss Registry'!$A$2:$B$703,2,False)</f>
        <v>crustaceus</v>
      </c>
      <c r="G128" s="140">
        <v>574.0</v>
      </c>
      <c r="H128" s="93" t="s">
        <v>2923</v>
      </c>
      <c r="I128" s="141" t="str">
        <f t="array" ref="I128">XLOOKUP(CELL("contents",B128),'Swiss Registry'!$B$2:$B$703,'Swiss Registry'!$N$2:$N$703) </f>
        <v>861286170708279336</v>
      </c>
      <c r="J128" s="142" t="str">
        <f t="array" ref="J128">XLOOKUP(CELL("contents",F128),'Swiss Registry'!$B$2:$B$703,'Swiss Registry'!$N$2:$N$703) </f>
        <v>119952719183216640</v>
      </c>
    </row>
    <row r="129">
      <c r="A129" s="140">
        <v>519.0</v>
      </c>
      <c r="B129" s="125" t="str">
        <f>VLOOKUP(A129,'Swiss Registry'!$A$2:$B$703,2,False)</f>
        <v>elysyr</v>
      </c>
      <c r="C129" s="105" t="str">
        <f t="shared" si="10"/>
        <v>Game 1</v>
      </c>
      <c r="D129" s="106" t="str">
        <f t="shared" si="11"/>
        <v>Game 2</v>
      </c>
      <c r="E129" s="110" t="str">
        <f t="shared" si="12"/>
        <v>Game 3</v>
      </c>
      <c r="F129" s="125" t="str">
        <f>VLOOKUP(G129,'Swiss Registry'!$A$2:$B$703,2,False)</f>
        <v>incognidoqueen</v>
      </c>
      <c r="G129" s="140">
        <v>597.0</v>
      </c>
      <c r="H129" s="93" t="s">
        <v>2924</v>
      </c>
      <c r="I129" s="141" t="str">
        <f t="array" ref="I129">XLOOKUP(CELL("contents",B129),'Swiss Registry'!$B$2:$B$703,'Swiss Registry'!$N$2:$N$703) </f>
        <v>1252241314897068095</v>
      </c>
      <c r="J129" s="142" t="str">
        <f t="array" ref="J129">XLOOKUP(CELL("contents",F129),'Swiss Registry'!$B$2:$B$703,'Swiss Registry'!$N$2:$N$703) </f>
        <v>425232168743075841</v>
      </c>
    </row>
    <row r="130">
      <c r="A130" s="140">
        <v>585.0</v>
      </c>
      <c r="B130" s="125" t="str">
        <f>VLOOKUP(A130,'Swiss Registry'!$A$2:$B$703,2,False)</f>
        <v>Goose824</v>
      </c>
      <c r="C130" s="111" t="str">
        <f t="shared" si="10"/>
        <v/>
      </c>
      <c r="D130" s="112" t="str">
        <f t="shared" si="11"/>
        <v>Act: kvistsivk</v>
      </c>
      <c r="E130" s="107" t="str">
        <f t="shared" si="12"/>
        <v/>
      </c>
      <c r="F130" s="125" t="str">
        <f>VLOOKUP(G130,'Swiss Registry'!$A$2:$B$703,2,False)</f>
        <v>kvistsivk</v>
      </c>
      <c r="G130" s="140">
        <v>169.0</v>
      </c>
      <c r="H130" s="93" t="s">
        <v>1523</v>
      </c>
      <c r="I130" s="141" t="str">
        <f t="array" ref="I130">XLOOKUP(CELL("contents",B130),'Swiss Registry'!$B$2:$B$703,'Swiss Registry'!$N$2:$N$703) </f>
        <v>260566711202218005</v>
      </c>
      <c r="J130" s="142" t="str">
        <f t="array" ref="J130">XLOOKUP(CELL("contents",F130),'Swiss Registry'!$B$2:$B$703,'Swiss Registry'!$N$2:$N$703) </f>
        <v>1168036455071875245</v>
      </c>
    </row>
    <row r="131">
      <c r="A131" s="140">
        <v>481.0</v>
      </c>
      <c r="B131" s="125" t="str">
        <f>VLOOKUP(A131,'Swiss Registry'!$A$2:$B$703,2,False)</f>
        <v>SentientSanchez</v>
      </c>
      <c r="C131" s="105" t="str">
        <f t="shared" si="10"/>
        <v>Game 1</v>
      </c>
      <c r="D131" s="106" t="str">
        <f t="shared" si="11"/>
        <v>Game 2</v>
      </c>
      <c r="E131" s="110" t="str">
        <f t="shared" si="12"/>
        <v>Game 3</v>
      </c>
      <c r="F131" s="125" t="str">
        <f>VLOOKUP(G131,'Swiss Registry'!$A$2:$B$703,2,False)</f>
        <v>air602</v>
      </c>
      <c r="G131" s="140">
        <v>372.0</v>
      </c>
      <c r="H131" s="93" t="s">
        <v>2925</v>
      </c>
      <c r="I131" s="141" t="str">
        <f t="array" ref="I131">XLOOKUP(CELL("contents",B131),'Swiss Registry'!$B$2:$B$703,'Swiss Registry'!$N$2:$N$703) </f>
        <v>730510085079433268</v>
      </c>
      <c r="J131" s="142" t="str">
        <f t="array" ref="J131">XLOOKUP(CELL("contents",F131),'Swiss Registry'!$B$2:$B$703,'Swiss Registry'!$N$2:$N$703) </f>
        <v>336743385945735171</v>
      </c>
    </row>
    <row r="132">
      <c r="A132" s="140">
        <v>118.0</v>
      </c>
      <c r="B132" s="125" t="str">
        <f>VLOOKUP(A132,'Swiss Registry'!$A$2:$B$703,2,False)</f>
        <v>cashzachary</v>
      </c>
      <c r="C132" s="105" t="str">
        <f t="shared" si="10"/>
        <v>Game 1</v>
      </c>
      <c r="D132" s="106" t="str">
        <f t="shared" si="11"/>
        <v>Game 2</v>
      </c>
      <c r="E132" s="107" t="str">
        <f t="shared" si="12"/>
        <v/>
      </c>
      <c r="F132" s="125" t="str">
        <f>VLOOKUP(G132,'Swiss Registry'!$A$2:$B$703,2,False)</f>
        <v>Lhions</v>
      </c>
      <c r="G132" s="140">
        <v>556.0</v>
      </c>
      <c r="H132" s="93" t="s">
        <v>2926</v>
      </c>
      <c r="I132" s="141" t="str">
        <f t="array" ref="I132">XLOOKUP(CELL("contents",B132),'Swiss Registry'!$B$2:$B$703,'Swiss Registry'!$N$2:$N$703) </f>
        <v>1238981053226549308</v>
      </c>
      <c r="J132" s="142" t="str">
        <f t="array" ref="J132">XLOOKUP(CELL("contents",F132),'Swiss Registry'!$B$2:$B$703,'Swiss Registry'!$N$2:$N$703) </f>
        <v>220957448066957312</v>
      </c>
    </row>
    <row r="133">
      <c r="A133" s="140">
        <v>389.0</v>
      </c>
      <c r="B133" s="125" t="str">
        <f>VLOOKUP(A133,'Swiss Registry'!$A$2:$B$703,2,False)</f>
        <v>Cyber-DJ</v>
      </c>
      <c r="C133" s="105" t="str">
        <f t="shared" si="10"/>
        <v>Game 1</v>
      </c>
      <c r="D133" s="106" t="str">
        <f t="shared" si="11"/>
        <v>Game 2</v>
      </c>
      <c r="E133" s="107" t="str">
        <f t="shared" si="12"/>
        <v/>
      </c>
      <c r="F133" s="125" t="str">
        <f>VLOOKUP(G133,'Swiss Registry'!$A$2:$B$703,2,False)</f>
        <v>Fierros47</v>
      </c>
      <c r="G133" s="140">
        <v>608.0</v>
      </c>
      <c r="H133" s="93" t="s">
        <v>2927</v>
      </c>
      <c r="I133" s="141" t="str">
        <f t="array" ref="I133">XLOOKUP(CELL("contents",B133),'Swiss Registry'!$B$2:$B$703,'Swiss Registry'!$N$2:$N$703) </f>
        <v>1217308528272871476</v>
      </c>
      <c r="J133" s="142" t="str">
        <f t="array" ref="J133">XLOOKUP(CELL("contents",F133),'Swiss Registry'!$B$2:$B$703,'Swiss Registry'!$N$2:$N$703) </f>
        <v>348679052720078850</v>
      </c>
    </row>
    <row r="134">
      <c r="A134" s="140">
        <v>355.0</v>
      </c>
      <c r="B134" s="125" t="str">
        <f>VLOOKUP(A134,'Swiss Registry'!$A$2:$B$703,2,False)</f>
        <v>Sorenkazer</v>
      </c>
      <c r="C134" s="105" t="str">
        <f t="shared" si="10"/>
        <v>Game 1</v>
      </c>
      <c r="D134" s="106" t="str">
        <f t="shared" si="11"/>
        <v>Game 2</v>
      </c>
      <c r="E134" s="107" t="str">
        <f t="shared" si="12"/>
        <v/>
      </c>
      <c r="F134" s="125" t="str">
        <f>VLOOKUP(G134,'Swiss Registry'!$A$2:$B$703,2,False)</f>
        <v>Microsoft_J</v>
      </c>
      <c r="G134" s="140">
        <v>625.0</v>
      </c>
      <c r="H134" s="93" t="s">
        <v>2928</v>
      </c>
      <c r="I134" s="141" t="str">
        <f t="array" ref="I134">XLOOKUP(CELL("contents",B134),'Swiss Registry'!$B$2:$B$703,'Swiss Registry'!$N$2:$N$703) </f>
        <v>245004928748224513</v>
      </c>
      <c r="J134" s="142" t="str">
        <f t="array" ref="J134">XLOOKUP(CELL("contents",F134),'Swiss Registry'!$B$2:$B$703,'Swiss Registry'!$N$2:$N$703) </f>
        <v>178809494728343552</v>
      </c>
    </row>
    <row r="135">
      <c r="A135" s="140">
        <v>602.0</v>
      </c>
      <c r="B135" s="125" t="str">
        <f>VLOOKUP(A135,'Swiss Registry'!$A$2:$B$703,2,False)</f>
        <v>zoyotte</v>
      </c>
      <c r="C135" s="105" t="str">
        <f t="shared" si="10"/>
        <v>Game 1</v>
      </c>
      <c r="D135" s="106" t="str">
        <f t="shared" si="11"/>
        <v>Game 2</v>
      </c>
      <c r="E135" s="107" t="str">
        <f t="shared" si="12"/>
        <v/>
      </c>
      <c r="F135" s="125" t="str">
        <f>VLOOKUP(G135,'Swiss Registry'!$A$2:$B$703,2,False)</f>
        <v>Scrigman</v>
      </c>
      <c r="G135" s="140">
        <v>150.0</v>
      </c>
      <c r="H135" s="93" t="s">
        <v>2929</v>
      </c>
      <c r="I135" s="141" t="str">
        <f t="array" ref="I135">XLOOKUP(CELL("contents",B135),'Swiss Registry'!$B$2:$B$703,'Swiss Registry'!$N$2:$N$703) </f>
        <v>429574111350489088</v>
      </c>
      <c r="J135" s="142" t="str">
        <f t="array" ref="J135">XLOOKUP(CELL("contents",F135),'Swiss Registry'!$B$2:$B$703,'Swiss Registry'!$N$2:$N$703) </f>
        <v>211942228153597952</v>
      </c>
    </row>
    <row r="136">
      <c r="A136" s="140">
        <v>463.0</v>
      </c>
      <c r="B136" s="125" t="str">
        <f>VLOOKUP(A136,'Swiss Registry'!$A$2:$B$703,2,False)</f>
        <v>thegreatest23</v>
      </c>
      <c r="C136" s="105" t="str">
        <f t="shared" si="10"/>
        <v>Game 1</v>
      </c>
      <c r="D136" s="106" t="str">
        <f t="shared" si="11"/>
        <v>Game 2</v>
      </c>
      <c r="E136" s="107" t="str">
        <f t="shared" si="12"/>
        <v/>
      </c>
      <c r="F136" s="125" t="str">
        <f>VLOOKUP(G136,'Swiss Registry'!$A$2:$B$703,2,False)</f>
        <v>busyboi</v>
      </c>
      <c r="G136" s="140">
        <v>475.0</v>
      </c>
      <c r="H136" s="93" t="s">
        <v>2930</v>
      </c>
      <c r="I136" s="141" t="str">
        <f t="array" ref="I136">XLOOKUP(CELL("contents",B136),'Swiss Registry'!$B$2:$B$703,'Swiss Registry'!$N$2:$N$703) </f>
        <v>477886359105961995</v>
      </c>
      <c r="J136" s="142" t="str">
        <f t="array" ref="J136">XLOOKUP(CELL("contents",F136),'Swiss Registry'!$B$2:$B$703,'Swiss Registry'!$N$2:$N$703) </f>
        <v>170563297433747457</v>
      </c>
    </row>
    <row r="137">
      <c r="A137" s="140">
        <v>679.0</v>
      </c>
      <c r="B137" s="125" t="str">
        <f>VLOOKUP(A137,'Swiss Registry'!$A$2:$B$703,2,False)</f>
        <v>bydy2</v>
      </c>
      <c r="C137" s="105" t="str">
        <f t="shared" si="10"/>
        <v>Game 1</v>
      </c>
      <c r="D137" s="106" t="str">
        <f t="shared" si="11"/>
        <v>Game 2</v>
      </c>
      <c r="E137" s="110" t="str">
        <f t="shared" si="12"/>
        <v>Game 3</v>
      </c>
      <c r="F137" s="125" t="str">
        <f>VLOOKUP(G137,'Swiss Registry'!$A$2:$B$703,2,False)</f>
        <v>Leeto64</v>
      </c>
      <c r="G137" s="140">
        <v>614.0</v>
      </c>
      <c r="H137" s="93" t="s">
        <v>2931</v>
      </c>
      <c r="I137" s="141" t="str">
        <f t="array" ref="I137">XLOOKUP(CELL("contents",B137),'Swiss Registry'!$B$2:$B$703,'Swiss Registry'!$N$2:$N$703) </f>
        <v>245276997687836672</v>
      </c>
      <c r="J137" s="142" t="str">
        <f t="array" ref="J137">XLOOKUP(CELL("contents",F137),'Swiss Registry'!$B$2:$B$703,'Swiss Registry'!$N$2:$N$703) </f>
        <v>170563833054625792</v>
      </c>
    </row>
    <row r="138">
      <c r="A138" s="140">
        <v>578.0</v>
      </c>
      <c r="B138" s="125" t="str">
        <f>VLOOKUP(A138,'Swiss Registry'!$A$2:$B$703,2,False)</f>
        <v>_rekkzz_</v>
      </c>
      <c r="C138" s="105" t="str">
        <f t="shared" si="10"/>
        <v>Game 1</v>
      </c>
      <c r="D138" s="106" t="str">
        <f t="shared" si="11"/>
        <v>Game 2</v>
      </c>
      <c r="E138" s="107" t="str">
        <f t="shared" si="12"/>
        <v/>
      </c>
      <c r="F138" s="125" t="str">
        <f>VLOOKUP(G138,'Swiss Registry'!$A$2:$B$703,2,False)</f>
        <v>Melninja</v>
      </c>
      <c r="G138" s="140">
        <v>510.0</v>
      </c>
      <c r="H138" s="93" t="s">
        <v>2932</v>
      </c>
      <c r="I138" s="141" t="str">
        <f t="array" ref="I138">XLOOKUP(CELL("contents",B138),'Swiss Registry'!$B$2:$B$703,'Swiss Registry'!$N$2:$N$703) </f>
        <v>1066999557575147581</v>
      </c>
      <c r="J138" s="142" t="str">
        <f t="array" ref="J138">XLOOKUP(CELL("contents",F138),'Swiss Registry'!$B$2:$B$703,'Swiss Registry'!$N$2:$N$703) </f>
        <v>303553097584607249</v>
      </c>
    </row>
    <row r="139">
      <c r="A139" s="140">
        <v>216.0</v>
      </c>
      <c r="B139" s="125" t="str">
        <f>VLOOKUP(A139,'Swiss Registry'!$A$2:$B$703,2,False)</f>
        <v>jahim_</v>
      </c>
      <c r="C139" s="105" t="str">
        <f t="shared" si="10"/>
        <v>Game 1</v>
      </c>
      <c r="D139" s="106" t="str">
        <f t="shared" si="11"/>
        <v>Game 2</v>
      </c>
      <c r="E139" s="107" t="str">
        <f t="shared" si="12"/>
        <v/>
      </c>
      <c r="F139" s="125" t="str">
        <f>VLOOKUP(G139,'Swiss Registry'!$A$2:$B$703,2,False)</f>
        <v>JoJ</v>
      </c>
      <c r="G139" s="140">
        <v>252.0</v>
      </c>
      <c r="H139" s="93" t="s">
        <v>2933</v>
      </c>
      <c r="I139" s="141" t="str">
        <f t="array" ref="I139">XLOOKUP(CELL("contents",B139),'Swiss Registry'!$B$2:$B$703,'Swiss Registry'!$N$2:$N$703) </f>
        <v>663747291709964321</v>
      </c>
      <c r="J139" s="142" t="str">
        <f t="array" ref="J139">XLOOKUP(CELL("contents",F139),'Swiss Registry'!$B$2:$B$703,'Swiss Registry'!$N$2:$N$703) </f>
        <v>275292063417892865</v>
      </c>
    </row>
    <row r="140">
      <c r="A140" s="140">
        <v>337.0</v>
      </c>
      <c r="B140" s="125" t="str">
        <f>VLOOKUP(A140,'Swiss Registry'!$A$2:$B$703,2,False)</f>
        <v>iNeedJuuce</v>
      </c>
      <c r="C140" s="105" t="str">
        <f t="shared" si="10"/>
        <v>Game 1</v>
      </c>
      <c r="D140" s="106" t="str">
        <f t="shared" si="11"/>
        <v>Game 2</v>
      </c>
      <c r="E140" s="107" t="str">
        <f t="shared" si="12"/>
        <v/>
      </c>
      <c r="F140" s="125" t="str">
        <f>VLOOKUP(G140,'Swiss Registry'!$A$2:$B$703,2,False)</f>
        <v>Mintyfresh756</v>
      </c>
      <c r="G140" s="140">
        <v>563.0</v>
      </c>
      <c r="H140" s="93" t="s">
        <v>2934</v>
      </c>
      <c r="I140" s="141" t="str">
        <f t="array" ref="I140">XLOOKUP(CELL("contents",B140),'Swiss Registry'!$B$2:$B$703,'Swiss Registry'!$N$2:$N$703) </f>
        <v>618933361523687456</v>
      </c>
      <c r="J140" s="142" t="str">
        <f t="array" ref="J140">XLOOKUP(CELL("contents",F140),'Swiss Registry'!$B$2:$B$703,'Swiss Registry'!$N$2:$N$703) </f>
        <v>229365099960336384</v>
      </c>
    </row>
    <row r="141">
      <c r="A141" s="140">
        <v>530.0</v>
      </c>
      <c r="B141" s="125" t="str">
        <f>VLOOKUP(A141,'Swiss Registry'!$A$2:$B$703,2,False)</f>
        <v>tibetanator</v>
      </c>
      <c r="C141" s="105" t="str">
        <f t="shared" si="10"/>
        <v>Game 1</v>
      </c>
      <c r="D141" s="106" t="str">
        <f t="shared" si="11"/>
        <v>Game 2</v>
      </c>
      <c r="E141" s="110" t="str">
        <f t="shared" si="12"/>
        <v>Game 3</v>
      </c>
      <c r="F141" s="125" t="str">
        <f>VLOOKUP(G141,'Swiss Registry'!$A$2:$B$703,2,False)</f>
        <v>ltg04</v>
      </c>
      <c r="G141" s="140">
        <v>571.0</v>
      </c>
      <c r="H141" s="93" t="s">
        <v>2935</v>
      </c>
      <c r="I141" s="141" t="str">
        <f t="array" ref="I141">XLOOKUP(CELL("contents",B141),'Swiss Registry'!$B$2:$B$703,'Swiss Registry'!$N$2:$N$703) </f>
        <v>734152855501668363</v>
      </c>
      <c r="J141" s="142" t="str">
        <f t="array" ref="J141">XLOOKUP(CELL("contents",F141),'Swiss Registry'!$B$2:$B$703,'Swiss Registry'!$N$2:$N$703) </f>
        <v>314526869506621440</v>
      </c>
    </row>
    <row r="142">
      <c r="A142" s="140">
        <v>129.0</v>
      </c>
      <c r="B142" s="125" t="str">
        <f>VLOOKUP(A142,'Swiss Registry'!$A$2:$B$703,2,False)</f>
        <v>lengloi</v>
      </c>
      <c r="C142" s="105" t="str">
        <f t="shared" si="10"/>
        <v>Game 1</v>
      </c>
      <c r="D142" s="106" t="str">
        <f t="shared" si="11"/>
        <v>Game 2</v>
      </c>
      <c r="E142" s="110" t="str">
        <f t="shared" si="12"/>
        <v>Game 3</v>
      </c>
      <c r="F142" s="125" t="str">
        <f>VLOOKUP(G142,'Swiss Registry'!$A$2:$B$703,2,False)</f>
        <v>.aj2.0</v>
      </c>
      <c r="G142" s="140">
        <v>451.0</v>
      </c>
      <c r="H142" s="93" t="s">
        <v>2936</v>
      </c>
      <c r="I142" s="141" t="str">
        <f t="array" ref="I142">XLOOKUP(CELL("contents",B142),'Swiss Registry'!$B$2:$B$703,'Swiss Registry'!$N$2:$N$703) </f>
        <v>442724252819390474</v>
      </c>
      <c r="J142" s="142" t="str">
        <f t="array" ref="J142">XLOOKUP(CELL("contents",F142),'Swiss Registry'!$B$2:$B$703,'Swiss Registry'!$N$2:$N$703) </f>
        <v>736549979220607107</v>
      </c>
    </row>
    <row r="143">
      <c r="A143" s="140">
        <v>635.0</v>
      </c>
      <c r="B143" s="125" t="str">
        <f>VLOOKUP(A143,'Swiss Registry'!$A$2:$B$703,2,False)</f>
        <v>elmagneto</v>
      </c>
      <c r="C143" s="105" t="str">
        <f t="shared" si="10"/>
        <v>Game 1</v>
      </c>
      <c r="D143" s="106" t="str">
        <f t="shared" si="11"/>
        <v>Game 2</v>
      </c>
      <c r="E143" s="107" t="str">
        <f t="shared" si="12"/>
        <v/>
      </c>
      <c r="F143" s="125" t="str">
        <f>VLOOKUP(G143,'Swiss Registry'!$A$2:$B$703,2,False)</f>
        <v>Guebor</v>
      </c>
      <c r="G143" s="140">
        <v>361.0</v>
      </c>
      <c r="H143" s="93" t="s">
        <v>2937</v>
      </c>
      <c r="I143" s="141" t="str">
        <f t="array" ref="I143">XLOOKUP(CELL("contents",B143),'Swiss Registry'!$B$2:$B$703,'Swiss Registry'!$N$2:$N$703) </f>
        <v>381169925601099779</v>
      </c>
      <c r="J143" s="142" t="str">
        <f t="array" ref="J143">XLOOKUP(CELL("contents",F143),'Swiss Registry'!$B$2:$B$703,'Swiss Registry'!$N$2:$N$703) </f>
        <v>172722236384477184</v>
      </c>
    </row>
    <row r="144">
      <c r="A144" s="140">
        <v>149.0</v>
      </c>
      <c r="B144" s="125" t="str">
        <f>VLOOKUP(A144,'Swiss Registry'!$A$2:$B$703,2,False)</f>
        <v>Rezzo</v>
      </c>
      <c r="C144" s="105" t="str">
        <f t="shared" si="10"/>
        <v>Game 1</v>
      </c>
      <c r="D144" s="106" t="str">
        <f t="shared" si="11"/>
        <v>Game 2</v>
      </c>
      <c r="E144" s="107" t="str">
        <f t="shared" si="12"/>
        <v/>
      </c>
      <c r="F144" s="125" t="str">
        <f>VLOOKUP(G144,'Swiss Registry'!$A$2:$B$703,2,False)</f>
        <v>datguycactus</v>
      </c>
      <c r="G144" s="140">
        <v>454.0</v>
      </c>
      <c r="H144" s="93" t="s">
        <v>2938</v>
      </c>
      <c r="I144" s="141" t="str">
        <f t="array" ref="I144">XLOOKUP(CELL("contents",B144),'Swiss Registry'!$B$2:$B$703,'Swiss Registry'!$N$2:$N$703) </f>
        <v>208377004209209344</v>
      </c>
      <c r="J144" s="142" t="str">
        <f t="array" ref="J144">XLOOKUP(CELL("contents",F144),'Swiss Registry'!$B$2:$B$703,'Swiss Registry'!$N$2:$N$703) </f>
        <v>764554384594960404</v>
      </c>
    </row>
    <row r="145">
      <c r="A145" s="140">
        <v>257.0</v>
      </c>
      <c r="B145" s="125" t="str">
        <f>VLOOKUP(A145,'Swiss Registry'!$A$2:$B$703,2,False)</f>
        <v>moistmania</v>
      </c>
      <c r="C145" s="105" t="str">
        <f t="shared" si="10"/>
        <v>Game 1</v>
      </c>
      <c r="D145" s="106" t="str">
        <f t="shared" si="11"/>
        <v>Game 2</v>
      </c>
      <c r="E145" s="107" t="str">
        <f t="shared" si="12"/>
        <v/>
      </c>
      <c r="F145" s="125" t="str">
        <f>VLOOKUP(G145,'Swiss Registry'!$A$2:$B$703,2,False)</f>
        <v>wyli.olivete</v>
      </c>
      <c r="G145" s="140">
        <v>327.0</v>
      </c>
      <c r="H145" s="93" t="s">
        <v>2939</v>
      </c>
      <c r="I145" s="141" t="str">
        <f t="array" ref="I145">XLOOKUP(CELL("contents",B145),'Swiss Registry'!$B$2:$B$703,'Swiss Registry'!$N$2:$N$703) </f>
        <v>1133736210683150467</v>
      </c>
      <c r="J145" s="142" t="str">
        <f t="array" ref="J145">XLOOKUP(CELL("contents",F145),'Swiss Registry'!$B$2:$B$703,'Swiss Registry'!$N$2:$N$703) </f>
        <v>600915748629643276</v>
      </c>
    </row>
    <row r="146">
      <c r="A146" s="140">
        <v>133.0</v>
      </c>
      <c r="B146" s="125" t="str">
        <f>VLOOKUP(A146,'Swiss Registry'!$A$2:$B$703,2,False)</f>
        <v>Himura</v>
      </c>
      <c r="C146" s="105" t="str">
        <f t="shared" si="10"/>
        <v>Game 1</v>
      </c>
      <c r="D146" s="106" t="str">
        <f t="shared" si="11"/>
        <v>Game 2</v>
      </c>
      <c r="E146" s="107" t="str">
        <f t="shared" si="12"/>
        <v/>
      </c>
      <c r="F146" s="125" t="str">
        <f>VLOOKUP(G146,'Swiss Registry'!$A$2:$B$703,2,False)</f>
        <v>mintyerb</v>
      </c>
      <c r="G146" s="140">
        <v>568.0</v>
      </c>
      <c r="H146" s="93" t="s">
        <v>2940</v>
      </c>
      <c r="I146" s="141" t="str">
        <f t="array" ref="I146">XLOOKUP(CELL("contents",B146),'Swiss Registry'!$B$2:$B$703,'Swiss Registry'!$N$2:$N$703) </f>
        <v>437955382024077312</v>
      </c>
      <c r="J146" s="142" t="str">
        <f t="array" ref="J146">XLOOKUP(CELL("contents",F146),'Swiss Registry'!$B$2:$B$703,'Swiss Registry'!$N$2:$N$703) </f>
        <v>411341688288575500</v>
      </c>
    </row>
    <row r="147" ht="15.0" customHeight="1">
      <c r="A147" s="124"/>
      <c r="B147" s="122"/>
      <c r="C147" s="123"/>
      <c r="D147" s="138" t="s">
        <v>2941</v>
      </c>
      <c r="E147" s="123"/>
      <c r="F147" s="122"/>
      <c r="G147" s="124"/>
      <c r="H147" s="93"/>
      <c r="I147" s="139"/>
      <c r="J147" s="139"/>
    </row>
    <row r="148">
      <c r="A148" s="140">
        <v>482.0</v>
      </c>
      <c r="B148" s="125" t="str">
        <f>VLOOKUP(A148,'Swiss Registry'!$A$2:$B$703,2,False)</f>
        <v>no8ull</v>
      </c>
      <c r="C148" s="105" t="str">
        <f t="shared" ref="C148:C182" si="13">IF(H148="dead","",IF(H148="a:act","",IF(H148="b:act","",IF(ISURL(HYPERLINK(INDIRECT("Importer!B"&amp;MID(H148,2,4)+1,TRUE))),HYPERLINK(INDIRECT("Importer!B"&amp;MID(H148,2,4)+1,TRUE), "Game 1"),""))))</f>
        <v>Game 1</v>
      </c>
      <c r="D148" s="106" t="str">
        <f t="shared" ref="D148:D182" si="14">IF(H148="dead","Dead Game",IF(H148="a:act","Act: "&amp;B148,IF(H148="b:act","Act: "&amp;F148,IF(ISURL(HYPERLINK(INDIRECT("Importer!B"&amp;MID(H148,6,4)+1,TRUE))),HYPERLINK(INDIRECT("Importer!B"&amp;MID(H148,6,4)+1,TRUE), "Game 2"),""))))</f>
        <v>Game 2</v>
      </c>
      <c r="E148" s="110" t="str">
        <f t="shared" ref="E148:E182" si="15">IF(H148="dead","",IF(H148="a:act","",IF(H148="b:act","",IF(ISURL(HYPERLINK(INDIRECT("Importer!B"&amp;MID(H148,10,4)+1,TRUE))),HYPERLINK(INDIRECT("Importer!B"&amp;MID(H148,10,4)+1,TRUE), "Game 3"),""))))</f>
        <v>Game 3</v>
      </c>
      <c r="F148" s="125" t="str">
        <f>VLOOKUP(G148,'Swiss Registry'!$A$2:$B$703,2,False)</f>
        <v>wwwmonmon</v>
      </c>
      <c r="G148" s="140">
        <v>466.0</v>
      </c>
      <c r="H148" s="93" t="s">
        <v>2942</v>
      </c>
      <c r="I148" s="141" t="str">
        <f t="array" ref="I148">XLOOKUP(CELL("contents",B148),'Swiss Registry'!$B$2:$B$703,'Swiss Registry'!$N$2:$N$703) </f>
        <v>647900479602425856</v>
      </c>
      <c r="J148" s="142" t="str">
        <f t="array" ref="J148">XLOOKUP(CELL("contents",F148),'Swiss Registry'!$B$2:$B$703,'Swiss Registry'!$N$2:$N$703) </f>
        <v>579395206680412172</v>
      </c>
    </row>
    <row r="149">
      <c r="A149" s="140">
        <v>521.0</v>
      </c>
      <c r="B149" s="125" t="str">
        <f>VLOOKUP(A149,'Swiss Registry'!$A$2:$B$703,2,False)</f>
        <v>Grain_Jar</v>
      </c>
      <c r="C149" s="105" t="str">
        <f t="shared" si="13"/>
        <v>Game 1</v>
      </c>
      <c r="D149" s="106" t="str">
        <f t="shared" si="14"/>
        <v>Game 2</v>
      </c>
      <c r="E149" s="107" t="str">
        <f t="shared" si="15"/>
        <v/>
      </c>
      <c r="F149" s="125" t="str">
        <f>VLOOKUP(G149,'Swiss Registry'!$A$2:$B$703,2,False)</f>
        <v>woeishuen</v>
      </c>
      <c r="G149" s="140">
        <v>430.0</v>
      </c>
      <c r="H149" s="93" t="s">
        <v>2943</v>
      </c>
      <c r="I149" s="141" t="str">
        <f t="array" ref="I149">XLOOKUP(CELL("contents",B149),'Swiss Registry'!$B$2:$B$703,'Swiss Registry'!$N$2:$N$703) </f>
        <v>348920220192210955</v>
      </c>
      <c r="J149" s="142" t="str">
        <f t="array" ref="J149">XLOOKUP(CELL("contents",F149),'Swiss Registry'!$B$2:$B$703,'Swiss Registry'!$N$2:$N$703) </f>
        <v>311487498486415360</v>
      </c>
    </row>
    <row r="150">
      <c r="A150" s="140">
        <v>528.0</v>
      </c>
      <c r="B150" s="125" t="str">
        <f>VLOOKUP(A150,'Swiss Registry'!$A$2:$B$703,2,False)</f>
        <v>Kenmarijuana</v>
      </c>
      <c r="C150" s="105" t="str">
        <f t="shared" si="13"/>
        <v>Game 1</v>
      </c>
      <c r="D150" s="106" t="str">
        <f t="shared" si="14"/>
        <v>Game 2</v>
      </c>
      <c r="E150" s="110" t="str">
        <f t="shared" si="15"/>
        <v>Game 3</v>
      </c>
      <c r="F150" s="125" t="str">
        <f>VLOOKUP(G150,'Swiss Registry'!$A$2:$B$703,2,False)</f>
        <v>ditdus.</v>
      </c>
      <c r="G150" s="140">
        <v>431.0</v>
      </c>
      <c r="H150" s="93" t="s">
        <v>2944</v>
      </c>
      <c r="I150" s="141" t="str">
        <f t="array" ref="I150">XLOOKUP(CELL("contents",B150),'Swiss Registry'!$B$2:$B$703,'Swiss Registry'!$N$2:$N$703) </f>
        <v>508684602261504010</v>
      </c>
      <c r="J150" s="142" t="str">
        <f t="array" ref="J150">XLOOKUP(CELL("contents",F150),'Swiss Registry'!$B$2:$B$703,'Swiss Registry'!$N$2:$N$703) </f>
        <v>1287828167775485963</v>
      </c>
    </row>
    <row r="151">
      <c r="A151" s="140">
        <v>354.0</v>
      </c>
      <c r="B151" s="125" t="str">
        <f>VLOOKUP(A151,'Swiss Registry'!$A$2:$B$703,2,False)</f>
        <v>grahamsandwich</v>
      </c>
      <c r="C151" s="105" t="str">
        <f t="shared" si="13"/>
        <v>Game 1</v>
      </c>
      <c r="D151" s="106" t="str">
        <f t="shared" si="14"/>
        <v>Game 2</v>
      </c>
      <c r="E151" s="110" t="str">
        <f t="shared" si="15"/>
        <v>Game 3</v>
      </c>
      <c r="F151" s="125" t="str">
        <f>VLOOKUP(G151,'Swiss Registry'!$A$2:$B$703,2,False)</f>
        <v>doc.steel</v>
      </c>
      <c r="G151" s="140">
        <v>261.0</v>
      </c>
      <c r="H151" s="93" t="s">
        <v>2945</v>
      </c>
      <c r="I151" s="141" t="str">
        <f t="array" ref="I151">XLOOKUP(CELL("contents",B151),'Swiss Registry'!$B$2:$B$703,'Swiss Registry'!$N$2:$N$703) </f>
        <v>256944534900965376</v>
      </c>
      <c r="J151" s="142" t="str">
        <f t="array" ref="J151">XLOOKUP(CELL("contents",F151),'Swiss Registry'!$B$2:$B$703,'Swiss Registry'!$N$2:$N$703) </f>
        <v>549319366538428453</v>
      </c>
    </row>
    <row r="152">
      <c r="A152" s="140">
        <v>409.0</v>
      </c>
      <c r="B152" s="125" t="str">
        <f>VLOOKUP(A152,'Swiss Registry'!$A$2:$B$703,2,False)</f>
        <v>biff_the_banana</v>
      </c>
      <c r="C152" s="105" t="str">
        <f t="shared" si="13"/>
        <v>Game 1</v>
      </c>
      <c r="D152" s="106" t="str">
        <f t="shared" si="14"/>
        <v>Game 2</v>
      </c>
      <c r="E152" s="107" t="str">
        <f t="shared" si="15"/>
        <v/>
      </c>
      <c r="F152" s="125" t="str">
        <f>VLOOKUP(G152,'Swiss Registry'!$A$2:$B$703,2,False)</f>
        <v>br.twfb</v>
      </c>
      <c r="G152" s="140">
        <v>161.0</v>
      </c>
      <c r="H152" s="93" t="s">
        <v>2946</v>
      </c>
      <c r="I152" s="141" t="str">
        <f t="array" ref="I152">XLOOKUP(CELL("contents",B152),'Swiss Registry'!$B$2:$B$703,'Swiss Registry'!$N$2:$N$703) </f>
        <v>254196036694704129</v>
      </c>
      <c r="J152" s="142" t="str">
        <f t="array" ref="J152">XLOOKUP(CELL("contents",F152),'Swiss Registry'!$B$2:$B$703,'Swiss Registry'!$N$2:$N$703) </f>
        <v>194544710604292097</v>
      </c>
    </row>
    <row r="153">
      <c r="A153" s="140">
        <v>105.0</v>
      </c>
      <c r="B153" s="125" t="str">
        <f>VLOOKUP(A153,'Swiss Registry'!$A$2:$B$703,2,False)</f>
        <v>The_Badger1230</v>
      </c>
      <c r="C153" s="105" t="str">
        <f t="shared" si="13"/>
        <v>Game 1</v>
      </c>
      <c r="D153" s="106" t="str">
        <f t="shared" si="14"/>
        <v>Game 2</v>
      </c>
      <c r="E153" s="110" t="str">
        <f t="shared" si="15"/>
        <v>Game 3</v>
      </c>
      <c r="F153" s="125" t="str">
        <f>VLOOKUP(G153,'Swiss Registry'!$A$2:$B$703,2,False)</f>
        <v>lemonlc</v>
      </c>
      <c r="G153" s="140">
        <v>266.0</v>
      </c>
      <c r="H153" s="93" t="s">
        <v>2947</v>
      </c>
      <c r="I153" s="141" t="str">
        <f t="array" ref="I153">XLOOKUP(CELL("contents",B153),'Swiss Registry'!$B$2:$B$703,'Swiss Registry'!$N$2:$N$703) </f>
        <v>615213996345131145</v>
      </c>
      <c r="J153" s="142" t="str">
        <f t="array" ref="J153">XLOOKUP(CELL("contents",F153),'Swiss Registry'!$B$2:$B$703,'Swiss Registry'!$N$2:$N$703) </f>
        <v>1137309984468766750</v>
      </c>
    </row>
    <row r="154">
      <c r="A154" s="140">
        <v>187.0</v>
      </c>
      <c r="B154" s="125" t="str">
        <f>VLOOKUP(A154,'Swiss Registry'!$A$2:$B$703,2,False)</f>
        <v>nicki4</v>
      </c>
      <c r="C154" s="105" t="str">
        <f t="shared" si="13"/>
        <v>Game 1</v>
      </c>
      <c r="D154" s="106" t="str">
        <f t="shared" si="14"/>
        <v>Game 2</v>
      </c>
      <c r="E154" s="110" t="str">
        <f t="shared" si="15"/>
        <v>Game 3</v>
      </c>
      <c r="F154" s="125" t="str">
        <f>VLOOKUP(G154,'Swiss Registry'!$A$2:$B$703,2,False)</f>
        <v>nichard_</v>
      </c>
      <c r="G154" s="140">
        <v>610.0</v>
      </c>
      <c r="H154" s="93" t="s">
        <v>2948</v>
      </c>
      <c r="I154" s="141" t="str">
        <f t="array" ref="I154">XLOOKUP(CELL("contents",B154),'Swiss Registry'!$B$2:$B$703,'Swiss Registry'!$N$2:$N$703) </f>
        <v>229576207560212480</v>
      </c>
      <c r="J154" s="142" t="str">
        <f t="array" ref="J154">XLOOKUP(CELL("contents",F154),'Swiss Registry'!$B$2:$B$703,'Swiss Registry'!$N$2:$N$703) </f>
        <v>737461610175528960</v>
      </c>
    </row>
    <row r="155">
      <c r="A155" s="140">
        <v>141.0</v>
      </c>
      <c r="B155" s="125" t="str">
        <f>VLOOKUP(A155,'Swiss Registry'!$A$2:$B$703,2,False)</f>
        <v>danielsemmson</v>
      </c>
      <c r="C155" s="105" t="str">
        <f t="shared" si="13"/>
        <v>Game 1</v>
      </c>
      <c r="D155" s="106" t="str">
        <f t="shared" si="14"/>
        <v>Game 2</v>
      </c>
      <c r="E155" s="107" t="str">
        <f t="shared" si="15"/>
        <v/>
      </c>
      <c r="F155" s="125" t="str">
        <f>VLOOKUP(G155,'Swiss Registry'!$A$2:$B$703,2,False)</f>
        <v>@pek__</v>
      </c>
      <c r="G155" s="140">
        <v>696.0</v>
      </c>
      <c r="H155" s="93" t="s">
        <v>2949</v>
      </c>
      <c r="I155" s="141" t="str">
        <f t="array" ref="I155">XLOOKUP(CELL("contents",B155),'Swiss Registry'!$B$2:$B$703,'Swiss Registry'!$N$2:$N$703) </f>
        <v>1128107355633107014</v>
      </c>
      <c r="J155" s="142" t="str">
        <f t="array" ref="J155">XLOOKUP(CELL("contents",F155),'Swiss Registry'!$B$2:$B$703,'Swiss Registry'!$N$2:$N$703) </f>
        <v>195931152521887744</v>
      </c>
    </row>
    <row r="156">
      <c r="A156" s="140">
        <v>433.0</v>
      </c>
      <c r="B156" s="125" t="str">
        <f>VLOOKUP(A156,'Swiss Registry'!$A$2:$B$703,2,False)</f>
        <v>jozin457</v>
      </c>
      <c r="C156" s="105" t="str">
        <f t="shared" si="13"/>
        <v>Game 1</v>
      </c>
      <c r="D156" s="106" t="str">
        <f t="shared" si="14"/>
        <v>Game 2</v>
      </c>
      <c r="E156" s="107" t="str">
        <f t="shared" si="15"/>
        <v/>
      </c>
      <c r="F156" s="125" t="str">
        <f>VLOOKUP(G156,'Swiss Registry'!$A$2:$B$703,2,False)</f>
        <v>epiclyepicgamer</v>
      </c>
      <c r="G156" s="140">
        <v>406.0</v>
      </c>
      <c r="H156" s="93" t="s">
        <v>2950</v>
      </c>
      <c r="I156" s="141" t="str">
        <f t="array" ref="I156">XLOOKUP(CELL("contents",B156),'Swiss Registry'!$B$2:$B$703,'Swiss Registry'!$N$2:$N$703) </f>
        <v>229620219092533248</v>
      </c>
      <c r="J156" s="142" t="str">
        <f t="array" ref="J156">XLOOKUP(CELL("contents",F156),'Swiss Registry'!$B$2:$B$703,'Swiss Registry'!$N$2:$N$703) </f>
        <v>839557955140976701</v>
      </c>
    </row>
    <row r="157">
      <c r="A157" s="140">
        <v>498.0</v>
      </c>
      <c r="B157" s="125" t="str">
        <f>VLOOKUP(A157,'Swiss Registry'!$A$2:$B$703,2,False)</f>
        <v>gudemuch</v>
      </c>
      <c r="C157" s="105" t="str">
        <f t="shared" si="13"/>
        <v>Game 1</v>
      </c>
      <c r="D157" s="106" t="str">
        <f t="shared" si="14"/>
        <v>Game 2</v>
      </c>
      <c r="E157" s="107" t="str">
        <f t="shared" si="15"/>
        <v/>
      </c>
      <c r="F157" s="125" t="str">
        <f>VLOOKUP(G157,'Swiss Registry'!$A$2:$B$703,2,False)</f>
        <v>Ehtis</v>
      </c>
      <c r="G157" s="140">
        <v>675.0</v>
      </c>
      <c r="H157" s="93" t="s">
        <v>2951</v>
      </c>
      <c r="I157" s="141" t="str">
        <f t="array" ref="I157">XLOOKUP(CELL("contents",B157),'Swiss Registry'!$B$2:$B$703,'Swiss Registry'!$N$2:$N$703) </f>
        <v>689102490154696705</v>
      </c>
      <c r="J157" s="142" t="str">
        <f t="array" ref="J157">XLOOKUP(CELL("contents",F157),'Swiss Registry'!$B$2:$B$703,'Swiss Registry'!$N$2:$N$703) </f>
        <v>318819800639995904</v>
      </c>
    </row>
    <row r="158">
      <c r="A158" s="140">
        <v>103.0</v>
      </c>
      <c r="B158" s="125" t="str">
        <f>VLOOKUP(A158,'Swiss Registry'!$A$2:$B$703,2,False)</f>
        <v>cocoo7538</v>
      </c>
      <c r="C158" s="105" t="str">
        <f t="shared" si="13"/>
        <v>Game 1</v>
      </c>
      <c r="D158" s="106" t="str">
        <f t="shared" si="14"/>
        <v>Game 2</v>
      </c>
      <c r="E158" s="110" t="str">
        <f t="shared" si="15"/>
        <v>Game 3</v>
      </c>
      <c r="F158" s="125" t="str">
        <f>VLOOKUP(G158,'Swiss Registry'!$A$2:$B$703,2,False)</f>
        <v>dragonlord6954</v>
      </c>
      <c r="G158" s="140">
        <v>400.0</v>
      </c>
      <c r="H158" s="93" t="s">
        <v>2952</v>
      </c>
      <c r="I158" s="141" t="str">
        <f t="array" ref="I158">XLOOKUP(CELL("contents",B158),'Swiss Registry'!$B$2:$B$703,'Swiss Registry'!$N$2:$N$703) </f>
        <v>690750151727251466</v>
      </c>
      <c r="J158" s="142" t="str">
        <f t="array" ref="J158">XLOOKUP(CELL("contents",F158),'Swiss Registry'!$B$2:$B$703,'Swiss Registry'!$N$2:$N$703) </f>
        <v>1071049773546733670</v>
      </c>
    </row>
    <row r="159">
      <c r="A159" s="140">
        <v>427.0</v>
      </c>
      <c r="B159" s="125" t="str">
        <f>VLOOKUP(A159,'Swiss Registry'!$A$2:$B$703,2,False)</f>
        <v>comseal</v>
      </c>
      <c r="C159" s="105" t="str">
        <f t="shared" si="13"/>
        <v>Game 1</v>
      </c>
      <c r="D159" s="106" t="str">
        <f t="shared" si="14"/>
        <v>Game 2</v>
      </c>
      <c r="E159" s="107" t="str">
        <f t="shared" si="15"/>
        <v/>
      </c>
      <c r="F159" s="125" t="str">
        <f>VLOOKUP(G159,'Swiss Registry'!$A$2:$B$703,2,False)</f>
        <v>irrelevantone</v>
      </c>
      <c r="G159" s="140">
        <v>689.0</v>
      </c>
      <c r="H159" s="93" t="s">
        <v>2953</v>
      </c>
      <c r="I159" s="141" t="str">
        <f t="array" ref="I159">XLOOKUP(CELL("contents",B159),'Swiss Registry'!$B$2:$B$703,'Swiss Registry'!$N$2:$N$703) </f>
        <v>282867212270698496</v>
      </c>
      <c r="J159" s="142" t="str">
        <f t="array" ref="J159">XLOOKUP(CELL("contents",F159),'Swiss Registry'!$B$2:$B$703,'Swiss Registry'!$N$2:$N$703) </f>
        <v>284150733152976896</v>
      </c>
    </row>
    <row r="160">
      <c r="A160" s="140">
        <v>270.0</v>
      </c>
      <c r="B160" s="125" t="str">
        <f>VLOOKUP(A160,'Swiss Registry'!$A$2:$B$703,2,False)</f>
        <v>lemon04</v>
      </c>
      <c r="C160" s="105" t="str">
        <f t="shared" si="13"/>
        <v>Game 1</v>
      </c>
      <c r="D160" s="106" t="str">
        <f t="shared" si="14"/>
        <v>Game 2</v>
      </c>
      <c r="E160" s="107" t="str">
        <f t="shared" si="15"/>
        <v/>
      </c>
      <c r="F160" s="125" t="str">
        <f>VLOOKUP(G160,'Swiss Registry'!$A$2:$B$703,2,False)</f>
        <v>almbkn</v>
      </c>
      <c r="G160" s="140">
        <v>544.0</v>
      </c>
      <c r="H160" s="93" t="s">
        <v>2954</v>
      </c>
      <c r="I160" s="141" t="str">
        <f t="array" ref="I160">XLOOKUP(CELL("contents",B160),'Swiss Registry'!$B$2:$B$703,'Swiss Registry'!$N$2:$N$703) </f>
        <v>177840825986711552</v>
      </c>
      <c r="J160" s="142" t="str">
        <f t="array" ref="J160">XLOOKUP(CELL("contents",F160),'Swiss Registry'!$B$2:$B$703,'Swiss Registry'!$N$2:$N$703) </f>
        <v>152476072473133056</v>
      </c>
    </row>
    <row r="161">
      <c r="A161" s="140">
        <v>200.0</v>
      </c>
      <c r="B161" s="125" t="str">
        <f>VLOOKUP(A161,'Swiss Registry'!$A$2:$B$703,2,False)</f>
        <v>squirtle_squadbig_squatto</v>
      </c>
      <c r="C161" s="105" t="str">
        <f t="shared" si="13"/>
        <v>Game 1</v>
      </c>
      <c r="D161" s="106" t="str">
        <f t="shared" si="14"/>
        <v>Game 2</v>
      </c>
      <c r="E161" s="107" t="str">
        <f t="shared" si="15"/>
        <v/>
      </c>
      <c r="F161" s="125" t="str">
        <f>VLOOKUP(G161,'Swiss Registry'!$A$2:$B$703,2,False)</f>
        <v>jew9318</v>
      </c>
      <c r="G161" s="140">
        <v>404.0</v>
      </c>
      <c r="H161" s="93" t="s">
        <v>2955</v>
      </c>
      <c r="I161" s="141" t="str">
        <f t="array" ref="I161">XLOOKUP(CELL("contents",B161),'Swiss Registry'!$B$2:$B$703,'Swiss Registry'!$N$2:$N$703) </f>
        <v>867120639248564234</v>
      </c>
      <c r="J161" s="142" t="str">
        <f t="array" ref="J161">XLOOKUP(CELL("contents",F161),'Swiss Registry'!$B$2:$B$703,'Swiss Registry'!$N$2:$N$703) </f>
        <v>155599548624928768</v>
      </c>
    </row>
    <row r="162">
      <c r="A162" s="140">
        <v>487.0</v>
      </c>
      <c r="B162" s="125" t="str">
        <f>VLOOKUP(A162,'Swiss Registry'!$A$2:$B$703,2,False)</f>
        <v>owlman7507</v>
      </c>
      <c r="C162" s="105" t="str">
        <f t="shared" si="13"/>
        <v>Game 1</v>
      </c>
      <c r="D162" s="106" t="str">
        <f t="shared" si="14"/>
        <v>Game 2</v>
      </c>
      <c r="E162" s="107" t="str">
        <f t="shared" si="15"/>
        <v/>
      </c>
      <c r="F162" s="125" t="str">
        <f>VLOOKUP(G162,'Swiss Registry'!$A$2:$B$703,2,False)</f>
        <v>sapphire918</v>
      </c>
      <c r="G162" s="140">
        <v>660.0</v>
      </c>
      <c r="H162" s="93" t="s">
        <v>2956</v>
      </c>
      <c r="I162" s="141" t="str">
        <f t="array" ref="I162">XLOOKUP(CELL("contents",B162),'Swiss Registry'!$B$2:$B$703,'Swiss Registry'!$N$2:$N$703) </f>
        <v>684894520751816770</v>
      </c>
      <c r="J162" s="142" t="str">
        <f t="array" ref="J162">XLOOKUP(CELL("contents",F162),'Swiss Registry'!$B$2:$B$703,'Swiss Registry'!$N$2:$N$703) </f>
        <v>247172567494819840</v>
      </c>
    </row>
    <row r="163">
      <c r="A163" s="140">
        <v>279.0</v>
      </c>
      <c r="B163" s="125" t="str">
        <f>VLOOKUP(A163,'Swiss Registry'!$A$2:$B$703,2,False)</f>
        <v>bruh504</v>
      </c>
      <c r="C163" s="105" t="str">
        <f t="shared" si="13"/>
        <v>Game 1</v>
      </c>
      <c r="D163" s="106" t="str">
        <f t="shared" si="14"/>
        <v>Game 2</v>
      </c>
      <c r="E163" s="107" t="str">
        <f t="shared" si="15"/>
        <v/>
      </c>
      <c r="F163" s="125" t="str">
        <f>VLOOKUP(G163,'Swiss Registry'!$A$2:$B$703,2,False)</f>
        <v>thestonewallsmith</v>
      </c>
      <c r="G163" s="140">
        <v>191.0</v>
      </c>
      <c r="H163" s="93" t="s">
        <v>2957</v>
      </c>
      <c r="I163" s="141" t="str">
        <f t="array" ref="I163">XLOOKUP(CELL("contents",B163),'Swiss Registry'!$B$2:$B$703,'Swiss Registry'!$N$2:$N$703) </f>
        <v>392333717269643266</v>
      </c>
      <c r="J163" s="142" t="str">
        <f t="array" ref="J163">XLOOKUP(CELL("contents",F163),'Swiss Registry'!$B$2:$B$703,'Swiss Registry'!$N$2:$N$703) </f>
        <v>320335928155701250</v>
      </c>
    </row>
    <row r="164">
      <c r="A164" s="140">
        <v>280.0</v>
      </c>
      <c r="B164" s="125" t="str">
        <f>VLOOKUP(A164,'Swiss Registry'!$A$2:$B$703,2,False)</f>
        <v>xamvius</v>
      </c>
      <c r="C164" s="105" t="str">
        <f t="shared" si="13"/>
        <v>Game 1</v>
      </c>
      <c r="D164" s="106" t="str">
        <f t="shared" si="14"/>
        <v>Game 2</v>
      </c>
      <c r="E164" s="107" t="str">
        <f t="shared" si="15"/>
        <v/>
      </c>
      <c r="F164" s="125" t="str">
        <f>VLOOKUP(G164,'Swiss Registry'!$A$2:$B$703,2,False)</f>
        <v>the_app</v>
      </c>
      <c r="G164" s="140">
        <v>638.0</v>
      </c>
      <c r="H164" s="93" t="s">
        <v>2958</v>
      </c>
      <c r="I164" s="141" t="str">
        <f t="array" ref="I164">XLOOKUP(CELL("contents",B164),'Swiss Registry'!$B$2:$B$703,'Swiss Registry'!$N$2:$N$703) </f>
        <v>173625348469030913</v>
      </c>
      <c r="J164" s="142" t="str">
        <f t="array" ref="J164">XLOOKUP(CELL("contents",F164),'Swiss Registry'!$B$2:$B$703,'Swiss Registry'!$N$2:$N$703) </f>
        <v>289874645539094529</v>
      </c>
    </row>
    <row r="165">
      <c r="A165" s="140">
        <v>380.0</v>
      </c>
      <c r="B165" s="125" t="str">
        <f>VLOOKUP(A165,'Swiss Registry'!$A$2:$B$703,2,False)</f>
        <v>ThunderousBagel</v>
      </c>
      <c r="C165" s="105" t="str">
        <f t="shared" si="13"/>
        <v>Game 1</v>
      </c>
      <c r="D165" s="106" t="str">
        <f t="shared" si="14"/>
        <v>Game 2</v>
      </c>
      <c r="E165" s="107" t="str">
        <f t="shared" si="15"/>
        <v/>
      </c>
      <c r="F165" s="125" t="str">
        <f>VLOOKUP(G165,'Swiss Registry'!$A$2:$B$703,2,False)</f>
        <v>Reptikrook</v>
      </c>
      <c r="G165" s="140">
        <v>349.0</v>
      </c>
      <c r="H165" s="93" t="s">
        <v>2959</v>
      </c>
      <c r="I165" s="141" t="str">
        <f t="array" ref="I165">XLOOKUP(CELL("contents",B165),'Swiss Registry'!$B$2:$B$703,'Swiss Registry'!$N$2:$N$703) </f>
        <v>458020570085326851</v>
      </c>
      <c r="J165" s="142" t="str">
        <f t="array" ref="J165">XLOOKUP(CELL("contents",F165),'Swiss Registry'!$B$2:$B$703,'Swiss Registry'!$N$2:$N$703) </f>
        <v>477623186104516629</v>
      </c>
    </row>
    <row r="166">
      <c r="A166" s="140">
        <v>599.0</v>
      </c>
      <c r="B166" s="125" t="str">
        <f>VLOOKUP(A166,'Swiss Registry'!$A$2:$B$703,2,False)</f>
        <v>Klird</v>
      </c>
      <c r="C166" s="105" t="str">
        <f t="shared" si="13"/>
        <v>Game 1</v>
      </c>
      <c r="D166" s="106" t="str">
        <f t="shared" si="14"/>
        <v>Game 2</v>
      </c>
      <c r="E166" s="110" t="str">
        <f t="shared" si="15"/>
        <v>Game 3</v>
      </c>
      <c r="F166" s="125" t="str">
        <f>VLOOKUP(G166,'Swiss Registry'!$A$2:$B$703,2,False)</f>
        <v>tsuki.no.miko</v>
      </c>
      <c r="G166" s="140">
        <v>626.0</v>
      </c>
      <c r="H166" s="93" t="s">
        <v>2960</v>
      </c>
      <c r="I166" s="141" t="str">
        <f t="array" ref="I166">XLOOKUP(CELL("contents",B166),'Swiss Registry'!$B$2:$B$703,'Swiss Registry'!$N$2:$N$703) </f>
        <v>393218478187741186</v>
      </c>
      <c r="J166" s="142" t="str">
        <f t="array" ref="J166">XLOOKUP(CELL("contents",F166),'Swiss Registry'!$B$2:$B$703,'Swiss Registry'!$N$2:$N$703) </f>
        <v>285250442479403010</v>
      </c>
    </row>
    <row r="167">
      <c r="A167" s="140">
        <v>211.0</v>
      </c>
      <c r="B167" s="125" t="str">
        <f>VLOOKUP(A167,'Swiss Registry'!$A$2:$B$703,2,False)</f>
        <v>.alig.</v>
      </c>
      <c r="C167" s="105" t="str">
        <f t="shared" si="13"/>
        <v>Game 1</v>
      </c>
      <c r="D167" s="106" t="str">
        <f t="shared" si="14"/>
        <v>Game 2</v>
      </c>
      <c r="E167" s="107" t="str">
        <f t="shared" si="15"/>
        <v/>
      </c>
      <c r="F167" s="125" t="str">
        <f>VLOOKUP(G167,'Swiss Registry'!$A$2:$B$703,2,False)</f>
        <v>Svejk97</v>
      </c>
      <c r="G167" s="140">
        <v>134.0</v>
      </c>
      <c r="H167" s="93" t="s">
        <v>2961</v>
      </c>
      <c r="I167" s="141" t="str">
        <f t="array" ref="I167">XLOOKUP(CELL("contents",B167),'Swiss Registry'!$B$2:$B$703,'Swiss Registry'!$N$2:$N$703) </f>
        <v>192192076841091072</v>
      </c>
      <c r="J167" s="142" t="str">
        <f t="array" ref="J167">XLOOKUP(CELL("contents",F167),'Swiss Registry'!$B$2:$B$703,'Swiss Registry'!$N$2:$N$703) </f>
        <v>1288951419465891851</v>
      </c>
    </row>
    <row r="168">
      <c r="A168" s="140">
        <v>292.0</v>
      </c>
      <c r="B168" s="125" t="str">
        <f>VLOOKUP(A168,'Swiss Registry'!$A$2:$B$703,2,False)</f>
        <v>clinkbug</v>
      </c>
      <c r="C168" s="105" t="str">
        <f t="shared" si="13"/>
        <v>Game 1</v>
      </c>
      <c r="D168" s="106" t="str">
        <f t="shared" si="14"/>
        <v>Game 2</v>
      </c>
      <c r="E168" s="107" t="str">
        <f t="shared" si="15"/>
        <v/>
      </c>
      <c r="F168" s="125" t="str">
        <f>VLOOKUP(G168,'Swiss Registry'!$A$2:$B$703,2,False)</f>
        <v>Tefo</v>
      </c>
      <c r="G168" s="140">
        <v>221.0</v>
      </c>
      <c r="H168" s="93" t="s">
        <v>2962</v>
      </c>
      <c r="I168" s="141" t="str">
        <f t="array" ref="I168">XLOOKUP(CELL("contents",B168),'Swiss Registry'!$B$2:$B$703,'Swiss Registry'!$N$2:$N$703) </f>
        <v>803823426427027496</v>
      </c>
      <c r="J168" s="142" t="str">
        <f t="array" ref="J168">XLOOKUP(CELL("contents",F168),'Swiss Registry'!$B$2:$B$703,'Swiss Registry'!$N$2:$N$703) </f>
        <v>398388682874159106</v>
      </c>
    </row>
    <row r="169">
      <c r="A169" s="140">
        <v>208.0</v>
      </c>
      <c r="B169" s="125" t="str">
        <f>VLOOKUP(A169,'Swiss Registry'!$A$2:$B$703,2,False)</f>
        <v>UsernameABCD</v>
      </c>
      <c r="C169" s="105" t="str">
        <f t="shared" si="13"/>
        <v>Game 1</v>
      </c>
      <c r="D169" s="106" t="str">
        <f t="shared" si="14"/>
        <v>Game 2</v>
      </c>
      <c r="E169" s="110" t="str">
        <f t="shared" si="15"/>
        <v>Game 3</v>
      </c>
      <c r="F169" s="125" t="str">
        <f>VLOOKUP(G169,'Swiss Registry'!$A$2:$B$703,2,False)</f>
        <v>mintchocolateguy</v>
      </c>
      <c r="G169" s="140">
        <v>267.0</v>
      </c>
      <c r="H169" s="93" t="s">
        <v>2963</v>
      </c>
      <c r="I169" s="141" t="str">
        <f t="array" ref="I169">XLOOKUP(CELL("contents",B169),'Swiss Registry'!$B$2:$B$703,'Swiss Registry'!$N$2:$N$703) </f>
        <v>341334237485465614</v>
      </c>
      <c r="J169" s="142" t="str">
        <f t="array" ref="J169">XLOOKUP(CELL("contents",F169),'Swiss Registry'!$B$2:$B$703,'Swiss Registry'!$N$2:$N$703) </f>
        <v>698335732191723551</v>
      </c>
    </row>
    <row r="170">
      <c r="A170" s="140">
        <v>334.0</v>
      </c>
      <c r="B170" s="125" t="str">
        <f>VLOOKUP(A170,'Swiss Registry'!$A$2:$B$703,2,False)</f>
        <v>Tiberiusfieri</v>
      </c>
      <c r="C170" s="105" t="str">
        <f t="shared" si="13"/>
        <v>Game 1</v>
      </c>
      <c r="D170" s="106" t="str">
        <f t="shared" si="14"/>
        <v>Game 2</v>
      </c>
      <c r="E170" s="110" t="str">
        <f t="shared" si="15"/>
        <v>Game 3</v>
      </c>
      <c r="F170" s="125" t="str">
        <f>VLOOKUP(G170,'Swiss Registry'!$A$2:$B$703,2,False)</f>
        <v>jthompson9021</v>
      </c>
      <c r="G170" s="140">
        <v>680.0</v>
      </c>
      <c r="H170" s="93" t="s">
        <v>2964</v>
      </c>
      <c r="I170" s="141" t="str">
        <f t="array" ref="I170">XLOOKUP(CELL("contents",B170),'Swiss Registry'!$B$2:$B$703,'Swiss Registry'!$N$2:$N$703) </f>
        <v>820892117370011668</v>
      </c>
      <c r="J170" s="142" t="str">
        <f t="array" ref="J170">XLOOKUP(CELL("contents",F170),'Swiss Registry'!$B$2:$B$703,'Swiss Registry'!$N$2:$N$703) </f>
        <v>198634963766214656</v>
      </c>
    </row>
    <row r="171">
      <c r="A171" s="140">
        <v>677.0</v>
      </c>
      <c r="B171" s="125" t="str">
        <f>VLOOKUP(A171,'Swiss Registry'!$A$2:$B$703,2,False)</f>
        <v>garcilp</v>
      </c>
      <c r="C171" s="105" t="str">
        <f t="shared" si="13"/>
        <v>Game 1</v>
      </c>
      <c r="D171" s="106" t="str">
        <f t="shared" si="14"/>
        <v>Game 2</v>
      </c>
      <c r="E171" s="107" t="str">
        <f t="shared" si="15"/>
        <v/>
      </c>
      <c r="F171" s="125" t="str">
        <f>VLOOKUP(G171,'Swiss Registry'!$A$2:$B$703,2,False)</f>
        <v>EatYourToastSon</v>
      </c>
      <c r="G171" s="140">
        <v>611.0</v>
      </c>
      <c r="H171" s="93" t="s">
        <v>2965</v>
      </c>
      <c r="I171" s="141" t="str">
        <f t="array" ref="I171">XLOOKUP(CELL("contents",B171),'Swiss Registry'!$B$2:$B$703,'Swiss Registry'!$N$2:$N$703) </f>
        <v>121071467692556291</v>
      </c>
      <c r="J171" s="142" t="str">
        <f t="array" ref="J171">XLOOKUP(CELL("contents",F171),'Swiss Registry'!$B$2:$B$703,'Swiss Registry'!$N$2:$N$703) </f>
        <v>508374686359486495</v>
      </c>
    </row>
    <row r="172">
      <c r="A172" s="140">
        <v>233.0</v>
      </c>
      <c r="B172" s="125" t="str">
        <f>VLOOKUP(A172,'Swiss Registry'!$A$2:$B$703,2,False)</f>
        <v>Beignet</v>
      </c>
      <c r="C172" s="105" t="str">
        <f t="shared" si="13"/>
        <v>Game 1</v>
      </c>
      <c r="D172" s="106" t="str">
        <f t="shared" si="14"/>
        <v>Game 2</v>
      </c>
      <c r="E172" s="110" t="str">
        <f t="shared" si="15"/>
        <v>Game 3</v>
      </c>
      <c r="F172" s="125" t="str">
        <f>VLOOKUP(G172,'Swiss Registry'!$A$2:$B$703,2,False)</f>
        <v>Graham (graaahaaam)</v>
      </c>
      <c r="G172" s="140">
        <v>135.0</v>
      </c>
      <c r="H172" s="93" t="s">
        <v>2966</v>
      </c>
      <c r="I172" s="141" t="str">
        <f t="array" ref="I172">XLOOKUP(CELL("contents",B172),'Swiss Registry'!$B$2:$B$703,'Swiss Registry'!$N$2:$N$703) </f>
        <v>473550253396721694</v>
      </c>
      <c r="J172" s="142" t="str">
        <f t="array" ref="J172">XLOOKUP(CELL("contents",F172),'Swiss Registry'!$B$2:$B$703,'Swiss Registry'!$N$2:$N$703) </f>
        <v>116227974885277697</v>
      </c>
    </row>
    <row r="173">
      <c r="A173" s="140">
        <v>360.0</v>
      </c>
      <c r="B173" s="125" t="str">
        <f>VLOOKUP(A173,'Swiss Registry'!$A$2:$B$703,2,False)</f>
        <v>poots6476</v>
      </c>
      <c r="C173" s="105" t="str">
        <f t="shared" si="13"/>
        <v>Game 1</v>
      </c>
      <c r="D173" s="106" t="str">
        <f t="shared" si="14"/>
        <v>Game 2</v>
      </c>
      <c r="E173" s="107" t="str">
        <f t="shared" si="15"/>
        <v/>
      </c>
      <c r="F173" s="125" t="str">
        <f>VLOOKUP(G173,'Swiss Registry'!$A$2:$B$703,2,False)</f>
        <v>TRXXJEH</v>
      </c>
      <c r="G173" s="140">
        <v>447.0</v>
      </c>
      <c r="H173" s="93" t="s">
        <v>2967</v>
      </c>
      <c r="I173" s="141" t="str">
        <f t="array" ref="I173">XLOOKUP(CELL("contents",B173),'Swiss Registry'!$B$2:$B$703,'Swiss Registry'!$N$2:$N$703) </f>
        <v>177568483909959680</v>
      </c>
      <c r="J173" s="142" t="str">
        <f t="array" ref="J173">XLOOKUP(CELL("contents",F173),'Swiss Registry'!$B$2:$B$703,'Swiss Registry'!$N$2:$N$703) </f>
        <v>911230685602275379</v>
      </c>
    </row>
    <row r="174">
      <c r="A174" s="140">
        <v>532.0</v>
      </c>
      <c r="B174" s="125" t="str">
        <f>VLOOKUP(A174,'Swiss Registry'!$A$2:$B$703,2,False)</f>
        <v>bigjon.</v>
      </c>
      <c r="C174" s="105" t="str">
        <f t="shared" si="13"/>
        <v>Game 1</v>
      </c>
      <c r="D174" s="106" t="str">
        <f t="shared" si="14"/>
        <v>Game 2</v>
      </c>
      <c r="E174" s="107" t="str">
        <f t="shared" si="15"/>
        <v/>
      </c>
      <c r="F174" s="125" t="str">
        <f>VLOOKUP(G174,'Swiss Registry'!$A$2:$B$703,2,False)</f>
        <v>Vholtninja</v>
      </c>
      <c r="G174" s="140">
        <v>518.0</v>
      </c>
      <c r="H174" s="93" t="s">
        <v>2968</v>
      </c>
      <c r="I174" s="141" t="str">
        <f t="array" ref="I174">XLOOKUP(CELL("contents",B174),'Swiss Registry'!$B$2:$B$703,'Swiss Registry'!$N$2:$N$703) </f>
        <v>289528250823213056</v>
      </c>
      <c r="J174" s="142" t="str">
        <f t="array" ref="J174">XLOOKUP(CELL("contents",F174),'Swiss Registry'!$B$2:$B$703,'Swiss Registry'!$N$2:$N$703) </f>
        <v>495147477398192128</v>
      </c>
    </row>
    <row r="175">
      <c r="A175" s="140">
        <v>541.0</v>
      </c>
      <c r="B175" s="125" t="str">
        <f>VLOOKUP(A175,'Swiss Registry'!$A$2:$B$703,2,False)</f>
        <v>derevien</v>
      </c>
      <c r="C175" s="105" t="str">
        <f t="shared" si="13"/>
        <v>Game 1</v>
      </c>
      <c r="D175" s="106" t="str">
        <f t="shared" si="14"/>
        <v>Game 2</v>
      </c>
      <c r="E175" s="110" t="str">
        <f t="shared" si="15"/>
        <v>Game 3</v>
      </c>
      <c r="F175" s="125" t="str">
        <f>VLOOKUP(G175,'Swiss Registry'!$A$2:$B$703,2,False)</f>
        <v>onewhorants</v>
      </c>
      <c r="G175" s="140">
        <v>460.0</v>
      </c>
      <c r="H175" s="93" t="s">
        <v>2969</v>
      </c>
      <c r="I175" s="141" t="str">
        <f t="array" ref="I175">XLOOKUP(CELL("contents",B175),'Swiss Registry'!$B$2:$B$703,'Swiss Registry'!$N$2:$N$703) </f>
        <v>219178413062225922</v>
      </c>
      <c r="J175" s="142" t="str">
        <f t="array" ref="J175">XLOOKUP(CELL("contents",F175),'Swiss Registry'!$B$2:$B$703,'Swiss Registry'!$N$2:$N$703) </f>
        <v>257001953056260096</v>
      </c>
    </row>
    <row r="176">
      <c r="A176" s="140">
        <v>287.0</v>
      </c>
      <c r="B176" s="125" t="str">
        <f>VLOOKUP(A176,'Swiss Registry'!$A$2:$B$703,2,False)</f>
        <v>green.9082</v>
      </c>
      <c r="C176" s="105" t="str">
        <f t="shared" si="13"/>
        <v>Game 1</v>
      </c>
      <c r="D176" s="106" t="str">
        <f t="shared" si="14"/>
        <v>Game 2</v>
      </c>
      <c r="E176" s="107" t="str">
        <f t="shared" si="15"/>
        <v/>
      </c>
      <c r="F176" s="125" t="str">
        <f>VLOOKUP(G176,'Swiss Registry'!$A$2:$B$703,2,False)</f>
        <v>zettsbro</v>
      </c>
      <c r="G176" s="140">
        <v>166.0</v>
      </c>
      <c r="H176" s="93" t="s">
        <v>2970</v>
      </c>
      <c r="I176" s="141" t="str">
        <f t="array" ref="I176">XLOOKUP(CELL("contents",B176),'Swiss Registry'!$B$2:$B$703,'Swiss Registry'!$N$2:$N$703) </f>
        <v>627563478973939723</v>
      </c>
      <c r="J176" s="142" t="str">
        <f t="array" ref="J176">XLOOKUP(CELL("contents",F176),'Swiss Registry'!$B$2:$B$703,'Swiss Registry'!$N$2:$N$703) </f>
        <v>453604164077879296</v>
      </c>
    </row>
    <row r="177">
      <c r="A177" s="140">
        <v>573.0</v>
      </c>
      <c r="B177" s="125" t="str">
        <f>VLOOKUP(A177,'Swiss Registry'!$A$2:$B$703,2,False)</f>
        <v>tamafuyu</v>
      </c>
      <c r="C177" s="105" t="str">
        <f t="shared" si="13"/>
        <v>Game 1</v>
      </c>
      <c r="D177" s="106" t="str">
        <f t="shared" si="14"/>
        <v>Game 2</v>
      </c>
      <c r="E177" s="110" t="str">
        <f t="shared" si="15"/>
        <v>Game 3</v>
      </c>
      <c r="F177" s="125" t="str">
        <f>VLOOKUP(G177,'Swiss Registry'!$A$2:$B$703,2,False)</f>
        <v>sdj</v>
      </c>
      <c r="G177" s="140">
        <v>647.0</v>
      </c>
      <c r="H177" s="93" t="s">
        <v>2971</v>
      </c>
      <c r="I177" s="141" t="str">
        <f t="array" ref="I177">XLOOKUP(CELL("contents",B177),'Swiss Registry'!$B$2:$B$703,'Swiss Registry'!$N$2:$N$703) </f>
        <v>98886753485623296</v>
      </c>
      <c r="J177" s="142" t="str">
        <f t="array" ref="J177">XLOOKUP(CELL("contents",F177),'Swiss Registry'!$B$2:$B$703,'Swiss Registry'!$N$2:$N$703) </f>
        <v>229267701514764288</v>
      </c>
    </row>
    <row r="178">
      <c r="A178" s="140">
        <v>314.0</v>
      </c>
      <c r="B178" s="125" t="str">
        <f>VLOOKUP(A178,'Swiss Registry'!$A$2:$B$703,2,False)</f>
        <v>triskeriaki</v>
      </c>
      <c r="C178" s="105" t="str">
        <f t="shared" si="13"/>
        <v>Game 1</v>
      </c>
      <c r="D178" s="106" t="str">
        <f t="shared" si="14"/>
        <v>Game 2</v>
      </c>
      <c r="E178" s="110" t="str">
        <f t="shared" si="15"/>
        <v>Game 3</v>
      </c>
      <c r="F178" s="125" t="str">
        <f>VLOOKUP(G178,'Swiss Registry'!$A$2:$B$703,2,False)</f>
        <v>btalb</v>
      </c>
      <c r="G178" s="140">
        <v>142.0</v>
      </c>
      <c r="H178" s="93" t="s">
        <v>2972</v>
      </c>
      <c r="I178" s="141" t="str">
        <f t="array" ref="I178">XLOOKUP(CELL("contents",B178),'Swiss Registry'!$B$2:$B$703,'Swiss Registry'!$N$2:$N$703) </f>
        <v>316007672510021634</v>
      </c>
      <c r="J178" s="142" t="str">
        <f t="array" ref="J178">XLOOKUP(CELL("contents",F178),'Swiss Registry'!$B$2:$B$703,'Swiss Registry'!$N$2:$N$703) </f>
        <v>210558965510045696</v>
      </c>
    </row>
    <row r="179">
      <c r="A179" s="140">
        <v>613.0</v>
      </c>
      <c r="B179" s="125" t="str">
        <f>VLOOKUP(A179,'Swiss Registry'!$A$2:$B$703,2,False)</f>
        <v>Ghostfall22</v>
      </c>
      <c r="C179" s="105" t="str">
        <f t="shared" si="13"/>
        <v>Game 1</v>
      </c>
      <c r="D179" s="106" t="str">
        <f t="shared" si="14"/>
        <v>Game 2</v>
      </c>
      <c r="E179" s="107" t="str">
        <f t="shared" si="15"/>
        <v/>
      </c>
      <c r="F179" s="125" t="str">
        <f>VLOOKUP(G179,'Swiss Registry'!$A$2:$B$703,2,False)</f>
        <v>Loneling</v>
      </c>
      <c r="G179" s="140">
        <v>153.0</v>
      </c>
      <c r="H179" s="93" t="s">
        <v>2973</v>
      </c>
      <c r="I179" s="141" t="str">
        <f t="array" ref="I179">XLOOKUP(CELL("contents",B179),'Swiss Registry'!$B$2:$B$703,'Swiss Registry'!$N$2:$N$703) </f>
        <v>894720722683985930</v>
      </c>
      <c r="J179" s="142" t="str">
        <f t="array" ref="J179">XLOOKUP(CELL("contents",F179),'Swiss Registry'!$B$2:$B$703,'Swiss Registry'!$N$2:$N$703) </f>
        <v>1260035840294260737</v>
      </c>
    </row>
    <row r="180">
      <c r="A180" s="140">
        <v>609.0</v>
      </c>
      <c r="B180" s="125" t="str">
        <f>VLOOKUP(A180,'Swiss Registry'!$A$2:$B$703,2,False)</f>
        <v>clarissen</v>
      </c>
      <c r="C180" s="111" t="str">
        <f t="shared" si="13"/>
        <v/>
      </c>
      <c r="D180" s="112" t="str">
        <f t="shared" si="14"/>
        <v>Act: b1ur</v>
      </c>
      <c r="E180" s="107" t="str">
        <f t="shared" si="15"/>
        <v/>
      </c>
      <c r="F180" s="125" t="str">
        <f>VLOOKUP(G180,'Swiss Registry'!$A$2:$B$703,2,False)</f>
        <v>b1ur</v>
      </c>
      <c r="G180" s="140">
        <v>642.0</v>
      </c>
      <c r="H180" s="93" t="s">
        <v>1523</v>
      </c>
      <c r="I180" s="141" t="str">
        <f t="array" ref="I180">XLOOKUP(CELL("contents",B180),'Swiss Registry'!$B$2:$B$703,'Swiss Registry'!$N$2:$N$703) </f>
        <v>443637291165024277</v>
      </c>
      <c r="J180" s="142" t="str">
        <f t="array" ref="J180">XLOOKUP(CELL("contents",F180),'Swiss Registry'!$B$2:$B$703,'Swiss Registry'!$N$2:$N$703) </f>
        <v>196380416473563136</v>
      </c>
    </row>
    <row r="181">
      <c r="A181" s="140">
        <v>136.0</v>
      </c>
      <c r="B181" s="125" t="str">
        <f>VLOOKUP(A181,'Swiss Registry'!$A$2:$B$703,2,False)</f>
        <v>allmovingshadows</v>
      </c>
      <c r="C181" s="105" t="str">
        <f t="shared" si="13"/>
        <v>Game 1</v>
      </c>
      <c r="D181" s="106" t="str">
        <f t="shared" si="14"/>
        <v>Game 2</v>
      </c>
      <c r="E181" s="107" t="str">
        <f t="shared" si="15"/>
        <v/>
      </c>
      <c r="F181" s="125" t="str">
        <f>VLOOKUP(G181,'Swiss Registry'!$A$2:$B$703,2,False)</f>
        <v>bohrier</v>
      </c>
      <c r="G181" s="140">
        <v>350.0</v>
      </c>
      <c r="H181" s="93" t="s">
        <v>2974</v>
      </c>
      <c r="I181" s="141" t="str">
        <f t="array" ref="I181">XLOOKUP(CELL("contents",B181),'Swiss Registry'!$B$2:$B$703,'Swiss Registry'!$N$2:$N$703) </f>
        <v>1218021450191994892</v>
      </c>
      <c r="J181" s="142" t="str">
        <f t="array" ref="J181">XLOOKUP(CELL("contents",F181),'Swiss Registry'!$B$2:$B$703,'Swiss Registry'!$N$2:$N$703) </f>
        <v>713435200469860403</v>
      </c>
    </row>
    <row r="182">
      <c r="A182" s="140">
        <v>410.0</v>
      </c>
      <c r="B182" s="125" t="str">
        <f>VLOOKUP(A182,'Swiss Registry'!$A$2:$B$703,2,False)</f>
        <v>ultraemeraldman_16197</v>
      </c>
      <c r="C182" s="105" t="str">
        <f t="shared" si="13"/>
        <v>Game 1</v>
      </c>
      <c r="D182" s="106" t="str">
        <f t="shared" si="14"/>
        <v>Game 2</v>
      </c>
      <c r="E182" s="107" t="str">
        <f t="shared" si="15"/>
        <v/>
      </c>
      <c r="F182" s="125" t="str">
        <f>VLOOKUP(G182,'Swiss Registry'!$A$2:$B$703,2,False)</f>
        <v>ChocoboJoe</v>
      </c>
      <c r="G182" s="140">
        <v>566.0</v>
      </c>
      <c r="H182" s="93" t="s">
        <v>2975</v>
      </c>
      <c r="I182" s="141" t="str">
        <f t="array" ref="I182">XLOOKUP(CELL("contents",B182),'Swiss Registry'!$B$2:$B$703,'Swiss Registry'!$N$2:$N$703) </f>
        <v>1160240514046631987</v>
      </c>
      <c r="J182" s="142" t="str">
        <f t="array" ref="J182">XLOOKUP(CELL("contents",F182),'Swiss Registry'!$B$2:$B$703,'Swiss Registry'!$N$2:$N$703) </f>
        <v>301575831858446356</v>
      </c>
    </row>
  </sheetData>
  <mergeCells count="1">
    <mergeCell ref="C1:E1"/>
  </mergeCells>
  <conditionalFormatting sqref="B3:B38 B40:B74 B76:B110 B112:B146 B148:B182">
    <cfRule type="expression" dxfId="5" priority="1">
      <formula>IF(LEFT(H3:H182,1)="A",TRUE,FALSE)</formula>
    </cfRule>
  </conditionalFormatting>
  <conditionalFormatting sqref="F3:F38 I3:J38 F40:F74 I40:J74 F76:F110 I76:J110 F112:F146 I112:J146 F148:F182 I148:J182">
    <cfRule type="expression" dxfId="5" priority="2">
      <formula>IF(LEFT(H3:H182,1)="B",TRUE,FALSE)</formula>
    </cfRule>
  </conditionalFormatting>
  <conditionalFormatting sqref="B3:B38 B40:B74 B76:B110 B112:B146 B148:B182">
    <cfRule type="expression" dxfId="6" priority="3">
      <formula>IF(LEFT(H3:H182,1)="B",TRUE,FALSE)</formula>
    </cfRule>
  </conditionalFormatting>
  <conditionalFormatting sqref="F3:F38 I3:J38 F40:F74 I40:J74 F76:F110 I76:J110 F112:F146 I112:J146 F148:F182 I148:J182">
    <cfRule type="expression" dxfId="6" priority="4">
      <formula>IF(LEFT(H3:H182,1)="A",TRUE,FALSE)</formula>
    </cfRule>
  </conditionalFormatting>
  <conditionalFormatting sqref="B3:B38 B40:B74 B76:B110 B112:B146 B148:B182">
    <cfRule type="expression" dxfId="10" priority="5">
      <formula>COUNTIF(B:F, B3)&gt;1</formula>
    </cfRule>
  </conditionalFormatting>
  <conditionalFormatting sqref="F3:F38 F40:F74 F76:F110 F112:F146 F148:F182">
    <cfRule type="expression" dxfId="10" priority="6">
      <formula>COUNTIF(B:F, F3)&gt;1</formula>
    </cfRule>
  </conditionalFormatting>
  <conditionalFormatting sqref="H86">
    <cfRule type="colorScale" priority="7">
      <colorScale>
        <cfvo type="min"/>
        <cfvo type="max"/>
        <color rgb="FFFFFFFF"/>
        <color rgb="FF57BB8A"/>
      </colorScale>
    </cfRule>
  </conditionalFormatting>
  <drawing r:id="rId2"/>
  <legacyDrawing r:id="rId3"/>
  <tableParts count="5">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0"/>
    <col customWidth="1" hidden="1" min="9" max="10" width="21.13"/>
  </cols>
  <sheetData>
    <row r="1">
      <c r="A1" s="118"/>
      <c r="B1" s="119" t="s">
        <v>1454</v>
      </c>
      <c r="C1" s="134" t="s">
        <v>2976</v>
      </c>
      <c r="D1" s="77"/>
      <c r="E1" s="78"/>
      <c r="F1" s="120" t="s">
        <v>1454</v>
      </c>
      <c r="G1" s="118"/>
      <c r="H1" s="135" t="s">
        <v>1456</v>
      </c>
      <c r="I1" s="136" t="s">
        <v>1768</v>
      </c>
      <c r="J1" s="137" t="s">
        <v>1769</v>
      </c>
    </row>
    <row r="2" ht="15.0" customHeight="1">
      <c r="A2" s="124"/>
      <c r="B2" s="122"/>
      <c r="C2" s="123"/>
      <c r="D2" s="138" t="s">
        <v>2807</v>
      </c>
      <c r="E2" s="123"/>
      <c r="F2" s="122"/>
      <c r="G2" s="124"/>
      <c r="H2" s="83"/>
      <c r="I2" s="139"/>
      <c r="J2" s="139"/>
    </row>
    <row r="3">
      <c r="A3" s="84">
        <v>77.0</v>
      </c>
      <c r="B3" s="125" t="str">
        <f>VLOOKUP(A3,'Swiss Registry'!$A$2:$B$703,2,False)</f>
        <v>Churi</v>
      </c>
      <c r="C3" s="105" t="str">
        <f t="shared" ref="C3:C33" si="1">IF(H3="dead","",IF(H3="a:act","",IF(H3="b:act","",IF(ISURL(HYPERLINK(INDIRECT("Importer!B"&amp;MID(H3,2,4)+1,TRUE))),HYPERLINK(INDIRECT("Importer!B"&amp;MID(H3,2,4)+1,TRUE), "Game 1"),""))))</f>
        <v>Game 1</v>
      </c>
      <c r="D3" s="106" t="str">
        <f t="shared" ref="D3:D33" si="2">IF(H3="dead","Dead Game",IF(H3="a:act","Act: "&amp;B3,IF(H3="b:act","Act: "&amp;F3,IF(ISURL(HYPERLINK(INDIRECT("Importer!B"&amp;MID(H3,6,4)+1,TRUE))),HYPERLINK(INDIRECT("Importer!B"&amp;MID(H3,6,4)+1,TRUE), "Game 2"),""))))</f>
        <v>Game 2</v>
      </c>
      <c r="E3" s="110" t="str">
        <f t="shared" ref="E3:E33" si="3">IF(H3="dead","",IF(H3="a:act","",IF(H3="b:act","",IF(ISURL(HYPERLINK(INDIRECT("Importer!B"&amp;MID(H3,10,4)+1,TRUE))),HYPERLINK(INDIRECT("Importer!B"&amp;MID(H3,10,4)+1,TRUE), "Game 3"),""))))</f>
        <v>Game 3</v>
      </c>
      <c r="F3" s="125" t="str">
        <f>VLOOKUP(G3,'Swiss Registry'!$A$2:$B$703,2,False)</f>
        <v>durmain (slamonBbq)</v>
      </c>
      <c r="G3" s="84">
        <v>245.0</v>
      </c>
      <c r="H3" s="93" t="s">
        <v>2977</v>
      </c>
      <c r="I3" s="141" t="str">
        <f t="array" ref="I3">XLOOKUP(CELL("contents",B3),'Swiss Registry'!$B$2:$B$703,'Swiss Registry'!$N$2:$N$703) </f>
        <v>740316248210014380</v>
      </c>
      <c r="J3" s="142" t="str">
        <f t="array" ref="J3">XLOOKUP(CELL("contents",F3),'Swiss Registry'!$B$2:$B$703,'Swiss Registry'!$N$2:$N$703) </f>
        <v>166049321983279104</v>
      </c>
    </row>
    <row r="4">
      <c r="A4" s="84">
        <v>1.0</v>
      </c>
      <c r="B4" s="125" t="str">
        <f>VLOOKUP(A4,'Swiss Registry'!$A$2:$B$703,2,False)</f>
        <v>Fakes</v>
      </c>
      <c r="C4" s="105" t="str">
        <f t="shared" si="1"/>
        <v>Game 1</v>
      </c>
      <c r="D4" s="106" t="str">
        <f t="shared" si="2"/>
        <v>Game 2</v>
      </c>
      <c r="E4" s="107" t="str">
        <f t="shared" si="3"/>
        <v/>
      </c>
      <c r="F4" s="125" t="str">
        <f>VLOOKUP(G4,'Swiss Registry'!$A$2:$B$703,2,False)</f>
        <v>dicerat8</v>
      </c>
      <c r="G4" s="84">
        <v>120.0</v>
      </c>
      <c r="H4" s="93" t="s">
        <v>2978</v>
      </c>
      <c r="I4" s="141" t="str">
        <f t="array" ref="I4">XLOOKUP(CELL("contents",B4),'Swiss Registry'!$B$2:$B$703,'Swiss Registry'!$N$2:$N$703) </f>
        <v>917864414269550693</v>
      </c>
      <c r="J4" s="142" t="str">
        <f t="array" ref="J4">XLOOKUP(CELL("contents",F4),'Swiss Registry'!$B$2:$B$703,'Swiss Registry'!$N$2:$N$703) </f>
        <v>811484330421387285</v>
      </c>
    </row>
    <row r="5">
      <c r="A5" s="84">
        <v>6.0</v>
      </c>
      <c r="B5" s="125" t="str">
        <f>VLOOKUP(A5,'Swiss Registry'!$A$2:$B$703,2,False)</f>
        <v>Fear</v>
      </c>
      <c r="C5" s="105" t="str">
        <f t="shared" si="1"/>
        <v>Game 1</v>
      </c>
      <c r="D5" s="106" t="str">
        <f t="shared" si="2"/>
        <v>Game 2</v>
      </c>
      <c r="E5" s="107" t="str">
        <f t="shared" si="3"/>
        <v/>
      </c>
      <c r="F5" s="125" t="str">
        <f>VLOOKUP(G5,'Swiss Registry'!$A$2:$B$703,2,False)</f>
        <v>Amir (lordamir &amp; lordamir2)</v>
      </c>
      <c r="G5" s="84">
        <v>157.0</v>
      </c>
      <c r="H5" s="93" t="s">
        <v>2979</v>
      </c>
      <c r="I5" s="141" t="str">
        <f t="array" ref="I5">XLOOKUP(CELL("contents",B5),'Swiss Registry'!$B$2:$B$703,'Swiss Registry'!$N$2:$N$703) </f>
        <v>125981893828149248</v>
      </c>
      <c r="J5" s="142" t="str">
        <f t="array" ref="J5">XLOOKUP(CELL("contents",F5),'Swiss Registry'!$B$2:$B$703,'Swiss Registry'!$N$2:$N$703) </f>
        <v>480949875953893376</v>
      </c>
    </row>
    <row r="6">
      <c r="A6" s="84">
        <v>7.0</v>
      </c>
      <c r="B6" s="125" t="str">
        <f>VLOOKUP(A6,'Swiss Registry'!$A$2:$B$703,2,False)</f>
        <v>jumpy23</v>
      </c>
      <c r="C6" s="105" t="str">
        <f t="shared" si="1"/>
        <v>Game 1</v>
      </c>
      <c r="D6" s="106" t="str">
        <f t="shared" si="2"/>
        <v>Game 2</v>
      </c>
      <c r="E6" s="110" t="str">
        <f t="shared" si="3"/>
        <v>Game 3</v>
      </c>
      <c r="F6" s="125" t="str">
        <f>VLOOKUP(G6,'Swiss Registry'!$A$2:$B$703,2,False)</f>
        <v>Zelph</v>
      </c>
      <c r="G6" s="84">
        <v>46.0</v>
      </c>
      <c r="H6" s="93" t="s">
        <v>2980</v>
      </c>
      <c r="I6" s="141" t="str">
        <f t="array" ref="I6">XLOOKUP(CELL("contents",B6),'Swiss Registry'!$B$2:$B$703,'Swiss Registry'!$N$2:$N$703) </f>
        <v>127527434865082368</v>
      </c>
      <c r="J6" s="142" t="str">
        <f t="array" ref="J6">XLOOKUP(CELL("contents",F6),'Swiss Registry'!$B$2:$B$703,'Swiss Registry'!$N$2:$N$703) </f>
        <v>895466276191862855</v>
      </c>
    </row>
    <row r="7">
      <c r="A7" s="84">
        <v>9.0</v>
      </c>
      <c r="B7" s="125" t="str">
        <f>VLOOKUP(A7,'Swiss Registry'!$A$2:$B$703,2,False)</f>
        <v>Kollin</v>
      </c>
      <c r="C7" s="105" t="str">
        <f t="shared" si="1"/>
        <v>Game 1</v>
      </c>
      <c r="D7" s="106" t="str">
        <f t="shared" si="2"/>
        <v>Game 2</v>
      </c>
      <c r="E7" s="107" t="str">
        <f t="shared" si="3"/>
        <v/>
      </c>
      <c r="F7" s="125" t="str">
        <f>VLOOKUP(G7,'Swiss Registry'!$A$2:$B$703,2,False)</f>
        <v>Johnald</v>
      </c>
      <c r="G7" s="84">
        <v>32.0</v>
      </c>
      <c r="H7" s="93" t="s">
        <v>2981</v>
      </c>
      <c r="I7" s="141" t="str">
        <f t="array" ref="I7">XLOOKUP(CELL("contents",B7),'Swiss Registry'!$B$2:$B$703,'Swiss Registry'!$N$2:$N$703) </f>
        <v>83000775151714304</v>
      </c>
      <c r="J7" s="142" t="str">
        <f t="array" ref="J7">XLOOKUP(CELL("contents",F7),'Swiss Registry'!$B$2:$B$703,'Swiss Registry'!$N$2:$N$703) </f>
        <v>196328307241910272</v>
      </c>
    </row>
    <row r="8">
      <c r="A8" s="84">
        <v>16.0</v>
      </c>
      <c r="B8" s="125" t="str">
        <f>VLOOKUP(A8,'Swiss Registry'!$A$2:$B$703,2,False)</f>
        <v>Mielke</v>
      </c>
      <c r="C8" s="105" t="str">
        <f t="shared" si="1"/>
        <v>Game 1</v>
      </c>
      <c r="D8" s="106" t="str">
        <f t="shared" si="2"/>
        <v>Game 2</v>
      </c>
      <c r="E8" s="110" t="str">
        <f t="shared" si="3"/>
        <v>Game 3</v>
      </c>
      <c r="F8" s="125" t="str">
        <f>VLOOKUP(G8,'Swiss Registry'!$A$2:$B$703,2,False)</f>
        <v>Pokology</v>
      </c>
      <c r="G8" s="84">
        <v>18.0</v>
      </c>
      <c r="H8" s="93" t="s">
        <v>2982</v>
      </c>
      <c r="I8" s="141" t="str">
        <f t="array" ref="I8">XLOOKUP(CELL("contents",B8),'Swiss Registry'!$B$2:$B$703,'Swiss Registry'!$N$2:$N$703) </f>
        <v>324650949371232257</v>
      </c>
      <c r="J8" s="142" t="str">
        <f t="array" ref="J8">XLOOKUP(CELL("contents",F8),'Swiss Registry'!$B$2:$B$703,'Swiss Registry'!$N$2:$N$703) </f>
        <v>647891006347542566</v>
      </c>
    </row>
    <row r="9">
      <c r="A9" s="84">
        <v>10.0</v>
      </c>
      <c r="B9" s="125" t="str">
        <f>VLOOKUP(A9,'Swiss Registry'!$A$2:$B$703,2,False)</f>
        <v>Cyberodin</v>
      </c>
      <c r="C9" s="105" t="str">
        <f t="shared" si="1"/>
        <v>Game 1</v>
      </c>
      <c r="D9" s="106" t="str">
        <f t="shared" si="2"/>
        <v>Game 2</v>
      </c>
      <c r="E9" s="107" t="str">
        <f t="shared" si="3"/>
        <v/>
      </c>
      <c r="F9" s="125" t="str">
        <f>VLOOKUP(G9,'Swiss Registry'!$A$2:$B$703,2,False)</f>
        <v>emerald_harrold</v>
      </c>
      <c r="G9" s="84">
        <v>595.0</v>
      </c>
      <c r="H9" s="93" t="s">
        <v>2983</v>
      </c>
      <c r="I9" s="141" t="str">
        <f t="array" ref="I9">XLOOKUP(CELL("contents",B9),'Swiss Registry'!$B$2:$B$703,'Swiss Registry'!$N$2:$N$703) </f>
        <v>259426043285340160</v>
      </c>
      <c r="J9" s="142" t="str">
        <f t="array" ref="J9">XLOOKUP(CELL("contents",F9),'Swiss Registry'!$B$2:$B$703,'Swiss Registry'!$N$2:$N$703) </f>
        <v>895687390142812161</v>
      </c>
    </row>
    <row r="10">
      <c r="A10" s="84">
        <v>3.0</v>
      </c>
      <c r="B10" s="125" t="str">
        <f>VLOOKUP(A10,'Swiss Registry'!$A$2:$B$703,2,False)</f>
        <v>Triangles</v>
      </c>
      <c r="C10" s="105" t="str">
        <f t="shared" si="1"/>
        <v>Game 1</v>
      </c>
      <c r="D10" s="106" t="str">
        <f t="shared" si="2"/>
        <v>Game 2</v>
      </c>
      <c r="E10" s="110" t="str">
        <f t="shared" si="3"/>
        <v>Game 3</v>
      </c>
      <c r="F10" s="125" t="str">
        <f>VLOOKUP(G10,'Swiss Registry'!$A$2:$B$703,2,False)</f>
        <v>Agustin Palacios</v>
      </c>
      <c r="G10" s="84">
        <v>265.0</v>
      </c>
      <c r="H10" s="93" t="s">
        <v>2984</v>
      </c>
      <c r="I10" s="141" t="str">
        <f t="array" ref="I10">XLOOKUP(CELL("contents",B10),'Swiss Registry'!$B$2:$B$703,'Swiss Registry'!$N$2:$N$703) </f>
        <v>587394354725912717</v>
      </c>
      <c r="J10" s="142" t="str">
        <f t="array" ref="J10">XLOOKUP(CELL("contents",F10),'Swiss Registry'!$B$2:$B$703,'Swiss Registry'!$N$2:$N$703) </f>
        <v>547461638647840805</v>
      </c>
    </row>
    <row r="11">
      <c r="A11" s="84">
        <v>4.0</v>
      </c>
      <c r="B11" s="125" t="str">
        <f>VLOOKUP(A11,'Swiss Registry'!$A$2:$B$703,2,False)</f>
        <v>pkLeech</v>
      </c>
      <c r="C11" s="105" t="str">
        <f t="shared" si="1"/>
        <v>Game 1</v>
      </c>
      <c r="D11" s="106" t="str">
        <f t="shared" si="2"/>
        <v>Game 2</v>
      </c>
      <c r="E11" s="107" t="str">
        <f t="shared" si="3"/>
        <v/>
      </c>
      <c r="F11" s="125" t="str">
        <f>VLOOKUP(G11,'Swiss Registry'!$A$2:$B$703,2,False)</f>
        <v>CheesiMoon</v>
      </c>
      <c r="G11" s="84">
        <v>124.0</v>
      </c>
      <c r="H11" s="93" t="s">
        <v>2985</v>
      </c>
      <c r="I11" s="141" t="str">
        <f t="array" ref="I11">XLOOKUP(CELL("contents",B11),'Swiss Registry'!$B$2:$B$703,'Swiss Registry'!$N$2:$N$703) </f>
        <v>461288985944391708</v>
      </c>
      <c r="J11" s="142" t="str">
        <f t="array" ref="J11">XLOOKUP(CELL("contents",F11),'Swiss Registry'!$B$2:$B$703,'Swiss Registry'!$N$2:$N$703) </f>
        <v>231980254887936000</v>
      </c>
    </row>
    <row r="12">
      <c r="A12" s="84">
        <v>11.0</v>
      </c>
      <c r="B12" s="125" t="str">
        <f>VLOOKUP(A12,'Swiss Registry'!$A$2:$B$703,2,False)</f>
        <v>Blues</v>
      </c>
      <c r="C12" s="105" t="str">
        <f t="shared" si="1"/>
        <v>Game 1</v>
      </c>
      <c r="D12" s="106" t="str">
        <f t="shared" si="2"/>
        <v>Game 2</v>
      </c>
      <c r="E12" s="107" t="str">
        <f t="shared" si="3"/>
        <v/>
      </c>
      <c r="F12" s="125" t="str">
        <f>VLOOKUP(G12,'Swiss Registry'!$A$2:$B$703,2,False)</f>
        <v>socialinclusion</v>
      </c>
      <c r="G12" s="84">
        <v>676.0</v>
      </c>
      <c r="H12" s="93" t="s">
        <v>2986</v>
      </c>
      <c r="I12" s="141" t="str">
        <f t="array" ref="I12">XLOOKUP(CELL("contents",B12),'Swiss Registry'!$B$2:$B$703,'Swiss Registry'!$N$2:$N$703) </f>
        <v>687987394292482066</v>
      </c>
      <c r="J12" s="142" t="str">
        <f t="array" ref="J12">XLOOKUP(CELL("contents",F12),'Swiss Registry'!$B$2:$B$703,'Swiss Registry'!$N$2:$N$703) </f>
        <v>1287659687881474109</v>
      </c>
    </row>
    <row r="13">
      <c r="A13" s="84">
        <v>12.0</v>
      </c>
      <c r="B13" s="125" t="str">
        <f>VLOOKUP(A13,'Swiss Registry'!$A$2:$B$703,2,False)</f>
        <v>Pak</v>
      </c>
      <c r="C13" s="105" t="str">
        <f t="shared" si="1"/>
        <v>Game 1</v>
      </c>
      <c r="D13" s="106" t="str">
        <f t="shared" si="2"/>
        <v>Game 2</v>
      </c>
      <c r="E13" s="110" t="str">
        <f t="shared" si="3"/>
        <v>Game 3</v>
      </c>
      <c r="F13" s="125" t="str">
        <f>VLOOKUP(G13,'Swiss Registry'!$A$2:$B$703,2,False)</f>
        <v>Blanched</v>
      </c>
      <c r="G13" s="84">
        <v>695.0</v>
      </c>
      <c r="H13" s="93" t="s">
        <v>2987</v>
      </c>
      <c r="I13" s="141" t="str">
        <f t="array" ref="I13">XLOOKUP(CELL("contents",B13),'Swiss Registry'!$B$2:$B$703,'Swiss Registry'!$N$2:$N$703) </f>
        <v>172884622986706945</v>
      </c>
      <c r="J13" s="142" t="str">
        <f t="array" ref="J13">XLOOKUP(CELL("contents",F13),'Swiss Registry'!$B$2:$B$703,'Swiss Registry'!$N$2:$N$703) </f>
        <v>270997842628182026</v>
      </c>
    </row>
    <row r="14">
      <c r="A14" s="84">
        <v>13.0</v>
      </c>
      <c r="B14" s="125" t="str">
        <f>VLOOKUP(A14,'Swiss Registry'!$A$2:$B$703,2,False)</f>
        <v>River</v>
      </c>
      <c r="C14" s="105" t="str">
        <f t="shared" si="1"/>
        <v>Game 1</v>
      </c>
      <c r="D14" s="106" t="str">
        <f t="shared" si="2"/>
        <v>Game 2</v>
      </c>
      <c r="E14" s="110" t="str">
        <f t="shared" si="3"/>
        <v>Game 3</v>
      </c>
      <c r="F14" s="125" t="str">
        <f>VLOOKUP(G14,'Swiss Registry'!$A$2:$B$703,2,False)</f>
        <v>oskari1707</v>
      </c>
      <c r="G14" s="84">
        <v>517.0</v>
      </c>
      <c r="H14" s="93" t="s">
        <v>2988</v>
      </c>
      <c r="I14" s="141" t="str">
        <f t="array" ref="I14">XLOOKUP(CELL("contents",B14),'Swiss Registry'!$B$2:$B$703,'Swiss Registry'!$N$2:$N$703) </f>
        <v>543280883000541224</v>
      </c>
      <c r="J14" s="142" t="str">
        <f t="array" ref="J14">XLOOKUP(CELL("contents",F14),'Swiss Registry'!$B$2:$B$703,'Swiss Registry'!$N$2:$N$703) </f>
        <v>920018351684730910</v>
      </c>
    </row>
    <row r="15">
      <c r="A15" s="84">
        <v>15.0</v>
      </c>
      <c r="B15" s="125" t="str">
        <f>VLOOKUP(A15,'Swiss Registry'!$A$2:$B$703,2,False)</f>
        <v>Carapinga</v>
      </c>
      <c r="C15" s="105" t="str">
        <f t="shared" si="1"/>
        <v>Game 1</v>
      </c>
      <c r="D15" s="106" t="str">
        <f t="shared" si="2"/>
        <v>Game 2</v>
      </c>
      <c r="E15" s="107" t="str">
        <f t="shared" si="3"/>
        <v/>
      </c>
      <c r="F15" s="125" t="str">
        <f>VLOOKUP(G15,'Swiss Registry'!$A$2:$B$703,2,False)</f>
        <v>annuit99</v>
      </c>
      <c r="G15" s="84">
        <v>113.0</v>
      </c>
      <c r="H15" s="93" t="s">
        <v>2989</v>
      </c>
      <c r="I15" s="141" t="str">
        <f t="array" ref="I15">XLOOKUP(CELL("contents",B15),'Swiss Registry'!$B$2:$B$703,'Swiss Registry'!$N$2:$N$703) </f>
        <v>475993004994330629</v>
      </c>
      <c r="J15" s="142" t="str">
        <f t="array" ref="J15">XLOOKUP(CELL("contents",F15),'Swiss Registry'!$B$2:$B$703,'Swiss Registry'!$N$2:$N$703) </f>
        <v>397519983669805060</v>
      </c>
    </row>
    <row r="16">
      <c r="A16" s="84">
        <v>21.0</v>
      </c>
      <c r="B16" s="125" t="str">
        <f>VLOOKUP(A16,'Swiss Registry'!$A$2:$B$703,2,False)</f>
        <v>Adam</v>
      </c>
      <c r="C16" s="105" t="str">
        <f t="shared" si="1"/>
        <v>Game 1</v>
      </c>
      <c r="D16" s="106" t="str">
        <f t="shared" si="2"/>
        <v>Game 2</v>
      </c>
      <c r="E16" s="107" t="str">
        <f t="shared" si="3"/>
        <v/>
      </c>
      <c r="F16" s="125" t="str">
        <f>VLOOKUP(G16,'Swiss Registry'!$A$2:$B$703,2,False)</f>
        <v>monchooo</v>
      </c>
      <c r="G16" s="84">
        <v>269.0</v>
      </c>
      <c r="H16" s="93" t="s">
        <v>2990</v>
      </c>
      <c r="I16" s="141" t="str">
        <f t="array" ref="I16">XLOOKUP(CELL("contents",B16),'Swiss Registry'!$B$2:$B$703,'Swiss Registry'!$N$2:$N$703) </f>
        <v>714861229935689862</v>
      </c>
      <c r="J16" s="142" t="str">
        <f t="array" ref="J16">XLOOKUP(CELL("contents",F16),'Swiss Registry'!$B$2:$B$703,'Swiss Registry'!$N$2:$N$703) </f>
        <v>202168691893207041</v>
      </c>
    </row>
    <row r="17">
      <c r="A17" s="84">
        <v>22.0</v>
      </c>
      <c r="B17" s="125" t="str">
        <f>VLOOKUP(A17,'Swiss Registry'!$A$2:$B$703,2,False)</f>
        <v>laxuy</v>
      </c>
      <c r="C17" s="105" t="str">
        <f t="shared" si="1"/>
        <v>Game 1</v>
      </c>
      <c r="D17" s="106" t="str">
        <f t="shared" si="2"/>
        <v>Game 2</v>
      </c>
      <c r="E17" s="110" t="str">
        <f t="shared" si="3"/>
        <v>Game 3</v>
      </c>
      <c r="F17" s="125" t="str">
        <f>VLOOKUP(G17,'Swiss Registry'!$A$2:$B$703,2,False)</f>
        <v>fastandsleepy</v>
      </c>
      <c r="G17" s="84">
        <v>423.0</v>
      </c>
      <c r="H17" s="93" t="s">
        <v>2991</v>
      </c>
      <c r="I17" s="141" t="str">
        <f t="array" ref="I17">XLOOKUP(CELL("contents",B17),'Swiss Registry'!$B$2:$B$703,'Swiss Registry'!$N$2:$N$703) </f>
        <v>162377920117997568</v>
      </c>
      <c r="J17" s="142" t="str">
        <f t="array" ref="J17">XLOOKUP(CELL("contents",F17),'Swiss Registry'!$B$2:$B$703,'Swiss Registry'!$N$2:$N$703) </f>
        <v>428574676449624065</v>
      </c>
    </row>
    <row r="18">
      <c r="A18" s="84">
        <v>25.0</v>
      </c>
      <c r="B18" s="125" t="str">
        <f>VLOOKUP(A18,'Swiss Registry'!$A$2:$B$703,2,False)</f>
        <v>JR</v>
      </c>
      <c r="C18" s="111" t="str">
        <f t="shared" si="1"/>
        <v/>
      </c>
      <c r="D18" s="112" t="str">
        <f t="shared" si="2"/>
        <v>Act: JR</v>
      </c>
      <c r="E18" s="107" t="str">
        <f t="shared" si="3"/>
        <v/>
      </c>
      <c r="F18" s="125" t="str">
        <f>VLOOKUP(G18,'Swiss Registry'!$A$2:$B$703,2,False)</f>
        <v>_uka</v>
      </c>
      <c r="G18" s="84">
        <v>227.0</v>
      </c>
      <c r="H18" s="93" t="s">
        <v>1706</v>
      </c>
      <c r="I18" s="141" t="str">
        <f t="array" ref="I18">XLOOKUP(CELL("contents",B18),'Swiss Registry'!$B$2:$B$703,'Swiss Registry'!$N$2:$N$703) </f>
        <v>319563636483817472</v>
      </c>
      <c r="J18" s="142" t="str">
        <f t="array" ref="J18">XLOOKUP(CELL("contents",F18),'Swiss Registry'!$B$2:$B$703,'Swiss Registry'!$N$2:$N$703) </f>
        <v>277419088588832768</v>
      </c>
    </row>
    <row r="19">
      <c r="A19" s="84">
        <v>27.0</v>
      </c>
      <c r="B19" s="125" t="str">
        <f>VLOOKUP(A19,'Swiss Registry'!$A$2:$B$703,2,False)</f>
        <v>Sheik</v>
      </c>
      <c r="C19" s="105" t="str">
        <f t="shared" si="1"/>
        <v>Game 1</v>
      </c>
      <c r="D19" s="106" t="str">
        <f t="shared" si="2"/>
        <v>Game 2</v>
      </c>
      <c r="E19" s="107" t="str">
        <f t="shared" si="3"/>
        <v/>
      </c>
      <c r="F19" s="125" t="str">
        <f>VLOOKUP(G19,'Swiss Registry'!$A$2:$B$703,2,False)</f>
        <v>Stockings</v>
      </c>
      <c r="G19" s="84">
        <v>145.0</v>
      </c>
      <c r="H19" s="93" t="s">
        <v>2992</v>
      </c>
      <c r="I19" s="141" t="str">
        <f t="array" ref="I19">XLOOKUP(CELL("contents",B19),'Swiss Registry'!$B$2:$B$703,'Swiss Registry'!$N$2:$N$703) </f>
        <v>700432987858403420</v>
      </c>
      <c r="J19" s="142" t="str">
        <f t="array" ref="J19">XLOOKUP(CELL("contents",F19),'Swiss Registry'!$B$2:$B$703,'Swiss Registry'!$N$2:$N$703) </f>
        <v>163080133283020800</v>
      </c>
    </row>
    <row r="20">
      <c r="A20" s="84">
        <v>28.0</v>
      </c>
      <c r="B20" s="125" t="str">
        <f>VLOOKUP(A20,'Swiss Registry'!$A$2:$B$703,2,False)</f>
        <v>Typhoon Carter</v>
      </c>
      <c r="C20" s="105" t="str">
        <f t="shared" si="1"/>
        <v>Game 1</v>
      </c>
      <c r="D20" s="106" t="str">
        <f t="shared" si="2"/>
        <v>Game 2</v>
      </c>
      <c r="E20" s="110" t="str">
        <f t="shared" si="3"/>
        <v>Game 3</v>
      </c>
      <c r="F20" s="125" t="str">
        <f>VLOOKUP(G20,'Swiss Registry'!$A$2:$B$703,2,False)</f>
        <v>Alargemongoose</v>
      </c>
      <c r="G20" s="84">
        <v>226.0</v>
      </c>
      <c r="H20" s="93" t="s">
        <v>2993</v>
      </c>
      <c r="I20" s="141" t="str">
        <f t="array" ref="I20">XLOOKUP(CELL("contents",B20),'Swiss Registry'!$B$2:$B$703,'Swiss Registry'!$N$2:$N$703) </f>
        <v>313800288647774211</v>
      </c>
      <c r="J20" s="142" t="str">
        <f t="array" ref="J20">XLOOKUP(CELL("contents",F20),'Swiss Registry'!$B$2:$B$703,'Swiss Registry'!$N$2:$N$703) </f>
        <v>646736314645086228</v>
      </c>
    </row>
    <row r="21">
      <c r="A21" s="84">
        <v>30.0</v>
      </c>
      <c r="B21" s="125" t="str">
        <f>VLOOKUP(A21,'Swiss Registry'!$A$2:$B$703,2,False)</f>
        <v>eliandiditagain</v>
      </c>
      <c r="C21" s="105" t="str">
        <f t="shared" si="1"/>
        <v>Game 1</v>
      </c>
      <c r="D21" s="106" t="str">
        <f t="shared" si="2"/>
        <v>Game 2</v>
      </c>
      <c r="E21" s="110" t="str">
        <f t="shared" si="3"/>
        <v>Game 3</v>
      </c>
      <c r="F21" s="125" t="str">
        <f>VLOOKUP(G21,'Swiss Registry'!$A$2:$B$703,2,False)</f>
        <v>dragonsareoptimal</v>
      </c>
      <c r="G21" s="84">
        <v>222.0</v>
      </c>
      <c r="H21" s="93" t="s">
        <v>2994</v>
      </c>
      <c r="I21" s="141" t="str">
        <f t="array" ref="I21">XLOOKUP(CELL("contents",B21),'Swiss Registry'!$B$2:$B$703,'Swiss Registry'!$N$2:$N$703) </f>
        <v>268922335946342400</v>
      </c>
      <c r="J21" s="142" t="str">
        <f t="array" ref="J21">XLOOKUP(CELL("contents",F21),'Swiss Registry'!$B$2:$B$703,'Swiss Registry'!$N$2:$N$703) </f>
        <v>168945056303022081</v>
      </c>
    </row>
    <row r="22">
      <c r="A22" s="84">
        <v>35.0</v>
      </c>
      <c r="B22" s="125" t="str">
        <f>VLOOKUP(A22,'Swiss Registry'!$A$2:$B$703,2,False)</f>
        <v>Zacpz</v>
      </c>
      <c r="C22" s="105" t="str">
        <f t="shared" si="1"/>
        <v>Game 1</v>
      </c>
      <c r="D22" s="106" t="str">
        <f t="shared" si="2"/>
        <v>Game 2</v>
      </c>
      <c r="E22" s="107" t="str">
        <f t="shared" si="3"/>
        <v/>
      </c>
      <c r="F22" s="125" t="str">
        <f>VLOOKUP(G22,'Swiss Registry'!$A$2:$B$703,2,False)</f>
        <v>sligoblues</v>
      </c>
      <c r="G22" s="84">
        <v>693.0</v>
      </c>
      <c r="H22" s="93" t="s">
        <v>2995</v>
      </c>
      <c r="I22" s="141" t="str">
        <f t="array" ref="I22">XLOOKUP(CELL("contents",B22),'Swiss Registry'!$B$2:$B$703,'Swiss Registry'!$N$2:$N$703) </f>
        <v>719547987277119638</v>
      </c>
      <c r="J22" s="142" t="str">
        <f t="array" ref="J22">XLOOKUP(CELL("contents",F22),'Swiss Registry'!$B$2:$B$703,'Swiss Registry'!$N$2:$N$703) </f>
        <v>583755075298656300</v>
      </c>
    </row>
    <row r="23">
      <c r="A23" s="84">
        <v>36.0</v>
      </c>
      <c r="B23" s="125" t="str">
        <f>VLOOKUP(A23,'Swiss Registry'!$A$2:$B$703,2,False)</f>
        <v>Segale</v>
      </c>
      <c r="C23" s="105" t="str">
        <f t="shared" si="1"/>
        <v>Game 1</v>
      </c>
      <c r="D23" s="106" t="str">
        <f t="shared" si="2"/>
        <v>Game 2</v>
      </c>
      <c r="E23" s="110" t="str">
        <f t="shared" si="3"/>
        <v>Game 3</v>
      </c>
      <c r="F23" s="125" t="str">
        <f>VLOOKUP(G23,'Swiss Registry'!$A$2:$B$703,2,False)</f>
        <v>denizs8</v>
      </c>
      <c r="G23" s="84">
        <v>555.0</v>
      </c>
      <c r="H23" s="93" t="s">
        <v>2996</v>
      </c>
      <c r="I23" s="141" t="str">
        <f t="array" ref="I23">XLOOKUP(CELL("contents",B23),'Swiss Registry'!$B$2:$B$703,'Swiss Registry'!$N$2:$N$703) </f>
        <v>1059548623416856608</v>
      </c>
      <c r="J23" s="142" t="str">
        <f t="array" ref="J23">XLOOKUP(CELL("contents",F23),'Swiss Registry'!$B$2:$B$703,'Swiss Registry'!$N$2:$N$703) </f>
        <v>188407578202472448</v>
      </c>
    </row>
    <row r="24">
      <c r="A24" s="84">
        <v>39.0</v>
      </c>
      <c r="B24" s="125" t="str">
        <f>VLOOKUP(A24,'Swiss Registry'!$A$2:$B$703,2,False)</f>
        <v>earlgr3y</v>
      </c>
      <c r="C24" s="105" t="str">
        <f t="shared" si="1"/>
        <v>Game 1</v>
      </c>
      <c r="D24" s="106" t="str">
        <f t="shared" si="2"/>
        <v>Game 2</v>
      </c>
      <c r="E24" s="107" t="str">
        <f t="shared" si="3"/>
        <v/>
      </c>
      <c r="F24" s="125" t="str">
        <f>VLOOKUP(G24,'Swiss Registry'!$A$2:$B$703,2,False)</f>
        <v>Kenuckz</v>
      </c>
      <c r="G24" s="84">
        <v>567.0</v>
      </c>
      <c r="H24" s="93" t="s">
        <v>2997</v>
      </c>
      <c r="I24" s="141" t="str">
        <f t="array" ref="I24">XLOOKUP(CELL("contents",B24),'Swiss Registry'!$B$2:$B$703,'Swiss Registry'!$N$2:$N$703) </f>
        <v>1058405539903713330</v>
      </c>
      <c r="J24" s="142" t="str">
        <f t="array" ref="J24">XLOOKUP(CELL("contents",F24),'Swiss Registry'!$B$2:$B$703,'Swiss Registry'!$N$2:$N$703) </f>
        <v>152582039177134080</v>
      </c>
    </row>
    <row r="25">
      <c r="A25" s="84">
        <v>41.0</v>
      </c>
      <c r="B25" s="125" t="str">
        <f>VLOOKUP(A25,'Swiss Registry'!$A$2:$B$703,2,False)</f>
        <v>Celdanami</v>
      </c>
      <c r="C25" s="105" t="str">
        <f t="shared" si="1"/>
        <v>Game 1</v>
      </c>
      <c r="D25" s="106" t="str">
        <f t="shared" si="2"/>
        <v>Game 2</v>
      </c>
      <c r="E25" s="110" t="str">
        <f t="shared" si="3"/>
        <v>Game 3</v>
      </c>
      <c r="F25" s="125" t="str">
        <f>VLOOKUP(G25,'Swiss Registry'!$A$2:$B$703,2,False)</f>
        <v>FaceOFF</v>
      </c>
      <c r="G25" s="84">
        <v>411.0</v>
      </c>
      <c r="H25" s="93" t="s">
        <v>2998</v>
      </c>
      <c r="I25" s="141" t="str">
        <f t="array" ref="I25">XLOOKUP(CELL("contents",B25),'Swiss Registry'!$B$2:$B$703,'Swiss Registry'!$N$2:$N$703) </f>
        <v>1031364783804526612</v>
      </c>
      <c r="J25" s="142" t="str">
        <f t="array" ref="J25">XLOOKUP(CELL("contents",F25),'Swiss Registry'!$B$2:$B$703,'Swiss Registry'!$N$2:$N$703) </f>
        <v>330062412294127616</v>
      </c>
    </row>
    <row r="26">
      <c r="A26" s="84">
        <v>42.0</v>
      </c>
      <c r="B26" s="125" t="str">
        <f>VLOOKUP(A26,'Swiss Registry'!$A$2:$B$703,2,False)</f>
        <v>ThisGuyMuks</v>
      </c>
      <c r="C26" s="105" t="str">
        <f t="shared" si="1"/>
        <v>Game 1</v>
      </c>
      <c r="D26" s="106" t="str">
        <f t="shared" si="2"/>
        <v>Game 2</v>
      </c>
      <c r="E26" s="107" t="str">
        <f t="shared" si="3"/>
        <v/>
      </c>
      <c r="F26" s="125" t="str">
        <f>VLOOKUP(G26,'Swiss Registry'!$A$2:$B$703,2,False)</f>
        <v>Nicko8</v>
      </c>
      <c r="G26" s="84">
        <v>622.0</v>
      </c>
      <c r="H26" s="93" t="s">
        <v>2999</v>
      </c>
      <c r="I26" s="141" t="str">
        <f t="array" ref="I26">XLOOKUP(CELL("contents",B26),'Swiss Registry'!$B$2:$B$703,'Swiss Registry'!$N$2:$N$703) </f>
        <v>397627331637805056</v>
      </c>
      <c r="J26" s="142" t="str">
        <f t="array" ref="J26">XLOOKUP(CELL("contents",F26),'Swiss Registry'!$B$2:$B$703,'Swiss Registry'!$N$2:$N$703) </f>
        <v>148744968666742784</v>
      </c>
    </row>
    <row r="27">
      <c r="A27" s="84">
        <v>43.0</v>
      </c>
      <c r="B27" s="125" t="str">
        <f>VLOOKUP(A27,'Swiss Registry'!$A$2:$B$703,2,False)</f>
        <v>Christos</v>
      </c>
      <c r="C27" s="105" t="str">
        <f t="shared" si="1"/>
        <v>Game 1</v>
      </c>
      <c r="D27" s="106" t="str">
        <f t="shared" si="2"/>
        <v>Game 2</v>
      </c>
      <c r="E27" s="107" t="str">
        <f t="shared" si="3"/>
        <v/>
      </c>
      <c r="F27" s="125" t="str">
        <f>VLOOKUP(G27,'Swiss Registry'!$A$2:$B$703,2,False)</f>
        <v>witgiz</v>
      </c>
      <c r="G27" s="84">
        <v>588.0</v>
      </c>
      <c r="H27" s="93" t="s">
        <v>3000</v>
      </c>
      <c r="I27" s="141" t="str">
        <f t="array" ref="I27">XLOOKUP(CELL("contents",B27),'Swiss Registry'!$B$2:$B$703,'Swiss Registry'!$N$2:$N$703) </f>
        <v>202869299113623563</v>
      </c>
      <c r="J27" s="142" t="str">
        <f t="array" ref="J27">XLOOKUP(CELL("contents",F27),'Swiss Registry'!$B$2:$B$703,'Swiss Registry'!$N$2:$N$703) </f>
        <v>745414414429192303</v>
      </c>
    </row>
    <row r="28">
      <c r="A28" s="84">
        <v>45.0</v>
      </c>
      <c r="B28" s="125" t="str">
        <f>VLOOKUP(A28,'Swiss Registry'!$A$2:$B$703,2,False)</f>
        <v>DeezCastforms</v>
      </c>
      <c r="C28" s="105" t="str">
        <f t="shared" si="1"/>
        <v>Game 1</v>
      </c>
      <c r="D28" s="106" t="str">
        <f t="shared" si="2"/>
        <v>Game 2</v>
      </c>
      <c r="E28" s="107" t="str">
        <f t="shared" si="3"/>
        <v/>
      </c>
      <c r="F28" s="125" t="str">
        <f>VLOOKUP(G28,'Swiss Registry'!$A$2:$B$703,2,False)</f>
        <v>justbestlevels</v>
      </c>
      <c r="G28" s="84">
        <v>687.0</v>
      </c>
      <c r="H28" s="93" t="s">
        <v>3001</v>
      </c>
      <c r="I28" s="141" t="str">
        <f t="array" ref="I28">XLOOKUP(CELL("contents",B28),'Swiss Registry'!$B$2:$B$703,'Swiss Registry'!$N$2:$N$703) </f>
        <v>358052192915292161</v>
      </c>
      <c r="J28" s="142" t="str">
        <f t="array" ref="J28">XLOOKUP(CELL("contents",F28),'Swiss Registry'!$B$2:$B$703,'Swiss Registry'!$N$2:$N$703) </f>
        <v>1266216530601971775</v>
      </c>
    </row>
    <row r="29">
      <c r="A29" s="84">
        <v>48.0</v>
      </c>
      <c r="B29" s="125" t="str">
        <f>VLOOKUP(A29,'Swiss Registry'!$A$2:$B$703,2,False)</f>
        <v>Don Tonionie</v>
      </c>
      <c r="C29" s="105" t="str">
        <f t="shared" si="1"/>
        <v>Game 1</v>
      </c>
      <c r="D29" s="106" t="str">
        <f t="shared" si="2"/>
        <v>Game 2</v>
      </c>
      <c r="E29" s="107" t="str">
        <f t="shared" si="3"/>
        <v/>
      </c>
      <c r="F29" s="125" t="str">
        <f>VLOOKUP(G29,'Swiss Registry'!$A$2:$B$703,2,False)</f>
        <v>cepulo</v>
      </c>
      <c r="G29" s="84">
        <v>527.0</v>
      </c>
      <c r="H29" s="93" t="s">
        <v>3002</v>
      </c>
      <c r="I29" s="141" t="str">
        <f t="array" ref="I29">XLOOKUP(CELL("contents",B29),'Swiss Registry'!$B$2:$B$703,'Swiss Registry'!$N$2:$N$703) </f>
        <v>281159058155634700</v>
      </c>
      <c r="J29" s="142" t="str">
        <f t="array" ref="J29">XLOOKUP(CELL("contents",F29),'Swiss Registry'!$B$2:$B$703,'Swiss Registry'!$N$2:$N$703) </f>
        <v>1223051167505059850</v>
      </c>
    </row>
    <row r="30">
      <c r="A30" s="84">
        <v>49.0</v>
      </c>
      <c r="B30" s="125" t="str">
        <f>VLOOKUP(A30,'Swiss Registry'!$A$2:$B$703,2,False)</f>
        <v>Bhol</v>
      </c>
      <c r="C30" s="105" t="str">
        <f t="shared" si="1"/>
        <v>Game 1</v>
      </c>
      <c r="D30" s="106" t="str">
        <f t="shared" si="2"/>
        <v>Game 2</v>
      </c>
      <c r="E30" s="107" t="str">
        <f t="shared" si="3"/>
        <v/>
      </c>
      <c r="F30" s="125" t="str">
        <f>VLOOKUP(G30,'Swiss Registry'!$A$2:$B$703,2,False)</f>
        <v>sieefffmon</v>
      </c>
      <c r="G30" s="84">
        <v>330.0</v>
      </c>
      <c r="H30" s="93" t="s">
        <v>3003</v>
      </c>
      <c r="I30" s="141" t="str">
        <f t="array" ref="I30">XLOOKUP(CELL("contents",B30),'Swiss Registry'!$B$2:$B$703,'Swiss Registry'!$N$2:$N$703) </f>
        <v>708350647879335966</v>
      </c>
      <c r="J30" s="142" t="str">
        <f t="array" ref="J30">XLOOKUP(CELL("contents",F30),'Swiss Registry'!$B$2:$B$703,'Swiss Registry'!$N$2:$N$703) </f>
        <v>257242537582919691</v>
      </c>
    </row>
    <row r="31">
      <c r="A31" s="84">
        <v>50.0</v>
      </c>
      <c r="B31" s="125" t="str">
        <f>VLOOKUP(A31,'Swiss Registry'!$A$2:$B$703,2,False)</f>
        <v>xTina</v>
      </c>
      <c r="C31" s="105" t="str">
        <f t="shared" si="1"/>
        <v>Game 1</v>
      </c>
      <c r="D31" s="106" t="str">
        <f t="shared" si="2"/>
        <v>Game 2</v>
      </c>
      <c r="E31" s="107" t="str">
        <f t="shared" si="3"/>
        <v/>
      </c>
      <c r="F31" s="125" t="str">
        <f>VLOOKUP(G31,'Swiss Registry'!$A$2:$B$703,2,False)</f>
        <v>xho_xho_</v>
      </c>
      <c r="G31" s="84">
        <v>550.0</v>
      </c>
      <c r="H31" s="93" t="s">
        <v>3004</v>
      </c>
      <c r="I31" s="141" t="str">
        <f t="array" ref="I31">XLOOKUP(CELL("contents",B31),'Swiss Registry'!$B$2:$B$703,'Swiss Registry'!$N$2:$N$703) </f>
        <v>157273003971969025</v>
      </c>
      <c r="J31" s="142" t="str">
        <f t="array" ref="J31">XLOOKUP(CELL("contents",F31),'Swiss Registry'!$B$2:$B$703,'Swiss Registry'!$N$2:$N$703) </f>
        <v>1026473914269978624</v>
      </c>
    </row>
    <row r="32">
      <c r="A32" s="84">
        <v>55.0</v>
      </c>
      <c r="B32" s="125" t="str">
        <f>VLOOKUP(A32,'Swiss Registry'!$A$2:$B$703,2,False)</f>
        <v>Kai (aplgd)</v>
      </c>
      <c r="C32" s="105" t="str">
        <f t="shared" si="1"/>
        <v>Game 1</v>
      </c>
      <c r="D32" s="106" t="str">
        <f t="shared" si="2"/>
        <v>Game 2</v>
      </c>
      <c r="E32" s="107" t="str">
        <f t="shared" si="3"/>
        <v/>
      </c>
      <c r="F32" s="125" t="str">
        <f>VLOOKUP(G32,'Swiss Registry'!$A$2:$B$703,2,False)</f>
        <v>depressioncherry_66209</v>
      </c>
      <c r="G32" s="84">
        <v>185.0</v>
      </c>
      <c r="H32" s="93" t="s">
        <v>3005</v>
      </c>
      <c r="I32" s="141" t="str">
        <f t="array" ref="I32">XLOOKUP(CELL("contents",B32),'Swiss Registry'!$B$2:$B$703,'Swiss Registry'!$N$2:$N$703) </f>
        <v>782951193495207938</v>
      </c>
      <c r="J32" s="142" t="str">
        <f t="array" ref="J32">XLOOKUP(CELL("contents",F32),'Swiss Registry'!$B$2:$B$703,'Swiss Registry'!$N$2:$N$703) </f>
        <v>1223996337217863761</v>
      </c>
    </row>
    <row r="33">
      <c r="A33" s="84">
        <v>57.0</v>
      </c>
      <c r="B33" s="125" t="str">
        <f>VLOOKUP(A33,'Swiss Registry'!$A$2:$B$703,2,False)</f>
        <v>MeEsSm</v>
      </c>
      <c r="C33" s="105" t="str">
        <f t="shared" si="1"/>
        <v>Game 1</v>
      </c>
      <c r="D33" s="106" t="str">
        <f t="shared" si="2"/>
        <v>Game 2</v>
      </c>
      <c r="E33" s="110" t="str">
        <f t="shared" si="3"/>
        <v>Game 3</v>
      </c>
      <c r="F33" s="125" t="str">
        <f>VLOOKUP(G33,'Swiss Registry'!$A$2:$B$703,2,False)</f>
        <v>Skarpherim</v>
      </c>
      <c r="G33" s="84">
        <v>184.0</v>
      </c>
      <c r="H33" s="93" t="s">
        <v>3006</v>
      </c>
      <c r="I33" s="141" t="str">
        <f t="array" ref="I33">XLOOKUP(CELL("contents",B33),'Swiss Registry'!$B$2:$B$703,'Swiss Registry'!$N$2:$N$703) </f>
        <v>316388400540286978</v>
      </c>
      <c r="J33" s="142" t="str">
        <f t="array" ref="J33">XLOOKUP(CELL("contents",F33),'Swiss Registry'!$B$2:$B$703,'Swiss Registry'!$N$2:$N$703) </f>
        <v>1167951538963103815</v>
      </c>
    </row>
    <row r="34">
      <c r="A34" s="124"/>
      <c r="B34" s="122"/>
      <c r="C34" s="123"/>
      <c r="D34" s="138" t="s">
        <v>2844</v>
      </c>
      <c r="E34" s="123"/>
      <c r="F34" s="122"/>
      <c r="G34" s="124"/>
      <c r="H34" s="93"/>
      <c r="I34" s="139"/>
      <c r="J34" s="139"/>
    </row>
    <row r="35" ht="15.0" customHeight="1">
      <c r="A35" s="84">
        <v>60.0</v>
      </c>
      <c r="B35" s="125" t="str">
        <f>VLOOKUP(A35,'Swiss Registry'!$A$2:$B$703,2,False)</f>
        <v>Exiline</v>
      </c>
      <c r="C35" s="105" t="str">
        <f t="shared" ref="C35:C64" si="4">IF(H35="dead","",IF(H35="a:act","",IF(H35="b:act","",IF(ISURL(HYPERLINK(INDIRECT("Importer!B"&amp;MID(H35,2,4)+1,TRUE))),HYPERLINK(INDIRECT("Importer!B"&amp;MID(H35,2,4)+1,TRUE), "Game 1"),""))))</f>
        <v>Game 1</v>
      </c>
      <c r="D35" s="106" t="str">
        <f t="shared" ref="D35:D64" si="5">IF(H35="dead","Dead Game",IF(H35="a:act","Act: "&amp;B35,IF(H35="b:act","Act: "&amp;F35,IF(ISURL(HYPERLINK(INDIRECT("Importer!B"&amp;MID(H35,6,4)+1,TRUE))),HYPERLINK(INDIRECT("Importer!B"&amp;MID(H35,6,4)+1,TRUE), "Game 2"),""))))</f>
        <v>Game 2</v>
      </c>
      <c r="E35" s="110" t="str">
        <f t="shared" ref="E35:E64" si="6">IF(H35="dead","",IF(H35="a:act","",IF(H35="b:act","",IF(ISURL(HYPERLINK(INDIRECT("Importer!B"&amp;MID(H35,10,4)+1,TRUE))),HYPERLINK(INDIRECT("Importer!B"&amp;MID(H35,10,4)+1,TRUE), "Game 3"),""))))</f>
        <v>Game 3</v>
      </c>
      <c r="F35" s="125" t="str">
        <f>VLOOKUP(G35,'Swiss Registry'!$A$2:$B$703,2,False)</f>
        <v>luisin</v>
      </c>
      <c r="G35" s="84">
        <v>558.0</v>
      </c>
      <c r="H35" s="93" t="s">
        <v>3007</v>
      </c>
      <c r="I35" s="141" t="str">
        <f t="array" ref="I35">XLOOKUP(CELL("contents",B35),'Swiss Registry'!$B$2:$B$703,'Swiss Registry'!$N$2:$N$703) </f>
        <v>155646670988640258</v>
      </c>
      <c r="J35" s="142" t="str">
        <f t="array" ref="J35">XLOOKUP(CELL("contents",F35),'Swiss Registry'!$B$2:$B$703,'Swiss Registry'!$N$2:$N$703) </f>
        <v>623656981244149798</v>
      </c>
    </row>
    <row r="36">
      <c r="A36" s="84">
        <v>61.0</v>
      </c>
      <c r="B36" s="125" t="str">
        <f>VLOOKUP(A36,'Swiss Registry'!$A$2:$B$703,2,False)</f>
        <v>Zpanther</v>
      </c>
      <c r="C36" s="105" t="str">
        <f t="shared" si="4"/>
        <v>Game 1</v>
      </c>
      <c r="D36" s="106" t="str">
        <f t="shared" si="5"/>
        <v>Game 2</v>
      </c>
      <c r="E36" s="107" t="str">
        <f t="shared" si="6"/>
        <v/>
      </c>
      <c r="F36" s="125" t="str">
        <f>VLOOKUP(G36,'Swiss Registry'!$A$2:$B$703,2,False)</f>
        <v>Dancing Along/Abreaction</v>
      </c>
      <c r="G36" s="84">
        <v>98.0</v>
      </c>
      <c r="H36" s="93" t="s">
        <v>3008</v>
      </c>
      <c r="I36" s="141" t="str">
        <f t="array" ref="I36">XLOOKUP(CELL("contents",B36),'Swiss Registry'!$B$2:$B$703,'Swiss Registry'!$N$2:$N$703) </f>
        <v>884609024937574432</v>
      </c>
      <c r="J36" s="142" t="str">
        <f t="array" ref="J36">XLOOKUP(CELL("contents",F36),'Swiss Registry'!$B$2:$B$703,'Swiss Registry'!$N$2:$N$703) </f>
        <v>386999541255110676</v>
      </c>
    </row>
    <row r="37">
      <c r="A37" s="84">
        <v>62.0</v>
      </c>
      <c r="B37" s="125" t="str">
        <f>VLOOKUP(A37,'Swiss Registry'!$A$2:$B$703,2,False)</f>
        <v>Nicole</v>
      </c>
      <c r="C37" s="105" t="str">
        <f t="shared" si="4"/>
        <v>Game 1</v>
      </c>
      <c r="D37" s="106" t="str">
        <f t="shared" si="5"/>
        <v>Game 2</v>
      </c>
      <c r="E37" s="107" t="str">
        <f t="shared" si="6"/>
        <v/>
      </c>
      <c r="F37" s="125" t="str">
        <f>VLOOKUP(G37,'Swiss Registry'!$A$2:$B$703,2,False)</f>
        <v>Seradess</v>
      </c>
      <c r="G37" s="84">
        <v>97.0</v>
      </c>
      <c r="H37" s="93" t="s">
        <v>3009</v>
      </c>
      <c r="I37" s="141" t="str">
        <f t="array" ref="I37">XLOOKUP(CELL("contents",B37),'Swiss Registry'!$B$2:$B$703,'Swiss Registry'!$N$2:$N$703) </f>
        <v>372784289420410882</v>
      </c>
      <c r="J37" s="142" t="str">
        <f t="array" ref="J37">XLOOKUP(CELL("contents",F37),'Swiss Registry'!$B$2:$B$703,'Swiss Registry'!$N$2:$N$703) </f>
        <v>244659660794101763</v>
      </c>
    </row>
    <row r="38">
      <c r="A38" s="84">
        <v>64.0</v>
      </c>
      <c r="B38" s="125" t="str">
        <f>VLOOKUP(A38,'Swiss Registry'!$A$2:$B$703,2,False)</f>
        <v>xGangg</v>
      </c>
      <c r="C38" s="105" t="str">
        <f t="shared" si="4"/>
        <v>Game 1</v>
      </c>
      <c r="D38" s="106" t="str">
        <f t="shared" si="5"/>
        <v>Game 2</v>
      </c>
      <c r="E38" s="110" t="str">
        <f t="shared" si="6"/>
        <v>Game 3</v>
      </c>
      <c r="F38" s="125" t="str">
        <f>VLOOKUP(G38,'Swiss Registry'!$A$2:$B$703,2,False)</f>
        <v>Otto</v>
      </c>
      <c r="G38" s="84">
        <v>95.0</v>
      </c>
      <c r="H38" s="93" t="s">
        <v>3010</v>
      </c>
      <c r="I38" s="141" t="str">
        <f t="array" ref="I38">XLOOKUP(CELL("contents",B38),'Swiss Registry'!$B$2:$B$703,'Swiss Registry'!$N$2:$N$703) </f>
        <v>219915887254175744</v>
      </c>
      <c r="J38" s="142" t="str">
        <f t="array" ref="J38">XLOOKUP(CELL("contents",F38),'Swiss Registry'!$B$2:$B$703,'Swiss Registry'!$N$2:$N$703) </f>
        <v>286683342131298304</v>
      </c>
    </row>
    <row r="39">
      <c r="A39" s="84">
        <v>69.0</v>
      </c>
      <c r="B39" s="125" t="str">
        <f>VLOOKUP(A39,'Swiss Registry'!$A$2:$B$703,2,False)</f>
        <v>Alice</v>
      </c>
      <c r="C39" s="105" t="str">
        <f t="shared" si="4"/>
        <v>Game 1</v>
      </c>
      <c r="D39" s="106" t="str">
        <f t="shared" si="5"/>
        <v>Game 2</v>
      </c>
      <c r="E39" s="107" t="str">
        <f t="shared" si="6"/>
        <v/>
      </c>
      <c r="F39" s="125" t="str">
        <f>VLOOKUP(G39,'Swiss Registry'!$A$2:$B$703,2,False)</f>
        <v>Cake</v>
      </c>
      <c r="G39" s="84">
        <v>86.0</v>
      </c>
      <c r="H39" s="93" t="s">
        <v>3011</v>
      </c>
      <c r="I39" s="141" t="str">
        <f t="array" ref="I39">XLOOKUP(CELL("contents",B39),'Swiss Registry'!$B$2:$B$703,'Swiss Registry'!$N$2:$N$703) </f>
        <v>236760957034954753</v>
      </c>
      <c r="J39" s="142" t="str">
        <f t="array" ref="J39">XLOOKUP(CELL("contents",F39),'Swiss Registry'!$B$2:$B$703,'Swiss Registry'!$N$2:$N$703) </f>
        <v>1062100541871771689</v>
      </c>
    </row>
    <row r="40">
      <c r="A40" s="84">
        <v>70.0</v>
      </c>
      <c r="B40" s="125" t="str">
        <f>VLOOKUP(A40,'Swiss Registry'!$A$2:$B$703,2,False)</f>
        <v>H&gt;L</v>
      </c>
      <c r="C40" s="105" t="str">
        <f t="shared" si="4"/>
        <v>Game 1</v>
      </c>
      <c r="D40" s="106" t="str">
        <f t="shared" si="5"/>
        <v>Game 2</v>
      </c>
      <c r="E40" s="107" t="str">
        <f t="shared" si="6"/>
        <v/>
      </c>
      <c r="F40" s="125" t="str">
        <f>VLOOKUP(G40,'Swiss Registry'!$A$2:$B$703,2,False)</f>
        <v>qsns</v>
      </c>
      <c r="G40" s="84">
        <v>84.0</v>
      </c>
      <c r="H40" s="93" t="s">
        <v>3012</v>
      </c>
      <c r="I40" s="141" t="str">
        <f t="array" ref="I40">XLOOKUP(CELL("contents",B40),'Swiss Registry'!$B$2:$B$703,'Swiss Registry'!$N$2:$N$703) </f>
        <v>669658442071408672</v>
      </c>
      <c r="J40" s="142" t="str">
        <f t="array" ref="J40">XLOOKUP(CELL("contents",F40),'Swiss Registry'!$B$2:$B$703,'Swiss Registry'!$N$2:$N$703) </f>
        <v>125692081212620801</v>
      </c>
    </row>
    <row r="41">
      <c r="A41" s="84">
        <v>74.0</v>
      </c>
      <c r="B41" s="125" t="str">
        <f>VLOOKUP(A41,'Swiss Registry'!$A$2:$B$703,2,False)</f>
        <v>xXEricXx</v>
      </c>
      <c r="C41" s="111" t="str">
        <f t="shared" si="4"/>
        <v/>
      </c>
      <c r="D41" s="112" t="str">
        <f t="shared" si="5"/>
        <v>Act: xXEricXx</v>
      </c>
      <c r="E41" s="107" t="str">
        <f t="shared" si="6"/>
        <v/>
      </c>
      <c r="F41" s="125" t="str">
        <f>VLOOKUP(G41,'Swiss Registry'!$A$2:$B$703,2,False)</f>
        <v>Egor</v>
      </c>
      <c r="G41" s="84">
        <v>82.0</v>
      </c>
      <c r="H41" s="93" t="s">
        <v>1486</v>
      </c>
      <c r="I41" s="141" t="str">
        <f t="array" ref="I41">XLOOKUP(CELL("contents",B41),'Swiss Registry'!$B$2:$B$703,'Swiss Registry'!$N$2:$N$703) </f>
        <v>188804001054064640</v>
      </c>
      <c r="J41" s="142" t="str">
        <f t="array" ref="J41">XLOOKUP(CELL("contents",F41),'Swiss Registry'!$B$2:$B$703,'Swiss Registry'!$N$2:$N$703) </f>
        <v>435128937400500224</v>
      </c>
    </row>
    <row r="42">
      <c r="A42" s="84">
        <v>78.0</v>
      </c>
      <c r="B42" s="125" t="str">
        <f>VLOOKUP(A42,'Swiss Registry'!$A$2:$B$703,2,False)</f>
        <v>OOF_MAXIMA</v>
      </c>
      <c r="C42" s="105" t="str">
        <f t="shared" si="4"/>
        <v>Game 1</v>
      </c>
      <c r="D42" s="106" t="str">
        <f t="shared" si="5"/>
        <v>Game 2</v>
      </c>
      <c r="E42" s="110" t="str">
        <f t="shared" si="6"/>
        <v>Game 3</v>
      </c>
      <c r="F42" s="125" t="str">
        <f>VLOOKUP(G42,'Swiss Registry'!$A$2:$B$703,2,False)</f>
        <v>Incognition</v>
      </c>
      <c r="G42" s="84">
        <v>80.0</v>
      </c>
      <c r="H42" s="93" t="s">
        <v>3013</v>
      </c>
      <c r="I42" s="141" t="str">
        <f t="array" ref="I42">XLOOKUP(CELL("contents",B42),'Swiss Registry'!$B$2:$B$703,'Swiss Registry'!$N$2:$N$703) </f>
        <v>400765707467620362</v>
      </c>
      <c r="J42" s="142" t="str">
        <f t="array" ref="J42">XLOOKUP(CELL("contents",F42),'Swiss Registry'!$B$2:$B$703,'Swiss Registry'!$N$2:$N$703) </f>
        <v>248186612213612546</v>
      </c>
    </row>
    <row r="43">
      <c r="A43" s="84">
        <v>5.0</v>
      </c>
      <c r="B43" s="125" t="str">
        <f>VLOOKUP(A43,'Swiss Registry'!$A$2:$B$703,2,False)</f>
        <v>Caloom</v>
      </c>
      <c r="C43" s="105" t="str">
        <f t="shared" si="4"/>
        <v>Game 1</v>
      </c>
      <c r="D43" s="106" t="str">
        <f t="shared" si="5"/>
        <v>Game 2</v>
      </c>
      <c r="E43" s="107" t="str">
        <f t="shared" si="6"/>
        <v/>
      </c>
      <c r="F43" s="125" t="str">
        <f>VLOOKUP(G43,'Swiss Registry'!$A$2:$B$703,2,False)</f>
        <v>TRXXJEH</v>
      </c>
      <c r="G43" s="84">
        <v>447.0</v>
      </c>
      <c r="H43" s="93" t="s">
        <v>3014</v>
      </c>
      <c r="I43" s="141" t="str">
        <f t="array" ref="I43">XLOOKUP(CELL("contents",B43),'Swiss Registry'!$B$2:$B$703,'Swiss Registry'!$N$2:$N$703) </f>
        <v>428981810811109386</v>
      </c>
      <c r="J43" s="142" t="str">
        <f t="array" ref="J43">XLOOKUP(CELL("contents",F43),'Swiss Registry'!$B$2:$B$703,'Swiss Registry'!$N$2:$N$703) </f>
        <v>911230685602275379</v>
      </c>
    </row>
    <row r="44">
      <c r="A44" s="84">
        <v>14.0</v>
      </c>
      <c r="B44" s="125" t="str">
        <f>VLOOKUP(A44,'Swiss Registry'!$A$2:$B$703,2,False)</f>
        <v>Voyager</v>
      </c>
      <c r="C44" s="105" t="str">
        <f t="shared" si="4"/>
        <v>Game 1</v>
      </c>
      <c r="D44" s="106" t="str">
        <f t="shared" si="5"/>
        <v>Game 2</v>
      </c>
      <c r="E44" s="110" t="str">
        <f t="shared" si="6"/>
        <v>Game 3</v>
      </c>
      <c r="F44" s="125" t="str">
        <f>VLOOKUP(G44,'Swiss Registry'!$A$2:$B$703,2,False)</f>
        <v>Beignet</v>
      </c>
      <c r="G44" s="84">
        <v>233.0</v>
      </c>
      <c r="H44" s="93" t="s">
        <v>3015</v>
      </c>
      <c r="I44" s="141" t="str">
        <f t="array" ref="I44">XLOOKUP(CELL("contents",B44),'Swiss Registry'!$B$2:$B$703,'Swiss Registry'!$N$2:$N$703) </f>
        <v>554730792488534056</v>
      </c>
      <c r="J44" s="142" t="str">
        <f t="array" ref="J44">XLOOKUP(CELL("contents",F44),'Swiss Registry'!$B$2:$B$703,'Swiss Registry'!$N$2:$N$703) </f>
        <v>473550253396721694</v>
      </c>
    </row>
    <row r="45">
      <c r="A45" s="84">
        <v>19.0</v>
      </c>
      <c r="B45" s="125" t="str">
        <f>VLOOKUP(A45,'Swiss Registry'!$A$2:$B$703,2,False)</f>
        <v>void</v>
      </c>
      <c r="C45" s="105" t="str">
        <f t="shared" si="4"/>
        <v>Game 1</v>
      </c>
      <c r="D45" s="106" t="str">
        <f t="shared" si="5"/>
        <v>Game 2</v>
      </c>
      <c r="E45" s="110" t="str">
        <f t="shared" si="6"/>
        <v>Game 3</v>
      </c>
      <c r="F45" s="125" t="str">
        <f>VLOOKUP(G45,'Swiss Registry'!$A$2:$B$703,2,False)</f>
        <v>Ho_Chi</v>
      </c>
      <c r="G45" s="84">
        <v>286.0</v>
      </c>
      <c r="H45" s="93" t="s">
        <v>3016</v>
      </c>
      <c r="I45" s="141" t="str">
        <f t="array" ref="I45">XLOOKUP(CELL("contents",B45),'Swiss Registry'!$B$2:$B$703,'Swiss Registry'!$N$2:$N$703) </f>
        <v>153249462641229824</v>
      </c>
      <c r="J45" s="142" t="str">
        <f t="array" ref="J45">XLOOKUP(CELL("contents",F45),'Swiss Registry'!$B$2:$B$703,'Swiss Registry'!$N$2:$N$703) </f>
        <v>427608109519863816</v>
      </c>
    </row>
    <row r="46">
      <c r="A46" s="84">
        <v>20.0</v>
      </c>
      <c r="B46" s="125" t="str">
        <f>VLOOKUP(A46,'Swiss Registry'!$A$2:$B$703,2,False)</f>
        <v>Mayo</v>
      </c>
      <c r="C46" s="105" t="str">
        <f t="shared" si="4"/>
        <v>Game 1</v>
      </c>
      <c r="D46" s="106" t="str">
        <f t="shared" si="5"/>
        <v>Game 2</v>
      </c>
      <c r="E46" s="107" t="str">
        <f t="shared" si="6"/>
        <v/>
      </c>
      <c r="F46" s="125" t="str">
        <f>VLOOKUP(G46,'Swiss Registry'!$A$2:$B$703,2,False)</f>
        <v>milkshook00</v>
      </c>
      <c r="G46" s="84">
        <v>662.0</v>
      </c>
      <c r="H46" s="93" t="s">
        <v>3017</v>
      </c>
      <c r="I46" s="141" t="str">
        <f t="array" ref="I46">XLOOKUP(CELL("contents",B46),'Swiss Registry'!$B$2:$B$703,'Swiss Registry'!$N$2:$N$703) </f>
        <v>244639333187846144</v>
      </c>
      <c r="J46" s="142" t="str">
        <f t="array" ref="J46">XLOOKUP(CELL("contents",F46),'Swiss Registry'!$B$2:$B$703,'Swiss Registry'!$N$2:$N$703) </f>
        <v>167697420719882241</v>
      </c>
    </row>
    <row r="47">
      <c r="A47" s="84">
        <v>23.0</v>
      </c>
      <c r="B47" s="125" t="str">
        <f>VLOOKUP(A47,'Swiss Registry'!$A$2:$B$703,2,False)</f>
        <v>udm31</v>
      </c>
      <c r="C47" s="105" t="str">
        <f t="shared" si="4"/>
        <v>Game 1</v>
      </c>
      <c r="D47" s="106" t="str">
        <f t="shared" si="5"/>
        <v>Game 2</v>
      </c>
      <c r="E47" s="107" t="str">
        <f t="shared" si="6"/>
        <v/>
      </c>
      <c r="F47" s="125" t="str">
        <f>VLOOKUP(G47,'Swiss Registry'!$A$2:$B$703,2,False)</f>
        <v>greencatkid</v>
      </c>
      <c r="G47" s="84">
        <v>235.0</v>
      </c>
      <c r="H47" s="93" t="s">
        <v>3018</v>
      </c>
      <c r="I47" s="141" t="str">
        <f t="array" ref="I47">XLOOKUP(CELL("contents",B47),'Swiss Registry'!$B$2:$B$703,'Swiss Registry'!$N$2:$N$703) </f>
        <v>892364236523708427</v>
      </c>
      <c r="J47" s="142" t="str">
        <f t="array" ref="J47">XLOOKUP(CELL("contents",F47),'Swiss Registry'!$B$2:$B$703,'Swiss Registry'!$N$2:$N$703) </f>
        <v>265277015777607691</v>
      </c>
    </row>
    <row r="48">
      <c r="A48" s="84">
        <v>24.0</v>
      </c>
      <c r="B48" s="125" t="str">
        <f>VLOOKUP(A48,'Swiss Registry'!$A$2:$B$703,2,False)</f>
        <v>Big Will</v>
      </c>
      <c r="C48" s="105" t="str">
        <f t="shared" si="4"/>
        <v>Game 1</v>
      </c>
      <c r="D48" s="106" t="str">
        <f t="shared" si="5"/>
        <v>Game 2</v>
      </c>
      <c r="E48" s="107" t="str">
        <f t="shared" si="6"/>
        <v/>
      </c>
      <c r="F48" s="125" t="str">
        <f>VLOOKUP(G48,'Swiss Registry'!$A$2:$B$703,2,False)</f>
        <v>tree69420</v>
      </c>
      <c r="G48" s="84">
        <v>177.0</v>
      </c>
      <c r="H48" s="93" t="s">
        <v>3019</v>
      </c>
      <c r="I48" s="141" t="str">
        <f t="array" ref="I48">XLOOKUP(CELL("contents",B48),'Swiss Registry'!$B$2:$B$703,'Swiss Registry'!$N$2:$N$703) </f>
        <v>119592871962607616</v>
      </c>
      <c r="J48" s="142" t="str">
        <f t="array" ref="J48">XLOOKUP(CELL("contents",F48),'Swiss Registry'!$B$2:$B$703,'Swiss Registry'!$N$2:$N$703) </f>
        <v>798958594116419604</v>
      </c>
    </row>
    <row r="49">
      <c r="A49" s="84">
        <v>26.0</v>
      </c>
      <c r="B49" s="125" t="str">
        <f>VLOOKUP(A49,'Swiss Registry'!$A$2:$B$703,2,False)</f>
        <v>keepingiticy</v>
      </c>
      <c r="C49" s="105" t="str">
        <f t="shared" si="4"/>
        <v>Game 1</v>
      </c>
      <c r="D49" s="106" t="str">
        <f t="shared" si="5"/>
        <v>Game 2</v>
      </c>
      <c r="E49" s="110" t="str">
        <f t="shared" si="6"/>
        <v>Game 3</v>
      </c>
      <c r="F49" s="125" t="str">
        <f>VLOOKUP(G49,'Swiss Registry'!$A$2:$B$703,2,False)</f>
        <v>jeem16</v>
      </c>
      <c r="G49" s="84">
        <v>304.0</v>
      </c>
      <c r="H49" s="93" t="s">
        <v>3020</v>
      </c>
      <c r="I49" s="141" t="str">
        <f t="array" ref="I49">XLOOKUP(CELL("contents",B49),'Swiss Registry'!$B$2:$B$703,'Swiss Registry'!$N$2:$N$703) </f>
        <v>174532509701373952</v>
      </c>
      <c r="J49" s="142" t="str">
        <f t="array" ref="J49">XLOOKUP(CELL("contents",F49),'Swiss Registry'!$B$2:$B$703,'Swiss Registry'!$N$2:$N$703) </f>
        <v>137996807513964544</v>
      </c>
    </row>
    <row r="50">
      <c r="A50" s="84">
        <v>29.0</v>
      </c>
      <c r="B50" s="125">
        <f>VLOOKUP(A50,'Swiss Registry'!$A$2:$B$703,2,False)</f>
        <v>48</v>
      </c>
      <c r="C50" s="105" t="str">
        <f t="shared" si="4"/>
        <v>Game 1</v>
      </c>
      <c r="D50" s="106" t="str">
        <f t="shared" si="5"/>
        <v>Game 2</v>
      </c>
      <c r="E50" s="110" t="str">
        <f t="shared" si="6"/>
        <v>Game 3</v>
      </c>
      <c r="F50" s="125" t="str">
        <f>VLOOKUP(G50,'Swiss Registry'!$A$2:$B$703,2,False)</f>
        <v>vy_apostrophe</v>
      </c>
      <c r="G50" s="84">
        <v>224.0</v>
      </c>
      <c r="H50" s="93" t="s">
        <v>3021</v>
      </c>
      <c r="I50" s="141" t="str">
        <f t="array" ref="I50">XLOOKUP(CELL("contents",B50),'Swiss Registry'!$B$2:$B$703,'Swiss Registry'!$N$2:$N$703) </f>
        <v>247063915790336004</v>
      </c>
      <c r="J50" s="142" t="str">
        <f t="array" ref="J50">XLOOKUP(CELL("contents",F50),'Swiss Registry'!$B$2:$B$703,'Swiss Registry'!$N$2:$N$703) </f>
        <v>739260362091659315</v>
      </c>
    </row>
    <row r="51">
      <c r="A51" s="84">
        <v>34.0</v>
      </c>
      <c r="B51" s="125" t="str">
        <f>VLOOKUP(A51,'Swiss Registry'!$A$2:$B$703,2,False)</f>
        <v>D3stiny</v>
      </c>
      <c r="C51" s="105" t="str">
        <f t="shared" si="4"/>
        <v>Game 1</v>
      </c>
      <c r="D51" s="106" t="str">
        <f t="shared" si="5"/>
        <v>Game 2</v>
      </c>
      <c r="E51" s="107" t="str">
        <f t="shared" si="6"/>
        <v/>
      </c>
      <c r="F51" s="125" t="str">
        <f>VLOOKUP(G51,'Swiss Registry'!$A$2:$B$703,2,False)</f>
        <v>Saint-ome</v>
      </c>
      <c r="G51" s="84">
        <v>480.0</v>
      </c>
      <c r="H51" s="93" t="s">
        <v>3022</v>
      </c>
      <c r="I51" s="141" t="str">
        <f t="array" ref="I51">XLOOKUP(CELL("contents",B51),'Swiss Registry'!$B$2:$B$703,'Swiss Registry'!$N$2:$N$703) </f>
        <v>836748504621252618</v>
      </c>
      <c r="J51" s="142" t="str">
        <f t="array" ref="J51">XLOOKUP(CELL("contents",F51),'Swiss Registry'!$B$2:$B$703,'Swiss Registry'!$N$2:$N$703) </f>
        <v>398619797765488645</v>
      </c>
    </row>
    <row r="52">
      <c r="A52" s="84">
        <v>38.0</v>
      </c>
      <c r="B52" s="125" t="str">
        <f>VLOOKUP(A52,'Swiss Registry'!$A$2:$B$703,2,False)</f>
        <v>Colteor</v>
      </c>
      <c r="C52" s="105" t="str">
        <f t="shared" si="4"/>
        <v>Game 1</v>
      </c>
      <c r="D52" s="106" t="str">
        <f t="shared" si="5"/>
        <v>Game 2</v>
      </c>
      <c r="E52" s="107" t="str">
        <f t="shared" si="6"/>
        <v/>
      </c>
      <c r="F52" s="125" t="str">
        <f>VLOOKUP(G52,'Swiss Registry'!$A$2:$B$703,2,False)</f>
        <v>tamafuyu</v>
      </c>
      <c r="G52" s="84">
        <v>573.0</v>
      </c>
      <c r="H52" s="93" t="s">
        <v>3023</v>
      </c>
      <c r="I52" s="141" t="str">
        <f t="array" ref="I52">XLOOKUP(CELL("contents",B52),'Swiss Registry'!$B$2:$B$703,'Swiss Registry'!$N$2:$N$703) </f>
        <v>327152054747529217</v>
      </c>
      <c r="J52" s="142" t="str">
        <f t="array" ref="J52">XLOOKUP(CELL("contents",F52),'Swiss Registry'!$B$2:$B$703,'Swiss Registry'!$N$2:$N$703) </f>
        <v>98886753485623296</v>
      </c>
    </row>
    <row r="53">
      <c r="A53" s="84">
        <v>44.0</v>
      </c>
      <c r="B53" s="125" t="str">
        <f>VLOOKUP(A53,'Swiss Registry'!$A$2:$B$703,2,False)</f>
        <v>Dridri457</v>
      </c>
      <c r="C53" s="105" t="str">
        <f t="shared" si="4"/>
        <v>Game 1</v>
      </c>
      <c r="D53" s="106" t="str">
        <f t="shared" si="5"/>
        <v>Game 2</v>
      </c>
      <c r="E53" s="107" t="str">
        <f t="shared" si="6"/>
        <v/>
      </c>
      <c r="F53" s="125" t="str">
        <f>VLOOKUP(G53,'Swiss Registry'!$A$2:$B$703,2,False)</f>
        <v>f1remaster (Hikari)</v>
      </c>
      <c r="G53" s="84">
        <v>329.0</v>
      </c>
      <c r="H53" s="93" t="s">
        <v>3024</v>
      </c>
      <c r="I53" s="141" t="str">
        <f t="array" ref="I53">XLOOKUP(CELL("contents",B53),'Swiss Registry'!$B$2:$B$703,'Swiss Registry'!$N$2:$N$703) </f>
        <v>1067112559704014909</v>
      </c>
      <c r="J53" s="142" t="str">
        <f t="array" ref="J53">XLOOKUP(CELL("contents",F53),'Swiss Registry'!$B$2:$B$703,'Swiss Registry'!$N$2:$N$703) </f>
        <v>295050390435659787</v>
      </c>
    </row>
    <row r="54">
      <c r="A54" s="84">
        <v>47.0</v>
      </c>
      <c r="B54" s="125" t="str">
        <f>VLOOKUP(A54,'Swiss Registry'!$A$2:$B$703,2,False)</f>
        <v>Figull400</v>
      </c>
      <c r="C54" s="105" t="str">
        <f t="shared" si="4"/>
        <v>Game 1</v>
      </c>
      <c r="D54" s="106" t="str">
        <f t="shared" si="5"/>
        <v>Game 2</v>
      </c>
      <c r="E54" s="110" t="str">
        <f t="shared" si="6"/>
        <v>Game 3</v>
      </c>
      <c r="F54" s="125" t="str">
        <f>VLOOKUP(G54,'Swiss Registry'!$A$2:$B$703,2,False)</f>
        <v>thedarvinist</v>
      </c>
      <c r="G54" s="84">
        <v>393.0</v>
      </c>
      <c r="H54" s="93" t="s">
        <v>3025</v>
      </c>
      <c r="I54" s="141" t="str">
        <f t="array" ref="I54">XLOOKUP(CELL("contents",B54),'Swiss Registry'!$B$2:$B$703,'Swiss Registry'!$N$2:$N$703) </f>
        <v>758667386822983680</v>
      </c>
      <c r="J54" s="142" t="str">
        <f t="array" ref="J54">XLOOKUP(CELL("contents",F54),'Swiss Registry'!$B$2:$B$703,'Swiss Registry'!$N$2:$N$703) </f>
        <v>431455323476328449</v>
      </c>
    </row>
    <row r="55">
      <c r="A55" s="84">
        <v>53.0</v>
      </c>
      <c r="B55" s="125" t="str">
        <f>VLOOKUP(A55,'Swiss Registry'!$A$2:$B$703,2,False)</f>
        <v>Evakiyama</v>
      </c>
      <c r="C55" s="105" t="str">
        <f t="shared" si="4"/>
        <v>Game 1</v>
      </c>
      <c r="D55" s="106" t="str">
        <f t="shared" si="5"/>
        <v>Game 2</v>
      </c>
      <c r="E55" s="107" t="str">
        <f t="shared" si="6"/>
        <v/>
      </c>
      <c r="F55" s="125" t="str">
        <f>VLOOKUP(G55,'Swiss Registry'!$A$2:$B$703,2,False)</f>
        <v>epiclyepicgamer</v>
      </c>
      <c r="G55" s="84">
        <v>406.0</v>
      </c>
      <c r="H55" s="93" t="s">
        <v>3026</v>
      </c>
      <c r="I55" s="141" t="str">
        <f t="array" ref="I55">XLOOKUP(CELL("contents",B55),'Swiss Registry'!$B$2:$B$703,'Swiss Registry'!$N$2:$N$703) </f>
        <v>379787698799640576</v>
      </c>
      <c r="J55" s="142" t="str">
        <f t="array" ref="J55">XLOOKUP(CELL("contents",F55),'Swiss Registry'!$B$2:$B$703,'Swiss Registry'!$N$2:$N$703) </f>
        <v>839557955140976701</v>
      </c>
    </row>
    <row r="56">
      <c r="A56" s="84">
        <v>56.0</v>
      </c>
      <c r="B56" s="125" t="str">
        <f>VLOOKUP(A56,'Swiss Registry'!$A$2:$B$703,2,False)</f>
        <v>Vayun</v>
      </c>
      <c r="C56" s="111" t="str">
        <f t="shared" si="4"/>
        <v/>
      </c>
      <c r="D56" s="112" t="str">
        <f t="shared" si="5"/>
        <v>Act: Vayun</v>
      </c>
      <c r="E56" s="107" t="str">
        <f t="shared" si="6"/>
        <v/>
      </c>
      <c r="F56" s="125" t="str">
        <f>VLOOKUP(G56,'Swiss Registry'!$A$2:$B$703,2,False)</f>
        <v>Ghostmalone.</v>
      </c>
      <c r="G56" s="84">
        <v>264.0</v>
      </c>
      <c r="H56" s="93" t="s">
        <v>1486</v>
      </c>
      <c r="I56" s="141" t="str">
        <f t="array" ref="I56">XLOOKUP(CELL("contents",B56),'Swiss Registry'!$B$2:$B$703,'Swiss Registry'!$N$2:$N$703) </f>
        <v>773919415153983489</v>
      </c>
      <c r="J56" s="142" t="str">
        <f t="array" ref="J56">XLOOKUP(CELL("contents",F56),'Swiss Registry'!$B$2:$B$703,'Swiss Registry'!$N$2:$N$703) </f>
        <v>329857381746081792</v>
      </c>
    </row>
    <row r="57">
      <c r="A57" s="84">
        <v>58.0</v>
      </c>
      <c r="B57" s="125" t="str">
        <f>VLOOKUP(A57,'Swiss Registry'!$A$2:$B$703,2,False)</f>
        <v>kingofironfrisk</v>
      </c>
      <c r="C57" s="105" t="str">
        <f t="shared" si="4"/>
        <v>Game 1</v>
      </c>
      <c r="D57" s="106" t="str">
        <f t="shared" si="5"/>
        <v>Game 2</v>
      </c>
      <c r="E57" s="110" t="str">
        <f t="shared" si="6"/>
        <v>Game 3</v>
      </c>
      <c r="F57" s="125" t="str">
        <f>VLOOKUP(G57,'Swiss Registry'!$A$2:$B$703,2,False)</f>
        <v>ReavenFTW</v>
      </c>
      <c r="G57" s="84">
        <v>131.0</v>
      </c>
      <c r="H57" s="93" t="s">
        <v>3027</v>
      </c>
      <c r="I57" s="141" t="str">
        <f t="array" ref="I57">XLOOKUP(CELL("contents",B57),'Swiss Registry'!$B$2:$B$703,'Swiss Registry'!$N$2:$N$703) </f>
        <v>232531609293684746</v>
      </c>
      <c r="J57" s="142" t="str">
        <f t="array" ref="J57">XLOOKUP(CELL("contents",F57),'Swiss Registry'!$B$2:$B$703,'Swiss Registry'!$N$2:$N$703) </f>
        <v>491685671480721419</v>
      </c>
    </row>
    <row r="58">
      <c r="A58" s="84">
        <v>63.0</v>
      </c>
      <c r="B58" s="125" t="str">
        <f>VLOOKUP(A58,'Swiss Registry'!$A$2:$B$703,2,False)</f>
        <v>Rambode</v>
      </c>
      <c r="C58" s="105" t="str">
        <f t="shared" si="4"/>
        <v>Game 1</v>
      </c>
      <c r="D58" s="106" t="str">
        <f t="shared" si="5"/>
        <v>Game 2</v>
      </c>
      <c r="E58" s="110" t="str">
        <f t="shared" si="6"/>
        <v>Game 3</v>
      </c>
      <c r="F58" s="125" t="str">
        <f>VLOOKUP(G58,'Swiss Registry'!$A$2:$B$703,2,False)</f>
        <v>cashzachary</v>
      </c>
      <c r="G58" s="84">
        <v>118.0</v>
      </c>
      <c r="H58" s="93" t="s">
        <v>3028</v>
      </c>
      <c r="I58" s="141" t="str">
        <f t="array" ref="I58">XLOOKUP(CELL("contents",B58),'Swiss Registry'!$B$2:$B$703,'Swiss Registry'!$N$2:$N$703) </f>
        <v>205091412088324096</v>
      </c>
      <c r="J58" s="142" t="str">
        <f t="array" ref="J58">XLOOKUP(CELL("contents",F58),'Swiss Registry'!$B$2:$B$703,'Swiss Registry'!$N$2:$N$703) </f>
        <v>1238981053226549308</v>
      </c>
    </row>
    <row r="59">
      <c r="A59" s="84">
        <v>65.0</v>
      </c>
      <c r="B59" s="125" t="str">
        <f>VLOOKUP(A59,'Swiss Registry'!$A$2:$B$703,2,False)</f>
        <v>shawtyyyyyyy</v>
      </c>
      <c r="C59" s="111" t="str">
        <f t="shared" si="4"/>
        <v/>
      </c>
      <c r="D59" s="112" t="str">
        <f t="shared" si="5"/>
        <v>Act: UsernameABCD</v>
      </c>
      <c r="E59" s="107" t="str">
        <f t="shared" si="6"/>
        <v/>
      </c>
      <c r="F59" s="125" t="str">
        <f>VLOOKUP(G59,'Swiss Registry'!$A$2:$B$703,2,False)</f>
        <v>UsernameABCD</v>
      </c>
      <c r="G59" s="84">
        <v>208.0</v>
      </c>
      <c r="H59" s="93" t="s">
        <v>1523</v>
      </c>
      <c r="I59" s="141" t="str">
        <f t="array" ref="I59">XLOOKUP(CELL("contents",B59),'Swiss Registry'!$B$2:$B$703,'Swiss Registry'!$N$2:$N$703) </f>
        <v>721487439847358505</v>
      </c>
      <c r="J59" s="142" t="str">
        <f t="array" ref="J59">XLOOKUP(CELL("contents",F59),'Swiss Registry'!$B$2:$B$703,'Swiss Registry'!$N$2:$N$703) </f>
        <v>341334237485465614</v>
      </c>
    </row>
    <row r="60">
      <c r="A60" s="84">
        <v>66.0</v>
      </c>
      <c r="B60" s="125" t="str">
        <f>VLOOKUP(A60,'Swiss Registry'!$A$2:$B$703,2,False)</f>
        <v>Mackenzie</v>
      </c>
      <c r="C60" s="105" t="str">
        <f t="shared" si="4"/>
        <v>Game 1</v>
      </c>
      <c r="D60" s="106" t="str">
        <f t="shared" si="5"/>
        <v>Game 2</v>
      </c>
      <c r="E60" s="110" t="str">
        <f t="shared" si="6"/>
        <v>Game 3</v>
      </c>
      <c r="F60" s="125" t="str">
        <f>VLOOKUP(G60,'Swiss Registry'!$A$2:$B$703,2,False)</f>
        <v>heyitsmeriley</v>
      </c>
      <c r="G60" s="84">
        <v>237.0</v>
      </c>
      <c r="H60" s="93" t="s">
        <v>3029</v>
      </c>
      <c r="I60" s="141" t="str">
        <f t="array" ref="I60">XLOOKUP(CELL("contents",B60),'Swiss Registry'!$B$2:$B$703,'Swiss Registry'!$N$2:$N$703) </f>
        <v>173519000842534913</v>
      </c>
      <c r="J60" s="142" t="str">
        <f t="array" ref="J60">XLOOKUP(CELL("contents",F60),'Swiss Registry'!$B$2:$B$703,'Swiss Registry'!$N$2:$N$703) </f>
        <v>271422310412451840</v>
      </c>
    </row>
    <row r="61">
      <c r="A61" s="84">
        <v>81.0</v>
      </c>
      <c r="B61" s="125" t="str">
        <f>VLOOKUP(A61,'Swiss Registry'!$A$2:$B$703,2,False)</f>
        <v>Tempokin</v>
      </c>
      <c r="C61" s="105" t="str">
        <f t="shared" si="4"/>
        <v>Game 1</v>
      </c>
      <c r="D61" s="106" t="str">
        <f t="shared" si="5"/>
        <v>Game 2</v>
      </c>
      <c r="E61" s="110" t="str">
        <f t="shared" si="6"/>
        <v>Game 3</v>
      </c>
      <c r="F61" s="125" t="str">
        <f>VLOOKUP(G61,'Swiss Registry'!$A$2:$B$703,2,False)</f>
        <v>blunderpolicy</v>
      </c>
      <c r="G61" s="84">
        <v>594.0</v>
      </c>
      <c r="H61" s="93" t="s">
        <v>3030</v>
      </c>
      <c r="I61" s="141" t="str">
        <f t="array" ref="I61">XLOOKUP(CELL("contents",B61),'Swiss Registry'!$B$2:$B$703,'Swiss Registry'!$N$2:$N$703) </f>
        <v>305870832977182722</v>
      </c>
      <c r="J61" s="142" t="str">
        <f t="array" ref="J61">XLOOKUP(CELL("contents",F61),'Swiss Registry'!$B$2:$B$703,'Swiss Registry'!$N$2:$N$703) </f>
        <v>306969912566611968</v>
      </c>
    </row>
    <row r="62">
      <c r="A62" s="84">
        <v>85.0</v>
      </c>
      <c r="B62" s="125" t="str">
        <f>VLOOKUP(A62,'Swiss Registry'!$A$2:$B$703,2,False)</f>
        <v>Cyberas</v>
      </c>
      <c r="C62" s="111" t="str">
        <f t="shared" si="4"/>
        <v/>
      </c>
      <c r="D62" s="112" t="str">
        <f t="shared" si="5"/>
        <v>Act: Cyberas</v>
      </c>
      <c r="E62" s="107" t="str">
        <f t="shared" si="6"/>
        <v/>
      </c>
      <c r="F62" s="125" t="str">
        <f>VLOOKUP(G62,'Swiss Registry'!$A$2:$B$703,2,False)</f>
        <v>stolenpaper</v>
      </c>
      <c r="G62" s="84">
        <v>513.0</v>
      </c>
      <c r="H62" s="93" t="s">
        <v>1486</v>
      </c>
      <c r="I62" s="141" t="str">
        <f t="array" ref="I62">XLOOKUP(CELL("contents",B62),'Swiss Registry'!$B$2:$B$703,'Swiss Registry'!$N$2:$N$703) </f>
        <v>133696854662709248</v>
      </c>
      <c r="J62" s="142" t="str">
        <f t="array" ref="J62">XLOOKUP(CELL("contents",F62),'Swiss Registry'!$B$2:$B$703,'Swiss Registry'!$N$2:$N$703) </f>
        <v>278063602005573632</v>
      </c>
    </row>
    <row r="63">
      <c r="A63" s="84">
        <v>87.0</v>
      </c>
      <c r="B63" s="125" t="str">
        <f>VLOOKUP(A63,'Swiss Registry'!$A$2:$B$703,2,False)</f>
        <v>Zcarlett</v>
      </c>
      <c r="C63" s="105" t="str">
        <f t="shared" si="4"/>
        <v>Game 1</v>
      </c>
      <c r="D63" s="106" t="str">
        <f t="shared" si="5"/>
        <v>Game 2</v>
      </c>
      <c r="E63" s="107" t="str">
        <f t="shared" si="6"/>
        <v/>
      </c>
      <c r="F63" s="125" t="str">
        <f>VLOOKUP(G63,'Swiss Registry'!$A$2:$B$703,2,False)</f>
        <v>Fantasmal_.</v>
      </c>
      <c r="G63" s="84">
        <v>515.0</v>
      </c>
      <c r="H63" s="93" t="s">
        <v>3031</v>
      </c>
      <c r="I63" s="141" t="str">
        <f t="array" ref="I63">XLOOKUP(CELL("contents",B63),'Swiss Registry'!$B$2:$B$703,'Swiss Registry'!$N$2:$N$703) </f>
        <v>513029374392533043</v>
      </c>
      <c r="J63" s="142" t="str">
        <f t="array" ref="J63">XLOOKUP(CELL("contents",F63),'Swiss Registry'!$B$2:$B$703,'Swiss Registry'!$N$2:$N$703) </f>
        <v>1232210933489864785</v>
      </c>
    </row>
    <row r="64">
      <c r="A64" s="84">
        <v>89.0</v>
      </c>
      <c r="B64" s="125" t="str">
        <f>VLOOKUP(A64,'Swiss Registry'!$A$2:$B$703,2,False)</f>
        <v>Alecss</v>
      </c>
      <c r="C64" s="105" t="str">
        <f t="shared" si="4"/>
        <v>Game 1</v>
      </c>
      <c r="D64" s="106" t="str">
        <f t="shared" si="5"/>
        <v>Game 2</v>
      </c>
      <c r="E64" s="110" t="str">
        <f t="shared" si="6"/>
        <v>Game 3</v>
      </c>
      <c r="F64" s="125" t="str">
        <f>VLOOKUP(G64,'Swiss Registry'!$A$2:$B$703,2,False)</f>
        <v>dhgss</v>
      </c>
      <c r="G64" s="84">
        <v>338.0</v>
      </c>
      <c r="H64" s="93" t="s">
        <v>3032</v>
      </c>
      <c r="I64" s="141" t="str">
        <f t="array" ref="I64">XLOOKUP(CELL("contents",B64),'Swiss Registry'!$B$2:$B$703,'Swiss Registry'!$N$2:$N$703) </f>
        <v>1066130063470374962</v>
      </c>
      <c r="J64" s="142" t="str">
        <f t="array" ref="J64">XLOOKUP(CELL("contents",F64),'Swiss Registry'!$B$2:$B$703,'Swiss Registry'!$N$2:$N$703) </f>
        <v>158287368925872129</v>
      </c>
    </row>
    <row r="65" ht="15.0" customHeight="1">
      <c r="A65" s="124"/>
      <c r="B65" s="122"/>
      <c r="C65" s="123"/>
      <c r="D65" s="138" t="s">
        <v>2877</v>
      </c>
      <c r="E65" s="123"/>
      <c r="F65" s="122"/>
      <c r="G65" s="124"/>
      <c r="H65" s="93"/>
      <c r="I65" s="139"/>
      <c r="J65" s="139"/>
    </row>
    <row r="66">
      <c r="A66" s="84">
        <v>90.0</v>
      </c>
      <c r="B66" s="125" t="str">
        <f>VLOOKUP(A66,'Swiss Registry'!$A$2:$B$703,2,False)</f>
        <v>Mantis</v>
      </c>
      <c r="C66" s="105" t="str">
        <f t="shared" ref="C66:C95" si="7">IF(H66="dead","",IF(H66="a:act","",IF(H66="b:act","",IF(ISURL(HYPERLINK(INDIRECT("Importer!B"&amp;MID(H66,2,4)+1,TRUE))),HYPERLINK(INDIRECT("Importer!B"&amp;MID(H66,2,4)+1,TRUE), "Game 1"),""))))</f>
        <v>Game 1</v>
      </c>
      <c r="D66" s="106" t="str">
        <f t="shared" ref="D66:D95" si="8">IF(H66="dead","Dead Game",IF(H66="a:act","Act: "&amp;B66,IF(H66="b:act","Act: "&amp;F66,IF(ISURL(HYPERLINK(INDIRECT("Importer!B"&amp;MID(H66,6,4)+1,TRUE))),HYPERLINK(INDIRECT("Importer!B"&amp;MID(H66,6,4)+1,TRUE), "Game 2"),""))))</f>
        <v>Game 2</v>
      </c>
      <c r="E66" s="107" t="str">
        <f t="shared" ref="E66:E95" si="9">IF(H66="dead","",IF(H66="a:act","",IF(H66="b:act","",IF(ISURL(HYPERLINK(INDIRECT("Importer!B"&amp;MID(H66,10,4)+1,TRUE))),HYPERLINK(INDIRECT("Importer!B"&amp;MID(H66,10,4)+1,TRUE), "Game 3"),""))))</f>
        <v/>
      </c>
      <c r="F66" s="125" t="str">
        <f>VLOOKUP(G66,'Swiss Registry'!$A$2:$B$703,2,False)</f>
        <v>dylan69__</v>
      </c>
      <c r="G66" s="84">
        <v>415.0</v>
      </c>
      <c r="H66" s="93" t="s">
        <v>3033</v>
      </c>
      <c r="I66" s="141" t="str">
        <f t="array" ref="I66">XLOOKUP(CELL("contents",B66),'Swiss Registry'!$B$2:$B$703,'Swiss Registry'!$N$2:$N$703) </f>
        <v>396370625515487242</v>
      </c>
      <c r="J66" s="142" t="str">
        <f t="array" ref="J66">XLOOKUP(CELL("contents",F66),'Swiss Registry'!$B$2:$B$703,'Swiss Registry'!$N$2:$N$703) </f>
        <v>475864364793069568</v>
      </c>
    </row>
    <row r="67">
      <c r="A67" s="84">
        <v>91.0</v>
      </c>
      <c r="B67" s="125" t="str">
        <f>VLOOKUP(A67,'Swiss Registry'!$A$2:$B$703,2,False)</f>
        <v>Younglemonhope</v>
      </c>
      <c r="C67" s="105" t="str">
        <f t="shared" si="7"/>
        <v>Game 1</v>
      </c>
      <c r="D67" s="106" t="str">
        <f t="shared" si="8"/>
        <v>Game 2</v>
      </c>
      <c r="E67" s="107" t="str">
        <f t="shared" si="9"/>
        <v/>
      </c>
      <c r="F67" s="125" t="str">
        <f>VLOOKUP(G67,'Swiss Registry'!$A$2:$B$703,2,False)</f>
        <v>wwwmonmon</v>
      </c>
      <c r="G67" s="84">
        <v>466.0</v>
      </c>
      <c r="H67" s="93" t="s">
        <v>3034</v>
      </c>
      <c r="I67" s="141" t="str">
        <f t="array" ref="I67">XLOOKUP(CELL("contents",B67),'Swiss Registry'!$B$2:$B$703,'Swiss Registry'!$N$2:$N$703) </f>
        <v>111211333336256512</v>
      </c>
      <c r="J67" s="142" t="str">
        <f t="array" ref="J67">XLOOKUP(CELL("contents",F67),'Swiss Registry'!$B$2:$B$703,'Swiss Registry'!$N$2:$N$703) </f>
        <v>579395206680412172</v>
      </c>
    </row>
    <row r="68">
      <c r="A68" s="84">
        <v>99.0</v>
      </c>
      <c r="B68" s="125" t="str">
        <f>VLOOKUP(A68,'Swiss Registry'!$A$2:$B$703,2,False)</f>
        <v>Just_Leo</v>
      </c>
      <c r="C68" s="105" t="str">
        <f t="shared" si="7"/>
        <v>Game 1</v>
      </c>
      <c r="D68" s="106" t="str">
        <f t="shared" si="8"/>
        <v>Game 2</v>
      </c>
      <c r="E68" s="107" t="str">
        <f t="shared" si="9"/>
        <v/>
      </c>
      <c r="F68" s="125" t="str">
        <f>VLOOKUP(G68,'Swiss Registry'!$A$2:$B$703,2,False)</f>
        <v>Lunasran</v>
      </c>
      <c r="G68" s="84">
        <v>343.0</v>
      </c>
      <c r="H68" s="93" t="s">
        <v>3035</v>
      </c>
      <c r="I68" s="141" t="str">
        <f t="array" ref="I68">XLOOKUP(CELL("contents",B68),'Swiss Registry'!$B$2:$B$703,'Swiss Registry'!$N$2:$N$703) </f>
        <v>1136751969478914138</v>
      </c>
      <c r="J68" s="142" t="str">
        <f t="array" ref="J68">XLOOKUP(CELL("contents",F68),'Swiss Registry'!$B$2:$B$703,'Swiss Registry'!$N$2:$N$703) </f>
        <v>1088892947367481436</v>
      </c>
    </row>
    <row r="69">
      <c r="A69" s="84">
        <v>100.0</v>
      </c>
      <c r="B69" s="125" t="str">
        <f>VLOOKUP(A69,'Swiss Registry'!$A$2:$B$703,2,False)</f>
        <v>Zinc</v>
      </c>
      <c r="C69" s="105" t="str">
        <f t="shared" si="7"/>
        <v>Game 1</v>
      </c>
      <c r="D69" s="106" t="str">
        <f t="shared" si="8"/>
        <v>Game 2</v>
      </c>
      <c r="E69" s="110" t="str">
        <f t="shared" si="9"/>
        <v>Game 3</v>
      </c>
      <c r="F69" s="125" t="str">
        <f>VLOOKUP(G69,'Swiss Registry'!$A$2:$B$703,2,False)</f>
        <v>woeishuen</v>
      </c>
      <c r="G69" s="84">
        <v>430.0</v>
      </c>
      <c r="H69" s="93" t="s">
        <v>3036</v>
      </c>
      <c r="I69" s="141" t="str">
        <f t="array" ref="I69">XLOOKUP(CELL("contents",B69),'Swiss Registry'!$B$2:$B$703,'Swiss Registry'!$N$2:$N$703) </f>
        <v>399291432235696139</v>
      </c>
      <c r="J69" s="142" t="str">
        <f t="array" ref="J69">XLOOKUP(CELL("contents",F69),'Swiss Registry'!$B$2:$B$703,'Swiss Registry'!$N$2:$N$703) </f>
        <v>311487498486415360</v>
      </c>
    </row>
    <row r="70">
      <c r="A70" s="84">
        <v>339.0</v>
      </c>
      <c r="B70" s="125" t="str">
        <f>VLOOKUP(A70,'Swiss Registry'!$A$2:$B$703,2,False)</f>
        <v>Jabba</v>
      </c>
      <c r="C70" s="105" t="str">
        <f t="shared" si="7"/>
        <v>Game 1</v>
      </c>
      <c r="D70" s="106" t="str">
        <f t="shared" si="8"/>
        <v>Game 2</v>
      </c>
      <c r="E70" s="107" t="str">
        <f t="shared" si="9"/>
        <v/>
      </c>
      <c r="F70" s="125" t="str">
        <f>VLOOKUP(G70,'Swiss Registry'!$A$2:$B$703,2,False)</f>
        <v>billgatesalt_53189</v>
      </c>
      <c r="G70" s="84">
        <v>271.0</v>
      </c>
      <c r="H70" s="93" t="s">
        <v>3037</v>
      </c>
      <c r="I70" s="141" t="str">
        <f t="array" ref="I70">XLOOKUP(CELL("contents",B70),'Swiss Registry'!$B$2:$B$703,'Swiss Registry'!$N$2:$N$703) </f>
        <v>191625883503558656</v>
      </c>
      <c r="J70" s="142" t="str">
        <f t="array" ref="J70">XLOOKUP(CELL("contents",F70),'Swiss Registry'!$B$2:$B$703,'Swiss Registry'!$N$2:$N$703) </f>
        <v>1288299733126746152</v>
      </c>
    </row>
    <row r="71">
      <c r="A71" s="84">
        <v>171.0</v>
      </c>
      <c r="B71" s="125" t="str">
        <f>VLOOKUP(A71,'Swiss Registry'!$A$2:$B$703,2,False)</f>
        <v>knexhawk</v>
      </c>
      <c r="C71" s="105" t="str">
        <f t="shared" si="7"/>
        <v>Game 1</v>
      </c>
      <c r="D71" s="106" t="str">
        <f t="shared" si="8"/>
        <v>Game 2</v>
      </c>
      <c r="E71" s="107" t="str">
        <f t="shared" si="9"/>
        <v/>
      </c>
      <c r="F71" s="125" t="str">
        <f>VLOOKUP(G71,'Swiss Registry'!$A$2:$B$703,2,False)</f>
        <v>ashvinbutduck</v>
      </c>
      <c r="G71" s="84">
        <v>248.0</v>
      </c>
      <c r="H71" s="93" t="s">
        <v>3038</v>
      </c>
      <c r="I71" s="141" t="str">
        <f t="array" ref="I71">XLOOKUP(CELL("contents",B71),'Swiss Registry'!$B$2:$B$703,'Swiss Registry'!$N$2:$N$703) </f>
        <v>481499066245578762</v>
      </c>
      <c r="J71" s="142" t="str">
        <f t="array" ref="J71">XLOOKUP(CELL("contents",F71),'Swiss Registry'!$B$2:$B$703,'Swiss Registry'!$N$2:$N$703) </f>
        <v>601228993894547479</v>
      </c>
    </row>
    <row r="72">
      <c r="A72" s="84">
        <v>194.0</v>
      </c>
      <c r="B72" s="125" t="str">
        <f>VLOOKUP(A72,'Swiss Registry'!$A$2:$B$703,2,False)</f>
        <v>bd31</v>
      </c>
      <c r="C72" s="111" t="str">
        <f t="shared" si="7"/>
        <v/>
      </c>
      <c r="D72" s="112" t="str">
        <f t="shared" si="8"/>
        <v>Act: dustyfans</v>
      </c>
      <c r="E72" s="107" t="str">
        <f t="shared" si="9"/>
        <v/>
      </c>
      <c r="F72" s="125" t="str">
        <f>VLOOKUP(G72,'Swiss Registry'!$A$2:$B$703,2,False)</f>
        <v>dustyfans</v>
      </c>
      <c r="G72" s="84">
        <v>630.0</v>
      </c>
      <c r="H72" s="93" t="s">
        <v>1523</v>
      </c>
      <c r="I72" s="141" t="str">
        <f t="array" ref="I72">XLOOKUP(CELL("contents",B72),'Swiss Registry'!$B$2:$B$703,'Swiss Registry'!$N$2:$N$703) </f>
        <v>217343749439750145</v>
      </c>
      <c r="J72" s="142" t="str">
        <f t="array" ref="J72">XLOOKUP(CELL("contents",F72),'Swiss Registry'!$B$2:$B$703,'Swiss Registry'!$N$2:$N$703) </f>
        <v>325004772493230092</v>
      </c>
    </row>
    <row r="73">
      <c r="A73" s="84">
        <v>402.0</v>
      </c>
      <c r="B73" s="125" t="str">
        <f>VLOOKUP(A73,'Swiss Registry'!$A$2:$B$703,2,False)</f>
        <v>.verb</v>
      </c>
      <c r="C73" s="105" t="str">
        <f t="shared" si="7"/>
        <v>Game 1</v>
      </c>
      <c r="D73" s="106" t="str">
        <f t="shared" si="8"/>
        <v>Game 2</v>
      </c>
      <c r="E73" s="110" t="str">
        <f t="shared" si="9"/>
        <v>Game 3</v>
      </c>
      <c r="F73" s="125" t="str">
        <f>VLOOKUP(G73,'Swiss Registry'!$A$2:$B$703,2,False)</f>
        <v>irrelevantone</v>
      </c>
      <c r="G73" s="84">
        <v>689.0</v>
      </c>
      <c r="H73" s="93" t="s">
        <v>3039</v>
      </c>
      <c r="I73" s="141" t="str">
        <f t="array" ref="I73">XLOOKUP(CELL("contents",B73),'Swiss Registry'!$B$2:$B$703,'Swiss Registry'!$N$2:$N$703) </f>
        <v>97926747856580608</v>
      </c>
      <c r="J73" s="142" t="str">
        <f t="array" ref="J73">XLOOKUP(CELL("contents",F73),'Swiss Registry'!$B$2:$B$703,'Swiss Registry'!$N$2:$N$703) </f>
        <v>284150733152976896</v>
      </c>
    </row>
    <row r="74">
      <c r="A74" s="84">
        <v>586.0</v>
      </c>
      <c r="B74" s="125" t="str">
        <f>VLOOKUP(A74,'Swiss Registry'!$A$2:$B$703,2,False)</f>
        <v>Yoink 0</v>
      </c>
      <c r="C74" s="105" t="str">
        <f t="shared" si="7"/>
        <v>Game 1</v>
      </c>
      <c r="D74" s="106" t="str">
        <f t="shared" si="8"/>
        <v>Game 2</v>
      </c>
      <c r="E74" s="107" t="str">
        <f t="shared" si="9"/>
        <v/>
      </c>
      <c r="F74" s="125" t="str">
        <f>VLOOKUP(G74,'Swiss Registry'!$A$2:$B$703,2,False)</f>
        <v>bigjon.</v>
      </c>
      <c r="G74" s="84">
        <v>532.0</v>
      </c>
      <c r="H74" s="93" t="s">
        <v>3040</v>
      </c>
      <c r="I74" s="141" t="str">
        <f t="array" ref="I74">XLOOKUP(CELL("contents",B74),'Swiss Registry'!$B$2:$B$703,'Swiss Registry'!$N$2:$N$703) </f>
        <v>1139533634194391050</v>
      </c>
      <c r="J74" s="142" t="str">
        <f t="array" ref="J74">XLOOKUP(CELL("contents",F74),'Swiss Registry'!$B$2:$B$703,'Swiss Registry'!$N$2:$N$703) </f>
        <v>289528250823213056</v>
      </c>
    </row>
    <row r="75">
      <c r="A75" s="84">
        <v>287.0</v>
      </c>
      <c r="B75" s="125" t="str">
        <f>VLOOKUP(A75,'Swiss Registry'!$A$2:$B$703,2,False)</f>
        <v>green.9082</v>
      </c>
      <c r="C75" s="105" t="str">
        <f t="shared" si="7"/>
        <v>Game 1</v>
      </c>
      <c r="D75" s="106" t="str">
        <f t="shared" si="8"/>
        <v>Game 2</v>
      </c>
      <c r="E75" s="110" t="str">
        <f t="shared" si="9"/>
        <v>Game 3</v>
      </c>
      <c r="F75" s="125" t="str">
        <f>VLOOKUP(G75,'Swiss Registry'!$A$2:$B$703,2,False)</f>
        <v>secondari</v>
      </c>
      <c r="G75" s="84">
        <v>325.0</v>
      </c>
      <c r="H75" s="93" t="s">
        <v>3041</v>
      </c>
      <c r="I75" s="141" t="str">
        <f t="array" ref="I75">XLOOKUP(CELL("contents",B75),'Swiss Registry'!$B$2:$B$703,'Swiss Registry'!$N$2:$N$703) </f>
        <v>627563478973939723</v>
      </c>
      <c r="J75" s="142" t="str">
        <f t="array" ref="J75">XLOOKUP(CELL("contents",F75),'Swiss Registry'!$B$2:$B$703,'Swiss Registry'!$N$2:$N$703) </f>
        <v>77493060862214144</v>
      </c>
    </row>
    <row r="76">
      <c r="A76" s="84">
        <v>531.0</v>
      </c>
      <c r="B76" s="125" t="str">
        <f>VLOOKUP(A76,'Swiss Registry'!$A$2:$B$703,2,False)</f>
        <v>yallen</v>
      </c>
      <c r="C76" s="105" t="str">
        <f t="shared" si="7"/>
        <v>Game 1</v>
      </c>
      <c r="D76" s="106" t="str">
        <f t="shared" si="8"/>
        <v>Game 2</v>
      </c>
      <c r="E76" s="110" t="str">
        <f t="shared" si="9"/>
        <v>Game 3</v>
      </c>
      <c r="F76" s="125" t="str">
        <f>VLOOKUP(G76,'Swiss Registry'!$A$2:$B$703,2,False)</f>
        <v>.GeneralRevan</v>
      </c>
      <c r="G76" s="84">
        <v>238.0</v>
      </c>
      <c r="H76" s="93" t="s">
        <v>3042</v>
      </c>
      <c r="I76" s="141" t="str">
        <f t="array" ref="I76">XLOOKUP(CELL("contents",B76),'Swiss Registry'!$B$2:$B$703,'Swiss Registry'!$N$2:$N$703) </f>
        <v>444702392383176724</v>
      </c>
      <c r="J76" s="142" t="str">
        <f t="array" ref="J76">XLOOKUP(CELL("contents",F76),'Swiss Registry'!$B$2:$B$703,'Swiss Registry'!$N$2:$N$703) </f>
        <v>306988395660443648</v>
      </c>
    </row>
    <row r="77">
      <c r="A77" s="84">
        <v>576.0</v>
      </c>
      <c r="B77" s="125" t="str">
        <f>VLOOKUP(A77,'Swiss Registry'!$A$2:$B$703,2,False)</f>
        <v>S.k.magnet</v>
      </c>
      <c r="C77" s="105" t="str">
        <f t="shared" si="7"/>
        <v>Game 1</v>
      </c>
      <c r="D77" s="106" t="str">
        <f t="shared" si="8"/>
        <v>Game 2</v>
      </c>
      <c r="E77" s="110" t="str">
        <f t="shared" si="9"/>
        <v>Game 3</v>
      </c>
      <c r="F77" s="125" t="str">
        <f>VLOOKUP(G77,'Swiss Registry'!$A$2:$B$703,2,False)</f>
        <v>jerdgerd</v>
      </c>
      <c r="G77" s="84">
        <v>320.0</v>
      </c>
      <c r="H77" s="93" t="s">
        <v>3043</v>
      </c>
      <c r="I77" s="141" t="str">
        <f t="array" ref="I77">XLOOKUP(CELL("contents",B77),'Swiss Registry'!$B$2:$B$703,'Swiss Registry'!$N$2:$N$703) </f>
        <v>1147160651219869766</v>
      </c>
      <c r="J77" s="142" t="str">
        <f t="array" ref="J77">XLOOKUP(CELL("contents",F77),'Swiss Registry'!$B$2:$B$703,'Swiss Registry'!$N$2:$N$703) </f>
        <v>253276541948002304</v>
      </c>
    </row>
    <row r="78">
      <c r="A78" s="84">
        <v>557.0</v>
      </c>
      <c r="B78" s="125" t="str">
        <f>VLOOKUP(A78,'Swiss Registry'!$A$2:$B$703,2,False)</f>
        <v>Cream314</v>
      </c>
      <c r="C78" s="105" t="str">
        <f t="shared" si="7"/>
        <v>Game 1</v>
      </c>
      <c r="D78" s="106" t="str">
        <f t="shared" si="8"/>
        <v>Game 2</v>
      </c>
      <c r="E78" s="107" t="str">
        <f t="shared" si="9"/>
        <v/>
      </c>
      <c r="F78" s="125" t="str">
        <f>VLOOKUP(G78,'Swiss Registry'!$A$2:$B$703,2,False)</f>
        <v>kvistsivk</v>
      </c>
      <c r="G78" s="84">
        <v>169.0</v>
      </c>
      <c r="H78" s="93" t="s">
        <v>3044</v>
      </c>
      <c r="I78" s="141" t="str">
        <f t="array" ref="I78">XLOOKUP(CELL("contents",B78),'Swiss Registry'!$B$2:$B$703,'Swiss Registry'!$N$2:$N$703) </f>
        <v>272909263205040140</v>
      </c>
      <c r="J78" s="142" t="str">
        <f t="array" ref="J78">XLOOKUP(CELL("contents",F78),'Swiss Registry'!$B$2:$B$703,'Swiss Registry'!$N$2:$N$703) </f>
        <v>1168036455071875245</v>
      </c>
    </row>
    <row r="79">
      <c r="A79" s="84">
        <v>638.0</v>
      </c>
      <c r="B79" s="125" t="str">
        <f>VLOOKUP(A79,'Swiss Registry'!$A$2:$B$703,2,False)</f>
        <v>the_app</v>
      </c>
      <c r="C79" s="105" t="str">
        <f t="shared" si="7"/>
        <v>Game 1</v>
      </c>
      <c r="D79" s="106" t="str">
        <f t="shared" si="8"/>
        <v>Game 2</v>
      </c>
      <c r="E79" s="107" t="str">
        <f t="shared" si="9"/>
        <v/>
      </c>
      <c r="F79" s="125" t="str">
        <f>VLOOKUP(G79,'Swiss Registry'!$A$2:$B$703,2,False)</f>
        <v>_deacon</v>
      </c>
      <c r="G79" s="84">
        <v>536.0</v>
      </c>
      <c r="H79" s="93" t="s">
        <v>3045</v>
      </c>
      <c r="I79" s="141" t="str">
        <f t="array" ref="I79">XLOOKUP(CELL("contents",B79),'Swiss Registry'!$B$2:$B$703,'Swiss Registry'!$N$2:$N$703) </f>
        <v>289874645539094529</v>
      </c>
      <c r="J79" s="142" t="str">
        <f t="array" ref="J79">XLOOKUP(CELL("contents",F79),'Swiss Registry'!$B$2:$B$703,'Swiss Registry'!$N$2:$N$703) </f>
        <v>193748470564126720</v>
      </c>
    </row>
    <row r="80">
      <c r="A80" s="84">
        <v>284.0</v>
      </c>
      <c r="B80" s="125" t="str">
        <f>VLOOKUP(A80,'Swiss Registry'!$A$2:$B$703,2,False)</f>
        <v>jd_orph</v>
      </c>
      <c r="C80" s="105" t="str">
        <f t="shared" si="7"/>
        <v>Game 1</v>
      </c>
      <c r="D80" s="106" t="str">
        <f t="shared" si="8"/>
        <v>Game 2</v>
      </c>
      <c r="E80" s="107" t="str">
        <f t="shared" si="9"/>
        <v/>
      </c>
      <c r="F80" s="125" t="str">
        <f>VLOOKUP(G80,'Swiss Registry'!$A$2:$B$703,2,False)</f>
        <v>Cyber-DJ</v>
      </c>
      <c r="G80" s="84">
        <v>389.0</v>
      </c>
      <c r="H80" s="93" t="s">
        <v>3046</v>
      </c>
      <c r="I80" s="141" t="str">
        <f t="array" ref="I80">XLOOKUP(CELL("contents",B80),'Swiss Registry'!$B$2:$B$703,'Swiss Registry'!$N$2:$N$703) </f>
        <v>486001893655445534</v>
      </c>
      <c r="J80" s="142" t="str">
        <f t="array" ref="J80">XLOOKUP(CELL("contents",F80),'Swiss Registry'!$B$2:$B$703,'Swiss Registry'!$N$2:$N$703) </f>
        <v>1217308528272871476</v>
      </c>
    </row>
    <row r="81">
      <c r="A81" s="84">
        <v>539.0</v>
      </c>
      <c r="B81" s="125" t="str">
        <f>VLOOKUP(A81,'Swiss Registry'!$A$2:$B$703,2,False)</f>
        <v>tehpenguinofdoom</v>
      </c>
      <c r="C81" s="105" t="str">
        <f t="shared" si="7"/>
        <v>Game 1</v>
      </c>
      <c r="D81" s="106" t="str">
        <f t="shared" si="8"/>
        <v>Game 2</v>
      </c>
      <c r="E81" s="107" t="str">
        <f t="shared" si="9"/>
        <v/>
      </c>
      <c r="F81" s="125" t="str">
        <f>VLOOKUP(G81,'Swiss Registry'!$A$2:$B$703,2,False)</f>
        <v>s_2_w</v>
      </c>
      <c r="G81" s="84">
        <v>543.0</v>
      </c>
      <c r="H81" s="93" t="s">
        <v>3047</v>
      </c>
      <c r="I81" s="141" t="str">
        <f t="array" ref="I81">XLOOKUP(CELL("contents",B81),'Swiss Registry'!$B$2:$B$703,'Swiss Registry'!$N$2:$N$703) </f>
        <v>884242717255807047</v>
      </c>
      <c r="J81" s="142" t="str">
        <f t="array" ref="J81">XLOOKUP(CELL("contents",F81),'Swiss Registry'!$B$2:$B$703,'Swiss Registry'!$N$2:$N$703) </f>
        <v>849644863661801493</v>
      </c>
    </row>
    <row r="82">
      <c r="A82" s="84">
        <v>385.0</v>
      </c>
      <c r="B82" s="125" t="str">
        <f>VLOOKUP(A82,'Swiss Registry'!$A$2:$B$703,2,False)</f>
        <v>gonzasaurio50</v>
      </c>
      <c r="C82" s="105" t="str">
        <f t="shared" si="7"/>
        <v>Game 1</v>
      </c>
      <c r="D82" s="106" t="str">
        <f t="shared" si="8"/>
        <v>Game 2</v>
      </c>
      <c r="E82" s="107" t="str">
        <f t="shared" si="9"/>
        <v/>
      </c>
      <c r="F82" s="125" t="str">
        <f>VLOOKUP(G82,'Swiss Registry'!$A$2:$B$703,2,False)</f>
        <v>ChocoboJoe</v>
      </c>
      <c r="G82" s="84">
        <v>566.0</v>
      </c>
      <c r="H82" s="93" t="s">
        <v>3048</v>
      </c>
      <c r="I82" s="141" t="str">
        <f t="array" ref="I82">XLOOKUP(CELL("contents",B82),'Swiss Registry'!$B$2:$B$703,'Swiss Registry'!$N$2:$N$703) </f>
        <v>481894982127714305</v>
      </c>
      <c r="J82" s="142" t="str">
        <f t="array" ref="J82">XLOOKUP(CELL("contents",F82),'Swiss Registry'!$B$2:$B$703,'Swiss Registry'!$N$2:$N$703) </f>
        <v>301575831858446356</v>
      </c>
    </row>
    <row r="83">
      <c r="A83" s="84">
        <v>206.0</v>
      </c>
      <c r="B83" s="125" t="str">
        <f>VLOOKUP(A83,'Swiss Registry'!$A$2:$B$703,2,False)</f>
        <v>ccgeek_</v>
      </c>
      <c r="C83" s="105" t="str">
        <f t="shared" si="7"/>
        <v>Game 1</v>
      </c>
      <c r="D83" s="106" t="str">
        <f t="shared" si="8"/>
        <v>Game 2</v>
      </c>
      <c r="E83" s="107" t="str">
        <f t="shared" si="9"/>
        <v/>
      </c>
      <c r="F83" s="125" t="str">
        <f>VLOOKUP(G83,'Swiss Registry'!$A$2:$B$703,2,False)</f>
        <v>sbmalus</v>
      </c>
      <c r="G83" s="84">
        <v>564.0</v>
      </c>
      <c r="H83" s="93" t="s">
        <v>3049</v>
      </c>
      <c r="I83" s="141" t="str">
        <f t="array" ref="I83">XLOOKUP(CELL("contents",B83),'Swiss Registry'!$B$2:$B$703,'Swiss Registry'!$N$2:$N$703) </f>
        <v>861286170708279336</v>
      </c>
      <c r="J83" s="142" t="str">
        <f t="array" ref="J83">XLOOKUP(CELL("contents",F83),'Swiss Registry'!$B$2:$B$703,'Swiss Registry'!$N$2:$N$703) </f>
        <v>492395234429370371</v>
      </c>
    </row>
    <row r="84">
      <c r="A84" s="84">
        <v>212.0</v>
      </c>
      <c r="B84" s="125" t="str">
        <f>VLOOKUP(A84,'Swiss Registry'!$A$2:$B$703,2,False)</f>
        <v>dadaasdcfaw</v>
      </c>
      <c r="C84" s="105" t="str">
        <f t="shared" si="7"/>
        <v>Game 1</v>
      </c>
      <c r="D84" s="106" t="str">
        <f t="shared" si="8"/>
        <v>Game 2</v>
      </c>
      <c r="E84" s="110" t="str">
        <f t="shared" si="9"/>
        <v>Game 3</v>
      </c>
      <c r="F84" s="125" t="str">
        <f>VLOOKUP(G84,'Swiss Registry'!$A$2:$B$703,2,False)</f>
        <v>Mintyfresh756</v>
      </c>
      <c r="G84" s="84">
        <v>563.0</v>
      </c>
      <c r="H84" s="93" t="s">
        <v>3050</v>
      </c>
      <c r="I84" s="141" t="str">
        <f t="array" ref="I84">XLOOKUP(CELL("contents",B84),'Swiss Registry'!$B$2:$B$703,'Swiss Registry'!$N$2:$N$703) </f>
        <v>327733812467466240</v>
      </c>
      <c r="J84" s="142" t="str">
        <f t="array" ref="J84">XLOOKUP(CELL("contents",F84),'Swiss Registry'!$B$2:$B$703,'Swiss Registry'!$N$2:$N$703) </f>
        <v>229365099960336384</v>
      </c>
    </row>
    <row r="85">
      <c r="A85" s="84">
        <v>547.0</v>
      </c>
      <c r="B85" s="125" t="str">
        <f>VLOOKUP(A85,'Swiss Registry'!$A$2:$B$703,2,False)</f>
        <v>lexi.pup</v>
      </c>
      <c r="C85" s="105" t="str">
        <f t="shared" si="7"/>
        <v>Game 1</v>
      </c>
      <c r="D85" s="106" t="str">
        <f t="shared" si="8"/>
        <v>Game 2</v>
      </c>
      <c r="E85" s="110" t="str">
        <f t="shared" si="9"/>
        <v>Game 3</v>
      </c>
      <c r="F85" s="125" t="str">
        <f>VLOOKUP(G85,'Swiss Registry'!$A$2:$B$703,2,False)</f>
        <v>nadiddhrabb</v>
      </c>
      <c r="G85" s="84">
        <v>336.0</v>
      </c>
      <c r="H85" s="93" t="s">
        <v>3051</v>
      </c>
      <c r="I85" s="141" t="str">
        <f t="array" ref="I85">XLOOKUP(CELL("contents",B85),'Swiss Registry'!$B$2:$B$703,'Swiss Registry'!$N$2:$N$703) </f>
        <v>768313209161383936</v>
      </c>
      <c r="J85" s="142" t="str">
        <f t="array" ref="J85">XLOOKUP(CELL("contents",F85),'Swiss Registry'!$B$2:$B$703,'Swiss Registry'!$N$2:$N$703) </f>
        <v>708579140605050922</v>
      </c>
    </row>
    <row r="86">
      <c r="A86" s="84">
        <v>130.0</v>
      </c>
      <c r="B86" s="125" t="str">
        <f>VLOOKUP(A86,'Swiss Registry'!$A$2:$B$703,2,False)</f>
        <v>Sophocles</v>
      </c>
      <c r="C86" s="105" t="str">
        <f t="shared" si="7"/>
        <v>Game 1</v>
      </c>
      <c r="D86" s="106" t="str">
        <f t="shared" si="8"/>
        <v>Game 2</v>
      </c>
      <c r="E86" s="107" t="str">
        <f t="shared" si="9"/>
        <v/>
      </c>
      <c r="F86" s="125" t="str">
        <f>VLOOKUP(G86,'Swiss Registry'!$A$2:$B$703,2,False)</f>
        <v>ThunderousBagel</v>
      </c>
      <c r="G86" s="84">
        <v>380.0</v>
      </c>
      <c r="H86" s="93" t="s">
        <v>3052</v>
      </c>
      <c r="I86" s="141" t="str">
        <f t="array" ref="I86">XLOOKUP(CELL("contents",B86),'Swiss Registry'!$B$2:$B$703,'Swiss Registry'!$N$2:$N$703) </f>
        <v>109151686848679936</v>
      </c>
      <c r="J86" s="142" t="str">
        <f t="array" ref="J86">XLOOKUP(CELL("contents",F86),'Swiss Registry'!$B$2:$B$703,'Swiss Registry'!$N$2:$N$703) </f>
        <v>458020570085326851</v>
      </c>
    </row>
    <row r="87">
      <c r="A87" s="84">
        <v>279.0</v>
      </c>
      <c r="B87" s="125" t="str">
        <f>VLOOKUP(A87,'Swiss Registry'!$A$2:$B$703,2,False)</f>
        <v>bruh504</v>
      </c>
      <c r="C87" s="105" t="str">
        <f t="shared" si="7"/>
        <v>Game 1</v>
      </c>
      <c r="D87" s="106" t="str">
        <f t="shared" si="8"/>
        <v>Game 2</v>
      </c>
      <c r="E87" s="107" t="str">
        <f t="shared" si="9"/>
        <v/>
      </c>
      <c r="F87" s="125" t="str">
        <f>VLOOKUP(G87,'Swiss Registry'!$A$2:$B$703,2,False)</f>
        <v>bohrier</v>
      </c>
      <c r="G87" s="84">
        <v>350.0</v>
      </c>
      <c r="H87" s="93" t="s">
        <v>3053</v>
      </c>
      <c r="I87" s="141" t="str">
        <f t="array" ref="I87">XLOOKUP(CELL("contents",B87),'Swiss Registry'!$B$2:$B$703,'Swiss Registry'!$N$2:$N$703) </f>
        <v>392333717269643266</v>
      </c>
      <c r="J87" s="142" t="str">
        <f t="array" ref="J87">XLOOKUP(CELL("contents",F87),'Swiss Registry'!$B$2:$B$703,'Swiss Registry'!$N$2:$N$703) </f>
        <v>713435200469860403</v>
      </c>
    </row>
    <row r="88">
      <c r="A88" s="84">
        <v>257.0</v>
      </c>
      <c r="B88" s="125" t="str">
        <f>VLOOKUP(A88,'Swiss Registry'!$A$2:$B$703,2,False)</f>
        <v>moistmania</v>
      </c>
      <c r="C88" s="105" t="str">
        <f t="shared" si="7"/>
        <v>Game 1</v>
      </c>
      <c r="D88" s="106" t="str">
        <f t="shared" si="8"/>
        <v>Game 2</v>
      </c>
      <c r="E88" s="110" t="str">
        <f t="shared" si="9"/>
        <v>Game 3</v>
      </c>
      <c r="F88" s="125" t="str">
        <f>VLOOKUP(G88,'Swiss Registry'!$A$2:$B$703,2,False)</f>
        <v>tyler.cox</v>
      </c>
      <c r="G88" s="84">
        <v>525.0</v>
      </c>
      <c r="H88" s="93" t="s">
        <v>3054</v>
      </c>
      <c r="I88" s="141" t="str">
        <f t="array" ref="I88">XLOOKUP(CELL("contents",B88),'Swiss Registry'!$B$2:$B$703,'Swiss Registry'!$N$2:$N$703) </f>
        <v>1133736210683150467</v>
      </c>
      <c r="J88" s="142" t="str">
        <f t="array" ref="J88">XLOOKUP(CELL("contents",F88),'Swiss Registry'!$B$2:$B$703,'Swiss Registry'!$N$2:$N$703) </f>
        <v>188804160152403968</v>
      </c>
    </row>
    <row r="89">
      <c r="A89" s="84">
        <v>500.0</v>
      </c>
      <c r="B89" s="125" t="str">
        <f>VLOOKUP(A89,'Swiss Registry'!$A$2:$B$703,2,False)</f>
        <v>mmtimmo</v>
      </c>
      <c r="C89" s="111" t="str">
        <f t="shared" si="7"/>
        <v/>
      </c>
      <c r="D89" s="112" t="str">
        <f t="shared" si="8"/>
        <v>Act: elysyr</v>
      </c>
      <c r="E89" s="107" t="str">
        <f t="shared" si="9"/>
        <v/>
      </c>
      <c r="F89" s="125" t="str">
        <f>VLOOKUP(G89,'Swiss Registry'!$A$2:$B$703,2,False)</f>
        <v>elysyr</v>
      </c>
      <c r="G89" s="84">
        <v>519.0</v>
      </c>
      <c r="H89" s="93" t="s">
        <v>1523</v>
      </c>
      <c r="I89" s="141" t="str">
        <f t="array" ref="I89">XLOOKUP(CELL("contents",B89),'Swiss Registry'!$B$2:$B$703,'Swiss Registry'!$N$2:$N$703) </f>
        <v>201614901452603392</v>
      </c>
      <c r="J89" s="142" t="str">
        <f t="array" ref="J89">XLOOKUP(CELL("contents",F89),'Swiss Registry'!$B$2:$B$703,'Swiss Registry'!$N$2:$N$703) </f>
        <v>1252241314897068095</v>
      </c>
    </row>
    <row r="90">
      <c r="A90" s="84">
        <v>619.0</v>
      </c>
      <c r="B90" s="125" t="str">
        <f>VLOOKUP(A90,'Swiss Registry'!$A$2:$B$703,2,False)</f>
        <v>kinou_pkm</v>
      </c>
      <c r="C90" s="105" t="str">
        <f t="shared" si="7"/>
        <v>Game 1</v>
      </c>
      <c r="D90" s="106" t="str">
        <f t="shared" si="8"/>
        <v>Game 2</v>
      </c>
      <c r="E90" s="110" t="str">
        <f t="shared" si="9"/>
        <v>Game 3</v>
      </c>
      <c r="F90" s="125" t="str">
        <f>VLOOKUP(G90,'Swiss Registry'!$A$2:$B$703,2,False)</f>
        <v>Kydreith33</v>
      </c>
      <c r="G90" s="84">
        <v>283.0</v>
      </c>
      <c r="H90" s="93" t="s">
        <v>3055</v>
      </c>
      <c r="I90" s="141" t="str">
        <f t="array" ref="I90">XLOOKUP(CELL("contents",B90),'Swiss Registry'!$B$2:$B$703,'Swiss Registry'!$N$2:$N$703) </f>
        <v>760122389345337405</v>
      </c>
      <c r="J90" s="142" t="str">
        <f t="array" ref="J90">XLOOKUP(CELL("contents",F90),'Swiss Registry'!$B$2:$B$703,'Swiss Registry'!$N$2:$N$703) </f>
        <v>420018683759296513</v>
      </c>
    </row>
    <row r="91">
      <c r="A91" s="84">
        <v>352.0</v>
      </c>
      <c r="B91" s="125" t="str">
        <f>VLOOKUP(A91,'Swiss Registry'!$A$2:$B$703,2,False)</f>
        <v>Dwightasaurus</v>
      </c>
      <c r="C91" s="105" t="str">
        <f t="shared" si="7"/>
        <v>Game 1</v>
      </c>
      <c r="D91" s="106" t="str">
        <f t="shared" si="8"/>
        <v>Game 2</v>
      </c>
      <c r="E91" s="110" t="str">
        <f t="shared" si="9"/>
        <v>Game 3</v>
      </c>
      <c r="F91" s="125" t="str">
        <f>VLOOKUP(G91,'Swiss Registry'!$A$2:$B$703,2,False)</f>
        <v>squirtle_squadbig_squatto</v>
      </c>
      <c r="G91" s="84">
        <v>200.0</v>
      </c>
      <c r="H91" s="93" t="s">
        <v>3056</v>
      </c>
      <c r="I91" s="141" t="str">
        <f t="array" ref="I91">XLOOKUP(CELL("contents",B91),'Swiss Registry'!$B$2:$B$703,'Swiss Registry'!$N$2:$N$703) </f>
        <v>393205826900197377</v>
      </c>
      <c r="J91" s="142" t="str">
        <f t="array" ref="J91">XLOOKUP(CELL("contents",F91),'Swiss Registry'!$B$2:$B$703,'Swiss Registry'!$N$2:$N$703) </f>
        <v>867120639248564234</v>
      </c>
    </row>
    <row r="92">
      <c r="A92" s="84">
        <v>192.0</v>
      </c>
      <c r="B92" s="125" t="str">
        <f>VLOOKUP(A92,'Swiss Registry'!$A$2:$B$703,2,False)</f>
        <v>saltocorto</v>
      </c>
      <c r="C92" s="105" t="str">
        <f t="shared" si="7"/>
        <v>Game 1</v>
      </c>
      <c r="D92" s="106" t="str">
        <f t="shared" si="8"/>
        <v>Game 2</v>
      </c>
      <c r="E92" s="107" t="str">
        <f t="shared" si="9"/>
        <v/>
      </c>
      <c r="F92" s="125" t="str">
        <f>VLOOKUP(G92,'Swiss Registry'!$A$2:$B$703,2,False)</f>
        <v>ghostreported</v>
      </c>
      <c r="G92" s="84">
        <v>307.0</v>
      </c>
      <c r="H92" s="93" t="s">
        <v>3057</v>
      </c>
      <c r="I92" s="141" t="str">
        <f t="array" ref="I92">XLOOKUP(CELL("contents",B92),'Swiss Registry'!$B$2:$B$703,'Swiss Registry'!$N$2:$N$703) </f>
        <v>443892793593692170</v>
      </c>
      <c r="J92" s="142" t="str">
        <f t="array" ref="J92">XLOOKUP(CELL("contents",F92),'Swiss Registry'!$B$2:$B$703,'Swiss Registry'!$N$2:$N$703) </f>
        <v>965685598545403924</v>
      </c>
    </row>
    <row r="93">
      <c r="A93" s="84">
        <v>535.0</v>
      </c>
      <c r="B93" s="125" t="str">
        <f>VLOOKUP(A93,'Swiss Registry'!$A$2:$B$703,2,False)</f>
        <v>scootymcbooty123</v>
      </c>
      <c r="C93" s="105" t="str">
        <f t="shared" si="7"/>
        <v>Game 1</v>
      </c>
      <c r="D93" s="106" t="str">
        <f t="shared" si="8"/>
        <v>Game 2</v>
      </c>
      <c r="E93" s="110" t="str">
        <f t="shared" si="9"/>
        <v>Game 3</v>
      </c>
      <c r="F93" s="125" t="str">
        <f>VLOOKUP(G93,'Swiss Registry'!$A$2:$B$703,2,False)</f>
        <v>jaden_17522</v>
      </c>
      <c r="G93" s="84">
        <v>701.0</v>
      </c>
      <c r="H93" s="93" t="s">
        <v>3058</v>
      </c>
      <c r="I93" s="141" t="str">
        <f t="array" ref="I93">XLOOKUP(CELL("contents",B93),'Swiss Registry'!$B$2:$B$703,'Swiss Registry'!$N$2:$N$703) </f>
        <v>1016157273816584242</v>
      </c>
      <c r="J93" s="142" t="str">
        <f t="array" ref="J93">XLOOKUP(CELL("contents",F93),'Swiss Registry'!$B$2:$B$703,'Swiss Registry'!$N$2:$N$703) </f>
        <v>1215851373057413160</v>
      </c>
    </row>
    <row r="94">
      <c r="A94" s="84">
        <v>207.0</v>
      </c>
      <c r="B94" s="125" t="str">
        <f>VLOOKUP(A94,'Swiss Registry'!$A$2:$B$703,2,False)</f>
        <v>samjamslam</v>
      </c>
      <c r="C94" s="111" t="str">
        <f t="shared" si="7"/>
        <v/>
      </c>
      <c r="D94" s="112" t="str">
        <f t="shared" si="8"/>
        <v>Act: samjamslam</v>
      </c>
      <c r="E94" s="107" t="str">
        <f t="shared" si="9"/>
        <v/>
      </c>
      <c r="F94" s="125" t="str">
        <f>VLOOKUP(G94,'Swiss Registry'!$A$2:$B$703,2,False)</f>
        <v>Rainer7849</v>
      </c>
      <c r="G94" s="84">
        <v>299.0</v>
      </c>
      <c r="H94" s="93" t="s">
        <v>1486</v>
      </c>
      <c r="I94" s="141" t="str">
        <f t="array" ref="I94">XLOOKUP(CELL("contents",B94),'Swiss Registry'!$B$2:$B$703,'Swiss Registry'!$N$2:$N$703) </f>
        <v>589902999342546965</v>
      </c>
      <c r="J94" s="142" t="str">
        <f t="array" ref="J94">XLOOKUP(CELL("contents",F94),'Swiss Registry'!$B$2:$B$703,'Swiss Registry'!$N$2:$N$703) </f>
        <v>452288242931335179</v>
      </c>
    </row>
    <row r="95">
      <c r="A95" s="84">
        <v>486.0</v>
      </c>
      <c r="B95" s="125" t="str">
        <f>VLOOKUP(A95,'Swiss Registry'!$A$2:$B$703,2,False)</f>
        <v>venomshoc</v>
      </c>
      <c r="C95" s="105" t="str">
        <f t="shared" si="7"/>
        <v>Game 1</v>
      </c>
      <c r="D95" s="106" t="str">
        <f t="shared" si="8"/>
        <v>Game 2</v>
      </c>
      <c r="E95" s="107" t="str">
        <f t="shared" si="9"/>
        <v/>
      </c>
      <c r="F95" s="125" t="str">
        <f>VLOOKUP(G95,'Swiss Registry'!$A$2:$B$703,2,False)</f>
        <v>JoJ</v>
      </c>
      <c r="G95" s="84">
        <v>252.0</v>
      </c>
      <c r="H95" s="93" t="s">
        <v>3059</v>
      </c>
      <c r="I95" s="141" t="str">
        <f t="array" ref="I95">XLOOKUP(CELL("contents",B95),'Swiss Registry'!$B$2:$B$703,'Swiss Registry'!$N$2:$N$703) </f>
        <v>314453127224885249</v>
      </c>
      <c r="J95" s="142" t="str">
        <f t="array" ref="J95">XLOOKUP(CELL("contents",F95),'Swiss Registry'!$B$2:$B$703,'Swiss Registry'!$N$2:$N$703) </f>
        <v>275292063417892865</v>
      </c>
    </row>
    <row r="96" ht="15.0" customHeight="1">
      <c r="A96" s="124"/>
      <c r="B96" s="122"/>
      <c r="C96" s="123"/>
      <c r="D96" s="138" t="s">
        <v>2907</v>
      </c>
      <c r="E96" s="123"/>
      <c r="F96" s="122"/>
      <c r="G96" s="124"/>
      <c r="H96" s="93"/>
      <c r="I96" s="139"/>
      <c r="J96" s="139"/>
    </row>
    <row r="97">
      <c r="A97" s="84">
        <v>163.0</v>
      </c>
      <c r="B97" s="125" t="str">
        <f>VLOOKUP(A97,'Swiss Registry'!$A$2:$B$703,2,False)</f>
        <v>tonii5531</v>
      </c>
      <c r="C97" s="105" t="str">
        <f t="shared" ref="C97:C126" si="10">IF(H97="dead","",IF(H97="a:act","",IF(H97="b:act","",IF(ISURL(HYPERLINK(INDIRECT("Importer!B"&amp;MID(H97,2,4)+1,TRUE))),HYPERLINK(INDIRECT("Importer!B"&amp;MID(H97,2,4)+1,TRUE), "Game 1"),""))))</f>
        <v>Game 1</v>
      </c>
      <c r="D97" s="106" t="str">
        <f t="shared" ref="D97:D126" si="11">IF(H97="dead","Dead Game",IF(H97="a:act","Act: "&amp;B97,IF(H97="b:act","Act: "&amp;F97,IF(ISURL(HYPERLINK(INDIRECT("Importer!B"&amp;MID(H97,6,4)+1,TRUE))),HYPERLINK(INDIRECT("Importer!B"&amp;MID(H97,6,4)+1,TRUE), "Game 2"),""))))</f>
        <v>Game 2</v>
      </c>
      <c r="E97" s="110" t="str">
        <f t="shared" ref="E97:E126" si="12">IF(H97="dead","",IF(H97="a:act","",IF(H97="b:act","",IF(ISURL(HYPERLINK(INDIRECT("Importer!B"&amp;MID(H97,10,4)+1,TRUE))),HYPERLINK(INDIRECT("Importer!B"&amp;MID(H97,10,4)+1,TRUE), "Game 3"),""))))</f>
        <v>Game 3</v>
      </c>
      <c r="F97" s="125" t="str">
        <f>VLOOKUP(G97,'Swiss Registry'!$A$2:$B$703,2,False)</f>
        <v>adv_fella</v>
      </c>
      <c r="G97" s="84">
        <v>593.0</v>
      </c>
      <c r="H97" s="93" t="s">
        <v>3060</v>
      </c>
      <c r="I97" s="141" t="str">
        <f t="array" ref="I97">XLOOKUP(CELL("contents",B97),'Swiss Registry'!$B$2:$B$703,'Swiss Registry'!$N$2:$N$703) </f>
        <v>472908398451752991</v>
      </c>
      <c r="J97" s="142" t="str">
        <f t="array" ref="J97">XLOOKUP(CELL("contents",F97),'Swiss Registry'!$B$2:$B$703,'Swiss Registry'!$N$2:$N$703) </f>
        <v>1045171502057799710</v>
      </c>
    </row>
    <row r="98">
      <c r="A98" s="84">
        <v>474.0</v>
      </c>
      <c r="B98" s="125" t="str">
        <f>VLOOKUP(A98,'Swiss Registry'!$A$2:$B$703,2,False)</f>
        <v>gstrem_</v>
      </c>
      <c r="C98" s="105" t="str">
        <f t="shared" si="10"/>
        <v>Game 1</v>
      </c>
      <c r="D98" s="106" t="str">
        <f t="shared" si="11"/>
        <v>Game 2</v>
      </c>
      <c r="E98" s="107" t="str">
        <f t="shared" si="12"/>
        <v/>
      </c>
      <c r="F98" s="125" t="str">
        <f>VLOOKUP(G98,'Swiss Registry'!$A$2:$B$703,2,False)</f>
        <v>Papa Escargo</v>
      </c>
      <c r="G98" s="84">
        <v>276.0</v>
      </c>
      <c r="H98" s="93" t="s">
        <v>3061</v>
      </c>
      <c r="I98" s="141" t="str">
        <f t="array" ref="I98">XLOOKUP(CELL("contents",B98),'Swiss Registry'!$B$2:$B$703,'Swiss Registry'!$N$2:$N$703) </f>
        <v>575673302429859849</v>
      </c>
      <c r="J98" s="142" t="str">
        <f t="array" ref="J98">XLOOKUP(CELL("contents",F98),'Swiss Registry'!$B$2:$B$703,'Swiss Registry'!$N$2:$N$703) </f>
        <v>510329516531515427</v>
      </c>
    </row>
    <row r="99">
      <c r="A99" s="84">
        <v>172.0</v>
      </c>
      <c r="B99" s="125" t="str">
        <f>VLOOKUP(A99,'Swiss Registry'!$A$2:$B$703,2,False)</f>
        <v>Redmoonie</v>
      </c>
      <c r="C99" s="105" t="str">
        <f t="shared" si="10"/>
        <v>Game 1</v>
      </c>
      <c r="D99" s="106" t="str">
        <f t="shared" si="11"/>
        <v>Game 2</v>
      </c>
      <c r="E99" s="110" t="str">
        <f t="shared" si="12"/>
        <v>Game 3</v>
      </c>
      <c r="F99" s="125" t="str">
        <f>VLOOKUP(G99,'Swiss Registry'!$A$2:$B$703,2,False)</f>
        <v>style_purposes</v>
      </c>
      <c r="G99" s="84">
        <v>107.0</v>
      </c>
      <c r="H99" s="93" t="s">
        <v>3062</v>
      </c>
      <c r="I99" s="141" t="str">
        <f t="array" ref="I99">XLOOKUP(CELL("contents",B99),'Swiss Registry'!$B$2:$B$703,'Swiss Registry'!$N$2:$N$703) </f>
        <v>903044957298909185</v>
      </c>
      <c r="J99" s="142" t="str">
        <f t="array" ref="J99">XLOOKUP(CELL("contents",F99),'Swiss Registry'!$B$2:$B$703,'Swiss Registry'!$N$2:$N$703) </f>
        <v>608850851150430226</v>
      </c>
    </row>
    <row r="100">
      <c r="A100" s="84">
        <v>675.0</v>
      </c>
      <c r="B100" s="125" t="str">
        <f>VLOOKUP(A100,'Swiss Registry'!$A$2:$B$703,2,False)</f>
        <v>Ehtis</v>
      </c>
      <c r="C100" s="105" t="str">
        <f t="shared" si="10"/>
        <v>Game 1</v>
      </c>
      <c r="D100" s="106" t="str">
        <f t="shared" si="11"/>
        <v>Game 2</v>
      </c>
      <c r="E100" s="107" t="str">
        <f t="shared" si="12"/>
        <v/>
      </c>
      <c r="F100" s="125" t="str">
        <f>VLOOKUP(G100,'Swiss Registry'!$A$2:$B$703,2,False)</f>
        <v>chtx</v>
      </c>
      <c r="G100" s="84">
        <v>377.0</v>
      </c>
      <c r="H100" s="93" t="s">
        <v>3063</v>
      </c>
      <c r="I100" s="141" t="str">
        <f t="array" ref="I100">XLOOKUP(CELL("contents",B100),'Swiss Registry'!$B$2:$B$703,'Swiss Registry'!$N$2:$N$703) </f>
        <v>318819800639995904</v>
      </c>
      <c r="J100" s="142" t="str">
        <f t="array" ref="J100">XLOOKUP(CELL("contents",F100),'Swiss Registry'!$B$2:$B$703,'Swiss Registry'!$N$2:$N$703) </f>
        <v>883745894825099354</v>
      </c>
    </row>
    <row r="101">
      <c r="A101" s="84">
        <v>677.0</v>
      </c>
      <c r="B101" s="125" t="str">
        <f>VLOOKUP(A101,'Swiss Registry'!$A$2:$B$703,2,False)</f>
        <v>garcilp</v>
      </c>
      <c r="C101" s="105" t="str">
        <f t="shared" si="10"/>
        <v>Game 1</v>
      </c>
      <c r="D101" s="106" t="str">
        <f t="shared" si="11"/>
        <v>Game 2</v>
      </c>
      <c r="E101" s="110" t="str">
        <f t="shared" si="12"/>
        <v>Game 3</v>
      </c>
      <c r="F101" s="125" t="str">
        <f>VLOOKUP(G101,'Swiss Registry'!$A$2:$B$703,2,False)</f>
        <v>owlman7507</v>
      </c>
      <c r="G101" s="84">
        <v>487.0</v>
      </c>
      <c r="H101" s="93" t="s">
        <v>3064</v>
      </c>
      <c r="I101" s="141" t="str">
        <f t="array" ref="I101">XLOOKUP(CELL("contents",B101),'Swiss Registry'!$B$2:$B$703,'Swiss Registry'!$N$2:$N$703) </f>
        <v>121071467692556291</v>
      </c>
      <c r="J101" s="142" t="str">
        <f t="array" ref="J101">XLOOKUP(CELL("contents",F101),'Swiss Registry'!$B$2:$B$703,'Swiss Registry'!$N$2:$N$703) </f>
        <v>684894520751816770</v>
      </c>
    </row>
    <row r="102">
      <c r="A102" s="84">
        <v>691.0</v>
      </c>
      <c r="B102" s="125" t="str">
        <f>VLOOKUP(A102,'Swiss Registry'!$A$2:$B$703,2,False)</f>
        <v>aldrichunfaithful</v>
      </c>
      <c r="C102" s="105" t="str">
        <f t="shared" si="10"/>
        <v>Game 1</v>
      </c>
      <c r="D102" s="106" t="str">
        <f t="shared" si="11"/>
        <v>Game 2</v>
      </c>
      <c r="E102" s="110" t="str">
        <f t="shared" si="12"/>
        <v>Game 3</v>
      </c>
      <c r="F102" s="125" t="str">
        <f>VLOOKUP(G102,'Swiss Registry'!$A$2:$B$703,2,False)</f>
        <v>The_Badger1230</v>
      </c>
      <c r="G102" s="84">
        <v>105.0</v>
      </c>
      <c r="H102" s="93" t="s">
        <v>3065</v>
      </c>
      <c r="I102" s="141" t="str">
        <f t="array" ref="I102">XLOOKUP(CELL("contents",B102),'Swiss Registry'!$B$2:$B$703,'Swiss Registry'!$N$2:$N$703) </f>
        <v>743954201222053955</v>
      </c>
      <c r="J102" s="142" t="str">
        <f t="array" ref="J102">XLOOKUP(CELL("contents",F102),'Swiss Registry'!$B$2:$B$703,'Swiss Registry'!$N$2:$N$703) </f>
        <v>615213996345131145</v>
      </c>
    </row>
    <row r="103">
      <c r="A103" s="84">
        <v>321.0</v>
      </c>
      <c r="B103" s="125" t="str">
        <f>VLOOKUP(A103,'Swiss Registry'!$A$2:$B$703,2,False)</f>
        <v>almarkowbender</v>
      </c>
      <c r="C103" s="105" t="str">
        <f t="shared" si="10"/>
        <v>Game 1</v>
      </c>
      <c r="D103" s="106" t="str">
        <f t="shared" si="11"/>
        <v>Game 2</v>
      </c>
      <c r="E103" s="107" t="str">
        <f t="shared" si="12"/>
        <v/>
      </c>
      <c r="F103" s="125" t="str">
        <f>VLOOKUP(G103,'Swiss Registry'!$A$2:$B$703,2,False)</f>
        <v>@spreek</v>
      </c>
      <c r="G103" s="84">
        <v>640.0</v>
      </c>
      <c r="H103" s="93" t="s">
        <v>3066</v>
      </c>
      <c r="I103" s="141" t="str">
        <f t="array" ref="I103">XLOOKUP(CELL("contents",B103),'Swiss Registry'!$B$2:$B$703,'Swiss Registry'!$N$2:$N$703) </f>
        <v>341270044979757056</v>
      </c>
      <c r="J103" s="142" t="str">
        <f t="array" ref="J103">XLOOKUP(CELL("contents",F103),'Swiss Registry'!$B$2:$B$703,'Swiss Registry'!$N$2:$N$703) </f>
        <v>136272881666621440</v>
      </c>
    </row>
    <row r="104">
      <c r="A104" s="84">
        <v>303.0</v>
      </c>
      <c r="B104" s="125" t="str">
        <f>VLOOKUP(A104,'Swiss Registry'!$A$2:$B$703,2,False)</f>
        <v>gorbinator.</v>
      </c>
      <c r="C104" s="105" t="str">
        <f t="shared" si="10"/>
        <v>Game 1</v>
      </c>
      <c r="D104" s="106" t="str">
        <f t="shared" si="11"/>
        <v>Game 2</v>
      </c>
      <c r="E104" s="110" t="str">
        <f t="shared" si="12"/>
        <v>Game 3</v>
      </c>
      <c r="F104" s="125" t="str">
        <f>VLOOKUP(G104,'Swiss Registry'!$A$2:$B$703,2,False)</f>
        <v>air602</v>
      </c>
      <c r="G104" s="84">
        <v>372.0</v>
      </c>
      <c r="H104" s="93" t="s">
        <v>3067</v>
      </c>
      <c r="I104" s="141" t="str">
        <f t="array" ref="I104">XLOOKUP(CELL("contents",B104),'Swiss Registry'!$B$2:$B$703,'Swiss Registry'!$N$2:$N$703) </f>
        <v>557345709712736266</v>
      </c>
      <c r="J104" s="142" t="str">
        <f t="array" ref="J104">XLOOKUP(CELL("contents",F104),'Swiss Registry'!$B$2:$B$703,'Swiss Registry'!$N$2:$N$703) </f>
        <v>336743385945735171</v>
      </c>
    </row>
    <row r="105">
      <c r="A105" s="84">
        <v>679.0</v>
      </c>
      <c r="B105" s="125" t="str">
        <f>VLOOKUP(A105,'Swiss Registry'!$A$2:$B$703,2,False)</f>
        <v>bydy2</v>
      </c>
      <c r="C105" s="105" t="str">
        <f t="shared" si="10"/>
        <v>Game 1</v>
      </c>
      <c r="D105" s="106" t="str">
        <f t="shared" si="11"/>
        <v>Game 2</v>
      </c>
      <c r="E105" s="107" t="str">
        <f t="shared" si="12"/>
        <v/>
      </c>
      <c r="F105" s="125" t="str">
        <f>VLOOKUP(G105,'Swiss Registry'!$A$2:$B$703,2,False)</f>
        <v>.alig.</v>
      </c>
      <c r="G105" s="84">
        <v>211.0</v>
      </c>
      <c r="H105" s="93" t="s">
        <v>3068</v>
      </c>
      <c r="I105" s="141" t="str">
        <f t="array" ref="I105">XLOOKUP(CELL("contents",B105),'Swiss Registry'!$B$2:$B$703,'Swiss Registry'!$N$2:$N$703) </f>
        <v>245276997687836672</v>
      </c>
      <c r="J105" s="142" t="str">
        <f t="array" ref="J105">XLOOKUP(CELL("contents",F105),'Swiss Registry'!$B$2:$B$703,'Swiss Registry'!$N$2:$N$703) </f>
        <v>192192076841091072</v>
      </c>
    </row>
    <row r="106">
      <c r="A106" s="84">
        <v>263.0</v>
      </c>
      <c r="B106" s="125" t="str">
        <f>VLOOKUP(A106,'Swiss Registry'!$A$2:$B$703,2,False)</f>
        <v>charku</v>
      </c>
      <c r="C106" s="105" t="str">
        <f t="shared" si="10"/>
        <v>Game 1</v>
      </c>
      <c r="D106" s="106" t="str">
        <f t="shared" si="11"/>
        <v>Game 2</v>
      </c>
      <c r="E106" s="110" t="str">
        <f t="shared" si="12"/>
        <v>Game 3</v>
      </c>
      <c r="F106" s="125" t="str">
        <f>VLOOKUP(G106,'Swiss Registry'!$A$2:$B$703,2,False)</f>
        <v>dragonlord6954</v>
      </c>
      <c r="G106" s="84">
        <v>400.0</v>
      </c>
      <c r="H106" s="93" t="s">
        <v>3069</v>
      </c>
      <c r="I106" s="141" t="str">
        <f t="array" ref="I106">XLOOKUP(CELL("contents",B106),'Swiss Registry'!$B$2:$B$703,'Swiss Registry'!$N$2:$N$703) </f>
        <v>492288203596759042</v>
      </c>
      <c r="J106" s="142" t="str">
        <f t="array" ref="J106">XLOOKUP(CELL("contents",F106),'Swiss Registry'!$B$2:$B$703,'Swiss Registry'!$N$2:$N$703) </f>
        <v>1071049773546733670</v>
      </c>
    </row>
    <row r="107">
      <c r="A107" s="84">
        <v>568.0</v>
      </c>
      <c r="B107" s="125" t="str">
        <f>VLOOKUP(A107,'Swiss Registry'!$A$2:$B$703,2,False)</f>
        <v>mintyerb</v>
      </c>
      <c r="C107" s="105" t="str">
        <f t="shared" si="10"/>
        <v>Game 1</v>
      </c>
      <c r="D107" s="106" t="str">
        <f t="shared" si="11"/>
        <v>Game 2</v>
      </c>
      <c r="E107" s="110" t="str">
        <f t="shared" si="12"/>
        <v>Game 3</v>
      </c>
      <c r="F107" s="125" t="str">
        <f>VLOOKUP(G107,'Swiss Registry'!$A$2:$B$703,2,False)</f>
        <v>wavy_ish</v>
      </c>
      <c r="G107" s="84">
        <v>398.0</v>
      </c>
      <c r="H107" s="93" t="s">
        <v>3070</v>
      </c>
      <c r="I107" s="141" t="str">
        <f t="array" ref="I107">XLOOKUP(CELL("contents",B107),'Swiss Registry'!$B$2:$B$703,'Swiss Registry'!$N$2:$N$703) </f>
        <v>411341688288575500</v>
      </c>
      <c r="J107" s="142" t="str">
        <f t="array" ref="J107">XLOOKUP(CELL("contents",F107),'Swiss Registry'!$B$2:$B$703,'Swiss Registry'!$N$2:$N$703) </f>
        <v>354755541249032192</v>
      </c>
    </row>
    <row r="108">
      <c r="A108" s="84">
        <v>613.0</v>
      </c>
      <c r="B108" s="125" t="str">
        <f>VLOOKUP(A108,'Swiss Registry'!$A$2:$B$703,2,False)</f>
        <v>Ghostfall22</v>
      </c>
      <c r="C108" s="105" t="str">
        <f t="shared" si="10"/>
        <v>Game 1</v>
      </c>
      <c r="D108" s="106" t="str">
        <f t="shared" si="11"/>
        <v>Game 2</v>
      </c>
      <c r="E108" s="107" t="str">
        <f t="shared" si="12"/>
        <v/>
      </c>
      <c r="F108" s="125" t="str">
        <f>VLOOKUP(G108,'Swiss Registry'!$A$2:$B$703,2,False)</f>
        <v>b1ur</v>
      </c>
      <c r="G108" s="84">
        <v>642.0</v>
      </c>
      <c r="H108" s="93" t="s">
        <v>3071</v>
      </c>
      <c r="I108" s="141" t="str">
        <f t="array" ref="I108">XLOOKUP(CELL("contents",B108),'Swiss Registry'!$B$2:$B$703,'Swiss Registry'!$N$2:$N$703) </f>
        <v>894720722683985930</v>
      </c>
      <c r="J108" s="142" t="str">
        <f t="array" ref="J108">XLOOKUP(CELL("contents",F108),'Swiss Registry'!$B$2:$B$703,'Swiss Registry'!$N$2:$N$703) </f>
        <v>196380416473563136</v>
      </c>
    </row>
    <row r="109">
      <c r="A109" s="84">
        <v>198.0</v>
      </c>
      <c r="B109" s="125" t="str">
        <f>VLOOKUP(A109,'Swiss Registry'!$A$2:$B$703,2,False)</f>
        <v>Kenava</v>
      </c>
      <c r="C109" s="105" t="str">
        <f t="shared" si="10"/>
        <v>Game 1</v>
      </c>
      <c r="D109" s="106" t="str">
        <f t="shared" si="11"/>
        <v>Game 2</v>
      </c>
      <c r="E109" s="110" t="str">
        <f t="shared" si="12"/>
        <v>Game 3</v>
      </c>
      <c r="F109" s="125" t="str">
        <f>VLOOKUP(G109,'Swiss Registry'!$A$2:$B$703,2,False)</f>
        <v>@pek__</v>
      </c>
      <c r="G109" s="84">
        <v>696.0</v>
      </c>
      <c r="H109" s="93" t="s">
        <v>3072</v>
      </c>
      <c r="I109" s="141" t="str">
        <f t="array" ref="I109">XLOOKUP(CELL("contents",B109),'Swiss Registry'!$B$2:$B$703,'Swiss Registry'!$N$2:$N$703) </f>
        <v>727218490024394774</v>
      </c>
      <c r="J109" s="142" t="str">
        <f t="array" ref="J109">XLOOKUP(CELL("contents",F109),'Swiss Registry'!$B$2:$B$703,'Swiss Registry'!$N$2:$N$703) </f>
        <v>195931152521887744</v>
      </c>
    </row>
    <row r="110">
      <c r="A110" s="84">
        <v>314.0</v>
      </c>
      <c r="B110" s="125" t="str">
        <f>VLOOKUP(A110,'Swiss Registry'!$A$2:$B$703,2,False)</f>
        <v>triskeriaki</v>
      </c>
      <c r="C110" s="111" t="str">
        <f t="shared" si="10"/>
        <v/>
      </c>
      <c r="D110" s="149" t="str">
        <f t="shared" si="11"/>
        <v>Act: gogozeppeli1890 (rconquer)</v>
      </c>
      <c r="E110" s="107" t="str">
        <f t="shared" si="12"/>
        <v/>
      </c>
      <c r="F110" s="125" t="str">
        <f>VLOOKUP(G110,'Swiss Registry'!$A$2:$B$703,2,False)</f>
        <v>gogozeppeli1890 (rconquer)</v>
      </c>
      <c r="G110" s="84">
        <v>247.0</v>
      </c>
      <c r="H110" s="93" t="s">
        <v>1523</v>
      </c>
      <c r="I110" s="141" t="str">
        <f t="array" ref="I110">XLOOKUP(CELL("contents",B110),'Swiss Registry'!$B$2:$B$703,'Swiss Registry'!$N$2:$N$703) </f>
        <v>316007672510021634</v>
      </c>
      <c r="J110" s="142" t="str">
        <f t="array" ref="J110">XLOOKUP(CELL("contents",F110),'Swiss Registry'!$B$2:$B$703,'Swiss Registry'!$N$2:$N$703) </f>
        <v>195721708504743936</v>
      </c>
    </row>
    <row r="111">
      <c r="A111" s="84">
        <v>221.0</v>
      </c>
      <c r="B111" s="125" t="str">
        <f>VLOOKUP(A111,'Swiss Registry'!$A$2:$B$703,2,False)</f>
        <v>Tefo</v>
      </c>
      <c r="C111" s="105" t="str">
        <f t="shared" si="10"/>
        <v>Game 1</v>
      </c>
      <c r="D111" s="106" t="str">
        <f t="shared" si="11"/>
        <v>Game 2</v>
      </c>
      <c r="E111" s="107" t="str">
        <f t="shared" si="12"/>
        <v/>
      </c>
      <c r="F111" s="125" t="str">
        <f>VLOOKUP(G111,'Swiss Registry'!$A$2:$B$703,2,False)</f>
        <v>Sificon</v>
      </c>
      <c r="G111" s="84">
        <v>471.0</v>
      </c>
      <c r="H111" s="93" t="s">
        <v>3073</v>
      </c>
      <c r="I111" s="141" t="str">
        <f t="array" ref="I111">XLOOKUP(CELL("contents",B111),'Swiss Registry'!$B$2:$B$703,'Swiss Registry'!$N$2:$N$703) </f>
        <v>398388682874159106</v>
      </c>
      <c r="J111" s="142" t="str">
        <f t="array" ref="J111">XLOOKUP(CELL("contents",F111),'Swiss Registry'!$B$2:$B$703,'Swiss Registry'!$N$2:$N$703) </f>
        <v>363775331292676097</v>
      </c>
    </row>
    <row r="112">
      <c r="A112" s="84">
        <v>475.0</v>
      </c>
      <c r="B112" s="125" t="str">
        <f>VLOOKUP(A112,'Swiss Registry'!$A$2:$B$703,2,False)</f>
        <v>busyboi</v>
      </c>
      <c r="C112" s="105" t="str">
        <f t="shared" si="10"/>
        <v>Game 1</v>
      </c>
      <c r="D112" s="106" t="str">
        <f t="shared" si="11"/>
        <v>Game 2</v>
      </c>
      <c r="E112" s="107" t="str">
        <f t="shared" si="12"/>
        <v/>
      </c>
      <c r="F112" s="125" t="str">
        <f>VLOOKUP(G112,'Swiss Registry'!$A$2:$B$703,2,False)</f>
        <v>choicescarf002</v>
      </c>
      <c r="G112" s="84">
        <v>504.0</v>
      </c>
      <c r="H112" s="93" t="s">
        <v>3074</v>
      </c>
      <c r="I112" s="141" t="str">
        <f t="array" ref="I112">XLOOKUP(CELL("contents",B112),'Swiss Registry'!$B$2:$B$703,'Swiss Registry'!$N$2:$N$703) </f>
        <v>170563297433747457</v>
      </c>
      <c r="J112" s="142" t="str">
        <f t="array" ref="J112">XLOOKUP(CELL("contents",F112),'Swiss Registry'!$B$2:$B$703,'Swiss Registry'!$N$2:$N$703) </f>
        <v>359154373063999490</v>
      </c>
    </row>
    <row r="113">
      <c r="A113" s="84">
        <v>476.0</v>
      </c>
      <c r="B113" s="125" t="str">
        <f>VLOOKUP(A113,'Swiss Registry'!$A$2:$B$703,2,False)</f>
        <v>Colby2D</v>
      </c>
      <c r="C113" s="105" t="str">
        <f t="shared" si="10"/>
        <v>Game 1</v>
      </c>
      <c r="D113" s="106" t="str">
        <f t="shared" si="11"/>
        <v>Game 2</v>
      </c>
      <c r="E113" s="107" t="str">
        <f t="shared" si="12"/>
        <v/>
      </c>
      <c r="F113" s="125" t="str">
        <f>VLOOKUP(G113,'Swiss Registry'!$A$2:$B$703,2,False)</f>
        <v>derevien</v>
      </c>
      <c r="G113" s="84">
        <v>541.0</v>
      </c>
      <c r="H113" s="93" t="s">
        <v>3075</v>
      </c>
      <c r="I113" s="141" t="str">
        <f t="array" ref="I113">XLOOKUP(CELL("contents",B113),'Swiss Registry'!$B$2:$B$703,'Swiss Registry'!$N$2:$N$703) </f>
        <v>255541617597874176</v>
      </c>
      <c r="J113" s="142" t="str">
        <f t="array" ref="J113">XLOOKUP(CELL("contents",F113),'Swiss Registry'!$B$2:$B$703,'Swiss Registry'!$N$2:$N$703) </f>
        <v>219178413062225922</v>
      </c>
    </row>
    <row r="114">
      <c r="A114" s="84">
        <v>698.0</v>
      </c>
      <c r="B114" s="125" t="str">
        <f>VLOOKUP(A114,'Swiss Registry'!$A$2:$B$703,2,False)</f>
        <v>jankcity</v>
      </c>
      <c r="C114" s="105" t="str">
        <f t="shared" si="10"/>
        <v>Game 1</v>
      </c>
      <c r="D114" s="106" t="str">
        <f t="shared" si="11"/>
        <v>Game 2</v>
      </c>
      <c r="E114" s="107" t="str">
        <f t="shared" si="12"/>
        <v/>
      </c>
      <c r="F114" s="125" t="str">
        <f>VLOOKUP(G114,'Swiss Registry'!$A$2:$B$703,2,False)</f>
        <v>Axselo</v>
      </c>
      <c r="G114" s="84">
        <v>215.0</v>
      </c>
      <c r="H114" s="93" t="s">
        <v>3076</v>
      </c>
      <c r="I114" s="141" t="str">
        <f t="array" ref="I114">XLOOKUP(CELL("contents",B114),'Swiss Registry'!$B$2:$B$703,'Swiss Registry'!$N$2:$N$703) </f>
        <v>532236765914988557</v>
      </c>
      <c r="J114" s="142" t="str">
        <f t="array" ref="J114">XLOOKUP(CELL("contents",F114),'Swiss Registry'!$B$2:$B$703,'Swiss Registry'!$N$2:$N$703) </f>
        <v>627180078048215060</v>
      </c>
    </row>
    <row r="115">
      <c r="A115" s="84">
        <v>150.0</v>
      </c>
      <c r="B115" s="125" t="str">
        <f>VLOOKUP(A115,'Swiss Registry'!$A$2:$B$703,2,False)</f>
        <v>Scrigman</v>
      </c>
      <c r="C115" s="105" t="str">
        <f t="shared" si="10"/>
        <v>Game 1</v>
      </c>
      <c r="D115" s="106" t="str">
        <f t="shared" si="11"/>
        <v>Game 2</v>
      </c>
      <c r="E115" s="107" t="str">
        <f t="shared" si="12"/>
        <v/>
      </c>
      <c r="F115" s="125" t="str">
        <f>VLOOKUP(G115,'Swiss Registry'!$A$2:$B$703,2,False)</f>
        <v>Rezzo</v>
      </c>
      <c r="G115" s="84">
        <v>149.0</v>
      </c>
      <c r="H115" s="93" t="s">
        <v>3077</v>
      </c>
      <c r="I115" s="141" t="str">
        <f t="array" ref="I115">XLOOKUP(CELL("contents",B115),'Swiss Registry'!$B$2:$B$703,'Swiss Registry'!$N$2:$N$703) </f>
        <v>211942228153597952</v>
      </c>
      <c r="J115" s="142" t="str">
        <f t="array" ref="J115">XLOOKUP(CELL("contents",F115),'Swiss Registry'!$B$2:$B$703,'Swiss Registry'!$N$2:$N$703) </f>
        <v>208377004209209344</v>
      </c>
    </row>
    <row r="116">
      <c r="A116" s="84">
        <v>530.0</v>
      </c>
      <c r="B116" s="125" t="str">
        <f>VLOOKUP(A116,'Swiss Registry'!$A$2:$B$703,2,False)</f>
        <v>tibetanator</v>
      </c>
      <c r="C116" s="111" t="str">
        <f t="shared" si="10"/>
        <v/>
      </c>
      <c r="D116" s="112" t="str">
        <f t="shared" si="11"/>
        <v>Act: tibetanator</v>
      </c>
      <c r="E116" s="107" t="str">
        <f t="shared" si="12"/>
        <v/>
      </c>
      <c r="F116" s="125" t="str">
        <f>VLOOKUP(G116,'Swiss Registry'!$A$2:$B$703,2,False)</f>
        <v>strawbbz</v>
      </c>
      <c r="G116" s="84">
        <v>507.0</v>
      </c>
      <c r="H116" s="93" t="s">
        <v>1486</v>
      </c>
      <c r="I116" s="141" t="str">
        <f t="array" ref="I116">XLOOKUP(CELL("contents",B116),'Swiss Registry'!$B$2:$B$703,'Swiss Registry'!$N$2:$N$703) </f>
        <v>734152855501668363</v>
      </c>
      <c r="J116" s="142" t="str">
        <f t="array" ref="J116">XLOOKUP(CELL("contents",F116),'Swiss Registry'!$B$2:$B$703,'Swiss Registry'!$N$2:$N$703) </f>
        <v>303671100980854788</v>
      </c>
    </row>
    <row r="117">
      <c r="A117" s="84">
        <v>161.0</v>
      </c>
      <c r="B117" s="125" t="str">
        <f>VLOOKUP(A117,'Swiss Registry'!$A$2:$B$703,2,False)</f>
        <v>br.twfb</v>
      </c>
      <c r="C117" s="105" t="str">
        <f t="shared" si="10"/>
        <v>Game 1</v>
      </c>
      <c r="D117" s="106" t="str">
        <f t="shared" si="11"/>
        <v>Game 2</v>
      </c>
      <c r="E117" s="107" t="str">
        <f t="shared" si="12"/>
        <v/>
      </c>
      <c r="F117" s="125" t="str">
        <f>VLOOKUP(G117,'Swiss Registry'!$A$2:$B$703,2,False)</f>
        <v>_rekkzz_</v>
      </c>
      <c r="G117" s="84">
        <v>578.0</v>
      </c>
      <c r="H117" s="93" t="s">
        <v>3078</v>
      </c>
      <c r="I117" s="141" t="str">
        <f t="array" ref="I117">XLOOKUP(CELL("contents",B117),'Swiss Registry'!$B$2:$B$703,'Swiss Registry'!$N$2:$N$703) </f>
        <v>194544710604292097</v>
      </c>
      <c r="J117" s="142" t="str">
        <f t="array" ref="J117">XLOOKUP(CELL("contents",F117),'Swiss Registry'!$B$2:$B$703,'Swiss Registry'!$N$2:$N$703) </f>
        <v>1066999557575147581</v>
      </c>
    </row>
    <row r="118">
      <c r="A118" s="84">
        <v>230.0</v>
      </c>
      <c r="B118" s="125" t="str">
        <f>VLOOKUP(A118,'Swiss Registry'!$A$2:$B$703,2,False)</f>
        <v>J0af</v>
      </c>
      <c r="C118" s="105" t="str">
        <f t="shared" si="10"/>
        <v>Game 1</v>
      </c>
      <c r="D118" s="106" t="str">
        <f t="shared" si="11"/>
        <v>Game 2</v>
      </c>
      <c r="E118" s="107" t="str">
        <f t="shared" si="12"/>
        <v/>
      </c>
      <c r="F118" s="125" t="str">
        <f>VLOOKUP(G118,'Swiss Registry'!$A$2:$B$703,2,False)</f>
        <v>pac_rojo</v>
      </c>
      <c r="G118" s="84">
        <v>331.0</v>
      </c>
      <c r="H118" s="93" t="s">
        <v>3079</v>
      </c>
      <c r="I118" s="141" t="str">
        <f t="array" ref="I118">XLOOKUP(CELL("contents",B118),'Swiss Registry'!$B$2:$B$703,'Swiss Registry'!$N$2:$N$703) </f>
        <v>144056588959744001</v>
      </c>
      <c r="J118" s="142" t="str">
        <f t="array" ref="J118">XLOOKUP(CELL("contents",F118),'Swiss Registry'!$B$2:$B$703,'Swiss Registry'!$N$2:$N$703) </f>
        <v>658992933772591105</v>
      </c>
    </row>
    <row r="119">
      <c r="A119" s="84">
        <v>512.0</v>
      </c>
      <c r="B119" s="125" t="str">
        <f>VLOOKUP(A119,'Swiss Registry'!$A$2:$B$703,2,False)</f>
        <v>msousa</v>
      </c>
      <c r="C119" s="105" t="str">
        <f t="shared" si="10"/>
        <v>Game 1</v>
      </c>
      <c r="D119" s="106" t="str">
        <f t="shared" si="11"/>
        <v>Game 2</v>
      </c>
      <c r="E119" s="110" t="str">
        <f t="shared" si="12"/>
        <v>Game 3</v>
      </c>
      <c r="F119" s="125" t="str">
        <f>VLOOKUP(G119,'Swiss Registry'!$A$2:$B$703,2,False)</f>
        <v>lengloi</v>
      </c>
      <c r="G119" s="84">
        <v>129.0</v>
      </c>
      <c r="H119" s="93" t="s">
        <v>3080</v>
      </c>
      <c r="I119" s="141" t="str">
        <f t="array" ref="I119">XLOOKUP(CELL("contents",B119),'Swiss Registry'!$B$2:$B$703,'Swiss Registry'!$N$2:$N$703) </f>
        <v>489109056183599104</v>
      </c>
      <c r="J119" s="142" t="str">
        <f t="array" ref="J119">XLOOKUP(CELL("contents",F119),'Swiss Registry'!$B$2:$B$703,'Swiss Registry'!$N$2:$N$703) </f>
        <v>442724252819390474</v>
      </c>
    </row>
    <row r="120">
      <c r="A120" s="84">
        <v>355.0</v>
      </c>
      <c r="B120" s="125" t="str">
        <f>VLOOKUP(A120,'Swiss Registry'!$A$2:$B$703,2,False)</f>
        <v>Sorenkazer</v>
      </c>
      <c r="C120" s="105" t="str">
        <f t="shared" si="10"/>
        <v>Game 1</v>
      </c>
      <c r="D120" s="106" t="str">
        <f t="shared" si="11"/>
        <v>Game 2</v>
      </c>
      <c r="E120" s="110" t="str">
        <f t="shared" si="12"/>
        <v>Game 3</v>
      </c>
      <c r="F120" s="125" t="str">
        <f>VLOOKUP(G120,'Swiss Registry'!$A$2:$B$703,2,False)</f>
        <v>.lucky_7.</v>
      </c>
      <c r="G120" s="84">
        <v>401.0</v>
      </c>
      <c r="H120" s="93" t="s">
        <v>3081</v>
      </c>
      <c r="I120" s="141" t="str">
        <f t="array" ref="I120">XLOOKUP(CELL("contents",B120),'Swiss Registry'!$B$2:$B$703,'Swiss Registry'!$N$2:$N$703) </f>
        <v>245004928748224513</v>
      </c>
      <c r="J120" s="142" t="str">
        <f t="array" ref="J120">XLOOKUP(CELL("contents",F120),'Swiss Registry'!$B$2:$B$703,'Swiss Registry'!$N$2:$N$703) </f>
        <v>324637010193285121</v>
      </c>
    </row>
    <row r="121">
      <c r="A121" s="84">
        <v>121.0</v>
      </c>
      <c r="B121" s="125" t="str">
        <f>VLOOKUP(A121,'Swiss Registry'!$A$2:$B$703,2,False)</f>
        <v>.brever.</v>
      </c>
      <c r="C121" s="105" t="str">
        <f t="shared" si="10"/>
        <v>Game 1</v>
      </c>
      <c r="D121" s="106" t="str">
        <f t="shared" si="11"/>
        <v>Game 2</v>
      </c>
      <c r="E121" s="107" t="str">
        <f t="shared" si="12"/>
        <v/>
      </c>
      <c r="F121" s="125" t="str">
        <f>VLOOKUP(G121,'Swiss Registry'!$A$2:$B$703,2,False)</f>
        <v>elmagneto</v>
      </c>
      <c r="G121" s="84">
        <v>635.0</v>
      </c>
      <c r="H121" s="93" t="s">
        <v>3082</v>
      </c>
      <c r="I121" s="141" t="str">
        <f t="array" ref="I121">XLOOKUP(CELL("contents",B121),'Swiss Registry'!$B$2:$B$703,'Swiss Registry'!$N$2:$N$703) </f>
        <v>215872454222938112</v>
      </c>
      <c r="J121" s="142" t="str">
        <f t="array" ref="J121">XLOOKUP(CELL("contents",F121),'Swiss Registry'!$B$2:$B$703,'Swiss Registry'!$N$2:$N$703) </f>
        <v>381169925601099779</v>
      </c>
    </row>
    <row r="122">
      <c r="A122" s="84">
        <v>448.0</v>
      </c>
      <c r="B122" s="125" t="str">
        <f>VLOOKUP(A122,'Swiss Registry'!$A$2:$B$703,2,False)</f>
        <v>egocheck</v>
      </c>
      <c r="C122" s="105" t="str">
        <f t="shared" si="10"/>
        <v>Game 1</v>
      </c>
      <c r="D122" s="106" t="str">
        <f t="shared" si="11"/>
        <v>Game 2</v>
      </c>
      <c r="E122" s="107" t="str">
        <f t="shared" si="12"/>
        <v/>
      </c>
      <c r="F122" s="125" t="str">
        <f>VLOOKUP(G122,'Swiss Registry'!$A$2:$B$703,2,False)</f>
        <v>Forte_French</v>
      </c>
      <c r="G122" s="84">
        <v>442.0</v>
      </c>
      <c r="H122" s="93" t="s">
        <v>3083</v>
      </c>
      <c r="I122" s="141" t="str">
        <f t="array" ref="I122">XLOOKUP(CELL("contents",B122),'Swiss Registry'!$B$2:$B$703,'Swiss Registry'!$N$2:$N$703) </f>
        <v>352554361001345026</v>
      </c>
      <c r="J122" s="142" t="str">
        <f t="array" ref="J122">XLOOKUP(CELL("contents",F122),'Swiss Registry'!$B$2:$B$703,'Swiss Registry'!$N$2:$N$703) </f>
        <v>345986385502797844</v>
      </c>
    </row>
    <row r="123">
      <c r="A123" s="84">
        <v>694.0</v>
      </c>
      <c r="B123" s="125" t="str">
        <f>VLOOKUP(A123,'Swiss Registry'!$A$2:$B$703,2,False)</f>
        <v>WraxiusGaming</v>
      </c>
      <c r="C123" s="105" t="str">
        <f t="shared" si="10"/>
        <v>Game 1</v>
      </c>
      <c r="D123" s="106" t="str">
        <f t="shared" si="11"/>
        <v>Game 2</v>
      </c>
      <c r="E123" s="110" t="str">
        <f t="shared" si="12"/>
        <v>Game 3</v>
      </c>
      <c r="F123" s="125" t="str">
        <f>VLOOKUP(G123,'Swiss Registry'!$A$2:$B$703,2,False)</f>
        <v>grahamsandwich</v>
      </c>
      <c r="G123" s="84">
        <v>354.0</v>
      </c>
      <c r="H123" s="93" t="s">
        <v>3084</v>
      </c>
      <c r="I123" s="141" t="str">
        <f t="array" ref="I123">XLOOKUP(CELL("contents",B123),'Swiss Registry'!$B$2:$B$703,'Swiss Registry'!$N$2:$N$703) </f>
        <v>476882845525213184</v>
      </c>
      <c r="J123" s="142" t="str">
        <f t="array" ref="J123">XLOOKUP(CELL("contents",F123),'Swiss Registry'!$B$2:$B$703,'Swiss Registry'!$N$2:$N$703) </f>
        <v>256944534900965376</v>
      </c>
    </row>
    <row r="124">
      <c r="A124" s="84">
        <v>187.0</v>
      </c>
      <c r="B124" s="125" t="str">
        <f>VLOOKUP(A124,'Swiss Registry'!$A$2:$B$703,2,False)</f>
        <v>nicki4</v>
      </c>
      <c r="C124" s="105" t="str">
        <f t="shared" si="10"/>
        <v>Game 1</v>
      </c>
      <c r="D124" s="106" t="str">
        <f t="shared" si="11"/>
        <v>Game 2</v>
      </c>
      <c r="E124" s="110" t="str">
        <f t="shared" si="12"/>
        <v>Game 3</v>
      </c>
      <c r="F124" s="125" t="str">
        <f>VLOOKUP(G124,'Swiss Registry'!$A$2:$B$703,2,False)</f>
        <v>lemon04</v>
      </c>
      <c r="G124" s="84">
        <v>270.0</v>
      </c>
      <c r="H124" s="93" t="s">
        <v>3085</v>
      </c>
      <c r="I124" s="141" t="str">
        <f t="array" ref="I124">XLOOKUP(CELL("contents",B124),'Swiss Registry'!$B$2:$B$703,'Swiss Registry'!$N$2:$N$703) </f>
        <v>229576207560212480</v>
      </c>
      <c r="J124" s="142" t="str">
        <f t="array" ref="J124">XLOOKUP(CELL("contents",F124),'Swiss Registry'!$B$2:$B$703,'Swiss Registry'!$N$2:$N$703) </f>
        <v>177840825986711552</v>
      </c>
    </row>
    <row r="125">
      <c r="A125" s="84">
        <v>599.0</v>
      </c>
      <c r="B125" s="125" t="str">
        <f>VLOOKUP(A125,'Swiss Registry'!$A$2:$B$703,2,False)</f>
        <v>Klird</v>
      </c>
      <c r="C125" s="105" t="str">
        <f t="shared" si="10"/>
        <v>Game 1</v>
      </c>
      <c r="D125" s="106" t="str">
        <f t="shared" si="11"/>
        <v>Game 2</v>
      </c>
      <c r="E125" s="110" t="str">
        <f t="shared" si="12"/>
        <v>Game 3</v>
      </c>
      <c r="F125" s="125" t="str">
        <f>VLOOKUP(G125,'Swiss Registry'!$A$2:$B$703,2,False)</f>
        <v>wolfturds</v>
      </c>
      <c r="G125" s="84">
        <v>618.0</v>
      </c>
      <c r="H125" s="93" t="s">
        <v>3086</v>
      </c>
      <c r="I125" s="141" t="str">
        <f t="array" ref="I125">XLOOKUP(CELL("contents",B125),'Swiss Registry'!$B$2:$B$703,'Swiss Registry'!$N$2:$N$703) </f>
        <v>393218478187741186</v>
      </c>
      <c r="J125" s="142" t="str">
        <f t="array" ref="J125">XLOOKUP(CELL("contents",F125),'Swiss Registry'!$B$2:$B$703,'Swiss Registry'!$N$2:$N$703) </f>
        <v>305122620498509824</v>
      </c>
    </row>
    <row r="126">
      <c r="A126" s="84">
        <v>528.0</v>
      </c>
      <c r="B126" s="125" t="str">
        <f>VLOOKUP(A126,'Swiss Registry'!$A$2:$B$703,2,False)</f>
        <v>Kenmarijuana</v>
      </c>
      <c r="C126" s="105" t="str">
        <f t="shared" si="10"/>
        <v>Game 1</v>
      </c>
      <c r="D126" s="106" t="str">
        <f t="shared" si="11"/>
        <v>Game 2</v>
      </c>
      <c r="E126" s="110" t="str">
        <f t="shared" si="12"/>
        <v>Game 3</v>
      </c>
      <c r="F126" s="125" t="str">
        <f>VLOOKUP(G126,'Swiss Registry'!$A$2:$B$703,2,False)</f>
        <v>Tiberiusfieri</v>
      </c>
      <c r="G126" s="84">
        <v>334.0</v>
      </c>
      <c r="H126" s="93" t="s">
        <v>3087</v>
      </c>
      <c r="I126" s="141" t="str">
        <f t="array" ref="I126">XLOOKUP(CELL("contents",B126),'Swiss Registry'!$B$2:$B$703,'Swiss Registry'!$N$2:$N$703) </f>
        <v>508684602261504010</v>
      </c>
      <c r="J126" s="142" t="str">
        <f t="array" ref="J126">XLOOKUP(CELL("contents",F126),'Swiss Registry'!$B$2:$B$703,'Swiss Registry'!$N$2:$N$703) </f>
        <v>820892117370011668</v>
      </c>
    </row>
  </sheetData>
  <mergeCells count="1">
    <mergeCell ref="C1:E1"/>
  </mergeCells>
  <conditionalFormatting sqref="B3:B33 B35:B64 B66:B95 B97:B126">
    <cfRule type="expression" dxfId="5" priority="1">
      <formula>IF(LEFT(H3:H126,1)="A",TRUE,FALSE)</formula>
    </cfRule>
  </conditionalFormatting>
  <conditionalFormatting sqref="F3:F33 I3:J33 F35:F64 I35:J64 F66:F95 I66:J95 F97:F126 I97:J126">
    <cfRule type="expression" dxfId="5" priority="2">
      <formula>IF(LEFT(H3:H126,1)="B",TRUE,FALSE)</formula>
    </cfRule>
  </conditionalFormatting>
  <conditionalFormatting sqref="B3:B33 B35:B64 B66:B95 B97:B126">
    <cfRule type="expression" dxfId="6" priority="3">
      <formula>IF(LEFT(H3:H126,1)="B",TRUE,FALSE)</formula>
    </cfRule>
  </conditionalFormatting>
  <conditionalFormatting sqref="F3:F33 I3:J33 F35:F64 I35:J64 F66:F95 I66:J95 F97:F126 I97:J126">
    <cfRule type="expression" dxfId="6" priority="4">
      <formula>IF(LEFT(H3:H126,1)="A",TRUE,FALSE)</formula>
    </cfRule>
  </conditionalFormatting>
  <conditionalFormatting sqref="B3:B33 B35:B64 B66:B95 B97:B126">
    <cfRule type="expression" dxfId="10" priority="5">
      <formula>COUNTIF(B:F, B3)&gt;1</formula>
    </cfRule>
  </conditionalFormatting>
  <conditionalFormatting sqref="F3:F33 F35:F64 F66:F95 F97:F126">
    <cfRule type="expression" dxfId="10" priority="6">
      <formula>COUNTIF(B:F, F3)&gt;1</formula>
    </cfRule>
  </conditionalFormatting>
  <conditionalFormatting sqref="H86">
    <cfRule type="colorScale" priority="7">
      <colorScale>
        <cfvo type="min"/>
        <cfvo type="max"/>
        <color rgb="FFFFFFFF"/>
        <color rgb="FF57BB8A"/>
      </colorScale>
    </cfRule>
  </conditionalFormatting>
  <drawing r:id="rId2"/>
  <legacyDrawing r:id="rId3"/>
  <tableParts count="8">
    <tablePart r:id="rId12"/>
    <tablePart r:id="rId13"/>
    <tablePart r:id="rId14"/>
    <tablePart r:id="rId15"/>
    <tablePart r:id="rId16"/>
    <tablePart r:id="rId17"/>
    <tablePart r:id="rId18"/>
    <tablePart r:id="rId1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63"/>
    <col customWidth="1" hidden="1" min="9" max="10" width="21.13"/>
  </cols>
  <sheetData>
    <row r="1">
      <c r="A1" s="118"/>
      <c r="B1" s="119" t="s">
        <v>1454</v>
      </c>
      <c r="C1" s="134" t="s">
        <v>3088</v>
      </c>
      <c r="D1" s="77"/>
      <c r="E1" s="78"/>
      <c r="F1" s="120" t="s">
        <v>1454</v>
      </c>
      <c r="G1" s="118"/>
      <c r="H1" s="135" t="s">
        <v>1456</v>
      </c>
      <c r="I1" s="136" t="s">
        <v>1768</v>
      </c>
      <c r="J1" s="137" t="s">
        <v>1769</v>
      </c>
    </row>
    <row r="2" ht="15.0" customHeight="1">
      <c r="A2" s="124"/>
      <c r="B2" s="122"/>
      <c r="C2" s="123"/>
      <c r="D2" s="138" t="s">
        <v>2807</v>
      </c>
      <c r="E2" s="123"/>
      <c r="F2" s="122"/>
      <c r="G2" s="124"/>
      <c r="H2" s="83"/>
      <c r="I2" s="139"/>
      <c r="J2" s="139"/>
    </row>
    <row r="3">
      <c r="A3" s="64">
        <v>1.0</v>
      </c>
      <c r="B3" s="125" t="str">
        <f>VLOOKUP(A3,'Swiss Registry'!$A$2:$B$703,2,False)</f>
        <v>Fakes</v>
      </c>
      <c r="C3" s="105" t="str">
        <f t="shared" ref="C3:C30" si="1">IF(H3="dead","",IF(H3="a:act","",IF(H3="b:act","",IF(ISURL(HYPERLINK(INDIRECT("Importer!B"&amp;MID(H3,2,4)+1,TRUE))),HYPERLINK(INDIRECT("Importer!B"&amp;MID(H3,2,4)+1,TRUE), "Game 1"),""))))</f>
        <v>Game 1</v>
      </c>
      <c r="D3" s="106" t="str">
        <f t="shared" ref="D3:D30" si="2">IF(H3="dead","Dead Game",IF(H3="a:act","Act: "&amp;B3,IF(H3="b:act","Act: "&amp;F3,IF(ISURL(HYPERLINK(INDIRECT("Importer!B"&amp;MID(H3,6,4)+1,TRUE))),HYPERLINK(INDIRECT("Importer!B"&amp;MID(H3,6,4)+1,TRUE), "Game 2"),""))))</f>
        <v>Game 2</v>
      </c>
      <c r="E3" s="110" t="str">
        <f t="shared" ref="E3:E30" si="3">IF(H3="dead","",IF(H3="a:act","",IF(H3="b:act","",IF(ISURL(HYPERLINK(INDIRECT("Importer!B"&amp;MID(H3,10,4)+1,TRUE))),HYPERLINK(INDIRECT("Importer!B"&amp;MID(H3,10,4)+1,TRUE), "Game 3"),""))))</f>
        <v>Game 3</v>
      </c>
      <c r="F3" s="125" t="str">
        <f>VLOOKUP(G3,'Swiss Registry'!$A$2:$B$703,2,False)</f>
        <v>Amir (lordamir &amp; lordamir2)</v>
      </c>
      <c r="G3" s="64">
        <v>157.0</v>
      </c>
      <c r="H3" s="93" t="s">
        <v>3089</v>
      </c>
      <c r="I3" s="141" t="str">
        <f t="array" ref="I3">XLOOKUP(CELL("contents",B3),'Swiss Registry'!$B$2:$B$703,'Swiss Registry'!$N$2:$N$703) </f>
        <v>917864414269550693</v>
      </c>
      <c r="J3" s="142" t="str">
        <f t="array" ref="J3">XLOOKUP(CELL("contents",F3),'Swiss Registry'!$B$2:$B$703,'Swiss Registry'!$N$2:$N$703) </f>
        <v>480949875953893376</v>
      </c>
    </row>
    <row r="4">
      <c r="A4" s="64">
        <v>7.0</v>
      </c>
      <c r="B4" s="125" t="str">
        <f>VLOOKUP(A4,'Swiss Registry'!$A$2:$B$703,2,False)</f>
        <v>jumpy23</v>
      </c>
      <c r="C4" s="105" t="str">
        <f t="shared" si="1"/>
        <v>Game 1</v>
      </c>
      <c r="D4" s="106" t="str">
        <f t="shared" si="2"/>
        <v>Game 2</v>
      </c>
      <c r="E4" s="110" t="str">
        <f t="shared" si="3"/>
        <v>Game 3</v>
      </c>
      <c r="F4" s="125" t="str">
        <f>VLOOKUP(G4,'Swiss Registry'!$A$2:$B$703,2,False)</f>
        <v>Churi</v>
      </c>
      <c r="G4" s="64">
        <v>77.0</v>
      </c>
      <c r="H4" s="93" t="s">
        <v>3090</v>
      </c>
      <c r="I4" s="141" t="str">
        <f t="array" ref="I4">XLOOKUP(CELL("contents",B4),'Swiss Registry'!$B$2:$B$703,'Swiss Registry'!$N$2:$N$703) </f>
        <v>127527434865082368</v>
      </c>
      <c r="J4" s="142" t="str">
        <f t="array" ref="J4">XLOOKUP(CELL("contents",F4),'Swiss Registry'!$B$2:$B$703,'Swiss Registry'!$N$2:$N$703) </f>
        <v>740316248210014380</v>
      </c>
    </row>
    <row r="5">
      <c r="A5" s="64">
        <v>9.0</v>
      </c>
      <c r="B5" s="125" t="str">
        <f>VLOOKUP(A5,'Swiss Registry'!$A$2:$B$703,2,False)</f>
        <v>Kollin</v>
      </c>
      <c r="C5" s="105" t="str">
        <f t="shared" si="1"/>
        <v>Game 1</v>
      </c>
      <c r="D5" s="106" t="str">
        <f t="shared" si="2"/>
        <v>Game 2</v>
      </c>
      <c r="E5" s="107" t="str">
        <f t="shared" si="3"/>
        <v/>
      </c>
      <c r="F5" s="125" t="str">
        <f>VLOOKUP(G5,'Swiss Registry'!$A$2:$B$703,2,False)</f>
        <v>Mielke</v>
      </c>
      <c r="G5" s="64">
        <v>16.0</v>
      </c>
      <c r="H5" s="93" t="s">
        <v>3091</v>
      </c>
      <c r="I5" s="141" t="str">
        <f t="array" ref="I5">XLOOKUP(CELL("contents",B5),'Swiss Registry'!$B$2:$B$703,'Swiss Registry'!$N$2:$N$703) </f>
        <v>83000775151714304</v>
      </c>
      <c r="J5" s="142" t="str">
        <f t="array" ref="J5">XLOOKUP(CELL("contents",F5),'Swiss Registry'!$B$2:$B$703,'Swiss Registry'!$N$2:$N$703) </f>
        <v>324650949371232257</v>
      </c>
    </row>
    <row r="6">
      <c r="A6" s="64">
        <v>32.0</v>
      </c>
      <c r="B6" s="125" t="str">
        <f>VLOOKUP(A6,'Swiss Registry'!$A$2:$B$703,2,False)</f>
        <v>Johnald</v>
      </c>
      <c r="C6" s="105" t="str">
        <f t="shared" si="1"/>
        <v>Game 1</v>
      </c>
      <c r="D6" s="106" t="str">
        <f t="shared" si="2"/>
        <v>Game 2</v>
      </c>
      <c r="E6" s="110" t="str">
        <f t="shared" si="3"/>
        <v>Game 3</v>
      </c>
      <c r="F6" s="125" t="str">
        <f>VLOOKUP(G6,'Swiss Registry'!$A$2:$B$703,2,False)</f>
        <v>secondari</v>
      </c>
      <c r="G6" s="64">
        <v>325.0</v>
      </c>
      <c r="H6" s="93" t="s">
        <v>3092</v>
      </c>
      <c r="I6" s="141" t="str">
        <f t="array" ref="I6">XLOOKUP(CELL("contents",B6),'Swiss Registry'!$B$2:$B$703,'Swiss Registry'!$N$2:$N$703) </f>
        <v>196328307241910272</v>
      </c>
      <c r="J6" s="142" t="str">
        <f t="array" ref="J6">XLOOKUP(CELL("contents",F6),'Swiss Registry'!$B$2:$B$703,'Swiss Registry'!$N$2:$N$703) </f>
        <v>77493060862214144</v>
      </c>
    </row>
    <row r="7">
      <c r="A7" s="64">
        <v>3.0</v>
      </c>
      <c r="B7" s="125" t="str">
        <f>VLOOKUP(A7,'Swiss Registry'!$A$2:$B$703,2,False)</f>
        <v>Triangles</v>
      </c>
      <c r="C7" s="105" t="str">
        <f t="shared" si="1"/>
        <v>Game 1</v>
      </c>
      <c r="D7" s="106" t="str">
        <f t="shared" si="2"/>
        <v>Game 2</v>
      </c>
      <c r="E7" s="107" t="str">
        <f t="shared" si="3"/>
        <v/>
      </c>
      <c r="F7" s="125" t="str">
        <f>VLOOKUP(G7,'Swiss Registry'!$A$2:$B$703,2,False)</f>
        <v>xho_xho_</v>
      </c>
      <c r="G7" s="64">
        <v>550.0</v>
      </c>
      <c r="H7" s="93" t="s">
        <v>3093</v>
      </c>
      <c r="I7" s="141" t="str">
        <f t="array" ref="I7">XLOOKUP(CELL("contents",B7),'Swiss Registry'!$B$2:$B$703,'Swiss Registry'!$N$2:$N$703) </f>
        <v>587394354725912717</v>
      </c>
      <c r="J7" s="142" t="str">
        <f t="array" ref="J7">XLOOKUP(CELL("contents",F7),'Swiss Registry'!$B$2:$B$703,'Swiss Registry'!$N$2:$N$703) </f>
        <v>1026473914269978624</v>
      </c>
    </row>
    <row r="8">
      <c r="A8" s="64">
        <v>4.0</v>
      </c>
      <c r="B8" s="125" t="str">
        <f>VLOOKUP(A8,'Swiss Registry'!$A$2:$B$703,2,False)</f>
        <v>pkLeech</v>
      </c>
      <c r="C8" s="105" t="str">
        <f t="shared" si="1"/>
        <v>Game 1</v>
      </c>
      <c r="D8" s="106" t="str">
        <f t="shared" si="2"/>
        <v>Game 2</v>
      </c>
      <c r="E8" s="107" t="str">
        <f t="shared" si="3"/>
        <v/>
      </c>
      <c r="F8" s="125" t="str">
        <f>VLOOKUP(G8,'Swiss Registry'!$A$2:$B$703,2,False)</f>
        <v>annuit99</v>
      </c>
      <c r="G8" s="64">
        <v>113.0</v>
      </c>
      <c r="H8" s="93" t="s">
        <v>3094</v>
      </c>
      <c r="I8" s="141" t="str">
        <f t="array" ref="I8">XLOOKUP(CELL("contents",B8),'Swiss Registry'!$B$2:$B$703,'Swiss Registry'!$N$2:$N$703) </f>
        <v>461288985944391708</v>
      </c>
      <c r="J8" s="142" t="str">
        <f t="array" ref="J8">XLOOKUP(CELL("contents",F8),'Swiss Registry'!$B$2:$B$703,'Swiss Registry'!$N$2:$N$703) </f>
        <v>397519983669805060</v>
      </c>
    </row>
    <row r="9">
      <c r="A9" s="64">
        <v>6.0</v>
      </c>
      <c r="B9" s="125" t="str">
        <f>VLOOKUP(A9,'Swiss Registry'!$A$2:$B$703,2,False)</f>
        <v>Fear</v>
      </c>
      <c r="C9" s="105" t="str">
        <f t="shared" si="1"/>
        <v>Game 1</v>
      </c>
      <c r="D9" s="106" t="str">
        <f t="shared" si="2"/>
        <v>Game 2</v>
      </c>
      <c r="E9" s="107" t="str">
        <f t="shared" si="3"/>
        <v/>
      </c>
      <c r="F9" s="125" t="str">
        <f>VLOOKUP(G9,'Swiss Registry'!$A$2:$B$703,2,False)</f>
        <v>depressioncherry_66209</v>
      </c>
      <c r="G9" s="64">
        <v>185.0</v>
      </c>
      <c r="H9" s="93" t="s">
        <v>3095</v>
      </c>
      <c r="I9" s="141" t="str">
        <f t="array" ref="I9">XLOOKUP(CELL("contents",B9),'Swiss Registry'!$B$2:$B$703,'Swiss Registry'!$N$2:$N$703) </f>
        <v>125981893828149248</v>
      </c>
      <c r="J9" s="142" t="str">
        <f t="array" ref="J9">XLOOKUP(CELL("contents",F9),'Swiss Registry'!$B$2:$B$703,'Swiss Registry'!$N$2:$N$703) </f>
        <v>1223996337217863761</v>
      </c>
    </row>
    <row r="10">
      <c r="A10" s="64">
        <v>11.0</v>
      </c>
      <c r="B10" s="125" t="str">
        <f>VLOOKUP(A10,'Swiss Registry'!$A$2:$B$703,2,False)</f>
        <v>Blues</v>
      </c>
      <c r="C10" s="105" t="str">
        <f t="shared" si="1"/>
        <v>Game 1</v>
      </c>
      <c r="D10" s="106" t="str">
        <f t="shared" si="2"/>
        <v>Game 2</v>
      </c>
      <c r="E10" s="110" t="str">
        <f t="shared" si="3"/>
        <v>Game 3</v>
      </c>
      <c r="F10" s="125" t="str">
        <f>VLOOKUP(G10,'Swiss Registry'!$A$2:$B$703,2,False)</f>
        <v>Alargemongoose</v>
      </c>
      <c r="G10" s="64">
        <v>226.0</v>
      </c>
      <c r="H10" s="93" t="s">
        <v>3096</v>
      </c>
      <c r="I10" s="141" t="str">
        <f t="array" ref="I10">XLOOKUP(CELL("contents",B10),'Swiss Registry'!$B$2:$B$703,'Swiss Registry'!$N$2:$N$703) </f>
        <v>687987394292482066</v>
      </c>
      <c r="J10" s="142" t="str">
        <f t="array" ref="J10">XLOOKUP(CELL("contents",F10),'Swiss Registry'!$B$2:$B$703,'Swiss Registry'!$N$2:$N$703) </f>
        <v>646736314645086228</v>
      </c>
    </row>
    <row r="11">
      <c r="A11" s="64">
        <v>12.0</v>
      </c>
      <c r="B11" s="125" t="str">
        <f>VLOOKUP(A11,'Swiss Registry'!$A$2:$B$703,2,False)</f>
        <v>Pak</v>
      </c>
      <c r="C11" s="105" t="str">
        <f t="shared" si="1"/>
        <v>Game 1</v>
      </c>
      <c r="D11" s="106" t="str">
        <f t="shared" si="2"/>
        <v>Game 2</v>
      </c>
      <c r="E11" s="110" t="str">
        <f t="shared" si="3"/>
        <v>Game 3</v>
      </c>
      <c r="F11" s="125" t="str">
        <f>VLOOKUP(G11,'Swiss Registry'!$A$2:$B$703,2,False)</f>
        <v>FaceOFF</v>
      </c>
      <c r="G11" s="64">
        <v>411.0</v>
      </c>
      <c r="H11" s="93" t="s">
        <v>3097</v>
      </c>
      <c r="I11" s="141" t="str">
        <f t="array" ref="I11">XLOOKUP(CELL("contents",B11),'Swiss Registry'!$B$2:$B$703,'Swiss Registry'!$N$2:$N$703) </f>
        <v>172884622986706945</v>
      </c>
      <c r="J11" s="142" t="str">
        <f t="array" ref="J11">XLOOKUP(CELL("contents",F11),'Swiss Registry'!$B$2:$B$703,'Swiss Registry'!$N$2:$N$703) </f>
        <v>330062412294127616</v>
      </c>
    </row>
    <row r="12">
      <c r="A12" s="64">
        <v>13.0</v>
      </c>
      <c r="B12" s="125" t="str">
        <f>VLOOKUP(A12,'Swiss Registry'!$A$2:$B$703,2,False)</f>
        <v>River</v>
      </c>
      <c r="C12" s="105" t="str">
        <f t="shared" si="1"/>
        <v>Game 1</v>
      </c>
      <c r="D12" s="106" t="str">
        <f t="shared" si="2"/>
        <v>Game 2</v>
      </c>
      <c r="E12" s="110" t="str">
        <f t="shared" si="3"/>
        <v>Game 3</v>
      </c>
      <c r="F12" s="125" t="str">
        <f>VLOOKUP(G12,'Swiss Registry'!$A$2:$B$703,2,False)</f>
        <v>dicerat8</v>
      </c>
      <c r="G12" s="64">
        <v>120.0</v>
      </c>
      <c r="H12" s="93" t="s">
        <v>3098</v>
      </c>
      <c r="I12" s="141" t="str">
        <f t="array" ref="I12">XLOOKUP(CELL("contents",B12),'Swiss Registry'!$B$2:$B$703,'Swiss Registry'!$N$2:$N$703) </f>
        <v>543280883000541224</v>
      </c>
      <c r="J12" s="142" t="str">
        <f t="array" ref="J12">XLOOKUP(CELL("contents",F12),'Swiss Registry'!$B$2:$B$703,'Swiss Registry'!$N$2:$N$703) </f>
        <v>811484330421387285</v>
      </c>
    </row>
    <row r="13">
      <c r="A13" s="64">
        <v>18.0</v>
      </c>
      <c r="B13" s="125" t="str">
        <f>VLOOKUP(A13,'Swiss Registry'!$A$2:$B$703,2,False)</f>
        <v>Pokology</v>
      </c>
      <c r="C13" s="105" t="str">
        <f t="shared" si="1"/>
        <v>Game 1</v>
      </c>
      <c r="D13" s="106" t="str">
        <f t="shared" si="2"/>
        <v>Game 2</v>
      </c>
      <c r="E13" s="110" t="str">
        <f t="shared" si="3"/>
        <v>Game 3</v>
      </c>
      <c r="F13" s="125" t="str">
        <f>VLOOKUP(G13,'Swiss Registry'!$A$2:$B$703,2,False)</f>
        <v>dragonsareoptimal</v>
      </c>
      <c r="G13" s="64">
        <v>222.0</v>
      </c>
      <c r="H13" s="93" t="s">
        <v>3099</v>
      </c>
      <c r="I13" s="141" t="str">
        <f t="array" ref="I13">XLOOKUP(CELL("contents",B13),'Swiss Registry'!$B$2:$B$703,'Swiss Registry'!$N$2:$N$703) </f>
        <v>647891006347542566</v>
      </c>
      <c r="J13" s="142" t="str">
        <f t="array" ref="J13">XLOOKUP(CELL("contents",F13),'Swiss Registry'!$B$2:$B$703,'Swiss Registry'!$N$2:$N$703) </f>
        <v>168945056303022081</v>
      </c>
    </row>
    <row r="14">
      <c r="A14" s="64">
        <v>21.0</v>
      </c>
      <c r="B14" s="125" t="str">
        <f>VLOOKUP(A14,'Swiss Registry'!$A$2:$B$703,2,False)</f>
        <v>Adam</v>
      </c>
      <c r="C14" s="105" t="str">
        <f t="shared" si="1"/>
        <v>Game 1</v>
      </c>
      <c r="D14" s="106" t="str">
        <f t="shared" si="2"/>
        <v>Game 2</v>
      </c>
      <c r="E14" s="107" t="str">
        <f t="shared" si="3"/>
        <v/>
      </c>
      <c r="F14" s="125" t="str">
        <f>VLOOKUP(G14,'Swiss Registry'!$A$2:$B$703,2,False)</f>
        <v>cepulo</v>
      </c>
      <c r="G14" s="64">
        <v>527.0</v>
      </c>
      <c r="H14" s="93" t="s">
        <v>3100</v>
      </c>
      <c r="I14" s="141" t="str">
        <f t="array" ref="I14">XLOOKUP(CELL("contents",B14),'Swiss Registry'!$B$2:$B$703,'Swiss Registry'!$N$2:$N$703) </f>
        <v>714861229935689862</v>
      </c>
      <c r="J14" s="142" t="str">
        <f t="array" ref="J14">XLOOKUP(CELL("contents",F14),'Swiss Registry'!$B$2:$B$703,'Swiss Registry'!$N$2:$N$703) </f>
        <v>1223051167505059850</v>
      </c>
    </row>
    <row r="15">
      <c r="A15" s="64">
        <v>22.0</v>
      </c>
      <c r="B15" s="125" t="str">
        <f>VLOOKUP(A15,'Swiss Registry'!$A$2:$B$703,2,False)</f>
        <v>laxuy</v>
      </c>
      <c r="C15" s="105" t="str">
        <f t="shared" si="1"/>
        <v>Game 1</v>
      </c>
      <c r="D15" s="106" t="str">
        <f t="shared" si="2"/>
        <v>Game 2</v>
      </c>
      <c r="E15" s="107" t="str">
        <f t="shared" si="3"/>
        <v/>
      </c>
      <c r="F15" s="125" t="str">
        <f>VLOOKUP(G15,'Swiss Registry'!$A$2:$B$703,2,False)</f>
        <v>Skarpherim</v>
      </c>
      <c r="G15" s="64">
        <v>184.0</v>
      </c>
      <c r="H15" s="93" t="s">
        <v>3101</v>
      </c>
      <c r="I15" s="141" t="str">
        <f t="array" ref="I15">XLOOKUP(CELL("contents",B15),'Swiss Registry'!$B$2:$B$703,'Swiss Registry'!$N$2:$N$703) </f>
        <v>162377920117997568</v>
      </c>
      <c r="J15" s="142" t="str">
        <f t="array" ref="J15">XLOOKUP(CELL("contents",F15),'Swiss Registry'!$B$2:$B$703,'Swiss Registry'!$N$2:$N$703) </f>
        <v>1167951538963103815</v>
      </c>
    </row>
    <row r="16">
      <c r="A16" s="64">
        <v>25.0</v>
      </c>
      <c r="B16" s="125" t="str">
        <f>VLOOKUP(A16,'Swiss Registry'!$A$2:$B$703,2,False)</f>
        <v>JR</v>
      </c>
      <c r="C16" s="105" t="str">
        <f t="shared" si="1"/>
        <v>Game 1</v>
      </c>
      <c r="D16" s="106" t="str">
        <f t="shared" si="2"/>
        <v>Game 2</v>
      </c>
      <c r="E16" s="107" t="str">
        <f t="shared" si="3"/>
        <v/>
      </c>
      <c r="F16" s="125" t="str">
        <f>VLOOKUP(G16,'Swiss Registry'!$A$2:$B$703,2,False)</f>
        <v>Seradess</v>
      </c>
      <c r="G16" s="64">
        <v>97.0</v>
      </c>
      <c r="H16" s="93" t="s">
        <v>3102</v>
      </c>
      <c r="I16" s="141" t="str">
        <f t="array" ref="I16">XLOOKUP(CELL("contents",B16),'Swiss Registry'!$B$2:$B$703,'Swiss Registry'!$N$2:$N$703) </f>
        <v>319563636483817472</v>
      </c>
      <c r="J16" s="142" t="str">
        <f t="array" ref="J16">XLOOKUP(CELL("contents",F16),'Swiss Registry'!$B$2:$B$703,'Swiss Registry'!$N$2:$N$703) </f>
        <v>244659660794101763</v>
      </c>
    </row>
    <row r="17">
      <c r="A17" s="64">
        <v>27.0</v>
      </c>
      <c r="B17" s="125" t="str">
        <f>VLOOKUP(A17,'Swiss Registry'!$A$2:$B$703,2,False)</f>
        <v>Sheik</v>
      </c>
      <c r="C17" s="105" t="str">
        <f t="shared" si="1"/>
        <v>Game 1</v>
      </c>
      <c r="D17" s="106" t="str">
        <f t="shared" si="2"/>
        <v>Game 2</v>
      </c>
      <c r="E17" s="110" t="str">
        <f t="shared" si="3"/>
        <v>Game 3</v>
      </c>
      <c r="F17" s="125" t="str">
        <f>VLOOKUP(G17,'Swiss Registry'!$A$2:$B$703,2,False)</f>
        <v>Otto</v>
      </c>
      <c r="G17" s="64">
        <v>95.0</v>
      </c>
      <c r="H17" s="93" t="s">
        <v>3103</v>
      </c>
      <c r="I17" s="141" t="str">
        <f t="array" ref="I17">XLOOKUP(CELL("contents",B17),'Swiss Registry'!$B$2:$B$703,'Swiss Registry'!$N$2:$N$703) </f>
        <v>700432987858403420</v>
      </c>
      <c r="J17" s="142" t="str">
        <f t="array" ref="J17">XLOOKUP(CELL("contents",F17),'Swiss Registry'!$B$2:$B$703,'Swiss Registry'!$N$2:$N$703) </f>
        <v>286683342131298304</v>
      </c>
    </row>
    <row r="18">
      <c r="A18" s="64">
        <v>35.0</v>
      </c>
      <c r="B18" s="125" t="str">
        <f>VLOOKUP(A18,'Swiss Registry'!$A$2:$B$703,2,False)</f>
        <v>Zacpz</v>
      </c>
      <c r="C18" s="105" t="str">
        <f t="shared" si="1"/>
        <v>Game 1</v>
      </c>
      <c r="D18" s="106" t="str">
        <f t="shared" si="2"/>
        <v>Game 2</v>
      </c>
      <c r="E18" s="110" t="str">
        <f t="shared" si="3"/>
        <v>Game 3</v>
      </c>
      <c r="F18" s="125" t="str">
        <f>VLOOKUP(G18,'Swiss Registry'!$A$2:$B$703,2,False)</f>
        <v>OOF_MAXIMA</v>
      </c>
      <c r="G18" s="64">
        <v>78.0</v>
      </c>
      <c r="H18" s="93" t="s">
        <v>3104</v>
      </c>
      <c r="I18" s="141" t="str">
        <f t="array" ref="I18">XLOOKUP(CELL("contents",B18),'Swiss Registry'!$B$2:$B$703,'Swiss Registry'!$N$2:$N$703) </f>
        <v>719547987277119638</v>
      </c>
      <c r="J18" s="142" t="str">
        <f t="array" ref="J18">XLOOKUP(CELL("contents",F18),'Swiss Registry'!$B$2:$B$703,'Swiss Registry'!$N$2:$N$703) </f>
        <v>400765707467620362</v>
      </c>
    </row>
    <row r="19">
      <c r="A19" s="64">
        <v>36.0</v>
      </c>
      <c r="B19" s="125" t="str">
        <f>VLOOKUP(A19,'Swiss Registry'!$A$2:$B$703,2,False)</f>
        <v>Segale</v>
      </c>
      <c r="C19" s="105" t="str">
        <f t="shared" si="1"/>
        <v>Game 1</v>
      </c>
      <c r="D19" s="106" t="str">
        <f t="shared" si="2"/>
        <v>Game 2</v>
      </c>
      <c r="E19" s="107" t="str">
        <f t="shared" si="3"/>
        <v/>
      </c>
      <c r="F19" s="125" t="str">
        <f>VLOOKUP(G19,'Swiss Registry'!$A$2:$B$703,2,False)</f>
        <v>xXEricXx</v>
      </c>
      <c r="G19" s="64">
        <v>74.0</v>
      </c>
      <c r="H19" s="93" t="s">
        <v>3105</v>
      </c>
      <c r="I19" s="141" t="str">
        <f t="array" ref="I19">XLOOKUP(CELL("contents",B19),'Swiss Registry'!$B$2:$B$703,'Swiss Registry'!$N$2:$N$703) </f>
        <v>1059548623416856608</v>
      </c>
      <c r="J19" s="142" t="str">
        <f t="array" ref="J19">XLOOKUP(CELL("contents",F19),'Swiss Registry'!$B$2:$B$703,'Swiss Registry'!$N$2:$N$703) </f>
        <v>188804001054064640</v>
      </c>
    </row>
    <row r="20">
      <c r="A20" s="64">
        <v>39.0</v>
      </c>
      <c r="B20" s="125" t="str">
        <f>VLOOKUP(A20,'Swiss Registry'!$A$2:$B$703,2,False)</f>
        <v>earlgr3y</v>
      </c>
      <c r="C20" s="105" t="str">
        <f t="shared" si="1"/>
        <v>Game 1</v>
      </c>
      <c r="D20" s="106" t="str">
        <f t="shared" si="2"/>
        <v>Game 2</v>
      </c>
      <c r="E20" s="107" t="str">
        <f t="shared" si="3"/>
        <v/>
      </c>
      <c r="F20" s="125" t="str">
        <f>VLOOKUP(G20,'Swiss Registry'!$A$2:$B$703,2,False)</f>
        <v>H&gt;L</v>
      </c>
      <c r="G20" s="64">
        <v>70.0</v>
      </c>
      <c r="H20" s="93" t="s">
        <v>3106</v>
      </c>
      <c r="I20" s="141" t="str">
        <f t="array" ref="I20">XLOOKUP(CELL("contents",B20),'Swiss Registry'!$B$2:$B$703,'Swiss Registry'!$N$2:$N$703) </f>
        <v>1058405539903713330</v>
      </c>
      <c r="J20" s="142" t="str">
        <f t="array" ref="J20">XLOOKUP(CELL("contents",F20),'Swiss Registry'!$B$2:$B$703,'Swiss Registry'!$N$2:$N$703) </f>
        <v>669658442071408672</v>
      </c>
    </row>
    <row r="21">
      <c r="A21" s="64">
        <v>42.0</v>
      </c>
      <c r="B21" s="125" t="str">
        <f>VLOOKUP(A21,'Swiss Registry'!$A$2:$B$703,2,False)</f>
        <v>ThisGuyMuks</v>
      </c>
      <c r="C21" s="105" t="str">
        <f t="shared" si="1"/>
        <v>Game 1</v>
      </c>
      <c r="D21" s="106" t="str">
        <f t="shared" si="2"/>
        <v>Game 2</v>
      </c>
      <c r="E21" s="110" t="str">
        <f t="shared" si="3"/>
        <v>Game 3</v>
      </c>
      <c r="F21" s="125" t="str">
        <f>VLOOKUP(G21,'Swiss Registry'!$A$2:$B$703,2,False)</f>
        <v>Alice</v>
      </c>
      <c r="G21" s="64">
        <v>69.0</v>
      </c>
      <c r="H21" s="93" t="s">
        <v>3107</v>
      </c>
      <c r="I21" s="141" t="str">
        <f t="array" ref="I21">XLOOKUP(CELL("contents",B21),'Swiss Registry'!$B$2:$B$703,'Swiss Registry'!$N$2:$N$703) </f>
        <v>397627331637805056</v>
      </c>
      <c r="J21" s="142" t="str">
        <f t="array" ref="J21">XLOOKUP(CELL("contents",F21),'Swiss Registry'!$B$2:$B$703,'Swiss Registry'!$N$2:$N$703) </f>
        <v>236760957034954753</v>
      </c>
    </row>
    <row r="22">
      <c r="A22" s="64">
        <v>43.0</v>
      </c>
      <c r="B22" s="125" t="str">
        <f>VLOOKUP(A22,'Swiss Registry'!$A$2:$B$703,2,False)</f>
        <v>Christos</v>
      </c>
      <c r="C22" s="105" t="str">
        <f t="shared" si="1"/>
        <v>Game 1</v>
      </c>
      <c r="D22" s="106" t="str">
        <f t="shared" si="2"/>
        <v>Game 2</v>
      </c>
      <c r="E22" s="110" t="str">
        <f t="shared" si="3"/>
        <v>Game 3</v>
      </c>
      <c r="F22" s="125" t="str">
        <f>VLOOKUP(G22,'Swiss Registry'!$A$2:$B$703,2,False)</f>
        <v>Zpanther</v>
      </c>
      <c r="G22" s="64">
        <v>61.0</v>
      </c>
      <c r="H22" s="93" t="s">
        <v>3108</v>
      </c>
      <c r="I22" s="141" t="str">
        <f t="array" ref="I22">XLOOKUP(CELL("contents",B22),'Swiss Registry'!$B$2:$B$703,'Swiss Registry'!$N$2:$N$703) </f>
        <v>202869299113623563</v>
      </c>
      <c r="J22" s="142" t="str">
        <f t="array" ref="J22">XLOOKUP(CELL("contents",F22),'Swiss Registry'!$B$2:$B$703,'Swiss Registry'!$N$2:$N$703) </f>
        <v>884609024937574432</v>
      </c>
    </row>
    <row r="23">
      <c r="A23" s="64">
        <v>45.0</v>
      </c>
      <c r="B23" s="125" t="str">
        <f>VLOOKUP(A23,'Swiss Registry'!$A$2:$B$703,2,False)</f>
        <v>DeezCastforms</v>
      </c>
      <c r="C23" s="105" t="str">
        <f t="shared" si="1"/>
        <v>Game 1</v>
      </c>
      <c r="D23" s="106" t="str">
        <f t="shared" si="2"/>
        <v>Game 2</v>
      </c>
      <c r="E23" s="107" t="str">
        <f t="shared" si="3"/>
        <v/>
      </c>
      <c r="F23" s="125" t="str">
        <f>VLOOKUP(G23,'Swiss Registry'!$A$2:$B$703,2,False)</f>
        <v>Exiline</v>
      </c>
      <c r="G23" s="64">
        <v>60.0</v>
      </c>
      <c r="H23" s="93" t="s">
        <v>3109</v>
      </c>
      <c r="I23" s="141" t="str">
        <f t="array" ref="I23">XLOOKUP(CELL("contents",B23),'Swiss Registry'!$B$2:$B$703,'Swiss Registry'!$N$2:$N$703) </f>
        <v>358052192915292161</v>
      </c>
      <c r="J23" s="142" t="str">
        <f t="array" ref="J23">XLOOKUP(CELL("contents",F23),'Swiss Registry'!$B$2:$B$703,'Swiss Registry'!$N$2:$N$703) </f>
        <v>155646670988640258</v>
      </c>
    </row>
    <row r="24">
      <c r="A24" s="64">
        <v>46.0</v>
      </c>
      <c r="B24" s="125" t="str">
        <f>VLOOKUP(A24,'Swiss Registry'!$A$2:$B$703,2,False)</f>
        <v>Zelph</v>
      </c>
      <c r="C24" s="105" t="str">
        <f t="shared" si="1"/>
        <v>Game 1</v>
      </c>
      <c r="D24" s="106" t="str">
        <f t="shared" si="2"/>
        <v>Game 2</v>
      </c>
      <c r="E24" s="110" t="str">
        <f t="shared" si="3"/>
        <v>Game 3</v>
      </c>
      <c r="F24" s="125" t="str">
        <f>VLOOKUP(G24,'Swiss Registry'!$A$2:$B$703,2,False)</f>
        <v>Bhol</v>
      </c>
      <c r="G24" s="64">
        <v>49.0</v>
      </c>
      <c r="H24" s="93" t="s">
        <v>3110</v>
      </c>
      <c r="I24" s="141" t="str">
        <f t="array" ref="I24">XLOOKUP(CELL("contents",B24),'Swiss Registry'!$B$2:$B$703,'Swiss Registry'!$N$2:$N$703) </f>
        <v>895466276191862855</v>
      </c>
      <c r="J24" s="142" t="str">
        <f t="array" ref="J24">XLOOKUP(CELL("contents",F24),'Swiss Registry'!$B$2:$B$703,'Swiss Registry'!$N$2:$N$703) </f>
        <v>708350647879335966</v>
      </c>
    </row>
    <row r="25">
      <c r="A25" s="64">
        <v>5.0</v>
      </c>
      <c r="B25" s="125" t="str">
        <f>VLOOKUP(A25,'Swiss Registry'!$A$2:$B$703,2,False)</f>
        <v>Caloom</v>
      </c>
      <c r="C25" s="105" t="str">
        <f t="shared" si="1"/>
        <v>Game 1</v>
      </c>
      <c r="D25" s="106" t="str">
        <f t="shared" si="2"/>
        <v>Game 2</v>
      </c>
      <c r="E25" s="107" t="str">
        <f t="shared" si="3"/>
        <v/>
      </c>
      <c r="F25" s="125" t="str">
        <f>VLOOKUP(G25,'Swiss Registry'!$A$2:$B$703,2,False)</f>
        <v>Rezzo</v>
      </c>
      <c r="G25" s="64">
        <v>149.0</v>
      </c>
      <c r="H25" s="93" t="s">
        <v>3111</v>
      </c>
      <c r="I25" s="141" t="str">
        <f t="array" ref="I25">XLOOKUP(CELL("contents",B25),'Swiss Registry'!$B$2:$B$703,'Swiss Registry'!$N$2:$N$703) </f>
        <v>428981810811109386</v>
      </c>
      <c r="J25" s="142" t="str">
        <f t="array" ref="J25">XLOOKUP(CELL("contents",F25),'Swiss Registry'!$B$2:$B$703,'Swiss Registry'!$N$2:$N$703) </f>
        <v>208377004209209344</v>
      </c>
    </row>
    <row r="26">
      <c r="A26" s="64">
        <v>10.0</v>
      </c>
      <c r="B26" s="125" t="str">
        <f>VLOOKUP(A26,'Swiss Registry'!$A$2:$B$703,2,False)</f>
        <v>Cyberodin</v>
      </c>
      <c r="C26" s="105" t="str">
        <f t="shared" si="1"/>
        <v>Game 1</v>
      </c>
      <c r="D26" s="106" t="str">
        <f t="shared" si="2"/>
        <v>Game 2</v>
      </c>
      <c r="E26" s="110" t="str">
        <f t="shared" si="3"/>
        <v>Game 3</v>
      </c>
      <c r="F26" s="125" t="str">
        <f>VLOOKUP(G26,'Swiss Registry'!$A$2:$B$703,2,False)</f>
        <v>f1remaster (Hikari)</v>
      </c>
      <c r="G26" s="64">
        <v>329.0</v>
      </c>
      <c r="H26" s="93" t="s">
        <v>3112</v>
      </c>
      <c r="I26" s="141" t="str">
        <f t="array" ref="I26">XLOOKUP(CELL("contents",B26),'Swiss Registry'!$B$2:$B$703,'Swiss Registry'!$N$2:$N$703) </f>
        <v>259426043285340160</v>
      </c>
      <c r="J26" s="142" t="str">
        <f t="array" ref="J26">XLOOKUP(CELL("contents",F26),'Swiss Registry'!$B$2:$B$703,'Swiss Registry'!$N$2:$N$703) </f>
        <v>295050390435659787</v>
      </c>
    </row>
    <row r="27">
      <c r="A27" s="64">
        <v>14.0</v>
      </c>
      <c r="B27" s="125" t="str">
        <f>VLOOKUP(A27,'Swiss Registry'!$A$2:$B$703,2,False)</f>
        <v>Voyager</v>
      </c>
      <c r="C27" s="105" t="str">
        <f t="shared" si="1"/>
        <v>Game 1</v>
      </c>
      <c r="D27" s="106" t="str">
        <f t="shared" si="2"/>
        <v>Game 2</v>
      </c>
      <c r="E27" s="110" t="str">
        <f t="shared" si="3"/>
        <v>Game 3</v>
      </c>
      <c r="F27" s="125" t="str">
        <f>VLOOKUP(G27,'Swiss Registry'!$A$2:$B$703,2,False)</f>
        <v>S.k.magnet</v>
      </c>
      <c r="G27" s="64">
        <v>576.0</v>
      </c>
      <c r="H27" s="93" t="s">
        <v>3113</v>
      </c>
      <c r="I27" s="141" t="str">
        <f t="array" ref="I27">XLOOKUP(CELL("contents",B27),'Swiss Registry'!$B$2:$B$703,'Swiss Registry'!$N$2:$N$703) </f>
        <v>554730792488534056</v>
      </c>
      <c r="J27" s="142" t="str">
        <f t="array" ref="J27">XLOOKUP(CELL("contents",F27),'Swiss Registry'!$B$2:$B$703,'Swiss Registry'!$N$2:$N$703) </f>
        <v>1147160651219869766</v>
      </c>
    </row>
    <row r="28">
      <c r="A28" s="64">
        <v>15.0</v>
      </c>
      <c r="B28" s="125" t="str">
        <f>VLOOKUP(A28,'Swiss Registry'!$A$2:$B$703,2,False)</f>
        <v>Carapinga</v>
      </c>
      <c r="C28" s="105" t="str">
        <f t="shared" si="1"/>
        <v>Game 1</v>
      </c>
      <c r="D28" s="106" t="str">
        <f t="shared" si="2"/>
        <v>Game 2</v>
      </c>
      <c r="E28" s="107" t="str">
        <f t="shared" si="3"/>
        <v/>
      </c>
      <c r="F28" s="125" t="str">
        <f>VLOOKUP(G28,'Swiss Registry'!$A$2:$B$703,2,False)</f>
        <v>Kenuckz</v>
      </c>
      <c r="G28" s="64">
        <v>567.0</v>
      </c>
      <c r="H28" s="93" t="s">
        <v>3114</v>
      </c>
      <c r="I28" s="141" t="str">
        <f t="array" ref="I28">XLOOKUP(CELL("contents",B28),'Swiss Registry'!$B$2:$B$703,'Swiss Registry'!$N$2:$N$703) </f>
        <v>475993004994330629</v>
      </c>
      <c r="J28" s="142" t="str">
        <f t="array" ref="J28">XLOOKUP(CELL("contents",F28),'Swiss Registry'!$B$2:$B$703,'Swiss Registry'!$N$2:$N$703) </f>
        <v>152582039177134080</v>
      </c>
    </row>
    <row r="29">
      <c r="A29" s="64">
        <v>19.0</v>
      </c>
      <c r="B29" s="125" t="str">
        <f>VLOOKUP(A29,'Swiss Registry'!$A$2:$B$703,2,False)</f>
        <v>void</v>
      </c>
      <c r="C29" s="105" t="str">
        <f t="shared" si="1"/>
        <v>Game 1</v>
      </c>
      <c r="D29" s="106" t="str">
        <f t="shared" si="2"/>
        <v>Game 2</v>
      </c>
      <c r="E29" s="110" t="str">
        <f t="shared" si="3"/>
        <v>Game 3</v>
      </c>
      <c r="F29" s="125" t="str">
        <f>VLOOKUP(G29,'Swiss Registry'!$A$2:$B$703,2,False)</f>
        <v>msousa</v>
      </c>
      <c r="G29" s="64">
        <v>512.0</v>
      </c>
      <c r="H29" s="93" t="s">
        <v>3115</v>
      </c>
      <c r="I29" s="141" t="str">
        <f t="array" ref="I29">XLOOKUP(CELL("contents",B29),'Swiss Registry'!$B$2:$B$703,'Swiss Registry'!$N$2:$N$703) </f>
        <v>153249462641229824</v>
      </c>
      <c r="J29" s="142" t="str">
        <f t="array" ref="J29">XLOOKUP(CELL("contents",F29),'Swiss Registry'!$B$2:$B$703,'Swiss Registry'!$N$2:$N$703) </f>
        <v>489109056183599104</v>
      </c>
    </row>
    <row r="30">
      <c r="A30" s="64">
        <v>20.0</v>
      </c>
      <c r="B30" s="125" t="str">
        <f>VLOOKUP(A30,'Swiss Registry'!$A$2:$B$703,2,False)</f>
        <v>Mayo</v>
      </c>
      <c r="C30" s="105" t="str">
        <f t="shared" si="1"/>
        <v>Game 1</v>
      </c>
      <c r="D30" s="106" t="str">
        <f t="shared" si="2"/>
        <v>Game 2</v>
      </c>
      <c r="E30" s="107" t="str">
        <f t="shared" si="3"/>
        <v/>
      </c>
      <c r="F30" s="125" t="str">
        <f>VLOOKUP(G30,'Swiss Registry'!$A$2:$B$703,2,False)</f>
        <v>scootymcbooty123</v>
      </c>
      <c r="G30" s="64">
        <v>535.0</v>
      </c>
      <c r="H30" s="93" t="s">
        <v>3116</v>
      </c>
      <c r="I30" s="141" t="str">
        <f t="array" ref="I30">XLOOKUP(CELL("contents",B30),'Swiss Registry'!$B$2:$B$703,'Swiss Registry'!$N$2:$N$703) </f>
        <v>244639333187846144</v>
      </c>
      <c r="J30" s="142" t="str">
        <f t="array" ref="J30">XLOOKUP(CELL("contents",F30),'Swiss Registry'!$B$2:$B$703,'Swiss Registry'!$N$2:$N$703) </f>
        <v>1016157273816584242</v>
      </c>
    </row>
    <row r="31" ht="15.0" customHeight="1">
      <c r="A31" s="124"/>
      <c r="B31" s="122"/>
      <c r="C31" s="123"/>
      <c r="D31" s="138" t="s">
        <v>1492</v>
      </c>
      <c r="E31" s="123"/>
      <c r="F31" s="122"/>
      <c r="G31" s="124"/>
      <c r="H31" s="83"/>
      <c r="I31" s="139"/>
      <c r="J31" s="139"/>
    </row>
    <row r="32">
      <c r="A32" s="64">
        <v>23.0</v>
      </c>
      <c r="B32" s="125" t="str">
        <f>VLOOKUP(A32,'Swiss Registry'!$A$2:$B$703,2,False)</f>
        <v>udm31</v>
      </c>
      <c r="C32" s="105" t="str">
        <f t="shared" ref="C32:C57" si="4">IF(H32="dead","",IF(H32="a:act","",IF(H32="b:act","",IF(ISURL(HYPERLINK(INDIRECT("Importer!B"&amp;MID(H32,2,4)+1,TRUE))),HYPERLINK(INDIRECT("Importer!B"&amp;MID(H32,2,4)+1,TRUE), "Game 1"),""))))</f>
        <v>Game 1</v>
      </c>
      <c r="D32" s="106" t="str">
        <f t="shared" ref="D32:D57" si="5">IF(H32="dead","Dead Game",IF(H32="a:act","Act: "&amp;B32,IF(H32="b:act","Act: "&amp;F32,IF(ISURL(HYPERLINK(INDIRECT("Importer!B"&amp;MID(H32,6,4)+1,TRUE))),HYPERLINK(INDIRECT("Importer!B"&amp;MID(H32,6,4)+1,TRUE), "Game 2"),""))))</f>
        <v>Game 2</v>
      </c>
      <c r="E32" s="107" t="str">
        <f t="shared" ref="E32:E57" si="6">IF(H32="dead","",IF(H32="a:act","",IF(H32="b:act","",IF(ISURL(HYPERLINK(INDIRECT("Importer!B"&amp;MID(H32,10,4)+1,TRUE))),HYPERLINK(INDIRECT("Importer!B"&amp;MID(H32,10,4)+1,TRUE), "Game 3"),""))))</f>
        <v/>
      </c>
      <c r="F32" s="125" t="str">
        <f>VLOOKUP(G32,'Swiss Registry'!$A$2:$B$703,2,False)</f>
        <v>derevien</v>
      </c>
      <c r="G32" s="64">
        <v>541.0</v>
      </c>
      <c r="H32" s="93" t="s">
        <v>3117</v>
      </c>
      <c r="I32" s="141" t="str">
        <f t="array" ref="I32">XLOOKUP(CELL("contents",B32),'Swiss Registry'!$B$2:$B$703,'Swiss Registry'!$N$2:$N$703) </f>
        <v>892364236523708427</v>
      </c>
      <c r="J32" s="142" t="str">
        <f t="array" ref="J32">XLOOKUP(CELL("contents",F32),'Swiss Registry'!$B$2:$B$703,'Swiss Registry'!$N$2:$N$703) </f>
        <v>219178413062225922</v>
      </c>
    </row>
    <row r="33" ht="15.0" customHeight="1">
      <c r="A33" s="64">
        <v>26.0</v>
      </c>
      <c r="B33" s="125" t="str">
        <f>VLOOKUP(A33,'Swiss Registry'!$A$2:$B$703,2,False)</f>
        <v>keepingiticy</v>
      </c>
      <c r="C33" s="105" t="str">
        <f t="shared" si="4"/>
        <v>Game 1</v>
      </c>
      <c r="D33" s="106" t="str">
        <f t="shared" si="5"/>
        <v>Game 2</v>
      </c>
      <c r="E33" s="107" t="str">
        <f t="shared" si="6"/>
        <v/>
      </c>
      <c r="F33" s="125" t="str">
        <f>VLOOKUP(G33,'Swiss Registry'!$A$2:$B$703,2,False)</f>
        <v>gorbinator.</v>
      </c>
      <c r="G33" s="64">
        <v>303.0</v>
      </c>
      <c r="H33" s="93" t="s">
        <v>3118</v>
      </c>
      <c r="I33" s="141" t="str">
        <f t="array" ref="I33">XLOOKUP(CELL("contents",B33),'Swiss Registry'!$B$2:$B$703,'Swiss Registry'!$N$2:$N$703) </f>
        <v>174532509701373952</v>
      </c>
      <c r="J33" s="142" t="str">
        <f t="array" ref="J33">XLOOKUP(CELL("contents",F33),'Swiss Registry'!$B$2:$B$703,'Swiss Registry'!$N$2:$N$703) </f>
        <v>557345709712736266</v>
      </c>
    </row>
    <row r="34">
      <c r="A34" s="64">
        <v>28.0</v>
      </c>
      <c r="B34" s="125" t="str">
        <f>VLOOKUP(A34,'Swiss Registry'!$A$2:$B$703,2,False)</f>
        <v>Typhoon Carter</v>
      </c>
      <c r="C34" s="105" t="str">
        <f t="shared" si="4"/>
        <v>Game 1</v>
      </c>
      <c r="D34" s="106" t="str">
        <f t="shared" si="5"/>
        <v>Game 2</v>
      </c>
      <c r="E34" s="107" t="str">
        <f t="shared" si="6"/>
        <v/>
      </c>
      <c r="F34" s="125" t="str">
        <f>VLOOKUP(G34,'Swiss Registry'!$A$2:$B$703,2,False)</f>
        <v>tyler.cox</v>
      </c>
      <c r="G34" s="64">
        <v>525.0</v>
      </c>
      <c r="H34" s="93" t="s">
        <v>3119</v>
      </c>
      <c r="I34" s="141" t="str">
        <f t="array" ref="I34">XLOOKUP(CELL("contents",B34),'Swiss Registry'!$B$2:$B$703,'Swiss Registry'!$N$2:$N$703) </f>
        <v>313800288647774211</v>
      </c>
      <c r="J34" s="142" t="str">
        <f t="array" ref="J34">XLOOKUP(CELL("contents",F34),'Swiss Registry'!$B$2:$B$703,'Swiss Registry'!$N$2:$N$703) </f>
        <v>188804160152403968</v>
      </c>
    </row>
    <row r="35">
      <c r="A35" s="64">
        <v>29.0</v>
      </c>
      <c r="B35" s="125">
        <f>VLOOKUP(A35,'Swiss Registry'!$A$2:$B$703,2,False)</f>
        <v>48</v>
      </c>
      <c r="C35" s="105" t="str">
        <f t="shared" si="4"/>
        <v>Game 1</v>
      </c>
      <c r="D35" s="106" t="str">
        <f t="shared" si="5"/>
        <v>Game 2</v>
      </c>
      <c r="E35" s="107" t="str">
        <f t="shared" si="6"/>
        <v/>
      </c>
      <c r="F35" s="125" t="str">
        <f>VLOOKUP(G35,'Swiss Registry'!$A$2:$B$703,2,False)</f>
        <v>Tiberiusfieri</v>
      </c>
      <c r="G35" s="64">
        <v>334.0</v>
      </c>
      <c r="H35" s="93" t="s">
        <v>3120</v>
      </c>
      <c r="I35" s="141" t="str">
        <f t="array" ref="I35">XLOOKUP(CELL("contents",B35),'Swiss Registry'!$B$2:$B$703,'Swiss Registry'!$N$2:$N$703) </f>
        <v>247063915790336004</v>
      </c>
      <c r="J35" s="142" t="str">
        <f t="array" ref="J35">XLOOKUP(CELL("contents",F35),'Swiss Registry'!$B$2:$B$703,'Swiss Registry'!$N$2:$N$703) </f>
        <v>820892117370011668</v>
      </c>
    </row>
    <row r="36">
      <c r="A36" s="64">
        <v>30.0</v>
      </c>
      <c r="B36" s="125" t="str">
        <f>VLOOKUP(A36,'Swiss Registry'!$A$2:$B$703,2,False)</f>
        <v>eliandiditagain</v>
      </c>
      <c r="C36" s="105" t="str">
        <f t="shared" si="4"/>
        <v>Game 1</v>
      </c>
      <c r="D36" s="106" t="str">
        <f t="shared" si="5"/>
        <v>Game 2</v>
      </c>
      <c r="E36" s="107" t="str">
        <f t="shared" si="6"/>
        <v/>
      </c>
      <c r="F36" s="125" t="str">
        <f>VLOOKUP(G36,'Swiss Registry'!$A$2:$B$703,2,False)</f>
        <v>Ghostfall22</v>
      </c>
      <c r="G36" s="64">
        <v>613.0</v>
      </c>
      <c r="H36" s="93" t="s">
        <v>3121</v>
      </c>
      <c r="I36" s="141" t="str">
        <f t="array" ref="I36">XLOOKUP(CELL("contents",B36),'Swiss Registry'!$B$2:$B$703,'Swiss Registry'!$N$2:$N$703) </f>
        <v>268922335946342400</v>
      </c>
      <c r="J36" s="142" t="str">
        <f t="array" ref="J36">XLOOKUP(CELL("contents",F36),'Swiss Registry'!$B$2:$B$703,'Swiss Registry'!$N$2:$N$703) </f>
        <v>894720722683985930</v>
      </c>
    </row>
    <row r="37">
      <c r="A37" s="64">
        <v>34.0</v>
      </c>
      <c r="B37" s="125" t="str">
        <f>VLOOKUP(A37,'Swiss Registry'!$A$2:$B$703,2,False)</f>
        <v>D3stiny</v>
      </c>
      <c r="C37" s="105" t="str">
        <f t="shared" si="4"/>
        <v>Game 1</v>
      </c>
      <c r="D37" s="106" t="str">
        <f t="shared" si="5"/>
        <v>Game 2</v>
      </c>
      <c r="E37" s="107" t="str">
        <f t="shared" si="6"/>
        <v/>
      </c>
      <c r="F37" s="125" t="str">
        <f>VLOOKUP(G37,'Swiss Registry'!$A$2:$B$703,2,False)</f>
        <v>Nicko8</v>
      </c>
      <c r="G37" s="64">
        <v>622.0</v>
      </c>
      <c r="H37" s="93" t="s">
        <v>3122</v>
      </c>
      <c r="I37" s="141" t="str">
        <f t="array" ref="I37">XLOOKUP(CELL("contents",B37),'Swiss Registry'!$B$2:$B$703,'Swiss Registry'!$N$2:$N$703) </f>
        <v>836748504621252618</v>
      </c>
      <c r="J37" s="142" t="str">
        <f t="array" ref="J37">XLOOKUP(CELL("contents",F37),'Swiss Registry'!$B$2:$B$703,'Swiss Registry'!$N$2:$N$703) </f>
        <v>148744968666742784</v>
      </c>
    </row>
    <row r="38">
      <c r="A38" s="64">
        <v>41.0</v>
      </c>
      <c r="B38" s="125" t="str">
        <f>VLOOKUP(A38,'Swiss Registry'!$A$2:$B$703,2,False)</f>
        <v>Celdanami</v>
      </c>
      <c r="C38" s="105" t="str">
        <f t="shared" si="4"/>
        <v>Game 1</v>
      </c>
      <c r="D38" s="106" t="str">
        <f t="shared" si="5"/>
        <v>Game 2</v>
      </c>
      <c r="E38" s="110" t="str">
        <f t="shared" si="6"/>
        <v>Game 3</v>
      </c>
      <c r="F38" s="125" t="str">
        <f>VLOOKUP(G38,'Swiss Registry'!$A$2:$B$703,2,False)</f>
        <v>tibetanator</v>
      </c>
      <c r="G38" s="64">
        <v>530.0</v>
      </c>
      <c r="H38" s="93" t="s">
        <v>3123</v>
      </c>
      <c r="I38" s="141" t="str">
        <f t="array" ref="I38">XLOOKUP(CELL("contents",B38),'Swiss Registry'!$B$2:$B$703,'Swiss Registry'!$N$2:$N$703) </f>
        <v>1031364783804526612</v>
      </c>
      <c r="J38" s="142" t="str">
        <f t="array" ref="J38">XLOOKUP(CELL("contents",F38),'Swiss Registry'!$B$2:$B$703,'Swiss Registry'!$N$2:$N$703) </f>
        <v>734152855501668363</v>
      </c>
    </row>
    <row r="39">
      <c r="A39" s="64">
        <v>47.0</v>
      </c>
      <c r="B39" s="125" t="str">
        <f>VLOOKUP(A39,'Swiss Registry'!$A$2:$B$703,2,False)</f>
        <v>Figull400</v>
      </c>
      <c r="C39" s="111" t="str">
        <f t="shared" si="4"/>
        <v/>
      </c>
      <c r="D39" s="112" t="str">
        <f t="shared" si="5"/>
        <v>Act: Figull400</v>
      </c>
      <c r="E39" s="107" t="str">
        <f t="shared" si="6"/>
        <v/>
      </c>
      <c r="F39" s="125" t="str">
        <f>VLOOKUP(G39,'Swiss Registry'!$A$2:$B$703,2,False)</f>
        <v>sligoblues</v>
      </c>
      <c r="G39" s="64">
        <v>693.0</v>
      </c>
      <c r="H39" s="93" t="s">
        <v>1486</v>
      </c>
      <c r="I39" s="141" t="str">
        <f t="array" ref="I39">XLOOKUP(CELL("contents",B39),'Swiss Registry'!$B$2:$B$703,'Swiss Registry'!$N$2:$N$703) </f>
        <v>758667386822983680</v>
      </c>
      <c r="J39" s="142" t="str">
        <f t="array" ref="J39">XLOOKUP(CELL("contents",F39),'Swiss Registry'!$B$2:$B$703,'Swiss Registry'!$N$2:$N$703) </f>
        <v>583755075298656300</v>
      </c>
    </row>
    <row r="40">
      <c r="A40" s="64">
        <v>48.0</v>
      </c>
      <c r="B40" s="125" t="str">
        <f>VLOOKUP(A40,'Swiss Registry'!$A$2:$B$703,2,False)</f>
        <v>Don Tonionie</v>
      </c>
      <c r="C40" s="105" t="str">
        <f t="shared" si="4"/>
        <v>Game 1</v>
      </c>
      <c r="D40" s="106" t="str">
        <f t="shared" si="5"/>
        <v>Game 2</v>
      </c>
      <c r="E40" s="110" t="str">
        <f t="shared" si="6"/>
        <v>Game 3</v>
      </c>
      <c r="F40" s="125" t="str">
        <f>VLOOKUP(G40,'Swiss Registry'!$A$2:$B$703,2,False)</f>
        <v>br.twfb</v>
      </c>
      <c r="G40" s="64">
        <v>161.0</v>
      </c>
      <c r="H40" s="93" t="s">
        <v>3124</v>
      </c>
      <c r="I40" s="141" t="str">
        <f t="array" ref="I40">XLOOKUP(CELL("contents",B40),'Swiss Registry'!$B$2:$B$703,'Swiss Registry'!$N$2:$N$703) </f>
        <v>281159058155634700</v>
      </c>
      <c r="J40" s="142" t="str">
        <f t="array" ref="J40">XLOOKUP(CELL("contents",F40),'Swiss Registry'!$B$2:$B$703,'Swiss Registry'!$N$2:$N$703) </f>
        <v>194544710604292097</v>
      </c>
    </row>
    <row r="41">
      <c r="A41" s="64">
        <v>50.0</v>
      </c>
      <c r="B41" s="125" t="str">
        <f>VLOOKUP(A41,'Swiss Registry'!$A$2:$B$703,2,False)</f>
        <v>xTina</v>
      </c>
      <c r="C41" s="105" t="str">
        <f t="shared" si="4"/>
        <v>Game 1</v>
      </c>
      <c r="D41" s="106" t="str">
        <f t="shared" si="5"/>
        <v>Game 2</v>
      </c>
      <c r="E41" s="110" t="str">
        <f t="shared" si="6"/>
        <v>Game 3</v>
      </c>
      <c r="F41" s="125" t="str">
        <f>VLOOKUP(G41,'Swiss Registry'!$A$2:$B$703,2,False)</f>
        <v>Forte_French</v>
      </c>
      <c r="G41" s="64">
        <v>442.0</v>
      </c>
      <c r="H41" s="93" t="s">
        <v>3125</v>
      </c>
      <c r="I41" s="141" t="str">
        <f t="array" ref="I41">XLOOKUP(CELL("contents",B41),'Swiss Registry'!$B$2:$B$703,'Swiss Registry'!$N$2:$N$703) </f>
        <v>157273003971969025</v>
      </c>
      <c r="J41" s="142" t="str">
        <f t="array" ref="J41">XLOOKUP(CELL("contents",F41),'Swiss Registry'!$B$2:$B$703,'Swiss Registry'!$N$2:$N$703) </f>
        <v>345986385502797844</v>
      </c>
    </row>
    <row r="42">
      <c r="A42" s="64">
        <v>55.0</v>
      </c>
      <c r="B42" s="125" t="str">
        <f>VLOOKUP(A42,'Swiss Registry'!$A$2:$B$703,2,False)</f>
        <v>Kai (aplgd)</v>
      </c>
      <c r="C42" s="105" t="str">
        <f t="shared" si="4"/>
        <v>Game 1</v>
      </c>
      <c r="D42" s="106" t="str">
        <f t="shared" si="5"/>
        <v>Game 2</v>
      </c>
      <c r="E42" s="107" t="str">
        <f t="shared" si="6"/>
        <v/>
      </c>
      <c r="F42" s="125" t="str">
        <f>VLOOKUP(G42,'Swiss Registry'!$A$2:$B$703,2,False)</f>
        <v>Agustin Palacios</v>
      </c>
      <c r="G42" s="64">
        <v>265.0</v>
      </c>
      <c r="H42" s="93" t="s">
        <v>3126</v>
      </c>
      <c r="I42" s="141" t="str">
        <f t="array" ref="I42">XLOOKUP(CELL("contents",B42),'Swiss Registry'!$B$2:$B$703,'Swiss Registry'!$N$2:$N$703) </f>
        <v>782951193495207938</v>
      </c>
      <c r="J42" s="142" t="str">
        <f t="array" ref="J42">XLOOKUP(CELL("contents",F42),'Swiss Registry'!$B$2:$B$703,'Swiss Registry'!$N$2:$N$703) </f>
        <v>547461638647840805</v>
      </c>
    </row>
    <row r="43">
      <c r="A43" s="64">
        <v>56.0</v>
      </c>
      <c r="B43" s="125" t="str">
        <f>VLOOKUP(A43,'Swiss Registry'!$A$2:$B$703,2,False)</f>
        <v>Vayun</v>
      </c>
      <c r="C43" s="105" t="str">
        <f t="shared" si="4"/>
        <v>Game 1</v>
      </c>
      <c r="D43" s="106" t="str">
        <f t="shared" si="5"/>
        <v>Game 2</v>
      </c>
      <c r="E43" s="107" t="str">
        <f t="shared" si="6"/>
        <v/>
      </c>
      <c r="F43" s="125" t="str">
        <f>VLOOKUP(G43,'Swiss Registry'!$A$2:$B$703,2,False)</f>
        <v>cashzachary</v>
      </c>
      <c r="G43" s="64">
        <v>118.0</v>
      </c>
      <c r="H43" s="93" t="s">
        <v>3127</v>
      </c>
      <c r="I43" s="141" t="str">
        <f t="array" ref="I43">XLOOKUP(CELL("contents",B43),'Swiss Registry'!$B$2:$B$703,'Swiss Registry'!$N$2:$N$703) </f>
        <v>773919415153983489</v>
      </c>
      <c r="J43" s="142" t="str">
        <f t="array" ref="J43">XLOOKUP(CELL("contents",F43),'Swiss Registry'!$B$2:$B$703,'Swiss Registry'!$N$2:$N$703) </f>
        <v>1238981053226549308</v>
      </c>
    </row>
    <row r="44">
      <c r="A44" s="64">
        <v>57.0</v>
      </c>
      <c r="B44" s="125" t="str">
        <f>VLOOKUP(A44,'Swiss Registry'!$A$2:$B$703,2,False)</f>
        <v>MeEsSm</v>
      </c>
      <c r="C44" s="105" t="str">
        <f t="shared" si="4"/>
        <v>Game 1</v>
      </c>
      <c r="D44" s="106" t="str">
        <f t="shared" si="5"/>
        <v>Game 2</v>
      </c>
      <c r="E44" s="107" t="str">
        <f t="shared" si="6"/>
        <v/>
      </c>
      <c r="F44" s="125" t="str">
        <f>VLOOKUP(G44,'Swiss Registry'!$A$2:$B$703,2,False)</f>
        <v>bydy2</v>
      </c>
      <c r="G44" s="64">
        <v>679.0</v>
      </c>
      <c r="H44" s="93" t="s">
        <v>3128</v>
      </c>
      <c r="I44" s="141" t="str">
        <f t="array" ref="I44">XLOOKUP(CELL("contents",B44),'Swiss Registry'!$B$2:$B$703,'Swiss Registry'!$N$2:$N$703) </f>
        <v>316388400540286978</v>
      </c>
      <c r="J44" s="142" t="str">
        <f t="array" ref="J44">XLOOKUP(CELL("contents",F44),'Swiss Registry'!$B$2:$B$703,'Swiss Registry'!$N$2:$N$703) </f>
        <v>245276997687836672</v>
      </c>
    </row>
    <row r="45">
      <c r="A45" s="64">
        <v>62.0</v>
      </c>
      <c r="B45" s="125" t="str">
        <f>VLOOKUP(A45,'Swiss Registry'!$A$2:$B$703,2,False)</f>
        <v>Nicole</v>
      </c>
      <c r="C45" s="111" t="str">
        <f t="shared" si="4"/>
        <v/>
      </c>
      <c r="D45" s="112" t="str">
        <f t="shared" si="5"/>
        <v>Act: wwwmonmon</v>
      </c>
      <c r="E45" s="107" t="str">
        <f t="shared" si="6"/>
        <v/>
      </c>
      <c r="F45" s="125" t="str">
        <f>VLOOKUP(G45,'Swiss Registry'!$A$2:$B$703,2,False)</f>
        <v>wwwmonmon</v>
      </c>
      <c r="G45" s="64">
        <v>466.0</v>
      </c>
      <c r="H45" s="93" t="s">
        <v>1523</v>
      </c>
      <c r="I45" s="141" t="str">
        <f t="array" ref="I45">XLOOKUP(CELL("contents",B45),'Swiss Registry'!$B$2:$B$703,'Swiss Registry'!$N$2:$N$703) </f>
        <v>372784289420410882</v>
      </c>
      <c r="J45" s="142" t="str">
        <f t="array" ref="J45">XLOOKUP(CELL("contents",F45),'Swiss Registry'!$B$2:$B$703,'Swiss Registry'!$N$2:$N$703) </f>
        <v>579395206680412172</v>
      </c>
    </row>
    <row r="46">
      <c r="A46" s="64">
        <v>64.0</v>
      </c>
      <c r="B46" s="125" t="str">
        <f>VLOOKUP(A46,'Swiss Registry'!$A$2:$B$703,2,False)</f>
        <v>xGangg</v>
      </c>
      <c r="C46" s="105" t="str">
        <f t="shared" si="4"/>
        <v>Game 1</v>
      </c>
      <c r="D46" s="106" t="str">
        <f t="shared" si="5"/>
        <v>Game 2</v>
      </c>
      <c r="E46" s="110" t="str">
        <f t="shared" si="6"/>
        <v>Game 3</v>
      </c>
      <c r="F46" s="125" t="str">
        <f>VLOOKUP(G46,'Swiss Registry'!$A$2:$B$703,2,False)</f>
        <v>ChocoboJoe</v>
      </c>
      <c r="G46" s="64">
        <v>566.0</v>
      </c>
      <c r="H46" s="93" t="s">
        <v>3129</v>
      </c>
      <c r="I46" s="141" t="str">
        <f t="array" ref="I46">XLOOKUP(CELL("contents",B46),'Swiss Registry'!$B$2:$B$703,'Swiss Registry'!$N$2:$N$703) </f>
        <v>219915887254175744</v>
      </c>
      <c r="J46" s="142" t="str">
        <f t="array" ref="J46">XLOOKUP(CELL("contents",F46),'Swiss Registry'!$B$2:$B$703,'Swiss Registry'!$N$2:$N$703) </f>
        <v>301575831858446356</v>
      </c>
    </row>
    <row r="47">
      <c r="A47" s="64">
        <v>66.0</v>
      </c>
      <c r="B47" s="125" t="str">
        <f>VLOOKUP(A47,'Swiss Registry'!$A$2:$B$703,2,False)</f>
        <v>Mackenzie</v>
      </c>
      <c r="C47" s="105" t="str">
        <f t="shared" si="4"/>
        <v>Game 1</v>
      </c>
      <c r="D47" s="106" t="str">
        <f t="shared" si="5"/>
        <v>Game 2</v>
      </c>
      <c r="E47" s="110" t="str">
        <f t="shared" si="6"/>
        <v>Game 3</v>
      </c>
      <c r="F47" s="125" t="str">
        <f>VLOOKUP(G47,'Swiss Registry'!$A$2:$B$703,2,False)</f>
        <v>charku</v>
      </c>
      <c r="G47" s="64">
        <v>263.0</v>
      </c>
      <c r="H47" s="93" t="s">
        <v>3130</v>
      </c>
      <c r="I47" s="141" t="str">
        <f t="array" ref="I47">XLOOKUP(CELL("contents",B47),'Swiss Registry'!$B$2:$B$703,'Swiss Registry'!$N$2:$N$703) </f>
        <v>173519000842534913</v>
      </c>
      <c r="J47" s="142" t="str">
        <f t="array" ref="J47">XLOOKUP(CELL("contents",F47),'Swiss Registry'!$B$2:$B$703,'Swiss Registry'!$N$2:$N$703) </f>
        <v>492288203596759042</v>
      </c>
    </row>
    <row r="48">
      <c r="A48" s="64">
        <v>80.0</v>
      </c>
      <c r="B48" s="125" t="str">
        <f>VLOOKUP(A48,'Swiss Registry'!$A$2:$B$703,2,False)</f>
        <v>Incognition</v>
      </c>
      <c r="C48" s="105" t="str">
        <f t="shared" si="4"/>
        <v>Game 1</v>
      </c>
      <c r="D48" s="106" t="str">
        <f t="shared" si="5"/>
        <v>Game 2</v>
      </c>
      <c r="E48" s="107" t="str">
        <f t="shared" si="6"/>
        <v/>
      </c>
      <c r="F48" s="125" t="str">
        <f>VLOOKUP(G48,'Swiss Registry'!$A$2:$B$703,2,False)</f>
        <v>denizs8</v>
      </c>
      <c r="G48" s="64">
        <v>555.0</v>
      </c>
      <c r="H48" s="93" t="s">
        <v>3131</v>
      </c>
      <c r="I48" s="141" t="str">
        <f t="array" ref="I48">XLOOKUP(CELL("contents",B48),'Swiss Registry'!$B$2:$B$703,'Swiss Registry'!$N$2:$N$703) </f>
        <v>248186612213612546</v>
      </c>
      <c r="J48" s="142" t="str">
        <f t="array" ref="J48">XLOOKUP(CELL("contents",F48),'Swiss Registry'!$B$2:$B$703,'Swiss Registry'!$N$2:$N$703) </f>
        <v>188407578202472448</v>
      </c>
    </row>
    <row r="49">
      <c r="A49" s="64">
        <v>82.0</v>
      </c>
      <c r="B49" s="125" t="str">
        <f>VLOOKUP(A49,'Swiss Registry'!$A$2:$B$703,2,False)</f>
        <v>Egor</v>
      </c>
      <c r="C49" s="111" t="str">
        <f t="shared" si="4"/>
        <v/>
      </c>
      <c r="D49" s="112" t="str">
        <f t="shared" si="5"/>
        <v>Act: Klird</v>
      </c>
      <c r="E49" s="107" t="str">
        <f t="shared" si="6"/>
        <v/>
      </c>
      <c r="F49" s="125" t="str">
        <f>VLOOKUP(G49,'Swiss Registry'!$A$2:$B$703,2,False)</f>
        <v>Klird</v>
      </c>
      <c r="G49" s="64">
        <v>599.0</v>
      </c>
      <c r="H49" s="93" t="s">
        <v>1523</v>
      </c>
      <c r="I49" s="141" t="str">
        <f t="array" ref="I49">XLOOKUP(CELL("contents",B49),'Swiss Registry'!$B$2:$B$703,'Swiss Registry'!$N$2:$N$703) </f>
        <v>435128937400500224</v>
      </c>
      <c r="J49" s="142" t="str">
        <f t="array" ref="J49">XLOOKUP(CELL("contents",F49),'Swiss Registry'!$B$2:$B$703,'Swiss Registry'!$N$2:$N$703) </f>
        <v>393218478187741186</v>
      </c>
    </row>
    <row r="50">
      <c r="A50" s="64">
        <v>84.0</v>
      </c>
      <c r="B50" s="125" t="str">
        <f>VLOOKUP(A50,'Swiss Registry'!$A$2:$B$703,2,False)</f>
        <v>qsns</v>
      </c>
      <c r="C50" s="105" t="str">
        <f t="shared" si="4"/>
        <v>Game 1</v>
      </c>
      <c r="D50" s="106" t="str">
        <f t="shared" si="5"/>
        <v>Game 2</v>
      </c>
      <c r="E50" s="110" t="str">
        <f t="shared" si="6"/>
        <v>Game 3</v>
      </c>
      <c r="F50" s="125" t="str">
        <f>VLOOKUP(G50,'Swiss Registry'!$A$2:$B$703,2,False)</f>
        <v>mintyerb</v>
      </c>
      <c r="G50" s="64">
        <v>568.0</v>
      </c>
      <c r="H50" s="93" t="s">
        <v>3132</v>
      </c>
      <c r="I50" s="141" t="str">
        <f t="array" ref="I50">XLOOKUP(CELL("contents",B50),'Swiss Registry'!$B$2:$B$703,'Swiss Registry'!$N$2:$N$703) </f>
        <v>125692081212620801</v>
      </c>
      <c r="J50" s="142" t="str">
        <f t="array" ref="J50">XLOOKUP(CELL("contents",F50),'Swiss Registry'!$B$2:$B$703,'Swiss Registry'!$N$2:$N$703) </f>
        <v>411341688288575500</v>
      </c>
    </row>
    <row r="51">
      <c r="A51" s="64">
        <v>85.0</v>
      </c>
      <c r="B51" s="125" t="str">
        <f>VLOOKUP(A51,'Swiss Registry'!$A$2:$B$703,2,False)</f>
        <v>Cyberas</v>
      </c>
      <c r="C51" s="105" t="str">
        <f t="shared" si="4"/>
        <v>Game 1</v>
      </c>
      <c r="D51" s="106" t="str">
        <f t="shared" si="5"/>
        <v>Game 2</v>
      </c>
      <c r="E51" s="107" t="str">
        <f t="shared" si="6"/>
        <v/>
      </c>
      <c r="F51" s="125" t="str">
        <f>VLOOKUP(G51,'Swiss Registry'!$A$2:$B$703,2,False)</f>
        <v>Kydreith33</v>
      </c>
      <c r="G51" s="64">
        <v>283.0</v>
      </c>
      <c r="H51" s="93" t="s">
        <v>3133</v>
      </c>
      <c r="I51" s="141" t="str">
        <f t="array" ref="I51">XLOOKUP(CELL("contents",B51),'Swiss Registry'!$B$2:$B$703,'Swiss Registry'!$N$2:$N$703) </f>
        <v>133696854662709248</v>
      </c>
      <c r="J51" s="142" t="str">
        <f t="array" ref="J51">XLOOKUP(CELL("contents",F51),'Swiss Registry'!$B$2:$B$703,'Swiss Registry'!$N$2:$N$703) </f>
        <v>420018683759296513</v>
      </c>
    </row>
    <row r="52">
      <c r="A52" s="64">
        <v>86.0</v>
      </c>
      <c r="B52" s="125" t="str">
        <f>VLOOKUP(A52,'Swiss Registry'!$A$2:$B$703,2,False)</f>
        <v>Cake</v>
      </c>
      <c r="C52" s="105" t="str">
        <f t="shared" si="4"/>
        <v>Game 1</v>
      </c>
      <c r="D52" s="106" t="str">
        <f t="shared" si="5"/>
        <v>Game 2</v>
      </c>
      <c r="E52" s="110" t="str">
        <f t="shared" si="6"/>
        <v>Game 3</v>
      </c>
      <c r="F52" s="125" t="str">
        <f>VLOOKUP(G52,'Swiss Registry'!$A$2:$B$703,2,False)</f>
        <v>blunderpolicy</v>
      </c>
      <c r="G52" s="64">
        <v>594.0</v>
      </c>
      <c r="H52" s="93" t="s">
        <v>3134</v>
      </c>
      <c r="I52" s="141" t="str">
        <f t="array" ref="I52">XLOOKUP(CELL("contents",B52),'Swiss Registry'!$B$2:$B$703,'Swiss Registry'!$N$2:$N$703) </f>
        <v>1062100541871771689</v>
      </c>
      <c r="J52" s="142" t="str">
        <f t="array" ref="J52">XLOOKUP(CELL("contents",F52),'Swiss Registry'!$B$2:$B$703,'Swiss Registry'!$N$2:$N$703) </f>
        <v>306969912566611968</v>
      </c>
    </row>
    <row r="53">
      <c r="A53" s="64">
        <v>87.0</v>
      </c>
      <c r="B53" s="125" t="str">
        <f>VLOOKUP(A53,'Swiss Registry'!$A$2:$B$703,2,False)</f>
        <v>Zcarlett</v>
      </c>
      <c r="C53" s="105" t="str">
        <f t="shared" si="4"/>
        <v>Game 1</v>
      </c>
      <c r="D53" s="106" t="str">
        <f t="shared" si="5"/>
        <v>Game 2</v>
      </c>
      <c r="E53" s="107" t="str">
        <f t="shared" si="6"/>
        <v/>
      </c>
      <c r="F53" s="125" t="str">
        <f>VLOOKUP(G53,'Swiss Registry'!$A$2:$B$703,2,False)</f>
        <v>dustyfans</v>
      </c>
      <c r="G53" s="64">
        <v>630.0</v>
      </c>
      <c r="H53" s="93" t="s">
        <v>3135</v>
      </c>
      <c r="I53" s="141" t="str">
        <f t="array" ref="I53">XLOOKUP(CELL("contents",B53),'Swiss Registry'!$B$2:$B$703,'Swiss Registry'!$N$2:$N$703) </f>
        <v>513029374392533043</v>
      </c>
      <c r="J53" s="142" t="str">
        <f t="array" ref="J53">XLOOKUP(CELL("contents",F53),'Swiss Registry'!$B$2:$B$703,'Swiss Registry'!$N$2:$N$703) </f>
        <v>325004772493230092</v>
      </c>
    </row>
    <row r="54">
      <c r="A54" s="64">
        <v>90.0</v>
      </c>
      <c r="B54" s="125" t="str">
        <f>VLOOKUP(A54,'Swiss Registry'!$A$2:$B$703,2,False)</f>
        <v>Mantis</v>
      </c>
      <c r="C54" s="105" t="str">
        <f t="shared" si="4"/>
        <v>Game 1</v>
      </c>
      <c r="D54" s="106" t="str">
        <f t="shared" si="5"/>
        <v>Game 2</v>
      </c>
      <c r="E54" s="107" t="str">
        <f t="shared" si="6"/>
        <v/>
      </c>
      <c r="F54" s="125" t="str">
        <f>VLOOKUP(G54,'Swiss Registry'!$A$2:$B$703,2,False)</f>
        <v>_deacon</v>
      </c>
      <c r="G54" s="64">
        <v>536.0</v>
      </c>
      <c r="H54" s="93" t="s">
        <v>3136</v>
      </c>
      <c r="I54" s="141" t="str">
        <f t="array" ref="I54">XLOOKUP(CELL("contents",B54),'Swiss Registry'!$B$2:$B$703,'Swiss Registry'!$N$2:$N$703) </f>
        <v>396370625515487242</v>
      </c>
      <c r="J54" s="142" t="str">
        <f t="array" ref="J54">XLOOKUP(CELL("contents",F54),'Swiss Registry'!$B$2:$B$703,'Swiss Registry'!$N$2:$N$703) </f>
        <v>193748470564126720</v>
      </c>
    </row>
    <row r="55">
      <c r="A55" s="64">
        <v>98.0</v>
      </c>
      <c r="B55" s="125" t="str">
        <f>VLOOKUP(A55,'Swiss Registry'!$A$2:$B$703,2,False)</f>
        <v>Dancing Along/Abreaction</v>
      </c>
      <c r="C55" s="105" t="str">
        <f t="shared" si="4"/>
        <v>Game 1</v>
      </c>
      <c r="D55" s="106" t="str">
        <f t="shared" si="5"/>
        <v>Game 2</v>
      </c>
      <c r="E55" s="107" t="str">
        <f t="shared" si="6"/>
        <v/>
      </c>
      <c r="F55" s="125" t="str">
        <f>VLOOKUP(G55,'Swiss Registry'!$A$2:$B$703,2,False)</f>
        <v>bruh504</v>
      </c>
      <c r="G55" s="64">
        <v>279.0</v>
      </c>
      <c r="H55" s="93" t="s">
        <v>3137</v>
      </c>
      <c r="I55" s="141" t="str">
        <f t="array" ref="I55">XLOOKUP(CELL("contents",B55),'Swiss Registry'!$B$2:$B$703,'Swiss Registry'!$N$2:$N$703) </f>
        <v>386999541255110676</v>
      </c>
      <c r="J55" s="142" t="str">
        <f t="array" ref="J55">XLOOKUP(CELL("contents",F55),'Swiss Registry'!$B$2:$B$703,'Swiss Registry'!$N$2:$N$703) </f>
        <v>392333717269643266</v>
      </c>
    </row>
    <row r="56">
      <c r="A56" s="64">
        <v>99.0</v>
      </c>
      <c r="B56" s="125" t="str">
        <f>VLOOKUP(A56,'Swiss Registry'!$A$2:$B$703,2,False)</f>
        <v>Just_Leo</v>
      </c>
      <c r="C56" s="105" t="str">
        <f t="shared" si="4"/>
        <v>Game 1</v>
      </c>
      <c r="D56" s="106" t="str">
        <f t="shared" si="5"/>
        <v>Game 2</v>
      </c>
      <c r="E56" s="107" t="str">
        <f t="shared" si="6"/>
        <v/>
      </c>
      <c r="F56" s="125" t="str">
        <f>VLOOKUP(G56,'Swiss Registry'!$A$2:$B$703,2,False)</f>
        <v>grahamsandwich</v>
      </c>
      <c r="G56" s="64">
        <v>354.0</v>
      </c>
      <c r="H56" s="93" t="s">
        <v>3138</v>
      </c>
      <c r="I56" s="141" t="str">
        <f t="array" ref="I56">XLOOKUP(CELL("contents",B56),'Swiss Registry'!$B$2:$B$703,'Swiss Registry'!$N$2:$N$703) </f>
        <v>1136751969478914138</v>
      </c>
      <c r="J56" s="142" t="str">
        <f t="array" ref="J56">XLOOKUP(CELL("contents",F56),'Swiss Registry'!$B$2:$B$703,'Swiss Registry'!$N$2:$N$703) </f>
        <v>256944534900965376</v>
      </c>
    </row>
    <row r="57">
      <c r="A57" s="64">
        <v>100.0</v>
      </c>
      <c r="B57" s="125" t="str">
        <f>VLOOKUP(A57,'Swiss Registry'!$A$2:$B$703,2,False)</f>
        <v>Zinc</v>
      </c>
      <c r="C57" s="105" t="str">
        <f t="shared" si="4"/>
        <v>Game 1</v>
      </c>
      <c r="D57" s="106" t="str">
        <f t="shared" si="5"/>
        <v>Game 2</v>
      </c>
      <c r="E57" s="110" t="str">
        <f t="shared" si="6"/>
        <v>Game 3</v>
      </c>
      <c r="F57" s="125" t="str">
        <f>VLOOKUP(G57,'Swiss Registry'!$A$2:$B$703,2,False)</f>
        <v>@pek__</v>
      </c>
      <c r="G57" s="64">
        <v>696.0</v>
      </c>
      <c r="H57" s="93" t="s">
        <v>3139</v>
      </c>
      <c r="I57" s="141" t="str">
        <f t="array" ref="I57">XLOOKUP(CELL("contents",B57),'Swiss Registry'!$B$2:$B$703,'Swiss Registry'!$N$2:$N$703) </f>
        <v>399291432235696139</v>
      </c>
      <c r="J57" s="142" t="str">
        <f t="array" ref="J57">XLOOKUP(CELL("contents",F57),'Swiss Registry'!$B$2:$B$703,'Swiss Registry'!$N$2:$N$703) </f>
        <v>195931152521887744</v>
      </c>
    </row>
    <row r="58" ht="15.0" customHeight="1">
      <c r="A58" s="124"/>
      <c r="B58" s="122"/>
      <c r="C58" s="123"/>
      <c r="D58" s="138" t="s">
        <v>3140</v>
      </c>
      <c r="E58" s="123"/>
      <c r="F58" s="122"/>
      <c r="G58" s="124"/>
      <c r="H58" s="83"/>
      <c r="I58" s="139"/>
      <c r="J58" s="139"/>
    </row>
    <row r="59">
      <c r="A59" s="64">
        <v>339.0</v>
      </c>
      <c r="B59" s="125" t="str">
        <f>VLOOKUP(A59,'Swiss Registry'!$A$2:$B$703,2,False)</f>
        <v>Jabba</v>
      </c>
      <c r="C59" s="105" t="str">
        <f t="shared" ref="C59:C84" si="7">IF(H59="dead","",IF(H59="a:act","",IF(H59="b:act","",IF(ISURL(HYPERLINK(INDIRECT("Importer!B"&amp;MID(H59,2,4)+1,TRUE))),HYPERLINK(INDIRECT("Importer!B"&amp;MID(H59,2,4)+1,TRUE), "Game 1"),""))))</f>
        <v>Game 1</v>
      </c>
      <c r="D59" s="106" t="str">
        <f t="shared" ref="D59:D84" si="8">IF(H59="dead","Dead Game",IF(H59="a:act","Act: "&amp;B59,IF(H59="b:act","Act: "&amp;F59,IF(ISURL(HYPERLINK(INDIRECT("Importer!B"&amp;MID(H59,6,4)+1,TRUE))),HYPERLINK(INDIRECT("Importer!B"&amp;MID(H59,6,4)+1,TRUE), "Game 2"),""))))</f>
        <v>Game 2</v>
      </c>
      <c r="E59" s="110" t="str">
        <f t="shared" ref="E59:E84" si="9">IF(H59="dead","",IF(H59="a:act","",IF(H59="b:act","",IF(ISURL(HYPERLINK(INDIRECT("Importer!B"&amp;MID(H59,10,4)+1,TRUE))),HYPERLINK(INDIRECT("Importer!B"&amp;MID(H59,10,4)+1,TRUE), "Game 3"),""))))</f>
        <v>Game 3</v>
      </c>
      <c r="F59" s="125" t="str">
        <f>VLOOKUP(G59,'Swiss Registry'!$A$2:$B$703,2,False)</f>
        <v>durmain (slamonBbq)</v>
      </c>
      <c r="G59" s="64">
        <v>245.0</v>
      </c>
      <c r="H59" s="93" t="s">
        <v>3141</v>
      </c>
      <c r="I59" s="141" t="str">
        <f t="array" ref="I59">XLOOKUP(CELL("contents",B59),'Swiss Registry'!$B$2:$B$703,'Swiss Registry'!$N$2:$N$703) </f>
        <v>191625883503558656</v>
      </c>
      <c r="J59" s="142" t="str">
        <f t="array" ref="J59">XLOOKUP(CELL("contents",F59),'Swiss Registry'!$B$2:$B$703,'Swiss Registry'!$N$2:$N$703) </f>
        <v>166049321983279104</v>
      </c>
    </row>
    <row r="60">
      <c r="A60" s="64">
        <v>558.0</v>
      </c>
      <c r="B60" s="125" t="str">
        <f>VLOOKUP(A60,'Swiss Registry'!$A$2:$B$703,2,False)</f>
        <v>luisin</v>
      </c>
      <c r="C60" s="105" t="str">
        <f t="shared" si="7"/>
        <v>Game 1</v>
      </c>
      <c r="D60" s="106" t="str">
        <f t="shared" si="8"/>
        <v>Game 2</v>
      </c>
      <c r="E60" s="107" t="str">
        <f t="shared" si="9"/>
        <v/>
      </c>
      <c r="F60" s="125" t="str">
        <f>VLOOKUP(G60,'Swiss Registry'!$A$2:$B$703,2,False)</f>
        <v>gogozeppeli1890 (rconquer)</v>
      </c>
      <c r="G60" s="64">
        <v>247.0</v>
      </c>
      <c r="H60" s="93" t="s">
        <v>3142</v>
      </c>
      <c r="I60" s="141" t="str">
        <f t="array" ref="I60">XLOOKUP(CELL("contents",B60),'Swiss Registry'!$B$2:$B$703,'Swiss Registry'!$N$2:$N$703) </f>
        <v>623656981244149798</v>
      </c>
      <c r="J60" s="142" t="str">
        <f t="array" ref="J60">XLOOKUP(CELL("contents",F60),'Swiss Registry'!$B$2:$B$703,'Swiss Registry'!$N$2:$N$703) </f>
        <v>195721708504743936</v>
      </c>
    </row>
    <row r="61">
      <c r="A61" s="64">
        <v>171.0</v>
      </c>
      <c r="B61" s="125" t="str">
        <f>VLOOKUP(A61,'Swiss Registry'!$A$2:$B$703,2,False)</f>
        <v>knexhawk</v>
      </c>
      <c r="C61" s="105" t="str">
        <f t="shared" si="7"/>
        <v>Game 1</v>
      </c>
      <c r="D61" s="106" t="str">
        <f t="shared" si="8"/>
        <v>Game 2</v>
      </c>
      <c r="E61" s="107" t="str">
        <f t="shared" si="9"/>
        <v/>
      </c>
      <c r="F61" s="125" t="str">
        <f>VLOOKUP(G61,'Swiss Registry'!$A$2:$B$703,2,False)</f>
        <v>Stockings</v>
      </c>
      <c r="G61" s="64">
        <v>145.0</v>
      </c>
      <c r="H61" s="93" t="s">
        <v>3143</v>
      </c>
      <c r="I61" s="141" t="str">
        <f t="array" ref="I61">XLOOKUP(CELL("contents",B61),'Swiss Registry'!$B$2:$B$703,'Swiss Registry'!$N$2:$N$703) </f>
        <v>481499066245578762</v>
      </c>
      <c r="J61" s="142" t="str">
        <f t="array" ref="J61">XLOOKUP(CELL("contents",F61),'Swiss Registry'!$B$2:$B$703,'Swiss Registry'!$N$2:$N$703) </f>
        <v>163080133283020800</v>
      </c>
    </row>
    <row r="62">
      <c r="A62" s="64">
        <v>586.0</v>
      </c>
      <c r="B62" s="125" t="str">
        <f>VLOOKUP(A62,'Swiss Registry'!$A$2:$B$703,2,False)</f>
        <v>Yoink 0</v>
      </c>
      <c r="C62" s="105" t="str">
        <f t="shared" si="7"/>
        <v>Game 1</v>
      </c>
      <c r="D62" s="106" t="str">
        <f t="shared" si="8"/>
        <v>Game 2</v>
      </c>
      <c r="E62" s="107" t="str">
        <f t="shared" si="9"/>
        <v/>
      </c>
      <c r="F62" s="125" t="str">
        <f>VLOOKUP(G62,'Swiss Registry'!$A$2:$B$703,2,False)</f>
        <v>samjamslam</v>
      </c>
      <c r="G62" s="64">
        <v>207.0</v>
      </c>
      <c r="H62" s="93" t="s">
        <v>3144</v>
      </c>
      <c r="I62" s="141" t="str">
        <f t="array" ref="I62">XLOOKUP(CELL("contents",B62),'Swiss Registry'!$B$2:$B$703,'Swiss Registry'!$N$2:$N$703) </f>
        <v>1139533634194391050</v>
      </c>
      <c r="J62" s="142" t="str">
        <f t="array" ref="J62">XLOOKUP(CELL("contents",F62),'Swiss Registry'!$B$2:$B$703,'Swiss Registry'!$N$2:$N$703) </f>
        <v>589902999342546965</v>
      </c>
    </row>
    <row r="63">
      <c r="A63" s="64">
        <v>330.0</v>
      </c>
      <c r="B63" s="125" t="str">
        <f>VLOOKUP(A63,'Swiss Registry'!$A$2:$B$703,2,False)</f>
        <v>sieefffmon</v>
      </c>
      <c r="C63" s="105" t="str">
        <f t="shared" si="7"/>
        <v>Game 1</v>
      </c>
      <c r="D63" s="106" t="str">
        <f t="shared" si="8"/>
        <v>Game 2</v>
      </c>
      <c r="E63" s="110" t="str">
        <f t="shared" si="9"/>
        <v>Game 3</v>
      </c>
      <c r="F63" s="125" t="str">
        <f>VLOOKUP(G63,'Swiss Registry'!$A$2:$B$703,2,False)</f>
        <v>Dwightasaurus</v>
      </c>
      <c r="G63" s="64">
        <v>352.0</v>
      </c>
      <c r="H63" s="93" t="s">
        <v>3145</v>
      </c>
      <c r="I63" s="141" t="str">
        <f t="array" ref="I63">XLOOKUP(CELL("contents",B63),'Swiss Registry'!$B$2:$B$703,'Swiss Registry'!$N$2:$N$703) </f>
        <v>257242537582919691</v>
      </c>
      <c r="J63" s="142" t="str">
        <f t="array" ref="J63">XLOOKUP(CELL("contents",F63),'Swiss Registry'!$B$2:$B$703,'Swiss Registry'!$N$2:$N$703) </f>
        <v>393205826900197377</v>
      </c>
    </row>
    <row r="64">
      <c r="A64" s="64">
        <v>338.0</v>
      </c>
      <c r="B64" s="125" t="str">
        <f>VLOOKUP(A64,'Swiss Registry'!$A$2:$B$703,2,False)</f>
        <v>dhgss</v>
      </c>
      <c r="C64" s="105" t="str">
        <f t="shared" si="7"/>
        <v>Game 1</v>
      </c>
      <c r="D64" s="106" t="str">
        <f t="shared" si="8"/>
        <v>Game 2</v>
      </c>
      <c r="E64" s="107" t="str">
        <f t="shared" si="9"/>
        <v/>
      </c>
      <c r="F64" s="125" t="str">
        <f>VLOOKUP(G64,'Swiss Registry'!$A$2:$B$703,2,False)</f>
        <v>Cream314</v>
      </c>
      <c r="G64" s="64">
        <v>557.0</v>
      </c>
      <c r="H64" s="93" t="s">
        <v>3146</v>
      </c>
      <c r="I64" s="141" t="str">
        <f t="array" ref="I64">XLOOKUP(CELL("contents",B64),'Swiss Registry'!$B$2:$B$703,'Swiss Registry'!$N$2:$N$703) </f>
        <v>158287368925872129</v>
      </c>
      <c r="J64" s="142" t="str">
        <f t="array" ref="J64">XLOOKUP(CELL("contents",F64),'Swiss Registry'!$B$2:$B$703,'Swiss Registry'!$N$2:$N$703) </f>
        <v>272909263205040140</v>
      </c>
    </row>
    <row r="65">
      <c r="A65" s="64">
        <v>471.0</v>
      </c>
      <c r="B65" s="125" t="str">
        <f>VLOOKUP(A65,'Swiss Registry'!$A$2:$B$703,2,False)</f>
        <v>Sificon</v>
      </c>
      <c r="C65" s="105" t="str">
        <f t="shared" si="7"/>
        <v>Game 1</v>
      </c>
      <c r="D65" s="106" t="str">
        <f t="shared" si="8"/>
        <v>Game 2</v>
      </c>
      <c r="E65" s="107" t="str">
        <f t="shared" si="9"/>
        <v/>
      </c>
      <c r="F65" s="125" t="str">
        <f>VLOOKUP(G65,'Swiss Registry'!$A$2:$B$703,2,False)</f>
        <v>tonii5531</v>
      </c>
      <c r="G65" s="64">
        <v>163.0</v>
      </c>
      <c r="H65" s="93" t="s">
        <v>3147</v>
      </c>
      <c r="I65" s="141" t="str">
        <f t="array" ref="I65">XLOOKUP(CELL("contents",B65),'Swiss Registry'!$B$2:$B$703,'Swiss Registry'!$N$2:$N$703) </f>
        <v>363775331292676097</v>
      </c>
      <c r="J65" s="142" t="str">
        <f t="array" ref="J65">XLOOKUP(CELL("contents",F65),'Swiss Registry'!$B$2:$B$703,'Swiss Registry'!$N$2:$N$703) </f>
        <v>472908398451752991</v>
      </c>
    </row>
    <row r="66">
      <c r="A66" s="64">
        <v>406.0</v>
      </c>
      <c r="B66" s="125" t="str">
        <f>VLOOKUP(A66,'Swiss Registry'!$A$2:$B$703,2,False)</f>
        <v>epiclyepicgamer</v>
      </c>
      <c r="C66" s="105" t="str">
        <f t="shared" si="7"/>
        <v>Game 1</v>
      </c>
      <c r="D66" s="106" t="str">
        <f t="shared" si="8"/>
        <v>Game 2</v>
      </c>
      <c r="E66" s="110" t="str">
        <f t="shared" si="9"/>
        <v>Game 3</v>
      </c>
      <c r="F66" s="125" t="str">
        <f>VLOOKUP(G66,'Swiss Registry'!$A$2:$B$703,2,False)</f>
        <v>irrelevantone</v>
      </c>
      <c r="G66" s="64">
        <v>689.0</v>
      </c>
      <c r="H66" s="93" t="s">
        <v>3148</v>
      </c>
      <c r="I66" s="141" t="str">
        <f t="array" ref="I66">XLOOKUP(CELL("contents",B66),'Swiss Registry'!$B$2:$B$703,'Swiss Registry'!$N$2:$N$703) </f>
        <v>839557955140976701</v>
      </c>
      <c r="J66" s="142" t="str">
        <f t="array" ref="J66">XLOOKUP(CELL("contents",F66),'Swiss Registry'!$B$2:$B$703,'Swiss Registry'!$N$2:$N$703) </f>
        <v>284150733152976896</v>
      </c>
    </row>
    <row r="67">
      <c r="A67" s="64">
        <v>487.0</v>
      </c>
      <c r="B67" s="125" t="str">
        <f>VLOOKUP(A67,'Swiss Registry'!$A$2:$B$703,2,False)</f>
        <v>owlman7507</v>
      </c>
      <c r="C67" s="105" t="str">
        <f t="shared" si="7"/>
        <v>Game 1</v>
      </c>
      <c r="D67" s="106" t="str">
        <f t="shared" si="8"/>
        <v>Game 2</v>
      </c>
      <c r="E67" s="107" t="str">
        <f t="shared" si="9"/>
        <v/>
      </c>
      <c r="F67" s="125" t="str">
        <f>VLOOKUP(G67,'Swiss Registry'!$A$2:$B$703,2,False)</f>
        <v>Papa Escargo</v>
      </c>
      <c r="G67" s="64">
        <v>276.0</v>
      </c>
      <c r="H67" s="93" t="s">
        <v>3149</v>
      </c>
      <c r="I67" s="141" t="str">
        <f t="array" ref="I67">XLOOKUP(CELL("contents",B67),'Swiss Registry'!$B$2:$B$703,'Swiss Registry'!$N$2:$N$703) </f>
        <v>684894520751816770</v>
      </c>
      <c r="J67" s="142" t="str">
        <f t="array" ref="J67">XLOOKUP(CELL("contents",F67),'Swiss Registry'!$B$2:$B$703,'Swiss Registry'!$N$2:$N$703) </f>
        <v>510329516531515427</v>
      </c>
    </row>
    <row r="68">
      <c r="A68" s="64">
        <v>635.0</v>
      </c>
      <c r="B68" s="125" t="str">
        <f>VLOOKUP(A68,'Swiss Registry'!$A$2:$B$703,2,False)</f>
        <v>elmagneto</v>
      </c>
      <c r="C68" s="105" t="str">
        <f t="shared" si="7"/>
        <v>Game 1</v>
      </c>
      <c r="D68" s="106" t="str">
        <f t="shared" si="8"/>
        <v>Game 2</v>
      </c>
      <c r="E68" s="110" t="str">
        <f t="shared" si="9"/>
        <v>Game 3</v>
      </c>
      <c r="F68" s="125" t="str">
        <f>VLOOKUP(G68,'Swiss Registry'!$A$2:$B$703,2,False)</f>
        <v>ccgeek_</v>
      </c>
      <c r="G68" s="64">
        <v>206.0</v>
      </c>
      <c r="H68" s="93" t="s">
        <v>3150</v>
      </c>
      <c r="I68" s="141" t="str">
        <f t="array" ref="I68">XLOOKUP(CELL("contents",B68),'Swiss Registry'!$B$2:$B$703,'Swiss Registry'!$N$2:$N$703) </f>
        <v>381169925601099779</v>
      </c>
      <c r="J68" s="142" t="str">
        <f t="array" ref="J68">XLOOKUP(CELL("contents",F68),'Swiss Registry'!$B$2:$B$703,'Swiss Registry'!$N$2:$N$703) </f>
        <v>861286170708279336</v>
      </c>
    </row>
    <row r="69">
      <c r="A69" s="64">
        <v>270.0</v>
      </c>
      <c r="B69" s="125" t="str">
        <f>VLOOKUP(A69,'Swiss Registry'!$A$2:$B$703,2,False)</f>
        <v>lemon04</v>
      </c>
      <c r="C69" s="111" t="str">
        <f t="shared" si="7"/>
        <v/>
      </c>
      <c r="D69" s="112" t="str">
        <f t="shared" si="8"/>
        <v>Act: fastandsleepy</v>
      </c>
      <c r="E69" s="107" t="str">
        <f t="shared" si="9"/>
        <v/>
      </c>
      <c r="F69" s="125" t="str">
        <f>VLOOKUP(G69,'Swiss Registry'!$A$2:$B$703,2,False)</f>
        <v>fastandsleepy</v>
      </c>
      <c r="G69" s="64">
        <v>423.0</v>
      </c>
      <c r="H69" s="93" t="s">
        <v>1523</v>
      </c>
      <c r="I69" s="141" t="str">
        <f t="array" ref="I69">XLOOKUP(CELL("contents",B69),'Swiss Registry'!$B$2:$B$703,'Swiss Registry'!$N$2:$N$703) </f>
        <v>177840825986711552</v>
      </c>
      <c r="J69" s="142" t="str">
        <f t="array" ref="J69">XLOOKUP(CELL("contents",F69),'Swiss Registry'!$B$2:$B$703,'Swiss Registry'!$N$2:$N$703) </f>
        <v>428574676449624065</v>
      </c>
    </row>
    <row r="70">
      <c r="A70" s="64">
        <v>355.0</v>
      </c>
      <c r="B70" s="125" t="str">
        <f>VLOOKUP(A70,'Swiss Registry'!$A$2:$B$703,2,False)</f>
        <v>Sorenkazer</v>
      </c>
      <c r="C70" s="105" t="str">
        <f t="shared" si="7"/>
        <v>Game 1</v>
      </c>
      <c r="D70" s="106" t="str">
        <f t="shared" si="8"/>
        <v>Game 2</v>
      </c>
      <c r="E70" s="107" t="str">
        <f t="shared" si="9"/>
        <v/>
      </c>
      <c r="F70" s="125" t="str">
        <f>VLOOKUP(G70,'Swiss Registry'!$A$2:$B$703,2,False)</f>
        <v>jd_orph</v>
      </c>
      <c r="G70" s="64">
        <v>284.0</v>
      </c>
      <c r="H70" s="93" t="s">
        <v>3151</v>
      </c>
      <c r="I70" s="141" t="str">
        <f t="array" ref="I70">XLOOKUP(CELL("contents",B70),'Swiss Registry'!$B$2:$B$703,'Swiss Registry'!$N$2:$N$703) </f>
        <v>245004928748224513</v>
      </c>
      <c r="J70" s="142" t="str">
        <f t="array" ref="J70">XLOOKUP(CELL("contents",F70),'Swiss Registry'!$B$2:$B$703,'Swiss Registry'!$N$2:$N$703) </f>
        <v>486001893655445534</v>
      </c>
    </row>
    <row r="71">
      <c r="A71" s="64">
        <v>543.0</v>
      </c>
      <c r="B71" s="125" t="str">
        <f>VLOOKUP(A71,'Swiss Registry'!$A$2:$B$703,2,False)</f>
        <v>s_2_w</v>
      </c>
      <c r="C71" s="105" t="str">
        <f t="shared" si="7"/>
        <v>Game 1</v>
      </c>
      <c r="D71" s="106" t="str">
        <f t="shared" si="8"/>
        <v>Game 2</v>
      </c>
      <c r="E71" s="107" t="str">
        <f t="shared" si="9"/>
        <v/>
      </c>
      <c r="F71" s="125" t="str">
        <f>VLOOKUP(G71,'Swiss Registry'!$A$2:$B$703,2,False)</f>
        <v>ReavenFTW</v>
      </c>
      <c r="G71" s="64">
        <v>131.0</v>
      </c>
      <c r="H71" s="93" t="s">
        <v>3152</v>
      </c>
      <c r="I71" s="141" t="str">
        <f t="array" ref="I71">XLOOKUP(CELL("contents",B71),'Swiss Registry'!$B$2:$B$703,'Swiss Registry'!$N$2:$N$703) </f>
        <v>849644863661801493</v>
      </c>
      <c r="J71" s="142" t="str">
        <f t="array" ref="J71">XLOOKUP(CELL("contents",F71),'Swiss Registry'!$B$2:$B$703,'Swiss Registry'!$N$2:$N$703) </f>
        <v>491685671480721419</v>
      </c>
    </row>
    <row r="72">
      <c r="A72" s="64">
        <v>208.0</v>
      </c>
      <c r="B72" s="125" t="str">
        <f>VLOOKUP(A72,'Swiss Registry'!$A$2:$B$703,2,False)</f>
        <v>UsernameABCD</v>
      </c>
      <c r="C72" s="105" t="str">
        <f t="shared" si="7"/>
        <v>Game 1</v>
      </c>
      <c r="D72" s="106" t="str">
        <f t="shared" si="8"/>
        <v>Game 2</v>
      </c>
      <c r="E72" s="107" t="str">
        <f t="shared" si="9"/>
        <v/>
      </c>
      <c r="F72" s="125" t="str">
        <f>VLOOKUP(G72,'Swiss Registry'!$A$2:$B$703,2,False)</f>
        <v>choicescarf002</v>
      </c>
      <c r="G72" s="64">
        <v>504.0</v>
      </c>
      <c r="H72" s="93" t="s">
        <v>3153</v>
      </c>
      <c r="I72" s="141" t="str">
        <f t="array" ref="I72">XLOOKUP(CELL("contents",B72),'Swiss Registry'!$B$2:$B$703,'Swiss Registry'!$N$2:$N$703) </f>
        <v>341334237485465614</v>
      </c>
      <c r="J72" s="142" t="str">
        <f t="array" ref="J72">XLOOKUP(CELL("contents",F72),'Swiss Registry'!$B$2:$B$703,'Swiss Registry'!$N$2:$N$703) </f>
        <v>359154373063999490</v>
      </c>
    </row>
    <row r="73">
      <c r="A73" s="64">
        <v>238.0</v>
      </c>
      <c r="B73" s="125" t="str">
        <f>VLOOKUP(A73,'Swiss Registry'!$A$2:$B$703,2,False)</f>
        <v>.GeneralRevan</v>
      </c>
      <c r="C73" s="105" t="str">
        <f t="shared" si="7"/>
        <v>Game 1</v>
      </c>
      <c r="D73" s="106" t="str">
        <f t="shared" si="8"/>
        <v>Game 2</v>
      </c>
      <c r="E73" s="107" t="str">
        <f t="shared" si="9"/>
        <v/>
      </c>
      <c r="F73" s="125" t="str">
        <f>VLOOKUP(G73,'Swiss Registry'!$A$2:$B$703,2,False)</f>
        <v>elysyr</v>
      </c>
      <c r="G73" s="64">
        <v>519.0</v>
      </c>
      <c r="H73" s="93" t="s">
        <v>3154</v>
      </c>
      <c r="I73" s="141" t="str">
        <f t="array" ref="I73">XLOOKUP(CELL("contents",B73),'Swiss Registry'!$B$2:$B$703,'Swiss Registry'!$N$2:$N$703) </f>
        <v>306988395660443648</v>
      </c>
      <c r="J73" s="142" t="str">
        <f t="array" ref="J73">XLOOKUP(CELL("contents",F73),'Swiss Registry'!$B$2:$B$703,'Swiss Registry'!$N$2:$N$703) </f>
        <v>1252241314897068095</v>
      </c>
    </row>
    <row r="74">
      <c r="A74" s="64">
        <v>676.0</v>
      </c>
      <c r="B74" s="125" t="str">
        <f>VLOOKUP(A74,'Swiss Registry'!$A$2:$B$703,2,False)</f>
        <v>socialinclusion</v>
      </c>
      <c r="C74" s="111" t="str">
        <f t="shared" si="7"/>
        <v/>
      </c>
      <c r="D74" s="112" t="str">
        <f t="shared" si="8"/>
        <v>Act: tree69420</v>
      </c>
      <c r="E74" s="107" t="str">
        <f t="shared" si="9"/>
        <v/>
      </c>
      <c r="F74" s="125" t="str">
        <f>VLOOKUP(G74,'Swiss Registry'!$A$2:$B$703,2,False)</f>
        <v>tree69420</v>
      </c>
      <c r="G74" s="64">
        <v>177.0</v>
      </c>
      <c r="H74" s="93" t="s">
        <v>1523</v>
      </c>
      <c r="I74" s="141" t="str">
        <f t="array" ref="I74">XLOOKUP(CELL("contents",B74),'Swiss Registry'!$B$2:$B$703,'Swiss Registry'!$N$2:$N$703) </f>
        <v>1287659687881474109</v>
      </c>
      <c r="J74" s="142" t="str">
        <f t="array" ref="J74">XLOOKUP(CELL("contents",F74),'Swiss Registry'!$B$2:$B$703,'Swiss Registry'!$N$2:$N$703) </f>
        <v>798958594116419604</v>
      </c>
    </row>
    <row r="75">
      <c r="A75" s="64">
        <v>691.0</v>
      </c>
      <c r="B75" s="125" t="str">
        <f>VLOOKUP(A75,'Swiss Registry'!$A$2:$B$703,2,False)</f>
        <v>aldrichunfaithful</v>
      </c>
      <c r="C75" s="105" t="str">
        <f t="shared" si="7"/>
        <v>Game 1</v>
      </c>
      <c r="D75" s="106" t="str">
        <f t="shared" si="8"/>
        <v>Game 2</v>
      </c>
      <c r="E75" s="107" t="str">
        <f t="shared" si="9"/>
        <v/>
      </c>
      <c r="F75" s="125" t="str">
        <f>VLOOKUP(G75,'Swiss Registry'!$A$2:$B$703,2,False)</f>
        <v>@spreek</v>
      </c>
      <c r="G75" s="64">
        <v>640.0</v>
      </c>
      <c r="H75" s="93" t="s">
        <v>3155</v>
      </c>
      <c r="I75" s="141" t="str">
        <f t="array" ref="I75">XLOOKUP(CELL("contents",B75),'Swiss Registry'!$B$2:$B$703,'Swiss Registry'!$N$2:$N$703) </f>
        <v>743954201222053955</v>
      </c>
      <c r="J75" s="142" t="str">
        <f t="array" ref="J75">XLOOKUP(CELL("contents",F75),'Swiss Registry'!$B$2:$B$703,'Swiss Registry'!$N$2:$N$703) </f>
        <v>136272881666621440</v>
      </c>
    </row>
    <row r="76">
      <c r="A76" s="64">
        <v>695.0</v>
      </c>
      <c r="B76" s="125" t="str">
        <f>VLOOKUP(A76,'Swiss Registry'!$A$2:$B$703,2,False)</f>
        <v>Blanched</v>
      </c>
      <c r="C76" s="105" t="str">
        <f t="shared" si="7"/>
        <v>Game 1</v>
      </c>
      <c r="D76" s="106" t="str">
        <f t="shared" si="8"/>
        <v>Game 2</v>
      </c>
      <c r="E76" s="110" t="str">
        <f t="shared" si="9"/>
        <v>Game 3</v>
      </c>
      <c r="F76" s="125" t="str">
        <f>VLOOKUP(G76,'Swiss Registry'!$A$2:$B$703,2,False)</f>
        <v>monchooo</v>
      </c>
      <c r="G76" s="64">
        <v>269.0</v>
      </c>
      <c r="H76" s="93" t="s">
        <v>3156</v>
      </c>
      <c r="I76" s="141" t="str">
        <f t="array" ref="I76">XLOOKUP(CELL("contents",B76),'Swiss Registry'!$B$2:$B$703,'Swiss Registry'!$N$2:$N$703) </f>
        <v>270997842628182026</v>
      </c>
      <c r="J76" s="142" t="str">
        <f t="array" ref="J76">XLOOKUP(CELL("contents",F76),'Swiss Registry'!$B$2:$B$703,'Swiss Registry'!$N$2:$N$703) </f>
        <v>202168691893207041</v>
      </c>
    </row>
    <row r="77">
      <c r="A77" s="64">
        <v>698.0</v>
      </c>
      <c r="B77" s="125" t="str">
        <f>VLOOKUP(A77,'Swiss Registry'!$A$2:$B$703,2,False)</f>
        <v>jankcity</v>
      </c>
      <c r="C77" s="105" t="str">
        <f t="shared" si="7"/>
        <v>Game 1</v>
      </c>
      <c r="D77" s="106" t="str">
        <f t="shared" si="8"/>
        <v>Game 2</v>
      </c>
      <c r="E77" s="107" t="str">
        <f t="shared" si="9"/>
        <v/>
      </c>
      <c r="F77" s="125" t="str">
        <f>VLOOKUP(G77,'Swiss Registry'!$A$2:$B$703,2,False)</f>
        <v>_uka</v>
      </c>
      <c r="G77" s="64">
        <v>227.0</v>
      </c>
      <c r="H77" s="93" t="s">
        <v>3157</v>
      </c>
      <c r="I77" s="141" t="str">
        <f t="array" ref="I77">XLOOKUP(CELL("contents",B77),'Swiss Registry'!$B$2:$B$703,'Swiss Registry'!$N$2:$N$703) </f>
        <v>532236765914988557</v>
      </c>
      <c r="J77" s="142" t="str">
        <f t="array" ref="J77">XLOOKUP(CELL("contents",F77),'Swiss Registry'!$B$2:$B$703,'Swiss Registry'!$N$2:$N$703) </f>
        <v>277419088588832768</v>
      </c>
    </row>
    <row r="78">
      <c r="A78" s="64">
        <v>377.0</v>
      </c>
      <c r="B78" s="125" t="str">
        <f>VLOOKUP(A78,'Swiss Registry'!$A$2:$B$703,2,False)</f>
        <v>chtx</v>
      </c>
      <c r="C78" s="105" t="str">
        <f t="shared" si="7"/>
        <v>Game 1</v>
      </c>
      <c r="D78" s="106" t="str">
        <f t="shared" si="8"/>
        <v>Game 2</v>
      </c>
      <c r="E78" s="110" t="str">
        <f t="shared" si="9"/>
        <v>Game 3</v>
      </c>
      <c r="F78" s="125" t="str">
        <f>VLOOKUP(G78,'Swiss Registry'!$A$2:$B$703,2,False)</f>
        <v>Mintyfresh756</v>
      </c>
      <c r="G78" s="64">
        <v>563.0</v>
      </c>
      <c r="H78" s="93" t="s">
        <v>3158</v>
      </c>
      <c r="I78" s="141" t="str">
        <f t="array" ref="I78">XLOOKUP(CELL("contents",B78),'Swiss Registry'!$B$2:$B$703,'Swiss Registry'!$N$2:$N$703) </f>
        <v>883745894825099354</v>
      </c>
      <c r="J78" s="142" t="str">
        <f t="array" ref="J78">XLOOKUP(CELL("contents",F78),'Swiss Registry'!$B$2:$B$703,'Swiss Registry'!$N$2:$N$703) </f>
        <v>229365099960336384</v>
      </c>
    </row>
    <row r="79">
      <c r="A79" s="64">
        <v>517.0</v>
      </c>
      <c r="B79" s="125" t="str">
        <f>VLOOKUP(A79,'Swiss Registry'!$A$2:$B$703,2,False)</f>
        <v>oskari1707</v>
      </c>
      <c r="C79" s="105" t="str">
        <f t="shared" si="7"/>
        <v>Game 1</v>
      </c>
      <c r="D79" s="106" t="str">
        <f t="shared" si="8"/>
        <v>Game 2</v>
      </c>
      <c r="E79" s="110" t="str">
        <f t="shared" si="9"/>
        <v>Game 3</v>
      </c>
      <c r="F79" s="125" t="str">
        <f>VLOOKUP(G79,'Swiss Registry'!$A$2:$B$703,2,False)</f>
        <v>style_purposes</v>
      </c>
      <c r="G79" s="64">
        <v>107.0</v>
      </c>
      <c r="H79" s="93" t="s">
        <v>3159</v>
      </c>
      <c r="I79" s="141" t="str">
        <f t="array" ref="I79">XLOOKUP(CELL("contents",B79),'Swiss Registry'!$B$2:$B$703,'Swiss Registry'!$N$2:$N$703) </f>
        <v>920018351684730910</v>
      </c>
      <c r="J79" s="142" t="str">
        <f t="array" ref="J79">XLOOKUP(CELL("contents",F79),'Swiss Registry'!$B$2:$B$703,'Swiss Registry'!$N$2:$N$703) </f>
        <v>608850851150430226</v>
      </c>
    </row>
    <row r="80">
      <c r="A80" s="64">
        <v>486.0</v>
      </c>
      <c r="B80" s="125" t="str">
        <f>VLOOKUP(A80,'Swiss Registry'!$A$2:$B$703,2,False)</f>
        <v>venomshoc</v>
      </c>
      <c r="C80" s="105" t="str">
        <f t="shared" si="7"/>
        <v>Game 1</v>
      </c>
      <c r="D80" s="106" t="str">
        <f t="shared" si="8"/>
        <v>Game 2</v>
      </c>
      <c r="E80" s="107" t="str">
        <f t="shared" si="9"/>
        <v/>
      </c>
      <c r="F80" s="125" t="str">
        <f>VLOOKUP(G80,'Swiss Registry'!$A$2:$B$703,2,False)</f>
        <v>Sophocles</v>
      </c>
      <c r="G80" s="64">
        <v>130.0</v>
      </c>
      <c r="H80" s="93" t="s">
        <v>3160</v>
      </c>
      <c r="I80" s="141" t="str">
        <f t="array" ref="I80">XLOOKUP(CELL("contents",B80),'Swiss Registry'!$B$2:$B$703,'Swiss Registry'!$N$2:$N$703) </f>
        <v>314453127224885249</v>
      </c>
      <c r="J80" s="142" t="str">
        <f t="array" ref="J80">XLOOKUP(CELL("contents",F80),'Swiss Registry'!$B$2:$B$703,'Swiss Registry'!$N$2:$N$703) </f>
        <v>109151686848679936</v>
      </c>
    </row>
    <row r="81">
      <c r="A81" s="64">
        <v>595.0</v>
      </c>
      <c r="B81" s="125" t="str">
        <f>VLOOKUP(A81,'Swiss Registry'!$A$2:$B$703,2,False)</f>
        <v>emerald_harrold</v>
      </c>
      <c r="C81" s="105" t="str">
        <f t="shared" si="7"/>
        <v>Game 1</v>
      </c>
      <c r="D81" s="106" t="str">
        <f t="shared" si="8"/>
        <v>Game 2</v>
      </c>
      <c r="E81" s="110" t="str">
        <f t="shared" si="9"/>
        <v>Game 3</v>
      </c>
      <c r="F81" s="125" t="str">
        <f>VLOOKUP(G81,'Swiss Registry'!$A$2:$B$703,2,False)</f>
        <v>tamafuyu</v>
      </c>
      <c r="G81" s="64">
        <v>573.0</v>
      </c>
      <c r="H81" s="93" t="s">
        <v>3161</v>
      </c>
      <c r="I81" s="141" t="str">
        <f t="array" ref="I81">XLOOKUP(CELL("contents",B81),'Swiss Registry'!$B$2:$B$703,'Swiss Registry'!$N$2:$N$703) </f>
        <v>895687390142812161</v>
      </c>
      <c r="J81" s="142" t="str">
        <f t="array" ref="J81">XLOOKUP(CELL("contents",F81),'Swiss Registry'!$B$2:$B$703,'Swiss Registry'!$N$2:$N$703) </f>
        <v>98886753485623296</v>
      </c>
    </row>
    <row r="82">
      <c r="A82" s="64">
        <v>331.0</v>
      </c>
      <c r="B82" s="125" t="str">
        <f>VLOOKUP(A82,'Swiss Registry'!$A$2:$B$703,2,False)</f>
        <v>pac_rojo</v>
      </c>
      <c r="C82" s="105" t="str">
        <f t="shared" si="7"/>
        <v>Game 1</v>
      </c>
      <c r="D82" s="106" t="str">
        <f t="shared" si="8"/>
        <v>Game 2</v>
      </c>
      <c r="E82" s="107" t="str">
        <f t="shared" si="9"/>
        <v/>
      </c>
      <c r="F82" s="125" t="str">
        <f>VLOOKUP(G82,'Swiss Registry'!$A$2:$B$703,2,False)</f>
        <v>ghostreported</v>
      </c>
      <c r="G82" s="64">
        <v>307.0</v>
      </c>
      <c r="H82" s="93" t="s">
        <v>3162</v>
      </c>
      <c r="I82" s="141" t="str">
        <f t="array" ref="I82">XLOOKUP(CELL("contents",B82),'Swiss Registry'!$B$2:$B$703,'Swiss Registry'!$N$2:$N$703) </f>
        <v>658992933772591105</v>
      </c>
      <c r="J82" s="142" t="str">
        <f t="array" ref="J82">XLOOKUP(CELL("contents",F82),'Swiss Registry'!$B$2:$B$703,'Swiss Registry'!$N$2:$N$703) </f>
        <v>965685598545403924</v>
      </c>
    </row>
    <row r="83">
      <c r="A83" s="64">
        <v>547.0</v>
      </c>
      <c r="B83" s="125" t="str">
        <f>VLOOKUP(A83,'Swiss Registry'!$A$2:$B$703,2,False)</f>
        <v>lexi.pup</v>
      </c>
      <c r="C83" s="105" t="str">
        <f t="shared" si="7"/>
        <v>Game 1</v>
      </c>
      <c r="D83" s="106" t="str">
        <f t="shared" si="8"/>
        <v>Game 2</v>
      </c>
      <c r="E83" s="107" t="str">
        <f t="shared" si="9"/>
        <v/>
      </c>
      <c r="F83" s="125" t="str">
        <f>VLOOKUP(G83,'Swiss Registry'!$A$2:$B$703,2,False)</f>
        <v>CheesiMoon</v>
      </c>
      <c r="G83" s="64">
        <v>124.0</v>
      </c>
      <c r="H83" s="93" t="s">
        <v>3163</v>
      </c>
      <c r="I83" s="141" t="str">
        <f t="array" ref="I83">XLOOKUP(CELL("contents",B83),'Swiss Registry'!$B$2:$B$703,'Swiss Registry'!$N$2:$N$703) </f>
        <v>768313209161383936</v>
      </c>
      <c r="J83" s="142" t="str">
        <f t="array" ref="J83">XLOOKUP(CELL("contents",F83),'Swiss Registry'!$B$2:$B$703,'Swiss Registry'!$N$2:$N$703) </f>
        <v>231980254887936000</v>
      </c>
    </row>
    <row r="84">
      <c r="A84" s="64">
        <v>687.0</v>
      </c>
      <c r="B84" s="125" t="str">
        <f>VLOOKUP(A84,'Swiss Registry'!$A$2:$B$703,2,False)</f>
        <v>justbestlevels</v>
      </c>
      <c r="C84" s="105" t="str">
        <f t="shared" si="7"/>
        <v>Game 1</v>
      </c>
      <c r="D84" s="106" t="str">
        <f t="shared" si="8"/>
        <v>Game 2</v>
      </c>
      <c r="E84" s="107" t="str">
        <f t="shared" si="9"/>
        <v/>
      </c>
      <c r="F84" s="125" t="str">
        <f>VLOOKUP(G84,'Swiss Registry'!$A$2:$B$703,2,False)</f>
        <v>witgiz</v>
      </c>
      <c r="G84" s="64">
        <v>588.0</v>
      </c>
      <c r="H84" s="93" t="s">
        <v>3164</v>
      </c>
      <c r="I84" s="141" t="str">
        <f t="array" ref="I84">XLOOKUP(CELL("contents",B84),'Swiss Registry'!$B$2:$B$703,'Swiss Registry'!$N$2:$N$703) </f>
        <v>1266216530601971775</v>
      </c>
      <c r="J84" s="142" t="str">
        <f t="array" ref="J84">XLOOKUP(CELL("contents",F84),'Swiss Registry'!$B$2:$B$703,'Swiss Registry'!$N$2:$N$703) </f>
        <v>745414414429192303</v>
      </c>
    </row>
  </sheetData>
  <mergeCells count="1">
    <mergeCell ref="C1:E1"/>
  </mergeCells>
  <conditionalFormatting sqref="B3:B30 B32:B57 B59:B84">
    <cfRule type="expression" dxfId="5" priority="1">
      <formula>IF(LEFT(H3:H84,1)="A",TRUE,FALSE)</formula>
    </cfRule>
  </conditionalFormatting>
  <conditionalFormatting sqref="F3:F30 I3:J30 F32:F57 I32:J57 F59:F84 I59:J84">
    <cfRule type="expression" dxfId="5" priority="2">
      <formula>IF(LEFT(H3:H84,1)="B",TRUE,FALSE)</formula>
    </cfRule>
  </conditionalFormatting>
  <conditionalFormatting sqref="B3:B30 B32:B57 B59:B84">
    <cfRule type="expression" dxfId="6" priority="3">
      <formula>IF(LEFT(H3:H84,1)="B",TRUE,FALSE)</formula>
    </cfRule>
  </conditionalFormatting>
  <conditionalFormatting sqref="F3:F30 I3:J30 F32:F57 I32:J57 F59:F84 I59:J84">
    <cfRule type="expression" dxfId="6" priority="4">
      <formula>IF(LEFT(H3:H84,1)="A",TRUE,FALSE)</formula>
    </cfRule>
  </conditionalFormatting>
  <conditionalFormatting sqref="B3:B30 B32:B57 B59:B84">
    <cfRule type="expression" dxfId="10" priority="5">
      <formula>COUNTIF(B:F, B3)&gt;1</formula>
    </cfRule>
  </conditionalFormatting>
  <conditionalFormatting sqref="F3:F30 F32:F57 F59:F84">
    <cfRule type="expression" dxfId="10" priority="6">
      <formula>COUNTIF(B:F, F3)&gt;1</formula>
    </cfRule>
  </conditionalFormatting>
  <conditionalFormatting sqref="H84">
    <cfRule type="colorScale" priority="7">
      <colorScale>
        <cfvo type="min"/>
        <cfvo type="max"/>
        <color rgb="FFFFFFFF"/>
        <color rgb="FF57BB8A"/>
      </colorScale>
    </cfRule>
  </conditionalFormatting>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63"/>
    <col customWidth="1" hidden="1" min="9" max="10" width="21.13"/>
  </cols>
  <sheetData>
    <row r="1">
      <c r="A1" s="118"/>
      <c r="B1" s="119" t="s">
        <v>1454</v>
      </c>
      <c r="C1" s="134" t="s">
        <v>3165</v>
      </c>
      <c r="D1" s="77"/>
      <c r="E1" s="78"/>
      <c r="F1" s="120" t="s">
        <v>1454</v>
      </c>
      <c r="G1" s="118"/>
      <c r="H1" s="135" t="s">
        <v>1456</v>
      </c>
      <c r="I1" s="136" t="s">
        <v>1768</v>
      </c>
      <c r="J1" s="137" t="s">
        <v>1769</v>
      </c>
    </row>
    <row r="2" ht="15.0" customHeight="1">
      <c r="A2" s="124"/>
      <c r="B2" s="122"/>
      <c r="C2" s="123"/>
      <c r="D2" s="138" t="s">
        <v>2807</v>
      </c>
      <c r="E2" s="123"/>
      <c r="F2" s="122"/>
      <c r="G2" s="124"/>
      <c r="H2" s="83"/>
      <c r="I2" s="139"/>
      <c r="J2" s="139"/>
    </row>
    <row r="3">
      <c r="A3" s="64">
        <v>157.0</v>
      </c>
      <c r="B3" s="125" t="str">
        <f>VLOOKUP(A3,'Swiss Registry'!$A$2:$B$703,2,False)</f>
        <v>Amir (lordamir &amp; lordamir2)</v>
      </c>
      <c r="C3" s="105" t="str">
        <f t="shared" ref="C3:C19" si="1">IF(H3="dead","",IF(H3="a:act","",IF(H3="b:act","",IF(ISURL(HYPERLINK(INDIRECT("Importer!B"&amp;MID(H3,2,4)+1,TRUE))),HYPERLINK(INDIRECT("Importer!B"&amp;MID(H3,2,4)+1,TRUE), "Game 1"),""))))</f>
        <v>Game 1</v>
      </c>
      <c r="D3" s="106" t="str">
        <f t="shared" ref="D3:D19" si="2">IF(H3="dead","Dead Game",IF(H3="a:act","Act: "&amp;B3,IF(H3="b:act","Act: "&amp;F3,IF(ISURL(HYPERLINK(INDIRECT("Importer!B"&amp;MID(H3,6,4)+1,TRUE))),HYPERLINK(INDIRECT("Importer!B"&amp;MID(H3,6,4)+1,TRUE), "Game 2"),""))))</f>
        <v>Game 2</v>
      </c>
      <c r="E3" s="107" t="str">
        <f t="shared" ref="E3:E19" si="3">IF(H3="dead","",IF(H3="a:act","",IF(H3="b:act","",IF(ISURL(HYPERLINK(INDIRECT("Importer!B"&amp;MID(H3,10,4)+1,TRUE))),HYPERLINK(INDIRECT("Importer!B"&amp;MID(H3,10,4)+1,TRUE), "Game 3"),""))))</f>
        <v/>
      </c>
      <c r="F3" s="125" t="str">
        <f>VLOOKUP(G3,'Swiss Registry'!$A$2:$B$703,2,False)</f>
        <v>earlgr3y</v>
      </c>
      <c r="G3" s="64">
        <v>39.0</v>
      </c>
      <c r="H3" s="93" t="s">
        <v>3166</v>
      </c>
      <c r="I3" s="141" t="str">
        <f t="array" ref="I3">XLOOKUP(CELL("contents",B3),'Swiss Registry'!$B$2:$B$703,'Swiss Registry'!$N$2:$N$703) </f>
        <v>480949875953893376</v>
      </c>
      <c r="J3" s="142" t="str">
        <f t="array" ref="J3">XLOOKUP(CELL("contents",F3),'Swiss Registry'!$B$2:$B$703,'Swiss Registry'!$N$2:$N$703) </f>
        <v>1058405539903713330</v>
      </c>
    </row>
    <row r="4">
      <c r="A4" s="64">
        <v>7.0</v>
      </c>
      <c r="B4" s="125" t="str">
        <f>VLOOKUP(A4,'Swiss Registry'!$A$2:$B$703,2,False)</f>
        <v>jumpy23</v>
      </c>
      <c r="C4" s="105" t="str">
        <f t="shared" si="1"/>
        <v>Game 1</v>
      </c>
      <c r="D4" s="106" t="str">
        <f t="shared" si="2"/>
        <v>Game 2</v>
      </c>
      <c r="E4" s="107" t="str">
        <f t="shared" si="3"/>
        <v/>
      </c>
      <c r="F4" s="125" t="str">
        <f>VLOOKUP(G4,'Swiss Registry'!$A$2:$B$703,2,False)</f>
        <v>Kollin</v>
      </c>
      <c r="G4" s="64">
        <v>9.0</v>
      </c>
      <c r="H4" s="93" t="s">
        <v>3167</v>
      </c>
      <c r="I4" s="141" t="str">
        <f t="array" ref="I4">XLOOKUP(CELL("contents",B4),'Swiss Registry'!$B$2:$B$703,'Swiss Registry'!$N$2:$N$703) </f>
        <v>127527434865082368</v>
      </c>
      <c r="J4" s="142" t="str">
        <f t="array" ref="J4">XLOOKUP(CELL("contents",F4),'Swiss Registry'!$B$2:$B$703,'Swiss Registry'!$N$2:$N$703) </f>
        <v>83000775151714304</v>
      </c>
    </row>
    <row r="5">
      <c r="A5" s="64">
        <v>1.0</v>
      </c>
      <c r="B5" s="125" t="str">
        <f>VLOOKUP(A5,'Swiss Registry'!$A$2:$B$703,2,False)</f>
        <v>Fakes</v>
      </c>
      <c r="C5" s="105" t="str">
        <f t="shared" si="1"/>
        <v>Game 1</v>
      </c>
      <c r="D5" s="106" t="str">
        <f t="shared" si="2"/>
        <v>Game 2</v>
      </c>
      <c r="E5" s="107" t="str">
        <f t="shared" si="3"/>
        <v/>
      </c>
      <c r="F5" s="125" t="str">
        <f>VLOOKUP(G5,'Swiss Registry'!$A$2:$B$703,2,False)</f>
        <v>Alargemongoose</v>
      </c>
      <c r="G5" s="64">
        <v>226.0</v>
      </c>
      <c r="H5" s="93" t="s">
        <v>3168</v>
      </c>
      <c r="I5" s="141" t="str">
        <f t="array" ref="I5">XLOOKUP(CELL("contents",B5),'Swiss Registry'!$B$2:$B$703,'Swiss Registry'!$N$2:$N$703) </f>
        <v>917864414269550693</v>
      </c>
      <c r="J5" s="142" t="str">
        <f t="array" ref="J5">XLOOKUP(CELL("contents",F5),'Swiss Registry'!$B$2:$B$703,'Swiss Registry'!$N$2:$N$703) </f>
        <v>646736314645086228</v>
      </c>
    </row>
    <row r="6">
      <c r="A6" s="64">
        <v>3.0</v>
      </c>
      <c r="B6" s="125" t="str">
        <f>VLOOKUP(A6,'Swiss Registry'!$A$2:$B$703,2,False)</f>
        <v>Triangles</v>
      </c>
      <c r="C6" s="105" t="str">
        <f t="shared" si="1"/>
        <v>Game 1</v>
      </c>
      <c r="D6" s="106" t="str">
        <f t="shared" si="2"/>
        <v>Game 2</v>
      </c>
      <c r="E6" s="110" t="str">
        <f t="shared" si="3"/>
        <v>Game 3</v>
      </c>
      <c r="F6" s="125" t="str">
        <f>VLOOKUP(G6,'Swiss Registry'!$A$2:$B$703,2,False)</f>
        <v>dicerat8</v>
      </c>
      <c r="G6" s="64">
        <v>120.0</v>
      </c>
      <c r="H6" s="93" t="s">
        <v>3169</v>
      </c>
      <c r="I6" s="141" t="str">
        <f t="array" ref="I6">XLOOKUP(CELL("contents",B6),'Swiss Registry'!$B$2:$B$703,'Swiss Registry'!$N$2:$N$703) </f>
        <v>587394354725912717</v>
      </c>
      <c r="J6" s="142" t="str">
        <f t="array" ref="J6">XLOOKUP(CELL("contents",F6),'Swiss Registry'!$B$2:$B$703,'Swiss Registry'!$N$2:$N$703) </f>
        <v>811484330421387285</v>
      </c>
    </row>
    <row r="7">
      <c r="A7" s="64">
        <v>4.0</v>
      </c>
      <c r="B7" s="125" t="str">
        <f>VLOOKUP(A7,'Swiss Registry'!$A$2:$B$703,2,False)</f>
        <v>pkLeech</v>
      </c>
      <c r="C7" s="105" t="str">
        <f t="shared" si="1"/>
        <v>Game 1</v>
      </c>
      <c r="D7" s="106" t="str">
        <f t="shared" si="2"/>
        <v>Game 2</v>
      </c>
      <c r="E7" s="107" t="str">
        <f t="shared" si="3"/>
        <v/>
      </c>
      <c r="F7" s="125" t="str">
        <f>VLOOKUP(G7,'Swiss Registry'!$A$2:$B$703,2,False)</f>
        <v>cepulo</v>
      </c>
      <c r="G7" s="64">
        <v>527.0</v>
      </c>
      <c r="H7" s="93" t="s">
        <v>3170</v>
      </c>
      <c r="I7" s="141" t="str">
        <f t="array" ref="I7">XLOOKUP(CELL("contents",B7),'Swiss Registry'!$B$2:$B$703,'Swiss Registry'!$N$2:$N$703) </f>
        <v>461288985944391708</v>
      </c>
      <c r="J7" s="142" t="str">
        <f t="array" ref="J7">XLOOKUP(CELL("contents",F7),'Swiss Registry'!$B$2:$B$703,'Swiss Registry'!$N$2:$N$703) </f>
        <v>1223051167505059850</v>
      </c>
    </row>
    <row r="8">
      <c r="A8" s="64">
        <v>6.0</v>
      </c>
      <c r="B8" s="125" t="str">
        <f>VLOOKUP(A8,'Swiss Registry'!$A$2:$B$703,2,False)</f>
        <v>Fear</v>
      </c>
      <c r="C8" s="105" t="str">
        <f t="shared" si="1"/>
        <v>Game 1</v>
      </c>
      <c r="D8" s="106" t="str">
        <f t="shared" si="2"/>
        <v>Game 2</v>
      </c>
      <c r="E8" s="110" t="str">
        <f t="shared" si="3"/>
        <v>Game 3</v>
      </c>
      <c r="F8" s="125" t="str">
        <f>VLOOKUP(G8,'Swiss Registry'!$A$2:$B$703,2,False)</f>
        <v>Otto</v>
      </c>
      <c r="G8" s="64">
        <v>95.0</v>
      </c>
      <c r="H8" s="93" t="s">
        <v>3171</v>
      </c>
      <c r="I8" s="141" t="str">
        <f t="array" ref="I8">XLOOKUP(CELL("contents",B8),'Swiss Registry'!$B$2:$B$703,'Swiss Registry'!$N$2:$N$703) </f>
        <v>125981893828149248</v>
      </c>
      <c r="J8" s="142" t="str">
        <f t="array" ref="J8">XLOOKUP(CELL("contents",F8),'Swiss Registry'!$B$2:$B$703,'Swiss Registry'!$N$2:$N$703) </f>
        <v>286683342131298304</v>
      </c>
    </row>
    <row r="9">
      <c r="A9" s="64">
        <v>12.0</v>
      </c>
      <c r="B9" s="125" t="str">
        <f>VLOOKUP(A9,'Swiss Registry'!$A$2:$B$703,2,False)</f>
        <v>Pak</v>
      </c>
      <c r="C9" s="105" t="str">
        <f t="shared" si="1"/>
        <v>Game 1</v>
      </c>
      <c r="D9" s="106" t="str">
        <f t="shared" si="2"/>
        <v>Game 2</v>
      </c>
      <c r="E9" s="110" t="str">
        <f t="shared" si="3"/>
        <v>Game 3</v>
      </c>
      <c r="F9" s="125" t="str">
        <f>VLOOKUP(G9,'Swiss Registry'!$A$2:$B$703,2,False)</f>
        <v>OOF_MAXIMA</v>
      </c>
      <c r="G9" s="64">
        <v>78.0</v>
      </c>
      <c r="H9" s="93" t="s">
        <v>3172</v>
      </c>
      <c r="I9" s="141" t="str">
        <f t="array" ref="I9">XLOOKUP(CELL("contents",B9),'Swiss Registry'!$B$2:$B$703,'Swiss Registry'!$N$2:$N$703) </f>
        <v>172884622986706945</v>
      </c>
      <c r="J9" s="142" t="str">
        <f t="array" ref="J9">XLOOKUP(CELL("contents",F9),'Swiss Registry'!$B$2:$B$703,'Swiss Registry'!$N$2:$N$703) </f>
        <v>400765707467620362</v>
      </c>
    </row>
    <row r="10">
      <c r="A10" s="64">
        <v>16.0</v>
      </c>
      <c r="B10" s="125" t="str">
        <f>VLOOKUP(A10,'Swiss Registry'!$A$2:$B$703,2,False)</f>
        <v>Mielke</v>
      </c>
      <c r="C10" s="105" t="str">
        <f t="shared" si="1"/>
        <v>Game 1</v>
      </c>
      <c r="D10" s="106" t="str">
        <f t="shared" si="2"/>
        <v>Game 2</v>
      </c>
      <c r="E10" s="107" t="str">
        <f t="shared" si="3"/>
        <v/>
      </c>
      <c r="F10" s="125" t="str">
        <f>VLOOKUP(G10,'Swiss Registry'!$A$2:$B$703,2,False)</f>
        <v>Churi</v>
      </c>
      <c r="G10" s="64">
        <v>77.0</v>
      </c>
      <c r="H10" s="93" t="s">
        <v>3173</v>
      </c>
      <c r="I10" s="141" t="str">
        <f t="array" ref="I10">XLOOKUP(CELL("contents",B10),'Swiss Registry'!$B$2:$B$703,'Swiss Registry'!$N$2:$N$703) </f>
        <v>324650949371232257</v>
      </c>
      <c r="J10" s="142" t="str">
        <f t="array" ref="J10">XLOOKUP(CELL("contents",F10),'Swiss Registry'!$B$2:$B$703,'Swiss Registry'!$N$2:$N$703) </f>
        <v>740316248210014380</v>
      </c>
    </row>
    <row r="11">
      <c r="A11" s="64">
        <v>18.0</v>
      </c>
      <c r="B11" s="125" t="str">
        <f>VLOOKUP(A11,'Swiss Registry'!$A$2:$B$703,2,False)</f>
        <v>Pokology</v>
      </c>
      <c r="C11" s="105" t="str">
        <f t="shared" si="1"/>
        <v>Game 1</v>
      </c>
      <c r="D11" s="106" t="str">
        <f t="shared" si="2"/>
        <v>Game 2</v>
      </c>
      <c r="E11" s="107" t="str">
        <f t="shared" si="3"/>
        <v/>
      </c>
      <c r="F11" s="125" t="str">
        <f>VLOOKUP(G11,'Swiss Registry'!$A$2:$B$703,2,False)</f>
        <v>xXEricXx</v>
      </c>
      <c r="G11" s="64">
        <v>74.0</v>
      </c>
      <c r="H11" s="93" t="s">
        <v>3174</v>
      </c>
      <c r="I11" s="141" t="str">
        <f t="array" ref="I11">XLOOKUP(CELL("contents",B11),'Swiss Registry'!$B$2:$B$703,'Swiss Registry'!$N$2:$N$703) </f>
        <v>647891006347542566</v>
      </c>
      <c r="J11" s="142" t="str">
        <f t="array" ref="J11">XLOOKUP(CELL("contents",F11),'Swiss Registry'!$B$2:$B$703,'Swiss Registry'!$N$2:$N$703) </f>
        <v>188804001054064640</v>
      </c>
    </row>
    <row r="12">
      <c r="A12" s="64">
        <v>22.0</v>
      </c>
      <c r="B12" s="125" t="str">
        <f>VLOOKUP(A12,'Swiss Registry'!$A$2:$B$703,2,False)</f>
        <v>laxuy</v>
      </c>
      <c r="C12" s="105" t="str">
        <f t="shared" si="1"/>
        <v>Game 1</v>
      </c>
      <c r="D12" s="106" t="str">
        <f t="shared" si="2"/>
        <v>Game 2</v>
      </c>
      <c r="E12" s="107" t="str">
        <f t="shared" si="3"/>
        <v/>
      </c>
      <c r="F12" s="125" t="str">
        <f>VLOOKUP(G12,'Swiss Registry'!$A$2:$B$703,2,False)</f>
        <v>Alice</v>
      </c>
      <c r="G12" s="64">
        <v>69.0</v>
      </c>
      <c r="H12" s="93" t="s">
        <v>3175</v>
      </c>
      <c r="I12" s="141" t="str">
        <f t="array" ref="I12">XLOOKUP(CELL("contents",B12),'Swiss Registry'!$B$2:$B$703,'Swiss Registry'!$N$2:$N$703) </f>
        <v>162377920117997568</v>
      </c>
      <c r="J12" s="142" t="str">
        <f t="array" ref="J12">XLOOKUP(CELL("contents",F12),'Swiss Registry'!$B$2:$B$703,'Swiss Registry'!$N$2:$N$703) </f>
        <v>236760957034954753</v>
      </c>
    </row>
    <row r="13">
      <c r="A13" s="64">
        <v>25.0</v>
      </c>
      <c r="B13" s="125" t="str">
        <f>VLOOKUP(A13,'Swiss Registry'!$A$2:$B$703,2,False)</f>
        <v>JR</v>
      </c>
      <c r="C13" s="105" t="str">
        <f t="shared" si="1"/>
        <v>Game 1</v>
      </c>
      <c r="D13" s="106" t="str">
        <f t="shared" si="2"/>
        <v>Game 2</v>
      </c>
      <c r="E13" s="110" t="str">
        <f t="shared" si="3"/>
        <v>Game 3</v>
      </c>
      <c r="F13" s="125" t="str">
        <f>VLOOKUP(G13,'Swiss Registry'!$A$2:$B$703,2,False)</f>
        <v>Zpanther</v>
      </c>
      <c r="G13" s="64">
        <v>61.0</v>
      </c>
      <c r="H13" s="93" t="s">
        <v>3176</v>
      </c>
      <c r="I13" s="141" t="str">
        <f t="array" ref="I13">XLOOKUP(CELL("contents",B13),'Swiss Registry'!$B$2:$B$703,'Swiss Registry'!$N$2:$N$703) </f>
        <v>319563636483817472</v>
      </c>
      <c r="J13" s="142" t="str">
        <f t="array" ref="J13">XLOOKUP(CELL("contents",F13),'Swiss Registry'!$B$2:$B$703,'Swiss Registry'!$N$2:$N$703) </f>
        <v>884609024937574432</v>
      </c>
    </row>
    <row r="14">
      <c r="A14" s="64">
        <v>45.0</v>
      </c>
      <c r="B14" s="125" t="str">
        <f>VLOOKUP(A14,'Swiss Registry'!$A$2:$B$703,2,False)</f>
        <v>DeezCastforms</v>
      </c>
      <c r="C14" s="105" t="str">
        <f t="shared" si="1"/>
        <v>Game 1</v>
      </c>
      <c r="D14" s="106" t="str">
        <f t="shared" si="2"/>
        <v>Game 2</v>
      </c>
      <c r="E14" s="107" t="str">
        <f t="shared" si="3"/>
        <v/>
      </c>
      <c r="F14" s="125" t="str">
        <f>VLOOKUP(G14,'Swiss Registry'!$A$2:$B$703,2,False)</f>
        <v>Bhol</v>
      </c>
      <c r="G14" s="64">
        <v>49.0</v>
      </c>
      <c r="H14" s="93" t="s">
        <v>3177</v>
      </c>
      <c r="I14" s="141" t="str">
        <f t="array" ref="I14">XLOOKUP(CELL("contents",B14),'Swiss Registry'!$B$2:$B$703,'Swiss Registry'!$N$2:$N$703) </f>
        <v>358052192915292161</v>
      </c>
      <c r="J14" s="142" t="str">
        <f t="array" ref="J14">XLOOKUP(CELL("contents",F14),'Swiss Registry'!$B$2:$B$703,'Swiss Registry'!$N$2:$N$703) </f>
        <v>708350647879335966</v>
      </c>
    </row>
    <row r="15">
      <c r="A15" s="64">
        <v>5.0</v>
      </c>
      <c r="B15" s="125" t="str">
        <f>VLOOKUP(A15,'Swiss Registry'!$A$2:$B$703,2,False)</f>
        <v>Caloom</v>
      </c>
      <c r="C15" s="105" t="str">
        <f t="shared" si="1"/>
        <v>Game 1</v>
      </c>
      <c r="D15" s="106" t="str">
        <f t="shared" si="2"/>
        <v>Game 2</v>
      </c>
      <c r="E15" s="110" t="str">
        <f t="shared" si="3"/>
        <v>Game 3</v>
      </c>
      <c r="F15" s="125" t="str">
        <f>VLOOKUP(G15,'Swiss Registry'!$A$2:$B$703,2,False)</f>
        <v>dragonsareoptimal</v>
      </c>
      <c r="G15" s="64">
        <v>222.0</v>
      </c>
      <c r="H15" s="93" t="s">
        <v>3178</v>
      </c>
      <c r="I15" s="141" t="str">
        <f t="array" ref="I15">XLOOKUP(CELL("contents",B15),'Swiss Registry'!$B$2:$B$703,'Swiss Registry'!$N$2:$N$703) </f>
        <v>428981810811109386</v>
      </c>
      <c r="J15" s="142" t="str">
        <f t="array" ref="J15">XLOOKUP(CELL("contents",F15),'Swiss Registry'!$B$2:$B$703,'Swiss Registry'!$N$2:$N$703) </f>
        <v>168945056303022081</v>
      </c>
    </row>
    <row r="16">
      <c r="A16" s="64">
        <v>10.0</v>
      </c>
      <c r="B16" s="125" t="str">
        <f>VLOOKUP(A16,'Swiss Registry'!$A$2:$B$703,2,False)</f>
        <v>Cyberodin</v>
      </c>
      <c r="C16" s="105" t="str">
        <f t="shared" si="1"/>
        <v>Game 1</v>
      </c>
      <c r="D16" s="106" t="str">
        <f t="shared" si="2"/>
        <v>Game 2</v>
      </c>
      <c r="E16" s="110" t="str">
        <f t="shared" si="3"/>
        <v>Game 3</v>
      </c>
      <c r="F16" s="125" t="str">
        <f>VLOOKUP(G16,'Swiss Registry'!$A$2:$B$703,2,False)</f>
        <v>denizs8</v>
      </c>
      <c r="G16" s="64">
        <v>555.0</v>
      </c>
      <c r="H16" s="93" t="s">
        <v>3179</v>
      </c>
      <c r="I16" s="141" t="str">
        <f t="array" ref="I16">XLOOKUP(CELL("contents",B16),'Swiss Registry'!$B$2:$B$703,'Swiss Registry'!$N$2:$N$703) </f>
        <v>259426043285340160</v>
      </c>
      <c r="J16" s="142" t="str">
        <f t="array" ref="J16">XLOOKUP(CELL("contents",F16),'Swiss Registry'!$B$2:$B$703,'Swiss Registry'!$N$2:$N$703) </f>
        <v>188407578202472448</v>
      </c>
    </row>
    <row r="17">
      <c r="A17" s="64">
        <v>11.0</v>
      </c>
      <c r="B17" s="125" t="str">
        <f>VLOOKUP(A17,'Swiss Registry'!$A$2:$B$703,2,False)</f>
        <v>Blues</v>
      </c>
      <c r="C17" s="105" t="str">
        <f t="shared" si="1"/>
        <v>Game 1</v>
      </c>
      <c r="D17" s="106" t="str">
        <f t="shared" si="2"/>
        <v>Game 2</v>
      </c>
      <c r="E17" s="110" t="str">
        <f t="shared" si="3"/>
        <v>Game 3</v>
      </c>
      <c r="F17" s="125" t="str">
        <f>VLOOKUP(G17,'Swiss Registry'!$A$2:$B$703,2,False)</f>
        <v>@spreek</v>
      </c>
      <c r="G17" s="64">
        <v>640.0</v>
      </c>
      <c r="H17" s="93" t="s">
        <v>3180</v>
      </c>
      <c r="I17" s="141" t="str">
        <f t="array" ref="I17">XLOOKUP(CELL("contents",B17),'Swiss Registry'!$B$2:$B$703,'Swiss Registry'!$N$2:$N$703) </f>
        <v>687987394292482066</v>
      </c>
      <c r="J17" s="142" t="str">
        <f t="array" ref="J17">XLOOKUP(CELL("contents",F17),'Swiss Registry'!$B$2:$B$703,'Swiss Registry'!$N$2:$N$703) </f>
        <v>136272881666621440</v>
      </c>
    </row>
    <row r="18">
      <c r="A18" s="64">
        <v>13.0</v>
      </c>
      <c r="B18" s="125" t="str">
        <f>VLOOKUP(A18,'Swiss Registry'!$A$2:$B$703,2,False)</f>
        <v>River</v>
      </c>
      <c r="C18" s="105" t="str">
        <f t="shared" si="1"/>
        <v>Game 1</v>
      </c>
      <c r="D18" s="106" t="str">
        <f t="shared" si="2"/>
        <v>Game 2</v>
      </c>
      <c r="E18" s="110" t="str">
        <f t="shared" si="3"/>
        <v>Game 3</v>
      </c>
      <c r="F18" s="125" t="str">
        <f>VLOOKUP(G18,'Swiss Registry'!$A$2:$B$703,2,False)</f>
        <v>Sificon</v>
      </c>
      <c r="G18" s="64">
        <v>471.0</v>
      </c>
      <c r="H18" s="93" t="s">
        <v>3181</v>
      </c>
      <c r="I18" s="141" t="str">
        <f t="array" ref="I18">XLOOKUP(CELL("contents",B18),'Swiss Registry'!$B$2:$B$703,'Swiss Registry'!$N$2:$N$703) </f>
        <v>543280883000541224</v>
      </c>
      <c r="J18" s="142" t="str">
        <f t="array" ref="J18">XLOOKUP(CELL("contents",F18),'Swiss Registry'!$B$2:$B$703,'Swiss Registry'!$N$2:$N$703) </f>
        <v>363775331292676097</v>
      </c>
    </row>
    <row r="19">
      <c r="A19" s="64">
        <v>14.0</v>
      </c>
      <c r="B19" s="125" t="str">
        <f>VLOOKUP(A19,'Swiss Registry'!$A$2:$B$703,2,False)</f>
        <v>Voyager</v>
      </c>
      <c r="C19" s="105" t="str">
        <f t="shared" si="1"/>
        <v>Game 1</v>
      </c>
      <c r="D19" s="106" t="str">
        <f t="shared" si="2"/>
        <v>Game 2</v>
      </c>
      <c r="E19" s="110" t="str">
        <f t="shared" si="3"/>
        <v>Game 3</v>
      </c>
      <c r="F19" s="125" t="str">
        <f>VLOOKUP(G19,'Swiss Registry'!$A$2:$B$703,2,False)</f>
        <v>depressioncherry_66209</v>
      </c>
      <c r="G19" s="64">
        <v>185.0</v>
      </c>
      <c r="H19" s="150" t="s">
        <v>3182</v>
      </c>
      <c r="I19" s="141" t="str">
        <f t="array" ref="I19">XLOOKUP(CELL("contents",B19),'Swiss Registry'!$B$2:$B$703,'Swiss Registry'!$N$2:$N$703) </f>
        <v>554730792488534056</v>
      </c>
      <c r="J19" s="142" t="str">
        <f t="array" ref="J19">XLOOKUP(CELL("contents",F19),'Swiss Registry'!$B$2:$B$703,'Swiss Registry'!$N$2:$N$703) </f>
        <v>1223996337217863761</v>
      </c>
    </row>
    <row r="20" ht="15.0" customHeight="1">
      <c r="A20" s="124"/>
      <c r="B20" s="122"/>
      <c r="C20" s="123"/>
      <c r="D20" s="138" t="s">
        <v>1492</v>
      </c>
      <c r="E20" s="123"/>
      <c r="F20" s="122"/>
      <c r="G20" s="124"/>
      <c r="H20" s="83"/>
      <c r="I20" s="139"/>
      <c r="J20" s="139"/>
    </row>
    <row r="21">
      <c r="A21" s="64">
        <v>19.0</v>
      </c>
      <c r="B21" s="125" t="str">
        <f>VLOOKUP(A21,'Swiss Registry'!$A$2:$B$703,2,False)</f>
        <v>void</v>
      </c>
      <c r="C21" s="105" t="str">
        <f t="shared" ref="C21:C37" si="4">IF(H21="dead","",IF(H21="a:act","",IF(H21="b:act","",IF(ISURL(HYPERLINK(INDIRECT("Importer!B"&amp;MID(H21,2,4)+1,TRUE))),HYPERLINK(INDIRECT("Importer!B"&amp;MID(H21,2,4)+1,TRUE), "Game 1"),""))))</f>
        <v>Game 1</v>
      </c>
      <c r="D21" s="106" t="str">
        <f t="shared" ref="D21:D37" si="5">IF(H21="dead","Dead Game",IF(H21="a:act","Act: "&amp;B21,IF(H21="b:act","Act: "&amp;F21,IF(ISURL(HYPERLINK(INDIRECT("Importer!B"&amp;MID(H21,6,4)+1,TRUE))),HYPERLINK(INDIRECT("Importer!B"&amp;MID(H21,6,4)+1,TRUE), "Game 2"),""))))</f>
        <v>Game 2</v>
      </c>
      <c r="E21" s="107" t="str">
        <f t="shared" ref="E21:E37" si="6">IF(H21="dead","",IF(H21="a:act","",IF(H21="b:act","",IF(ISURL(HYPERLINK(INDIRECT("Importer!B"&amp;MID(H21,10,4)+1,TRUE))),HYPERLINK(INDIRECT("Importer!B"&amp;MID(H21,10,4)+1,TRUE), "Game 3"),""))))</f>
        <v/>
      </c>
      <c r="F21" s="125" t="str">
        <f>VLOOKUP(G21,'Swiss Registry'!$A$2:$B$703,2,False)</f>
        <v>mintyerb</v>
      </c>
      <c r="G21" s="64">
        <v>568.0</v>
      </c>
      <c r="H21" s="93" t="s">
        <v>3183</v>
      </c>
      <c r="I21" s="141" t="str">
        <f t="array" ref="I21">XLOOKUP(CELL("contents",B21),'Swiss Registry'!$B$2:$B$703,'Swiss Registry'!$N$2:$N$703) </f>
        <v>153249462641229824</v>
      </c>
      <c r="J21" s="142" t="str">
        <f t="array" ref="J21">XLOOKUP(CELL("contents",F21),'Swiss Registry'!$B$2:$B$703,'Swiss Registry'!$N$2:$N$703) </f>
        <v>411341688288575500</v>
      </c>
    </row>
    <row r="22">
      <c r="A22" s="64">
        <v>21.0</v>
      </c>
      <c r="B22" s="125" t="str">
        <f>VLOOKUP(A22,'Swiss Registry'!$A$2:$B$703,2,False)</f>
        <v>Adam</v>
      </c>
      <c r="C22" s="105" t="str">
        <f t="shared" si="4"/>
        <v>Game 1</v>
      </c>
      <c r="D22" s="106" t="str">
        <f t="shared" si="5"/>
        <v>Game 2</v>
      </c>
      <c r="E22" s="107" t="str">
        <f t="shared" si="6"/>
        <v/>
      </c>
      <c r="F22" s="125" t="str">
        <f>VLOOKUP(G22,'Swiss Registry'!$A$2:$B$703,2,False)</f>
        <v>dustyfans</v>
      </c>
      <c r="G22" s="64">
        <v>630.0</v>
      </c>
      <c r="H22" s="93" t="s">
        <v>3184</v>
      </c>
      <c r="I22" s="141" t="str">
        <f t="array" ref="I22">XLOOKUP(CELL("contents",B22),'Swiss Registry'!$B$2:$B$703,'Swiss Registry'!$N$2:$N$703) </f>
        <v>714861229935689862</v>
      </c>
      <c r="J22" s="142" t="str">
        <f t="array" ref="J22">XLOOKUP(CELL("contents",F22),'Swiss Registry'!$B$2:$B$703,'Swiss Registry'!$N$2:$N$703) </f>
        <v>325004772493230092</v>
      </c>
    </row>
    <row r="23">
      <c r="A23" s="64">
        <v>23.0</v>
      </c>
      <c r="B23" s="125" t="str">
        <f>VLOOKUP(A23,'Swiss Registry'!$A$2:$B$703,2,False)</f>
        <v>udm31</v>
      </c>
      <c r="C23" s="105" t="str">
        <f t="shared" si="4"/>
        <v>Game 1</v>
      </c>
      <c r="D23" s="106" t="str">
        <f t="shared" si="5"/>
        <v>Game 2</v>
      </c>
      <c r="E23" s="107" t="str">
        <f t="shared" si="6"/>
        <v/>
      </c>
      <c r="F23" s="125" t="str">
        <f>VLOOKUP(G23,'Swiss Registry'!$A$2:$B$703,2,False)</f>
        <v>.GeneralRevan</v>
      </c>
      <c r="G23" s="64">
        <v>238.0</v>
      </c>
      <c r="H23" s="93" t="s">
        <v>3185</v>
      </c>
      <c r="I23" s="141" t="str">
        <f t="array" ref="I23">XLOOKUP(CELL("contents",B23),'Swiss Registry'!$B$2:$B$703,'Swiss Registry'!$N$2:$N$703) </f>
        <v>892364236523708427</v>
      </c>
      <c r="J23" s="142" t="str">
        <f t="array" ref="J23">XLOOKUP(CELL("contents",F23),'Swiss Registry'!$B$2:$B$703,'Swiss Registry'!$N$2:$N$703) </f>
        <v>306988395660443648</v>
      </c>
    </row>
    <row r="24">
      <c r="A24" s="64">
        <v>26.0</v>
      </c>
      <c r="B24" s="125" t="str">
        <f>VLOOKUP(A24,'Swiss Registry'!$A$2:$B$703,2,False)</f>
        <v>keepingiticy</v>
      </c>
      <c r="C24" s="105" t="str">
        <f t="shared" si="4"/>
        <v>Game 1</v>
      </c>
      <c r="D24" s="106" t="str">
        <f t="shared" si="5"/>
        <v>Game 2</v>
      </c>
      <c r="E24" s="107" t="str">
        <f t="shared" si="6"/>
        <v/>
      </c>
      <c r="F24" s="125" t="str">
        <f>VLOOKUP(G24,'Swiss Registry'!$A$2:$B$703,2,False)</f>
        <v>samjamslam</v>
      </c>
      <c r="G24" s="64">
        <v>207.0</v>
      </c>
      <c r="H24" s="93" t="s">
        <v>3186</v>
      </c>
      <c r="I24" s="141" t="str">
        <f t="array" ref="I24">XLOOKUP(CELL("contents",B24),'Swiss Registry'!$B$2:$B$703,'Swiss Registry'!$N$2:$N$703) </f>
        <v>174532509701373952</v>
      </c>
      <c r="J24" s="142" t="str">
        <f t="array" ref="J24">XLOOKUP(CELL("contents",F24),'Swiss Registry'!$B$2:$B$703,'Swiss Registry'!$N$2:$N$703) </f>
        <v>589902999342546965</v>
      </c>
    </row>
    <row r="25">
      <c r="A25" s="64">
        <v>27.0</v>
      </c>
      <c r="B25" s="125" t="str">
        <f>VLOOKUP(A25,'Swiss Registry'!$A$2:$B$703,2,False)</f>
        <v>Sheik</v>
      </c>
      <c r="C25" s="105" t="str">
        <f t="shared" si="4"/>
        <v>Game 1</v>
      </c>
      <c r="D25" s="106" t="str">
        <f t="shared" si="5"/>
        <v>Game 2</v>
      </c>
      <c r="E25" s="110" t="str">
        <f t="shared" si="6"/>
        <v>Game 3</v>
      </c>
      <c r="F25" s="125" t="str">
        <f>VLOOKUP(G25,'Swiss Registry'!$A$2:$B$703,2,False)</f>
        <v>bydy2</v>
      </c>
      <c r="G25" s="64">
        <v>679.0</v>
      </c>
      <c r="H25" s="93" t="s">
        <v>3187</v>
      </c>
      <c r="I25" s="141" t="str">
        <f t="array" ref="I25">XLOOKUP(CELL("contents",B25),'Swiss Registry'!$B$2:$B$703,'Swiss Registry'!$N$2:$N$703) </f>
        <v>700432987858403420</v>
      </c>
      <c r="J25" s="142" t="str">
        <f t="array" ref="J25">XLOOKUP(CELL("contents",F25),'Swiss Registry'!$B$2:$B$703,'Swiss Registry'!$N$2:$N$703) </f>
        <v>245276997687836672</v>
      </c>
    </row>
    <row r="26">
      <c r="A26" s="64">
        <v>28.0</v>
      </c>
      <c r="B26" s="125" t="str">
        <f>VLOOKUP(A26,'Swiss Registry'!$A$2:$B$703,2,False)</f>
        <v>Typhoon Carter</v>
      </c>
      <c r="C26" s="105" t="str">
        <f t="shared" si="4"/>
        <v>Game 1</v>
      </c>
      <c r="D26" s="106" t="str">
        <f t="shared" si="5"/>
        <v>Game 2</v>
      </c>
      <c r="E26" s="110" t="str">
        <f t="shared" si="6"/>
        <v>Game 3</v>
      </c>
      <c r="F26" s="125" t="str">
        <f>VLOOKUP(G26,'Swiss Registry'!$A$2:$B$703,2,False)</f>
        <v>owlman7507</v>
      </c>
      <c r="G26" s="64">
        <v>487.0</v>
      </c>
      <c r="H26" s="93" t="s">
        <v>3188</v>
      </c>
      <c r="I26" s="141" t="str">
        <f t="array" ref="I26">XLOOKUP(CELL("contents",B26),'Swiss Registry'!$B$2:$B$703,'Swiss Registry'!$N$2:$N$703) </f>
        <v>313800288647774211</v>
      </c>
      <c r="J26" s="142" t="str">
        <f t="array" ref="J26">XLOOKUP(CELL("contents",F26),'Swiss Registry'!$B$2:$B$703,'Swiss Registry'!$N$2:$N$703) </f>
        <v>684894520751816770</v>
      </c>
    </row>
    <row r="27">
      <c r="A27" s="64">
        <v>29.0</v>
      </c>
      <c r="B27" s="125">
        <f>VLOOKUP(A27,'Swiss Registry'!$A$2:$B$703,2,False)</f>
        <v>48</v>
      </c>
      <c r="C27" s="105" t="str">
        <f t="shared" si="4"/>
        <v>Game 1</v>
      </c>
      <c r="D27" s="106" t="str">
        <f t="shared" si="5"/>
        <v>Game 2</v>
      </c>
      <c r="E27" s="107" t="str">
        <f t="shared" si="6"/>
        <v/>
      </c>
      <c r="F27" s="125" t="str">
        <f>VLOOKUP(G27,'Swiss Registry'!$A$2:$B$703,2,False)</f>
        <v>Cream314</v>
      </c>
      <c r="G27" s="64">
        <v>557.0</v>
      </c>
      <c r="H27" s="93" t="s">
        <v>3189</v>
      </c>
      <c r="I27" s="141" t="str">
        <f t="array" ref="I27">XLOOKUP(CELL("contents",B27),'Swiss Registry'!$B$2:$B$703,'Swiss Registry'!$N$2:$N$703) </f>
        <v>247063915790336004</v>
      </c>
      <c r="J27" s="142" t="str">
        <f t="array" ref="J27">XLOOKUP(CELL("contents",F27),'Swiss Registry'!$B$2:$B$703,'Swiss Registry'!$N$2:$N$703) </f>
        <v>272909263205040140</v>
      </c>
    </row>
    <row r="28">
      <c r="A28" s="64">
        <v>30.0</v>
      </c>
      <c r="B28" s="125" t="str">
        <f>VLOOKUP(A28,'Swiss Registry'!$A$2:$B$703,2,False)</f>
        <v>eliandiditagain</v>
      </c>
      <c r="C28" s="105" t="str">
        <f t="shared" si="4"/>
        <v>Game 1</v>
      </c>
      <c r="D28" s="106" t="str">
        <f t="shared" si="5"/>
        <v>Game 2</v>
      </c>
      <c r="E28" s="107" t="str">
        <f t="shared" si="6"/>
        <v/>
      </c>
      <c r="F28" s="125" t="str">
        <f>VLOOKUP(G28,'Swiss Registry'!$A$2:$B$703,2,False)</f>
        <v>scootymcbooty123</v>
      </c>
      <c r="G28" s="64">
        <v>535.0</v>
      </c>
      <c r="H28" s="93" t="s">
        <v>3190</v>
      </c>
      <c r="I28" s="141" t="str">
        <f t="array" ref="I28">XLOOKUP(CELL("contents",B28),'Swiss Registry'!$B$2:$B$703,'Swiss Registry'!$N$2:$N$703) </f>
        <v>268922335946342400</v>
      </c>
      <c r="J28" s="142" t="str">
        <f t="array" ref="J28">XLOOKUP(CELL("contents",F28),'Swiss Registry'!$B$2:$B$703,'Swiss Registry'!$N$2:$N$703) </f>
        <v>1016157273816584242</v>
      </c>
    </row>
    <row r="29">
      <c r="A29" s="64">
        <v>32.0</v>
      </c>
      <c r="B29" s="125" t="str">
        <f>VLOOKUP(A29,'Swiss Registry'!$A$2:$B$703,2,False)</f>
        <v>Johnald</v>
      </c>
      <c r="C29" s="105" t="str">
        <f t="shared" si="4"/>
        <v>Game 1</v>
      </c>
      <c r="D29" s="106" t="str">
        <f t="shared" si="5"/>
        <v>Game 2</v>
      </c>
      <c r="E29" s="110" t="str">
        <f t="shared" si="6"/>
        <v>Game 3</v>
      </c>
      <c r="F29" s="125" t="str">
        <f>VLOOKUP(G29,'Swiss Registry'!$A$2:$B$703,2,False)</f>
        <v>monchooo</v>
      </c>
      <c r="G29" s="64">
        <v>269.0</v>
      </c>
      <c r="H29" s="93" t="s">
        <v>3191</v>
      </c>
      <c r="I29" s="141" t="str">
        <f t="array" ref="I29">XLOOKUP(CELL("contents",B29),'Swiss Registry'!$B$2:$B$703,'Swiss Registry'!$N$2:$N$703) </f>
        <v>196328307241910272</v>
      </c>
      <c r="J29" s="142" t="str">
        <f t="array" ref="J29">XLOOKUP(CELL("contents",F29),'Swiss Registry'!$B$2:$B$703,'Swiss Registry'!$N$2:$N$703) </f>
        <v>202168691893207041</v>
      </c>
    </row>
    <row r="30">
      <c r="A30" s="64">
        <v>34.0</v>
      </c>
      <c r="B30" s="125" t="str">
        <f>VLOOKUP(A30,'Swiss Registry'!$A$2:$B$703,2,False)</f>
        <v>D3stiny</v>
      </c>
      <c r="C30" s="105" t="str">
        <f t="shared" si="4"/>
        <v>Game 1</v>
      </c>
      <c r="D30" s="106" t="str">
        <f t="shared" si="5"/>
        <v>Game 2</v>
      </c>
      <c r="E30" s="107" t="str">
        <f t="shared" si="6"/>
        <v/>
      </c>
      <c r="F30" s="125" t="str">
        <f>VLOOKUP(G30,'Swiss Registry'!$A$2:$B$703,2,False)</f>
        <v>secondari</v>
      </c>
      <c r="G30" s="64">
        <v>325.0</v>
      </c>
      <c r="H30" s="93" t="s">
        <v>3192</v>
      </c>
      <c r="I30" s="141" t="str">
        <f t="array" ref="I30">XLOOKUP(CELL("contents",B30),'Swiss Registry'!$B$2:$B$703,'Swiss Registry'!$N$2:$N$703) </f>
        <v>836748504621252618</v>
      </c>
      <c r="J30" s="142" t="str">
        <f t="array" ref="J30">XLOOKUP(CELL("contents",F30),'Swiss Registry'!$B$2:$B$703,'Swiss Registry'!$N$2:$N$703) </f>
        <v>77493060862214144</v>
      </c>
    </row>
    <row r="31" ht="15.0" customHeight="1">
      <c r="A31" s="64">
        <v>35.0</v>
      </c>
      <c r="B31" s="125" t="str">
        <f>VLOOKUP(A31,'Swiss Registry'!$A$2:$B$703,2,False)</f>
        <v>Zacpz</v>
      </c>
      <c r="C31" s="105" t="str">
        <f t="shared" si="4"/>
        <v>Game 1</v>
      </c>
      <c r="D31" s="106" t="str">
        <f t="shared" si="5"/>
        <v>Game 2</v>
      </c>
      <c r="E31" s="110" t="str">
        <f t="shared" si="6"/>
        <v>Game 3</v>
      </c>
      <c r="F31" s="125" t="str">
        <f>VLOOKUP(G31,'Swiss Registry'!$A$2:$B$703,2,False)</f>
        <v>pac_rojo</v>
      </c>
      <c r="G31" s="64">
        <v>331.0</v>
      </c>
      <c r="H31" s="93" t="s">
        <v>3193</v>
      </c>
      <c r="I31" s="141" t="str">
        <f t="array" ref="I31">XLOOKUP(CELL("contents",B31),'Swiss Registry'!$B$2:$B$703,'Swiss Registry'!$N$2:$N$703) </f>
        <v>719547987277119638</v>
      </c>
      <c r="J31" s="142" t="str">
        <f t="array" ref="J31">XLOOKUP(CELL("contents",F31),'Swiss Registry'!$B$2:$B$703,'Swiss Registry'!$N$2:$N$703) </f>
        <v>658992933772591105</v>
      </c>
    </row>
    <row r="32">
      <c r="A32" s="64">
        <v>36.0</v>
      </c>
      <c r="B32" s="125" t="str">
        <f>VLOOKUP(A32,'Swiss Registry'!$A$2:$B$703,2,False)</f>
        <v>Segale</v>
      </c>
      <c r="C32" s="105" t="str">
        <f t="shared" si="4"/>
        <v>Game 1</v>
      </c>
      <c r="D32" s="106" t="str">
        <f t="shared" si="5"/>
        <v>Game 2</v>
      </c>
      <c r="E32" s="107" t="str">
        <f t="shared" si="6"/>
        <v/>
      </c>
      <c r="F32" s="125" t="str">
        <f>VLOOKUP(G32,'Swiss Registry'!$A$2:$B$703,2,False)</f>
        <v>choicescarf002</v>
      </c>
      <c r="G32" s="64">
        <v>504.0</v>
      </c>
      <c r="H32" s="93" t="s">
        <v>3194</v>
      </c>
      <c r="I32" s="141" t="str">
        <f t="array" ref="I32">XLOOKUP(CELL("contents",B32),'Swiss Registry'!$B$2:$B$703,'Swiss Registry'!$N$2:$N$703) </f>
        <v>1059548623416856608</v>
      </c>
      <c r="J32" s="142" t="str">
        <f t="array" ref="J32">XLOOKUP(CELL("contents",F32),'Swiss Registry'!$B$2:$B$703,'Swiss Registry'!$N$2:$N$703) </f>
        <v>359154373063999490</v>
      </c>
    </row>
    <row r="33">
      <c r="A33" s="64">
        <v>42.0</v>
      </c>
      <c r="B33" s="125" t="str">
        <f>VLOOKUP(A33,'Swiss Registry'!$A$2:$B$703,2,False)</f>
        <v>ThisGuyMuks</v>
      </c>
      <c r="C33" s="105" t="str">
        <f t="shared" si="4"/>
        <v>Game 1</v>
      </c>
      <c r="D33" s="106" t="str">
        <f t="shared" si="5"/>
        <v>Game 2</v>
      </c>
      <c r="E33" s="107" t="str">
        <f t="shared" si="6"/>
        <v/>
      </c>
      <c r="F33" s="125" t="str">
        <f>VLOOKUP(G33,'Swiss Registry'!$A$2:$B$703,2,False)</f>
        <v>Stockings</v>
      </c>
      <c r="G33" s="64">
        <v>145.0</v>
      </c>
      <c r="H33" s="93" t="s">
        <v>3195</v>
      </c>
      <c r="I33" s="141" t="str">
        <f t="array" ref="I33">XLOOKUP(CELL("contents",B33),'Swiss Registry'!$B$2:$B$703,'Swiss Registry'!$N$2:$N$703) </f>
        <v>397627331637805056</v>
      </c>
      <c r="J33" s="142" t="str">
        <f t="array" ref="J33">XLOOKUP(CELL("contents",F33),'Swiss Registry'!$B$2:$B$703,'Swiss Registry'!$N$2:$N$703) </f>
        <v>163080133283020800</v>
      </c>
    </row>
    <row r="34">
      <c r="A34" s="64">
        <v>43.0</v>
      </c>
      <c r="B34" s="125" t="str">
        <f>VLOOKUP(A34,'Swiss Registry'!$A$2:$B$703,2,False)</f>
        <v>Christos</v>
      </c>
      <c r="C34" s="105" t="str">
        <f t="shared" si="4"/>
        <v>Game 1</v>
      </c>
      <c r="D34" s="106" t="str">
        <f t="shared" si="5"/>
        <v>Game 2</v>
      </c>
      <c r="E34" s="107" t="str">
        <f t="shared" si="6"/>
        <v/>
      </c>
      <c r="F34" s="125" t="str">
        <f>VLOOKUP(G34,'Swiss Registry'!$A$2:$B$703,2,False)</f>
        <v>xho_xho_</v>
      </c>
      <c r="G34" s="64">
        <v>550.0</v>
      </c>
      <c r="H34" s="93" t="s">
        <v>3196</v>
      </c>
      <c r="I34" s="141" t="str">
        <f t="array" ref="I34">XLOOKUP(CELL("contents",B34),'Swiss Registry'!$B$2:$B$703,'Swiss Registry'!$N$2:$N$703) </f>
        <v>202869299113623563</v>
      </c>
      <c r="J34" s="142" t="str">
        <f t="array" ref="J34">XLOOKUP(CELL("contents",F34),'Swiss Registry'!$B$2:$B$703,'Swiss Registry'!$N$2:$N$703) </f>
        <v>1026473914269978624</v>
      </c>
    </row>
    <row r="35">
      <c r="A35" s="64">
        <v>46.0</v>
      </c>
      <c r="B35" s="125" t="str">
        <f>VLOOKUP(A35,'Swiss Registry'!$A$2:$B$703,2,False)</f>
        <v>Zelph</v>
      </c>
      <c r="C35" s="111" t="str">
        <f t="shared" si="4"/>
        <v/>
      </c>
      <c r="D35" s="112" t="str">
        <f t="shared" si="5"/>
        <v>Act: Zelph</v>
      </c>
      <c r="E35" s="107" t="str">
        <f t="shared" si="6"/>
        <v/>
      </c>
      <c r="F35" s="125" t="str">
        <f>VLOOKUP(G35,'Swiss Registry'!$A$2:$B$703,2,False)</f>
        <v>ccgeek_</v>
      </c>
      <c r="G35" s="64">
        <v>206.0</v>
      </c>
      <c r="H35" s="93" t="s">
        <v>1486</v>
      </c>
      <c r="I35" s="141" t="str">
        <f t="array" ref="I35">XLOOKUP(CELL("contents",B35),'Swiss Registry'!$B$2:$B$703,'Swiss Registry'!$N$2:$N$703) </f>
        <v>895466276191862855</v>
      </c>
      <c r="J35" s="142" t="str">
        <f t="array" ref="J35">XLOOKUP(CELL("contents",F35),'Swiss Registry'!$B$2:$B$703,'Swiss Registry'!$N$2:$N$703) </f>
        <v>861286170708279336</v>
      </c>
    </row>
    <row r="36">
      <c r="A36" s="64">
        <v>47.0</v>
      </c>
      <c r="B36" s="125" t="str">
        <f>VLOOKUP(A36,'Swiss Registry'!$A$2:$B$703,2,False)</f>
        <v>Figull400</v>
      </c>
      <c r="C36" s="105" t="str">
        <f t="shared" si="4"/>
        <v>Game 1</v>
      </c>
      <c r="D36" s="106" t="str">
        <f t="shared" si="5"/>
        <v>Game 2</v>
      </c>
      <c r="E36" s="107" t="str">
        <f t="shared" si="6"/>
        <v/>
      </c>
      <c r="F36" s="125" t="str">
        <f>VLOOKUP(G36,'Swiss Registry'!$A$2:$B$703,2,False)</f>
        <v>Mintyfresh756</v>
      </c>
      <c r="G36" s="64">
        <v>563.0</v>
      </c>
      <c r="H36" s="93" t="s">
        <v>3197</v>
      </c>
      <c r="I36" s="141" t="str">
        <f t="array" ref="I36">XLOOKUP(CELL("contents",B36),'Swiss Registry'!$B$2:$B$703,'Swiss Registry'!$N$2:$N$703) </f>
        <v>758667386822983680</v>
      </c>
      <c r="J36" s="142" t="str">
        <f t="array" ref="J36">XLOOKUP(CELL("contents",F36),'Swiss Registry'!$B$2:$B$703,'Swiss Registry'!$N$2:$N$703) </f>
        <v>229365099960336384</v>
      </c>
    </row>
    <row r="37">
      <c r="A37" s="64">
        <v>48.0</v>
      </c>
      <c r="B37" s="125" t="str">
        <f>VLOOKUP(A37,'Swiss Registry'!$A$2:$B$703,2,False)</f>
        <v>Don Tonionie</v>
      </c>
      <c r="C37" s="105" t="str">
        <f t="shared" si="4"/>
        <v>Game 1</v>
      </c>
      <c r="D37" s="106" t="str">
        <f t="shared" si="5"/>
        <v>Game 2</v>
      </c>
      <c r="E37" s="107" t="str">
        <f t="shared" si="6"/>
        <v/>
      </c>
      <c r="F37" s="125" t="str">
        <f>VLOOKUP(G37,'Swiss Registry'!$A$2:$B$703,2,False)</f>
        <v>jd_orph</v>
      </c>
      <c r="G37" s="64">
        <v>284.0</v>
      </c>
      <c r="H37" s="93" t="s">
        <v>3198</v>
      </c>
      <c r="I37" s="141" t="str">
        <f t="array" ref="I37">XLOOKUP(CELL("contents",B37),'Swiss Registry'!$B$2:$B$703,'Swiss Registry'!$N$2:$N$703) </f>
        <v>281159058155634700</v>
      </c>
      <c r="J37" s="142" t="str">
        <f t="array" ref="J37">XLOOKUP(CELL("contents",F37),'Swiss Registry'!$B$2:$B$703,'Swiss Registry'!$N$2:$N$703) </f>
        <v>486001893655445534</v>
      </c>
    </row>
    <row r="38" ht="15.0" customHeight="1">
      <c r="A38" s="124"/>
      <c r="B38" s="122"/>
      <c r="C38" s="123"/>
      <c r="D38" s="138" t="s">
        <v>3140</v>
      </c>
      <c r="E38" s="123"/>
      <c r="F38" s="122"/>
      <c r="G38" s="124"/>
      <c r="H38" s="83"/>
      <c r="I38" s="139"/>
      <c r="J38" s="139"/>
    </row>
    <row r="39">
      <c r="A39" s="28">
        <v>55.0</v>
      </c>
      <c r="B39" s="28" t="str">
        <f>VLOOKUP(A39,'Swiss Registry'!$A$2:$B$703,2,False)</f>
        <v>Kai (aplgd)</v>
      </c>
      <c r="C39" s="151" t="str">
        <f t="shared" ref="C39:C55" si="7">IF(H39="dead","",IF(H39="a:act","",IF(H39="b:act","",IF(ISURL(HYPERLINK(INDIRECT("Importer!B"&amp;MID(H39,2,4)+1,TRUE))),HYPERLINK(INDIRECT("Importer!B"&amp;MID(H39,2,4)+1,TRUE), "Game 1"),""))))</f>
        <v>Game 1</v>
      </c>
      <c r="D39" s="151" t="str">
        <f t="shared" ref="D39:D55" si="8">IF(H39="dead","Dead Game",IF(H39="a:act","Act: "&amp;B39,IF(H39="b:act","Act: "&amp;F39,IF(ISURL(HYPERLINK(INDIRECT("Importer!B"&amp;MID(H39,6,4)+1,TRUE))),HYPERLINK(INDIRECT("Importer!B"&amp;MID(H39,6,4)+1,TRUE), "Game 2"),""))))</f>
        <v>Game 2</v>
      </c>
      <c r="E39" s="151" t="str">
        <f t="shared" ref="E39:E55" si="9">IF(H39="dead","",IF(H39="a:act","",IF(H39="b:act","",IF(ISURL(HYPERLINK(INDIRECT("Importer!B"&amp;MID(H39,10,4)+1,TRUE))),HYPERLINK(INDIRECT("Importer!B"&amp;MID(H39,10,4)+1,TRUE), "Game 3"),""))))</f>
        <v>Game 3</v>
      </c>
      <c r="F39" s="28" t="str">
        <f>VLOOKUP(G39,'Swiss Registry'!$A$2:$B$703,2,False)</f>
        <v>FaceOFF</v>
      </c>
      <c r="G39" s="28">
        <v>411.0</v>
      </c>
      <c r="H39" s="93" t="s">
        <v>3199</v>
      </c>
      <c r="I39" s="152" t="str">
        <f t="array" ref="I39">XLOOKUP(CELL("contents",B39),'Swiss Registry'!$B$2:$B$703,'Swiss Registry'!$N$2:$N$703) </f>
        <v>782951193495207938</v>
      </c>
      <c r="J39" s="152" t="str">
        <f t="array" ref="J39">XLOOKUP(CELL("contents",F39),'Swiss Registry'!$B$2:$B$703,'Swiss Registry'!$N$2:$N$703) </f>
        <v>330062412294127616</v>
      </c>
    </row>
    <row r="40">
      <c r="A40" s="64">
        <v>56.0</v>
      </c>
      <c r="B40" s="125" t="str">
        <f>VLOOKUP(A40,'Swiss Registry'!$A$2:$B$703,2,False)</f>
        <v>Vayun</v>
      </c>
      <c r="C40" s="105" t="str">
        <f t="shared" si="7"/>
        <v>Game 1</v>
      </c>
      <c r="D40" s="106" t="str">
        <f t="shared" si="8"/>
        <v>Game 2</v>
      </c>
      <c r="E40" s="110" t="str">
        <f t="shared" si="9"/>
        <v>Game 3</v>
      </c>
      <c r="F40" s="125" t="str">
        <f>VLOOKUP(G40,'Swiss Registry'!$A$2:$B$703,2,False)</f>
        <v>venomshoc</v>
      </c>
      <c r="G40" s="64">
        <v>486.0</v>
      </c>
      <c r="H40" s="93" t="s">
        <v>3200</v>
      </c>
      <c r="I40" s="141" t="str">
        <f t="array" ref="I40">XLOOKUP(CELL("contents",B40),'Swiss Registry'!$B$2:$B$703,'Swiss Registry'!$N$2:$N$703) </f>
        <v>773919415153983489</v>
      </c>
      <c r="J40" s="142" t="str">
        <f t="array" ref="J40">XLOOKUP(CELL("contents",F40),'Swiss Registry'!$B$2:$B$703,'Swiss Registry'!$N$2:$N$703) </f>
        <v>314453127224885249</v>
      </c>
    </row>
    <row r="41">
      <c r="A41" s="64">
        <v>60.0</v>
      </c>
      <c r="B41" s="125" t="str">
        <f>VLOOKUP(A41,'Swiss Registry'!$A$2:$B$703,2,False)</f>
        <v>Exiline</v>
      </c>
      <c r="C41" s="105" t="str">
        <f t="shared" si="7"/>
        <v>Game 1</v>
      </c>
      <c r="D41" s="106" t="str">
        <f t="shared" si="8"/>
        <v>Game 2</v>
      </c>
      <c r="E41" s="107" t="str">
        <f t="shared" si="9"/>
        <v/>
      </c>
      <c r="F41" s="125" t="str">
        <f>VLOOKUP(G41,'Swiss Registry'!$A$2:$B$703,2,False)</f>
        <v>tibetanator</v>
      </c>
      <c r="G41" s="64">
        <v>530.0</v>
      </c>
      <c r="H41" s="93" t="s">
        <v>3201</v>
      </c>
      <c r="I41" s="141" t="str">
        <f t="array" ref="I41">XLOOKUP(CELL("contents",B41),'Swiss Registry'!$B$2:$B$703,'Swiss Registry'!$N$2:$N$703) </f>
        <v>155646670988640258</v>
      </c>
      <c r="J41" s="142" t="str">
        <f t="array" ref="J41">XLOOKUP(CELL("contents",F41),'Swiss Registry'!$B$2:$B$703,'Swiss Registry'!$N$2:$N$703) </f>
        <v>734152855501668363</v>
      </c>
    </row>
    <row r="42">
      <c r="A42" s="64">
        <v>64.0</v>
      </c>
      <c r="B42" s="125" t="str">
        <f>VLOOKUP(A42,'Swiss Registry'!$A$2:$B$703,2,False)</f>
        <v>xGangg</v>
      </c>
      <c r="C42" s="105" t="str">
        <f t="shared" si="7"/>
        <v>Game 1</v>
      </c>
      <c r="D42" s="106" t="str">
        <f t="shared" si="8"/>
        <v>Game 2</v>
      </c>
      <c r="E42" s="107" t="str">
        <f t="shared" si="9"/>
        <v/>
      </c>
      <c r="F42" s="125" t="str">
        <f>VLOOKUP(G42,'Swiss Registry'!$A$2:$B$703,2,False)</f>
        <v>Forte_French</v>
      </c>
      <c r="G42" s="64">
        <v>442.0</v>
      </c>
      <c r="H42" s="93" t="s">
        <v>3202</v>
      </c>
      <c r="I42" s="141" t="str">
        <f t="array" ref="I42">XLOOKUP(CELL("contents",B42),'Swiss Registry'!$B$2:$B$703,'Swiss Registry'!$N$2:$N$703) </f>
        <v>219915887254175744</v>
      </c>
      <c r="J42" s="142" t="str">
        <f t="array" ref="J42">XLOOKUP(CELL("contents",F42),'Swiss Registry'!$B$2:$B$703,'Swiss Registry'!$N$2:$N$703) </f>
        <v>345986385502797844</v>
      </c>
    </row>
    <row r="43">
      <c r="A43" s="64">
        <v>66.0</v>
      </c>
      <c r="B43" s="125" t="str">
        <f>VLOOKUP(A43,'Swiss Registry'!$A$2:$B$703,2,False)</f>
        <v>Mackenzie</v>
      </c>
      <c r="C43" s="105" t="str">
        <f t="shared" si="7"/>
        <v>Game 1</v>
      </c>
      <c r="D43" s="106" t="str">
        <f t="shared" si="8"/>
        <v>Game 2</v>
      </c>
      <c r="E43" s="110" t="str">
        <f t="shared" si="9"/>
        <v>Game 3</v>
      </c>
      <c r="F43" s="125" t="str">
        <f>VLOOKUP(G43,'Swiss Registry'!$A$2:$B$703,2,False)</f>
        <v>epiclyepicgamer</v>
      </c>
      <c r="G43" s="64">
        <v>406.0</v>
      </c>
      <c r="H43" s="93" t="s">
        <v>3203</v>
      </c>
      <c r="I43" s="141" t="str">
        <f t="array" ref="I43">XLOOKUP(CELL("contents",B43),'Swiss Registry'!$B$2:$B$703,'Swiss Registry'!$N$2:$N$703) </f>
        <v>173519000842534913</v>
      </c>
      <c r="J43" s="142" t="str">
        <f t="array" ref="J43">XLOOKUP(CELL("contents",F43),'Swiss Registry'!$B$2:$B$703,'Swiss Registry'!$N$2:$N$703) </f>
        <v>839557955140976701</v>
      </c>
    </row>
    <row r="44">
      <c r="A44" s="64">
        <v>70.0</v>
      </c>
      <c r="B44" s="125" t="str">
        <f>VLOOKUP(A44,'Swiss Registry'!$A$2:$B$703,2,False)</f>
        <v>H&gt;L</v>
      </c>
      <c r="C44" s="105" t="str">
        <f t="shared" si="7"/>
        <v>Game 1</v>
      </c>
      <c r="D44" s="106" t="str">
        <f t="shared" si="8"/>
        <v>Game 2</v>
      </c>
      <c r="E44" s="110" t="str">
        <f t="shared" si="9"/>
        <v>Game 3</v>
      </c>
      <c r="F44" s="125" t="str">
        <f>VLOOKUP(G44,'Swiss Registry'!$A$2:$B$703,2,False)</f>
        <v>fastandsleepy</v>
      </c>
      <c r="G44" s="64">
        <v>423.0</v>
      </c>
      <c r="H44" s="93" t="s">
        <v>3204</v>
      </c>
      <c r="I44" s="141" t="str">
        <f t="array" ref="I44">XLOOKUP(CELL("contents",B44),'Swiss Registry'!$B$2:$B$703,'Swiss Registry'!$N$2:$N$703) </f>
        <v>669658442071408672</v>
      </c>
      <c r="J44" s="142" t="str">
        <f t="array" ref="J44">XLOOKUP(CELL("contents",F44),'Swiss Registry'!$B$2:$B$703,'Swiss Registry'!$N$2:$N$703) </f>
        <v>428574676449624065</v>
      </c>
    </row>
    <row r="45">
      <c r="A45" s="64">
        <v>85.0</v>
      </c>
      <c r="B45" s="125" t="str">
        <f>VLOOKUP(A45,'Swiss Registry'!$A$2:$B$703,2,False)</f>
        <v>Cyberas</v>
      </c>
      <c r="C45" s="105" t="str">
        <f t="shared" si="7"/>
        <v>Game 1</v>
      </c>
      <c r="D45" s="106" t="str">
        <f t="shared" si="8"/>
        <v>Game 2</v>
      </c>
      <c r="E45" s="107" t="str">
        <f t="shared" si="9"/>
        <v/>
      </c>
      <c r="F45" s="125" t="str">
        <f>VLOOKUP(G45,'Swiss Registry'!$A$2:$B$703,2,False)</f>
        <v>emerald_harrold</v>
      </c>
      <c r="G45" s="64">
        <v>595.0</v>
      </c>
      <c r="H45" s="93" t="s">
        <v>3205</v>
      </c>
      <c r="I45" s="141" t="str">
        <f t="array" ref="I45">XLOOKUP(CELL("contents",B45),'Swiss Registry'!$B$2:$B$703,'Swiss Registry'!$N$2:$N$703) </f>
        <v>133696854662709248</v>
      </c>
      <c r="J45" s="142" t="str">
        <f t="array" ref="J45">XLOOKUP(CELL("contents",F45),'Swiss Registry'!$B$2:$B$703,'Swiss Registry'!$N$2:$N$703) </f>
        <v>895687390142812161</v>
      </c>
    </row>
    <row r="46">
      <c r="A46" s="64">
        <v>86.0</v>
      </c>
      <c r="B46" s="125" t="str">
        <f>VLOOKUP(A46,'Swiss Registry'!$A$2:$B$703,2,False)</f>
        <v>Cake</v>
      </c>
      <c r="C46" s="105" t="str">
        <f t="shared" si="7"/>
        <v>Game 1</v>
      </c>
      <c r="D46" s="106" t="str">
        <f t="shared" si="8"/>
        <v>Game 2</v>
      </c>
      <c r="E46" s="107" t="str">
        <f t="shared" si="9"/>
        <v/>
      </c>
      <c r="F46" s="125" t="str">
        <f>VLOOKUP(G46,'Swiss Registry'!$A$2:$B$703,2,False)</f>
        <v>wwwmonmon</v>
      </c>
      <c r="G46" s="64">
        <v>466.0</v>
      </c>
      <c r="H46" s="93" t="s">
        <v>3206</v>
      </c>
      <c r="I46" s="141" t="str">
        <f t="array" ref="I46">XLOOKUP(CELL("contents",B46),'Swiss Registry'!$B$2:$B$703,'Swiss Registry'!$N$2:$N$703) </f>
        <v>1062100541871771689</v>
      </c>
      <c r="J46" s="142" t="str">
        <f t="array" ref="J46">XLOOKUP(CELL("contents",F46),'Swiss Registry'!$B$2:$B$703,'Swiss Registry'!$N$2:$N$703) </f>
        <v>579395206680412172</v>
      </c>
    </row>
    <row r="47">
      <c r="A47" s="64">
        <v>90.0</v>
      </c>
      <c r="B47" s="125" t="str">
        <f>VLOOKUP(A47,'Swiss Registry'!$A$2:$B$703,2,False)</f>
        <v>Mantis</v>
      </c>
      <c r="C47" s="105" t="str">
        <f t="shared" si="7"/>
        <v>Game 1</v>
      </c>
      <c r="D47" s="106" t="str">
        <f t="shared" si="8"/>
        <v>Game 2</v>
      </c>
      <c r="E47" s="107" t="str">
        <f t="shared" si="9"/>
        <v/>
      </c>
      <c r="F47" s="125" t="str">
        <f>VLOOKUP(G47,'Swiss Registry'!$A$2:$B$703,2,False)</f>
        <v>oskari1707</v>
      </c>
      <c r="G47" s="64">
        <v>517.0</v>
      </c>
      <c r="H47" s="93" t="s">
        <v>3207</v>
      </c>
      <c r="I47" s="141" t="str">
        <f t="array" ref="I47">XLOOKUP(CELL("contents",B47),'Swiss Registry'!$B$2:$B$703,'Swiss Registry'!$N$2:$N$703) </f>
        <v>396370625515487242</v>
      </c>
      <c r="J47" s="142" t="str">
        <f t="array" ref="J47">XLOOKUP(CELL("contents",F47),'Swiss Registry'!$B$2:$B$703,'Swiss Registry'!$N$2:$N$703) </f>
        <v>920018351684730910</v>
      </c>
    </row>
    <row r="48">
      <c r="A48" s="64">
        <v>97.0</v>
      </c>
      <c r="B48" s="125" t="str">
        <f>VLOOKUP(A48,'Swiss Registry'!$A$2:$B$703,2,False)</f>
        <v>Seradess</v>
      </c>
      <c r="C48" s="105" t="str">
        <f t="shared" si="7"/>
        <v>Game 1</v>
      </c>
      <c r="D48" s="106" t="str">
        <f t="shared" si="8"/>
        <v>Game 2</v>
      </c>
      <c r="E48" s="107" t="str">
        <f t="shared" si="9"/>
        <v/>
      </c>
      <c r="F48" s="125" t="str">
        <f>VLOOKUP(G48,'Swiss Registry'!$A$2:$B$703,2,False)</f>
        <v>lexi.pup</v>
      </c>
      <c r="G48" s="64">
        <v>547.0</v>
      </c>
      <c r="H48" s="93" t="s">
        <v>3208</v>
      </c>
      <c r="I48" s="141" t="str">
        <f t="array" ref="I48">XLOOKUP(CELL("contents",B48),'Swiss Registry'!$B$2:$B$703,'Swiss Registry'!$N$2:$N$703) </f>
        <v>244659660794101763</v>
      </c>
      <c r="J48" s="142" t="str">
        <f t="array" ref="J48">XLOOKUP(CELL("contents",F48),'Swiss Registry'!$B$2:$B$703,'Swiss Registry'!$N$2:$N$703) </f>
        <v>768313209161383936</v>
      </c>
    </row>
    <row r="49">
      <c r="A49" s="64">
        <v>100.0</v>
      </c>
      <c r="B49" s="125" t="str">
        <f>VLOOKUP(A49,'Swiss Registry'!$A$2:$B$703,2,False)</f>
        <v>Zinc</v>
      </c>
      <c r="C49" s="105" t="str">
        <f t="shared" si="7"/>
        <v>Game 1</v>
      </c>
      <c r="D49" s="106" t="str">
        <f t="shared" si="8"/>
        <v>Game 2</v>
      </c>
      <c r="E49" s="107" t="str">
        <f t="shared" si="9"/>
        <v/>
      </c>
      <c r="F49" s="125" t="str">
        <f>VLOOKUP(G49,'Swiss Registry'!$A$2:$B$703,2,False)</f>
        <v>Kenuckz</v>
      </c>
      <c r="G49" s="64">
        <v>567.0</v>
      </c>
      <c r="H49" s="93" t="s">
        <v>3209</v>
      </c>
      <c r="I49" s="141" t="str">
        <f t="array" ref="I49">XLOOKUP(CELL("contents",B49),'Swiss Registry'!$B$2:$B$703,'Swiss Registry'!$N$2:$N$703) </f>
        <v>399291432235696139</v>
      </c>
      <c r="J49" s="142" t="str">
        <f t="array" ref="J49">XLOOKUP(CELL("contents",F49),'Swiss Registry'!$B$2:$B$703,'Swiss Registry'!$N$2:$N$703) </f>
        <v>152582039177134080</v>
      </c>
    </row>
    <row r="50">
      <c r="A50" s="64">
        <v>184.0</v>
      </c>
      <c r="B50" s="125" t="str">
        <f>VLOOKUP(A50,'Swiss Registry'!$A$2:$B$703,2,False)</f>
        <v>Skarpherim</v>
      </c>
      <c r="C50" s="105" t="str">
        <f t="shared" si="7"/>
        <v>Game 1</v>
      </c>
      <c r="D50" s="106" t="str">
        <f t="shared" si="8"/>
        <v>Game 2</v>
      </c>
      <c r="E50" s="110" t="str">
        <f t="shared" si="9"/>
        <v>Game 3</v>
      </c>
      <c r="F50" s="125" t="str">
        <f>VLOOKUP(G50,'Swiss Registry'!$A$2:$B$703,2,False)</f>
        <v>s_2_w</v>
      </c>
      <c r="G50" s="64">
        <v>543.0</v>
      </c>
      <c r="H50" s="93" t="s">
        <v>3210</v>
      </c>
      <c r="I50" s="141" t="str">
        <f t="array" ref="I50">XLOOKUP(CELL("contents",B50),'Swiss Registry'!$B$2:$B$703,'Swiss Registry'!$N$2:$N$703) </f>
        <v>1167951538963103815</v>
      </c>
      <c r="J50" s="142" t="str">
        <f t="array" ref="J50">XLOOKUP(CELL("contents",F50),'Swiss Registry'!$B$2:$B$703,'Swiss Registry'!$N$2:$N$703) </f>
        <v>849644863661801493</v>
      </c>
    </row>
    <row r="51">
      <c r="A51" s="64">
        <v>113.0</v>
      </c>
      <c r="B51" s="125" t="str">
        <f>VLOOKUP(A51,'Swiss Registry'!$A$2:$B$703,2,False)</f>
        <v>annuit99</v>
      </c>
      <c r="C51" s="105" t="str">
        <f t="shared" si="7"/>
        <v>Game 1</v>
      </c>
      <c r="D51" s="106" t="str">
        <f t="shared" si="8"/>
        <v>Game 2</v>
      </c>
      <c r="E51" s="110" t="str">
        <f t="shared" si="9"/>
        <v>Game 3</v>
      </c>
      <c r="F51" s="125" t="str">
        <f>VLOOKUP(G51,'Swiss Registry'!$A$2:$B$703,2,False)</f>
        <v>witgiz</v>
      </c>
      <c r="G51" s="64">
        <v>588.0</v>
      </c>
      <c r="H51" s="93" t="s">
        <v>3211</v>
      </c>
      <c r="I51" s="141" t="str">
        <f t="array" ref="I51">XLOOKUP(CELL("contents",B51),'Swiss Registry'!$B$2:$B$703,'Swiss Registry'!$N$2:$N$703) </f>
        <v>397519983669805060</v>
      </c>
      <c r="J51" s="142" t="str">
        <f t="array" ref="J51">XLOOKUP(CELL("contents",F51),'Swiss Registry'!$B$2:$B$703,'Swiss Registry'!$N$2:$N$703) </f>
        <v>745414414429192303</v>
      </c>
    </row>
    <row r="52">
      <c r="A52" s="64">
        <v>599.0</v>
      </c>
      <c r="B52" s="125" t="str">
        <f>VLOOKUP(A52,'Swiss Registry'!$A$2:$B$703,2,False)</f>
        <v>Klird</v>
      </c>
      <c r="C52" s="105" t="str">
        <f t="shared" si="7"/>
        <v>Game 1</v>
      </c>
      <c r="D52" s="106" t="str">
        <f t="shared" si="8"/>
        <v>Game 2</v>
      </c>
      <c r="E52" s="110" t="str">
        <f t="shared" si="9"/>
        <v>Game 3</v>
      </c>
      <c r="F52" s="125" t="str">
        <f>VLOOKUP(G52,'Swiss Registry'!$A$2:$B$703,2,False)</f>
        <v>bruh504</v>
      </c>
      <c r="G52" s="64">
        <v>279.0</v>
      </c>
      <c r="H52" s="93" t="s">
        <v>3212</v>
      </c>
      <c r="I52" s="141" t="str">
        <f t="array" ref="I52">XLOOKUP(CELL("contents",B52),'Swiss Registry'!$B$2:$B$703,'Swiss Registry'!$N$2:$N$703) </f>
        <v>393218478187741186</v>
      </c>
      <c r="J52" s="142" t="str">
        <f t="array" ref="J52">XLOOKUP(CELL("contents",F52),'Swiss Registry'!$B$2:$B$703,'Swiss Registry'!$N$2:$N$703) </f>
        <v>392333717269643266</v>
      </c>
    </row>
    <row r="53">
      <c r="A53" s="64">
        <v>698.0</v>
      </c>
      <c r="B53" s="125" t="str">
        <f>VLOOKUP(A53,'Swiss Registry'!$A$2:$B$703,2,False)</f>
        <v>jankcity</v>
      </c>
      <c r="C53" s="105" t="str">
        <f t="shared" si="7"/>
        <v>Game 1</v>
      </c>
      <c r="D53" s="106" t="str">
        <f t="shared" si="8"/>
        <v>Game 2</v>
      </c>
      <c r="E53" s="107" t="str">
        <f t="shared" si="9"/>
        <v/>
      </c>
      <c r="F53" s="125" t="str">
        <f>VLOOKUP(G53,'Swiss Registry'!$A$2:$B$703,2,False)</f>
        <v>durmain (slamonBbq)</v>
      </c>
      <c r="G53" s="64">
        <v>245.0</v>
      </c>
      <c r="H53" s="93" t="s">
        <v>3213</v>
      </c>
      <c r="I53" s="141" t="str">
        <f t="array" ref="I53">XLOOKUP(CELL("contents",B53),'Swiss Registry'!$B$2:$B$703,'Swiss Registry'!$N$2:$N$703) </f>
        <v>532236765914988557</v>
      </c>
      <c r="J53" s="142" t="str">
        <f t="array" ref="J53">XLOOKUP(CELL("contents",F53),'Swiss Registry'!$B$2:$B$703,'Swiss Registry'!$N$2:$N$703) </f>
        <v>166049321983279104</v>
      </c>
    </row>
    <row r="54">
      <c r="A54" s="64">
        <v>354.0</v>
      </c>
      <c r="B54" s="125" t="str">
        <f>VLOOKUP(A54,'Swiss Registry'!$A$2:$B$703,2,False)</f>
        <v>grahamsandwich</v>
      </c>
      <c r="C54" s="105" t="str">
        <f t="shared" si="7"/>
        <v>Game 1</v>
      </c>
      <c r="D54" s="106" t="str">
        <f t="shared" si="8"/>
        <v>Game 2</v>
      </c>
      <c r="E54" s="110" t="str">
        <f t="shared" si="9"/>
        <v>Game 3</v>
      </c>
      <c r="F54" s="125" t="str">
        <f>VLOOKUP(G54,'Swiss Registry'!$A$2:$B$703,2,False)</f>
        <v>sieefffmon</v>
      </c>
      <c r="G54" s="64">
        <v>330.0</v>
      </c>
      <c r="H54" s="93" t="s">
        <v>3214</v>
      </c>
      <c r="I54" s="141" t="str">
        <f t="array" ref="I54">XLOOKUP(CELL("contents",B54),'Swiss Registry'!$B$2:$B$703,'Swiss Registry'!$N$2:$N$703) </f>
        <v>256944534900965376</v>
      </c>
      <c r="J54" s="142" t="str">
        <f t="array" ref="J54">XLOOKUP(CELL("contents",F54),'Swiss Registry'!$B$2:$B$703,'Swiss Registry'!$N$2:$N$703) </f>
        <v>257242537582919691</v>
      </c>
    </row>
    <row r="55">
      <c r="A55" s="64">
        <v>177.0</v>
      </c>
      <c r="B55" s="125" t="str">
        <f>VLOOKUP(A55,'Swiss Registry'!$A$2:$B$703,2,False)</f>
        <v>tree69420</v>
      </c>
      <c r="C55" s="105" t="str">
        <f t="shared" si="7"/>
        <v>Game 1</v>
      </c>
      <c r="D55" s="106" t="str">
        <f t="shared" si="8"/>
        <v>Game 2</v>
      </c>
      <c r="E55" s="107" t="str">
        <f t="shared" si="9"/>
        <v/>
      </c>
      <c r="F55" s="125" t="str">
        <f>VLOOKUP(G55,'Swiss Registry'!$A$2:$B$703,2,False)</f>
        <v>gogozeppeli1890 (rconquer)</v>
      </c>
      <c r="G55" s="64">
        <v>247.0</v>
      </c>
      <c r="H55" s="93" t="s">
        <v>3215</v>
      </c>
      <c r="I55" s="141" t="str">
        <f t="array" ref="I55">XLOOKUP(CELL("contents",B55),'Swiss Registry'!$B$2:$B$703,'Swiss Registry'!$N$2:$N$703) </f>
        <v>798958594116419604</v>
      </c>
      <c r="J55" s="142" t="str">
        <f t="array" ref="J55">XLOOKUP(CELL("contents",F55),'Swiss Registry'!$B$2:$B$703,'Swiss Registry'!$N$2:$N$703) </f>
        <v>195721708504743936</v>
      </c>
    </row>
  </sheetData>
  <mergeCells count="1">
    <mergeCell ref="C1:E1"/>
  </mergeCells>
  <conditionalFormatting sqref="B3:B19 B21:B37 B39:B55">
    <cfRule type="expression" dxfId="5" priority="1">
      <formula>IF(LEFT(H3:H55,1)="A",TRUE,FALSE)</formula>
    </cfRule>
  </conditionalFormatting>
  <conditionalFormatting sqref="F3:F19 I3:J19 F21:F37 I21:J37 F39:F55 I39:J55">
    <cfRule type="expression" dxfId="5" priority="2">
      <formula>IF(LEFT(H3:H55,1)="B",TRUE,FALSE)</formula>
    </cfRule>
  </conditionalFormatting>
  <conditionalFormatting sqref="B3:B19 B21:B37 B39:B55">
    <cfRule type="expression" dxfId="6" priority="3">
      <formula>IF(LEFT(H3:H55,1)="B",TRUE,FALSE)</formula>
    </cfRule>
  </conditionalFormatting>
  <conditionalFormatting sqref="F3:F19 I3:J19 F21:F37 I21:J37 F39:F55 I39:J55">
    <cfRule type="expression" dxfId="6" priority="4">
      <formula>IF(LEFT(H3:H55,1)="A",TRUE,FALSE)</formula>
    </cfRule>
  </conditionalFormatting>
  <conditionalFormatting sqref="B3:B19 B21:B37 B39:B55">
    <cfRule type="expression" dxfId="10" priority="5">
      <formula>COUNTIF(B:F, B3)&gt;1</formula>
    </cfRule>
  </conditionalFormatting>
  <conditionalFormatting sqref="F3:F19 F21:F37 F39:F55">
    <cfRule type="expression" dxfId="10" priority="6">
      <formula>COUNTIF(B:F, F3)&gt;1</formula>
    </cfRule>
  </conditionalFormatting>
  <drawing r:id="rId2"/>
  <legacyDrawing r:id="rId3"/>
  <tableParts count="2">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63"/>
    <col customWidth="1" hidden="1" min="9" max="10" width="21.13"/>
  </cols>
  <sheetData>
    <row r="1">
      <c r="A1" s="153"/>
      <c r="B1" s="119" t="s">
        <v>1454</v>
      </c>
      <c r="C1" s="134" t="s">
        <v>3216</v>
      </c>
      <c r="D1" s="77"/>
      <c r="E1" s="78"/>
      <c r="F1" s="120" t="s">
        <v>1454</v>
      </c>
      <c r="G1" s="118"/>
      <c r="H1" s="135"/>
      <c r="I1" s="136" t="s">
        <v>1768</v>
      </c>
      <c r="J1" s="137" t="s">
        <v>1769</v>
      </c>
    </row>
    <row r="2" ht="15.0" customHeight="1">
      <c r="A2" s="122"/>
      <c r="B2" s="122"/>
      <c r="C2" s="123"/>
      <c r="D2" s="138" t="s">
        <v>3217</v>
      </c>
      <c r="E2" s="123"/>
      <c r="F2" s="122"/>
      <c r="G2" s="124"/>
      <c r="H2" s="83"/>
      <c r="I2" s="139"/>
      <c r="J2" s="139"/>
    </row>
    <row r="3">
      <c r="A3" s="64">
        <v>7.0</v>
      </c>
      <c r="B3" s="64" t="str">
        <f>VLOOKUP(A3,'Swiss Registry'!$A$2:$B$703,2,False)</f>
        <v>jumpy23</v>
      </c>
      <c r="C3" s="111"/>
      <c r="D3" s="112"/>
      <c r="E3" s="107"/>
      <c r="F3" s="125" t="s">
        <v>3218</v>
      </c>
      <c r="G3" s="64"/>
      <c r="H3" s="93" t="s">
        <v>2506</v>
      </c>
      <c r="I3" s="154"/>
      <c r="J3" s="147"/>
    </row>
    <row r="4">
      <c r="A4" s="64">
        <v>527.0</v>
      </c>
      <c r="B4" s="64" t="str">
        <f>VLOOKUP(A4,'Swiss Registry'!$A$2:$B$703,2,False)</f>
        <v>cepulo</v>
      </c>
      <c r="C4" s="111" t="str">
        <f t="shared" ref="C4:C19" si="1">IF(H4="dead","",IF(H4="a:act","",IF(H4="b:act","",IF(ISURL(HYPERLINK(INDIRECT("Importer!B"&amp;MID(H4,2,4)+1,TRUE))),HYPERLINK(INDIRECT("Importer!B"&amp;MID(H4,2,4)+1,TRUE), "Game 1"),""))))</f>
        <v/>
      </c>
      <c r="D4" s="112" t="str">
        <f t="shared" ref="D4:D19" si="2">IF(H4="dead","Dead Game",IF(H4="a:act","Act: "&amp;B4,IF(H4="b:act","Act: "&amp;F4,IF(ISURL(HYPERLINK(INDIRECT("Importer!B"&amp;MID(H4,6,4)+1,TRUE))),HYPERLINK(INDIRECT("Importer!B"&amp;MID(H4,6,4)+1,TRUE), "Game 2"),""))))</f>
        <v/>
      </c>
      <c r="E4" s="107" t="str">
        <f t="shared" ref="E4:E19" si="3">IF(H4="dead","",IF(H4="a:act","",IF(H4="b:act","",IF(ISURL(HYPERLINK(INDIRECT("Importer!B"&amp;MID(H4,10,4)+1,TRUE))),HYPERLINK(INDIRECT("Importer!B"&amp;MID(H4,10,4)+1,TRUE), "Game 3"),""))))</f>
        <v/>
      </c>
      <c r="F4" s="125" t="str">
        <f>VLOOKUP(G4,'Swiss Registry'!$A$2:$B$703,2,False)</f>
        <v>Voyager</v>
      </c>
      <c r="G4" s="64">
        <v>14.0</v>
      </c>
      <c r="H4" s="93"/>
      <c r="I4" s="141" t="str">
        <f t="array" ref="I4">XLOOKUP(CELL("contents",B4),'Swiss Registry'!$B$2:$B$703,'Swiss Registry'!$N$2:$N$703) </f>
        <v>1223051167505059850</v>
      </c>
      <c r="J4" s="142" t="str">
        <f t="array" ref="J4">XLOOKUP(CELL("contents",F4),'Swiss Registry'!$B$2:$B$703,'Swiss Registry'!$N$2:$N$703) </f>
        <v>554730792488534056</v>
      </c>
    </row>
    <row r="5">
      <c r="A5" s="64">
        <v>3.0</v>
      </c>
      <c r="B5" s="125" t="str">
        <f>VLOOKUP(A5,'Swiss Registry'!$A$2:$B$703,2,False)</f>
        <v>Triangles</v>
      </c>
      <c r="C5" s="111" t="str">
        <f t="shared" si="1"/>
        <v/>
      </c>
      <c r="D5" s="112" t="str">
        <f t="shared" si="2"/>
        <v/>
      </c>
      <c r="E5" s="107" t="str">
        <f t="shared" si="3"/>
        <v/>
      </c>
      <c r="F5" s="125" t="str">
        <f>VLOOKUP(G5,'Swiss Registry'!$A$2:$B$703,2,False)</f>
        <v>Alargemongoose</v>
      </c>
      <c r="G5" s="64">
        <v>226.0</v>
      </c>
      <c r="H5" s="93"/>
      <c r="I5" s="141" t="str">
        <f t="array" ref="I5">XLOOKUP(CELL("contents",B5),'Swiss Registry'!$B$2:$B$703,'Swiss Registry'!$N$2:$N$703) </f>
        <v>587394354725912717</v>
      </c>
      <c r="J5" s="142" t="str">
        <f t="array" ref="J5">XLOOKUP(CELL("contents",F5),'Swiss Registry'!$B$2:$B$703,'Swiss Registry'!$N$2:$N$703) </f>
        <v>646736314645086228</v>
      </c>
    </row>
    <row r="6">
      <c r="A6" s="64">
        <v>6.0</v>
      </c>
      <c r="B6" s="125" t="str">
        <f>VLOOKUP(A6,'Swiss Registry'!$A$2:$B$703,2,False)</f>
        <v>Fear</v>
      </c>
      <c r="C6" s="111" t="str">
        <f t="shared" si="1"/>
        <v/>
      </c>
      <c r="D6" s="112" t="str">
        <f t="shared" si="2"/>
        <v/>
      </c>
      <c r="E6" s="107" t="str">
        <f t="shared" si="3"/>
        <v/>
      </c>
      <c r="F6" s="125" t="str">
        <f>VLOOKUP(G6,'Swiss Registry'!$A$2:$B$703,2,False)</f>
        <v>xXEricXx</v>
      </c>
      <c r="G6" s="64">
        <v>74.0</v>
      </c>
      <c r="H6" s="93"/>
      <c r="I6" s="141" t="str">
        <f t="array" ref="I6">XLOOKUP(CELL("contents",B6),'Swiss Registry'!$B$2:$B$703,'Swiss Registry'!$N$2:$N$703) </f>
        <v>125981893828149248</v>
      </c>
      <c r="J6" s="142" t="str">
        <f t="array" ref="J6">XLOOKUP(CELL("contents",F6),'Swiss Registry'!$B$2:$B$703,'Swiss Registry'!$N$2:$N$703) </f>
        <v>188804001054064640</v>
      </c>
    </row>
    <row r="7">
      <c r="A7" s="64">
        <v>9.0</v>
      </c>
      <c r="B7" s="125" t="str">
        <f>VLOOKUP(A7,'Swiss Registry'!$A$2:$B$703,2,False)</f>
        <v>Kollin</v>
      </c>
      <c r="C7" s="111" t="str">
        <f t="shared" si="1"/>
        <v/>
      </c>
      <c r="D7" s="112" t="str">
        <f t="shared" si="2"/>
        <v/>
      </c>
      <c r="E7" s="107" t="str">
        <f t="shared" si="3"/>
        <v/>
      </c>
      <c r="F7" s="125" t="str">
        <f>VLOOKUP(G7,'Swiss Registry'!$A$2:$B$703,2,False)</f>
        <v>Amir (lordamir &amp; lordamir2)</v>
      </c>
      <c r="G7" s="64">
        <v>157.0</v>
      </c>
      <c r="H7" s="93"/>
      <c r="I7" s="141" t="str">
        <f t="array" ref="I7">XLOOKUP(CELL("contents",B7),'Swiss Registry'!$B$2:$B$703,'Swiss Registry'!$N$2:$N$703) </f>
        <v>83000775151714304</v>
      </c>
      <c r="J7" s="142" t="str">
        <f t="array" ref="J7">XLOOKUP(CELL("contents",F7),'Swiss Registry'!$B$2:$B$703,'Swiss Registry'!$N$2:$N$703) </f>
        <v>480949875953893376</v>
      </c>
    </row>
    <row r="8">
      <c r="A8" s="64">
        <v>12.0</v>
      </c>
      <c r="B8" s="125" t="str">
        <f>VLOOKUP(A8,'Swiss Registry'!$A$2:$B$703,2,False)</f>
        <v>Pak</v>
      </c>
      <c r="C8" s="111" t="str">
        <f t="shared" si="1"/>
        <v/>
      </c>
      <c r="D8" s="112" t="str">
        <f t="shared" si="2"/>
        <v/>
      </c>
      <c r="E8" s="107" t="str">
        <f t="shared" si="3"/>
        <v/>
      </c>
      <c r="F8" s="125" t="str">
        <f>VLOOKUP(G8,'Swiss Registry'!$A$2:$B$703,2,False)</f>
        <v>Alice</v>
      </c>
      <c r="G8" s="64">
        <v>69.0</v>
      </c>
      <c r="H8" s="93"/>
      <c r="I8" s="141" t="str">
        <f t="array" ref="I8">XLOOKUP(CELL("contents",B8),'Swiss Registry'!$B$2:$B$703,'Swiss Registry'!$N$2:$N$703) </f>
        <v>172884622986706945</v>
      </c>
      <c r="J8" s="142" t="str">
        <f t="array" ref="J8">XLOOKUP(CELL("contents",F8),'Swiss Registry'!$B$2:$B$703,'Swiss Registry'!$N$2:$N$703) </f>
        <v>236760957034954753</v>
      </c>
    </row>
    <row r="9">
      <c r="A9" s="64">
        <v>16.0</v>
      </c>
      <c r="B9" s="125" t="str">
        <f>VLOOKUP(A9,'Swiss Registry'!$A$2:$B$703,2,False)</f>
        <v>Mielke</v>
      </c>
      <c r="C9" s="111" t="str">
        <f t="shared" si="1"/>
        <v/>
      </c>
      <c r="D9" s="112" t="str">
        <f t="shared" si="2"/>
        <v/>
      </c>
      <c r="E9" s="107" t="str">
        <f t="shared" si="3"/>
        <v/>
      </c>
      <c r="F9" s="125" t="str">
        <f>VLOOKUP(G9,'Swiss Registry'!$A$2:$B$703,2,False)</f>
        <v>Zpanther</v>
      </c>
      <c r="G9" s="64">
        <v>61.0</v>
      </c>
      <c r="H9" s="93"/>
      <c r="I9" s="141" t="str">
        <f t="array" ref="I9">XLOOKUP(CELL("contents",B9),'Swiss Registry'!$B$2:$B$703,'Swiss Registry'!$N$2:$N$703) </f>
        <v>324650949371232257</v>
      </c>
      <c r="J9" s="142" t="str">
        <f t="array" ref="J9">XLOOKUP(CELL("contents",F9),'Swiss Registry'!$B$2:$B$703,'Swiss Registry'!$N$2:$N$703) </f>
        <v>884609024937574432</v>
      </c>
    </row>
    <row r="10">
      <c r="A10" s="64">
        <v>39.0</v>
      </c>
      <c r="B10" s="125" t="str">
        <f>VLOOKUP(A10,'Swiss Registry'!$A$2:$B$703,2,False)</f>
        <v>earlgr3y</v>
      </c>
      <c r="C10" s="111" t="str">
        <f t="shared" si="1"/>
        <v/>
      </c>
      <c r="D10" s="112" t="str">
        <f t="shared" si="2"/>
        <v/>
      </c>
      <c r="E10" s="107" t="str">
        <f t="shared" si="3"/>
        <v/>
      </c>
      <c r="F10" s="125" t="str">
        <f>VLOOKUP(G10,'Swiss Registry'!$A$2:$B$703,2,False)</f>
        <v>Bhol</v>
      </c>
      <c r="G10" s="64">
        <v>49.0</v>
      </c>
      <c r="H10" s="93"/>
      <c r="I10" s="141" t="str">
        <f t="array" ref="I10">XLOOKUP(CELL("contents",B10),'Swiss Registry'!$B$2:$B$703,'Swiss Registry'!$N$2:$N$703) </f>
        <v>1058405539903713330</v>
      </c>
      <c r="J10" s="142" t="str">
        <f t="array" ref="J10">XLOOKUP(CELL("contents",F10),'Swiss Registry'!$B$2:$B$703,'Swiss Registry'!$N$2:$N$703) </f>
        <v>708350647879335966</v>
      </c>
    </row>
    <row r="11">
      <c r="A11" s="64">
        <v>1.0</v>
      </c>
      <c r="B11" s="125" t="str">
        <f>VLOOKUP(A11,'Swiss Registry'!$A$2:$B$703,2,False)</f>
        <v>Fakes</v>
      </c>
      <c r="C11" s="111" t="str">
        <f t="shared" si="1"/>
        <v/>
      </c>
      <c r="D11" s="112" t="str">
        <f t="shared" si="2"/>
        <v/>
      </c>
      <c r="E11" s="107" t="str">
        <f t="shared" si="3"/>
        <v/>
      </c>
      <c r="F11" s="125" t="str">
        <f>VLOOKUP(G11,'Swiss Registry'!$A$2:$B$703,2,False)</f>
        <v>Klird</v>
      </c>
      <c r="G11" s="64">
        <v>599.0</v>
      </c>
      <c r="H11" s="93"/>
      <c r="I11" s="141" t="str">
        <f t="array" ref="I11">XLOOKUP(CELL("contents",B11),'Swiss Registry'!$B$2:$B$703,'Swiss Registry'!$N$2:$N$703) </f>
        <v>917864414269550693</v>
      </c>
      <c r="J11" s="142" t="str">
        <f t="array" ref="J11">XLOOKUP(CELL("contents",F11),'Swiss Registry'!$B$2:$B$703,'Swiss Registry'!$N$2:$N$703) </f>
        <v>393218478187741186</v>
      </c>
    </row>
    <row r="12">
      <c r="A12" s="64">
        <v>4.0</v>
      </c>
      <c r="B12" s="125" t="str">
        <f>VLOOKUP(A12,'Swiss Registry'!$A$2:$B$703,2,False)</f>
        <v>pkLeech</v>
      </c>
      <c r="C12" s="111" t="str">
        <f t="shared" si="1"/>
        <v/>
      </c>
      <c r="D12" s="112" t="str">
        <f t="shared" si="2"/>
        <v/>
      </c>
      <c r="E12" s="107" t="str">
        <f t="shared" si="3"/>
        <v/>
      </c>
      <c r="F12" s="125" t="str">
        <f>VLOOKUP(G12,'Swiss Registry'!$A$2:$B$703,2,False)</f>
        <v>oskari1707</v>
      </c>
      <c r="G12" s="64">
        <v>517.0</v>
      </c>
      <c r="H12" s="93"/>
      <c r="I12" s="141" t="str">
        <f t="array" ref="I12">XLOOKUP(CELL("contents",B12),'Swiss Registry'!$B$2:$B$703,'Swiss Registry'!$N$2:$N$703) </f>
        <v>461288985944391708</v>
      </c>
      <c r="J12" s="142" t="str">
        <f t="array" ref="J12">XLOOKUP(CELL("contents",F12),'Swiss Registry'!$B$2:$B$703,'Swiss Registry'!$N$2:$N$703) </f>
        <v>920018351684730910</v>
      </c>
    </row>
    <row r="13">
      <c r="A13" s="64">
        <v>5.0</v>
      </c>
      <c r="B13" s="125" t="str">
        <f>VLOOKUP(A13,'Swiss Registry'!$A$2:$B$703,2,False)</f>
        <v>Caloom</v>
      </c>
      <c r="C13" s="111" t="str">
        <f t="shared" si="1"/>
        <v/>
      </c>
      <c r="D13" s="112" t="str">
        <f t="shared" si="2"/>
        <v/>
      </c>
      <c r="E13" s="107" t="str">
        <f t="shared" si="3"/>
        <v/>
      </c>
      <c r="F13" s="125" t="str">
        <f>VLOOKUP(G13,'Swiss Registry'!$A$2:$B$703,2,False)</f>
        <v>Sificon</v>
      </c>
      <c r="G13" s="64">
        <v>471.0</v>
      </c>
      <c r="H13" s="93"/>
      <c r="I13" s="141" t="str">
        <f t="array" ref="I13">XLOOKUP(CELL("contents",B13),'Swiss Registry'!$B$2:$B$703,'Swiss Registry'!$N$2:$N$703) </f>
        <v>428981810811109386</v>
      </c>
      <c r="J13" s="142" t="str">
        <f t="array" ref="J13">XLOOKUP(CELL("contents",F13),'Swiss Registry'!$B$2:$B$703,'Swiss Registry'!$N$2:$N$703) </f>
        <v>363775331292676097</v>
      </c>
    </row>
    <row r="14">
      <c r="A14" s="64">
        <v>10.0</v>
      </c>
      <c r="B14" s="125" t="str">
        <f>VLOOKUP(A14,'Swiss Registry'!$A$2:$B$703,2,False)</f>
        <v>Cyberodin</v>
      </c>
      <c r="C14" s="111" t="str">
        <f t="shared" si="1"/>
        <v/>
      </c>
      <c r="D14" s="112" t="str">
        <f t="shared" si="2"/>
        <v/>
      </c>
      <c r="E14" s="107" t="str">
        <f t="shared" si="3"/>
        <v/>
      </c>
      <c r="F14" s="125" t="str">
        <f>VLOOKUP(G14,'Swiss Registry'!$A$2:$B$703,2,False)</f>
        <v>annuit99</v>
      </c>
      <c r="G14" s="64">
        <v>113.0</v>
      </c>
      <c r="H14" s="93"/>
      <c r="I14" s="141" t="str">
        <f t="array" ref="I14">XLOOKUP(CELL("contents",B14),'Swiss Registry'!$B$2:$B$703,'Swiss Registry'!$N$2:$N$703) </f>
        <v>259426043285340160</v>
      </c>
      <c r="J14" s="142" t="str">
        <f t="array" ref="J14">XLOOKUP(CELL("contents",F14),'Swiss Registry'!$B$2:$B$703,'Swiss Registry'!$N$2:$N$703) </f>
        <v>397519983669805060</v>
      </c>
    </row>
    <row r="15">
      <c r="A15" s="64">
        <v>18.0</v>
      </c>
      <c r="B15" s="125" t="str">
        <f>VLOOKUP(A15,'Swiss Registry'!$A$2:$B$703,2,False)</f>
        <v>Pokology</v>
      </c>
      <c r="C15" s="111" t="str">
        <f t="shared" si="1"/>
        <v/>
      </c>
      <c r="D15" s="112" t="str">
        <f t="shared" si="2"/>
        <v/>
      </c>
      <c r="E15" s="107" t="str">
        <f t="shared" si="3"/>
        <v/>
      </c>
      <c r="F15" s="125" t="str">
        <f>VLOOKUP(G15,'Swiss Registry'!$A$2:$B$703,2,False)</f>
        <v>lexi.pup</v>
      </c>
      <c r="G15" s="64">
        <v>547.0</v>
      </c>
      <c r="H15" s="93"/>
      <c r="I15" s="141" t="str">
        <f t="array" ref="I15">XLOOKUP(CELL("contents",B15),'Swiss Registry'!$B$2:$B$703,'Swiss Registry'!$N$2:$N$703) </f>
        <v>647891006347542566</v>
      </c>
      <c r="J15" s="142" t="str">
        <f t="array" ref="J15">XLOOKUP(CELL("contents",F15),'Swiss Registry'!$B$2:$B$703,'Swiss Registry'!$N$2:$N$703) </f>
        <v>768313209161383936</v>
      </c>
    </row>
    <row r="16">
      <c r="A16" s="64">
        <v>19.0</v>
      </c>
      <c r="B16" s="125" t="str">
        <f>VLOOKUP(A16,'Swiss Registry'!$A$2:$B$703,2,False)</f>
        <v>void</v>
      </c>
      <c r="C16" s="111" t="str">
        <f t="shared" si="1"/>
        <v/>
      </c>
      <c r="D16" s="112" t="str">
        <f t="shared" si="2"/>
        <v/>
      </c>
      <c r="E16" s="107" t="str">
        <f t="shared" si="3"/>
        <v/>
      </c>
      <c r="F16" s="125" t="str">
        <f>VLOOKUP(G16,'Swiss Registry'!$A$2:$B$703,2,False)</f>
        <v>dicerat8</v>
      </c>
      <c r="G16" s="64">
        <v>120.0</v>
      </c>
      <c r="H16" s="93"/>
      <c r="I16" s="141" t="str">
        <f t="array" ref="I16">XLOOKUP(CELL("contents",B16),'Swiss Registry'!$B$2:$B$703,'Swiss Registry'!$N$2:$N$703) </f>
        <v>153249462641229824</v>
      </c>
      <c r="J16" s="142" t="str">
        <f t="array" ref="J16">XLOOKUP(CELL("contents",F16),'Swiss Registry'!$B$2:$B$703,'Swiss Registry'!$N$2:$N$703) </f>
        <v>811484330421387285</v>
      </c>
    </row>
    <row r="17">
      <c r="A17" s="64">
        <v>21.0</v>
      </c>
      <c r="B17" s="125" t="str">
        <f>VLOOKUP(A17,'Swiss Registry'!$A$2:$B$703,2,False)</f>
        <v>Adam</v>
      </c>
      <c r="C17" s="111" t="str">
        <f t="shared" si="1"/>
        <v/>
      </c>
      <c r="D17" s="112" t="str">
        <f t="shared" si="2"/>
        <v/>
      </c>
      <c r="E17" s="107" t="str">
        <f t="shared" si="3"/>
        <v/>
      </c>
      <c r="F17" s="125" t="str">
        <f>VLOOKUP(G17,'Swiss Registry'!$A$2:$B$703,2,False)</f>
        <v>secondari</v>
      </c>
      <c r="G17" s="64">
        <v>325.0</v>
      </c>
      <c r="H17" s="150"/>
      <c r="I17" s="141" t="str">
        <f t="array" ref="I17">XLOOKUP(CELL("contents",B17),'Swiss Registry'!$B$2:$B$703,'Swiss Registry'!$N$2:$N$703) </f>
        <v>714861229935689862</v>
      </c>
      <c r="J17" s="142" t="str">
        <f t="array" ref="J17">XLOOKUP(CELL("contents",F17),'Swiss Registry'!$B$2:$B$703,'Swiss Registry'!$N$2:$N$703) </f>
        <v>77493060862214144</v>
      </c>
    </row>
    <row r="18">
      <c r="A18" s="64">
        <v>22.0</v>
      </c>
      <c r="B18" s="125" t="str">
        <f>VLOOKUP(A18,'Swiss Registry'!$A$2:$B$703,2,False)</f>
        <v>laxuy</v>
      </c>
      <c r="C18" s="111" t="str">
        <f t="shared" si="1"/>
        <v/>
      </c>
      <c r="D18" s="112" t="str">
        <f t="shared" si="2"/>
        <v/>
      </c>
      <c r="E18" s="107" t="str">
        <f t="shared" si="3"/>
        <v/>
      </c>
      <c r="F18" s="125" t="str">
        <f>VLOOKUP(G18,'Swiss Registry'!$A$2:$B$703,2,False)</f>
        <v>tree69420</v>
      </c>
      <c r="G18" s="64">
        <v>177.0</v>
      </c>
      <c r="H18" s="93"/>
      <c r="I18" s="141" t="str">
        <f t="array" ref="I18">XLOOKUP(CELL("contents",B18),'Swiss Registry'!$B$2:$B$703,'Swiss Registry'!$N$2:$N$703) </f>
        <v>162377920117997568</v>
      </c>
      <c r="J18" s="142" t="str">
        <f t="array" ref="J18">XLOOKUP(CELL("contents",F18),'Swiss Registry'!$B$2:$B$703,'Swiss Registry'!$N$2:$N$703) </f>
        <v>798958594116419604</v>
      </c>
    </row>
    <row r="19">
      <c r="A19" s="64">
        <v>23.0</v>
      </c>
      <c r="B19" s="125" t="str">
        <f>VLOOKUP(A19,'Swiss Registry'!$A$2:$B$703,2,False)</f>
        <v>udm31</v>
      </c>
      <c r="C19" s="111" t="str">
        <f t="shared" si="1"/>
        <v/>
      </c>
      <c r="D19" s="112" t="str">
        <f t="shared" si="2"/>
        <v/>
      </c>
      <c r="E19" s="107" t="str">
        <f t="shared" si="3"/>
        <v/>
      </c>
      <c r="F19" s="125" t="str">
        <f>VLOOKUP(G19,'Swiss Registry'!$A$2:$B$703,2,False)</f>
        <v>jankcity</v>
      </c>
      <c r="G19" s="64">
        <v>698.0</v>
      </c>
      <c r="H19" s="93"/>
      <c r="I19" s="141" t="str">
        <f t="array" ref="I19">XLOOKUP(CELL("contents",B19),'Swiss Registry'!$B$2:$B$703,'Swiss Registry'!$N$2:$N$703) </f>
        <v>892364236523708427</v>
      </c>
      <c r="J19" s="142" t="str">
        <f t="array" ref="J19">XLOOKUP(CELL("contents",F19),'Swiss Registry'!$B$2:$B$703,'Swiss Registry'!$N$2:$N$703) </f>
        <v>532236765914988557</v>
      </c>
    </row>
    <row r="20" ht="15.0" customHeight="1">
      <c r="A20" s="124"/>
      <c r="B20" s="122"/>
      <c r="C20" s="123"/>
      <c r="D20" s="138" t="s">
        <v>3219</v>
      </c>
      <c r="E20" s="123"/>
      <c r="F20" s="122"/>
      <c r="G20" s="124"/>
      <c r="H20" s="83"/>
      <c r="I20" s="139"/>
      <c r="J20" s="139"/>
    </row>
    <row r="21">
      <c r="A21" s="64">
        <v>25.0</v>
      </c>
      <c r="B21" s="125" t="str">
        <f>VLOOKUP(A21,'Swiss Registry'!$A$2:$B$703,2,False)</f>
        <v>JR</v>
      </c>
      <c r="C21" s="111" t="str">
        <f t="shared" ref="C21:C35" si="4">IF(H21="dead","",IF(H21="a:act","",IF(H21="b:act","",IF(ISURL(HYPERLINK(INDIRECT("Importer!B"&amp;MID(H21,2,4)+1,TRUE))),HYPERLINK(INDIRECT("Importer!B"&amp;MID(H21,2,4)+1,TRUE), "Game 1"),""))))</f>
        <v/>
      </c>
      <c r="D21" s="112" t="str">
        <f t="shared" ref="D21:D35" si="5">IF(H21="dead","Dead Game",IF(H21="a:act","Act: "&amp;B21,IF(H21="b:act","Act: "&amp;F21,IF(ISURL(HYPERLINK(INDIRECT("Importer!B"&amp;MID(H21,6,4)+1,TRUE))),HYPERLINK(INDIRECT("Importer!B"&amp;MID(H21,6,4)+1,TRUE), "Game 2"),""))))</f>
        <v/>
      </c>
      <c r="E21" s="107" t="str">
        <f t="shared" ref="E21:E35" si="6">IF(H21="dead","",IF(H21="a:act","",IF(H21="b:act","",IF(ISURL(HYPERLINK(INDIRECT("Importer!B"&amp;MID(H21,10,4)+1,TRUE))),HYPERLINK(INDIRECT("Importer!B"&amp;MID(H21,10,4)+1,TRUE), "Game 3"),""))))</f>
        <v/>
      </c>
      <c r="F21" s="125" t="str">
        <f>VLOOKUP(G21,'Swiss Registry'!$A$2:$B$703,2,False)</f>
        <v>monchooo</v>
      </c>
      <c r="G21" s="64">
        <v>269.0</v>
      </c>
      <c r="H21" s="93"/>
      <c r="I21" s="141" t="str">
        <f t="array" ref="I21">XLOOKUP(CELL("contents",B21),'Swiss Registry'!$B$2:$B$703,'Swiss Registry'!$N$2:$N$703) </f>
        <v>319563636483817472</v>
      </c>
      <c r="J21" s="142" t="str">
        <f t="array" ref="J21">XLOOKUP(CELL("contents",F21),'Swiss Registry'!$B$2:$B$703,'Swiss Registry'!$N$2:$N$703) </f>
        <v>202168691893207041</v>
      </c>
    </row>
    <row r="22">
      <c r="A22" s="64">
        <v>26.0</v>
      </c>
      <c r="B22" s="125" t="str">
        <f>VLOOKUP(A22,'Swiss Registry'!$A$2:$B$703,2,False)</f>
        <v>keepingiticy</v>
      </c>
      <c r="C22" s="111" t="str">
        <f t="shared" si="4"/>
        <v/>
      </c>
      <c r="D22" s="112" t="str">
        <f t="shared" si="5"/>
        <v/>
      </c>
      <c r="E22" s="107" t="str">
        <f t="shared" si="6"/>
        <v/>
      </c>
      <c r="F22" s="125" t="str">
        <f>VLOOKUP(G22,'Swiss Registry'!$A$2:$B$703,2,False)</f>
        <v>@spreek</v>
      </c>
      <c r="G22" s="64">
        <v>640.0</v>
      </c>
      <c r="H22" s="93"/>
      <c r="I22" s="141" t="str">
        <f t="array" ref="I22">XLOOKUP(CELL("contents",B22),'Swiss Registry'!$B$2:$B$703,'Swiss Registry'!$N$2:$N$703) </f>
        <v>174532509701373952</v>
      </c>
      <c r="J22" s="142" t="str">
        <f t="array" ref="J22">XLOOKUP(CELL("contents",F22),'Swiss Registry'!$B$2:$B$703,'Swiss Registry'!$N$2:$N$703) </f>
        <v>136272881666621440</v>
      </c>
    </row>
    <row r="23">
      <c r="A23" s="64">
        <v>27.0</v>
      </c>
      <c r="B23" s="125" t="str">
        <f>VLOOKUP(A23,'Swiss Registry'!$A$2:$B$703,2,False)</f>
        <v>Sheik</v>
      </c>
      <c r="C23" s="105" t="str">
        <f t="shared" si="4"/>
        <v>Game 1</v>
      </c>
      <c r="D23" s="106" t="str">
        <f t="shared" si="5"/>
        <v>Game 2</v>
      </c>
      <c r="E23" s="110" t="str">
        <f t="shared" si="6"/>
        <v>Game 3</v>
      </c>
      <c r="F23" s="125" t="str">
        <f>VLOOKUP(G23,'Swiss Registry'!$A$2:$B$703,2,False)</f>
        <v>grahamsandwich</v>
      </c>
      <c r="G23" s="64">
        <v>354.0</v>
      </c>
      <c r="H23" s="93" t="s">
        <v>3220</v>
      </c>
      <c r="I23" s="141" t="str">
        <f t="array" ref="I23">XLOOKUP(CELL("contents",B23),'Swiss Registry'!$B$2:$B$703,'Swiss Registry'!$N$2:$N$703) </f>
        <v>700432987858403420</v>
      </c>
      <c r="J23" s="142" t="str">
        <f t="array" ref="J23">XLOOKUP(CELL("contents",F23),'Swiss Registry'!$B$2:$B$703,'Swiss Registry'!$N$2:$N$703) </f>
        <v>256944534900965376</v>
      </c>
    </row>
    <row r="24">
      <c r="A24" s="64">
        <v>28.0</v>
      </c>
      <c r="B24" s="125" t="str">
        <f>VLOOKUP(A24,'Swiss Registry'!$A$2:$B$703,2,False)</f>
        <v>Typhoon Carter</v>
      </c>
      <c r="C24" s="111" t="str">
        <f t="shared" si="4"/>
        <v/>
      </c>
      <c r="D24" s="112" t="str">
        <f t="shared" si="5"/>
        <v/>
      </c>
      <c r="E24" s="107" t="str">
        <f t="shared" si="6"/>
        <v/>
      </c>
      <c r="F24" s="125" t="str">
        <f>VLOOKUP(G24,'Swiss Registry'!$A$2:$B$703,2,False)</f>
        <v>Skarpherim</v>
      </c>
      <c r="G24" s="64">
        <v>184.0</v>
      </c>
      <c r="H24" s="93"/>
      <c r="I24" s="141" t="str">
        <f t="array" ref="I24">XLOOKUP(CELL("contents",B24),'Swiss Registry'!$B$2:$B$703,'Swiss Registry'!$N$2:$N$703) </f>
        <v>313800288647774211</v>
      </c>
      <c r="J24" s="142" t="str">
        <f t="array" ref="J24">XLOOKUP(CELL("contents",F24),'Swiss Registry'!$B$2:$B$703,'Swiss Registry'!$N$2:$N$703) </f>
        <v>1167951538963103815</v>
      </c>
    </row>
    <row r="25">
      <c r="A25" s="64">
        <v>29.0</v>
      </c>
      <c r="B25" s="125">
        <f>VLOOKUP(A25,'Swiss Registry'!$A$2:$B$703,2,False)</f>
        <v>48</v>
      </c>
      <c r="C25" s="111" t="str">
        <f t="shared" si="4"/>
        <v/>
      </c>
      <c r="D25" s="112" t="str">
        <f t="shared" si="5"/>
        <v/>
      </c>
      <c r="E25" s="107" t="str">
        <f t="shared" si="6"/>
        <v/>
      </c>
      <c r="F25" s="125" t="str">
        <f>VLOOKUP(G25,'Swiss Registry'!$A$2:$B$703,2,False)</f>
        <v>Zinc</v>
      </c>
      <c r="G25" s="64">
        <v>100.0</v>
      </c>
      <c r="H25" s="93"/>
      <c r="I25" s="141" t="str">
        <f t="array" ref="I25">XLOOKUP(CELL("contents",B25),'Swiss Registry'!$B$2:$B$703,'Swiss Registry'!$N$2:$N$703) </f>
        <v>247063915790336004</v>
      </c>
      <c r="J25" s="142" t="str">
        <f t="array" ref="J25">XLOOKUP(CELL("contents",F25),'Swiss Registry'!$B$2:$B$703,'Swiss Registry'!$N$2:$N$703) </f>
        <v>399291432235696139</v>
      </c>
    </row>
    <row r="26">
      <c r="A26" s="64">
        <v>30.0</v>
      </c>
      <c r="B26" s="125" t="str">
        <f>VLOOKUP(A26,'Swiss Registry'!$A$2:$B$703,2,False)</f>
        <v>eliandiditagain</v>
      </c>
      <c r="C26" s="111" t="str">
        <f t="shared" si="4"/>
        <v/>
      </c>
      <c r="D26" s="112" t="str">
        <f t="shared" si="5"/>
        <v/>
      </c>
      <c r="E26" s="107" t="str">
        <f t="shared" si="6"/>
        <v/>
      </c>
      <c r="F26" s="125" t="str">
        <f>VLOOKUP(G26,'Swiss Registry'!$A$2:$B$703,2,False)</f>
        <v>Otto</v>
      </c>
      <c r="G26" s="64">
        <v>95.0</v>
      </c>
      <c r="H26" s="93"/>
      <c r="I26" s="141" t="str">
        <f t="array" ref="I26">XLOOKUP(CELL("contents",B26),'Swiss Registry'!$B$2:$B$703,'Swiss Registry'!$N$2:$N$703) </f>
        <v>268922335946342400</v>
      </c>
      <c r="J26" s="142" t="str">
        <f t="array" ref="J26">XLOOKUP(CELL("contents",F26),'Swiss Registry'!$B$2:$B$703,'Swiss Registry'!$N$2:$N$703) </f>
        <v>286683342131298304</v>
      </c>
    </row>
    <row r="27">
      <c r="A27" s="64">
        <v>35.0</v>
      </c>
      <c r="B27" s="125" t="str">
        <f>VLOOKUP(A27,'Swiss Registry'!$A$2:$B$703,2,False)</f>
        <v>Zacpz</v>
      </c>
      <c r="C27" s="111" t="str">
        <f t="shared" si="4"/>
        <v/>
      </c>
      <c r="D27" s="112" t="str">
        <f t="shared" si="5"/>
        <v/>
      </c>
      <c r="E27" s="107" t="str">
        <f t="shared" si="6"/>
        <v/>
      </c>
      <c r="F27" s="125" t="str">
        <f>VLOOKUP(G27,'Swiss Registry'!$A$2:$B$703,2,False)</f>
        <v>wwwmonmon</v>
      </c>
      <c r="G27" s="64">
        <v>466.0</v>
      </c>
      <c r="H27" s="93"/>
      <c r="I27" s="141" t="str">
        <f t="array" ref="I27">XLOOKUP(CELL("contents",B27),'Swiss Registry'!$B$2:$B$703,'Swiss Registry'!$N$2:$N$703) </f>
        <v>719547987277119638</v>
      </c>
      <c r="J27" s="142" t="str">
        <f t="array" ref="J27">XLOOKUP(CELL("contents",F27),'Swiss Registry'!$B$2:$B$703,'Swiss Registry'!$N$2:$N$703) </f>
        <v>579395206680412172</v>
      </c>
    </row>
    <row r="28">
      <c r="A28" s="64">
        <v>36.0</v>
      </c>
      <c r="B28" s="125" t="str">
        <f>VLOOKUP(A28,'Swiss Registry'!$A$2:$B$703,2,False)</f>
        <v>Segale</v>
      </c>
      <c r="C28" s="111" t="str">
        <f t="shared" si="4"/>
        <v/>
      </c>
      <c r="D28" s="112" t="str">
        <f t="shared" si="5"/>
        <v/>
      </c>
      <c r="E28" s="107" t="str">
        <f t="shared" si="6"/>
        <v/>
      </c>
      <c r="F28" s="125" t="str">
        <f>VLOOKUP(G28,'Swiss Registry'!$A$2:$B$703,2,False)</f>
        <v>Cyberas</v>
      </c>
      <c r="G28" s="64">
        <v>85.0</v>
      </c>
      <c r="H28" s="93"/>
      <c r="I28" s="141" t="str">
        <f t="array" ref="I28">XLOOKUP(CELL("contents",B28),'Swiss Registry'!$B$2:$B$703,'Swiss Registry'!$N$2:$N$703) </f>
        <v>1059548623416856608</v>
      </c>
      <c r="J28" s="142" t="str">
        <f t="array" ref="J28">XLOOKUP(CELL("contents",F28),'Swiss Registry'!$B$2:$B$703,'Swiss Registry'!$N$2:$N$703) </f>
        <v>133696854662709248</v>
      </c>
    </row>
    <row r="29" ht="15.0" customHeight="1">
      <c r="A29" s="64">
        <v>42.0</v>
      </c>
      <c r="B29" s="125" t="str">
        <f>VLOOKUP(A29,'Swiss Registry'!$A$2:$B$703,2,False)</f>
        <v>ThisGuyMuks</v>
      </c>
      <c r="C29" s="111" t="str">
        <f t="shared" si="4"/>
        <v/>
      </c>
      <c r="D29" s="112" t="str">
        <f t="shared" si="5"/>
        <v/>
      </c>
      <c r="E29" s="107" t="str">
        <f t="shared" si="6"/>
        <v/>
      </c>
      <c r="F29" s="125" t="str">
        <f>VLOOKUP(G29,'Swiss Registry'!$A$2:$B$703,2,False)</f>
        <v>OOF_MAXIMA</v>
      </c>
      <c r="G29" s="64">
        <v>78.0</v>
      </c>
      <c r="H29" s="93"/>
      <c r="I29" s="141" t="str">
        <f t="array" ref="I29">XLOOKUP(CELL("contents",B29),'Swiss Registry'!$B$2:$B$703,'Swiss Registry'!$N$2:$N$703) </f>
        <v>397627331637805056</v>
      </c>
      <c r="J29" s="142" t="str">
        <f t="array" ref="J29">XLOOKUP(CELL("contents",F29),'Swiss Registry'!$B$2:$B$703,'Swiss Registry'!$N$2:$N$703) </f>
        <v>400765707467620362</v>
      </c>
    </row>
    <row r="30">
      <c r="A30" s="64">
        <v>43.0</v>
      </c>
      <c r="B30" s="125" t="str">
        <f>VLOOKUP(A30,'Swiss Registry'!$A$2:$B$703,2,False)</f>
        <v>Christos</v>
      </c>
      <c r="C30" s="111" t="str">
        <f t="shared" si="4"/>
        <v/>
      </c>
      <c r="D30" s="112" t="str">
        <f t="shared" si="5"/>
        <v/>
      </c>
      <c r="E30" s="107" t="str">
        <f t="shared" si="6"/>
        <v/>
      </c>
      <c r="F30" s="125" t="str">
        <f>VLOOKUP(G30,'Swiss Registry'!$A$2:$B$703,2,False)</f>
        <v>Churi</v>
      </c>
      <c r="G30" s="64">
        <v>77.0</v>
      </c>
      <c r="H30" s="93"/>
      <c r="I30" s="141" t="str">
        <f t="array" ref="I30">XLOOKUP(CELL("contents",B30),'Swiss Registry'!$B$2:$B$703,'Swiss Registry'!$N$2:$N$703) </f>
        <v>202869299113623563</v>
      </c>
      <c r="J30" s="142" t="str">
        <f t="array" ref="J30">XLOOKUP(CELL("contents",F30),'Swiss Registry'!$B$2:$B$703,'Swiss Registry'!$N$2:$N$703) </f>
        <v>740316248210014380</v>
      </c>
    </row>
    <row r="31">
      <c r="A31" s="64">
        <v>45.0</v>
      </c>
      <c r="B31" s="125" t="str">
        <f>VLOOKUP(A31,'Swiss Registry'!$A$2:$B$703,2,False)</f>
        <v>DeezCastforms</v>
      </c>
      <c r="C31" s="111" t="str">
        <f t="shared" si="4"/>
        <v/>
      </c>
      <c r="D31" s="112" t="str">
        <f t="shared" si="5"/>
        <v/>
      </c>
      <c r="E31" s="107" t="str">
        <f t="shared" si="6"/>
        <v/>
      </c>
      <c r="F31" s="125" t="str">
        <f>VLOOKUP(G31,'Swiss Registry'!$A$2:$B$703,2,False)</f>
        <v>H&gt;L</v>
      </c>
      <c r="G31" s="64">
        <v>70.0</v>
      </c>
      <c r="H31" s="93"/>
      <c r="I31" s="141" t="str">
        <f t="array" ref="I31">XLOOKUP(CELL("contents",B31),'Swiss Registry'!$B$2:$B$703,'Swiss Registry'!$N$2:$N$703) </f>
        <v>358052192915292161</v>
      </c>
      <c r="J31" s="142" t="str">
        <f t="array" ref="J31">XLOOKUP(CELL("contents",F31),'Swiss Registry'!$B$2:$B$703,'Swiss Registry'!$N$2:$N$703) </f>
        <v>669658442071408672</v>
      </c>
    </row>
    <row r="32">
      <c r="A32" s="64">
        <v>46.0</v>
      </c>
      <c r="B32" s="125" t="str">
        <f>VLOOKUP(A32,'Swiss Registry'!$A$2:$B$703,2,False)</f>
        <v>Zelph</v>
      </c>
      <c r="C32" s="111" t="str">
        <f t="shared" si="4"/>
        <v/>
      </c>
      <c r="D32" s="112" t="str">
        <f t="shared" si="5"/>
        <v/>
      </c>
      <c r="E32" s="107" t="str">
        <f t="shared" si="6"/>
        <v/>
      </c>
      <c r="F32" s="125" t="str">
        <f>VLOOKUP(G32,'Swiss Registry'!$A$2:$B$703,2,False)</f>
        <v>Mackenzie</v>
      </c>
      <c r="G32" s="64">
        <v>66.0</v>
      </c>
      <c r="H32" s="93"/>
      <c r="I32" s="141" t="str">
        <f t="array" ref="I32">XLOOKUP(CELL("contents",B32),'Swiss Registry'!$B$2:$B$703,'Swiss Registry'!$N$2:$N$703) </f>
        <v>895466276191862855</v>
      </c>
      <c r="J32" s="142" t="str">
        <f t="array" ref="J32">XLOOKUP(CELL("contents",F32),'Swiss Registry'!$B$2:$B$703,'Swiss Registry'!$N$2:$N$703) </f>
        <v>173519000842534913</v>
      </c>
    </row>
    <row r="33">
      <c r="A33" s="64">
        <v>47.0</v>
      </c>
      <c r="B33" s="125" t="str">
        <f>VLOOKUP(A33,'Swiss Registry'!$A$2:$B$703,2,False)</f>
        <v>Figull400</v>
      </c>
      <c r="C33" s="111" t="str">
        <f t="shared" si="4"/>
        <v/>
      </c>
      <c r="D33" s="112" t="str">
        <f t="shared" si="5"/>
        <v/>
      </c>
      <c r="E33" s="107" t="str">
        <f t="shared" si="6"/>
        <v/>
      </c>
      <c r="F33" s="125" t="str">
        <f>VLOOKUP(G33,'Swiss Registry'!$A$2:$B$703,2,False)</f>
        <v>xGangg</v>
      </c>
      <c r="G33" s="64">
        <v>64.0</v>
      </c>
      <c r="H33" s="93"/>
      <c r="I33" s="141" t="str">
        <f t="array" ref="I33">XLOOKUP(CELL("contents",B33),'Swiss Registry'!$B$2:$B$703,'Swiss Registry'!$N$2:$N$703) </f>
        <v>758667386822983680</v>
      </c>
      <c r="J33" s="142" t="str">
        <f t="array" ref="J33">XLOOKUP(CELL("contents",F33),'Swiss Registry'!$B$2:$B$703,'Swiss Registry'!$N$2:$N$703) </f>
        <v>219915887254175744</v>
      </c>
    </row>
    <row r="34">
      <c r="A34" s="64">
        <v>48.0</v>
      </c>
      <c r="B34" s="125" t="str">
        <f>VLOOKUP(A34,'Swiss Registry'!$A$2:$B$703,2,False)</f>
        <v>Don Tonionie</v>
      </c>
      <c r="C34" s="111" t="str">
        <f t="shared" si="4"/>
        <v/>
      </c>
      <c r="D34" s="112" t="str">
        <f t="shared" si="5"/>
        <v/>
      </c>
      <c r="E34" s="107" t="str">
        <f t="shared" si="6"/>
        <v/>
      </c>
      <c r="F34" s="125" t="str">
        <f>VLOOKUP(G34,'Swiss Registry'!$A$2:$B$703,2,False)</f>
        <v>Exiline</v>
      </c>
      <c r="G34" s="64">
        <v>60.0</v>
      </c>
      <c r="H34" s="93"/>
      <c r="I34" s="141" t="str">
        <f t="array" ref="I34">XLOOKUP(CELL("contents",B34),'Swiss Registry'!$B$2:$B$703,'Swiss Registry'!$N$2:$N$703) </f>
        <v>281159058155634700</v>
      </c>
      <c r="J34" s="142" t="str">
        <f t="array" ref="J34">XLOOKUP(CELL("contents",F34),'Swiss Registry'!$B$2:$B$703,'Swiss Registry'!$N$2:$N$703) </f>
        <v>155646670988640258</v>
      </c>
    </row>
    <row r="35">
      <c r="A35" s="64">
        <v>55.0</v>
      </c>
      <c r="B35" s="125" t="str">
        <f>VLOOKUP(A35,'Swiss Registry'!$A$2:$B$703,2,False)</f>
        <v>Kai (aplgd)</v>
      </c>
      <c r="C35" s="111" t="str">
        <f t="shared" si="4"/>
        <v/>
      </c>
      <c r="D35" s="112" t="str">
        <f t="shared" si="5"/>
        <v/>
      </c>
      <c r="E35" s="107" t="str">
        <f t="shared" si="6"/>
        <v/>
      </c>
      <c r="F35" s="125" t="str">
        <f>VLOOKUP(G35,'Swiss Registry'!$A$2:$B$703,2,False)</f>
        <v>Vayun</v>
      </c>
      <c r="G35" s="64">
        <v>56.0</v>
      </c>
      <c r="H35" s="93"/>
      <c r="I35" s="141" t="str">
        <f t="array" ref="I35">XLOOKUP(CELL("contents",B35),'Swiss Registry'!$B$2:$B$703,'Swiss Registry'!$N$2:$N$703) </f>
        <v>782951193495207938</v>
      </c>
      <c r="J35" s="142" t="str">
        <f t="array" ref="J35">XLOOKUP(CELL("contents",F35),'Swiss Registry'!$B$2:$B$703,'Swiss Registry'!$N$2:$N$703) </f>
        <v>773919415153983489</v>
      </c>
    </row>
  </sheetData>
  <mergeCells count="1">
    <mergeCell ref="C1:E1"/>
  </mergeCells>
  <conditionalFormatting sqref="B5:B19 B21:B35">
    <cfRule type="expression" dxfId="5" priority="1">
      <formula>IF(LEFT(H5:H35,1)="A",TRUE,FALSE)</formula>
    </cfRule>
  </conditionalFormatting>
  <conditionalFormatting sqref="F3:F19 I3:J19 F21:F35 I21:J35">
    <cfRule type="expression" dxfId="5" priority="2">
      <formula>IF(LEFT(H3:H35,1)="B",TRUE,FALSE)</formula>
    </cfRule>
  </conditionalFormatting>
  <conditionalFormatting sqref="B5:B19 B21:B35">
    <cfRule type="expression" dxfId="6" priority="3">
      <formula>IF(LEFT(H5:H35,1)="B",TRUE,FALSE)</formula>
    </cfRule>
  </conditionalFormatting>
  <conditionalFormatting sqref="F3:F19 I3:J19 F21:F35 I21:J35">
    <cfRule type="expression" dxfId="6" priority="4">
      <formula>IF(LEFT(H3:H35,1)="A",TRUE,FALSE)</formula>
    </cfRule>
  </conditionalFormatting>
  <conditionalFormatting sqref="B5:B19 B21:B35">
    <cfRule type="expression" dxfId="10" priority="5">
      <formula>COUNTIF(B:F, B5)&gt;1</formula>
    </cfRule>
  </conditionalFormatting>
  <conditionalFormatting sqref="F3:F19 F21:F35">
    <cfRule type="expression" dxfId="10" priority="6">
      <formula>COUNTIF(B:F, F3)&gt;1</formula>
    </cfRule>
  </conditionalFormatting>
  <conditionalFormatting sqref="B3">
    <cfRule type="notContainsBlanks" dxfId="2" priority="7">
      <formula>LEN(TRIM(B3))&gt;0</formula>
    </cfRule>
  </conditionalFormatting>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60.25"/>
  </cols>
  <sheetData>
    <row r="1">
      <c r="A1" s="155" t="s">
        <v>3221</v>
      </c>
      <c r="B1" s="156" t="s">
        <v>3222</v>
      </c>
    </row>
    <row r="2">
      <c r="A2" s="157">
        <f t="array" ref="A2:A10001">ROW(A2:A10001)-1</f>
        <v>1</v>
      </c>
      <c r="B2" s="158" t="s">
        <v>3223</v>
      </c>
    </row>
    <row r="3">
      <c r="A3" s="157">
        <v>2.0</v>
      </c>
      <c r="B3" s="159" t="s">
        <v>3224</v>
      </c>
    </row>
    <row r="4">
      <c r="A4" s="157">
        <v>3.0</v>
      </c>
      <c r="B4" s="159" t="s">
        <v>3225</v>
      </c>
    </row>
    <row r="5">
      <c r="A5" s="157">
        <v>4.0</v>
      </c>
      <c r="B5" s="159" t="s">
        <v>3226</v>
      </c>
    </row>
    <row r="6">
      <c r="A6" s="157">
        <v>5.0</v>
      </c>
      <c r="B6" s="159" t="s">
        <v>3227</v>
      </c>
    </row>
    <row r="7">
      <c r="A7" s="157">
        <v>6.0</v>
      </c>
      <c r="B7" s="159" t="s">
        <v>3228</v>
      </c>
    </row>
    <row r="8">
      <c r="A8" s="157">
        <v>7.0</v>
      </c>
      <c r="B8" s="159" t="s">
        <v>3229</v>
      </c>
    </row>
    <row r="9">
      <c r="A9" s="157">
        <v>8.0</v>
      </c>
      <c r="B9" s="159" t="s">
        <v>3230</v>
      </c>
    </row>
    <row r="10">
      <c r="A10" s="157">
        <v>9.0</v>
      </c>
      <c r="B10" s="159" t="s">
        <v>3231</v>
      </c>
    </row>
    <row r="11">
      <c r="A11" s="157">
        <v>10.0</v>
      </c>
      <c r="B11" s="158" t="s">
        <v>3232</v>
      </c>
    </row>
    <row r="12">
      <c r="A12" s="157">
        <v>11.0</v>
      </c>
      <c r="B12" s="158" t="s">
        <v>3233</v>
      </c>
    </row>
    <row r="13">
      <c r="A13" s="157">
        <v>12.0</v>
      </c>
      <c r="B13" s="158" t="s">
        <v>3234</v>
      </c>
    </row>
    <row r="14">
      <c r="A14" s="157">
        <v>13.0</v>
      </c>
      <c r="B14" s="158" t="s">
        <v>3235</v>
      </c>
    </row>
    <row r="15">
      <c r="A15" s="157">
        <v>14.0</v>
      </c>
      <c r="B15" s="158" t="s">
        <v>3236</v>
      </c>
    </row>
    <row r="16">
      <c r="A16" s="157">
        <v>15.0</v>
      </c>
      <c r="B16" s="158" t="s">
        <v>3237</v>
      </c>
    </row>
    <row r="17">
      <c r="A17" s="157">
        <v>16.0</v>
      </c>
      <c r="B17" s="158" t="s">
        <v>3238</v>
      </c>
    </row>
    <row r="18">
      <c r="A18" s="157">
        <v>17.0</v>
      </c>
      <c r="B18" s="159" t="s">
        <v>3239</v>
      </c>
    </row>
    <row r="19">
      <c r="A19" s="157">
        <v>18.0</v>
      </c>
      <c r="B19" s="159" t="s">
        <v>3240</v>
      </c>
    </row>
    <row r="20">
      <c r="A20" s="157">
        <v>19.0</v>
      </c>
      <c r="B20" s="159" t="s">
        <v>3241</v>
      </c>
    </row>
    <row r="21">
      <c r="A21" s="157">
        <v>20.0</v>
      </c>
      <c r="B21" s="159" t="s">
        <v>3242</v>
      </c>
    </row>
    <row r="22">
      <c r="A22" s="157">
        <v>21.0</v>
      </c>
      <c r="B22" s="158" t="s">
        <v>3243</v>
      </c>
    </row>
    <row r="23">
      <c r="A23" s="157">
        <v>22.0</v>
      </c>
      <c r="B23" s="159" t="s">
        <v>3244</v>
      </c>
    </row>
    <row r="24">
      <c r="A24" s="157">
        <v>23.0</v>
      </c>
      <c r="B24" s="159" t="s">
        <v>3245</v>
      </c>
    </row>
    <row r="25">
      <c r="A25" s="157">
        <v>24.0</v>
      </c>
      <c r="B25" s="159" t="s">
        <v>3246</v>
      </c>
    </row>
    <row r="26">
      <c r="A26" s="157">
        <v>25.0</v>
      </c>
      <c r="B26" s="159" t="s">
        <v>3247</v>
      </c>
    </row>
    <row r="27">
      <c r="A27" s="157">
        <v>26.0</v>
      </c>
      <c r="B27" s="159" t="s">
        <v>3248</v>
      </c>
    </row>
    <row r="28">
      <c r="A28" s="157">
        <v>27.0</v>
      </c>
      <c r="B28" s="158" t="s">
        <v>3249</v>
      </c>
    </row>
    <row r="29">
      <c r="A29" s="157">
        <v>28.0</v>
      </c>
      <c r="B29" s="158" t="s">
        <v>3250</v>
      </c>
    </row>
    <row r="30">
      <c r="A30" s="157">
        <v>29.0</v>
      </c>
      <c r="B30" s="159" t="s">
        <v>3251</v>
      </c>
    </row>
    <row r="31">
      <c r="A31" s="157">
        <v>30.0</v>
      </c>
      <c r="B31" s="158" t="s">
        <v>3252</v>
      </c>
    </row>
    <row r="32">
      <c r="A32" s="157">
        <v>31.0</v>
      </c>
      <c r="B32" s="158" t="s">
        <v>3253</v>
      </c>
    </row>
    <row r="33">
      <c r="A33" s="157">
        <v>32.0</v>
      </c>
      <c r="B33" s="158" t="s">
        <v>3254</v>
      </c>
    </row>
    <row r="34">
      <c r="A34" s="157">
        <v>33.0</v>
      </c>
      <c r="B34" s="158" t="s">
        <v>3255</v>
      </c>
    </row>
    <row r="35">
      <c r="A35" s="157">
        <v>34.0</v>
      </c>
      <c r="B35" s="158" t="s">
        <v>3256</v>
      </c>
    </row>
    <row r="36">
      <c r="A36" s="157">
        <v>35.0</v>
      </c>
      <c r="B36" s="158" t="s">
        <v>3257</v>
      </c>
    </row>
    <row r="37">
      <c r="A37" s="157">
        <v>36.0</v>
      </c>
      <c r="B37" s="160" t="s">
        <v>3258</v>
      </c>
    </row>
    <row r="38">
      <c r="A38" s="157">
        <v>37.0</v>
      </c>
      <c r="B38" s="161" t="s">
        <v>3259</v>
      </c>
    </row>
    <row r="39">
      <c r="A39" s="157">
        <v>38.0</v>
      </c>
      <c r="B39" s="162" t="s">
        <v>3260</v>
      </c>
    </row>
    <row r="40">
      <c r="A40" s="157">
        <v>39.0</v>
      </c>
      <c r="B40" s="163" t="s">
        <v>3261</v>
      </c>
    </row>
    <row r="41">
      <c r="A41" s="157">
        <v>40.0</v>
      </c>
      <c r="B41" s="160" t="s">
        <v>3262</v>
      </c>
    </row>
    <row r="42">
      <c r="A42" s="157">
        <v>41.0</v>
      </c>
      <c r="B42" s="160" t="s">
        <v>3263</v>
      </c>
    </row>
    <row r="43">
      <c r="A43" s="157">
        <v>42.0</v>
      </c>
      <c r="B43" s="160" t="s">
        <v>3264</v>
      </c>
    </row>
    <row r="44">
      <c r="A44" s="157">
        <v>43.0</v>
      </c>
      <c r="B44" s="160" t="s">
        <v>3265</v>
      </c>
    </row>
    <row r="45">
      <c r="A45" s="157">
        <v>44.0</v>
      </c>
      <c r="B45" s="160" t="s">
        <v>3266</v>
      </c>
    </row>
    <row r="46">
      <c r="A46" s="157">
        <v>45.0</v>
      </c>
      <c r="B46" s="160" t="s">
        <v>3267</v>
      </c>
    </row>
    <row r="47">
      <c r="A47" s="157">
        <v>46.0</v>
      </c>
      <c r="B47" s="158" t="s">
        <v>3268</v>
      </c>
    </row>
    <row r="48">
      <c r="A48" s="157">
        <v>47.0</v>
      </c>
      <c r="B48" s="158" t="s">
        <v>3269</v>
      </c>
    </row>
    <row r="49">
      <c r="A49" s="157">
        <v>48.0</v>
      </c>
      <c r="B49" s="158" t="s">
        <v>3270</v>
      </c>
    </row>
    <row r="50">
      <c r="A50" s="157">
        <v>49.0</v>
      </c>
      <c r="B50" s="158" t="s">
        <v>3271</v>
      </c>
    </row>
    <row r="51">
      <c r="A51" s="157">
        <v>50.0</v>
      </c>
      <c r="B51" s="158" t="s">
        <v>3272</v>
      </c>
    </row>
    <row r="52">
      <c r="A52" s="157">
        <v>51.0</v>
      </c>
      <c r="B52" s="158" t="s">
        <v>3273</v>
      </c>
    </row>
    <row r="53">
      <c r="A53" s="157">
        <v>52.0</v>
      </c>
      <c r="B53" s="158" t="s">
        <v>3274</v>
      </c>
    </row>
    <row r="54">
      <c r="A54" s="157">
        <v>53.0</v>
      </c>
      <c r="B54" s="158" t="s">
        <v>3275</v>
      </c>
    </row>
    <row r="55">
      <c r="A55" s="157">
        <v>54.0</v>
      </c>
      <c r="B55" s="158" t="s">
        <v>3276</v>
      </c>
    </row>
    <row r="56">
      <c r="A56" s="157">
        <v>55.0</v>
      </c>
      <c r="B56" s="158" t="s">
        <v>3277</v>
      </c>
    </row>
    <row r="57">
      <c r="A57" s="157">
        <v>56.0</v>
      </c>
      <c r="B57" s="158" t="s">
        <v>3278</v>
      </c>
    </row>
    <row r="58">
      <c r="A58" s="157">
        <v>57.0</v>
      </c>
      <c r="B58" s="159" t="s">
        <v>3279</v>
      </c>
    </row>
    <row r="59">
      <c r="A59" s="157">
        <v>58.0</v>
      </c>
      <c r="B59" s="159" t="s">
        <v>3280</v>
      </c>
    </row>
    <row r="60">
      <c r="A60" s="157">
        <v>59.0</v>
      </c>
      <c r="B60" s="159" t="s">
        <v>3281</v>
      </c>
    </row>
    <row r="61">
      <c r="A61" s="157">
        <v>60.0</v>
      </c>
      <c r="B61" s="159" t="s">
        <v>3282</v>
      </c>
    </row>
    <row r="62">
      <c r="A62" s="157">
        <v>61.0</v>
      </c>
      <c r="B62" s="159" t="s">
        <v>3283</v>
      </c>
    </row>
    <row r="63">
      <c r="A63" s="157">
        <v>62.0</v>
      </c>
      <c r="B63" s="159" t="s">
        <v>3284</v>
      </c>
    </row>
    <row r="64">
      <c r="A64" s="157">
        <v>63.0</v>
      </c>
      <c r="B64" s="159" t="s">
        <v>3285</v>
      </c>
    </row>
    <row r="65">
      <c r="A65" s="157">
        <v>64.0</v>
      </c>
      <c r="B65" s="159" t="s">
        <v>3286</v>
      </c>
    </row>
    <row r="66">
      <c r="A66" s="157">
        <v>65.0</v>
      </c>
      <c r="B66" s="159" t="s">
        <v>3287</v>
      </c>
    </row>
    <row r="67">
      <c r="A67" s="157">
        <v>66.0</v>
      </c>
      <c r="B67" s="159" t="s">
        <v>3288</v>
      </c>
    </row>
    <row r="68">
      <c r="A68" s="157">
        <v>67.0</v>
      </c>
      <c r="B68" s="159" t="s">
        <v>3289</v>
      </c>
    </row>
    <row r="69">
      <c r="A69" s="157">
        <v>68.0</v>
      </c>
      <c r="B69" s="159" t="s">
        <v>3290</v>
      </c>
    </row>
    <row r="70">
      <c r="A70" s="157">
        <v>69.0</v>
      </c>
      <c r="B70" s="158" t="s">
        <v>3291</v>
      </c>
    </row>
    <row r="71">
      <c r="A71" s="157">
        <v>70.0</v>
      </c>
      <c r="B71" s="158" t="s">
        <v>3292</v>
      </c>
    </row>
    <row r="72">
      <c r="A72" s="157">
        <v>71.0</v>
      </c>
      <c r="B72" s="158" t="s">
        <v>3293</v>
      </c>
    </row>
    <row r="73">
      <c r="A73" s="157">
        <v>72.0</v>
      </c>
      <c r="B73" s="159" t="s">
        <v>3294</v>
      </c>
    </row>
    <row r="74">
      <c r="A74" s="157">
        <v>73.0</v>
      </c>
      <c r="B74" s="159" t="s">
        <v>3295</v>
      </c>
    </row>
    <row r="75">
      <c r="A75" s="157">
        <v>74.0</v>
      </c>
      <c r="B75" s="158" t="s">
        <v>3296</v>
      </c>
    </row>
    <row r="76">
      <c r="A76" s="157">
        <v>75.0</v>
      </c>
      <c r="B76" s="158" t="s">
        <v>3297</v>
      </c>
    </row>
    <row r="77">
      <c r="A77" s="157">
        <v>76.0</v>
      </c>
      <c r="B77" s="158" t="s">
        <v>3298</v>
      </c>
    </row>
    <row r="78">
      <c r="A78" s="157">
        <v>77.0</v>
      </c>
      <c r="B78" s="158" t="s">
        <v>3299</v>
      </c>
    </row>
    <row r="79">
      <c r="A79" s="157">
        <v>78.0</v>
      </c>
      <c r="B79" s="158" t="s">
        <v>3300</v>
      </c>
    </row>
    <row r="80">
      <c r="A80" s="157">
        <v>79.0</v>
      </c>
      <c r="B80" s="158" t="s">
        <v>3301</v>
      </c>
    </row>
    <row r="81">
      <c r="A81" s="157">
        <v>80.0</v>
      </c>
      <c r="B81" s="158" t="s">
        <v>3302</v>
      </c>
    </row>
    <row r="82">
      <c r="A82" s="157">
        <v>81.0</v>
      </c>
      <c r="B82" s="158" t="s">
        <v>3303</v>
      </c>
    </row>
    <row r="83">
      <c r="A83" s="157">
        <v>82.0</v>
      </c>
      <c r="B83" s="158" t="s">
        <v>3304</v>
      </c>
    </row>
    <row r="84">
      <c r="A84" s="157">
        <v>83.0</v>
      </c>
      <c r="B84" s="158" t="s">
        <v>3305</v>
      </c>
    </row>
    <row r="85">
      <c r="A85" s="157">
        <v>84.0</v>
      </c>
      <c r="B85" s="158" t="s">
        <v>3306</v>
      </c>
    </row>
    <row r="86">
      <c r="A86" s="157">
        <v>85.0</v>
      </c>
      <c r="B86" s="158" t="s">
        <v>3307</v>
      </c>
    </row>
    <row r="87">
      <c r="A87" s="157">
        <v>86.0</v>
      </c>
      <c r="B87" s="158" t="s">
        <v>3308</v>
      </c>
    </row>
    <row r="88">
      <c r="A88" s="157">
        <v>87.0</v>
      </c>
      <c r="B88" s="158" t="s">
        <v>3309</v>
      </c>
    </row>
    <row r="89">
      <c r="A89" s="157">
        <v>88.0</v>
      </c>
      <c r="B89" s="158" t="s">
        <v>3310</v>
      </c>
    </row>
    <row r="90">
      <c r="A90" s="157">
        <v>89.0</v>
      </c>
      <c r="B90" s="158" t="s">
        <v>3311</v>
      </c>
    </row>
    <row r="91">
      <c r="A91" s="157">
        <v>90.0</v>
      </c>
      <c r="B91" s="159" t="s">
        <v>3312</v>
      </c>
    </row>
    <row r="92">
      <c r="A92" s="157">
        <v>91.0</v>
      </c>
      <c r="B92" s="159" t="s">
        <v>3313</v>
      </c>
    </row>
    <row r="93">
      <c r="A93" s="157">
        <v>92.0</v>
      </c>
      <c r="B93" s="159" t="s">
        <v>3314</v>
      </c>
    </row>
    <row r="94">
      <c r="A94" s="157">
        <v>93.0</v>
      </c>
      <c r="B94" s="159" t="s">
        <v>3315</v>
      </c>
    </row>
    <row r="95">
      <c r="A95" s="157">
        <v>94.0</v>
      </c>
      <c r="B95" s="159" t="s">
        <v>3316</v>
      </c>
    </row>
    <row r="96">
      <c r="A96" s="157">
        <v>95.0</v>
      </c>
      <c r="B96" s="159" t="s">
        <v>3317</v>
      </c>
    </row>
    <row r="97">
      <c r="A97" s="157">
        <v>96.0</v>
      </c>
      <c r="B97" s="159" t="s">
        <v>3318</v>
      </c>
    </row>
    <row r="98">
      <c r="A98" s="157">
        <v>97.0</v>
      </c>
      <c r="B98" s="158" t="s">
        <v>3319</v>
      </c>
    </row>
    <row r="99">
      <c r="A99" s="157">
        <v>98.0</v>
      </c>
      <c r="B99" s="158" t="s">
        <v>3320</v>
      </c>
    </row>
    <row r="100">
      <c r="A100" s="157">
        <v>99.0</v>
      </c>
      <c r="B100" s="159" t="s">
        <v>3321</v>
      </c>
    </row>
    <row r="101">
      <c r="A101" s="157">
        <v>100.0</v>
      </c>
      <c r="B101" s="159" t="s">
        <v>3322</v>
      </c>
    </row>
    <row r="102">
      <c r="A102" s="157">
        <v>101.0</v>
      </c>
      <c r="B102" s="160" t="s">
        <v>3323</v>
      </c>
    </row>
    <row r="103">
      <c r="A103" s="157">
        <v>102.0</v>
      </c>
      <c r="B103" s="160" t="s">
        <v>3324</v>
      </c>
    </row>
    <row r="104">
      <c r="A104" s="157">
        <v>103.0</v>
      </c>
      <c r="B104" s="160" t="s">
        <v>3325</v>
      </c>
    </row>
    <row r="105">
      <c r="A105" s="157">
        <v>104.0</v>
      </c>
      <c r="B105" s="160" t="s">
        <v>3326</v>
      </c>
    </row>
    <row r="106">
      <c r="A106" s="157">
        <v>105.0</v>
      </c>
      <c r="B106" s="160" t="s">
        <v>3327</v>
      </c>
    </row>
    <row r="107">
      <c r="A107" s="157">
        <v>106.0</v>
      </c>
      <c r="B107" s="160" t="s">
        <v>3328</v>
      </c>
    </row>
    <row r="108">
      <c r="A108" s="157">
        <v>107.0</v>
      </c>
      <c r="B108" s="160" t="s">
        <v>3329</v>
      </c>
    </row>
    <row r="109">
      <c r="A109" s="157">
        <v>108.0</v>
      </c>
      <c r="B109" s="160" t="s">
        <v>3330</v>
      </c>
    </row>
    <row r="110">
      <c r="A110" s="157">
        <v>109.0</v>
      </c>
      <c r="B110" s="160" t="s">
        <v>3331</v>
      </c>
    </row>
    <row r="111">
      <c r="A111" s="157">
        <v>110.0</v>
      </c>
      <c r="B111" s="160" t="s">
        <v>3332</v>
      </c>
    </row>
    <row r="112">
      <c r="A112" s="157">
        <v>111.0</v>
      </c>
      <c r="B112" s="160" t="s">
        <v>3333</v>
      </c>
    </row>
    <row r="113">
      <c r="A113" s="157">
        <v>112.0</v>
      </c>
      <c r="B113" s="158" t="s">
        <v>3334</v>
      </c>
    </row>
    <row r="114">
      <c r="A114" s="157">
        <v>113.0</v>
      </c>
      <c r="B114" s="160" t="s">
        <v>3335</v>
      </c>
    </row>
    <row r="115">
      <c r="A115" s="157">
        <v>114.0</v>
      </c>
      <c r="B115" s="160" t="s">
        <v>3336</v>
      </c>
    </row>
    <row r="116">
      <c r="A116" s="157">
        <v>115.0</v>
      </c>
      <c r="B116" s="160" t="s">
        <v>3337</v>
      </c>
    </row>
    <row r="117">
      <c r="A117" s="157">
        <v>116.0</v>
      </c>
      <c r="B117" s="160" t="s">
        <v>3338</v>
      </c>
    </row>
    <row r="118">
      <c r="A118" s="157">
        <v>117.0</v>
      </c>
      <c r="B118" s="160" t="s">
        <v>3339</v>
      </c>
    </row>
    <row r="119">
      <c r="A119" s="157">
        <v>118.0</v>
      </c>
      <c r="B119" s="160" t="s">
        <v>3340</v>
      </c>
    </row>
    <row r="120">
      <c r="A120" s="157">
        <v>119.0</v>
      </c>
      <c r="B120" s="160" t="s">
        <v>3341</v>
      </c>
    </row>
    <row r="121">
      <c r="A121" s="157">
        <v>120.0</v>
      </c>
      <c r="B121" s="160" t="s">
        <v>3342</v>
      </c>
    </row>
    <row r="122">
      <c r="A122" s="157">
        <v>121.0</v>
      </c>
      <c r="B122" s="160" t="s">
        <v>3343</v>
      </c>
    </row>
    <row r="123">
      <c r="A123" s="157">
        <v>122.0</v>
      </c>
      <c r="B123" s="160" t="s">
        <v>3344</v>
      </c>
    </row>
    <row r="124">
      <c r="A124" s="157">
        <v>123.0</v>
      </c>
      <c r="B124" s="160" t="s">
        <v>3345</v>
      </c>
    </row>
    <row r="125">
      <c r="A125" s="157">
        <v>124.0</v>
      </c>
      <c r="B125" s="160" t="s">
        <v>3346</v>
      </c>
    </row>
    <row r="126">
      <c r="A126" s="157">
        <v>125.0</v>
      </c>
      <c r="B126" s="160" t="s">
        <v>3347</v>
      </c>
    </row>
    <row r="127">
      <c r="A127" s="157">
        <v>126.0</v>
      </c>
      <c r="B127" s="160" t="s">
        <v>3348</v>
      </c>
    </row>
    <row r="128">
      <c r="A128" s="157">
        <v>127.0</v>
      </c>
      <c r="B128" s="160" t="s">
        <v>3349</v>
      </c>
    </row>
    <row r="129">
      <c r="A129" s="157">
        <v>128.0</v>
      </c>
      <c r="B129" s="158" t="s">
        <v>3350</v>
      </c>
    </row>
    <row r="130">
      <c r="A130" s="157">
        <v>129.0</v>
      </c>
      <c r="B130" s="160" t="s">
        <v>3351</v>
      </c>
    </row>
    <row r="131">
      <c r="A131" s="157">
        <v>130.0</v>
      </c>
      <c r="B131" s="160" t="s">
        <v>3352</v>
      </c>
    </row>
    <row r="132">
      <c r="A132" s="157">
        <v>131.0</v>
      </c>
      <c r="B132" s="160" t="s">
        <v>3353</v>
      </c>
    </row>
    <row r="133">
      <c r="A133" s="157">
        <v>132.0</v>
      </c>
      <c r="B133" s="160" t="s">
        <v>3354</v>
      </c>
    </row>
    <row r="134">
      <c r="A134" s="157">
        <v>133.0</v>
      </c>
      <c r="B134" s="160" t="s">
        <v>3355</v>
      </c>
    </row>
    <row r="135">
      <c r="A135" s="157">
        <v>134.0</v>
      </c>
      <c r="B135" s="160" t="s">
        <v>3356</v>
      </c>
    </row>
    <row r="136">
      <c r="A136" s="157">
        <v>135.0</v>
      </c>
      <c r="B136" s="158" t="s">
        <v>3357</v>
      </c>
    </row>
    <row r="137">
      <c r="A137" s="157">
        <v>136.0</v>
      </c>
      <c r="B137" s="160" t="s">
        <v>3358</v>
      </c>
    </row>
    <row r="138">
      <c r="A138" s="157">
        <v>137.0</v>
      </c>
      <c r="B138" s="160" t="s">
        <v>3359</v>
      </c>
    </row>
    <row r="139">
      <c r="A139" s="157">
        <v>138.0</v>
      </c>
      <c r="B139" s="158" t="s">
        <v>3360</v>
      </c>
    </row>
    <row r="140">
      <c r="A140" s="157">
        <v>139.0</v>
      </c>
      <c r="B140" s="160" t="s">
        <v>3361</v>
      </c>
    </row>
    <row r="141">
      <c r="A141" s="157">
        <v>140.0</v>
      </c>
      <c r="B141" s="160" t="s">
        <v>3362</v>
      </c>
    </row>
    <row r="142">
      <c r="A142" s="157">
        <v>141.0</v>
      </c>
      <c r="B142" s="160" t="s">
        <v>3363</v>
      </c>
    </row>
    <row r="143">
      <c r="A143" s="157">
        <v>142.0</v>
      </c>
      <c r="B143" s="160" t="s">
        <v>3364</v>
      </c>
    </row>
    <row r="144">
      <c r="A144" s="157">
        <v>143.0</v>
      </c>
      <c r="B144" s="160" t="s">
        <v>3365</v>
      </c>
    </row>
    <row r="145">
      <c r="A145" s="157">
        <v>144.0</v>
      </c>
      <c r="B145" s="160" t="s">
        <v>3366</v>
      </c>
    </row>
    <row r="146">
      <c r="A146" s="157">
        <v>145.0</v>
      </c>
      <c r="B146" s="158" t="s">
        <v>3367</v>
      </c>
    </row>
    <row r="147">
      <c r="A147" s="157">
        <v>146.0</v>
      </c>
      <c r="B147" s="160" t="s">
        <v>3368</v>
      </c>
    </row>
    <row r="148">
      <c r="A148" s="157">
        <v>147.0</v>
      </c>
      <c r="B148" s="160" t="s">
        <v>3369</v>
      </c>
    </row>
    <row r="149">
      <c r="A149" s="157">
        <v>148.0</v>
      </c>
      <c r="B149" s="160" t="s">
        <v>3370</v>
      </c>
    </row>
    <row r="150">
      <c r="A150" s="157">
        <v>149.0</v>
      </c>
      <c r="B150" s="160" t="s">
        <v>3371</v>
      </c>
    </row>
    <row r="151">
      <c r="A151" s="157">
        <v>150.0</v>
      </c>
      <c r="B151" s="160" t="s">
        <v>3372</v>
      </c>
    </row>
    <row r="152">
      <c r="A152" s="157">
        <v>151.0</v>
      </c>
      <c r="B152" s="160" t="s">
        <v>3373</v>
      </c>
    </row>
    <row r="153">
      <c r="A153" s="157">
        <v>152.0</v>
      </c>
      <c r="B153" s="160" t="s">
        <v>3374</v>
      </c>
    </row>
    <row r="154">
      <c r="A154" s="157">
        <v>153.0</v>
      </c>
      <c r="B154" s="160" t="s">
        <v>3375</v>
      </c>
    </row>
    <row r="155">
      <c r="A155" s="157">
        <v>154.0</v>
      </c>
      <c r="B155" s="160" t="s">
        <v>3376</v>
      </c>
    </row>
    <row r="156">
      <c r="A156" s="157">
        <v>155.0</v>
      </c>
      <c r="B156" s="160" t="s">
        <v>3377</v>
      </c>
    </row>
    <row r="157">
      <c r="A157" s="157">
        <v>156.0</v>
      </c>
      <c r="B157" s="160" t="s">
        <v>3378</v>
      </c>
    </row>
    <row r="158">
      <c r="A158" s="157">
        <v>157.0</v>
      </c>
      <c r="B158" s="160" t="s">
        <v>3379</v>
      </c>
    </row>
    <row r="159">
      <c r="A159" s="157">
        <v>158.0</v>
      </c>
      <c r="B159" s="160" t="s">
        <v>3380</v>
      </c>
    </row>
    <row r="160">
      <c r="A160" s="157">
        <v>159.0</v>
      </c>
      <c r="B160" s="160" t="s">
        <v>3381</v>
      </c>
    </row>
    <row r="161">
      <c r="A161" s="157">
        <v>160.0</v>
      </c>
      <c r="B161" s="160" t="s">
        <v>3382</v>
      </c>
    </row>
    <row r="162">
      <c r="A162" s="157">
        <v>161.0</v>
      </c>
      <c r="B162" s="160" t="s">
        <v>3383</v>
      </c>
    </row>
    <row r="163">
      <c r="A163" s="157">
        <v>162.0</v>
      </c>
      <c r="B163" s="160" t="s">
        <v>3384</v>
      </c>
    </row>
    <row r="164">
      <c r="A164" s="157">
        <v>163.0</v>
      </c>
      <c r="B164" s="160" t="s">
        <v>3385</v>
      </c>
    </row>
    <row r="165">
      <c r="A165" s="157">
        <v>164.0</v>
      </c>
      <c r="B165" s="160" t="s">
        <v>3386</v>
      </c>
    </row>
    <row r="166">
      <c r="A166" s="157">
        <v>165.0</v>
      </c>
      <c r="B166" s="160" t="s">
        <v>3387</v>
      </c>
    </row>
    <row r="167">
      <c r="A167" s="157">
        <v>166.0</v>
      </c>
      <c r="B167" s="160" t="s">
        <v>3388</v>
      </c>
    </row>
    <row r="168">
      <c r="A168" s="157">
        <v>167.0</v>
      </c>
      <c r="B168" s="158" t="s">
        <v>3389</v>
      </c>
    </row>
    <row r="169">
      <c r="A169" s="157">
        <v>168.0</v>
      </c>
      <c r="B169" s="158" t="s">
        <v>3390</v>
      </c>
    </row>
    <row r="170">
      <c r="A170" s="157">
        <v>169.0</v>
      </c>
      <c r="B170" s="158" t="s">
        <v>3391</v>
      </c>
    </row>
    <row r="171">
      <c r="A171" s="157">
        <v>170.0</v>
      </c>
      <c r="B171" s="158" t="s">
        <v>3392</v>
      </c>
    </row>
    <row r="172">
      <c r="A172" s="157">
        <v>171.0</v>
      </c>
      <c r="B172" s="158" t="s">
        <v>3393</v>
      </c>
    </row>
    <row r="173">
      <c r="A173" s="157">
        <v>172.0</v>
      </c>
      <c r="B173" s="158" t="s">
        <v>3394</v>
      </c>
    </row>
    <row r="174">
      <c r="A174" s="157">
        <v>173.0</v>
      </c>
      <c r="B174" s="158" t="s">
        <v>3395</v>
      </c>
    </row>
    <row r="175">
      <c r="A175" s="157">
        <v>174.0</v>
      </c>
      <c r="B175" s="158" t="s">
        <v>3396</v>
      </c>
    </row>
    <row r="176">
      <c r="A176" s="157">
        <v>175.0</v>
      </c>
      <c r="B176" s="158" t="s">
        <v>3397</v>
      </c>
    </row>
    <row r="177">
      <c r="A177" s="157">
        <v>176.0</v>
      </c>
      <c r="B177" s="158" t="s">
        <v>3398</v>
      </c>
    </row>
    <row r="178">
      <c r="A178" s="157">
        <v>177.0</v>
      </c>
      <c r="B178" s="158" t="s">
        <v>3399</v>
      </c>
    </row>
    <row r="179">
      <c r="A179" s="157">
        <v>178.0</v>
      </c>
      <c r="B179" s="158" t="s">
        <v>3400</v>
      </c>
    </row>
    <row r="180">
      <c r="A180" s="157">
        <v>179.0</v>
      </c>
      <c r="B180" s="158" t="s">
        <v>3401</v>
      </c>
    </row>
    <row r="181">
      <c r="A181" s="157">
        <v>180.0</v>
      </c>
      <c r="B181" s="158" t="s">
        <v>3402</v>
      </c>
    </row>
    <row r="182">
      <c r="A182" s="157">
        <v>181.0</v>
      </c>
      <c r="B182" s="158" t="s">
        <v>3403</v>
      </c>
    </row>
    <row r="183">
      <c r="A183" s="157">
        <v>182.0</v>
      </c>
      <c r="B183" s="158" t="s">
        <v>3404</v>
      </c>
    </row>
    <row r="184">
      <c r="A184" s="157">
        <v>183.0</v>
      </c>
      <c r="B184" s="158" t="s">
        <v>3405</v>
      </c>
    </row>
    <row r="185">
      <c r="A185" s="157">
        <v>184.0</v>
      </c>
      <c r="B185" s="158" t="s">
        <v>3406</v>
      </c>
    </row>
    <row r="186">
      <c r="A186" s="157">
        <v>185.0</v>
      </c>
      <c r="B186" s="158" t="s">
        <v>3407</v>
      </c>
    </row>
    <row r="187">
      <c r="A187" s="157">
        <v>186.0</v>
      </c>
      <c r="B187" s="158" t="s">
        <v>3408</v>
      </c>
    </row>
    <row r="188">
      <c r="A188" s="157">
        <v>187.0</v>
      </c>
      <c r="B188" s="159" t="s">
        <v>3409</v>
      </c>
    </row>
    <row r="189">
      <c r="A189" s="157">
        <v>188.0</v>
      </c>
      <c r="B189" s="159" t="s">
        <v>3410</v>
      </c>
    </row>
    <row r="190">
      <c r="A190" s="157">
        <v>189.0</v>
      </c>
      <c r="B190" s="159" t="s">
        <v>3411</v>
      </c>
    </row>
    <row r="191">
      <c r="A191" s="157">
        <v>190.0</v>
      </c>
      <c r="B191" s="159" t="s">
        <v>3412</v>
      </c>
    </row>
    <row r="192">
      <c r="A192" s="157">
        <v>191.0</v>
      </c>
      <c r="B192" s="159" t="s">
        <v>3413</v>
      </c>
    </row>
    <row r="193">
      <c r="A193" s="157">
        <v>192.0</v>
      </c>
      <c r="B193" s="159" t="s">
        <v>3414</v>
      </c>
    </row>
    <row r="194">
      <c r="A194" s="157">
        <v>193.0</v>
      </c>
      <c r="B194" s="159" t="s">
        <v>3415</v>
      </c>
    </row>
    <row r="195">
      <c r="A195" s="157">
        <v>194.0</v>
      </c>
      <c r="B195" s="159" t="s">
        <v>3416</v>
      </c>
    </row>
    <row r="196">
      <c r="A196" s="157">
        <v>195.0</v>
      </c>
      <c r="B196" s="159" t="s">
        <v>3417</v>
      </c>
    </row>
    <row r="197">
      <c r="A197" s="157">
        <v>196.0</v>
      </c>
      <c r="B197" s="159" t="s">
        <v>3418</v>
      </c>
    </row>
    <row r="198">
      <c r="A198" s="157">
        <v>197.0</v>
      </c>
      <c r="B198" s="158" t="s">
        <v>3419</v>
      </c>
    </row>
    <row r="199">
      <c r="A199" s="157">
        <v>198.0</v>
      </c>
      <c r="B199" s="158" t="s">
        <v>3420</v>
      </c>
    </row>
    <row r="200">
      <c r="A200" s="157">
        <v>199.0</v>
      </c>
      <c r="B200" s="158" t="s">
        <v>3421</v>
      </c>
    </row>
    <row r="201">
      <c r="A201" s="157">
        <v>200.0</v>
      </c>
      <c r="B201" s="159" t="s">
        <v>3422</v>
      </c>
    </row>
    <row r="202">
      <c r="A202" s="157">
        <v>201.0</v>
      </c>
      <c r="B202" s="159" t="s">
        <v>3423</v>
      </c>
    </row>
    <row r="203">
      <c r="A203" s="157">
        <v>202.0</v>
      </c>
      <c r="B203" s="159" t="s">
        <v>3424</v>
      </c>
    </row>
    <row r="204">
      <c r="A204" s="157">
        <v>203.0</v>
      </c>
      <c r="B204" s="158" t="s">
        <v>3425</v>
      </c>
    </row>
    <row r="205">
      <c r="A205" s="157">
        <v>204.0</v>
      </c>
      <c r="B205" s="158" t="s">
        <v>3426</v>
      </c>
    </row>
    <row r="206">
      <c r="A206" s="157">
        <v>205.0</v>
      </c>
      <c r="B206" s="158" t="s">
        <v>3427</v>
      </c>
    </row>
    <row r="207">
      <c r="A207" s="157">
        <v>206.0</v>
      </c>
      <c r="B207" s="158" t="s">
        <v>3428</v>
      </c>
    </row>
    <row r="208">
      <c r="A208" s="157">
        <v>207.0</v>
      </c>
      <c r="B208" s="158" t="s">
        <v>3429</v>
      </c>
    </row>
    <row r="209">
      <c r="A209" s="157">
        <v>208.0</v>
      </c>
      <c r="B209" s="159" t="s">
        <v>3430</v>
      </c>
    </row>
    <row r="210">
      <c r="A210" s="157">
        <v>209.0</v>
      </c>
      <c r="B210" s="159" t="s">
        <v>3431</v>
      </c>
    </row>
    <row r="211">
      <c r="A211" s="157">
        <v>210.0</v>
      </c>
      <c r="B211" s="158" t="s">
        <v>3432</v>
      </c>
    </row>
    <row r="212">
      <c r="A212" s="157">
        <v>211.0</v>
      </c>
      <c r="B212" s="158" t="s">
        <v>3433</v>
      </c>
    </row>
    <row r="213">
      <c r="A213" s="157">
        <v>212.0</v>
      </c>
      <c r="B213" s="158" t="s">
        <v>3434</v>
      </c>
    </row>
    <row r="214">
      <c r="A214" s="157">
        <v>213.0</v>
      </c>
      <c r="B214" s="158" t="s">
        <v>3435</v>
      </c>
    </row>
    <row r="215">
      <c r="A215" s="157">
        <v>214.0</v>
      </c>
      <c r="B215" s="159" t="s">
        <v>3436</v>
      </c>
    </row>
    <row r="216">
      <c r="A216" s="157">
        <v>215.0</v>
      </c>
      <c r="B216" s="159" t="s">
        <v>3437</v>
      </c>
    </row>
    <row r="217">
      <c r="A217" s="157">
        <v>216.0</v>
      </c>
      <c r="B217" s="159" t="s">
        <v>3438</v>
      </c>
    </row>
    <row r="218">
      <c r="A218" s="157">
        <v>217.0</v>
      </c>
      <c r="B218" s="159" t="s">
        <v>3439</v>
      </c>
    </row>
    <row r="219">
      <c r="A219" s="157">
        <v>218.0</v>
      </c>
      <c r="B219" s="158" t="s">
        <v>3440</v>
      </c>
    </row>
    <row r="220">
      <c r="A220" s="157">
        <v>219.0</v>
      </c>
      <c r="B220" s="158" t="s">
        <v>3441</v>
      </c>
    </row>
    <row r="221">
      <c r="A221" s="157">
        <v>220.0</v>
      </c>
      <c r="B221" s="158" t="s">
        <v>3442</v>
      </c>
    </row>
    <row r="222">
      <c r="A222" s="157">
        <v>221.0</v>
      </c>
      <c r="B222" s="158" t="s">
        <v>3443</v>
      </c>
    </row>
    <row r="223">
      <c r="A223" s="157">
        <v>222.0</v>
      </c>
      <c r="B223" s="158" t="s">
        <v>3444</v>
      </c>
    </row>
    <row r="224">
      <c r="A224" s="157">
        <v>223.0</v>
      </c>
      <c r="B224" s="158" t="s">
        <v>3445</v>
      </c>
    </row>
    <row r="225">
      <c r="A225" s="157">
        <v>224.0</v>
      </c>
      <c r="B225" s="159" t="s">
        <v>3446</v>
      </c>
    </row>
    <row r="226">
      <c r="A226" s="157">
        <v>225.0</v>
      </c>
      <c r="B226" s="158" t="s">
        <v>3447</v>
      </c>
    </row>
    <row r="227">
      <c r="A227" s="157">
        <v>226.0</v>
      </c>
      <c r="B227" s="158" t="s">
        <v>3448</v>
      </c>
    </row>
    <row r="228">
      <c r="A228" s="157">
        <v>227.0</v>
      </c>
      <c r="B228" s="159" t="s">
        <v>3449</v>
      </c>
    </row>
    <row r="229">
      <c r="A229" s="157">
        <v>228.0</v>
      </c>
      <c r="B229" s="158" t="s">
        <v>3450</v>
      </c>
    </row>
    <row r="230">
      <c r="A230" s="157">
        <v>229.0</v>
      </c>
      <c r="B230" s="158" t="s">
        <v>3451</v>
      </c>
    </row>
    <row r="231">
      <c r="A231" s="157">
        <v>230.0</v>
      </c>
      <c r="B231" s="158" t="s">
        <v>3452</v>
      </c>
    </row>
    <row r="232">
      <c r="A232" s="157">
        <v>231.0</v>
      </c>
      <c r="B232" s="158" t="s">
        <v>3453</v>
      </c>
    </row>
    <row r="233">
      <c r="A233" s="157">
        <v>232.0</v>
      </c>
      <c r="B233" s="158" t="s">
        <v>3454</v>
      </c>
    </row>
    <row r="234">
      <c r="A234" s="157">
        <v>233.0</v>
      </c>
      <c r="B234" s="158" t="s">
        <v>3455</v>
      </c>
    </row>
    <row r="235">
      <c r="A235" s="157">
        <v>234.0</v>
      </c>
      <c r="B235" s="158" t="s">
        <v>3456</v>
      </c>
    </row>
    <row r="236">
      <c r="A236" s="157">
        <v>235.0</v>
      </c>
      <c r="B236" s="158" t="s">
        <v>3457</v>
      </c>
    </row>
    <row r="237">
      <c r="A237" s="157">
        <v>236.0</v>
      </c>
      <c r="B237" s="158" t="s">
        <v>3458</v>
      </c>
    </row>
    <row r="238">
      <c r="A238" s="157">
        <v>237.0</v>
      </c>
      <c r="B238" s="158" t="s">
        <v>3459</v>
      </c>
    </row>
    <row r="239">
      <c r="A239" s="157">
        <v>238.0</v>
      </c>
      <c r="B239" s="158" t="s">
        <v>3460</v>
      </c>
    </row>
    <row r="240">
      <c r="A240" s="157">
        <v>239.0</v>
      </c>
      <c r="B240" s="158" t="s">
        <v>3461</v>
      </c>
    </row>
    <row r="241">
      <c r="A241" s="157">
        <v>240.0</v>
      </c>
      <c r="B241" s="159" t="s">
        <v>3462</v>
      </c>
    </row>
    <row r="242">
      <c r="A242" s="157">
        <v>241.0</v>
      </c>
      <c r="B242" s="158" t="s">
        <v>3463</v>
      </c>
    </row>
    <row r="243">
      <c r="A243" s="157">
        <v>242.0</v>
      </c>
      <c r="B243" s="158" t="s">
        <v>3464</v>
      </c>
    </row>
    <row r="244">
      <c r="A244" s="157">
        <v>243.0</v>
      </c>
      <c r="B244" s="159" t="s">
        <v>3465</v>
      </c>
    </row>
    <row r="245">
      <c r="A245" s="157">
        <v>244.0</v>
      </c>
      <c r="B245" s="159" t="s">
        <v>3466</v>
      </c>
    </row>
    <row r="246">
      <c r="A246" s="157">
        <v>245.0</v>
      </c>
      <c r="B246" s="159" t="s">
        <v>3467</v>
      </c>
    </row>
    <row r="247">
      <c r="A247" s="157">
        <v>246.0</v>
      </c>
      <c r="B247" s="158" t="s">
        <v>3468</v>
      </c>
    </row>
    <row r="248">
      <c r="A248" s="157">
        <v>247.0</v>
      </c>
      <c r="B248" s="158" t="s">
        <v>3469</v>
      </c>
    </row>
    <row r="249">
      <c r="A249" s="157">
        <v>248.0</v>
      </c>
      <c r="B249" s="158" t="s">
        <v>3470</v>
      </c>
    </row>
    <row r="250">
      <c r="A250" s="157">
        <v>249.0</v>
      </c>
      <c r="B250" s="158" t="s">
        <v>3471</v>
      </c>
    </row>
    <row r="251">
      <c r="A251" s="157">
        <v>250.0</v>
      </c>
      <c r="B251" s="158" t="s">
        <v>3472</v>
      </c>
    </row>
    <row r="252">
      <c r="A252" s="157">
        <v>251.0</v>
      </c>
      <c r="B252" s="158" t="s">
        <v>3473</v>
      </c>
    </row>
    <row r="253">
      <c r="A253" s="157">
        <v>252.0</v>
      </c>
      <c r="B253" s="158" t="s">
        <v>3474</v>
      </c>
    </row>
    <row r="254">
      <c r="A254" s="157">
        <v>253.0</v>
      </c>
      <c r="B254" s="159" t="s">
        <v>3475</v>
      </c>
    </row>
    <row r="255">
      <c r="A255" s="157">
        <v>254.0</v>
      </c>
      <c r="B255" s="159" t="s">
        <v>3476</v>
      </c>
    </row>
    <row r="256">
      <c r="A256" s="157">
        <v>255.0</v>
      </c>
      <c r="B256" s="160" t="s">
        <v>3477</v>
      </c>
    </row>
    <row r="257">
      <c r="A257" s="157">
        <v>256.0</v>
      </c>
      <c r="B257" s="160" t="s">
        <v>3478</v>
      </c>
    </row>
    <row r="258">
      <c r="A258" s="157">
        <v>257.0</v>
      </c>
      <c r="B258" s="159" t="s">
        <v>3479</v>
      </c>
    </row>
    <row r="259">
      <c r="A259" s="157">
        <v>258.0</v>
      </c>
      <c r="B259" s="159" t="s">
        <v>3480</v>
      </c>
    </row>
    <row r="260">
      <c r="A260" s="157">
        <v>259.0</v>
      </c>
      <c r="B260" s="159" t="s">
        <v>3481</v>
      </c>
    </row>
    <row r="261">
      <c r="A261" s="157">
        <v>260.0</v>
      </c>
      <c r="B261" s="159" t="s">
        <v>3482</v>
      </c>
    </row>
    <row r="262">
      <c r="A262" s="157">
        <v>261.0</v>
      </c>
      <c r="B262" s="159" t="s">
        <v>3483</v>
      </c>
    </row>
    <row r="263">
      <c r="A263" s="157">
        <v>262.0</v>
      </c>
      <c r="B263" s="158" t="s">
        <v>3484</v>
      </c>
    </row>
    <row r="264">
      <c r="A264" s="157">
        <v>263.0</v>
      </c>
      <c r="B264" s="158" t="s">
        <v>3485</v>
      </c>
    </row>
    <row r="265">
      <c r="A265" s="157">
        <v>264.0</v>
      </c>
      <c r="B265" s="158" t="s">
        <v>3486</v>
      </c>
    </row>
    <row r="266">
      <c r="A266" s="157">
        <v>265.0</v>
      </c>
      <c r="B266" s="158" t="s">
        <v>3487</v>
      </c>
    </row>
    <row r="267">
      <c r="A267" s="157">
        <v>266.0</v>
      </c>
      <c r="B267" s="158" t="s">
        <v>3488</v>
      </c>
    </row>
    <row r="268">
      <c r="A268" s="157">
        <v>267.0</v>
      </c>
      <c r="B268" s="158" t="s">
        <v>3489</v>
      </c>
    </row>
    <row r="269">
      <c r="A269" s="157">
        <v>268.0</v>
      </c>
      <c r="B269" s="158" t="s">
        <v>3490</v>
      </c>
    </row>
    <row r="270">
      <c r="A270" s="157">
        <v>269.0</v>
      </c>
      <c r="B270" s="158" t="s">
        <v>3491</v>
      </c>
    </row>
    <row r="271">
      <c r="A271" s="157">
        <v>270.0</v>
      </c>
      <c r="B271" s="158" t="s">
        <v>3492</v>
      </c>
    </row>
    <row r="272">
      <c r="A272" s="157">
        <v>271.0</v>
      </c>
      <c r="B272" s="158" t="s">
        <v>3493</v>
      </c>
    </row>
    <row r="273">
      <c r="A273" s="157">
        <v>272.0</v>
      </c>
      <c r="B273" s="158" t="s">
        <v>3494</v>
      </c>
    </row>
    <row r="274">
      <c r="A274" s="157">
        <v>273.0</v>
      </c>
      <c r="B274" s="158" t="s">
        <v>3495</v>
      </c>
    </row>
    <row r="275">
      <c r="A275" s="157">
        <v>274.0</v>
      </c>
      <c r="B275" s="158" t="s">
        <v>3496</v>
      </c>
    </row>
    <row r="276">
      <c r="A276" s="157">
        <v>275.0</v>
      </c>
      <c r="B276" s="158" t="s">
        <v>3497</v>
      </c>
    </row>
    <row r="277">
      <c r="A277" s="157">
        <v>276.0</v>
      </c>
      <c r="B277" s="158" t="s">
        <v>3498</v>
      </c>
    </row>
    <row r="278">
      <c r="A278" s="157">
        <v>277.0</v>
      </c>
      <c r="B278" s="158" t="s">
        <v>3499</v>
      </c>
    </row>
    <row r="279">
      <c r="A279" s="157">
        <v>278.0</v>
      </c>
      <c r="B279" s="158" t="s">
        <v>3500</v>
      </c>
    </row>
    <row r="280">
      <c r="A280" s="157">
        <v>279.0</v>
      </c>
      <c r="B280" s="158" t="s">
        <v>3501</v>
      </c>
    </row>
    <row r="281">
      <c r="A281" s="157">
        <v>280.0</v>
      </c>
      <c r="B281" s="158" t="s">
        <v>3502</v>
      </c>
    </row>
    <row r="282">
      <c r="A282" s="157">
        <v>281.0</v>
      </c>
      <c r="B282" s="158" t="s">
        <v>3503</v>
      </c>
    </row>
    <row r="283">
      <c r="A283" s="157">
        <v>282.0</v>
      </c>
      <c r="B283" s="158" t="s">
        <v>3504</v>
      </c>
    </row>
    <row r="284">
      <c r="A284" s="157">
        <v>283.0</v>
      </c>
      <c r="B284" s="158" t="s">
        <v>3505</v>
      </c>
    </row>
    <row r="285">
      <c r="A285" s="157">
        <v>284.0</v>
      </c>
      <c r="B285" s="158" t="s">
        <v>3506</v>
      </c>
    </row>
    <row r="286">
      <c r="A286" s="157">
        <v>285.0</v>
      </c>
      <c r="B286" s="158" t="s">
        <v>3507</v>
      </c>
    </row>
    <row r="287">
      <c r="A287" s="157">
        <v>286.0</v>
      </c>
      <c r="B287" s="158" t="s">
        <v>3508</v>
      </c>
    </row>
    <row r="288">
      <c r="A288" s="157">
        <v>287.0</v>
      </c>
      <c r="B288" s="158" t="s">
        <v>3509</v>
      </c>
    </row>
    <row r="289">
      <c r="A289" s="157">
        <v>288.0</v>
      </c>
      <c r="B289" s="158" t="s">
        <v>3510</v>
      </c>
    </row>
    <row r="290">
      <c r="A290" s="157">
        <v>289.0</v>
      </c>
      <c r="B290" s="158" t="s">
        <v>3511</v>
      </c>
    </row>
    <row r="291">
      <c r="A291" s="157">
        <v>290.0</v>
      </c>
      <c r="B291" s="158" t="s">
        <v>3512</v>
      </c>
    </row>
    <row r="292">
      <c r="A292" s="157">
        <v>291.0</v>
      </c>
      <c r="B292" s="158" t="s">
        <v>3513</v>
      </c>
    </row>
    <row r="293">
      <c r="A293" s="157">
        <v>292.0</v>
      </c>
      <c r="B293" s="160" t="s">
        <v>3514</v>
      </c>
    </row>
    <row r="294">
      <c r="A294" s="157">
        <v>293.0</v>
      </c>
      <c r="B294" s="158" t="s">
        <v>3515</v>
      </c>
    </row>
    <row r="295">
      <c r="A295" s="157">
        <v>294.0</v>
      </c>
      <c r="B295" s="160" t="s">
        <v>3516</v>
      </c>
    </row>
    <row r="296">
      <c r="A296" s="157">
        <v>295.0</v>
      </c>
      <c r="B296" s="160" t="s">
        <v>3517</v>
      </c>
    </row>
    <row r="297">
      <c r="A297" s="157">
        <v>296.0</v>
      </c>
      <c r="B297" s="158" t="s">
        <v>3425</v>
      </c>
    </row>
    <row r="298">
      <c r="A298" s="157">
        <v>297.0</v>
      </c>
      <c r="B298" s="158" t="s">
        <v>3426</v>
      </c>
    </row>
    <row r="299">
      <c r="A299" s="157">
        <v>298.0</v>
      </c>
      <c r="B299" s="158" t="s">
        <v>3427</v>
      </c>
    </row>
    <row r="300">
      <c r="A300" s="157">
        <v>299.0</v>
      </c>
      <c r="B300" s="158" t="s">
        <v>3518</v>
      </c>
    </row>
    <row r="301">
      <c r="A301" s="157">
        <v>300.0</v>
      </c>
      <c r="B301" s="158" t="s">
        <v>3519</v>
      </c>
    </row>
    <row r="302">
      <c r="A302" s="157">
        <v>301.0</v>
      </c>
      <c r="B302" s="158" t="s">
        <v>3520</v>
      </c>
    </row>
    <row r="303">
      <c r="A303" s="157">
        <v>302.0</v>
      </c>
      <c r="B303" s="158" t="s">
        <v>3521</v>
      </c>
    </row>
    <row r="304">
      <c r="A304" s="157">
        <v>303.0</v>
      </c>
      <c r="B304" s="158" t="s">
        <v>3522</v>
      </c>
    </row>
    <row r="305">
      <c r="A305" s="157">
        <v>304.0</v>
      </c>
      <c r="B305" s="158" t="s">
        <v>3523</v>
      </c>
    </row>
    <row r="306">
      <c r="A306" s="157">
        <v>305.0</v>
      </c>
      <c r="B306" s="158" t="s">
        <v>3524</v>
      </c>
    </row>
    <row r="307">
      <c r="A307" s="157">
        <v>306.0</v>
      </c>
      <c r="B307" s="160" t="s">
        <v>3525</v>
      </c>
    </row>
    <row r="308">
      <c r="A308" s="157">
        <v>307.0</v>
      </c>
      <c r="B308" s="160" t="s">
        <v>3526</v>
      </c>
    </row>
    <row r="309">
      <c r="A309" s="157">
        <v>308.0</v>
      </c>
      <c r="B309" s="160" t="s">
        <v>3527</v>
      </c>
    </row>
    <row r="310">
      <c r="A310" s="157">
        <v>309.0</v>
      </c>
      <c r="B310" s="160" t="s">
        <v>3528</v>
      </c>
    </row>
    <row r="311">
      <c r="A311" s="157">
        <v>310.0</v>
      </c>
      <c r="B311" s="159" t="s">
        <v>3529</v>
      </c>
    </row>
    <row r="312">
      <c r="A312" s="157">
        <v>311.0</v>
      </c>
      <c r="B312" s="159" t="s">
        <v>3530</v>
      </c>
    </row>
    <row r="313">
      <c r="A313" s="157">
        <v>312.0</v>
      </c>
      <c r="B313" s="159" t="s">
        <v>3531</v>
      </c>
    </row>
    <row r="314">
      <c r="A314" s="157">
        <v>313.0</v>
      </c>
      <c r="B314" s="159" t="s">
        <v>3532</v>
      </c>
    </row>
    <row r="315">
      <c r="A315" s="157">
        <v>314.0</v>
      </c>
      <c r="B315" s="159" t="s">
        <v>3533</v>
      </c>
    </row>
    <row r="316">
      <c r="A316" s="157">
        <v>315.0</v>
      </c>
      <c r="B316" s="159" t="s">
        <v>3534</v>
      </c>
    </row>
    <row r="317">
      <c r="A317" s="157">
        <v>316.0</v>
      </c>
      <c r="B317" s="159" t="s">
        <v>3535</v>
      </c>
    </row>
    <row r="318">
      <c r="A318" s="157">
        <v>317.0</v>
      </c>
      <c r="B318" s="159" t="s">
        <v>3536</v>
      </c>
    </row>
    <row r="319">
      <c r="A319" s="157">
        <v>318.0</v>
      </c>
      <c r="B319" s="159" t="s">
        <v>3537</v>
      </c>
    </row>
    <row r="320">
      <c r="A320" s="157">
        <v>319.0</v>
      </c>
      <c r="B320" s="159" t="s">
        <v>3538</v>
      </c>
    </row>
    <row r="321">
      <c r="A321" s="157">
        <v>320.0</v>
      </c>
      <c r="B321" s="159" t="s">
        <v>3539</v>
      </c>
    </row>
    <row r="322">
      <c r="A322" s="157">
        <v>321.0</v>
      </c>
      <c r="B322" s="159" t="s">
        <v>3540</v>
      </c>
    </row>
    <row r="323">
      <c r="A323" s="157">
        <v>322.0</v>
      </c>
      <c r="B323" s="159" t="s">
        <v>3541</v>
      </c>
    </row>
    <row r="324">
      <c r="A324" s="157">
        <v>323.0</v>
      </c>
      <c r="B324" s="159" t="s">
        <v>3542</v>
      </c>
    </row>
    <row r="325">
      <c r="A325" s="157">
        <v>324.0</v>
      </c>
      <c r="B325" s="159" t="s">
        <v>3543</v>
      </c>
    </row>
    <row r="326">
      <c r="A326" s="157">
        <v>325.0</v>
      </c>
      <c r="B326" s="159" t="s">
        <v>3544</v>
      </c>
    </row>
    <row r="327">
      <c r="A327" s="157">
        <v>326.0</v>
      </c>
      <c r="B327" s="159" t="s">
        <v>3545</v>
      </c>
    </row>
    <row r="328">
      <c r="A328" s="157">
        <v>327.0</v>
      </c>
      <c r="B328" s="159" t="s">
        <v>3546</v>
      </c>
    </row>
    <row r="329">
      <c r="A329" s="157">
        <v>328.0</v>
      </c>
      <c r="B329" s="159" t="s">
        <v>3547</v>
      </c>
    </row>
    <row r="330">
      <c r="A330" s="157">
        <v>329.0</v>
      </c>
      <c r="B330" s="159" t="s">
        <v>3548</v>
      </c>
    </row>
    <row r="331">
      <c r="A331" s="157">
        <v>330.0</v>
      </c>
      <c r="B331" s="159" t="s">
        <v>3549</v>
      </c>
    </row>
    <row r="332">
      <c r="A332" s="157">
        <v>331.0</v>
      </c>
      <c r="B332" s="159" t="s">
        <v>3550</v>
      </c>
    </row>
    <row r="333">
      <c r="A333" s="157">
        <v>332.0</v>
      </c>
      <c r="B333" s="159" t="s">
        <v>3551</v>
      </c>
    </row>
    <row r="334">
      <c r="A334" s="157">
        <v>333.0</v>
      </c>
      <c r="B334" s="159" t="s">
        <v>3552</v>
      </c>
    </row>
    <row r="335">
      <c r="A335" s="157">
        <v>334.0</v>
      </c>
      <c r="B335" s="159" t="s">
        <v>3553</v>
      </c>
    </row>
    <row r="336">
      <c r="A336" s="157">
        <v>335.0</v>
      </c>
      <c r="B336" s="159" t="s">
        <v>3554</v>
      </c>
    </row>
    <row r="337">
      <c r="A337" s="157">
        <v>336.0</v>
      </c>
      <c r="B337" s="159" t="s">
        <v>3555</v>
      </c>
    </row>
    <row r="338">
      <c r="A338" s="157">
        <v>337.0</v>
      </c>
      <c r="B338" s="159" t="s">
        <v>3556</v>
      </c>
    </row>
    <row r="339">
      <c r="A339" s="157">
        <v>338.0</v>
      </c>
      <c r="B339" s="159" t="s">
        <v>3557</v>
      </c>
    </row>
    <row r="340">
      <c r="A340" s="157">
        <v>339.0</v>
      </c>
      <c r="B340" s="159" t="s">
        <v>3558</v>
      </c>
    </row>
    <row r="341">
      <c r="A341" s="157">
        <v>340.0</v>
      </c>
      <c r="B341" s="159" t="s">
        <v>3559</v>
      </c>
    </row>
    <row r="342">
      <c r="A342" s="157">
        <v>341.0</v>
      </c>
      <c r="B342" s="159" t="s">
        <v>3560</v>
      </c>
    </row>
    <row r="343">
      <c r="A343" s="157">
        <v>342.0</v>
      </c>
      <c r="B343" s="159" t="s">
        <v>3561</v>
      </c>
    </row>
    <row r="344">
      <c r="A344" s="157">
        <v>343.0</v>
      </c>
      <c r="B344" s="159" t="s">
        <v>3562</v>
      </c>
    </row>
    <row r="345">
      <c r="A345" s="157">
        <v>344.0</v>
      </c>
      <c r="B345" s="158" t="s">
        <v>3563</v>
      </c>
    </row>
    <row r="346">
      <c r="A346" s="157">
        <v>345.0</v>
      </c>
      <c r="B346" s="159" t="s">
        <v>3564</v>
      </c>
    </row>
    <row r="347">
      <c r="A347" s="157">
        <v>346.0</v>
      </c>
      <c r="B347" s="158" t="s">
        <v>3565</v>
      </c>
    </row>
    <row r="348">
      <c r="A348" s="157">
        <v>347.0</v>
      </c>
      <c r="B348" s="158" t="s">
        <v>3566</v>
      </c>
    </row>
    <row r="349">
      <c r="A349" s="157">
        <v>348.0</v>
      </c>
      <c r="B349" s="158" t="s">
        <v>3567</v>
      </c>
    </row>
    <row r="350">
      <c r="A350" s="157">
        <v>349.0</v>
      </c>
      <c r="B350" s="158" t="s">
        <v>3568</v>
      </c>
    </row>
    <row r="351">
      <c r="A351" s="157">
        <v>350.0</v>
      </c>
      <c r="B351" s="158" t="s">
        <v>3569</v>
      </c>
    </row>
    <row r="352">
      <c r="A352" s="157">
        <v>351.0</v>
      </c>
      <c r="B352" s="158" t="s">
        <v>3570</v>
      </c>
    </row>
    <row r="353">
      <c r="A353" s="157">
        <v>352.0</v>
      </c>
      <c r="B353" s="158" t="s">
        <v>3571</v>
      </c>
    </row>
    <row r="354">
      <c r="A354" s="157">
        <v>353.0</v>
      </c>
      <c r="B354" s="158" t="s">
        <v>3572</v>
      </c>
    </row>
    <row r="355">
      <c r="A355" s="157">
        <v>354.0</v>
      </c>
      <c r="B355" s="158" t="s">
        <v>3573</v>
      </c>
    </row>
    <row r="356">
      <c r="A356" s="157">
        <v>355.0</v>
      </c>
      <c r="B356" s="158" t="s">
        <v>3574</v>
      </c>
    </row>
    <row r="357">
      <c r="A357" s="157">
        <v>356.0</v>
      </c>
      <c r="B357" s="159" t="s">
        <v>3575</v>
      </c>
    </row>
    <row r="358">
      <c r="A358" s="157">
        <v>357.0</v>
      </c>
      <c r="B358" s="159" t="s">
        <v>3576</v>
      </c>
    </row>
    <row r="359">
      <c r="A359" s="157">
        <v>358.0</v>
      </c>
      <c r="B359" s="159" t="s">
        <v>3577</v>
      </c>
    </row>
    <row r="360">
      <c r="A360" s="157">
        <v>359.0</v>
      </c>
      <c r="B360" s="159" t="s">
        <v>3578</v>
      </c>
    </row>
    <row r="361">
      <c r="A361" s="157">
        <v>360.0</v>
      </c>
      <c r="B361" s="159" t="s">
        <v>3579</v>
      </c>
    </row>
    <row r="362">
      <c r="A362" s="157">
        <v>361.0</v>
      </c>
      <c r="B362" s="159" t="s">
        <v>3580</v>
      </c>
    </row>
    <row r="363">
      <c r="A363" s="157">
        <v>362.0</v>
      </c>
      <c r="B363" s="159" t="s">
        <v>3581</v>
      </c>
    </row>
    <row r="364">
      <c r="A364" s="157">
        <v>363.0</v>
      </c>
      <c r="B364" s="159" t="s">
        <v>3582</v>
      </c>
    </row>
    <row r="365">
      <c r="A365" s="157">
        <v>364.0</v>
      </c>
      <c r="B365" s="159" t="s">
        <v>3583</v>
      </c>
    </row>
    <row r="366">
      <c r="A366" s="157">
        <v>365.0</v>
      </c>
      <c r="B366" s="159" t="s">
        <v>3584</v>
      </c>
    </row>
    <row r="367">
      <c r="A367" s="157">
        <v>366.0</v>
      </c>
      <c r="B367" s="159" t="s">
        <v>3585</v>
      </c>
    </row>
    <row r="368">
      <c r="A368" s="157">
        <v>367.0</v>
      </c>
      <c r="B368" s="159" t="s">
        <v>3586</v>
      </c>
    </row>
    <row r="369">
      <c r="A369" s="157">
        <v>368.0</v>
      </c>
      <c r="B369" s="159" t="s">
        <v>3587</v>
      </c>
    </row>
    <row r="370">
      <c r="A370" s="157">
        <v>369.0</v>
      </c>
      <c r="B370" s="159" t="s">
        <v>3588</v>
      </c>
    </row>
    <row r="371">
      <c r="A371" s="157">
        <v>370.0</v>
      </c>
      <c r="B371" s="159" t="s">
        <v>3589</v>
      </c>
    </row>
    <row r="372">
      <c r="A372" s="157">
        <v>371.0</v>
      </c>
      <c r="B372" s="159" t="s">
        <v>3590</v>
      </c>
    </row>
    <row r="373">
      <c r="A373" s="157">
        <v>372.0</v>
      </c>
      <c r="B373" s="159" t="s">
        <v>3591</v>
      </c>
    </row>
    <row r="374">
      <c r="A374" s="157">
        <v>373.0</v>
      </c>
      <c r="B374" s="159" t="s">
        <v>3592</v>
      </c>
    </row>
    <row r="375">
      <c r="A375" s="157">
        <v>374.0</v>
      </c>
      <c r="B375" s="159" t="s">
        <v>3593</v>
      </c>
    </row>
    <row r="376">
      <c r="A376" s="157">
        <v>375.0</v>
      </c>
      <c r="B376" s="159" t="s">
        <v>3594</v>
      </c>
    </row>
    <row r="377">
      <c r="A377" s="157">
        <v>376.0</v>
      </c>
      <c r="B377" s="159" t="s">
        <v>3595</v>
      </c>
    </row>
    <row r="378">
      <c r="A378" s="157">
        <v>377.0</v>
      </c>
      <c r="B378" s="159" t="s">
        <v>3596</v>
      </c>
    </row>
    <row r="379">
      <c r="A379" s="157">
        <v>378.0</v>
      </c>
      <c r="B379" s="159" t="s">
        <v>3597</v>
      </c>
    </row>
    <row r="380">
      <c r="A380" s="157">
        <v>379.0</v>
      </c>
      <c r="B380" s="159" t="s">
        <v>3598</v>
      </c>
    </row>
    <row r="381">
      <c r="A381" s="157">
        <v>380.0</v>
      </c>
      <c r="B381" s="159" t="s">
        <v>3599</v>
      </c>
    </row>
    <row r="382">
      <c r="A382" s="157">
        <v>381.0</v>
      </c>
      <c r="B382" s="159" t="s">
        <v>3600</v>
      </c>
    </row>
    <row r="383">
      <c r="A383" s="157">
        <v>382.0</v>
      </c>
      <c r="B383" s="159" t="s">
        <v>3601</v>
      </c>
    </row>
    <row r="384">
      <c r="A384" s="157">
        <v>383.0</v>
      </c>
      <c r="B384" s="159" t="s">
        <v>3602</v>
      </c>
    </row>
    <row r="385">
      <c r="A385" s="157">
        <v>384.0</v>
      </c>
      <c r="B385" s="159" t="s">
        <v>3603</v>
      </c>
    </row>
    <row r="386">
      <c r="A386" s="157">
        <v>385.0</v>
      </c>
      <c r="B386" s="158" t="s">
        <v>3604</v>
      </c>
    </row>
    <row r="387">
      <c r="A387" s="157">
        <v>386.0</v>
      </c>
      <c r="B387" s="158" t="s">
        <v>3605</v>
      </c>
    </row>
    <row r="388">
      <c r="A388" s="157">
        <v>387.0</v>
      </c>
      <c r="B388" s="158" t="s">
        <v>3606</v>
      </c>
    </row>
    <row r="389">
      <c r="A389" s="157">
        <v>388.0</v>
      </c>
      <c r="B389" s="158" t="s">
        <v>3607</v>
      </c>
    </row>
    <row r="390">
      <c r="A390" s="157">
        <v>389.0</v>
      </c>
      <c r="B390" s="158" t="s">
        <v>3608</v>
      </c>
    </row>
    <row r="391">
      <c r="A391" s="157">
        <v>390.0</v>
      </c>
      <c r="B391" s="158" t="s">
        <v>3609</v>
      </c>
    </row>
    <row r="392">
      <c r="A392" s="157">
        <v>391.0</v>
      </c>
      <c r="B392" s="158" t="s">
        <v>3610</v>
      </c>
    </row>
    <row r="393">
      <c r="A393" s="157">
        <v>392.0</v>
      </c>
      <c r="B393" s="158" t="s">
        <v>3611</v>
      </c>
    </row>
    <row r="394">
      <c r="A394" s="157">
        <v>393.0</v>
      </c>
      <c r="B394" s="158" t="s">
        <v>3612</v>
      </c>
    </row>
    <row r="395">
      <c r="A395" s="157">
        <v>394.0</v>
      </c>
      <c r="B395" s="158" t="s">
        <v>3613</v>
      </c>
    </row>
    <row r="396">
      <c r="A396" s="157">
        <v>395.0</v>
      </c>
      <c r="B396" s="158" t="s">
        <v>3614</v>
      </c>
    </row>
    <row r="397">
      <c r="A397" s="157">
        <v>396.0</v>
      </c>
      <c r="B397" s="158" t="s">
        <v>3615</v>
      </c>
    </row>
    <row r="398">
      <c r="A398" s="157">
        <v>397.0</v>
      </c>
      <c r="B398" s="158" t="s">
        <v>3616</v>
      </c>
    </row>
    <row r="399">
      <c r="A399" s="157">
        <v>398.0</v>
      </c>
      <c r="B399" s="158" t="s">
        <v>3617</v>
      </c>
    </row>
    <row r="400">
      <c r="A400" s="157">
        <v>399.0</v>
      </c>
      <c r="B400" s="158" t="s">
        <v>3618</v>
      </c>
    </row>
    <row r="401">
      <c r="A401" s="157">
        <v>400.0</v>
      </c>
      <c r="B401" s="158" t="s">
        <v>3619</v>
      </c>
    </row>
    <row r="402">
      <c r="A402" s="157">
        <v>401.0</v>
      </c>
      <c r="B402" s="158" t="s">
        <v>3620</v>
      </c>
    </row>
    <row r="403">
      <c r="A403" s="157">
        <v>402.0</v>
      </c>
      <c r="B403" s="158" t="s">
        <v>3621</v>
      </c>
    </row>
    <row r="404">
      <c r="A404" s="157">
        <v>403.0</v>
      </c>
      <c r="B404" s="158" t="s">
        <v>3622</v>
      </c>
    </row>
    <row r="405">
      <c r="A405" s="157">
        <v>404.0</v>
      </c>
      <c r="B405" s="158" t="s">
        <v>3623</v>
      </c>
    </row>
    <row r="406">
      <c r="A406" s="157">
        <v>405.0</v>
      </c>
      <c r="B406" s="158" t="s">
        <v>3624</v>
      </c>
    </row>
    <row r="407">
      <c r="A407" s="157">
        <v>406.0</v>
      </c>
      <c r="B407" s="158" t="s">
        <v>3625</v>
      </c>
    </row>
    <row r="408">
      <c r="A408" s="157">
        <v>407.0</v>
      </c>
      <c r="B408" s="158" t="s">
        <v>3626</v>
      </c>
    </row>
    <row r="409">
      <c r="A409" s="157">
        <v>408.0</v>
      </c>
      <c r="B409" s="158" t="s">
        <v>3627</v>
      </c>
    </row>
    <row r="410">
      <c r="A410" s="157">
        <v>409.0</v>
      </c>
      <c r="B410" s="158" t="s">
        <v>3628</v>
      </c>
    </row>
    <row r="411">
      <c r="A411" s="157">
        <v>410.0</v>
      </c>
      <c r="B411" s="158" t="s">
        <v>3629</v>
      </c>
    </row>
    <row r="412">
      <c r="A412" s="157">
        <v>411.0</v>
      </c>
      <c r="B412" s="158" t="s">
        <v>3630</v>
      </c>
    </row>
    <row r="413">
      <c r="A413" s="157">
        <v>412.0</v>
      </c>
      <c r="B413" s="158" t="s">
        <v>3631</v>
      </c>
    </row>
    <row r="414">
      <c r="A414" s="157">
        <v>413.0</v>
      </c>
      <c r="B414" s="158" t="s">
        <v>3632</v>
      </c>
    </row>
    <row r="415">
      <c r="A415" s="157">
        <v>414.0</v>
      </c>
      <c r="B415" s="158" t="s">
        <v>3633</v>
      </c>
    </row>
    <row r="416">
      <c r="A416" s="157">
        <v>415.0</v>
      </c>
      <c r="B416" s="158" t="s">
        <v>3634</v>
      </c>
    </row>
    <row r="417">
      <c r="A417" s="157">
        <v>416.0</v>
      </c>
      <c r="B417" s="158" t="s">
        <v>3635</v>
      </c>
    </row>
    <row r="418">
      <c r="A418" s="157">
        <v>417.0</v>
      </c>
      <c r="B418" s="158" t="s">
        <v>3636</v>
      </c>
    </row>
    <row r="419">
      <c r="A419" s="157">
        <v>418.0</v>
      </c>
      <c r="B419" s="158" t="s">
        <v>3637</v>
      </c>
    </row>
    <row r="420">
      <c r="A420" s="157">
        <v>419.0</v>
      </c>
      <c r="B420" s="158" t="s">
        <v>3638</v>
      </c>
    </row>
    <row r="421">
      <c r="A421" s="157">
        <v>420.0</v>
      </c>
      <c r="B421" s="158" t="s">
        <v>3639</v>
      </c>
    </row>
    <row r="422">
      <c r="A422" s="157">
        <v>421.0</v>
      </c>
      <c r="B422" s="158" t="s">
        <v>3640</v>
      </c>
    </row>
    <row r="423">
      <c r="A423" s="157">
        <v>422.0</v>
      </c>
      <c r="B423" s="158" t="s">
        <v>3641</v>
      </c>
    </row>
    <row r="424">
      <c r="A424" s="157">
        <v>423.0</v>
      </c>
      <c r="B424" s="158" t="s">
        <v>3642</v>
      </c>
    </row>
    <row r="425">
      <c r="A425" s="157">
        <v>424.0</v>
      </c>
      <c r="B425" s="158" t="s">
        <v>3643</v>
      </c>
    </row>
    <row r="426">
      <c r="A426" s="157">
        <v>425.0</v>
      </c>
      <c r="B426" s="158" t="s">
        <v>3644</v>
      </c>
    </row>
    <row r="427">
      <c r="A427" s="157">
        <v>426.0</v>
      </c>
      <c r="B427" s="158" t="s">
        <v>3645</v>
      </c>
    </row>
    <row r="428">
      <c r="A428" s="157">
        <v>427.0</v>
      </c>
      <c r="B428" s="158" t="s">
        <v>3646</v>
      </c>
    </row>
    <row r="429">
      <c r="A429" s="157">
        <v>428.0</v>
      </c>
      <c r="B429" s="158" t="s">
        <v>3647</v>
      </c>
    </row>
    <row r="430">
      <c r="A430" s="157">
        <v>429.0</v>
      </c>
      <c r="B430" s="158" t="s">
        <v>3648</v>
      </c>
    </row>
    <row r="431">
      <c r="A431" s="157">
        <v>430.0</v>
      </c>
      <c r="B431" s="158" t="s">
        <v>3649</v>
      </c>
    </row>
    <row r="432">
      <c r="A432" s="157">
        <v>431.0</v>
      </c>
      <c r="B432" s="158" t="s">
        <v>3650</v>
      </c>
    </row>
    <row r="433">
      <c r="A433" s="157">
        <v>432.0</v>
      </c>
      <c r="B433" s="158" t="s">
        <v>3651</v>
      </c>
    </row>
    <row r="434">
      <c r="A434" s="157">
        <v>433.0</v>
      </c>
      <c r="B434" s="158" t="s">
        <v>3652</v>
      </c>
    </row>
    <row r="435">
      <c r="A435" s="157">
        <v>434.0</v>
      </c>
      <c r="B435" s="158" t="s">
        <v>3653</v>
      </c>
    </row>
    <row r="436">
      <c r="A436" s="157">
        <v>435.0</v>
      </c>
      <c r="B436" s="158" t="s">
        <v>3654</v>
      </c>
    </row>
    <row r="437">
      <c r="A437" s="157">
        <v>436.0</v>
      </c>
      <c r="B437" s="158" t="s">
        <v>3655</v>
      </c>
    </row>
    <row r="438">
      <c r="A438" s="157">
        <v>437.0</v>
      </c>
      <c r="B438" s="158" t="s">
        <v>3656</v>
      </c>
    </row>
    <row r="439">
      <c r="A439" s="157">
        <v>438.0</v>
      </c>
      <c r="B439" s="158" t="s">
        <v>3657</v>
      </c>
    </row>
    <row r="440">
      <c r="A440" s="157">
        <v>439.0</v>
      </c>
      <c r="B440" s="158" t="s">
        <v>3658</v>
      </c>
    </row>
    <row r="441">
      <c r="A441" s="157">
        <v>440.0</v>
      </c>
      <c r="B441" s="158" t="s">
        <v>3659</v>
      </c>
    </row>
    <row r="442">
      <c r="A442" s="157">
        <v>441.0</v>
      </c>
      <c r="B442" s="158" t="s">
        <v>3660</v>
      </c>
    </row>
    <row r="443">
      <c r="A443" s="157">
        <v>442.0</v>
      </c>
      <c r="B443" s="158" t="s">
        <v>3661</v>
      </c>
    </row>
    <row r="444">
      <c r="A444" s="157">
        <v>443.0</v>
      </c>
      <c r="B444" s="158" t="s">
        <v>3662</v>
      </c>
    </row>
    <row r="445">
      <c r="A445" s="157">
        <v>444.0</v>
      </c>
      <c r="B445" s="158" t="s">
        <v>3663</v>
      </c>
    </row>
    <row r="446">
      <c r="A446" s="157">
        <v>445.0</v>
      </c>
      <c r="B446" s="159" t="s">
        <v>3664</v>
      </c>
    </row>
    <row r="447">
      <c r="A447" s="157">
        <v>446.0</v>
      </c>
      <c r="B447" s="159" t="s">
        <v>3665</v>
      </c>
    </row>
    <row r="448">
      <c r="A448" s="157">
        <v>447.0</v>
      </c>
      <c r="B448" s="159" t="s">
        <v>3666</v>
      </c>
    </row>
    <row r="449">
      <c r="A449" s="157">
        <v>448.0</v>
      </c>
      <c r="B449" s="159" t="s">
        <v>3667</v>
      </c>
    </row>
    <row r="450">
      <c r="A450" s="157">
        <v>449.0</v>
      </c>
      <c r="B450" s="159" t="s">
        <v>3668</v>
      </c>
    </row>
    <row r="451">
      <c r="A451" s="157">
        <v>450.0</v>
      </c>
      <c r="B451" s="159" t="s">
        <v>3669</v>
      </c>
    </row>
    <row r="452">
      <c r="A452" s="157">
        <v>451.0</v>
      </c>
      <c r="B452" s="158" t="s">
        <v>3670</v>
      </c>
    </row>
    <row r="453">
      <c r="A453" s="157">
        <v>452.0</v>
      </c>
      <c r="B453" s="160" t="s">
        <v>3671</v>
      </c>
    </row>
    <row r="454">
      <c r="A454" s="157">
        <v>453.0</v>
      </c>
      <c r="B454" s="160" t="s">
        <v>3672</v>
      </c>
    </row>
    <row r="455">
      <c r="A455" s="157">
        <v>454.0</v>
      </c>
      <c r="B455" s="160" t="s">
        <v>3673</v>
      </c>
    </row>
    <row r="456">
      <c r="A456" s="157">
        <v>455.0</v>
      </c>
      <c r="B456" s="160" t="s">
        <v>3674</v>
      </c>
    </row>
    <row r="457">
      <c r="A457" s="157">
        <v>456.0</v>
      </c>
      <c r="B457" s="160" t="s">
        <v>3675</v>
      </c>
    </row>
    <row r="458">
      <c r="A458" s="157">
        <v>457.0</v>
      </c>
      <c r="B458" s="160" t="s">
        <v>3676</v>
      </c>
    </row>
    <row r="459">
      <c r="A459" s="157">
        <v>458.0</v>
      </c>
      <c r="B459" s="158" t="s">
        <v>3677</v>
      </c>
    </row>
    <row r="460">
      <c r="A460" s="157">
        <v>459.0</v>
      </c>
      <c r="B460" s="158" t="s">
        <v>3678</v>
      </c>
    </row>
    <row r="461">
      <c r="A461" s="157">
        <v>460.0</v>
      </c>
      <c r="B461" s="159" t="s">
        <v>3679</v>
      </c>
    </row>
    <row r="462">
      <c r="A462" s="157">
        <v>461.0</v>
      </c>
      <c r="B462" s="158" t="s">
        <v>3680</v>
      </c>
    </row>
    <row r="463">
      <c r="A463" s="157">
        <v>462.0</v>
      </c>
      <c r="B463" s="158" t="s">
        <v>3681</v>
      </c>
    </row>
    <row r="464">
      <c r="A464" s="157">
        <v>463.0</v>
      </c>
      <c r="B464" s="158" t="s">
        <v>3682</v>
      </c>
    </row>
    <row r="465">
      <c r="A465" s="157">
        <v>464.0</v>
      </c>
      <c r="B465" s="159" t="s">
        <v>3683</v>
      </c>
    </row>
    <row r="466">
      <c r="A466" s="157">
        <v>465.0</v>
      </c>
      <c r="B466" s="159" t="s">
        <v>3684</v>
      </c>
    </row>
    <row r="467">
      <c r="A467" s="157">
        <v>466.0</v>
      </c>
      <c r="B467" s="158" t="s">
        <v>3685</v>
      </c>
    </row>
    <row r="468">
      <c r="A468" s="157">
        <v>467.0</v>
      </c>
      <c r="B468" s="158" t="s">
        <v>3686</v>
      </c>
    </row>
    <row r="469">
      <c r="A469" s="157">
        <v>468.0</v>
      </c>
      <c r="B469" s="159" t="s">
        <v>3687</v>
      </c>
    </row>
    <row r="470">
      <c r="A470" s="157">
        <v>469.0</v>
      </c>
      <c r="B470" s="159" t="s">
        <v>3688</v>
      </c>
    </row>
    <row r="471">
      <c r="A471" s="157">
        <v>470.0</v>
      </c>
      <c r="B471" s="159" t="s">
        <v>3689</v>
      </c>
    </row>
    <row r="472">
      <c r="A472" s="157">
        <v>471.0</v>
      </c>
      <c r="B472" s="159" t="s">
        <v>3690</v>
      </c>
    </row>
    <row r="473">
      <c r="A473" s="157">
        <v>472.0</v>
      </c>
      <c r="B473" s="159" t="s">
        <v>3691</v>
      </c>
    </row>
    <row r="474">
      <c r="A474" s="157">
        <v>473.0</v>
      </c>
      <c r="B474" s="159" t="s">
        <v>3692</v>
      </c>
    </row>
    <row r="475">
      <c r="A475" s="157">
        <v>474.0</v>
      </c>
      <c r="B475" s="159" t="s">
        <v>3693</v>
      </c>
    </row>
    <row r="476">
      <c r="A476" s="157">
        <v>475.0</v>
      </c>
      <c r="B476" s="158" t="s">
        <v>3694</v>
      </c>
    </row>
    <row r="477">
      <c r="A477" s="157">
        <v>476.0</v>
      </c>
      <c r="B477" s="158" t="s">
        <v>3695</v>
      </c>
    </row>
    <row r="478">
      <c r="A478" s="157">
        <v>477.0</v>
      </c>
      <c r="B478" s="158" t="s">
        <v>3696</v>
      </c>
    </row>
    <row r="479">
      <c r="A479" s="157">
        <v>478.0</v>
      </c>
      <c r="B479" s="158" t="s">
        <v>3697</v>
      </c>
    </row>
    <row r="480">
      <c r="A480" s="157">
        <v>479.0</v>
      </c>
      <c r="B480" s="158" t="s">
        <v>3698</v>
      </c>
    </row>
    <row r="481">
      <c r="A481" s="157">
        <v>480.0</v>
      </c>
      <c r="B481" s="158" t="s">
        <v>3699</v>
      </c>
    </row>
    <row r="482">
      <c r="A482" s="157">
        <v>481.0</v>
      </c>
      <c r="B482" s="158" t="s">
        <v>3700</v>
      </c>
    </row>
    <row r="483">
      <c r="A483" s="157">
        <v>482.0</v>
      </c>
      <c r="B483" s="158" t="s">
        <v>3701</v>
      </c>
    </row>
    <row r="484">
      <c r="A484" s="157">
        <v>483.0</v>
      </c>
      <c r="B484" s="158" t="s">
        <v>3702</v>
      </c>
    </row>
    <row r="485">
      <c r="A485" s="157">
        <v>484.0</v>
      </c>
      <c r="B485" s="158" t="s">
        <v>3703</v>
      </c>
    </row>
    <row r="486">
      <c r="A486" s="157">
        <v>485.0</v>
      </c>
      <c r="B486" s="159" t="s">
        <v>3704</v>
      </c>
    </row>
    <row r="487">
      <c r="A487" s="157">
        <v>486.0</v>
      </c>
      <c r="B487" s="159" t="s">
        <v>3705</v>
      </c>
    </row>
    <row r="488">
      <c r="A488" s="157">
        <v>487.0</v>
      </c>
      <c r="B488" s="159" t="s">
        <v>3706</v>
      </c>
    </row>
    <row r="489">
      <c r="A489" s="157">
        <v>488.0</v>
      </c>
      <c r="B489" s="159" t="s">
        <v>3707</v>
      </c>
    </row>
    <row r="490">
      <c r="A490" s="157">
        <v>489.0</v>
      </c>
      <c r="B490" s="159" t="s">
        <v>3708</v>
      </c>
    </row>
    <row r="491">
      <c r="A491" s="157">
        <v>490.0</v>
      </c>
      <c r="B491" s="159" t="s">
        <v>3709</v>
      </c>
    </row>
    <row r="492">
      <c r="A492" s="157">
        <v>491.0</v>
      </c>
      <c r="B492" s="159" t="s">
        <v>3710</v>
      </c>
    </row>
    <row r="493">
      <c r="A493" s="157">
        <v>492.0</v>
      </c>
      <c r="B493" s="159" t="s">
        <v>3711</v>
      </c>
    </row>
    <row r="494">
      <c r="A494" s="157">
        <v>493.0</v>
      </c>
      <c r="B494" s="159" t="s">
        <v>3712</v>
      </c>
    </row>
    <row r="495">
      <c r="A495" s="157">
        <v>494.0</v>
      </c>
      <c r="B495" s="159" t="s">
        <v>3713</v>
      </c>
    </row>
    <row r="496">
      <c r="A496" s="157">
        <v>495.0</v>
      </c>
      <c r="B496" s="159" t="s">
        <v>3714</v>
      </c>
    </row>
    <row r="497">
      <c r="A497" s="157">
        <v>496.0</v>
      </c>
      <c r="B497" s="159" t="s">
        <v>3715</v>
      </c>
    </row>
    <row r="498">
      <c r="A498" s="157">
        <v>497.0</v>
      </c>
      <c r="B498" s="159" t="s">
        <v>3716</v>
      </c>
    </row>
    <row r="499">
      <c r="A499" s="157">
        <v>498.0</v>
      </c>
      <c r="B499" s="158" t="s">
        <v>3717</v>
      </c>
    </row>
    <row r="500">
      <c r="A500" s="157">
        <v>499.0</v>
      </c>
      <c r="B500" s="158" t="s">
        <v>3718</v>
      </c>
    </row>
    <row r="501">
      <c r="A501" s="157">
        <v>500.0</v>
      </c>
      <c r="B501" s="158" t="s">
        <v>3719</v>
      </c>
    </row>
    <row r="502">
      <c r="A502" s="157">
        <v>501.0</v>
      </c>
      <c r="B502" s="158" t="s">
        <v>3720</v>
      </c>
    </row>
    <row r="503">
      <c r="A503" s="157">
        <v>502.0</v>
      </c>
      <c r="B503" s="158" t="s">
        <v>3721</v>
      </c>
    </row>
    <row r="504">
      <c r="A504" s="157">
        <v>503.0</v>
      </c>
      <c r="B504" s="158" t="s">
        <v>3722</v>
      </c>
    </row>
    <row r="505">
      <c r="A505" s="157">
        <v>504.0</v>
      </c>
      <c r="B505" s="160" t="s">
        <v>3723</v>
      </c>
    </row>
    <row r="506">
      <c r="A506" s="157">
        <v>505.0</v>
      </c>
      <c r="B506" s="160" t="s">
        <v>3724</v>
      </c>
    </row>
    <row r="507">
      <c r="A507" s="157">
        <v>506.0</v>
      </c>
      <c r="B507" s="160" t="s">
        <v>3725</v>
      </c>
    </row>
    <row r="508">
      <c r="A508" s="157">
        <v>507.0</v>
      </c>
      <c r="B508" s="162" t="s">
        <v>3726</v>
      </c>
    </row>
    <row r="509">
      <c r="A509" s="157">
        <v>508.0</v>
      </c>
      <c r="B509" s="160" t="s">
        <v>3727</v>
      </c>
    </row>
    <row r="510">
      <c r="A510" s="157">
        <v>509.0</v>
      </c>
      <c r="B510" s="160" t="s">
        <v>3728</v>
      </c>
    </row>
    <row r="511">
      <c r="A511" s="157">
        <v>510.0</v>
      </c>
      <c r="B511" s="160" t="s">
        <v>3729</v>
      </c>
    </row>
    <row r="512">
      <c r="A512" s="157">
        <v>511.0</v>
      </c>
      <c r="B512" s="159" t="s">
        <v>3730</v>
      </c>
    </row>
    <row r="513">
      <c r="A513" s="157">
        <v>512.0</v>
      </c>
      <c r="B513" s="159" t="s">
        <v>3731</v>
      </c>
    </row>
    <row r="514">
      <c r="A514" s="157">
        <v>513.0</v>
      </c>
      <c r="B514" s="159" t="s">
        <v>3732</v>
      </c>
    </row>
    <row r="515">
      <c r="A515" s="157">
        <v>514.0</v>
      </c>
      <c r="B515" s="159" t="s">
        <v>3733</v>
      </c>
    </row>
    <row r="516">
      <c r="A516" s="157">
        <v>515.0</v>
      </c>
      <c r="B516" s="158" t="s">
        <v>3734</v>
      </c>
    </row>
    <row r="517">
      <c r="A517" s="157">
        <v>516.0</v>
      </c>
      <c r="B517" s="158" t="s">
        <v>3735</v>
      </c>
    </row>
    <row r="518">
      <c r="A518" s="157">
        <v>517.0</v>
      </c>
      <c r="B518" s="158" t="s">
        <v>3736</v>
      </c>
    </row>
    <row r="519">
      <c r="A519" s="157">
        <v>518.0</v>
      </c>
      <c r="B519" s="159" t="s">
        <v>3737</v>
      </c>
    </row>
    <row r="520">
      <c r="A520" s="157">
        <v>519.0</v>
      </c>
      <c r="B520" s="159" t="s">
        <v>3738</v>
      </c>
    </row>
    <row r="521">
      <c r="A521" s="157">
        <v>520.0</v>
      </c>
      <c r="B521" s="159" t="s">
        <v>3739</v>
      </c>
    </row>
    <row r="522">
      <c r="A522" s="157">
        <v>521.0</v>
      </c>
      <c r="B522" s="158" t="s">
        <v>3740</v>
      </c>
    </row>
    <row r="523">
      <c r="A523" s="157">
        <v>522.0</v>
      </c>
      <c r="B523" s="158" t="s">
        <v>3741</v>
      </c>
    </row>
    <row r="524">
      <c r="A524" s="157">
        <v>523.0</v>
      </c>
      <c r="B524" s="158" t="s">
        <v>3742</v>
      </c>
    </row>
    <row r="525">
      <c r="A525" s="157">
        <v>524.0</v>
      </c>
      <c r="B525" s="158" t="s">
        <v>3743</v>
      </c>
    </row>
    <row r="526">
      <c r="A526" s="157">
        <v>525.0</v>
      </c>
      <c r="B526" s="158" t="s">
        <v>3744</v>
      </c>
    </row>
    <row r="527">
      <c r="A527" s="157">
        <v>526.0</v>
      </c>
      <c r="B527" s="158" t="s">
        <v>3745</v>
      </c>
    </row>
    <row r="528">
      <c r="A528" s="157">
        <v>527.0</v>
      </c>
      <c r="B528" s="158" t="s">
        <v>3746</v>
      </c>
    </row>
    <row r="529">
      <c r="A529" s="157">
        <v>528.0</v>
      </c>
      <c r="B529" s="158" t="s">
        <v>3747</v>
      </c>
    </row>
    <row r="530">
      <c r="A530" s="157">
        <v>529.0</v>
      </c>
      <c r="B530" s="158" t="s">
        <v>3748</v>
      </c>
    </row>
    <row r="531">
      <c r="A531" s="157">
        <v>530.0</v>
      </c>
      <c r="B531" s="158" t="s">
        <v>3749</v>
      </c>
    </row>
    <row r="532">
      <c r="A532" s="157">
        <v>531.0</v>
      </c>
      <c r="B532" s="158" t="s">
        <v>3750</v>
      </c>
    </row>
    <row r="533">
      <c r="A533" s="157">
        <v>532.0</v>
      </c>
      <c r="B533" s="158" t="s">
        <v>3751</v>
      </c>
    </row>
    <row r="534">
      <c r="A534" s="157">
        <v>533.0</v>
      </c>
      <c r="B534" s="158" t="s">
        <v>3752</v>
      </c>
    </row>
    <row r="535">
      <c r="A535" s="157">
        <v>534.0</v>
      </c>
      <c r="B535" s="158" t="s">
        <v>3753</v>
      </c>
    </row>
    <row r="536">
      <c r="A536" s="157">
        <v>535.0</v>
      </c>
      <c r="B536" s="159" t="s">
        <v>3754</v>
      </c>
    </row>
    <row r="537">
      <c r="A537" s="157">
        <v>536.0</v>
      </c>
      <c r="B537" s="159" t="s">
        <v>3755</v>
      </c>
    </row>
    <row r="538">
      <c r="A538" s="157">
        <v>537.0</v>
      </c>
      <c r="B538" s="158" t="s">
        <v>3756</v>
      </c>
    </row>
    <row r="539">
      <c r="A539" s="157">
        <v>538.0</v>
      </c>
      <c r="B539" s="159" t="s">
        <v>3757</v>
      </c>
    </row>
    <row r="540">
      <c r="A540" s="157">
        <v>539.0</v>
      </c>
      <c r="B540" s="159" t="s">
        <v>3758</v>
      </c>
    </row>
    <row r="541">
      <c r="A541" s="157">
        <v>540.0</v>
      </c>
      <c r="B541" s="158" t="s">
        <v>3759</v>
      </c>
    </row>
    <row r="542">
      <c r="A542" s="157">
        <v>541.0</v>
      </c>
      <c r="B542" s="158" t="s">
        <v>3760</v>
      </c>
    </row>
    <row r="543">
      <c r="A543" s="157">
        <v>542.0</v>
      </c>
      <c r="B543" s="158" t="s">
        <v>3761</v>
      </c>
    </row>
    <row r="544">
      <c r="A544" s="157">
        <v>543.0</v>
      </c>
      <c r="B544" s="158" t="s">
        <v>3762</v>
      </c>
    </row>
    <row r="545">
      <c r="A545" s="157">
        <v>544.0</v>
      </c>
      <c r="B545" s="158" t="s">
        <v>3763</v>
      </c>
    </row>
    <row r="546">
      <c r="A546" s="157">
        <v>545.0</v>
      </c>
      <c r="B546" s="158" t="s">
        <v>3764</v>
      </c>
    </row>
    <row r="547">
      <c r="A547" s="157">
        <v>546.0</v>
      </c>
      <c r="B547" s="159" t="s">
        <v>3765</v>
      </c>
    </row>
    <row r="548">
      <c r="A548" s="157">
        <v>547.0</v>
      </c>
      <c r="B548" s="158" t="s">
        <v>3766</v>
      </c>
    </row>
    <row r="549">
      <c r="A549" s="157">
        <v>548.0</v>
      </c>
      <c r="B549" s="158" t="s">
        <v>3767</v>
      </c>
    </row>
    <row r="550">
      <c r="A550" s="157">
        <v>549.0</v>
      </c>
      <c r="B550" s="159" t="s">
        <v>3768</v>
      </c>
    </row>
    <row r="551">
      <c r="A551" s="157">
        <v>550.0</v>
      </c>
      <c r="B551" s="159" t="s">
        <v>3769</v>
      </c>
    </row>
    <row r="552">
      <c r="A552" s="157">
        <v>551.0</v>
      </c>
      <c r="B552" s="159" t="s">
        <v>3770</v>
      </c>
    </row>
    <row r="553">
      <c r="A553" s="157">
        <v>552.0</v>
      </c>
      <c r="B553" s="158" t="s">
        <v>3771</v>
      </c>
    </row>
    <row r="554">
      <c r="A554" s="157">
        <v>553.0</v>
      </c>
      <c r="B554" s="158" t="s">
        <v>3772</v>
      </c>
    </row>
    <row r="555">
      <c r="A555" s="157">
        <v>554.0</v>
      </c>
      <c r="B555" s="158" t="s">
        <v>3773</v>
      </c>
    </row>
    <row r="556">
      <c r="A556" s="157">
        <v>555.0</v>
      </c>
      <c r="B556" s="158" t="s">
        <v>3774</v>
      </c>
    </row>
    <row r="557">
      <c r="A557" s="157">
        <v>556.0</v>
      </c>
      <c r="B557" s="158" t="s">
        <v>3775</v>
      </c>
    </row>
    <row r="558">
      <c r="A558" s="157">
        <v>557.0</v>
      </c>
      <c r="B558" s="158" t="s">
        <v>3776</v>
      </c>
    </row>
    <row r="559">
      <c r="A559" s="157">
        <v>558.0</v>
      </c>
      <c r="B559" s="158" t="s">
        <v>3777</v>
      </c>
    </row>
    <row r="560">
      <c r="A560" s="157">
        <v>559.0</v>
      </c>
      <c r="B560" s="159" t="s">
        <v>3778</v>
      </c>
    </row>
    <row r="561">
      <c r="A561" s="157">
        <v>560.0</v>
      </c>
      <c r="B561" s="159" t="s">
        <v>3779</v>
      </c>
    </row>
    <row r="562">
      <c r="A562" s="157">
        <v>561.0</v>
      </c>
      <c r="B562" s="158" t="s">
        <v>3780</v>
      </c>
    </row>
    <row r="563">
      <c r="A563" s="157">
        <v>562.0</v>
      </c>
      <c r="B563" s="158" t="s">
        <v>3781</v>
      </c>
    </row>
    <row r="564">
      <c r="A564" s="157">
        <v>563.0</v>
      </c>
      <c r="B564" s="158" t="s">
        <v>3782</v>
      </c>
    </row>
    <row r="565">
      <c r="A565" s="157">
        <v>564.0</v>
      </c>
      <c r="B565" s="158" t="s">
        <v>3783</v>
      </c>
    </row>
    <row r="566">
      <c r="A566" s="157">
        <v>565.0</v>
      </c>
      <c r="B566" s="158" t="s">
        <v>3784</v>
      </c>
    </row>
    <row r="567">
      <c r="A567" s="157">
        <v>566.0</v>
      </c>
      <c r="B567" s="158" t="s">
        <v>3785</v>
      </c>
    </row>
    <row r="568">
      <c r="A568" s="157">
        <v>567.0</v>
      </c>
      <c r="B568" s="158" t="s">
        <v>3786</v>
      </c>
    </row>
    <row r="569">
      <c r="A569" s="157">
        <v>568.0</v>
      </c>
      <c r="B569" s="158" t="s">
        <v>3787</v>
      </c>
    </row>
    <row r="570">
      <c r="A570" s="157">
        <v>569.0</v>
      </c>
      <c r="B570" s="159" t="s">
        <v>3788</v>
      </c>
    </row>
    <row r="571">
      <c r="A571" s="157">
        <v>570.0</v>
      </c>
      <c r="B571" s="158" t="s">
        <v>3789</v>
      </c>
    </row>
    <row r="572">
      <c r="A572" s="157">
        <v>571.0</v>
      </c>
      <c r="B572" s="158" t="s">
        <v>3790</v>
      </c>
    </row>
    <row r="573">
      <c r="A573" s="157">
        <v>572.0</v>
      </c>
      <c r="B573" s="158" t="s">
        <v>3791</v>
      </c>
    </row>
    <row r="574">
      <c r="A574" s="157">
        <v>573.0</v>
      </c>
      <c r="B574" s="158" t="s">
        <v>3792</v>
      </c>
    </row>
    <row r="575">
      <c r="A575" s="157">
        <v>574.0</v>
      </c>
      <c r="B575" s="158" t="s">
        <v>3793</v>
      </c>
    </row>
    <row r="576">
      <c r="A576" s="157">
        <v>575.0</v>
      </c>
      <c r="B576" s="158" t="s">
        <v>3794</v>
      </c>
    </row>
    <row r="577">
      <c r="A577" s="157">
        <v>576.0</v>
      </c>
      <c r="B577" s="158" t="s">
        <v>3795</v>
      </c>
    </row>
    <row r="578">
      <c r="A578" s="157">
        <v>577.0</v>
      </c>
      <c r="B578" s="158" t="s">
        <v>3796</v>
      </c>
    </row>
    <row r="579">
      <c r="A579" s="157">
        <v>578.0</v>
      </c>
      <c r="B579" s="159" t="s">
        <v>3797</v>
      </c>
    </row>
    <row r="580">
      <c r="A580" s="157">
        <v>579.0</v>
      </c>
      <c r="B580" s="158" t="s">
        <v>3798</v>
      </c>
    </row>
    <row r="581">
      <c r="A581" s="157">
        <v>580.0</v>
      </c>
      <c r="B581" s="158" t="s">
        <v>3799</v>
      </c>
    </row>
    <row r="582">
      <c r="A582" s="157">
        <v>581.0</v>
      </c>
      <c r="B582" s="160" t="s">
        <v>3800</v>
      </c>
    </row>
    <row r="583">
      <c r="A583" s="157">
        <v>582.0</v>
      </c>
      <c r="B583" s="160" t="s">
        <v>3801</v>
      </c>
    </row>
    <row r="584">
      <c r="A584" s="157">
        <v>583.0</v>
      </c>
      <c r="B584" s="158" t="s">
        <v>3802</v>
      </c>
    </row>
    <row r="585">
      <c r="A585" s="157">
        <v>584.0</v>
      </c>
      <c r="B585" s="158" t="s">
        <v>3803</v>
      </c>
    </row>
    <row r="586">
      <c r="A586" s="157">
        <v>585.0</v>
      </c>
      <c r="B586" s="158" t="s">
        <v>3804</v>
      </c>
    </row>
    <row r="587">
      <c r="A587" s="157">
        <v>586.0</v>
      </c>
      <c r="B587" s="158" t="s">
        <v>3805</v>
      </c>
    </row>
    <row r="588">
      <c r="A588" s="157">
        <v>587.0</v>
      </c>
      <c r="B588" s="158" t="s">
        <v>3806</v>
      </c>
    </row>
    <row r="589">
      <c r="A589" s="157">
        <v>588.0</v>
      </c>
      <c r="B589" s="158" t="s">
        <v>3807</v>
      </c>
    </row>
    <row r="590">
      <c r="A590" s="157">
        <v>589.0</v>
      </c>
      <c r="B590" s="158" t="s">
        <v>3808</v>
      </c>
    </row>
    <row r="591">
      <c r="A591" s="157">
        <v>590.0</v>
      </c>
      <c r="B591" s="158" t="s">
        <v>3809</v>
      </c>
    </row>
    <row r="592">
      <c r="A592" s="157">
        <v>591.0</v>
      </c>
      <c r="B592" s="158" t="s">
        <v>3810</v>
      </c>
    </row>
    <row r="593">
      <c r="A593" s="157">
        <v>592.0</v>
      </c>
      <c r="B593" s="158" t="s">
        <v>3811</v>
      </c>
    </row>
    <row r="594">
      <c r="A594" s="157">
        <v>593.0</v>
      </c>
      <c r="B594" s="158" t="s">
        <v>3812</v>
      </c>
    </row>
    <row r="595">
      <c r="A595" s="157">
        <v>594.0</v>
      </c>
      <c r="B595" s="158" t="s">
        <v>3813</v>
      </c>
    </row>
    <row r="596">
      <c r="A596" s="157">
        <v>595.0</v>
      </c>
      <c r="B596" s="158" t="s">
        <v>3814</v>
      </c>
    </row>
    <row r="597">
      <c r="A597" s="157">
        <v>596.0</v>
      </c>
      <c r="B597" s="158" t="s">
        <v>3815</v>
      </c>
    </row>
    <row r="598">
      <c r="A598" s="157">
        <v>597.0</v>
      </c>
      <c r="B598" s="158" t="s">
        <v>3816</v>
      </c>
    </row>
    <row r="599">
      <c r="A599" s="157">
        <v>598.0</v>
      </c>
      <c r="B599" s="158" t="s">
        <v>3817</v>
      </c>
    </row>
    <row r="600">
      <c r="A600" s="157">
        <v>599.0</v>
      </c>
      <c r="B600" s="158" t="s">
        <v>3818</v>
      </c>
    </row>
    <row r="601">
      <c r="A601" s="157">
        <v>600.0</v>
      </c>
      <c r="B601" s="158" t="s">
        <v>3819</v>
      </c>
    </row>
    <row r="602">
      <c r="A602" s="157">
        <v>601.0</v>
      </c>
      <c r="B602" s="158" t="s">
        <v>3820</v>
      </c>
    </row>
    <row r="603">
      <c r="A603" s="157">
        <v>602.0</v>
      </c>
      <c r="B603" s="158" t="s">
        <v>3821</v>
      </c>
    </row>
    <row r="604">
      <c r="A604" s="157">
        <v>603.0</v>
      </c>
      <c r="B604" s="158" t="s">
        <v>3822</v>
      </c>
    </row>
    <row r="605">
      <c r="A605" s="157">
        <v>604.0</v>
      </c>
      <c r="B605" s="158" t="s">
        <v>3823</v>
      </c>
    </row>
    <row r="606">
      <c r="A606" s="157">
        <v>605.0</v>
      </c>
      <c r="B606" s="158" t="s">
        <v>3824</v>
      </c>
    </row>
    <row r="607">
      <c r="A607" s="157">
        <v>606.0</v>
      </c>
      <c r="B607" s="158" t="s">
        <v>3825</v>
      </c>
    </row>
    <row r="608">
      <c r="A608" s="157">
        <v>607.0</v>
      </c>
      <c r="B608" s="158" t="s">
        <v>3826</v>
      </c>
    </row>
    <row r="609">
      <c r="A609" s="157">
        <v>608.0</v>
      </c>
      <c r="B609" s="158" t="s">
        <v>3827</v>
      </c>
    </row>
    <row r="610">
      <c r="A610" s="157">
        <v>609.0</v>
      </c>
      <c r="B610" s="158" t="s">
        <v>3828</v>
      </c>
    </row>
    <row r="611">
      <c r="A611" s="157">
        <v>610.0</v>
      </c>
      <c r="B611" s="158" t="s">
        <v>3829</v>
      </c>
    </row>
    <row r="612">
      <c r="A612" s="157">
        <v>611.0</v>
      </c>
      <c r="B612" s="158" t="s">
        <v>3830</v>
      </c>
    </row>
    <row r="613">
      <c r="A613" s="157">
        <v>612.0</v>
      </c>
      <c r="B613" s="158" t="s">
        <v>3831</v>
      </c>
    </row>
    <row r="614">
      <c r="A614" s="157">
        <v>613.0</v>
      </c>
      <c r="B614" s="158" t="s">
        <v>3832</v>
      </c>
    </row>
    <row r="615">
      <c r="A615" s="157">
        <v>614.0</v>
      </c>
      <c r="B615" s="158" t="s">
        <v>3833</v>
      </c>
    </row>
    <row r="616">
      <c r="A616" s="157">
        <v>615.0</v>
      </c>
      <c r="B616" s="158" t="s">
        <v>3834</v>
      </c>
    </row>
    <row r="617">
      <c r="A617" s="157">
        <v>616.0</v>
      </c>
      <c r="B617" s="158" t="s">
        <v>3835</v>
      </c>
    </row>
    <row r="618">
      <c r="A618" s="157">
        <v>617.0</v>
      </c>
      <c r="B618" s="158" t="s">
        <v>3836</v>
      </c>
    </row>
    <row r="619">
      <c r="A619" s="157">
        <v>618.0</v>
      </c>
      <c r="B619" s="158" t="s">
        <v>3837</v>
      </c>
    </row>
    <row r="620">
      <c r="A620" s="157">
        <v>619.0</v>
      </c>
      <c r="B620" s="159" t="s">
        <v>3838</v>
      </c>
    </row>
    <row r="621">
      <c r="A621" s="157">
        <v>620.0</v>
      </c>
      <c r="B621" s="159" t="s">
        <v>3839</v>
      </c>
    </row>
    <row r="622">
      <c r="A622" s="157">
        <v>621.0</v>
      </c>
      <c r="B622" s="159" t="s">
        <v>3840</v>
      </c>
    </row>
    <row r="623">
      <c r="A623" s="157">
        <v>622.0</v>
      </c>
      <c r="B623" s="159" t="s">
        <v>3841</v>
      </c>
    </row>
    <row r="624">
      <c r="A624" s="157">
        <v>623.0</v>
      </c>
      <c r="B624" s="158" t="s">
        <v>3842</v>
      </c>
    </row>
    <row r="625">
      <c r="A625" s="157">
        <v>624.0</v>
      </c>
      <c r="B625" s="158" t="s">
        <v>3843</v>
      </c>
    </row>
    <row r="626">
      <c r="A626" s="157">
        <v>625.0</v>
      </c>
      <c r="B626" s="158" t="s">
        <v>3844</v>
      </c>
    </row>
    <row r="627">
      <c r="A627" s="157">
        <v>626.0</v>
      </c>
      <c r="B627" s="158" t="s">
        <v>3845</v>
      </c>
    </row>
    <row r="628">
      <c r="A628" s="157">
        <v>627.0</v>
      </c>
      <c r="B628" s="158" t="s">
        <v>3846</v>
      </c>
    </row>
    <row r="629">
      <c r="A629" s="157">
        <v>628.0</v>
      </c>
      <c r="B629" s="158" t="s">
        <v>3847</v>
      </c>
    </row>
    <row r="630">
      <c r="A630" s="157">
        <v>629.0</v>
      </c>
      <c r="B630" s="158" t="s">
        <v>3848</v>
      </c>
    </row>
    <row r="631">
      <c r="A631" s="157">
        <v>630.0</v>
      </c>
      <c r="B631" s="158" t="s">
        <v>3849</v>
      </c>
    </row>
    <row r="632">
      <c r="A632" s="157">
        <v>631.0</v>
      </c>
      <c r="B632" s="158" t="s">
        <v>3850</v>
      </c>
    </row>
    <row r="633">
      <c r="A633" s="157">
        <v>632.0</v>
      </c>
      <c r="B633" s="158" t="s">
        <v>3851</v>
      </c>
    </row>
    <row r="634">
      <c r="A634" s="157">
        <v>633.0</v>
      </c>
      <c r="B634" s="158" t="s">
        <v>3852</v>
      </c>
    </row>
    <row r="635">
      <c r="A635" s="157">
        <v>634.0</v>
      </c>
      <c r="B635" s="158" t="s">
        <v>3853</v>
      </c>
    </row>
    <row r="636">
      <c r="A636" s="157">
        <v>635.0</v>
      </c>
      <c r="B636" s="158" t="s">
        <v>3854</v>
      </c>
    </row>
    <row r="637">
      <c r="A637" s="157">
        <v>636.0</v>
      </c>
      <c r="B637" s="158" t="s">
        <v>3855</v>
      </c>
    </row>
    <row r="638">
      <c r="A638" s="157">
        <v>637.0</v>
      </c>
      <c r="B638" s="158" t="s">
        <v>3856</v>
      </c>
    </row>
    <row r="639">
      <c r="A639" s="157">
        <v>638.0</v>
      </c>
      <c r="B639" s="158" t="s">
        <v>3857</v>
      </c>
    </row>
    <row r="640">
      <c r="A640" s="157">
        <v>639.0</v>
      </c>
      <c r="B640" s="158" t="s">
        <v>3858</v>
      </c>
    </row>
    <row r="641">
      <c r="A641" s="157">
        <v>640.0</v>
      </c>
      <c r="B641" s="158" t="s">
        <v>3859</v>
      </c>
    </row>
    <row r="642">
      <c r="A642" s="157">
        <v>641.0</v>
      </c>
      <c r="B642" s="158" t="s">
        <v>3860</v>
      </c>
    </row>
    <row r="643">
      <c r="A643" s="157">
        <v>642.0</v>
      </c>
      <c r="B643" s="158" t="s">
        <v>3861</v>
      </c>
    </row>
    <row r="644">
      <c r="A644" s="157">
        <v>643.0</v>
      </c>
      <c r="B644" s="158" t="s">
        <v>3862</v>
      </c>
    </row>
    <row r="645">
      <c r="A645" s="157">
        <v>644.0</v>
      </c>
      <c r="B645" s="158" t="s">
        <v>3863</v>
      </c>
    </row>
    <row r="646">
      <c r="A646" s="157">
        <v>645.0</v>
      </c>
      <c r="B646" s="158" t="s">
        <v>3864</v>
      </c>
    </row>
    <row r="647">
      <c r="A647" s="157">
        <v>646.0</v>
      </c>
      <c r="B647" s="158" t="s">
        <v>3865</v>
      </c>
    </row>
    <row r="648">
      <c r="A648" s="157">
        <v>647.0</v>
      </c>
      <c r="B648" s="158" t="s">
        <v>3866</v>
      </c>
    </row>
    <row r="649">
      <c r="A649" s="157">
        <v>648.0</v>
      </c>
      <c r="B649" s="158" t="s">
        <v>3867</v>
      </c>
    </row>
    <row r="650">
      <c r="A650" s="157">
        <v>649.0</v>
      </c>
      <c r="B650" s="158" t="s">
        <v>3868</v>
      </c>
    </row>
    <row r="651">
      <c r="A651" s="157">
        <v>650.0</v>
      </c>
      <c r="B651" s="158" t="s">
        <v>3869</v>
      </c>
    </row>
    <row r="652">
      <c r="A652" s="157">
        <v>651.0</v>
      </c>
      <c r="B652" s="158" t="s">
        <v>3870</v>
      </c>
    </row>
    <row r="653">
      <c r="A653" s="157">
        <v>652.0</v>
      </c>
      <c r="B653" s="158" t="s">
        <v>3871</v>
      </c>
    </row>
    <row r="654">
      <c r="A654" s="157">
        <v>653.0</v>
      </c>
      <c r="B654" s="158" t="s">
        <v>3872</v>
      </c>
    </row>
    <row r="655">
      <c r="A655" s="157">
        <v>654.0</v>
      </c>
      <c r="B655" s="158" t="s">
        <v>3873</v>
      </c>
    </row>
    <row r="656">
      <c r="A656" s="157">
        <v>655.0</v>
      </c>
      <c r="B656" s="158" t="s">
        <v>3874</v>
      </c>
    </row>
    <row r="657">
      <c r="A657" s="157">
        <v>656.0</v>
      </c>
      <c r="B657" s="158" t="s">
        <v>3875</v>
      </c>
    </row>
    <row r="658">
      <c r="A658" s="157">
        <v>657.0</v>
      </c>
      <c r="B658" s="158" t="s">
        <v>3876</v>
      </c>
    </row>
    <row r="659">
      <c r="A659" s="157">
        <v>658.0</v>
      </c>
      <c r="B659" s="158" t="s">
        <v>3877</v>
      </c>
    </row>
    <row r="660">
      <c r="A660" s="157">
        <v>659.0</v>
      </c>
      <c r="B660" s="158" t="s">
        <v>3878</v>
      </c>
    </row>
    <row r="661">
      <c r="A661" s="157">
        <v>660.0</v>
      </c>
      <c r="B661" s="158" t="s">
        <v>3879</v>
      </c>
    </row>
    <row r="662">
      <c r="A662" s="157">
        <v>661.0</v>
      </c>
      <c r="B662" s="158" t="s">
        <v>3880</v>
      </c>
    </row>
    <row r="663">
      <c r="A663" s="157">
        <v>662.0</v>
      </c>
      <c r="B663" s="158" t="s">
        <v>3881</v>
      </c>
    </row>
    <row r="664">
      <c r="A664" s="157">
        <v>663.0</v>
      </c>
      <c r="B664" s="158" t="s">
        <v>3882</v>
      </c>
    </row>
    <row r="665">
      <c r="A665" s="157">
        <v>664.0</v>
      </c>
      <c r="B665" s="158" t="s">
        <v>3883</v>
      </c>
    </row>
    <row r="666">
      <c r="A666" s="157">
        <v>665.0</v>
      </c>
      <c r="B666" s="158" t="s">
        <v>3884</v>
      </c>
    </row>
    <row r="667">
      <c r="A667" s="157">
        <v>666.0</v>
      </c>
      <c r="B667" s="158" t="s">
        <v>3885</v>
      </c>
    </row>
    <row r="668">
      <c r="A668" s="157">
        <v>667.0</v>
      </c>
      <c r="B668" s="158" t="s">
        <v>3886</v>
      </c>
    </row>
    <row r="669">
      <c r="A669" s="157">
        <v>668.0</v>
      </c>
      <c r="B669" s="159" t="s">
        <v>3887</v>
      </c>
    </row>
    <row r="670">
      <c r="A670" s="157">
        <v>669.0</v>
      </c>
      <c r="B670" s="158" t="s">
        <v>3888</v>
      </c>
    </row>
    <row r="671">
      <c r="A671" s="157">
        <v>670.0</v>
      </c>
      <c r="B671" s="158" t="s">
        <v>3889</v>
      </c>
    </row>
    <row r="672">
      <c r="A672" s="157">
        <v>671.0</v>
      </c>
      <c r="B672" s="158" t="s">
        <v>3890</v>
      </c>
    </row>
    <row r="673">
      <c r="A673" s="157">
        <v>672.0</v>
      </c>
      <c r="B673" s="158" t="s">
        <v>3891</v>
      </c>
    </row>
    <row r="674">
      <c r="A674" s="157">
        <v>673.0</v>
      </c>
      <c r="B674" s="158" t="s">
        <v>3820</v>
      </c>
    </row>
    <row r="675">
      <c r="A675" s="157">
        <v>674.0</v>
      </c>
      <c r="B675" s="158" t="s">
        <v>3892</v>
      </c>
    </row>
    <row r="676">
      <c r="A676" s="157">
        <v>675.0</v>
      </c>
      <c r="B676" s="158" t="s">
        <v>3893</v>
      </c>
    </row>
    <row r="677">
      <c r="A677" s="157">
        <v>676.0</v>
      </c>
      <c r="B677" s="158" t="s">
        <v>3894</v>
      </c>
    </row>
    <row r="678">
      <c r="A678" s="157">
        <v>677.0</v>
      </c>
      <c r="B678" s="158" t="s">
        <v>3895</v>
      </c>
    </row>
    <row r="679">
      <c r="A679" s="157">
        <v>678.0</v>
      </c>
      <c r="B679" s="158" t="s">
        <v>3896</v>
      </c>
    </row>
    <row r="680">
      <c r="A680" s="157">
        <v>679.0</v>
      </c>
      <c r="B680" s="158" t="s">
        <v>3897</v>
      </c>
    </row>
    <row r="681">
      <c r="A681" s="157">
        <v>680.0</v>
      </c>
      <c r="B681" s="158" t="s">
        <v>3898</v>
      </c>
    </row>
    <row r="682">
      <c r="A682" s="157">
        <v>681.0</v>
      </c>
      <c r="B682" s="158" t="s">
        <v>3899</v>
      </c>
    </row>
    <row r="683">
      <c r="A683" s="157">
        <v>682.0</v>
      </c>
      <c r="B683" s="158" t="s">
        <v>3900</v>
      </c>
    </row>
    <row r="684">
      <c r="A684" s="157">
        <v>683.0</v>
      </c>
      <c r="B684" s="158" t="s">
        <v>3901</v>
      </c>
    </row>
    <row r="685">
      <c r="A685" s="157">
        <v>684.0</v>
      </c>
      <c r="B685" s="158" t="s">
        <v>3902</v>
      </c>
    </row>
    <row r="686">
      <c r="A686" s="157">
        <v>685.0</v>
      </c>
      <c r="B686" s="158" t="s">
        <v>3903</v>
      </c>
    </row>
    <row r="687">
      <c r="A687" s="157">
        <v>686.0</v>
      </c>
      <c r="B687" s="158" t="s">
        <v>3904</v>
      </c>
    </row>
    <row r="688">
      <c r="A688" s="157">
        <v>687.0</v>
      </c>
      <c r="B688" s="158" t="s">
        <v>3905</v>
      </c>
    </row>
    <row r="689">
      <c r="A689" s="157">
        <v>688.0</v>
      </c>
      <c r="B689" s="158" t="s">
        <v>3906</v>
      </c>
    </row>
    <row r="690">
      <c r="A690" s="157">
        <v>689.0</v>
      </c>
      <c r="B690" s="158" t="s">
        <v>3907</v>
      </c>
    </row>
    <row r="691">
      <c r="A691" s="157">
        <v>690.0</v>
      </c>
      <c r="B691" s="158" t="s">
        <v>3908</v>
      </c>
    </row>
    <row r="692">
      <c r="A692" s="157">
        <v>691.0</v>
      </c>
      <c r="B692" s="158" t="s">
        <v>3909</v>
      </c>
    </row>
    <row r="693">
      <c r="A693" s="157">
        <v>692.0</v>
      </c>
      <c r="B693" s="158" t="s">
        <v>3910</v>
      </c>
    </row>
    <row r="694">
      <c r="A694" s="157">
        <v>693.0</v>
      </c>
      <c r="B694" s="158" t="s">
        <v>3911</v>
      </c>
    </row>
    <row r="695">
      <c r="A695" s="157">
        <v>694.0</v>
      </c>
      <c r="B695" s="158" t="s">
        <v>3912</v>
      </c>
    </row>
    <row r="696">
      <c r="A696" s="157">
        <v>695.0</v>
      </c>
      <c r="B696" s="158" t="s">
        <v>3913</v>
      </c>
    </row>
    <row r="697">
      <c r="A697" s="157">
        <v>696.0</v>
      </c>
      <c r="B697" s="158" t="s">
        <v>3914</v>
      </c>
    </row>
    <row r="698">
      <c r="A698" s="157">
        <v>697.0</v>
      </c>
      <c r="B698" s="158" t="s">
        <v>3915</v>
      </c>
    </row>
    <row r="699">
      <c r="A699" s="157">
        <v>698.0</v>
      </c>
      <c r="B699" s="158" t="s">
        <v>3916</v>
      </c>
    </row>
    <row r="700">
      <c r="A700" s="157">
        <v>699.0</v>
      </c>
      <c r="B700" s="158" t="s">
        <v>3917</v>
      </c>
    </row>
    <row r="701">
      <c r="A701" s="157">
        <v>700.0</v>
      </c>
      <c r="B701" s="158" t="s">
        <v>3918</v>
      </c>
    </row>
    <row r="702">
      <c r="A702" s="157">
        <v>701.0</v>
      </c>
      <c r="B702" s="158" t="s">
        <v>3919</v>
      </c>
    </row>
    <row r="703">
      <c r="A703" s="157">
        <v>702.0</v>
      </c>
      <c r="B703" s="158" t="s">
        <v>3920</v>
      </c>
    </row>
    <row r="704">
      <c r="A704" s="157">
        <v>703.0</v>
      </c>
      <c r="B704" s="158" t="s">
        <v>3921</v>
      </c>
    </row>
    <row r="705">
      <c r="A705" s="157">
        <v>704.0</v>
      </c>
      <c r="B705" s="158" t="s">
        <v>3922</v>
      </c>
    </row>
    <row r="706">
      <c r="A706" s="157">
        <v>705.0</v>
      </c>
      <c r="B706" s="158" t="s">
        <v>3923</v>
      </c>
    </row>
    <row r="707">
      <c r="A707" s="157">
        <v>706.0</v>
      </c>
      <c r="B707" s="158" t="s">
        <v>3924</v>
      </c>
    </row>
    <row r="708">
      <c r="A708" s="157">
        <v>707.0</v>
      </c>
      <c r="B708" s="158" t="s">
        <v>3925</v>
      </c>
    </row>
    <row r="709">
      <c r="A709" s="157">
        <v>708.0</v>
      </c>
      <c r="B709" s="158" t="s">
        <v>3926</v>
      </c>
    </row>
    <row r="710">
      <c r="A710" s="157">
        <v>709.0</v>
      </c>
      <c r="B710" s="158" t="s">
        <v>3927</v>
      </c>
    </row>
    <row r="711">
      <c r="A711" s="157">
        <v>710.0</v>
      </c>
      <c r="B711" s="158" t="s">
        <v>3928</v>
      </c>
    </row>
    <row r="712">
      <c r="A712" s="157">
        <v>711.0</v>
      </c>
      <c r="B712" s="158" t="s">
        <v>3929</v>
      </c>
    </row>
    <row r="713">
      <c r="A713" s="157">
        <v>712.0</v>
      </c>
      <c r="B713" s="158" t="s">
        <v>3930</v>
      </c>
    </row>
    <row r="714">
      <c r="A714" s="157">
        <v>713.0</v>
      </c>
      <c r="B714" s="158" t="s">
        <v>3931</v>
      </c>
    </row>
    <row r="715">
      <c r="A715" s="157">
        <v>714.0</v>
      </c>
      <c r="B715" s="158" t="s">
        <v>3932</v>
      </c>
    </row>
    <row r="716">
      <c r="A716" s="157">
        <v>715.0</v>
      </c>
      <c r="B716" s="158" t="s">
        <v>3933</v>
      </c>
    </row>
    <row r="717">
      <c r="A717" s="157">
        <v>716.0</v>
      </c>
      <c r="B717" s="158" t="s">
        <v>3934</v>
      </c>
    </row>
    <row r="718">
      <c r="A718" s="157">
        <v>717.0</v>
      </c>
      <c r="B718" s="158" t="s">
        <v>3935</v>
      </c>
    </row>
    <row r="719">
      <c r="A719" s="157">
        <v>718.0</v>
      </c>
      <c r="B719" s="158" t="s">
        <v>3936</v>
      </c>
    </row>
    <row r="720">
      <c r="A720" s="157">
        <v>719.0</v>
      </c>
      <c r="B720" s="158" t="s">
        <v>3937</v>
      </c>
    </row>
    <row r="721">
      <c r="A721" s="157">
        <v>720.0</v>
      </c>
      <c r="B721" s="158" t="s">
        <v>3938</v>
      </c>
    </row>
    <row r="722">
      <c r="A722" s="157">
        <v>721.0</v>
      </c>
      <c r="B722" s="158" t="s">
        <v>3939</v>
      </c>
    </row>
    <row r="723">
      <c r="A723" s="157">
        <v>722.0</v>
      </c>
      <c r="B723" s="158" t="s">
        <v>3940</v>
      </c>
    </row>
    <row r="724">
      <c r="A724" s="157">
        <v>723.0</v>
      </c>
      <c r="B724" s="159" t="s">
        <v>3941</v>
      </c>
    </row>
    <row r="725">
      <c r="A725" s="157">
        <v>724.0</v>
      </c>
      <c r="B725" s="159" t="s">
        <v>3942</v>
      </c>
    </row>
    <row r="726">
      <c r="A726" s="157">
        <v>725.0</v>
      </c>
      <c r="B726" s="159" t="s">
        <v>3943</v>
      </c>
    </row>
    <row r="727">
      <c r="A727" s="157">
        <v>726.0</v>
      </c>
      <c r="B727" s="159" t="s">
        <v>3944</v>
      </c>
    </row>
    <row r="728">
      <c r="A728" s="157">
        <v>727.0</v>
      </c>
      <c r="B728" s="159" t="s">
        <v>3945</v>
      </c>
    </row>
    <row r="729">
      <c r="A729" s="157">
        <v>728.0</v>
      </c>
      <c r="B729" s="159" t="s">
        <v>3946</v>
      </c>
    </row>
    <row r="730">
      <c r="A730" s="157">
        <v>729.0</v>
      </c>
      <c r="B730" s="159" t="s">
        <v>3947</v>
      </c>
    </row>
    <row r="731">
      <c r="A731" s="157">
        <v>730.0</v>
      </c>
      <c r="B731" s="159" t="s">
        <v>3948</v>
      </c>
    </row>
    <row r="732">
      <c r="A732" s="157">
        <v>731.0</v>
      </c>
      <c r="B732" s="159" t="s">
        <v>3949</v>
      </c>
    </row>
    <row r="733">
      <c r="A733" s="157">
        <v>732.0</v>
      </c>
      <c r="B733" s="159" t="s">
        <v>3950</v>
      </c>
    </row>
    <row r="734">
      <c r="A734" s="157">
        <v>733.0</v>
      </c>
      <c r="B734" s="159" t="s">
        <v>3951</v>
      </c>
    </row>
    <row r="735">
      <c r="A735" s="157">
        <v>734.0</v>
      </c>
      <c r="B735" s="158" t="s">
        <v>3952</v>
      </c>
    </row>
    <row r="736">
      <c r="A736" s="157">
        <v>735.0</v>
      </c>
      <c r="B736" s="158" t="s">
        <v>3953</v>
      </c>
    </row>
    <row r="737">
      <c r="A737" s="157">
        <v>736.0</v>
      </c>
      <c r="B737" s="158" t="s">
        <v>3954</v>
      </c>
    </row>
    <row r="738">
      <c r="A738" s="157">
        <v>737.0</v>
      </c>
      <c r="B738" s="158" t="s">
        <v>3955</v>
      </c>
    </row>
    <row r="739">
      <c r="A739" s="157">
        <v>738.0</v>
      </c>
      <c r="B739" s="158" t="s">
        <v>3956</v>
      </c>
    </row>
    <row r="740">
      <c r="A740" s="157">
        <v>739.0</v>
      </c>
      <c r="B740" s="158" t="s">
        <v>3957</v>
      </c>
    </row>
    <row r="741">
      <c r="A741" s="157">
        <v>740.0</v>
      </c>
      <c r="B741" s="158" t="s">
        <v>3958</v>
      </c>
    </row>
    <row r="742">
      <c r="A742" s="157">
        <v>741.0</v>
      </c>
      <c r="B742" s="158" t="s">
        <v>3959</v>
      </c>
    </row>
    <row r="743">
      <c r="A743" s="157">
        <v>742.0</v>
      </c>
      <c r="B743" s="158" t="s">
        <v>3960</v>
      </c>
    </row>
    <row r="744">
      <c r="A744" s="157">
        <v>743.0</v>
      </c>
      <c r="B744" s="158" t="s">
        <v>3961</v>
      </c>
    </row>
    <row r="745">
      <c r="A745" s="157">
        <v>744.0</v>
      </c>
      <c r="B745" s="158" t="s">
        <v>3962</v>
      </c>
    </row>
    <row r="746">
      <c r="A746" s="157">
        <v>745.0</v>
      </c>
      <c r="B746" s="158" t="s">
        <v>3963</v>
      </c>
    </row>
    <row r="747">
      <c r="A747" s="157">
        <v>746.0</v>
      </c>
      <c r="B747" s="158" t="s">
        <v>3964</v>
      </c>
    </row>
    <row r="748">
      <c r="A748" s="157">
        <v>747.0</v>
      </c>
      <c r="B748" s="158" t="s">
        <v>3965</v>
      </c>
    </row>
    <row r="749">
      <c r="A749" s="157">
        <v>748.0</v>
      </c>
      <c r="B749" s="158" t="s">
        <v>3966</v>
      </c>
    </row>
    <row r="750">
      <c r="A750" s="157">
        <v>749.0</v>
      </c>
      <c r="B750" s="158" t="s">
        <v>3967</v>
      </c>
    </row>
    <row r="751">
      <c r="A751" s="157">
        <v>750.0</v>
      </c>
      <c r="B751" s="158" t="s">
        <v>3968</v>
      </c>
    </row>
    <row r="752">
      <c r="A752" s="157">
        <v>751.0</v>
      </c>
      <c r="B752" s="158" t="s">
        <v>3969</v>
      </c>
    </row>
    <row r="753">
      <c r="A753" s="157">
        <v>752.0</v>
      </c>
      <c r="B753" s="158" t="s">
        <v>3970</v>
      </c>
    </row>
    <row r="754">
      <c r="A754" s="157">
        <v>753.0</v>
      </c>
      <c r="B754" s="158" t="s">
        <v>3971</v>
      </c>
    </row>
    <row r="755">
      <c r="A755" s="157">
        <v>754.0</v>
      </c>
      <c r="B755" s="158" t="s">
        <v>3972</v>
      </c>
    </row>
    <row r="756">
      <c r="A756" s="157">
        <v>755.0</v>
      </c>
      <c r="B756" s="158" t="s">
        <v>3973</v>
      </c>
    </row>
    <row r="757">
      <c r="A757" s="157">
        <v>756.0</v>
      </c>
      <c r="B757" s="158" t="s">
        <v>3974</v>
      </c>
    </row>
    <row r="758">
      <c r="A758" s="157">
        <v>757.0</v>
      </c>
      <c r="B758" s="158" t="s">
        <v>3975</v>
      </c>
    </row>
    <row r="759">
      <c r="A759" s="157">
        <v>758.0</v>
      </c>
      <c r="B759" s="158" t="s">
        <v>3976</v>
      </c>
    </row>
    <row r="760">
      <c r="A760" s="157">
        <v>759.0</v>
      </c>
      <c r="B760" s="158" t="s">
        <v>3977</v>
      </c>
    </row>
    <row r="761">
      <c r="A761" s="157">
        <v>760.0</v>
      </c>
      <c r="B761" s="158" t="s">
        <v>3978</v>
      </c>
    </row>
    <row r="762">
      <c r="A762" s="157">
        <v>761.0</v>
      </c>
      <c r="B762" s="158" t="s">
        <v>3979</v>
      </c>
    </row>
    <row r="763">
      <c r="A763" s="157">
        <v>762.0</v>
      </c>
      <c r="B763" s="158" t="s">
        <v>3980</v>
      </c>
    </row>
    <row r="764">
      <c r="A764" s="157">
        <v>763.0</v>
      </c>
      <c r="B764" s="159" t="s">
        <v>3981</v>
      </c>
    </row>
    <row r="765">
      <c r="A765" s="157">
        <v>764.0</v>
      </c>
      <c r="B765" s="159" t="s">
        <v>3982</v>
      </c>
    </row>
    <row r="766">
      <c r="A766" s="157">
        <v>765.0</v>
      </c>
      <c r="B766" s="159" t="s">
        <v>3983</v>
      </c>
    </row>
    <row r="767">
      <c r="A767" s="157">
        <v>766.0</v>
      </c>
      <c r="B767" s="159" t="s">
        <v>3984</v>
      </c>
    </row>
    <row r="768">
      <c r="A768" s="157">
        <v>767.0</v>
      </c>
      <c r="B768" s="159" t="s">
        <v>3985</v>
      </c>
    </row>
    <row r="769">
      <c r="A769" s="157">
        <v>768.0</v>
      </c>
      <c r="B769" s="159" t="s">
        <v>3986</v>
      </c>
    </row>
    <row r="770">
      <c r="A770" s="157">
        <v>769.0</v>
      </c>
      <c r="B770" s="159" t="s">
        <v>3987</v>
      </c>
    </row>
    <row r="771">
      <c r="A771" s="157">
        <v>770.0</v>
      </c>
      <c r="B771" s="159" t="s">
        <v>3988</v>
      </c>
    </row>
    <row r="772">
      <c r="A772" s="157">
        <v>771.0</v>
      </c>
      <c r="B772" s="159" t="s">
        <v>3989</v>
      </c>
    </row>
    <row r="773">
      <c r="A773" s="157">
        <v>772.0</v>
      </c>
      <c r="B773" s="159" t="s">
        <v>3990</v>
      </c>
    </row>
    <row r="774">
      <c r="A774" s="157">
        <v>773.0</v>
      </c>
      <c r="B774" s="159" t="s">
        <v>3991</v>
      </c>
    </row>
    <row r="775">
      <c r="A775" s="157">
        <v>774.0</v>
      </c>
      <c r="B775" s="159" t="s">
        <v>3992</v>
      </c>
    </row>
    <row r="776">
      <c r="A776" s="157">
        <v>775.0</v>
      </c>
      <c r="B776" s="159" t="s">
        <v>3993</v>
      </c>
    </row>
    <row r="777">
      <c r="A777" s="157">
        <v>776.0</v>
      </c>
      <c r="B777" s="159" t="s">
        <v>3994</v>
      </c>
    </row>
    <row r="778">
      <c r="A778" s="157">
        <v>777.0</v>
      </c>
      <c r="B778" s="159" t="s">
        <v>3995</v>
      </c>
    </row>
    <row r="779">
      <c r="A779" s="157">
        <v>778.0</v>
      </c>
      <c r="B779" s="159" t="s">
        <v>3996</v>
      </c>
    </row>
    <row r="780">
      <c r="A780" s="157">
        <v>779.0</v>
      </c>
      <c r="B780" s="160" t="s">
        <v>3997</v>
      </c>
    </row>
    <row r="781">
      <c r="A781" s="157">
        <v>780.0</v>
      </c>
      <c r="B781" s="160" t="s">
        <v>3998</v>
      </c>
    </row>
    <row r="782">
      <c r="A782" s="157">
        <v>781.0</v>
      </c>
      <c r="B782" s="160" t="s">
        <v>3999</v>
      </c>
    </row>
    <row r="783">
      <c r="A783" s="157">
        <v>782.0</v>
      </c>
      <c r="B783" s="158" t="s">
        <v>4000</v>
      </c>
    </row>
    <row r="784">
      <c r="A784" s="157">
        <v>783.0</v>
      </c>
      <c r="B784" s="158" t="s">
        <v>4001</v>
      </c>
    </row>
    <row r="785">
      <c r="A785" s="157">
        <v>784.0</v>
      </c>
      <c r="B785" s="158" t="s">
        <v>4002</v>
      </c>
    </row>
    <row r="786">
      <c r="A786" s="157">
        <v>785.0</v>
      </c>
      <c r="B786" s="160" t="s">
        <v>4003</v>
      </c>
    </row>
    <row r="787">
      <c r="A787" s="157">
        <v>786.0</v>
      </c>
      <c r="B787" s="160" t="s">
        <v>4004</v>
      </c>
    </row>
    <row r="788">
      <c r="A788" s="157">
        <v>787.0</v>
      </c>
      <c r="B788" s="160" t="s">
        <v>4005</v>
      </c>
    </row>
    <row r="789">
      <c r="A789" s="157">
        <v>788.0</v>
      </c>
      <c r="B789" s="160" t="s">
        <v>4006</v>
      </c>
    </row>
    <row r="790">
      <c r="A790" s="157">
        <v>789.0</v>
      </c>
      <c r="B790" s="160" t="s">
        <v>4007</v>
      </c>
    </row>
    <row r="791">
      <c r="A791" s="157">
        <v>790.0</v>
      </c>
      <c r="B791" s="160" t="s">
        <v>4008</v>
      </c>
    </row>
    <row r="792">
      <c r="A792" s="157">
        <v>791.0</v>
      </c>
      <c r="B792" s="160" t="s">
        <v>4009</v>
      </c>
    </row>
    <row r="793">
      <c r="A793" s="157">
        <v>792.0</v>
      </c>
      <c r="B793" s="160" t="s">
        <v>4010</v>
      </c>
    </row>
    <row r="794">
      <c r="A794" s="157">
        <v>793.0</v>
      </c>
      <c r="B794" s="160" t="s">
        <v>4011</v>
      </c>
    </row>
    <row r="795">
      <c r="A795" s="157">
        <v>794.0</v>
      </c>
      <c r="B795" s="160" t="s">
        <v>4012</v>
      </c>
    </row>
    <row r="796">
      <c r="A796" s="157">
        <v>795.0</v>
      </c>
      <c r="B796" s="160" t="s">
        <v>4013</v>
      </c>
    </row>
    <row r="797">
      <c r="A797" s="157">
        <v>796.0</v>
      </c>
      <c r="B797" s="160" t="s">
        <v>4014</v>
      </c>
    </row>
    <row r="798">
      <c r="A798" s="157">
        <v>797.0</v>
      </c>
      <c r="B798" s="160" t="s">
        <v>4015</v>
      </c>
    </row>
    <row r="799">
      <c r="A799" s="157">
        <v>798.0</v>
      </c>
      <c r="B799" s="160" t="s">
        <v>4016</v>
      </c>
    </row>
    <row r="800">
      <c r="A800" s="157">
        <v>799.0</v>
      </c>
      <c r="B800" s="160" t="s">
        <v>4017</v>
      </c>
    </row>
    <row r="801">
      <c r="A801" s="157">
        <v>800.0</v>
      </c>
      <c r="B801" s="160" t="s">
        <v>4018</v>
      </c>
    </row>
    <row r="802">
      <c r="A802" s="157">
        <v>801.0</v>
      </c>
      <c r="B802" s="159" t="s">
        <v>4019</v>
      </c>
    </row>
    <row r="803">
      <c r="A803" s="157">
        <v>802.0</v>
      </c>
      <c r="B803" s="159" t="s">
        <v>4020</v>
      </c>
    </row>
    <row r="804">
      <c r="A804" s="157">
        <v>803.0</v>
      </c>
      <c r="B804" s="159" t="s">
        <v>4021</v>
      </c>
    </row>
    <row r="805">
      <c r="A805" s="157">
        <v>804.0</v>
      </c>
      <c r="B805" s="159" t="s">
        <v>4022</v>
      </c>
    </row>
    <row r="806">
      <c r="A806" s="157">
        <v>805.0</v>
      </c>
      <c r="B806" s="159" t="s">
        <v>4023</v>
      </c>
    </row>
    <row r="807">
      <c r="A807" s="157">
        <v>806.0</v>
      </c>
      <c r="B807" s="159" t="s">
        <v>4024</v>
      </c>
    </row>
    <row r="808">
      <c r="A808" s="157">
        <v>807.0</v>
      </c>
      <c r="B808" s="159" t="s">
        <v>4025</v>
      </c>
    </row>
    <row r="809">
      <c r="A809" s="157">
        <v>808.0</v>
      </c>
      <c r="B809" s="159" t="s">
        <v>4026</v>
      </c>
    </row>
    <row r="810">
      <c r="A810" s="157">
        <v>809.0</v>
      </c>
      <c r="B810" s="159" t="s">
        <v>4027</v>
      </c>
    </row>
    <row r="811">
      <c r="A811" s="157">
        <v>810.0</v>
      </c>
      <c r="B811" s="158" t="s">
        <v>4028</v>
      </c>
    </row>
    <row r="812">
      <c r="A812" s="157">
        <v>811.0</v>
      </c>
      <c r="B812" s="158" t="s">
        <v>4029</v>
      </c>
    </row>
    <row r="813">
      <c r="A813" s="157">
        <v>812.0</v>
      </c>
      <c r="B813" s="158" t="s">
        <v>4030</v>
      </c>
    </row>
    <row r="814">
      <c r="A814" s="157">
        <v>813.0</v>
      </c>
      <c r="B814" s="158" t="s">
        <v>4031</v>
      </c>
    </row>
    <row r="815">
      <c r="A815" s="157">
        <v>814.0</v>
      </c>
      <c r="B815" s="158" t="s">
        <v>4032</v>
      </c>
    </row>
    <row r="816">
      <c r="A816" s="157">
        <v>815.0</v>
      </c>
      <c r="B816" s="158" t="s">
        <v>4033</v>
      </c>
    </row>
    <row r="817">
      <c r="A817" s="157">
        <v>816.0</v>
      </c>
      <c r="B817" s="158" t="s">
        <v>4034</v>
      </c>
    </row>
    <row r="818">
      <c r="A818" s="157">
        <v>817.0</v>
      </c>
      <c r="B818" s="158" t="s">
        <v>4035</v>
      </c>
    </row>
    <row r="819">
      <c r="A819" s="157">
        <v>818.0</v>
      </c>
      <c r="B819" s="158" t="s">
        <v>4036</v>
      </c>
    </row>
    <row r="820">
      <c r="A820" s="157">
        <v>819.0</v>
      </c>
      <c r="B820" s="158" t="s">
        <v>4037</v>
      </c>
    </row>
    <row r="821">
      <c r="A821" s="157">
        <v>820.0</v>
      </c>
      <c r="B821" s="158" t="s">
        <v>4038</v>
      </c>
    </row>
    <row r="822">
      <c r="A822" s="157">
        <v>821.0</v>
      </c>
      <c r="B822" s="158" t="s">
        <v>4039</v>
      </c>
    </row>
    <row r="823">
      <c r="A823" s="157">
        <v>822.0</v>
      </c>
      <c r="B823" s="158" t="s">
        <v>4040</v>
      </c>
    </row>
    <row r="824">
      <c r="A824" s="157">
        <v>823.0</v>
      </c>
      <c r="B824" s="160" t="s">
        <v>4041</v>
      </c>
    </row>
    <row r="825">
      <c r="A825" s="157">
        <v>824.0</v>
      </c>
      <c r="B825" s="160" t="s">
        <v>4042</v>
      </c>
    </row>
    <row r="826">
      <c r="A826" s="157">
        <v>825.0</v>
      </c>
      <c r="B826" s="159" t="s">
        <v>4043</v>
      </c>
    </row>
    <row r="827">
      <c r="A827" s="157">
        <v>826.0</v>
      </c>
      <c r="B827" s="159" t="s">
        <v>4044</v>
      </c>
    </row>
    <row r="828">
      <c r="A828" s="157">
        <v>827.0</v>
      </c>
      <c r="B828" s="159" t="s">
        <v>4045</v>
      </c>
    </row>
    <row r="829">
      <c r="A829" s="157">
        <v>828.0</v>
      </c>
      <c r="B829" s="159" t="s">
        <v>4046</v>
      </c>
    </row>
    <row r="830">
      <c r="A830" s="157">
        <v>829.0</v>
      </c>
      <c r="B830" s="159" t="s">
        <v>4047</v>
      </c>
    </row>
    <row r="831">
      <c r="A831" s="157">
        <v>830.0</v>
      </c>
      <c r="B831" s="159" t="s">
        <v>4048</v>
      </c>
    </row>
    <row r="832">
      <c r="A832" s="157">
        <v>831.0</v>
      </c>
      <c r="B832" s="159" t="s">
        <v>4049</v>
      </c>
    </row>
    <row r="833">
      <c r="A833" s="157">
        <v>832.0</v>
      </c>
      <c r="B833" s="159" t="s">
        <v>4050</v>
      </c>
    </row>
    <row r="834">
      <c r="A834" s="157">
        <v>833.0</v>
      </c>
      <c r="B834" s="159" t="s">
        <v>4051</v>
      </c>
    </row>
    <row r="835">
      <c r="A835" s="157">
        <v>834.0</v>
      </c>
      <c r="B835" s="159" t="s">
        <v>4052</v>
      </c>
    </row>
    <row r="836">
      <c r="A836" s="157">
        <v>835.0</v>
      </c>
      <c r="B836" s="159" t="s">
        <v>4053</v>
      </c>
    </row>
    <row r="837">
      <c r="A837" s="157">
        <v>836.0</v>
      </c>
      <c r="B837" s="159" t="s">
        <v>4054</v>
      </c>
    </row>
    <row r="838">
      <c r="A838" s="157">
        <v>837.0</v>
      </c>
      <c r="B838" s="159" t="s">
        <v>4055</v>
      </c>
    </row>
    <row r="839">
      <c r="A839" s="157">
        <v>838.0</v>
      </c>
      <c r="B839" s="159" t="s">
        <v>4056</v>
      </c>
    </row>
    <row r="840">
      <c r="A840" s="157">
        <v>839.0</v>
      </c>
      <c r="B840" s="159" t="s">
        <v>4057</v>
      </c>
    </row>
    <row r="841">
      <c r="A841" s="157">
        <v>840.0</v>
      </c>
      <c r="B841" s="159" t="s">
        <v>4058</v>
      </c>
    </row>
    <row r="842">
      <c r="A842" s="157">
        <v>841.0</v>
      </c>
      <c r="B842" s="159" t="s">
        <v>4059</v>
      </c>
    </row>
    <row r="843">
      <c r="A843" s="157">
        <v>842.0</v>
      </c>
      <c r="B843" s="159" t="s">
        <v>4060</v>
      </c>
    </row>
    <row r="844">
      <c r="A844" s="157">
        <v>843.0</v>
      </c>
      <c r="B844" s="159" t="s">
        <v>4061</v>
      </c>
    </row>
    <row r="845">
      <c r="A845" s="157">
        <v>844.0</v>
      </c>
      <c r="B845" s="159" t="s">
        <v>4062</v>
      </c>
    </row>
    <row r="846">
      <c r="A846" s="157">
        <v>845.0</v>
      </c>
      <c r="B846" s="159" t="s">
        <v>4063</v>
      </c>
    </row>
    <row r="847">
      <c r="A847" s="157">
        <v>846.0</v>
      </c>
      <c r="B847" s="158" t="s">
        <v>4064</v>
      </c>
    </row>
    <row r="848">
      <c r="A848" s="157">
        <v>847.0</v>
      </c>
      <c r="B848" s="158" t="s">
        <v>4065</v>
      </c>
    </row>
    <row r="849">
      <c r="A849" s="157">
        <v>848.0</v>
      </c>
      <c r="B849" s="159" t="s">
        <v>4066</v>
      </c>
    </row>
    <row r="850">
      <c r="A850" s="157">
        <v>849.0</v>
      </c>
      <c r="B850" s="159" t="s">
        <v>4067</v>
      </c>
    </row>
    <row r="851">
      <c r="A851" s="157">
        <v>850.0</v>
      </c>
      <c r="B851" s="158" t="s">
        <v>4068</v>
      </c>
    </row>
    <row r="852">
      <c r="A852" s="157">
        <v>851.0</v>
      </c>
      <c r="B852" s="158" t="s">
        <v>4069</v>
      </c>
    </row>
    <row r="853">
      <c r="A853" s="157">
        <v>852.0</v>
      </c>
      <c r="B853" s="159" t="s">
        <v>4070</v>
      </c>
    </row>
    <row r="854">
      <c r="A854" s="157">
        <v>853.0</v>
      </c>
      <c r="B854" s="159" t="s">
        <v>4071</v>
      </c>
    </row>
    <row r="855">
      <c r="A855" s="157">
        <v>854.0</v>
      </c>
      <c r="B855" s="159" t="s">
        <v>4072</v>
      </c>
    </row>
    <row r="856">
      <c r="A856" s="157">
        <v>855.0</v>
      </c>
      <c r="B856" s="159" t="s">
        <v>4073</v>
      </c>
    </row>
    <row r="857">
      <c r="A857" s="157">
        <v>856.0</v>
      </c>
      <c r="B857" s="159" t="s">
        <v>4074</v>
      </c>
    </row>
    <row r="858">
      <c r="A858" s="157">
        <v>857.0</v>
      </c>
      <c r="B858" s="158" t="s">
        <v>4075</v>
      </c>
    </row>
    <row r="859">
      <c r="A859" s="157">
        <v>858.0</v>
      </c>
      <c r="B859" s="158" t="s">
        <v>4076</v>
      </c>
    </row>
    <row r="860">
      <c r="A860" s="157">
        <v>859.0</v>
      </c>
      <c r="B860" s="158" t="s">
        <v>4077</v>
      </c>
    </row>
    <row r="861">
      <c r="A861" s="157">
        <v>860.0</v>
      </c>
      <c r="B861" s="158" t="s">
        <v>4078</v>
      </c>
    </row>
    <row r="862">
      <c r="A862" s="157">
        <v>861.0</v>
      </c>
      <c r="B862" s="158" t="s">
        <v>4079</v>
      </c>
    </row>
    <row r="863">
      <c r="A863" s="157">
        <v>862.0</v>
      </c>
      <c r="B863" s="159" t="s">
        <v>4080</v>
      </c>
    </row>
    <row r="864">
      <c r="A864" s="157">
        <v>863.0</v>
      </c>
      <c r="B864" s="159" t="s">
        <v>4081</v>
      </c>
    </row>
    <row r="865">
      <c r="A865" s="157">
        <v>864.0</v>
      </c>
      <c r="B865" s="159" t="s">
        <v>4082</v>
      </c>
    </row>
    <row r="866">
      <c r="A866" s="157">
        <v>865.0</v>
      </c>
      <c r="B866" s="159" t="s">
        <v>4083</v>
      </c>
    </row>
    <row r="867">
      <c r="A867" s="157">
        <v>866.0</v>
      </c>
      <c r="B867" s="159" t="s">
        <v>4084</v>
      </c>
    </row>
    <row r="868">
      <c r="A868" s="157">
        <v>867.0</v>
      </c>
      <c r="B868" s="159" t="s">
        <v>4085</v>
      </c>
    </row>
    <row r="869">
      <c r="A869" s="157">
        <v>868.0</v>
      </c>
      <c r="B869" s="159" t="s">
        <v>4086</v>
      </c>
    </row>
    <row r="870">
      <c r="A870" s="157">
        <v>869.0</v>
      </c>
      <c r="B870" s="159" t="s">
        <v>4087</v>
      </c>
    </row>
    <row r="871">
      <c r="A871" s="157">
        <v>870.0</v>
      </c>
      <c r="B871" s="159" t="s">
        <v>4088</v>
      </c>
    </row>
    <row r="872">
      <c r="A872" s="157">
        <v>871.0</v>
      </c>
      <c r="B872" s="159" t="s">
        <v>4089</v>
      </c>
    </row>
    <row r="873">
      <c r="A873" s="157">
        <v>872.0</v>
      </c>
      <c r="B873" s="159" t="s">
        <v>4090</v>
      </c>
    </row>
    <row r="874">
      <c r="A874" s="157">
        <v>873.0</v>
      </c>
      <c r="B874" s="159" t="s">
        <v>4091</v>
      </c>
    </row>
    <row r="875">
      <c r="A875" s="157">
        <v>874.0</v>
      </c>
      <c r="B875" s="159" t="s">
        <v>4092</v>
      </c>
    </row>
    <row r="876">
      <c r="A876" s="157">
        <v>875.0</v>
      </c>
      <c r="B876" s="159" t="s">
        <v>4093</v>
      </c>
    </row>
    <row r="877">
      <c r="A877" s="157">
        <v>876.0</v>
      </c>
      <c r="B877" s="159" t="s">
        <v>4094</v>
      </c>
    </row>
    <row r="878">
      <c r="A878" s="157">
        <v>877.0</v>
      </c>
      <c r="B878" s="159" t="s">
        <v>4095</v>
      </c>
    </row>
    <row r="879">
      <c r="A879" s="157">
        <v>878.0</v>
      </c>
      <c r="B879" s="159" t="s">
        <v>4096</v>
      </c>
    </row>
    <row r="880">
      <c r="A880" s="157">
        <v>879.0</v>
      </c>
      <c r="B880" s="159" t="s">
        <v>4097</v>
      </c>
    </row>
    <row r="881">
      <c r="A881" s="157">
        <v>880.0</v>
      </c>
      <c r="B881" s="159" t="s">
        <v>4098</v>
      </c>
    </row>
    <row r="882">
      <c r="A882" s="157">
        <v>881.0</v>
      </c>
      <c r="B882" s="159" t="s">
        <v>4099</v>
      </c>
    </row>
    <row r="883">
      <c r="A883" s="157">
        <v>882.0</v>
      </c>
      <c r="B883" s="158" t="s">
        <v>4100</v>
      </c>
    </row>
    <row r="884">
      <c r="A884" s="157">
        <v>883.0</v>
      </c>
      <c r="B884" s="162" t="s">
        <v>4101</v>
      </c>
    </row>
    <row r="885">
      <c r="A885" s="157">
        <v>884.0</v>
      </c>
      <c r="B885" s="162" t="s">
        <v>4102</v>
      </c>
    </row>
    <row r="886">
      <c r="A886" s="157">
        <v>885.0</v>
      </c>
      <c r="B886" s="160" t="s">
        <v>4103</v>
      </c>
    </row>
    <row r="887">
      <c r="A887" s="157">
        <v>886.0</v>
      </c>
      <c r="B887" s="160" t="s">
        <v>4104</v>
      </c>
    </row>
    <row r="888">
      <c r="A888" s="157">
        <v>887.0</v>
      </c>
      <c r="B888" s="160" t="s">
        <v>4105</v>
      </c>
    </row>
    <row r="889">
      <c r="A889" s="157">
        <v>888.0</v>
      </c>
      <c r="B889" s="160" t="s">
        <v>4106</v>
      </c>
    </row>
    <row r="890">
      <c r="A890" s="157">
        <v>889.0</v>
      </c>
      <c r="B890" s="160" t="s">
        <v>4107</v>
      </c>
    </row>
    <row r="891">
      <c r="A891" s="157">
        <v>890.0</v>
      </c>
      <c r="B891" s="158" t="s">
        <v>4108</v>
      </c>
    </row>
    <row r="892">
      <c r="A892" s="157">
        <v>891.0</v>
      </c>
      <c r="B892" s="158" t="s">
        <v>4109</v>
      </c>
    </row>
    <row r="893">
      <c r="A893" s="157">
        <v>892.0</v>
      </c>
      <c r="B893" s="158" t="s">
        <v>4110</v>
      </c>
    </row>
    <row r="894">
      <c r="A894" s="157">
        <v>893.0</v>
      </c>
      <c r="B894" s="158" t="s">
        <v>4111</v>
      </c>
    </row>
    <row r="895">
      <c r="A895" s="157">
        <v>894.0</v>
      </c>
      <c r="B895" s="158" t="s">
        <v>4112</v>
      </c>
    </row>
    <row r="896">
      <c r="A896" s="157">
        <v>895.0</v>
      </c>
      <c r="B896" s="158" t="s">
        <v>4113</v>
      </c>
    </row>
    <row r="897">
      <c r="A897" s="157">
        <v>896.0</v>
      </c>
      <c r="B897" s="158" t="s">
        <v>4114</v>
      </c>
    </row>
    <row r="898">
      <c r="A898" s="157">
        <v>897.0</v>
      </c>
      <c r="B898" s="158" t="s">
        <v>4115</v>
      </c>
    </row>
    <row r="899">
      <c r="A899" s="157">
        <v>898.0</v>
      </c>
      <c r="B899" s="158" t="s">
        <v>4116</v>
      </c>
    </row>
    <row r="900">
      <c r="A900" s="157">
        <v>899.0</v>
      </c>
      <c r="B900" s="158" t="s">
        <v>4117</v>
      </c>
    </row>
    <row r="901">
      <c r="A901" s="157">
        <v>900.0</v>
      </c>
      <c r="B901" s="158" t="s">
        <v>4118</v>
      </c>
    </row>
    <row r="902">
      <c r="A902" s="157">
        <v>901.0</v>
      </c>
      <c r="B902" s="158" t="s">
        <v>4119</v>
      </c>
    </row>
    <row r="903">
      <c r="A903" s="157">
        <v>902.0</v>
      </c>
      <c r="B903" s="158" t="s">
        <v>4120</v>
      </c>
    </row>
    <row r="904">
      <c r="A904" s="157">
        <v>903.0</v>
      </c>
      <c r="B904" s="158" t="s">
        <v>4121</v>
      </c>
    </row>
    <row r="905">
      <c r="A905" s="157">
        <v>904.0</v>
      </c>
      <c r="B905" s="158" t="s">
        <v>4122</v>
      </c>
    </row>
    <row r="906">
      <c r="A906" s="157">
        <v>905.0</v>
      </c>
      <c r="B906" s="158" t="s">
        <v>4123</v>
      </c>
    </row>
    <row r="907">
      <c r="A907" s="157">
        <v>906.0</v>
      </c>
      <c r="B907" s="158" t="s">
        <v>4124</v>
      </c>
    </row>
    <row r="908">
      <c r="A908" s="157">
        <v>907.0</v>
      </c>
      <c r="B908" s="158" t="s">
        <v>4125</v>
      </c>
    </row>
    <row r="909">
      <c r="A909" s="157">
        <v>908.0</v>
      </c>
      <c r="B909" s="158" t="s">
        <v>4126</v>
      </c>
    </row>
    <row r="910">
      <c r="A910" s="157">
        <v>909.0</v>
      </c>
      <c r="B910" s="158" t="s">
        <v>4127</v>
      </c>
    </row>
    <row r="911">
      <c r="A911" s="157">
        <v>910.0</v>
      </c>
      <c r="B911" s="158" t="s">
        <v>4128</v>
      </c>
    </row>
    <row r="912">
      <c r="A912" s="157">
        <v>911.0</v>
      </c>
      <c r="B912" s="158" t="s">
        <v>4129</v>
      </c>
    </row>
    <row r="913">
      <c r="A913" s="157">
        <v>912.0</v>
      </c>
      <c r="B913" s="158" t="s">
        <v>4130</v>
      </c>
    </row>
    <row r="914">
      <c r="A914" s="157">
        <v>913.0</v>
      </c>
      <c r="B914" s="158" t="s">
        <v>4131</v>
      </c>
    </row>
    <row r="915">
      <c r="A915" s="157">
        <v>914.0</v>
      </c>
      <c r="B915" s="158" t="s">
        <v>4132</v>
      </c>
    </row>
    <row r="916">
      <c r="A916" s="157">
        <v>915.0</v>
      </c>
      <c r="B916" s="158" t="s">
        <v>4133</v>
      </c>
    </row>
    <row r="917">
      <c r="A917" s="157">
        <v>916.0</v>
      </c>
      <c r="B917" s="158" t="s">
        <v>4134</v>
      </c>
    </row>
    <row r="918">
      <c r="A918" s="157">
        <v>917.0</v>
      </c>
      <c r="B918" s="158" t="s">
        <v>4135</v>
      </c>
    </row>
    <row r="919">
      <c r="A919" s="157">
        <v>918.0</v>
      </c>
      <c r="B919" s="158" t="s">
        <v>4136</v>
      </c>
    </row>
    <row r="920">
      <c r="A920" s="157">
        <v>919.0</v>
      </c>
      <c r="B920" s="158" t="s">
        <v>4137</v>
      </c>
    </row>
    <row r="921">
      <c r="A921" s="157">
        <v>920.0</v>
      </c>
      <c r="B921" s="158" t="s">
        <v>4138</v>
      </c>
    </row>
    <row r="922">
      <c r="A922" s="157">
        <v>921.0</v>
      </c>
      <c r="B922" s="158" t="s">
        <v>4139</v>
      </c>
    </row>
    <row r="923">
      <c r="A923" s="157">
        <v>922.0</v>
      </c>
      <c r="B923" s="158" t="s">
        <v>4140</v>
      </c>
    </row>
    <row r="924">
      <c r="A924" s="157">
        <v>923.0</v>
      </c>
      <c r="B924" s="158" t="s">
        <v>4141</v>
      </c>
    </row>
    <row r="925">
      <c r="A925" s="157">
        <v>924.0</v>
      </c>
      <c r="B925" s="158" t="s">
        <v>4142</v>
      </c>
    </row>
    <row r="926">
      <c r="A926" s="157">
        <v>925.0</v>
      </c>
      <c r="B926" s="158" t="s">
        <v>4143</v>
      </c>
    </row>
    <row r="927">
      <c r="A927" s="157">
        <v>926.0</v>
      </c>
      <c r="B927" s="158" t="s">
        <v>4144</v>
      </c>
    </row>
    <row r="928">
      <c r="A928" s="157">
        <v>927.0</v>
      </c>
      <c r="B928" s="158" t="s">
        <v>4145</v>
      </c>
    </row>
    <row r="929">
      <c r="A929" s="157">
        <v>928.0</v>
      </c>
      <c r="B929" s="158" t="s">
        <v>4146</v>
      </c>
    </row>
    <row r="930">
      <c r="A930" s="157">
        <v>929.0</v>
      </c>
      <c r="B930" s="158" t="s">
        <v>4147</v>
      </c>
    </row>
    <row r="931">
      <c r="A931" s="157">
        <v>930.0</v>
      </c>
      <c r="B931" s="158" t="s">
        <v>4148</v>
      </c>
    </row>
    <row r="932">
      <c r="A932" s="157">
        <v>931.0</v>
      </c>
      <c r="B932" s="158" t="s">
        <v>4149</v>
      </c>
    </row>
    <row r="933">
      <c r="A933" s="157">
        <v>932.0</v>
      </c>
      <c r="B933" s="158" t="s">
        <v>4150</v>
      </c>
    </row>
    <row r="934">
      <c r="A934" s="157">
        <v>933.0</v>
      </c>
      <c r="B934" s="159" t="s">
        <v>4151</v>
      </c>
    </row>
    <row r="935">
      <c r="A935" s="157">
        <v>934.0</v>
      </c>
      <c r="B935" s="159" t="s">
        <v>4152</v>
      </c>
    </row>
    <row r="936">
      <c r="A936" s="157">
        <v>935.0</v>
      </c>
      <c r="B936" s="159" t="s">
        <v>4153</v>
      </c>
    </row>
    <row r="937">
      <c r="A937" s="157">
        <v>936.0</v>
      </c>
      <c r="B937" s="159" t="s">
        <v>4154</v>
      </c>
    </row>
    <row r="938">
      <c r="A938" s="157">
        <v>937.0</v>
      </c>
      <c r="B938" s="159" t="s">
        <v>4155</v>
      </c>
    </row>
    <row r="939">
      <c r="A939" s="157">
        <v>938.0</v>
      </c>
      <c r="B939" s="159" t="s">
        <v>4156</v>
      </c>
    </row>
    <row r="940">
      <c r="A940" s="157">
        <v>939.0</v>
      </c>
      <c r="B940" s="159" t="s">
        <v>4157</v>
      </c>
    </row>
    <row r="941">
      <c r="A941" s="157">
        <v>940.0</v>
      </c>
      <c r="B941" s="159" t="s">
        <v>4158</v>
      </c>
    </row>
    <row r="942">
      <c r="A942" s="157">
        <v>941.0</v>
      </c>
      <c r="B942" s="159" t="s">
        <v>4159</v>
      </c>
    </row>
    <row r="943">
      <c r="A943" s="157">
        <v>942.0</v>
      </c>
      <c r="B943" s="159" t="s">
        <v>4160</v>
      </c>
    </row>
    <row r="944">
      <c r="A944" s="157">
        <v>943.0</v>
      </c>
      <c r="B944" s="159" t="s">
        <v>4161</v>
      </c>
    </row>
    <row r="945">
      <c r="A945" s="157">
        <v>944.0</v>
      </c>
      <c r="B945" s="159" t="s">
        <v>4162</v>
      </c>
    </row>
    <row r="946">
      <c r="A946" s="157">
        <v>945.0</v>
      </c>
      <c r="B946" s="159" t="s">
        <v>4163</v>
      </c>
    </row>
    <row r="947">
      <c r="A947" s="157">
        <v>946.0</v>
      </c>
      <c r="B947" s="159" t="s">
        <v>4164</v>
      </c>
    </row>
    <row r="948">
      <c r="A948" s="157">
        <v>947.0</v>
      </c>
      <c r="B948" s="159" t="s">
        <v>4165</v>
      </c>
    </row>
    <row r="949">
      <c r="A949" s="157">
        <v>948.0</v>
      </c>
      <c r="B949" s="159" t="s">
        <v>4166</v>
      </c>
    </row>
    <row r="950">
      <c r="A950" s="157">
        <v>949.0</v>
      </c>
      <c r="B950" s="159" t="s">
        <v>4167</v>
      </c>
    </row>
    <row r="951">
      <c r="A951" s="157">
        <v>950.0</v>
      </c>
      <c r="B951" s="159" t="s">
        <v>4168</v>
      </c>
    </row>
    <row r="952">
      <c r="A952" s="157">
        <v>951.0</v>
      </c>
      <c r="B952" s="159" t="s">
        <v>4169</v>
      </c>
    </row>
    <row r="953">
      <c r="A953" s="157">
        <v>952.0</v>
      </c>
      <c r="B953" s="159" t="s">
        <v>4170</v>
      </c>
    </row>
    <row r="954">
      <c r="A954" s="157">
        <v>953.0</v>
      </c>
      <c r="B954" s="159" t="s">
        <v>4171</v>
      </c>
    </row>
    <row r="955">
      <c r="A955" s="157">
        <v>954.0</v>
      </c>
      <c r="B955" s="159" t="s">
        <v>4172</v>
      </c>
    </row>
    <row r="956">
      <c r="A956" s="157">
        <v>955.0</v>
      </c>
      <c r="B956" s="159" t="s">
        <v>4173</v>
      </c>
    </row>
    <row r="957">
      <c r="A957" s="157">
        <v>956.0</v>
      </c>
      <c r="B957" s="159" t="s">
        <v>4174</v>
      </c>
    </row>
    <row r="958">
      <c r="A958" s="157">
        <v>957.0</v>
      </c>
      <c r="B958" s="159" t="s">
        <v>4175</v>
      </c>
    </row>
    <row r="959">
      <c r="A959" s="157">
        <v>958.0</v>
      </c>
      <c r="B959" s="159" t="s">
        <v>4176</v>
      </c>
    </row>
    <row r="960">
      <c r="A960" s="157">
        <v>959.0</v>
      </c>
      <c r="B960" s="159" t="s">
        <v>4177</v>
      </c>
    </row>
    <row r="961">
      <c r="A961" s="157">
        <v>960.0</v>
      </c>
      <c r="B961" s="159" t="s">
        <v>4178</v>
      </c>
    </row>
    <row r="962">
      <c r="A962" s="157">
        <v>961.0</v>
      </c>
      <c r="B962" s="159" t="s">
        <v>4179</v>
      </c>
    </row>
    <row r="963">
      <c r="A963" s="157">
        <v>962.0</v>
      </c>
      <c r="B963" s="158" t="s">
        <v>4180</v>
      </c>
    </row>
    <row r="964">
      <c r="A964" s="157">
        <v>963.0</v>
      </c>
      <c r="B964" s="158" t="s">
        <v>4181</v>
      </c>
    </row>
    <row r="965">
      <c r="A965" s="157">
        <v>964.0</v>
      </c>
      <c r="B965" s="158" t="s">
        <v>4182</v>
      </c>
    </row>
    <row r="966">
      <c r="A966" s="157">
        <v>965.0</v>
      </c>
      <c r="B966" s="158" t="s">
        <v>4183</v>
      </c>
    </row>
    <row r="967">
      <c r="A967" s="157">
        <v>966.0</v>
      </c>
      <c r="B967" s="159" t="s">
        <v>4184</v>
      </c>
    </row>
    <row r="968">
      <c r="A968" s="157">
        <v>967.0</v>
      </c>
      <c r="B968" s="158" t="s">
        <v>4185</v>
      </c>
    </row>
    <row r="969">
      <c r="A969" s="157">
        <v>968.0</v>
      </c>
      <c r="B969" s="158" t="s">
        <v>4186</v>
      </c>
    </row>
    <row r="970">
      <c r="A970" s="157">
        <v>969.0</v>
      </c>
      <c r="B970" s="158" t="s">
        <v>4187</v>
      </c>
    </row>
    <row r="971">
      <c r="A971" s="157">
        <v>970.0</v>
      </c>
      <c r="B971" s="158" t="s">
        <v>4188</v>
      </c>
    </row>
    <row r="972">
      <c r="A972" s="157">
        <v>971.0</v>
      </c>
      <c r="B972" s="158" t="s">
        <v>4189</v>
      </c>
    </row>
    <row r="973">
      <c r="A973" s="157">
        <v>972.0</v>
      </c>
      <c r="B973" s="158" t="s">
        <v>4190</v>
      </c>
    </row>
    <row r="974">
      <c r="A974" s="157">
        <v>973.0</v>
      </c>
      <c r="B974" s="159" t="s">
        <v>4191</v>
      </c>
    </row>
    <row r="975">
      <c r="A975" s="157">
        <v>974.0</v>
      </c>
      <c r="B975" s="159" t="s">
        <v>4192</v>
      </c>
    </row>
    <row r="976">
      <c r="A976" s="157">
        <v>975.0</v>
      </c>
      <c r="B976" s="158" t="s">
        <v>4193</v>
      </c>
    </row>
    <row r="977">
      <c r="A977" s="157">
        <v>976.0</v>
      </c>
      <c r="B977" s="158" t="s">
        <v>4194</v>
      </c>
    </row>
    <row r="978">
      <c r="A978" s="157">
        <v>977.0</v>
      </c>
      <c r="B978" s="158" t="s">
        <v>4195</v>
      </c>
    </row>
    <row r="979">
      <c r="A979" s="157">
        <v>978.0</v>
      </c>
      <c r="B979" s="158" t="s">
        <v>4196</v>
      </c>
    </row>
    <row r="980">
      <c r="A980" s="157">
        <v>979.0</v>
      </c>
      <c r="B980" s="159" t="s">
        <v>4197</v>
      </c>
    </row>
    <row r="981">
      <c r="A981" s="157">
        <v>980.0</v>
      </c>
      <c r="B981" s="159" t="s">
        <v>4198</v>
      </c>
    </row>
    <row r="982">
      <c r="A982" s="157">
        <v>981.0</v>
      </c>
      <c r="B982" s="159" t="s">
        <v>4199</v>
      </c>
    </row>
    <row r="983">
      <c r="A983" s="157">
        <v>982.0</v>
      </c>
      <c r="B983" s="158" t="s">
        <v>4200</v>
      </c>
    </row>
    <row r="984">
      <c r="A984" s="157">
        <v>983.0</v>
      </c>
      <c r="B984" s="158" t="s">
        <v>4201</v>
      </c>
    </row>
    <row r="985">
      <c r="A985" s="157">
        <v>984.0</v>
      </c>
      <c r="B985" s="159" t="s">
        <v>4202</v>
      </c>
    </row>
    <row r="986">
      <c r="A986" s="157">
        <v>985.0</v>
      </c>
      <c r="B986" s="158" t="s">
        <v>4203</v>
      </c>
    </row>
    <row r="987">
      <c r="A987" s="157">
        <v>986.0</v>
      </c>
      <c r="B987" s="158" t="s">
        <v>4204</v>
      </c>
    </row>
    <row r="988">
      <c r="A988" s="157">
        <v>987.0</v>
      </c>
      <c r="B988" s="158" t="s">
        <v>4205</v>
      </c>
    </row>
    <row r="989">
      <c r="A989" s="157">
        <v>988.0</v>
      </c>
      <c r="B989" s="158" t="s">
        <v>4206</v>
      </c>
    </row>
    <row r="990">
      <c r="A990" s="157">
        <v>989.0</v>
      </c>
      <c r="B990" s="158" t="s">
        <v>4207</v>
      </c>
    </row>
    <row r="991">
      <c r="A991" s="157">
        <v>990.0</v>
      </c>
      <c r="B991" s="158" t="s">
        <v>4208</v>
      </c>
    </row>
    <row r="992">
      <c r="A992" s="157">
        <v>991.0</v>
      </c>
      <c r="B992" s="159" t="s">
        <v>4209</v>
      </c>
    </row>
    <row r="993">
      <c r="A993" s="157">
        <v>992.0</v>
      </c>
      <c r="B993" s="158" t="s">
        <v>4210</v>
      </c>
    </row>
    <row r="994">
      <c r="A994" s="157">
        <v>993.0</v>
      </c>
      <c r="B994" s="158" t="s">
        <v>4211</v>
      </c>
    </row>
    <row r="995">
      <c r="A995" s="157">
        <v>994.0</v>
      </c>
      <c r="B995" s="159" t="s">
        <v>4212</v>
      </c>
    </row>
    <row r="996">
      <c r="A996" s="157">
        <v>995.0</v>
      </c>
      <c r="B996" s="159" t="s">
        <v>4213</v>
      </c>
    </row>
    <row r="997">
      <c r="A997" s="157">
        <v>996.0</v>
      </c>
      <c r="B997" s="159" t="s">
        <v>4214</v>
      </c>
    </row>
    <row r="998">
      <c r="A998" s="157">
        <v>997.0</v>
      </c>
      <c r="B998" s="158" t="s">
        <v>4215</v>
      </c>
    </row>
    <row r="999">
      <c r="A999" s="157">
        <v>998.0</v>
      </c>
      <c r="B999" s="158" t="s">
        <v>4216</v>
      </c>
    </row>
    <row r="1000">
      <c r="A1000" s="157">
        <v>999.0</v>
      </c>
      <c r="B1000" s="158" t="s">
        <v>4217</v>
      </c>
    </row>
    <row r="1001">
      <c r="A1001" s="157">
        <v>1000.0</v>
      </c>
      <c r="B1001" s="158" t="s">
        <v>4218</v>
      </c>
    </row>
    <row r="1002">
      <c r="A1002" s="157">
        <v>1001.0</v>
      </c>
      <c r="B1002" s="158" t="s">
        <v>4219</v>
      </c>
    </row>
    <row r="1003">
      <c r="A1003" s="157">
        <v>1002.0</v>
      </c>
      <c r="B1003" s="158" t="s">
        <v>4220</v>
      </c>
    </row>
    <row r="1004">
      <c r="A1004" s="157">
        <v>1003.0</v>
      </c>
      <c r="B1004" s="158" t="s">
        <v>4221</v>
      </c>
    </row>
    <row r="1005">
      <c r="A1005" s="157">
        <v>1004.0</v>
      </c>
      <c r="B1005" s="158" t="s">
        <v>4222</v>
      </c>
    </row>
    <row r="1006">
      <c r="A1006" s="157">
        <v>1005.0</v>
      </c>
      <c r="B1006" s="159" t="s">
        <v>4223</v>
      </c>
    </row>
    <row r="1007">
      <c r="A1007" s="157">
        <v>1006.0</v>
      </c>
      <c r="B1007" s="158" t="s">
        <v>4224</v>
      </c>
    </row>
    <row r="1008">
      <c r="A1008" s="157">
        <v>1007.0</v>
      </c>
      <c r="B1008" s="159" t="s">
        <v>4225</v>
      </c>
    </row>
    <row r="1009">
      <c r="A1009" s="157">
        <v>1008.0</v>
      </c>
      <c r="B1009" s="159" t="s">
        <v>4226</v>
      </c>
    </row>
    <row r="1010">
      <c r="A1010" s="157">
        <v>1009.0</v>
      </c>
      <c r="B1010" s="159" t="s">
        <v>4227</v>
      </c>
    </row>
    <row r="1011">
      <c r="A1011" s="157">
        <v>1010.0</v>
      </c>
      <c r="B1011" s="158" t="s">
        <v>4228</v>
      </c>
    </row>
    <row r="1012">
      <c r="A1012" s="157">
        <v>1011.0</v>
      </c>
      <c r="B1012" s="158" t="s">
        <v>4229</v>
      </c>
    </row>
    <row r="1013">
      <c r="A1013" s="157">
        <v>1012.0</v>
      </c>
      <c r="B1013" s="160" t="s">
        <v>4230</v>
      </c>
    </row>
    <row r="1014">
      <c r="A1014" s="157">
        <v>1013.0</v>
      </c>
      <c r="B1014" s="160" t="s">
        <v>4231</v>
      </c>
    </row>
    <row r="1015">
      <c r="A1015" s="157">
        <v>1014.0</v>
      </c>
      <c r="B1015" s="158" t="s">
        <v>4232</v>
      </c>
    </row>
    <row r="1016">
      <c r="A1016" s="157">
        <v>1015.0</v>
      </c>
      <c r="B1016" s="160" t="s">
        <v>4233</v>
      </c>
    </row>
    <row r="1017">
      <c r="A1017" s="157">
        <v>1016.0</v>
      </c>
      <c r="B1017" s="160" t="s">
        <v>4234</v>
      </c>
    </row>
    <row r="1018">
      <c r="A1018" s="157">
        <v>1017.0</v>
      </c>
      <c r="B1018" s="160" t="s">
        <v>4235</v>
      </c>
    </row>
    <row r="1019">
      <c r="A1019" s="157">
        <v>1018.0</v>
      </c>
      <c r="B1019" s="160" t="s">
        <v>4236</v>
      </c>
    </row>
    <row r="1020">
      <c r="A1020" s="157">
        <v>1019.0</v>
      </c>
      <c r="B1020" s="160" t="s">
        <v>4237</v>
      </c>
    </row>
    <row r="1021">
      <c r="A1021" s="157">
        <v>1020.0</v>
      </c>
      <c r="B1021" s="160" t="s">
        <v>4238</v>
      </c>
    </row>
    <row r="1022">
      <c r="A1022" s="157">
        <v>1021.0</v>
      </c>
      <c r="B1022" s="160" t="s">
        <v>4239</v>
      </c>
    </row>
    <row r="1023">
      <c r="A1023" s="157">
        <v>1022.0</v>
      </c>
      <c r="B1023" s="160" t="s">
        <v>4240</v>
      </c>
    </row>
    <row r="1024">
      <c r="A1024" s="157">
        <v>1023.0</v>
      </c>
      <c r="B1024" s="162" t="s">
        <v>4241</v>
      </c>
    </row>
    <row r="1025">
      <c r="A1025" s="157">
        <v>1024.0</v>
      </c>
      <c r="B1025" s="160" t="s">
        <v>4242</v>
      </c>
    </row>
    <row r="1026">
      <c r="A1026" s="157">
        <v>1025.0</v>
      </c>
      <c r="B1026" s="160" t="s">
        <v>4243</v>
      </c>
    </row>
    <row r="1027">
      <c r="A1027" s="157">
        <v>1026.0</v>
      </c>
      <c r="B1027" s="160" t="s">
        <v>4244</v>
      </c>
    </row>
    <row r="1028">
      <c r="A1028" s="157">
        <v>1027.0</v>
      </c>
      <c r="B1028" s="160" t="s">
        <v>4245</v>
      </c>
    </row>
    <row r="1029">
      <c r="A1029" s="157">
        <v>1028.0</v>
      </c>
      <c r="B1029" s="160" t="s">
        <v>4246</v>
      </c>
    </row>
    <row r="1030">
      <c r="A1030" s="157">
        <v>1029.0</v>
      </c>
      <c r="B1030" s="160" t="s">
        <v>4247</v>
      </c>
    </row>
    <row r="1031">
      <c r="A1031" s="157">
        <v>1030.0</v>
      </c>
      <c r="B1031" s="160" t="s">
        <v>4248</v>
      </c>
    </row>
    <row r="1032">
      <c r="A1032" s="157">
        <v>1031.0</v>
      </c>
      <c r="B1032" s="160" t="s">
        <v>4249</v>
      </c>
    </row>
    <row r="1033">
      <c r="A1033" s="157">
        <v>1032.0</v>
      </c>
      <c r="B1033" s="160" t="s">
        <v>4250</v>
      </c>
    </row>
    <row r="1034">
      <c r="A1034" s="157">
        <v>1033.0</v>
      </c>
      <c r="B1034" s="158" t="s">
        <v>4251</v>
      </c>
    </row>
    <row r="1035">
      <c r="A1035" s="157">
        <v>1034.0</v>
      </c>
      <c r="B1035" s="160" t="s">
        <v>4252</v>
      </c>
    </row>
    <row r="1036">
      <c r="A1036" s="157">
        <v>1035.0</v>
      </c>
      <c r="B1036" s="160" t="s">
        <v>4253</v>
      </c>
    </row>
    <row r="1037">
      <c r="A1037" s="157">
        <v>1036.0</v>
      </c>
      <c r="B1037" s="160" t="s">
        <v>4254</v>
      </c>
    </row>
    <row r="1038">
      <c r="A1038" s="157">
        <v>1037.0</v>
      </c>
      <c r="B1038" s="160" t="s">
        <v>4255</v>
      </c>
    </row>
    <row r="1039">
      <c r="A1039" s="157">
        <v>1038.0</v>
      </c>
      <c r="B1039" s="160" t="s">
        <v>4256</v>
      </c>
    </row>
    <row r="1040">
      <c r="A1040" s="157">
        <v>1039.0</v>
      </c>
      <c r="B1040" s="160" t="s">
        <v>4257</v>
      </c>
    </row>
    <row r="1041">
      <c r="A1041" s="157">
        <v>1040.0</v>
      </c>
      <c r="B1041" s="160" t="s">
        <v>4258</v>
      </c>
    </row>
    <row r="1042">
      <c r="A1042" s="157">
        <v>1041.0</v>
      </c>
      <c r="B1042" s="160" t="s">
        <v>4259</v>
      </c>
    </row>
    <row r="1043">
      <c r="A1043" s="157">
        <v>1042.0</v>
      </c>
      <c r="B1043" s="158" t="s">
        <v>4260</v>
      </c>
    </row>
    <row r="1044">
      <c r="A1044" s="157">
        <v>1043.0</v>
      </c>
      <c r="B1044" s="158" t="s">
        <v>4261</v>
      </c>
    </row>
    <row r="1045">
      <c r="A1045" s="157">
        <v>1044.0</v>
      </c>
      <c r="B1045" s="158" t="s">
        <v>4262</v>
      </c>
    </row>
    <row r="1046">
      <c r="A1046" s="157">
        <v>1045.0</v>
      </c>
      <c r="B1046" s="158" t="s">
        <v>4263</v>
      </c>
    </row>
    <row r="1047">
      <c r="A1047" s="157">
        <v>1046.0</v>
      </c>
      <c r="B1047" s="158" t="s">
        <v>4264</v>
      </c>
    </row>
    <row r="1048">
      <c r="A1048" s="157">
        <v>1047.0</v>
      </c>
      <c r="B1048" s="158" t="s">
        <v>4265</v>
      </c>
    </row>
    <row r="1049">
      <c r="A1049" s="157">
        <v>1048.0</v>
      </c>
      <c r="B1049" s="158" t="s">
        <v>4266</v>
      </c>
    </row>
    <row r="1050">
      <c r="A1050" s="157">
        <v>1049.0</v>
      </c>
      <c r="B1050" s="158" t="s">
        <v>4267</v>
      </c>
    </row>
    <row r="1051">
      <c r="A1051" s="157">
        <v>1050.0</v>
      </c>
      <c r="B1051" s="158" t="s">
        <v>4268</v>
      </c>
    </row>
    <row r="1052">
      <c r="A1052" s="157">
        <v>1051.0</v>
      </c>
      <c r="B1052" s="158" t="s">
        <v>4269</v>
      </c>
    </row>
    <row r="1053">
      <c r="A1053" s="157">
        <v>1052.0</v>
      </c>
      <c r="B1053" s="158" t="s">
        <v>4270</v>
      </c>
    </row>
    <row r="1054">
      <c r="A1054" s="157">
        <v>1053.0</v>
      </c>
      <c r="B1054" s="158" t="s">
        <v>4271</v>
      </c>
    </row>
    <row r="1055">
      <c r="A1055" s="157">
        <v>1054.0</v>
      </c>
      <c r="B1055" s="159" t="s">
        <v>4272</v>
      </c>
    </row>
    <row r="1056">
      <c r="A1056" s="157">
        <v>1055.0</v>
      </c>
      <c r="B1056" s="158" t="s">
        <v>4273</v>
      </c>
    </row>
    <row r="1057">
      <c r="A1057" s="157">
        <v>1056.0</v>
      </c>
      <c r="B1057" s="158" t="s">
        <v>4274</v>
      </c>
    </row>
    <row r="1058">
      <c r="A1058" s="157">
        <v>1057.0</v>
      </c>
      <c r="B1058" s="158" t="s">
        <v>4275</v>
      </c>
    </row>
    <row r="1059">
      <c r="A1059" s="157">
        <v>1058.0</v>
      </c>
      <c r="B1059" s="158" t="s">
        <v>4276</v>
      </c>
    </row>
    <row r="1060">
      <c r="A1060" s="157">
        <v>1059.0</v>
      </c>
      <c r="B1060" s="158" t="s">
        <v>4277</v>
      </c>
    </row>
    <row r="1061">
      <c r="A1061" s="157">
        <v>1060.0</v>
      </c>
      <c r="B1061" s="158" t="s">
        <v>4278</v>
      </c>
    </row>
    <row r="1062">
      <c r="A1062" s="157">
        <v>1061.0</v>
      </c>
      <c r="B1062" s="158" t="s">
        <v>4279</v>
      </c>
    </row>
    <row r="1063">
      <c r="A1063" s="157">
        <v>1062.0</v>
      </c>
      <c r="B1063" s="158" t="s">
        <v>4280</v>
      </c>
    </row>
    <row r="1064">
      <c r="A1064" s="157">
        <v>1063.0</v>
      </c>
      <c r="B1064" s="158" t="s">
        <v>4281</v>
      </c>
    </row>
    <row r="1065">
      <c r="A1065" s="157">
        <v>1064.0</v>
      </c>
      <c r="B1065" s="158" t="s">
        <v>4282</v>
      </c>
    </row>
    <row r="1066">
      <c r="A1066" s="157">
        <v>1065.0</v>
      </c>
      <c r="B1066" s="158" t="s">
        <v>4283</v>
      </c>
    </row>
    <row r="1067">
      <c r="A1067" s="157">
        <v>1066.0</v>
      </c>
      <c r="B1067" s="158" t="s">
        <v>4284</v>
      </c>
    </row>
    <row r="1068">
      <c r="A1068" s="157">
        <v>1067.0</v>
      </c>
      <c r="B1068" s="159" t="s">
        <v>4285</v>
      </c>
    </row>
    <row r="1069">
      <c r="A1069" s="157">
        <v>1068.0</v>
      </c>
      <c r="B1069" s="159" t="s">
        <v>4286</v>
      </c>
    </row>
    <row r="1070">
      <c r="A1070" s="157">
        <v>1069.0</v>
      </c>
      <c r="B1070" s="159" t="s">
        <v>4287</v>
      </c>
    </row>
    <row r="1071">
      <c r="A1071" s="157">
        <v>1070.0</v>
      </c>
      <c r="B1071" s="159" t="s">
        <v>4288</v>
      </c>
    </row>
    <row r="1072">
      <c r="A1072" s="157">
        <v>1071.0</v>
      </c>
      <c r="B1072" s="159" t="s">
        <v>4289</v>
      </c>
    </row>
    <row r="1073">
      <c r="A1073" s="157">
        <v>1072.0</v>
      </c>
      <c r="B1073" s="158" t="s">
        <v>4290</v>
      </c>
    </row>
    <row r="1074">
      <c r="A1074" s="157">
        <v>1073.0</v>
      </c>
      <c r="B1074" s="159" t="s">
        <v>4291</v>
      </c>
    </row>
    <row r="1075">
      <c r="A1075" s="157">
        <v>1074.0</v>
      </c>
      <c r="B1075" s="160" t="s">
        <v>4292</v>
      </c>
    </row>
    <row r="1076">
      <c r="A1076" s="157">
        <v>1075.0</v>
      </c>
      <c r="B1076" s="160" t="s">
        <v>4293</v>
      </c>
    </row>
    <row r="1077">
      <c r="A1077" s="157">
        <v>1076.0</v>
      </c>
      <c r="B1077" s="160" t="s">
        <v>4294</v>
      </c>
    </row>
    <row r="1078">
      <c r="A1078" s="157">
        <v>1077.0</v>
      </c>
      <c r="B1078" s="160" t="s">
        <v>4295</v>
      </c>
    </row>
    <row r="1079">
      <c r="A1079" s="157">
        <v>1078.0</v>
      </c>
      <c r="B1079" s="160" t="s">
        <v>4296</v>
      </c>
    </row>
    <row r="1080">
      <c r="A1080" s="157">
        <v>1079.0</v>
      </c>
      <c r="B1080" s="160" t="s">
        <v>4297</v>
      </c>
    </row>
    <row r="1081">
      <c r="A1081" s="157">
        <v>1080.0</v>
      </c>
      <c r="B1081" s="160" t="s">
        <v>4298</v>
      </c>
    </row>
    <row r="1082">
      <c r="A1082" s="157">
        <v>1081.0</v>
      </c>
      <c r="B1082" s="160" t="s">
        <v>4299</v>
      </c>
    </row>
    <row r="1083">
      <c r="A1083" s="157">
        <v>1082.0</v>
      </c>
      <c r="B1083" s="160" t="s">
        <v>4300</v>
      </c>
    </row>
    <row r="1084">
      <c r="A1084" s="157">
        <v>1083.0</v>
      </c>
      <c r="B1084" s="158" t="s">
        <v>4301</v>
      </c>
    </row>
    <row r="1085">
      <c r="A1085" s="157">
        <v>1084.0</v>
      </c>
      <c r="B1085" s="158" t="s">
        <v>4302</v>
      </c>
    </row>
    <row r="1086">
      <c r="A1086" s="157">
        <v>1085.0</v>
      </c>
      <c r="B1086" s="158" t="s">
        <v>4303</v>
      </c>
    </row>
    <row r="1087">
      <c r="A1087" s="157">
        <v>1086.0</v>
      </c>
      <c r="B1087" s="158" t="s">
        <v>4304</v>
      </c>
    </row>
    <row r="1088">
      <c r="A1088" s="157">
        <v>1087.0</v>
      </c>
      <c r="B1088" s="158" t="s">
        <v>4305</v>
      </c>
    </row>
    <row r="1089">
      <c r="A1089" s="157">
        <v>1088.0</v>
      </c>
      <c r="B1089" s="160" t="s">
        <v>4306</v>
      </c>
    </row>
    <row r="1090">
      <c r="A1090" s="157">
        <v>1089.0</v>
      </c>
      <c r="B1090" s="160" t="s">
        <v>4307</v>
      </c>
    </row>
    <row r="1091">
      <c r="A1091" s="157">
        <v>1090.0</v>
      </c>
      <c r="B1091" s="158" t="s">
        <v>4308</v>
      </c>
    </row>
    <row r="1092">
      <c r="A1092" s="157">
        <v>1091.0</v>
      </c>
      <c r="B1092" s="160" t="s">
        <v>4309</v>
      </c>
    </row>
    <row r="1093">
      <c r="A1093" s="157">
        <v>1092.0</v>
      </c>
      <c r="B1093" s="160" t="s">
        <v>4310</v>
      </c>
    </row>
    <row r="1094">
      <c r="A1094" s="157">
        <v>1093.0</v>
      </c>
      <c r="B1094" s="160" t="s">
        <v>4311</v>
      </c>
    </row>
    <row r="1095">
      <c r="A1095" s="157">
        <v>1094.0</v>
      </c>
      <c r="B1095" s="160" t="s">
        <v>4312</v>
      </c>
    </row>
    <row r="1096">
      <c r="A1096" s="157">
        <v>1095.0</v>
      </c>
      <c r="B1096" s="158" t="s">
        <v>4313</v>
      </c>
    </row>
    <row r="1097">
      <c r="A1097" s="157">
        <v>1096.0</v>
      </c>
      <c r="B1097" s="159" t="s">
        <v>4314</v>
      </c>
    </row>
    <row r="1098">
      <c r="A1098" s="157">
        <v>1097.0</v>
      </c>
      <c r="B1098" s="159" t="s">
        <v>4315</v>
      </c>
    </row>
    <row r="1099">
      <c r="A1099" s="157">
        <v>1098.0</v>
      </c>
      <c r="B1099" s="158" t="s">
        <v>4316</v>
      </c>
    </row>
    <row r="1100">
      <c r="A1100" s="157">
        <v>1099.0</v>
      </c>
      <c r="B1100" s="158" t="s">
        <v>4317</v>
      </c>
    </row>
    <row r="1101">
      <c r="A1101" s="157">
        <v>1100.0</v>
      </c>
      <c r="B1101" s="160" t="s">
        <v>4318</v>
      </c>
    </row>
    <row r="1102">
      <c r="A1102" s="157">
        <v>1101.0</v>
      </c>
      <c r="B1102" s="160" t="s">
        <v>4319</v>
      </c>
    </row>
    <row r="1103">
      <c r="A1103" s="157">
        <v>1102.0</v>
      </c>
      <c r="B1103" s="160" t="s">
        <v>4320</v>
      </c>
    </row>
    <row r="1104">
      <c r="A1104" s="157">
        <v>1103.0</v>
      </c>
      <c r="B1104" s="160" t="s">
        <v>4321</v>
      </c>
    </row>
    <row r="1105">
      <c r="A1105" s="157">
        <v>1104.0</v>
      </c>
      <c r="B1105" s="160" t="s">
        <v>4322</v>
      </c>
    </row>
    <row r="1106">
      <c r="A1106" s="157">
        <v>1105.0</v>
      </c>
      <c r="B1106" s="160" t="s">
        <v>4323</v>
      </c>
    </row>
    <row r="1107">
      <c r="A1107" s="157">
        <v>1106.0</v>
      </c>
      <c r="B1107" s="160" t="s">
        <v>4324</v>
      </c>
    </row>
    <row r="1108">
      <c r="A1108" s="157">
        <v>1107.0</v>
      </c>
      <c r="B1108" s="158" t="s">
        <v>4325</v>
      </c>
    </row>
    <row r="1109">
      <c r="A1109" s="157">
        <v>1108.0</v>
      </c>
      <c r="B1109" s="160" t="s">
        <v>4326</v>
      </c>
    </row>
    <row r="1110">
      <c r="A1110" s="157">
        <v>1109.0</v>
      </c>
      <c r="B1110" s="158" t="s">
        <v>4327</v>
      </c>
    </row>
    <row r="1111">
      <c r="A1111" s="157">
        <v>1110.0</v>
      </c>
      <c r="B1111" s="158" t="s">
        <v>4328</v>
      </c>
    </row>
    <row r="1112">
      <c r="A1112" s="157">
        <v>1111.0</v>
      </c>
      <c r="B1112" s="158" t="s">
        <v>4329</v>
      </c>
    </row>
    <row r="1113">
      <c r="A1113" s="157">
        <v>1112.0</v>
      </c>
      <c r="B1113" s="160" t="s">
        <v>4330</v>
      </c>
    </row>
    <row r="1114">
      <c r="A1114" s="157">
        <v>1113.0</v>
      </c>
      <c r="B1114" s="160" t="s">
        <v>4331</v>
      </c>
    </row>
    <row r="1115">
      <c r="A1115" s="157">
        <v>1114.0</v>
      </c>
      <c r="B1115" s="160" t="s">
        <v>4332</v>
      </c>
    </row>
    <row r="1116">
      <c r="A1116" s="157">
        <v>1115.0</v>
      </c>
      <c r="B1116" s="160" t="s">
        <v>4333</v>
      </c>
    </row>
    <row r="1117">
      <c r="A1117" s="157">
        <v>1116.0</v>
      </c>
      <c r="B1117" s="160" t="s">
        <v>4334</v>
      </c>
    </row>
    <row r="1118">
      <c r="A1118" s="157">
        <v>1117.0</v>
      </c>
      <c r="B1118" s="160" t="s">
        <v>4335</v>
      </c>
    </row>
    <row r="1119">
      <c r="A1119" s="157">
        <v>1118.0</v>
      </c>
      <c r="B1119" s="160" t="s">
        <v>4336</v>
      </c>
    </row>
    <row r="1120">
      <c r="A1120" s="157">
        <v>1119.0</v>
      </c>
      <c r="B1120" s="160" t="s">
        <v>4337</v>
      </c>
    </row>
    <row r="1121">
      <c r="A1121" s="157">
        <v>1120.0</v>
      </c>
      <c r="B1121" s="160" t="s">
        <v>4338</v>
      </c>
    </row>
    <row r="1122">
      <c r="A1122" s="157">
        <v>1121.0</v>
      </c>
      <c r="B1122" s="160" t="s">
        <v>4339</v>
      </c>
    </row>
    <row r="1123">
      <c r="A1123" s="157">
        <v>1122.0</v>
      </c>
      <c r="B1123" s="160" t="s">
        <v>4340</v>
      </c>
    </row>
    <row r="1124">
      <c r="A1124" s="157">
        <v>1123.0</v>
      </c>
      <c r="B1124" s="160" t="s">
        <v>4341</v>
      </c>
    </row>
    <row r="1125">
      <c r="A1125" s="157">
        <v>1124.0</v>
      </c>
      <c r="B1125" s="160" t="s">
        <v>4342</v>
      </c>
    </row>
    <row r="1126">
      <c r="A1126" s="157">
        <v>1125.0</v>
      </c>
      <c r="B1126" s="160" t="s">
        <v>4343</v>
      </c>
    </row>
    <row r="1127">
      <c r="A1127" s="157">
        <v>1126.0</v>
      </c>
      <c r="B1127" s="160" t="s">
        <v>4344</v>
      </c>
    </row>
    <row r="1128">
      <c r="A1128" s="157">
        <v>1127.0</v>
      </c>
      <c r="B1128" s="160" t="s">
        <v>4345</v>
      </c>
    </row>
    <row r="1129">
      <c r="A1129" s="157">
        <v>1128.0</v>
      </c>
      <c r="B1129" s="160" t="s">
        <v>4346</v>
      </c>
    </row>
    <row r="1130">
      <c r="A1130" s="157">
        <v>1129.0</v>
      </c>
      <c r="B1130" s="160" t="s">
        <v>4347</v>
      </c>
    </row>
    <row r="1131">
      <c r="A1131" s="157">
        <v>1130.0</v>
      </c>
      <c r="B1131" s="160" t="s">
        <v>4348</v>
      </c>
    </row>
    <row r="1132">
      <c r="A1132" s="157">
        <v>1131.0</v>
      </c>
      <c r="B1132" s="160" t="s">
        <v>4349</v>
      </c>
    </row>
    <row r="1133">
      <c r="A1133" s="157">
        <v>1132.0</v>
      </c>
      <c r="B1133" s="160" t="s">
        <v>4350</v>
      </c>
    </row>
    <row r="1134">
      <c r="A1134" s="157">
        <v>1133.0</v>
      </c>
      <c r="B1134" s="160" t="s">
        <v>4351</v>
      </c>
    </row>
    <row r="1135">
      <c r="A1135" s="157">
        <v>1134.0</v>
      </c>
      <c r="B1135" s="160" t="s">
        <v>4352</v>
      </c>
    </row>
    <row r="1136">
      <c r="A1136" s="157">
        <v>1135.0</v>
      </c>
      <c r="B1136" s="160" t="s">
        <v>4353</v>
      </c>
    </row>
    <row r="1137">
      <c r="A1137" s="157">
        <v>1136.0</v>
      </c>
      <c r="B1137" s="160" t="s">
        <v>4354</v>
      </c>
    </row>
    <row r="1138">
      <c r="A1138" s="157">
        <v>1137.0</v>
      </c>
      <c r="B1138" s="160" t="s">
        <v>4355</v>
      </c>
    </row>
    <row r="1139">
      <c r="A1139" s="157">
        <v>1138.0</v>
      </c>
      <c r="B1139" s="159" t="s">
        <v>4356</v>
      </c>
    </row>
    <row r="1140">
      <c r="A1140" s="157">
        <v>1139.0</v>
      </c>
      <c r="B1140" s="164" t="s">
        <v>4357</v>
      </c>
    </row>
    <row r="1141">
      <c r="A1141" s="157">
        <v>1140.0</v>
      </c>
      <c r="B1141" s="160" t="s">
        <v>4358</v>
      </c>
    </row>
    <row r="1142">
      <c r="A1142" s="157">
        <v>1141.0</v>
      </c>
      <c r="B1142" s="160" t="s">
        <v>4359</v>
      </c>
    </row>
    <row r="1143">
      <c r="A1143" s="157">
        <v>1142.0</v>
      </c>
      <c r="B1143" s="160" t="s">
        <v>4360</v>
      </c>
    </row>
    <row r="1144">
      <c r="A1144" s="157">
        <v>1143.0</v>
      </c>
      <c r="B1144" s="160" t="s">
        <v>4361</v>
      </c>
    </row>
    <row r="1145">
      <c r="A1145" s="157">
        <v>1144.0</v>
      </c>
      <c r="B1145" s="160" t="s">
        <v>4362</v>
      </c>
    </row>
    <row r="1146">
      <c r="A1146" s="157">
        <v>1145.0</v>
      </c>
      <c r="B1146" s="158" t="s">
        <v>4363</v>
      </c>
    </row>
    <row r="1147">
      <c r="A1147" s="157">
        <v>1146.0</v>
      </c>
      <c r="B1147" s="158" t="s">
        <v>4364</v>
      </c>
    </row>
    <row r="1148">
      <c r="A1148" s="157">
        <v>1147.0</v>
      </c>
      <c r="B1148" s="158" t="s">
        <v>4365</v>
      </c>
    </row>
    <row r="1149">
      <c r="A1149" s="157">
        <v>1148.0</v>
      </c>
      <c r="B1149" s="160" t="s">
        <v>4366</v>
      </c>
    </row>
    <row r="1150">
      <c r="A1150" s="157">
        <v>1149.0</v>
      </c>
      <c r="B1150" s="158" t="s">
        <v>4367</v>
      </c>
    </row>
    <row r="1151">
      <c r="A1151" s="157">
        <v>1150.0</v>
      </c>
      <c r="B1151" s="158" t="s">
        <v>4368</v>
      </c>
    </row>
    <row r="1152">
      <c r="A1152" s="157">
        <v>1151.0</v>
      </c>
      <c r="B1152" s="160" t="s">
        <v>4369</v>
      </c>
    </row>
    <row r="1153">
      <c r="A1153" s="157">
        <v>1152.0</v>
      </c>
      <c r="B1153" s="160" t="s">
        <v>4370</v>
      </c>
    </row>
    <row r="1154">
      <c r="A1154" s="157">
        <v>1153.0</v>
      </c>
      <c r="B1154" s="160" t="s">
        <v>4371</v>
      </c>
    </row>
    <row r="1155">
      <c r="A1155" s="157">
        <v>1154.0</v>
      </c>
      <c r="B1155" s="158" t="s">
        <v>4372</v>
      </c>
    </row>
    <row r="1156">
      <c r="A1156" s="157">
        <v>1155.0</v>
      </c>
      <c r="B1156" s="158" t="s">
        <v>4373</v>
      </c>
    </row>
    <row r="1157">
      <c r="A1157" s="157">
        <v>1156.0</v>
      </c>
      <c r="B1157" s="158" t="s">
        <v>4374</v>
      </c>
    </row>
    <row r="1158">
      <c r="A1158" s="157">
        <v>1157.0</v>
      </c>
      <c r="B1158" s="159" t="s">
        <v>4375</v>
      </c>
    </row>
    <row r="1159">
      <c r="A1159" s="157">
        <v>1158.0</v>
      </c>
      <c r="B1159" s="159" t="s">
        <v>4376</v>
      </c>
    </row>
    <row r="1160">
      <c r="A1160" s="157">
        <v>1159.0</v>
      </c>
      <c r="B1160" s="158" t="s">
        <v>4377</v>
      </c>
    </row>
    <row r="1161">
      <c r="A1161" s="157">
        <v>1160.0</v>
      </c>
      <c r="B1161" s="158" t="s">
        <v>4378</v>
      </c>
    </row>
    <row r="1162">
      <c r="A1162" s="157">
        <v>1161.0</v>
      </c>
      <c r="B1162" s="159" t="s">
        <v>4379</v>
      </c>
    </row>
    <row r="1163">
      <c r="A1163" s="157">
        <v>1162.0</v>
      </c>
      <c r="B1163" s="158" t="s">
        <v>4380</v>
      </c>
    </row>
    <row r="1164">
      <c r="A1164" s="157">
        <v>1163.0</v>
      </c>
      <c r="B1164" s="158" t="s">
        <v>4381</v>
      </c>
    </row>
    <row r="1165">
      <c r="A1165" s="157">
        <v>1164.0</v>
      </c>
      <c r="B1165" s="158" t="s">
        <v>4382</v>
      </c>
    </row>
    <row r="1166">
      <c r="A1166" s="157">
        <v>1165.0</v>
      </c>
      <c r="B1166" s="158" t="s">
        <v>4383</v>
      </c>
    </row>
    <row r="1167">
      <c r="A1167" s="157">
        <v>1166.0</v>
      </c>
      <c r="B1167" s="158" t="s">
        <v>4384</v>
      </c>
    </row>
    <row r="1168">
      <c r="A1168" s="157">
        <v>1167.0</v>
      </c>
      <c r="B1168" s="158" t="s">
        <v>4385</v>
      </c>
    </row>
    <row r="1169">
      <c r="A1169" s="157">
        <v>1168.0</v>
      </c>
      <c r="B1169" s="158" t="s">
        <v>4386</v>
      </c>
    </row>
    <row r="1170">
      <c r="A1170" s="157">
        <v>1169.0</v>
      </c>
      <c r="B1170" s="158" t="s">
        <v>4387</v>
      </c>
    </row>
    <row r="1171">
      <c r="A1171" s="157">
        <v>1170.0</v>
      </c>
      <c r="B1171" s="158" t="s">
        <v>4388</v>
      </c>
    </row>
    <row r="1172">
      <c r="A1172" s="157">
        <v>1171.0</v>
      </c>
      <c r="B1172" s="160" t="s">
        <v>4389</v>
      </c>
    </row>
    <row r="1173">
      <c r="A1173" s="157">
        <v>1172.0</v>
      </c>
      <c r="B1173" s="160" t="s">
        <v>4390</v>
      </c>
    </row>
    <row r="1174">
      <c r="A1174" s="157">
        <v>1173.0</v>
      </c>
      <c r="B1174" s="160" t="s">
        <v>4391</v>
      </c>
    </row>
    <row r="1175">
      <c r="A1175" s="157">
        <v>1174.0</v>
      </c>
      <c r="B1175" s="160" t="s">
        <v>4392</v>
      </c>
    </row>
    <row r="1176">
      <c r="A1176" s="157">
        <v>1175.0</v>
      </c>
      <c r="B1176" s="159" t="s">
        <v>4393</v>
      </c>
    </row>
    <row r="1177">
      <c r="A1177" s="157">
        <v>1176.0</v>
      </c>
      <c r="B1177" s="158" t="s">
        <v>4394</v>
      </c>
    </row>
    <row r="1178">
      <c r="A1178" s="157">
        <v>1177.0</v>
      </c>
      <c r="B1178" s="158" t="s">
        <v>4395</v>
      </c>
    </row>
    <row r="1179">
      <c r="A1179" s="157">
        <v>1178.0</v>
      </c>
      <c r="B1179" s="158" t="s">
        <v>4396</v>
      </c>
    </row>
    <row r="1180">
      <c r="A1180" s="157">
        <v>1179.0</v>
      </c>
      <c r="B1180" s="160" t="s">
        <v>4397</v>
      </c>
    </row>
    <row r="1181">
      <c r="A1181" s="157">
        <v>1180.0</v>
      </c>
      <c r="B1181" s="160" t="s">
        <v>4398</v>
      </c>
    </row>
    <row r="1182">
      <c r="A1182" s="157">
        <v>1181.0</v>
      </c>
      <c r="B1182" s="160" t="s">
        <v>4399</v>
      </c>
    </row>
    <row r="1183">
      <c r="A1183" s="157">
        <v>1182.0</v>
      </c>
      <c r="B1183" s="160" t="s">
        <v>4400</v>
      </c>
    </row>
    <row r="1184">
      <c r="A1184" s="157">
        <v>1183.0</v>
      </c>
      <c r="B1184" s="159" t="s">
        <v>4401</v>
      </c>
    </row>
    <row r="1185">
      <c r="A1185" s="157">
        <v>1184.0</v>
      </c>
      <c r="B1185" s="159" t="s">
        <v>4402</v>
      </c>
    </row>
    <row r="1186">
      <c r="A1186" s="157">
        <v>1185.0</v>
      </c>
      <c r="B1186" s="160" t="s">
        <v>4403</v>
      </c>
    </row>
    <row r="1187">
      <c r="A1187" s="157">
        <v>1186.0</v>
      </c>
      <c r="B1187" s="160" t="s">
        <v>4404</v>
      </c>
    </row>
    <row r="1188">
      <c r="A1188" s="157">
        <v>1187.0</v>
      </c>
      <c r="B1188" s="160" t="s">
        <v>4405</v>
      </c>
    </row>
    <row r="1189">
      <c r="A1189" s="157">
        <v>1188.0</v>
      </c>
      <c r="B1189" s="160" t="s">
        <v>4406</v>
      </c>
    </row>
    <row r="1190">
      <c r="A1190" s="157">
        <v>1189.0</v>
      </c>
      <c r="B1190" s="160" t="s">
        <v>4407</v>
      </c>
    </row>
    <row r="1191">
      <c r="A1191" s="157">
        <v>1190.0</v>
      </c>
      <c r="B1191" s="160" t="s">
        <v>4408</v>
      </c>
    </row>
    <row r="1192">
      <c r="A1192" s="157">
        <v>1191.0</v>
      </c>
      <c r="B1192" s="160" t="s">
        <v>4409</v>
      </c>
    </row>
    <row r="1193">
      <c r="A1193" s="157">
        <v>1192.0</v>
      </c>
      <c r="B1193" s="160" t="s">
        <v>4410</v>
      </c>
    </row>
    <row r="1194">
      <c r="A1194" s="157">
        <v>1193.0</v>
      </c>
      <c r="B1194" s="160" t="s">
        <v>4411</v>
      </c>
    </row>
    <row r="1195">
      <c r="A1195" s="157">
        <v>1194.0</v>
      </c>
      <c r="B1195" s="160" t="s">
        <v>4412</v>
      </c>
    </row>
    <row r="1196">
      <c r="A1196" s="157">
        <v>1195.0</v>
      </c>
      <c r="B1196" s="160" t="s">
        <v>4413</v>
      </c>
    </row>
    <row r="1197">
      <c r="A1197" s="157">
        <v>1196.0</v>
      </c>
      <c r="B1197" s="160" t="s">
        <v>4414</v>
      </c>
    </row>
    <row r="1198">
      <c r="A1198" s="157">
        <v>1197.0</v>
      </c>
      <c r="B1198" s="160" t="s">
        <v>4415</v>
      </c>
    </row>
    <row r="1199">
      <c r="A1199" s="157">
        <v>1198.0</v>
      </c>
      <c r="B1199" s="160" t="s">
        <v>4416</v>
      </c>
    </row>
    <row r="1200">
      <c r="A1200" s="157">
        <v>1199.0</v>
      </c>
      <c r="B1200" s="158" t="s">
        <v>4417</v>
      </c>
    </row>
    <row r="1201">
      <c r="A1201" s="157">
        <v>1200.0</v>
      </c>
      <c r="B1201" s="160" t="s">
        <v>4418</v>
      </c>
    </row>
    <row r="1202">
      <c r="A1202" s="157">
        <v>1201.0</v>
      </c>
      <c r="B1202" s="160" t="s">
        <v>4419</v>
      </c>
    </row>
    <row r="1203">
      <c r="A1203" s="157">
        <v>1202.0</v>
      </c>
      <c r="B1203" s="160" t="s">
        <v>4420</v>
      </c>
    </row>
    <row r="1204">
      <c r="A1204" s="157">
        <v>1203.0</v>
      </c>
      <c r="B1204" s="160" t="s">
        <v>4421</v>
      </c>
    </row>
    <row r="1205">
      <c r="A1205" s="157">
        <v>1204.0</v>
      </c>
      <c r="B1205" s="160" t="s">
        <v>4422</v>
      </c>
    </row>
    <row r="1206">
      <c r="A1206" s="157">
        <v>1205.0</v>
      </c>
      <c r="B1206" s="158" t="s">
        <v>4423</v>
      </c>
    </row>
    <row r="1207">
      <c r="A1207" s="157">
        <v>1206.0</v>
      </c>
      <c r="B1207" s="158" t="s">
        <v>4424</v>
      </c>
    </row>
    <row r="1208">
      <c r="A1208" s="157">
        <v>1207.0</v>
      </c>
      <c r="B1208" s="158" t="s">
        <v>4425</v>
      </c>
    </row>
    <row r="1209">
      <c r="A1209" s="157">
        <v>1208.0</v>
      </c>
      <c r="B1209" s="158" t="s">
        <v>4426</v>
      </c>
    </row>
    <row r="1210">
      <c r="A1210" s="157">
        <v>1209.0</v>
      </c>
      <c r="B1210" s="158" t="s">
        <v>4427</v>
      </c>
    </row>
    <row r="1211">
      <c r="A1211" s="157">
        <v>1210.0</v>
      </c>
      <c r="B1211" s="158" t="s">
        <v>4428</v>
      </c>
    </row>
    <row r="1212">
      <c r="A1212" s="157">
        <v>1211.0</v>
      </c>
      <c r="B1212" s="158" t="s">
        <v>4429</v>
      </c>
    </row>
    <row r="1213">
      <c r="A1213" s="157">
        <v>1212.0</v>
      </c>
      <c r="B1213" s="158" t="s">
        <v>4430</v>
      </c>
    </row>
    <row r="1214">
      <c r="A1214" s="157">
        <v>1213.0</v>
      </c>
      <c r="B1214" s="158" t="s">
        <v>4431</v>
      </c>
    </row>
    <row r="1215">
      <c r="A1215" s="157">
        <v>1214.0</v>
      </c>
      <c r="B1215" s="158" t="s">
        <v>4432</v>
      </c>
    </row>
    <row r="1216">
      <c r="A1216" s="157">
        <v>1215.0</v>
      </c>
      <c r="B1216" s="158" t="s">
        <v>4433</v>
      </c>
    </row>
    <row r="1217">
      <c r="A1217" s="157">
        <v>1216.0</v>
      </c>
      <c r="B1217" s="158" t="s">
        <v>4434</v>
      </c>
    </row>
    <row r="1218">
      <c r="A1218" s="157">
        <v>1217.0</v>
      </c>
      <c r="B1218" s="158" t="s">
        <v>4435</v>
      </c>
    </row>
    <row r="1219">
      <c r="A1219" s="157">
        <v>1218.0</v>
      </c>
      <c r="B1219" s="158" t="s">
        <v>4436</v>
      </c>
    </row>
    <row r="1220">
      <c r="A1220" s="157">
        <v>1219.0</v>
      </c>
      <c r="B1220" s="158" t="s">
        <v>4437</v>
      </c>
    </row>
    <row r="1221">
      <c r="A1221" s="157">
        <v>1220.0</v>
      </c>
      <c r="B1221" s="158" t="s">
        <v>4438</v>
      </c>
    </row>
    <row r="1222">
      <c r="A1222" s="157">
        <v>1221.0</v>
      </c>
      <c r="B1222" s="158" t="s">
        <v>4439</v>
      </c>
    </row>
    <row r="1223">
      <c r="A1223" s="157">
        <v>1222.0</v>
      </c>
      <c r="B1223" s="158" t="s">
        <v>4440</v>
      </c>
    </row>
    <row r="1224">
      <c r="A1224" s="157">
        <v>1223.0</v>
      </c>
      <c r="B1224" s="158" t="s">
        <v>4441</v>
      </c>
    </row>
    <row r="1225">
      <c r="A1225" s="157">
        <v>1224.0</v>
      </c>
      <c r="B1225" s="158" t="s">
        <v>4442</v>
      </c>
    </row>
    <row r="1226">
      <c r="A1226" s="157">
        <v>1225.0</v>
      </c>
      <c r="B1226" s="158" t="s">
        <v>4443</v>
      </c>
    </row>
    <row r="1227">
      <c r="A1227" s="157">
        <v>1226.0</v>
      </c>
      <c r="B1227" s="158" t="s">
        <v>4444</v>
      </c>
    </row>
    <row r="1228">
      <c r="A1228" s="157">
        <v>1227.0</v>
      </c>
      <c r="B1228" s="158" t="s">
        <v>4445</v>
      </c>
    </row>
    <row r="1229">
      <c r="A1229" s="157">
        <v>1228.0</v>
      </c>
      <c r="B1229" s="158" t="s">
        <v>4446</v>
      </c>
    </row>
    <row r="1230">
      <c r="A1230" s="157">
        <v>1229.0</v>
      </c>
      <c r="B1230" s="158" t="s">
        <v>4447</v>
      </c>
    </row>
    <row r="1231">
      <c r="A1231" s="157">
        <v>1230.0</v>
      </c>
      <c r="B1231" s="158" t="s">
        <v>4448</v>
      </c>
    </row>
    <row r="1232">
      <c r="A1232" s="157">
        <v>1231.0</v>
      </c>
      <c r="B1232" s="158" t="s">
        <v>4449</v>
      </c>
    </row>
    <row r="1233">
      <c r="A1233" s="157">
        <v>1232.0</v>
      </c>
      <c r="B1233" s="158" t="s">
        <v>4450</v>
      </c>
    </row>
    <row r="1234">
      <c r="A1234" s="157">
        <v>1233.0</v>
      </c>
      <c r="B1234" s="158" t="s">
        <v>4451</v>
      </c>
    </row>
    <row r="1235">
      <c r="A1235" s="157">
        <v>1234.0</v>
      </c>
      <c r="B1235" s="158" t="s">
        <v>4452</v>
      </c>
    </row>
    <row r="1236">
      <c r="A1236" s="157">
        <v>1235.0</v>
      </c>
      <c r="B1236" s="158" t="s">
        <v>4453</v>
      </c>
    </row>
    <row r="1237">
      <c r="A1237" s="157">
        <v>1236.0</v>
      </c>
      <c r="B1237" s="158" t="s">
        <v>4454</v>
      </c>
    </row>
    <row r="1238">
      <c r="A1238" s="157">
        <v>1237.0</v>
      </c>
      <c r="B1238" s="158" t="s">
        <v>4455</v>
      </c>
    </row>
    <row r="1239">
      <c r="A1239" s="157">
        <v>1238.0</v>
      </c>
      <c r="B1239" s="158" t="s">
        <v>4456</v>
      </c>
    </row>
    <row r="1240">
      <c r="A1240" s="157">
        <v>1239.0</v>
      </c>
      <c r="B1240" s="158" t="s">
        <v>4457</v>
      </c>
    </row>
    <row r="1241">
      <c r="A1241" s="157">
        <v>1240.0</v>
      </c>
      <c r="B1241" s="158" t="s">
        <v>4458</v>
      </c>
    </row>
    <row r="1242">
      <c r="A1242" s="157">
        <v>1241.0</v>
      </c>
      <c r="B1242" s="158" t="s">
        <v>4459</v>
      </c>
    </row>
    <row r="1243">
      <c r="A1243" s="157">
        <v>1242.0</v>
      </c>
      <c r="B1243" s="158" t="s">
        <v>4460</v>
      </c>
    </row>
    <row r="1244">
      <c r="A1244" s="157">
        <v>1243.0</v>
      </c>
      <c r="B1244" s="158" t="s">
        <v>4461</v>
      </c>
    </row>
    <row r="1245">
      <c r="A1245" s="157">
        <v>1244.0</v>
      </c>
      <c r="B1245" s="158" t="s">
        <v>4462</v>
      </c>
    </row>
    <row r="1246">
      <c r="A1246" s="157">
        <v>1245.0</v>
      </c>
      <c r="B1246" s="158" t="s">
        <v>4463</v>
      </c>
    </row>
    <row r="1247">
      <c r="A1247" s="157">
        <v>1246.0</v>
      </c>
      <c r="B1247" s="158" t="s">
        <v>4464</v>
      </c>
    </row>
    <row r="1248">
      <c r="A1248" s="157">
        <v>1247.0</v>
      </c>
      <c r="B1248" s="158" t="s">
        <v>4465</v>
      </c>
    </row>
    <row r="1249">
      <c r="A1249" s="157">
        <v>1248.0</v>
      </c>
      <c r="B1249" s="158" t="s">
        <v>4466</v>
      </c>
    </row>
    <row r="1250">
      <c r="A1250" s="157">
        <v>1249.0</v>
      </c>
      <c r="B1250" s="158" t="s">
        <v>4467</v>
      </c>
    </row>
    <row r="1251">
      <c r="A1251" s="157">
        <v>1250.0</v>
      </c>
      <c r="B1251" s="158" t="s">
        <v>4468</v>
      </c>
    </row>
    <row r="1252">
      <c r="A1252" s="157">
        <v>1251.0</v>
      </c>
      <c r="B1252" s="158" t="s">
        <v>4469</v>
      </c>
    </row>
    <row r="1253">
      <c r="A1253" s="157">
        <v>1252.0</v>
      </c>
      <c r="B1253" s="158" t="s">
        <v>4470</v>
      </c>
    </row>
    <row r="1254">
      <c r="A1254" s="157">
        <v>1253.0</v>
      </c>
      <c r="B1254" s="158" t="s">
        <v>4471</v>
      </c>
    </row>
    <row r="1255">
      <c r="A1255" s="157">
        <v>1254.0</v>
      </c>
      <c r="B1255" s="158" t="s">
        <v>4472</v>
      </c>
    </row>
    <row r="1256">
      <c r="A1256" s="157">
        <v>1255.0</v>
      </c>
      <c r="B1256" s="158" t="s">
        <v>4473</v>
      </c>
    </row>
    <row r="1257">
      <c r="A1257" s="157">
        <v>1256.0</v>
      </c>
      <c r="B1257" s="158" t="s">
        <v>4474</v>
      </c>
    </row>
    <row r="1258">
      <c r="A1258" s="157">
        <v>1257.0</v>
      </c>
      <c r="B1258" s="158" t="s">
        <v>4475</v>
      </c>
    </row>
    <row r="1259">
      <c r="A1259" s="157">
        <v>1258.0</v>
      </c>
      <c r="B1259" s="158" t="s">
        <v>4476</v>
      </c>
    </row>
    <row r="1260">
      <c r="A1260" s="157">
        <v>1259.0</v>
      </c>
      <c r="B1260" s="158" t="s">
        <v>4477</v>
      </c>
    </row>
    <row r="1261">
      <c r="A1261" s="157">
        <v>1260.0</v>
      </c>
      <c r="B1261" s="158" t="s">
        <v>4478</v>
      </c>
    </row>
    <row r="1262">
      <c r="A1262" s="157">
        <v>1261.0</v>
      </c>
      <c r="B1262" s="158" t="s">
        <v>4479</v>
      </c>
    </row>
    <row r="1263">
      <c r="A1263" s="157">
        <v>1262.0</v>
      </c>
      <c r="B1263" s="158" t="s">
        <v>4480</v>
      </c>
    </row>
    <row r="1264">
      <c r="A1264" s="157">
        <v>1263.0</v>
      </c>
      <c r="B1264" s="158" t="s">
        <v>4481</v>
      </c>
    </row>
    <row r="1265">
      <c r="A1265" s="157">
        <v>1264.0</v>
      </c>
      <c r="B1265" s="158" t="s">
        <v>4482</v>
      </c>
    </row>
    <row r="1266">
      <c r="A1266" s="157">
        <v>1265.0</v>
      </c>
      <c r="B1266" s="158" t="s">
        <v>4483</v>
      </c>
    </row>
    <row r="1267">
      <c r="A1267" s="157">
        <v>1266.0</v>
      </c>
      <c r="B1267" s="158" t="s">
        <v>4484</v>
      </c>
    </row>
    <row r="1268">
      <c r="A1268" s="157">
        <v>1267.0</v>
      </c>
      <c r="B1268" s="158" t="s">
        <v>4485</v>
      </c>
    </row>
    <row r="1269">
      <c r="A1269" s="157">
        <v>1268.0</v>
      </c>
      <c r="B1269" s="158" t="s">
        <v>4486</v>
      </c>
    </row>
    <row r="1270">
      <c r="A1270" s="157">
        <v>1269.0</v>
      </c>
      <c r="B1270" s="158" t="s">
        <v>4487</v>
      </c>
    </row>
    <row r="1271">
      <c r="A1271" s="157">
        <v>1270.0</v>
      </c>
      <c r="B1271" s="158" t="s">
        <v>4488</v>
      </c>
    </row>
    <row r="1272">
      <c r="A1272" s="157">
        <v>1271.0</v>
      </c>
      <c r="B1272" s="158" t="s">
        <v>4489</v>
      </c>
    </row>
    <row r="1273">
      <c r="A1273" s="157">
        <v>1272.0</v>
      </c>
      <c r="B1273" s="158" t="s">
        <v>4490</v>
      </c>
    </row>
    <row r="1274">
      <c r="A1274" s="157">
        <v>1273.0</v>
      </c>
      <c r="B1274" s="158" t="s">
        <v>4491</v>
      </c>
    </row>
    <row r="1275">
      <c r="A1275" s="157">
        <v>1274.0</v>
      </c>
      <c r="B1275" s="158" t="s">
        <v>4492</v>
      </c>
    </row>
    <row r="1276">
      <c r="A1276" s="157">
        <v>1275.0</v>
      </c>
      <c r="B1276" s="158" t="s">
        <v>4493</v>
      </c>
    </row>
    <row r="1277">
      <c r="A1277" s="157">
        <v>1276.0</v>
      </c>
      <c r="B1277" s="158" t="s">
        <v>4494</v>
      </c>
    </row>
    <row r="1278">
      <c r="A1278" s="157">
        <v>1277.0</v>
      </c>
      <c r="B1278" s="158" t="s">
        <v>4495</v>
      </c>
    </row>
    <row r="1279">
      <c r="A1279" s="157">
        <v>1278.0</v>
      </c>
      <c r="B1279" s="158" t="s">
        <v>4496</v>
      </c>
    </row>
    <row r="1280">
      <c r="A1280" s="157">
        <v>1279.0</v>
      </c>
      <c r="B1280" s="158" t="s">
        <v>4497</v>
      </c>
    </row>
    <row r="1281">
      <c r="A1281" s="157">
        <v>1280.0</v>
      </c>
      <c r="B1281" s="158" t="s">
        <v>4498</v>
      </c>
    </row>
    <row r="1282">
      <c r="A1282" s="157">
        <v>1281.0</v>
      </c>
      <c r="B1282" s="158" t="s">
        <v>4499</v>
      </c>
    </row>
    <row r="1283">
      <c r="A1283" s="157">
        <v>1282.0</v>
      </c>
      <c r="B1283" s="158" t="s">
        <v>4500</v>
      </c>
    </row>
    <row r="1284">
      <c r="A1284" s="157">
        <v>1283.0</v>
      </c>
      <c r="B1284" s="158" t="s">
        <v>4501</v>
      </c>
    </row>
    <row r="1285">
      <c r="A1285" s="157">
        <v>1284.0</v>
      </c>
      <c r="B1285" s="158" t="s">
        <v>4502</v>
      </c>
    </row>
    <row r="1286">
      <c r="A1286" s="157">
        <v>1285.0</v>
      </c>
      <c r="B1286" s="158" t="s">
        <v>4503</v>
      </c>
    </row>
    <row r="1287">
      <c r="A1287" s="157">
        <v>1286.0</v>
      </c>
      <c r="B1287" s="158" t="s">
        <v>4504</v>
      </c>
    </row>
    <row r="1288">
      <c r="A1288" s="157">
        <v>1287.0</v>
      </c>
      <c r="B1288" s="159" t="s">
        <v>4505</v>
      </c>
    </row>
    <row r="1289">
      <c r="A1289" s="157">
        <v>1288.0</v>
      </c>
      <c r="B1289" s="159" t="s">
        <v>4506</v>
      </c>
    </row>
    <row r="1290">
      <c r="A1290" s="157">
        <v>1289.0</v>
      </c>
      <c r="B1290" s="158" t="s">
        <v>4507</v>
      </c>
    </row>
    <row r="1291">
      <c r="A1291" s="157">
        <v>1290.0</v>
      </c>
      <c r="B1291" s="158" t="s">
        <v>4508</v>
      </c>
    </row>
    <row r="1292">
      <c r="A1292" s="157">
        <v>1291.0</v>
      </c>
      <c r="B1292" s="158" t="s">
        <v>4509</v>
      </c>
    </row>
    <row r="1293">
      <c r="A1293" s="157">
        <v>1292.0</v>
      </c>
      <c r="B1293" s="158" t="s">
        <v>4510</v>
      </c>
    </row>
    <row r="1294">
      <c r="A1294" s="157">
        <v>1293.0</v>
      </c>
      <c r="B1294" s="158" t="s">
        <v>4511</v>
      </c>
    </row>
    <row r="1295">
      <c r="A1295" s="157">
        <v>1294.0</v>
      </c>
      <c r="B1295" s="158" t="s">
        <v>4512</v>
      </c>
    </row>
    <row r="1296">
      <c r="A1296" s="157">
        <v>1295.0</v>
      </c>
      <c r="B1296" s="158" t="s">
        <v>4513</v>
      </c>
    </row>
    <row r="1297">
      <c r="A1297" s="157">
        <v>1296.0</v>
      </c>
      <c r="B1297" s="158" t="s">
        <v>4514</v>
      </c>
    </row>
    <row r="1298">
      <c r="A1298" s="157">
        <v>1297.0</v>
      </c>
      <c r="B1298" s="158" t="s">
        <v>4515</v>
      </c>
    </row>
    <row r="1299">
      <c r="A1299" s="157">
        <v>1298.0</v>
      </c>
      <c r="B1299" s="158" t="s">
        <v>4516</v>
      </c>
    </row>
    <row r="1300">
      <c r="A1300" s="157">
        <v>1299.0</v>
      </c>
      <c r="B1300" s="158" t="s">
        <v>4517</v>
      </c>
    </row>
    <row r="1301">
      <c r="A1301" s="157">
        <v>1300.0</v>
      </c>
      <c r="B1301" s="158" t="s">
        <v>4518</v>
      </c>
    </row>
    <row r="1302">
      <c r="A1302" s="157">
        <v>1301.0</v>
      </c>
      <c r="B1302" s="158" t="s">
        <v>4519</v>
      </c>
    </row>
    <row r="1303">
      <c r="A1303" s="157">
        <v>1302.0</v>
      </c>
      <c r="B1303" s="158" t="s">
        <v>4520</v>
      </c>
    </row>
    <row r="1304">
      <c r="A1304" s="157">
        <v>1303.0</v>
      </c>
      <c r="B1304" s="158" t="s">
        <v>4521</v>
      </c>
    </row>
    <row r="1305">
      <c r="A1305" s="157">
        <v>1304.0</v>
      </c>
      <c r="B1305" s="158" t="s">
        <v>4522</v>
      </c>
    </row>
    <row r="1306">
      <c r="A1306" s="157">
        <v>1305.0</v>
      </c>
      <c r="B1306" s="158" t="s">
        <v>4523</v>
      </c>
    </row>
    <row r="1307">
      <c r="A1307" s="157">
        <v>1306.0</v>
      </c>
      <c r="B1307" s="158" t="s">
        <v>4524</v>
      </c>
    </row>
    <row r="1308">
      <c r="A1308" s="157">
        <v>1307.0</v>
      </c>
      <c r="B1308" s="158" t="s">
        <v>4525</v>
      </c>
    </row>
    <row r="1309">
      <c r="A1309" s="157">
        <v>1308.0</v>
      </c>
      <c r="B1309" s="158" t="s">
        <v>4526</v>
      </c>
    </row>
    <row r="1310">
      <c r="A1310" s="157">
        <v>1309.0</v>
      </c>
      <c r="B1310" s="158" t="s">
        <v>4527</v>
      </c>
    </row>
    <row r="1311">
      <c r="A1311" s="157">
        <v>1310.0</v>
      </c>
      <c r="B1311" s="158" t="s">
        <v>4528</v>
      </c>
    </row>
    <row r="1312">
      <c r="A1312" s="157">
        <v>1311.0</v>
      </c>
      <c r="B1312" s="158" t="s">
        <v>4529</v>
      </c>
    </row>
    <row r="1313">
      <c r="A1313" s="157">
        <v>1312.0</v>
      </c>
      <c r="B1313" s="158" t="s">
        <v>4530</v>
      </c>
    </row>
    <row r="1314">
      <c r="A1314" s="157">
        <v>1313.0</v>
      </c>
      <c r="B1314" s="158" t="s">
        <v>4531</v>
      </c>
    </row>
    <row r="1315">
      <c r="A1315" s="157">
        <v>1314.0</v>
      </c>
      <c r="B1315" s="158" t="s">
        <v>4532</v>
      </c>
    </row>
    <row r="1316">
      <c r="A1316" s="157">
        <v>1315.0</v>
      </c>
      <c r="B1316" s="158" t="s">
        <v>4533</v>
      </c>
    </row>
    <row r="1317">
      <c r="A1317" s="157">
        <v>1316.0</v>
      </c>
      <c r="B1317" s="158" t="s">
        <v>4534</v>
      </c>
    </row>
    <row r="1318">
      <c r="A1318" s="157">
        <v>1317.0</v>
      </c>
      <c r="B1318" s="158" t="s">
        <v>4535</v>
      </c>
    </row>
    <row r="1319">
      <c r="A1319" s="157">
        <v>1318.0</v>
      </c>
      <c r="B1319" s="158" t="s">
        <v>4536</v>
      </c>
    </row>
    <row r="1320">
      <c r="A1320" s="157">
        <v>1319.0</v>
      </c>
      <c r="B1320" s="158" t="s">
        <v>4537</v>
      </c>
    </row>
    <row r="1321">
      <c r="A1321" s="157">
        <v>1320.0</v>
      </c>
      <c r="B1321" s="158" t="s">
        <v>4538</v>
      </c>
    </row>
    <row r="1322">
      <c r="A1322" s="157">
        <v>1321.0</v>
      </c>
      <c r="B1322" s="158" t="s">
        <v>4539</v>
      </c>
    </row>
    <row r="1323">
      <c r="A1323" s="157">
        <v>1322.0</v>
      </c>
      <c r="B1323" s="158" t="s">
        <v>4540</v>
      </c>
    </row>
    <row r="1324">
      <c r="A1324" s="157">
        <v>1323.0</v>
      </c>
      <c r="B1324" s="158" t="s">
        <v>4541</v>
      </c>
    </row>
    <row r="1325">
      <c r="A1325" s="157">
        <v>1324.0</v>
      </c>
      <c r="B1325" s="158" t="s">
        <v>4542</v>
      </c>
    </row>
    <row r="1326">
      <c r="A1326" s="157">
        <v>1325.0</v>
      </c>
      <c r="B1326" s="159" t="s">
        <v>4543</v>
      </c>
    </row>
    <row r="1327">
      <c r="A1327" s="157">
        <v>1326.0</v>
      </c>
      <c r="B1327" s="159" t="s">
        <v>4544</v>
      </c>
    </row>
    <row r="1328">
      <c r="A1328" s="157">
        <v>1327.0</v>
      </c>
      <c r="B1328" s="159" t="s">
        <v>4545</v>
      </c>
    </row>
    <row r="1329">
      <c r="A1329" s="157">
        <v>1328.0</v>
      </c>
      <c r="B1329" s="159" t="s">
        <v>4546</v>
      </c>
    </row>
    <row r="1330">
      <c r="A1330" s="157">
        <v>1329.0</v>
      </c>
      <c r="B1330" s="159" t="s">
        <v>4547</v>
      </c>
    </row>
    <row r="1331">
      <c r="A1331" s="157">
        <v>1330.0</v>
      </c>
      <c r="B1331" s="159" t="s">
        <v>4548</v>
      </c>
    </row>
    <row r="1332">
      <c r="A1332" s="157">
        <v>1331.0</v>
      </c>
      <c r="B1332" s="159" t="s">
        <v>4549</v>
      </c>
    </row>
    <row r="1333">
      <c r="A1333" s="157">
        <v>1332.0</v>
      </c>
      <c r="B1333" s="158" t="s">
        <v>4550</v>
      </c>
    </row>
    <row r="1334">
      <c r="A1334" s="157">
        <v>1333.0</v>
      </c>
      <c r="B1334" s="158" t="s">
        <v>4551</v>
      </c>
    </row>
    <row r="1335">
      <c r="A1335" s="157">
        <v>1334.0</v>
      </c>
      <c r="B1335" s="158" t="s">
        <v>4552</v>
      </c>
    </row>
    <row r="1336">
      <c r="A1336" s="157">
        <v>1335.0</v>
      </c>
      <c r="B1336" s="158" t="s">
        <v>4553</v>
      </c>
    </row>
    <row r="1337">
      <c r="A1337" s="157">
        <v>1336.0</v>
      </c>
      <c r="B1337" s="158" t="s">
        <v>4554</v>
      </c>
    </row>
    <row r="1338">
      <c r="A1338" s="157">
        <v>1337.0</v>
      </c>
      <c r="B1338" s="158" t="s">
        <v>4555</v>
      </c>
    </row>
    <row r="1339">
      <c r="A1339" s="157">
        <v>1338.0</v>
      </c>
      <c r="B1339" s="158" t="s">
        <v>4556</v>
      </c>
    </row>
    <row r="1340">
      <c r="A1340" s="157">
        <v>1339.0</v>
      </c>
      <c r="B1340" s="158" t="s">
        <v>4557</v>
      </c>
    </row>
    <row r="1341">
      <c r="A1341" s="157">
        <v>1340.0</v>
      </c>
      <c r="B1341" s="158" t="s">
        <v>4558</v>
      </c>
    </row>
    <row r="1342">
      <c r="A1342" s="157">
        <v>1341.0</v>
      </c>
      <c r="B1342" s="158" t="s">
        <v>4559</v>
      </c>
    </row>
    <row r="1343">
      <c r="A1343" s="157">
        <v>1342.0</v>
      </c>
      <c r="B1343" s="158" t="s">
        <v>4560</v>
      </c>
    </row>
    <row r="1344">
      <c r="A1344" s="157">
        <v>1343.0</v>
      </c>
      <c r="B1344" s="158" t="s">
        <v>4561</v>
      </c>
    </row>
    <row r="1345">
      <c r="A1345" s="157">
        <v>1344.0</v>
      </c>
      <c r="B1345" s="158" t="s">
        <v>4562</v>
      </c>
    </row>
    <row r="1346">
      <c r="A1346" s="157">
        <v>1345.0</v>
      </c>
      <c r="B1346" s="158" t="s">
        <v>4563</v>
      </c>
    </row>
    <row r="1347">
      <c r="A1347" s="157">
        <v>1346.0</v>
      </c>
      <c r="B1347" s="158" t="s">
        <v>4564</v>
      </c>
    </row>
    <row r="1348">
      <c r="A1348" s="157">
        <v>1347.0</v>
      </c>
      <c r="B1348" s="165" t="s">
        <v>4565</v>
      </c>
    </row>
    <row r="1349">
      <c r="A1349" s="157">
        <v>1348.0</v>
      </c>
      <c r="B1349" s="165" t="s">
        <v>4566</v>
      </c>
    </row>
    <row r="1350">
      <c r="A1350" s="157">
        <v>1349.0</v>
      </c>
      <c r="B1350" s="165" t="s">
        <v>4567</v>
      </c>
    </row>
    <row r="1351">
      <c r="A1351" s="157">
        <v>1350.0</v>
      </c>
      <c r="B1351" s="165" t="s">
        <v>4568</v>
      </c>
    </row>
    <row r="1352">
      <c r="A1352" s="157">
        <v>1351.0</v>
      </c>
      <c r="B1352" s="165" t="s">
        <v>4569</v>
      </c>
    </row>
    <row r="1353">
      <c r="A1353" s="157">
        <v>1352.0</v>
      </c>
      <c r="B1353" s="165" t="s">
        <v>4570</v>
      </c>
    </row>
    <row r="1354">
      <c r="A1354" s="157">
        <v>1353.0</v>
      </c>
      <c r="B1354" s="165" t="s">
        <v>4571</v>
      </c>
    </row>
    <row r="1355">
      <c r="A1355" s="157">
        <v>1354.0</v>
      </c>
      <c r="B1355" s="165" t="s">
        <v>4572</v>
      </c>
    </row>
    <row r="1356">
      <c r="A1356" s="157">
        <v>1355.0</v>
      </c>
      <c r="B1356" s="165" t="s">
        <v>4573</v>
      </c>
    </row>
    <row r="1357">
      <c r="A1357" s="157">
        <v>1356.0</v>
      </c>
      <c r="B1357" s="165" t="s">
        <v>4574</v>
      </c>
    </row>
    <row r="1358">
      <c r="A1358" s="157">
        <v>1357.0</v>
      </c>
      <c r="B1358" s="165" t="s">
        <v>4575</v>
      </c>
    </row>
    <row r="1359">
      <c r="A1359" s="157">
        <v>1358.0</v>
      </c>
      <c r="B1359" s="165" t="s">
        <v>4576</v>
      </c>
    </row>
    <row r="1360">
      <c r="A1360" s="157">
        <v>1359.0</v>
      </c>
      <c r="B1360" s="165" t="s">
        <v>4577</v>
      </c>
    </row>
    <row r="1361">
      <c r="A1361" s="157">
        <v>1360.0</v>
      </c>
      <c r="B1361" s="165" t="s">
        <v>4578</v>
      </c>
    </row>
    <row r="1362">
      <c r="A1362" s="157">
        <v>1361.0</v>
      </c>
      <c r="B1362" s="165" t="s">
        <v>4579</v>
      </c>
    </row>
    <row r="1363">
      <c r="A1363" s="157">
        <v>1362.0</v>
      </c>
      <c r="B1363" s="165" t="s">
        <v>4580</v>
      </c>
    </row>
    <row r="1364">
      <c r="A1364" s="157">
        <v>1363.0</v>
      </c>
      <c r="B1364" s="165" t="s">
        <v>4581</v>
      </c>
    </row>
    <row r="1365">
      <c r="A1365" s="157">
        <v>1364.0</v>
      </c>
      <c r="B1365" s="165" t="s">
        <v>4582</v>
      </c>
    </row>
    <row r="1366">
      <c r="A1366" s="157">
        <v>1365.0</v>
      </c>
      <c r="B1366" s="166" t="s">
        <v>4583</v>
      </c>
    </row>
    <row r="1367">
      <c r="A1367" s="157">
        <v>1366.0</v>
      </c>
      <c r="B1367" s="165" t="s">
        <v>4584</v>
      </c>
    </row>
    <row r="1368">
      <c r="A1368" s="157">
        <v>1367.0</v>
      </c>
      <c r="B1368" s="165" t="s">
        <v>4585</v>
      </c>
    </row>
    <row r="1369">
      <c r="A1369" s="157">
        <v>1368.0</v>
      </c>
      <c r="B1369" s="165" t="s">
        <v>4586</v>
      </c>
    </row>
    <row r="1370">
      <c r="A1370" s="157">
        <v>1369.0</v>
      </c>
      <c r="B1370" s="165" t="s">
        <v>4587</v>
      </c>
    </row>
    <row r="1371">
      <c r="A1371" s="157">
        <v>1370.0</v>
      </c>
      <c r="B1371" s="165" t="s">
        <v>4588</v>
      </c>
    </row>
    <row r="1372">
      <c r="A1372" s="157">
        <v>1371.0</v>
      </c>
      <c r="B1372" s="165" t="s">
        <v>4589</v>
      </c>
    </row>
    <row r="1373">
      <c r="A1373" s="157">
        <v>1372.0</v>
      </c>
      <c r="B1373" s="165" t="s">
        <v>4590</v>
      </c>
    </row>
    <row r="1374">
      <c r="A1374" s="157">
        <v>1373.0</v>
      </c>
      <c r="B1374" s="165" t="s">
        <v>4591</v>
      </c>
    </row>
    <row r="1375">
      <c r="A1375" s="157">
        <v>1374.0</v>
      </c>
      <c r="B1375" s="165" t="s">
        <v>4592</v>
      </c>
    </row>
    <row r="1376">
      <c r="A1376" s="157">
        <v>1375.0</v>
      </c>
      <c r="B1376" s="165" t="s">
        <v>4593</v>
      </c>
    </row>
    <row r="1377">
      <c r="A1377" s="157">
        <v>1376.0</v>
      </c>
      <c r="B1377" s="165" t="s">
        <v>4594</v>
      </c>
    </row>
    <row r="1378">
      <c r="A1378" s="157">
        <v>1377.0</v>
      </c>
      <c r="B1378" s="165" t="s">
        <v>4595</v>
      </c>
    </row>
    <row r="1379">
      <c r="A1379" s="157">
        <v>1378.0</v>
      </c>
      <c r="B1379" s="167" t="s">
        <v>4596</v>
      </c>
    </row>
    <row r="1380">
      <c r="A1380" s="157">
        <v>1379.0</v>
      </c>
      <c r="B1380" s="165" t="s">
        <v>4597</v>
      </c>
    </row>
    <row r="1381">
      <c r="A1381" s="157">
        <v>1380.0</v>
      </c>
      <c r="B1381" s="165" t="s">
        <v>4598</v>
      </c>
    </row>
    <row r="1382">
      <c r="A1382" s="157">
        <v>1381.0</v>
      </c>
      <c r="B1382" s="165" t="s">
        <v>4599</v>
      </c>
    </row>
    <row r="1383">
      <c r="A1383" s="157">
        <v>1382.0</v>
      </c>
      <c r="B1383" s="165" t="s">
        <v>4600</v>
      </c>
    </row>
    <row r="1384">
      <c r="A1384" s="157">
        <v>1383.0</v>
      </c>
      <c r="B1384" s="165" t="s">
        <v>4601</v>
      </c>
    </row>
    <row r="1385">
      <c r="A1385" s="157">
        <v>1384.0</v>
      </c>
      <c r="B1385" s="165" t="s">
        <v>4602</v>
      </c>
    </row>
    <row r="1386">
      <c r="A1386" s="157">
        <v>1385.0</v>
      </c>
      <c r="B1386" s="165" t="s">
        <v>4603</v>
      </c>
    </row>
    <row r="1387">
      <c r="A1387" s="157">
        <v>1386.0</v>
      </c>
      <c r="B1387" s="165" t="s">
        <v>4604</v>
      </c>
    </row>
    <row r="1388">
      <c r="A1388" s="157">
        <v>1387.0</v>
      </c>
      <c r="B1388" s="165" t="s">
        <v>4605</v>
      </c>
    </row>
    <row r="1389">
      <c r="A1389" s="157">
        <v>1388.0</v>
      </c>
      <c r="B1389" s="165" t="s">
        <v>4606</v>
      </c>
    </row>
    <row r="1390">
      <c r="A1390" s="157">
        <v>1389.0</v>
      </c>
      <c r="B1390" s="165" t="s">
        <v>4607</v>
      </c>
    </row>
    <row r="1391">
      <c r="A1391" s="157">
        <v>1390.0</v>
      </c>
      <c r="B1391" s="165" t="s">
        <v>4608</v>
      </c>
    </row>
    <row r="1392">
      <c r="A1392" s="157">
        <v>1391.0</v>
      </c>
      <c r="B1392" s="165" t="s">
        <v>4609</v>
      </c>
    </row>
    <row r="1393">
      <c r="A1393" s="157">
        <v>1392.0</v>
      </c>
      <c r="B1393" s="165" t="s">
        <v>4610</v>
      </c>
    </row>
    <row r="1394">
      <c r="A1394" s="157">
        <v>1393.0</v>
      </c>
      <c r="B1394" s="165" t="s">
        <v>4611</v>
      </c>
    </row>
    <row r="1395">
      <c r="A1395" s="157">
        <v>1394.0</v>
      </c>
      <c r="B1395" s="165" t="s">
        <v>4612</v>
      </c>
    </row>
    <row r="1396">
      <c r="A1396" s="157">
        <v>1395.0</v>
      </c>
      <c r="B1396" s="165" t="s">
        <v>4613</v>
      </c>
    </row>
    <row r="1397">
      <c r="A1397" s="157">
        <v>1396.0</v>
      </c>
      <c r="B1397" s="165" t="s">
        <v>4614</v>
      </c>
    </row>
    <row r="1398">
      <c r="A1398" s="157">
        <v>1397.0</v>
      </c>
      <c r="B1398" s="159" t="s">
        <v>4615</v>
      </c>
    </row>
    <row r="1399">
      <c r="A1399" s="157">
        <v>1398.0</v>
      </c>
      <c r="B1399" s="159" t="s">
        <v>4616</v>
      </c>
    </row>
    <row r="1400">
      <c r="A1400" s="157">
        <v>1399.0</v>
      </c>
      <c r="B1400" s="159" t="s">
        <v>4617</v>
      </c>
    </row>
    <row r="1401">
      <c r="A1401" s="157">
        <v>1400.0</v>
      </c>
      <c r="B1401" s="159" t="s">
        <v>4618</v>
      </c>
    </row>
    <row r="1402">
      <c r="A1402" s="157">
        <v>1401.0</v>
      </c>
      <c r="B1402" s="159" t="s">
        <v>4619</v>
      </c>
    </row>
    <row r="1403">
      <c r="A1403" s="157">
        <v>1402.0</v>
      </c>
      <c r="B1403" s="159" t="s">
        <v>4620</v>
      </c>
    </row>
    <row r="1404">
      <c r="A1404" s="157">
        <v>1403.0</v>
      </c>
      <c r="B1404" s="159" t="s">
        <v>4621</v>
      </c>
    </row>
    <row r="1405">
      <c r="A1405" s="157">
        <v>1404.0</v>
      </c>
      <c r="B1405" s="159" t="s">
        <v>4622</v>
      </c>
    </row>
    <row r="1406">
      <c r="A1406" s="157">
        <v>1405.0</v>
      </c>
      <c r="B1406" s="159" t="s">
        <v>4623</v>
      </c>
    </row>
    <row r="1407">
      <c r="A1407" s="157">
        <v>1406.0</v>
      </c>
      <c r="B1407" s="159" t="s">
        <v>4624</v>
      </c>
    </row>
    <row r="1408">
      <c r="A1408" s="157">
        <v>1407.0</v>
      </c>
      <c r="B1408" s="159" t="s">
        <v>4625</v>
      </c>
    </row>
    <row r="1409">
      <c r="A1409" s="157">
        <v>1408.0</v>
      </c>
      <c r="B1409" s="159" t="s">
        <v>4626</v>
      </c>
    </row>
    <row r="1410">
      <c r="A1410" s="157">
        <v>1409.0</v>
      </c>
      <c r="B1410" s="159" t="s">
        <v>4627</v>
      </c>
    </row>
    <row r="1411">
      <c r="A1411" s="157">
        <v>1410.0</v>
      </c>
      <c r="B1411" s="159" t="s">
        <v>4628</v>
      </c>
    </row>
    <row r="1412">
      <c r="A1412" s="157">
        <v>1411.0</v>
      </c>
      <c r="B1412" s="159" t="s">
        <v>4629</v>
      </c>
    </row>
    <row r="1413">
      <c r="A1413" s="157">
        <v>1412.0</v>
      </c>
      <c r="B1413" s="159" t="s">
        <v>4630</v>
      </c>
    </row>
    <row r="1414">
      <c r="A1414" s="157">
        <v>1413.0</v>
      </c>
      <c r="B1414" s="159" t="s">
        <v>4631</v>
      </c>
    </row>
    <row r="1415">
      <c r="A1415" s="157">
        <v>1414.0</v>
      </c>
      <c r="B1415" s="159" t="s">
        <v>4632</v>
      </c>
    </row>
    <row r="1416">
      <c r="A1416" s="157">
        <v>1415.0</v>
      </c>
      <c r="B1416" s="159" t="s">
        <v>4633</v>
      </c>
    </row>
    <row r="1417">
      <c r="A1417" s="157">
        <v>1416.0</v>
      </c>
      <c r="B1417" s="159" t="s">
        <v>4634</v>
      </c>
    </row>
    <row r="1418">
      <c r="A1418" s="157">
        <v>1417.0</v>
      </c>
      <c r="B1418" s="159" t="s">
        <v>4635</v>
      </c>
    </row>
    <row r="1419">
      <c r="A1419" s="157">
        <v>1418.0</v>
      </c>
      <c r="B1419" s="159" t="s">
        <v>4636</v>
      </c>
    </row>
    <row r="1420">
      <c r="A1420" s="157">
        <v>1419.0</v>
      </c>
      <c r="B1420" s="159" t="s">
        <v>4637</v>
      </c>
    </row>
    <row r="1421">
      <c r="A1421" s="157">
        <v>1420.0</v>
      </c>
      <c r="B1421" s="159" t="s">
        <v>4638</v>
      </c>
    </row>
    <row r="1422">
      <c r="A1422" s="157">
        <v>1421.0</v>
      </c>
      <c r="B1422" s="159" t="s">
        <v>4639</v>
      </c>
    </row>
    <row r="1423">
      <c r="A1423" s="157">
        <v>1422.0</v>
      </c>
      <c r="B1423" s="159" t="s">
        <v>4640</v>
      </c>
    </row>
    <row r="1424">
      <c r="A1424" s="157">
        <v>1423.0</v>
      </c>
      <c r="B1424" s="159" t="s">
        <v>4641</v>
      </c>
    </row>
    <row r="1425">
      <c r="A1425" s="157">
        <v>1424.0</v>
      </c>
      <c r="B1425" s="159" t="s">
        <v>4642</v>
      </c>
    </row>
    <row r="1426">
      <c r="A1426" s="157">
        <v>1425.0</v>
      </c>
      <c r="B1426" s="159" t="s">
        <v>4643</v>
      </c>
    </row>
    <row r="1427">
      <c r="A1427" s="157">
        <v>1426.0</v>
      </c>
      <c r="B1427" s="159" t="s">
        <v>4644</v>
      </c>
    </row>
    <row r="1428">
      <c r="A1428" s="157">
        <v>1427.0</v>
      </c>
      <c r="B1428" s="159" t="s">
        <v>4645</v>
      </c>
    </row>
    <row r="1429">
      <c r="A1429" s="157">
        <v>1428.0</v>
      </c>
      <c r="B1429" s="160" t="s">
        <v>4646</v>
      </c>
    </row>
    <row r="1430">
      <c r="A1430" s="157">
        <v>1429.0</v>
      </c>
      <c r="B1430" s="160" t="s">
        <v>4647</v>
      </c>
    </row>
    <row r="1431">
      <c r="A1431" s="157">
        <v>1430.0</v>
      </c>
      <c r="B1431" s="162" t="s">
        <v>4648</v>
      </c>
    </row>
    <row r="1432">
      <c r="A1432" s="157">
        <v>1431.0</v>
      </c>
      <c r="B1432" s="168" t="s">
        <v>4649</v>
      </c>
    </row>
    <row r="1433">
      <c r="A1433" s="157">
        <v>1432.0</v>
      </c>
      <c r="B1433" s="159" t="s">
        <v>4650</v>
      </c>
    </row>
    <row r="1434">
      <c r="A1434" s="157">
        <v>1433.0</v>
      </c>
      <c r="B1434" s="160" t="s">
        <v>4651</v>
      </c>
    </row>
    <row r="1435">
      <c r="A1435" s="157">
        <v>1434.0</v>
      </c>
      <c r="B1435" s="160" t="s">
        <v>4652</v>
      </c>
    </row>
    <row r="1436">
      <c r="A1436" s="157">
        <v>1435.0</v>
      </c>
      <c r="B1436" s="160" t="s">
        <v>4653</v>
      </c>
    </row>
    <row r="1437">
      <c r="A1437" s="157">
        <v>1436.0</v>
      </c>
      <c r="B1437" s="160" t="s">
        <v>4654</v>
      </c>
    </row>
    <row r="1438">
      <c r="A1438" s="157">
        <v>1437.0</v>
      </c>
      <c r="B1438" s="160" t="s">
        <v>4655</v>
      </c>
    </row>
    <row r="1439">
      <c r="A1439" s="157">
        <v>1438.0</v>
      </c>
      <c r="B1439" s="160" t="s">
        <v>4656</v>
      </c>
    </row>
    <row r="1440">
      <c r="A1440" s="157">
        <v>1439.0</v>
      </c>
      <c r="B1440" s="160" t="s">
        <v>4657</v>
      </c>
    </row>
    <row r="1441">
      <c r="A1441" s="157">
        <v>1440.0</v>
      </c>
      <c r="B1441" s="160" t="s">
        <v>4658</v>
      </c>
    </row>
    <row r="1442">
      <c r="A1442" s="157">
        <v>1441.0</v>
      </c>
      <c r="B1442" s="160" t="s">
        <v>4659</v>
      </c>
    </row>
    <row r="1443">
      <c r="A1443" s="157">
        <v>1442.0</v>
      </c>
      <c r="B1443" s="160" t="s">
        <v>4660</v>
      </c>
    </row>
    <row r="1444">
      <c r="A1444" s="157">
        <v>1443.0</v>
      </c>
      <c r="B1444" s="160" t="s">
        <v>4661</v>
      </c>
    </row>
    <row r="1445">
      <c r="A1445" s="157">
        <v>1444.0</v>
      </c>
      <c r="B1445" s="160" t="s">
        <v>4662</v>
      </c>
    </row>
    <row r="1446">
      <c r="A1446" s="157">
        <v>1445.0</v>
      </c>
      <c r="B1446" s="160" t="s">
        <v>4663</v>
      </c>
    </row>
    <row r="1447">
      <c r="A1447" s="157">
        <v>1446.0</v>
      </c>
      <c r="B1447" s="160" t="s">
        <v>4664</v>
      </c>
    </row>
    <row r="1448">
      <c r="A1448" s="157">
        <v>1447.0</v>
      </c>
      <c r="B1448" s="160" t="s">
        <v>4665</v>
      </c>
    </row>
    <row r="1449">
      <c r="A1449" s="157">
        <v>1448.0</v>
      </c>
      <c r="B1449" s="158" t="s">
        <v>4666</v>
      </c>
    </row>
    <row r="1450">
      <c r="A1450" s="157">
        <v>1449.0</v>
      </c>
      <c r="B1450" s="158" t="s">
        <v>4667</v>
      </c>
    </row>
    <row r="1451">
      <c r="A1451" s="157">
        <v>1450.0</v>
      </c>
      <c r="B1451" s="160" t="s">
        <v>4668</v>
      </c>
    </row>
    <row r="1452">
      <c r="A1452" s="157">
        <v>1451.0</v>
      </c>
      <c r="B1452" s="160" t="s">
        <v>4669</v>
      </c>
    </row>
    <row r="1453">
      <c r="A1453" s="157">
        <v>1452.0</v>
      </c>
      <c r="B1453" s="160" t="s">
        <v>4670</v>
      </c>
    </row>
    <row r="1454">
      <c r="A1454" s="157">
        <v>1453.0</v>
      </c>
      <c r="B1454" s="160" t="s">
        <v>4671</v>
      </c>
    </row>
    <row r="1455">
      <c r="A1455" s="157">
        <v>1454.0</v>
      </c>
      <c r="B1455" s="160" t="s">
        <v>4672</v>
      </c>
    </row>
    <row r="1456">
      <c r="A1456" s="157">
        <v>1455.0</v>
      </c>
      <c r="B1456" s="160" t="s">
        <v>4673</v>
      </c>
    </row>
    <row r="1457">
      <c r="A1457" s="157">
        <v>1456.0</v>
      </c>
      <c r="B1457" s="160" t="s">
        <v>4674</v>
      </c>
    </row>
    <row r="1458">
      <c r="A1458" s="157">
        <v>1457.0</v>
      </c>
      <c r="B1458" s="158" t="s">
        <v>4675</v>
      </c>
    </row>
    <row r="1459">
      <c r="A1459" s="157">
        <v>1458.0</v>
      </c>
      <c r="B1459" s="158" t="s">
        <v>4676</v>
      </c>
    </row>
    <row r="1460">
      <c r="A1460" s="157">
        <v>1459.0</v>
      </c>
      <c r="B1460" s="159" t="s">
        <v>4677</v>
      </c>
    </row>
    <row r="1461">
      <c r="A1461" s="157">
        <v>1460.0</v>
      </c>
      <c r="B1461" s="159" t="s">
        <v>4678</v>
      </c>
    </row>
    <row r="1462">
      <c r="A1462" s="157">
        <v>1461.0</v>
      </c>
      <c r="B1462" s="159" t="s">
        <v>4679</v>
      </c>
    </row>
    <row r="1463">
      <c r="A1463" s="157">
        <v>1462.0</v>
      </c>
      <c r="B1463" s="159" t="s">
        <v>4680</v>
      </c>
    </row>
    <row r="1464">
      <c r="A1464" s="157">
        <v>1463.0</v>
      </c>
      <c r="B1464" s="159" t="s">
        <v>4681</v>
      </c>
    </row>
    <row r="1465">
      <c r="A1465" s="157">
        <v>1464.0</v>
      </c>
      <c r="B1465" s="159" t="s">
        <v>4682</v>
      </c>
    </row>
    <row r="1466">
      <c r="A1466" s="157">
        <v>1465.0</v>
      </c>
      <c r="B1466" s="159" t="s">
        <v>4683</v>
      </c>
    </row>
    <row r="1467">
      <c r="A1467" s="157">
        <v>1466.0</v>
      </c>
      <c r="B1467" s="159" t="s">
        <v>4684</v>
      </c>
    </row>
    <row r="1468">
      <c r="A1468" s="157">
        <v>1467.0</v>
      </c>
      <c r="B1468" s="158" t="s">
        <v>4685</v>
      </c>
    </row>
    <row r="1469">
      <c r="A1469" s="157">
        <v>1468.0</v>
      </c>
      <c r="B1469" s="158" t="s">
        <v>4686</v>
      </c>
    </row>
    <row r="1470">
      <c r="A1470" s="157">
        <v>1469.0</v>
      </c>
      <c r="B1470" s="158" t="s">
        <v>4687</v>
      </c>
    </row>
    <row r="1471">
      <c r="A1471" s="157">
        <v>1470.0</v>
      </c>
      <c r="B1471" s="158" t="s">
        <v>4688</v>
      </c>
    </row>
    <row r="1472">
      <c r="A1472" s="157">
        <v>1471.0</v>
      </c>
      <c r="B1472" s="158" t="s">
        <v>4689</v>
      </c>
    </row>
    <row r="1473">
      <c r="A1473" s="157">
        <v>1472.0</v>
      </c>
      <c r="B1473" s="158" t="s">
        <v>4690</v>
      </c>
    </row>
    <row r="1474">
      <c r="A1474" s="157">
        <v>1473.0</v>
      </c>
      <c r="B1474" s="158" t="s">
        <v>4691</v>
      </c>
    </row>
    <row r="1475">
      <c r="A1475" s="157">
        <v>1474.0</v>
      </c>
      <c r="B1475" s="158" t="s">
        <v>4692</v>
      </c>
    </row>
    <row r="1476">
      <c r="A1476" s="157">
        <v>1475.0</v>
      </c>
      <c r="B1476" s="159" t="s">
        <v>4693</v>
      </c>
    </row>
    <row r="1477">
      <c r="A1477" s="157">
        <v>1476.0</v>
      </c>
      <c r="B1477" s="159" t="s">
        <v>4694</v>
      </c>
    </row>
    <row r="1478">
      <c r="A1478" s="157">
        <v>1477.0</v>
      </c>
      <c r="B1478" s="159" t="s">
        <v>4695</v>
      </c>
    </row>
    <row r="1479">
      <c r="A1479" s="157">
        <v>1478.0</v>
      </c>
      <c r="B1479" s="158" t="s">
        <v>4696</v>
      </c>
    </row>
    <row r="1480">
      <c r="A1480" s="157">
        <v>1479.0</v>
      </c>
      <c r="B1480" s="158" t="s">
        <v>4697</v>
      </c>
    </row>
    <row r="1481">
      <c r="A1481" s="157">
        <v>1480.0</v>
      </c>
      <c r="B1481" s="159" t="s">
        <v>4698</v>
      </c>
    </row>
    <row r="1482">
      <c r="A1482" s="157">
        <v>1481.0</v>
      </c>
      <c r="B1482" s="159" t="s">
        <v>4699</v>
      </c>
    </row>
    <row r="1483">
      <c r="A1483" s="157">
        <v>1482.0</v>
      </c>
      <c r="B1483" s="159" t="s">
        <v>4700</v>
      </c>
    </row>
    <row r="1484">
      <c r="A1484" s="157">
        <v>1483.0</v>
      </c>
      <c r="B1484" s="158" t="s">
        <v>4701</v>
      </c>
    </row>
    <row r="1485">
      <c r="A1485" s="157">
        <v>1484.0</v>
      </c>
      <c r="B1485" s="158" t="s">
        <v>4702</v>
      </c>
    </row>
    <row r="1486">
      <c r="A1486" s="157">
        <v>1485.0</v>
      </c>
      <c r="B1486" s="159" t="s">
        <v>4703</v>
      </c>
    </row>
    <row r="1487">
      <c r="A1487" s="157">
        <v>1486.0</v>
      </c>
      <c r="B1487" s="159" t="s">
        <v>4704</v>
      </c>
    </row>
    <row r="1488">
      <c r="A1488" s="157">
        <v>1487.0</v>
      </c>
      <c r="B1488" s="158" t="s">
        <v>4705</v>
      </c>
    </row>
    <row r="1489">
      <c r="A1489" s="157">
        <v>1488.0</v>
      </c>
      <c r="B1489" s="159" t="s">
        <v>4706</v>
      </c>
    </row>
    <row r="1490">
      <c r="A1490" s="157">
        <v>1489.0</v>
      </c>
      <c r="B1490" s="158" t="s">
        <v>4707</v>
      </c>
    </row>
    <row r="1491">
      <c r="A1491" s="157">
        <v>1490.0</v>
      </c>
      <c r="B1491" s="158" t="s">
        <v>4708</v>
      </c>
    </row>
    <row r="1492">
      <c r="A1492" s="157">
        <v>1491.0</v>
      </c>
      <c r="B1492" s="158" t="s">
        <v>4709</v>
      </c>
    </row>
    <row r="1493">
      <c r="A1493" s="157">
        <v>1492.0</v>
      </c>
      <c r="B1493" s="158" t="s">
        <v>4710</v>
      </c>
    </row>
    <row r="1494">
      <c r="A1494" s="157">
        <v>1493.0</v>
      </c>
      <c r="B1494" s="158" t="s">
        <v>4711</v>
      </c>
    </row>
    <row r="1495">
      <c r="A1495" s="157">
        <v>1494.0</v>
      </c>
      <c r="B1495" s="158" t="s">
        <v>4712</v>
      </c>
    </row>
    <row r="1496">
      <c r="A1496" s="157">
        <v>1495.0</v>
      </c>
      <c r="B1496" s="158" t="s">
        <v>4713</v>
      </c>
    </row>
    <row r="1497">
      <c r="A1497" s="157">
        <v>1496.0</v>
      </c>
      <c r="B1497" s="158" t="s">
        <v>4714</v>
      </c>
    </row>
    <row r="1498">
      <c r="A1498" s="157">
        <v>1497.0</v>
      </c>
      <c r="B1498" s="158" t="s">
        <v>4715</v>
      </c>
    </row>
    <row r="1499">
      <c r="A1499" s="157">
        <v>1498.0</v>
      </c>
      <c r="B1499" s="158" t="s">
        <v>4716</v>
      </c>
    </row>
    <row r="1500">
      <c r="A1500" s="157">
        <v>1499.0</v>
      </c>
      <c r="B1500" s="158" t="s">
        <v>4717</v>
      </c>
    </row>
    <row r="1501">
      <c r="A1501" s="157">
        <v>1500.0</v>
      </c>
      <c r="B1501" s="158" t="s">
        <v>4718</v>
      </c>
    </row>
    <row r="1502">
      <c r="A1502" s="157">
        <v>1501.0</v>
      </c>
      <c r="B1502" s="158" t="s">
        <v>4719</v>
      </c>
    </row>
    <row r="1503">
      <c r="A1503" s="157">
        <v>1502.0</v>
      </c>
      <c r="B1503" s="158" t="s">
        <v>4720</v>
      </c>
    </row>
    <row r="1504">
      <c r="A1504" s="157">
        <v>1503.0</v>
      </c>
      <c r="B1504" s="158" t="s">
        <v>4721</v>
      </c>
    </row>
    <row r="1505">
      <c r="A1505" s="157">
        <v>1504.0</v>
      </c>
      <c r="B1505" s="158" t="s">
        <v>4722</v>
      </c>
    </row>
    <row r="1506">
      <c r="A1506" s="157">
        <v>1505.0</v>
      </c>
      <c r="B1506" s="158" t="s">
        <v>4723</v>
      </c>
    </row>
    <row r="1507">
      <c r="A1507" s="157">
        <v>1506.0</v>
      </c>
      <c r="B1507" s="158" t="s">
        <v>4724</v>
      </c>
    </row>
    <row r="1508">
      <c r="A1508" s="157">
        <v>1507.0</v>
      </c>
      <c r="B1508" s="158" t="s">
        <v>4725</v>
      </c>
    </row>
    <row r="1509">
      <c r="A1509" s="157">
        <v>1508.0</v>
      </c>
      <c r="B1509" s="158" t="s">
        <v>4726</v>
      </c>
    </row>
    <row r="1510">
      <c r="A1510" s="157">
        <v>1509.0</v>
      </c>
      <c r="B1510" s="158" t="s">
        <v>4727</v>
      </c>
    </row>
    <row r="1511">
      <c r="A1511" s="157">
        <v>1510.0</v>
      </c>
      <c r="B1511" s="158" t="s">
        <v>4728</v>
      </c>
    </row>
    <row r="1512">
      <c r="A1512" s="157">
        <v>1511.0</v>
      </c>
      <c r="B1512" s="158" t="s">
        <v>4729</v>
      </c>
    </row>
    <row r="1513">
      <c r="A1513" s="157">
        <v>1512.0</v>
      </c>
      <c r="B1513" s="158" t="s">
        <v>4730</v>
      </c>
    </row>
    <row r="1514">
      <c r="A1514" s="157">
        <v>1513.0</v>
      </c>
      <c r="B1514" s="158" t="s">
        <v>4731</v>
      </c>
    </row>
    <row r="1515">
      <c r="A1515" s="157">
        <v>1514.0</v>
      </c>
      <c r="B1515" s="158" t="s">
        <v>4732</v>
      </c>
    </row>
    <row r="1516">
      <c r="A1516" s="157">
        <v>1515.0</v>
      </c>
      <c r="B1516" s="158" t="s">
        <v>4733</v>
      </c>
    </row>
    <row r="1517">
      <c r="A1517" s="157">
        <v>1516.0</v>
      </c>
      <c r="B1517" s="158" t="s">
        <v>4734</v>
      </c>
    </row>
    <row r="1518">
      <c r="A1518" s="157">
        <v>1517.0</v>
      </c>
      <c r="B1518" s="158" t="s">
        <v>4735</v>
      </c>
    </row>
    <row r="1519">
      <c r="A1519" s="157">
        <v>1518.0</v>
      </c>
      <c r="B1519" s="158" t="s">
        <v>4736</v>
      </c>
    </row>
    <row r="1520">
      <c r="A1520" s="157">
        <v>1519.0</v>
      </c>
      <c r="B1520" s="158" t="s">
        <v>4737</v>
      </c>
    </row>
    <row r="1521">
      <c r="A1521" s="157">
        <v>1520.0</v>
      </c>
      <c r="B1521" s="158" t="s">
        <v>4738</v>
      </c>
    </row>
    <row r="1522">
      <c r="A1522" s="157">
        <v>1521.0</v>
      </c>
      <c r="B1522" s="158" t="s">
        <v>4739</v>
      </c>
    </row>
    <row r="1523">
      <c r="A1523" s="157">
        <v>1522.0</v>
      </c>
      <c r="B1523" s="158" t="s">
        <v>4740</v>
      </c>
    </row>
    <row r="1524">
      <c r="A1524" s="157">
        <v>1523.0</v>
      </c>
      <c r="B1524" s="158" t="s">
        <v>4741</v>
      </c>
    </row>
    <row r="1525">
      <c r="A1525" s="157">
        <v>1524.0</v>
      </c>
      <c r="B1525" s="158" t="s">
        <v>4742</v>
      </c>
    </row>
    <row r="1526">
      <c r="A1526" s="157">
        <v>1525.0</v>
      </c>
      <c r="B1526" s="158" t="s">
        <v>4743</v>
      </c>
    </row>
    <row r="1527">
      <c r="A1527" s="157">
        <v>1526.0</v>
      </c>
      <c r="B1527" s="158" t="s">
        <v>4744</v>
      </c>
    </row>
    <row r="1528">
      <c r="A1528" s="157">
        <v>1527.0</v>
      </c>
      <c r="B1528" s="160" t="s">
        <v>4745</v>
      </c>
    </row>
    <row r="1529">
      <c r="A1529" s="157">
        <v>1528.0</v>
      </c>
      <c r="B1529" s="160" t="s">
        <v>4746</v>
      </c>
    </row>
    <row r="1530">
      <c r="A1530" s="157">
        <v>1529.0</v>
      </c>
      <c r="B1530" s="160" t="s">
        <v>4747</v>
      </c>
    </row>
    <row r="1531">
      <c r="A1531" s="157">
        <v>1530.0</v>
      </c>
      <c r="B1531" s="160" t="s">
        <v>4748</v>
      </c>
    </row>
    <row r="1532">
      <c r="A1532" s="157">
        <v>1531.0</v>
      </c>
      <c r="B1532" s="160" t="s">
        <v>4749</v>
      </c>
    </row>
    <row r="1533">
      <c r="A1533" s="157">
        <v>1532.0</v>
      </c>
      <c r="B1533" s="158" t="s">
        <v>4750</v>
      </c>
    </row>
    <row r="1534">
      <c r="A1534" s="157">
        <v>1533.0</v>
      </c>
      <c r="B1534" s="160" t="s">
        <v>4751</v>
      </c>
    </row>
    <row r="1535">
      <c r="A1535" s="157">
        <v>1534.0</v>
      </c>
      <c r="B1535" s="158" t="s">
        <v>4752</v>
      </c>
    </row>
    <row r="1536">
      <c r="A1536" s="157">
        <v>1535.0</v>
      </c>
      <c r="B1536" s="158" t="s">
        <v>4753</v>
      </c>
    </row>
    <row r="1537">
      <c r="A1537" s="157">
        <v>1536.0</v>
      </c>
      <c r="B1537" s="158" t="s">
        <v>4754</v>
      </c>
    </row>
    <row r="1538">
      <c r="A1538" s="157">
        <v>1537.0</v>
      </c>
      <c r="B1538" s="158" t="s">
        <v>4755</v>
      </c>
    </row>
    <row r="1539">
      <c r="A1539" s="157">
        <v>1538.0</v>
      </c>
      <c r="B1539" s="160" t="s">
        <v>4756</v>
      </c>
    </row>
    <row r="1540">
      <c r="A1540" s="157">
        <v>1539.0</v>
      </c>
      <c r="B1540" s="158" t="s">
        <v>4757</v>
      </c>
    </row>
    <row r="1541">
      <c r="A1541" s="157">
        <v>1540.0</v>
      </c>
      <c r="B1541" s="158" t="s">
        <v>4758</v>
      </c>
    </row>
    <row r="1542">
      <c r="A1542" s="157">
        <v>1541.0</v>
      </c>
      <c r="B1542" s="160" t="s">
        <v>4759</v>
      </c>
    </row>
    <row r="1543">
      <c r="A1543" s="157">
        <v>1542.0</v>
      </c>
      <c r="B1543" s="160" t="s">
        <v>4760</v>
      </c>
    </row>
    <row r="1544">
      <c r="A1544" s="157">
        <v>1543.0</v>
      </c>
      <c r="B1544" s="160" t="s">
        <v>4761</v>
      </c>
    </row>
    <row r="1545">
      <c r="A1545" s="157">
        <v>1544.0</v>
      </c>
      <c r="B1545" s="160" t="s">
        <v>4762</v>
      </c>
    </row>
    <row r="1546">
      <c r="A1546" s="157">
        <v>1545.0</v>
      </c>
      <c r="B1546" s="160" t="s">
        <v>4763</v>
      </c>
    </row>
    <row r="1547">
      <c r="A1547" s="157">
        <v>1546.0</v>
      </c>
      <c r="B1547" s="162" t="s">
        <v>4764</v>
      </c>
    </row>
    <row r="1548">
      <c r="A1548" s="157">
        <v>1547.0</v>
      </c>
      <c r="B1548" s="160" t="s">
        <v>4765</v>
      </c>
    </row>
    <row r="1549">
      <c r="A1549" s="157">
        <v>1548.0</v>
      </c>
      <c r="B1549" s="160" t="s">
        <v>4766</v>
      </c>
    </row>
    <row r="1550">
      <c r="A1550" s="157">
        <v>1549.0</v>
      </c>
      <c r="B1550" s="160" t="s">
        <v>4767</v>
      </c>
    </row>
    <row r="1551">
      <c r="A1551" s="157">
        <v>1550.0</v>
      </c>
      <c r="B1551" s="158" t="s">
        <v>4768</v>
      </c>
    </row>
    <row r="1552">
      <c r="A1552" s="157">
        <v>1551.0</v>
      </c>
      <c r="B1552" s="158" t="s">
        <v>4769</v>
      </c>
    </row>
    <row r="1553">
      <c r="A1553" s="157">
        <v>1552.0</v>
      </c>
      <c r="B1553" s="158" t="s">
        <v>4770</v>
      </c>
    </row>
    <row r="1554">
      <c r="A1554" s="157">
        <v>1553.0</v>
      </c>
      <c r="B1554" s="158" t="s">
        <v>4771</v>
      </c>
    </row>
    <row r="1555">
      <c r="A1555" s="157">
        <v>1554.0</v>
      </c>
      <c r="B1555" s="158" t="s">
        <v>4772</v>
      </c>
    </row>
    <row r="1556">
      <c r="A1556" s="157">
        <v>1555.0</v>
      </c>
      <c r="B1556" s="158" t="s">
        <v>4773</v>
      </c>
    </row>
    <row r="1557">
      <c r="A1557" s="157">
        <v>1556.0</v>
      </c>
      <c r="B1557" s="158" t="s">
        <v>4774</v>
      </c>
    </row>
    <row r="1558">
      <c r="A1558" s="157">
        <v>1557.0</v>
      </c>
      <c r="B1558" s="158" t="s">
        <v>4775</v>
      </c>
    </row>
    <row r="1559">
      <c r="A1559" s="157">
        <v>1558.0</v>
      </c>
      <c r="B1559" s="158" t="s">
        <v>4776</v>
      </c>
    </row>
    <row r="1560">
      <c r="A1560" s="157">
        <v>1559.0</v>
      </c>
      <c r="B1560" s="158" t="s">
        <v>4777</v>
      </c>
    </row>
    <row r="1561">
      <c r="A1561" s="157">
        <v>1560.0</v>
      </c>
      <c r="B1561" s="158" t="s">
        <v>4778</v>
      </c>
    </row>
    <row r="1562">
      <c r="A1562" s="157">
        <v>1561.0</v>
      </c>
      <c r="B1562" s="158" t="s">
        <v>4779</v>
      </c>
    </row>
    <row r="1563">
      <c r="A1563" s="157">
        <v>1562.0</v>
      </c>
      <c r="B1563" s="158" t="s">
        <v>4780</v>
      </c>
    </row>
    <row r="1564">
      <c r="A1564" s="157">
        <v>1563.0</v>
      </c>
      <c r="B1564" s="158" t="s">
        <v>4781</v>
      </c>
    </row>
    <row r="1565">
      <c r="A1565" s="157">
        <v>1564.0</v>
      </c>
      <c r="B1565" s="158" t="s">
        <v>4782</v>
      </c>
    </row>
    <row r="1566">
      <c r="A1566" s="157">
        <v>1565.0</v>
      </c>
      <c r="B1566" s="158" t="s">
        <v>4783</v>
      </c>
    </row>
    <row r="1567">
      <c r="A1567" s="157">
        <v>1566.0</v>
      </c>
      <c r="B1567" s="158" t="s">
        <v>4784</v>
      </c>
    </row>
    <row r="1568">
      <c r="A1568" s="157">
        <v>1567.0</v>
      </c>
      <c r="B1568" s="158" t="s">
        <v>4785</v>
      </c>
    </row>
    <row r="1569">
      <c r="A1569" s="157">
        <v>1568.0</v>
      </c>
      <c r="B1569" s="158" t="s">
        <v>4786</v>
      </c>
    </row>
    <row r="1570">
      <c r="A1570" s="157">
        <v>1569.0</v>
      </c>
      <c r="B1570" s="158" t="s">
        <v>4787</v>
      </c>
    </row>
    <row r="1571">
      <c r="A1571" s="157">
        <v>1570.0</v>
      </c>
      <c r="B1571" s="158" t="s">
        <v>4788</v>
      </c>
    </row>
    <row r="1572">
      <c r="A1572" s="157">
        <v>1571.0</v>
      </c>
      <c r="B1572" s="158" t="s">
        <v>4789</v>
      </c>
    </row>
    <row r="1573">
      <c r="A1573" s="157">
        <v>1572.0</v>
      </c>
      <c r="B1573" s="158" t="s">
        <v>4790</v>
      </c>
    </row>
    <row r="1574">
      <c r="A1574" s="157">
        <v>1573.0</v>
      </c>
      <c r="B1574" s="158" t="s">
        <v>4791</v>
      </c>
    </row>
    <row r="1575">
      <c r="A1575" s="157">
        <v>1574.0</v>
      </c>
      <c r="B1575" s="158" t="s">
        <v>4792</v>
      </c>
    </row>
    <row r="1576">
      <c r="A1576" s="157">
        <v>1575.0</v>
      </c>
      <c r="B1576" s="158" t="s">
        <v>4793</v>
      </c>
    </row>
    <row r="1577">
      <c r="A1577" s="157">
        <v>1576.0</v>
      </c>
      <c r="B1577" s="158" t="s">
        <v>4794</v>
      </c>
    </row>
    <row r="1578">
      <c r="A1578" s="157">
        <v>1577.0</v>
      </c>
      <c r="B1578" s="158" t="s">
        <v>4795</v>
      </c>
    </row>
    <row r="1579">
      <c r="A1579" s="157">
        <v>1578.0</v>
      </c>
      <c r="B1579" s="158" t="s">
        <v>4796</v>
      </c>
    </row>
    <row r="1580">
      <c r="A1580" s="157">
        <v>1579.0</v>
      </c>
      <c r="B1580" s="158" t="s">
        <v>4797</v>
      </c>
    </row>
    <row r="1581">
      <c r="A1581" s="157">
        <v>1580.0</v>
      </c>
      <c r="B1581" s="158" t="s">
        <v>4798</v>
      </c>
    </row>
    <row r="1582">
      <c r="A1582" s="157">
        <v>1581.0</v>
      </c>
      <c r="B1582" s="158" t="s">
        <v>4799</v>
      </c>
    </row>
    <row r="1583">
      <c r="A1583" s="157">
        <v>1582.0</v>
      </c>
      <c r="B1583" s="158" t="s">
        <v>4800</v>
      </c>
    </row>
    <row r="1584">
      <c r="A1584" s="157">
        <v>1583.0</v>
      </c>
      <c r="B1584" s="158" t="s">
        <v>4801</v>
      </c>
    </row>
    <row r="1585">
      <c r="A1585" s="157">
        <v>1584.0</v>
      </c>
      <c r="B1585" s="158" t="s">
        <v>4802</v>
      </c>
    </row>
    <row r="1586">
      <c r="A1586" s="157">
        <v>1585.0</v>
      </c>
      <c r="B1586" s="158" t="s">
        <v>4803</v>
      </c>
    </row>
    <row r="1587">
      <c r="A1587" s="157">
        <v>1586.0</v>
      </c>
      <c r="B1587" s="158" t="s">
        <v>4804</v>
      </c>
    </row>
    <row r="1588">
      <c r="A1588" s="157">
        <v>1587.0</v>
      </c>
      <c r="B1588" s="158" t="s">
        <v>4805</v>
      </c>
    </row>
    <row r="1589">
      <c r="A1589" s="157">
        <v>1588.0</v>
      </c>
      <c r="B1589" s="158" t="s">
        <v>4806</v>
      </c>
    </row>
    <row r="1590">
      <c r="A1590" s="157">
        <v>1589.0</v>
      </c>
      <c r="B1590" s="158" t="s">
        <v>4807</v>
      </c>
    </row>
    <row r="1591">
      <c r="A1591" s="157">
        <v>1590.0</v>
      </c>
      <c r="B1591" s="158" t="s">
        <v>4808</v>
      </c>
    </row>
    <row r="1592">
      <c r="A1592" s="157">
        <v>1591.0</v>
      </c>
      <c r="B1592" s="158" t="s">
        <v>4809</v>
      </c>
    </row>
    <row r="1593">
      <c r="A1593" s="157">
        <v>1592.0</v>
      </c>
      <c r="B1593" s="158" t="s">
        <v>4810</v>
      </c>
    </row>
    <row r="1594">
      <c r="A1594" s="157">
        <v>1593.0</v>
      </c>
      <c r="B1594" s="158" t="s">
        <v>4811</v>
      </c>
    </row>
    <row r="1595">
      <c r="A1595" s="157">
        <v>1594.0</v>
      </c>
      <c r="B1595" s="158" t="s">
        <v>4812</v>
      </c>
    </row>
    <row r="1596">
      <c r="A1596" s="157">
        <v>1595.0</v>
      </c>
      <c r="B1596" s="158" t="s">
        <v>4813</v>
      </c>
    </row>
    <row r="1597">
      <c r="A1597" s="157">
        <v>1596.0</v>
      </c>
      <c r="B1597" s="158" t="s">
        <v>4814</v>
      </c>
    </row>
    <row r="1598">
      <c r="A1598" s="157">
        <v>1597.0</v>
      </c>
      <c r="B1598" s="158" t="s">
        <v>4815</v>
      </c>
    </row>
    <row r="1599">
      <c r="A1599" s="157">
        <v>1598.0</v>
      </c>
      <c r="B1599" s="158" t="s">
        <v>4816</v>
      </c>
    </row>
    <row r="1600">
      <c r="A1600" s="157">
        <v>1599.0</v>
      </c>
      <c r="B1600" s="158" t="s">
        <v>4817</v>
      </c>
    </row>
    <row r="1601">
      <c r="A1601" s="157">
        <v>1600.0</v>
      </c>
      <c r="B1601" s="158" t="s">
        <v>4818</v>
      </c>
    </row>
    <row r="1602">
      <c r="A1602" s="157">
        <v>1601.0</v>
      </c>
      <c r="B1602" s="158" t="s">
        <v>4819</v>
      </c>
    </row>
    <row r="1603">
      <c r="A1603" s="157">
        <v>1602.0</v>
      </c>
      <c r="B1603" s="158" t="s">
        <v>4820</v>
      </c>
    </row>
    <row r="1604">
      <c r="A1604" s="157">
        <v>1603.0</v>
      </c>
      <c r="B1604" s="158" t="s">
        <v>4821</v>
      </c>
    </row>
    <row r="1605">
      <c r="A1605" s="157">
        <v>1604.0</v>
      </c>
      <c r="B1605" s="158" t="s">
        <v>4822</v>
      </c>
    </row>
    <row r="1606">
      <c r="A1606" s="157">
        <v>1605.0</v>
      </c>
      <c r="B1606" s="158" t="s">
        <v>4823</v>
      </c>
    </row>
    <row r="1607">
      <c r="A1607" s="157">
        <v>1606.0</v>
      </c>
      <c r="B1607" s="158" t="s">
        <v>4824</v>
      </c>
    </row>
    <row r="1608">
      <c r="A1608" s="157">
        <v>1607.0</v>
      </c>
      <c r="B1608" s="158" t="s">
        <v>4825</v>
      </c>
    </row>
    <row r="1609">
      <c r="A1609" s="157">
        <v>1608.0</v>
      </c>
      <c r="B1609" s="158" t="s">
        <v>4826</v>
      </c>
    </row>
    <row r="1610">
      <c r="A1610" s="157">
        <v>1609.0</v>
      </c>
      <c r="B1610" s="158" t="s">
        <v>4827</v>
      </c>
    </row>
    <row r="1611">
      <c r="A1611" s="157">
        <v>1610.0</v>
      </c>
      <c r="B1611" s="158" t="s">
        <v>4828</v>
      </c>
    </row>
    <row r="1612">
      <c r="A1612" s="157">
        <v>1611.0</v>
      </c>
      <c r="B1612" s="158" t="s">
        <v>4829</v>
      </c>
    </row>
    <row r="1613">
      <c r="A1613" s="157">
        <v>1612.0</v>
      </c>
      <c r="B1613" s="158" t="s">
        <v>4830</v>
      </c>
    </row>
    <row r="1614">
      <c r="A1614" s="157">
        <v>1613.0</v>
      </c>
      <c r="B1614" s="158" t="s">
        <v>4831</v>
      </c>
    </row>
    <row r="1615">
      <c r="A1615" s="157">
        <v>1614.0</v>
      </c>
      <c r="B1615" s="158" t="s">
        <v>4832</v>
      </c>
    </row>
    <row r="1616">
      <c r="A1616" s="157">
        <v>1615.0</v>
      </c>
      <c r="B1616" s="158" t="s">
        <v>4833</v>
      </c>
    </row>
    <row r="1617">
      <c r="A1617" s="157">
        <v>1616.0</v>
      </c>
      <c r="B1617" s="158" t="s">
        <v>4834</v>
      </c>
    </row>
    <row r="1618">
      <c r="A1618" s="157">
        <v>1617.0</v>
      </c>
      <c r="B1618" s="158" t="s">
        <v>4835</v>
      </c>
    </row>
    <row r="1619">
      <c r="A1619" s="157">
        <v>1618.0</v>
      </c>
      <c r="B1619" s="159" t="s">
        <v>4836</v>
      </c>
    </row>
    <row r="1620">
      <c r="A1620" s="157">
        <v>1619.0</v>
      </c>
      <c r="B1620" s="159" t="s">
        <v>4837</v>
      </c>
    </row>
    <row r="1621">
      <c r="A1621" s="157">
        <v>1620.0</v>
      </c>
      <c r="B1621" s="159" t="s">
        <v>4838</v>
      </c>
    </row>
    <row r="1622">
      <c r="A1622" s="157">
        <v>1621.0</v>
      </c>
      <c r="B1622" s="159" t="s">
        <v>4839</v>
      </c>
    </row>
    <row r="1623">
      <c r="A1623" s="157">
        <v>1622.0</v>
      </c>
      <c r="B1623" s="159" t="s">
        <v>4840</v>
      </c>
    </row>
    <row r="1624">
      <c r="A1624" s="157">
        <v>1623.0</v>
      </c>
      <c r="B1624" s="159" t="s">
        <v>4841</v>
      </c>
    </row>
    <row r="1625">
      <c r="A1625" s="157">
        <v>1624.0</v>
      </c>
      <c r="B1625" s="158" t="s">
        <v>4842</v>
      </c>
    </row>
    <row r="1626">
      <c r="A1626" s="157">
        <v>1625.0</v>
      </c>
      <c r="B1626" s="158" t="s">
        <v>4843</v>
      </c>
    </row>
    <row r="1627">
      <c r="A1627" s="157">
        <v>1626.0</v>
      </c>
      <c r="B1627" s="159" t="s">
        <v>4844</v>
      </c>
    </row>
    <row r="1628">
      <c r="A1628" s="157">
        <v>1627.0</v>
      </c>
      <c r="B1628" s="159" t="s">
        <v>4845</v>
      </c>
    </row>
    <row r="1629">
      <c r="A1629" s="157">
        <v>1628.0</v>
      </c>
      <c r="B1629" s="159" t="s">
        <v>4846</v>
      </c>
    </row>
    <row r="1630">
      <c r="A1630" s="157">
        <v>1629.0</v>
      </c>
      <c r="B1630" s="159" t="s">
        <v>4847</v>
      </c>
    </row>
    <row r="1631">
      <c r="A1631" s="157">
        <v>1630.0</v>
      </c>
      <c r="B1631" s="159" t="s">
        <v>4848</v>
      </c>
    </row>
    <row r="1632">
      <c r="A1632" s="157">
        <v>1631.0</v>
      </c>
      <c r="B1632" s="159" t="s">
        <v>4849</v>
      </c>
    </row>
    <row r="1633">
      <c r="A1633" s="157">
        <v>1632.0</v>
      </c>
      <c r="B1633" s="159" t="s">
        <v>4850</v>
      </c>
    </row>
    <row r="1634">
      <c r="A1634" s="157">
        <v>1633.0</v>
      </c>
      <c r="B1634" s="159" t="s">
        <v>4851</v>
      </c>
    </row>
    <row r="1635">
      <c r="A1635" s="157">
        <v>1634.0</v>
      </c>
      <c r="B1635" s="159" t="s">
        <v>4852</v>
      </c>
    </row>
    <row r="1636">
      <c r="A1636" s="157">
        <v>1635.0</v>
      </c>
      <c r="B1636" s="159" t="s">
        <v>4853</v>
      </c>
    </row>
    <row r="1637">
      <c r="A1637" s="157">
        <v>1636.0</v>
      </c>
      <c r="B1637" s="159" t="s">
        <v>4854</v>
      </c>
    </row>
    <row r="1638">
      <c r="A1638" s="157">
        <v>1637.0</v>
      </c>
      <c r="B1638" s="159" t="s">
        <v>4855</v>
      </c>
    </row>
    <row r="1639">
      <c r="A1639" s="157">
        <v>1638.0</v>
      </c>
      <c r="B1639" s="159" t="s">
        <v>4856</v>
      </c>
    </row>
    <row r="1640">
      <c r="A1640" s="157">
        <v>1639.0</v>
      </c>
      <c r="B1640" s="159" t="s">
        <v>4857</v>
      </c>
    </row>
    <row r="1641">
      <c r="A1641" s="157">
        <v>1640.0</v>
      </c>
      <c r="B1641" s="159" t="s">
        <v>4858</v>
      </c>
    </row>
    <row r="1642">
      <c r="A1642" s="157">
        <v>1641.0</v>
      </c>
      <c r="B1642" s="159" t="s">
        <v>4859</v>
      </c>
    </row>
    <row r="1643">
      <c r="A1643" s="157">
        <v>1642.0</v>
      </c>
      <c r="B1643" s="159" t="s">
        <v>4860</v>
      </c>
    </row>
    <row r="1644">
      <c r="A1644" s="157">
        <v>1643.0</v>
      </c>
      <c r="B1644" s="159" t="s">
        <v>4861</v>
      </c>
    </row>
    <row r="1645">
      <c r="A1645" s="157">
        <v>1644.0</v>
      </c>
      <c r="B1645" s="159" t="s">
        <v>4862</v>
      </c>
    </row>
    <row r="1646">
      <c r="A1646" s="157">
        <v>1645.0</v>
      </c>
      <c r="B1646" s="159" t="s">
        <v>4863</v>
      </c>
    </row>
    <row r="1647">
      <c r="A1647" s="157">
        <v>1646.0</v>
      </c>
      <c r="B1647" s="159" t="s">
        <v>4864</v>
      </c>
    </row>
    <row r="1648">
      <c r="A1648" s="157">
        <v>1647.0</v>
      </c>
      <c r="B1648" s="159" t="s">
        <v>4865</v>
      </c>
    </row>
    <row r="1649">
      <c r="A1649" s="157">
        <v>1648.0</v>
      </c>
      <c r="B1649" s="159" t="s">
        <v>4866</v>
      </c>
    </row>
    <row r="1650">
      <c r="A1650" s="157">
        <v>1649.0</v>
      </c>
      <c r="B1650" s="159" t="s">
        <v>4867</v>
      </c>
    </row>
    <row r="1651">
      <c r="A1651" s="157">
        <v>1650.0</v>
      </c>
      <c r="B1651" s="159" t="s">
        <v>4868</v>
      </c>
    </row>
    <row r="1652">
      <c r="A1652" s="157">
        <v>1651.0</v>
      </c>
      <c r="B1652" s="159" t="s">
        <v>4869</v>
      </c>
    </row>
    <row r="1653">
      <c r="A1653" s="157">
        <v>1652.0</v>
      </c>
      <c r="B1653" s="159" t="s">
        <v>4870</v>
      </c>
    </row>
    <row r="1654">
      <c r="A1654" s="157">
        <v>1653.0</v>
      </c>
      <c r="B1654" s="159" t="s">
        <v>4871</v>
      </c>
    </row>
    <row r="1655">
      <c r="A1655" s="157">
        <v>1654.0</v>
      </c>
      <c r="B1655" s="159" t="s">
        <v>4872</v>
      </c>
    </row>
    <row r="1656">
      <c r="A1656" s="157">
        <v>1655.0</v>
      </c>
      <c r="B1656" s="159" t="s">
        <v>4873</v>
      </c>
    </row>
    <row r="1657">
      <c r="A1657" s="157">
        <v>1656.0</v>
      </c>
      <c r="B1657" s="159" t="s">
        <v>4874</v>
      </c>
    </row>
    <row r="1658">
      <c r="A1658" s="157">
        <v>1657.0</v>
      </c>
      <c r="B1658" s="159" t="s">
        <v>4875</v>
      </c>
    </row>
    <row r="1659">
      <c r="A1659" s="157">
        <v>1658.0</v>
      </c>
      <c r="B1659" s="158" t="s">
        <v>4876</v>
      </c>
    </row>
    <row r="1660">
      <c r="A1660" s="157">
        <v>1659.0</v>
      </c>
      <c r="B1660" s="159" t="s">
        <v>4877</v>
      </c>
    </row>
    <row r="1661">
      <c r="A1661" s="157">
        <v>1660.0</v>
      </c>
      <c r="B1661" s="159" t="s">
        <v>4878</v>
      </c>
    </row>
    <row r="1662">
      <c r="A1662" s="157">
        <v>1661.0</v>
      </c>
      <c r="B1662" s="159" t="s">
        <v>4879</v>
      </c>
    </row>
    <row r="1663">
      <c r="A1663" s="157">
        <v>1662.0</v>
      </c>
      <c r="B1663" s="159" t="s">
        <v>4880</v>
      </c>
    </row>
    <row r="1664">
      <c r="A1664" s="157">
        <v>1663.0</v>
      </c>
      <c r="B1664" s="159" t="s">
        <v>4881</v>
      </c>
    </row>
    <row r="1665">
      <c r="A1665" s="157">
        <v>1664.0</v>
      </c>
      <c r="B1665" s="159" t="s">
        <v>4882</v>
      </c>
    </row>
    <row r="1666">
      <c r="A1666" s="157">
        <v>1665.0</v>
      </c>
      <c r="B1666" s="159" t="s">
        <v>4883</v>
      </c>
    </row>
    <row r="1667">
      <c r="A1667" s="157">
        <v>1666.0</v>
      </c>
      <c r="B1667" s="159" t="s">
        <v>4884</v>
      </c>
    </row>
    <row r="1668">
      <c r="A1668" s="157">
        <v>1667.0</v>
      </c>
      <c r="B1668" s="159" t="s">
        <v>4885</v>
      </c>
    </row>
    <row r="1669">
      <c r="A1669" s="157">
        <v>1668.0</v>
      </c>
      <c r="B1669" s="159" t="s">
        <v>4886</v>
      </c>
    </row>
    <row r="1670">
      <c r="A1670" s="157">
        <v>1669.0</v>
      </c>
      <c r="B1670" s="159" t="s">
        <v>4887</v>
      </c>
    </row>
    <row r="1671">
      <c r="A1671" s="157">
        <v>1670.0</v>
      </c>
      <c r="B1671" s="159" t="s">
        <v>4888</v>
      </c>
    </row>
    <row r="1672">
      <c r="A1672" s="157">
        <v>1671.0</v>
      </c>
      <c r="B1672" s="159" t="s">
        <v>4889</v>
      </c>
    </row>
    <row r="1673">
      <c r="A1673" s="157">
        <v>1672.0</v>
      </c>
      <c r="B1673" s="159" t="s">
        <v>4890</v>
      </c>
    </row>
    <row r="1674">
      <c r="A1674" s="157">
        <v>1673.0</v>
      </c>
      <c r="B1674" s="159" t="s">
        <v>4891</v>
      </c>
    </row>
    <row r="1675">
      <c r="A1675" s="157">
        <v>1674.0</v>
      </c>
      <c r="B1675" s="159" t="s">
        <v>4892</v>
      </c>
    </row>
    <row r="1676">
      <c r="A1676" s="157">
        <v>1675.0</v>
      </c>
      <c r="B1676" s="158" t="s">
        <v>4893</v>
      </c>
    </row>
    <row r="1677">
      <c r="A1677" s="157">
        <v>1676.0</v>
      </c>
      <c r="B1677" s="158" t="s">
        <v>4894</v>
      </c>
    </row>
    <row r="1678">
      <c r="A1678" s="157">
        <v>1677.0</v>
      </c>
      <c r="B1678" s="158" t="s">
        <v>4895</v>
      </c>
    </row>
    <row r="1679">
      <c r="A1679" s="157">
        <v>1678.0</v>
      </c>
      <c r="B1679" s="158" t="s">
        <v>4896</v>
      </c>
    </row>
    <row r="1680">
      <c r="A1680" s="157">
        <v>1679.0</v>
      </c>
      <c r="B1680" s="158" t="s">
        <v>4897</v>
      </c>
    </row>
    <row r="1681">
      <c r="A1681" s="157">
        <v>1680.0</v>
      </c>
      <c r="B1681" s="158" t="s">
        <v>4898</v>
      </c>
    </row>
    <row r="1682">
      <c r="A1682" s="157">
        <v>1681.0</v>
      </c>
      <c r="B1682" s="158" t="s">
        <v>4899</v>
      </c>
    </row>
    <row r="1683">
      <c r="A1683" s="157">
        <v>1682.0</v>
      </c>
      <c r="B1683" s="158" t="s">
        <v>4900</v>
      </c>
    </row>
    <row r="1684">
      <c r="A1684" s="157">
        <v>1683.0</v>
      </c>
      <c r="B1684" s="158" t="s">
        <v>4901</v>
      </c>
    </row>
    <row r="1685">
      <c r="A1685" s="157">
        <v>1684.0</v>
      </c>
      <c r="B1685" s="158" t="s">
        <v>4902</v>
      </c>
    </row>
    <row r="1686">
      <c r="A1686" s="157">
        <v>1685.0</v>
      </c>
      <c r="B1686" s="158" t="s">
        <v>4903</v>
      </c>
    </row>
    <row r="1687">
      <c r="A1687" s="157">
        <v>1686.0</v>
      </c>
      <c r="B1687" s="158" t="s">
        <v>4904</v>
      </c>
    </row>
    <row r="1688">
      <c r="A1688" s="157">
        <v>1687.0</v>
      </c>
      <c r="B1688" s="158" t="s">
        <v>4905</v>
      </c>
    </row>
    <row r="1689">
      <c r="A1689" s="157">
        <v>1688.0</v>
      </c>
      <c r="B1689" s="158" t="s">
        <v>4906</v>
      </c>
    </row>
    <row r="1690">
      <c r="A1690" s="157">
        <v>1689.0</v>
      </c>
      <c r="B1690" s="158" t="s">
        <v>4907</v>
      </c>
    </row>
    <row r="1691">
      <c r="A1691" s="157">
        <v>1690.0</v>
      </c>
      <c r="B1691" s="158" t="s">
        <v>4908</v>
      </c>
    </row>
    <row r="1692">
      <c r="A1692" s="157">
        <v>1691.0</v>
      </c>
      <c r="B1692" s="158" t="s">
        <v>4909</v>
      </c>
    </row>
    <row r="1693">
      <c r="A1693" s="157">
        <v>1692.0</v>
      </c>
      <c r="B1693" s="158" t="s">
        <v>4910</v>
      </c>
    </row>
    <row r="1694">
      <c r="A1694" s="157">
        <v>1693.0</v>
      </c>
      <c r="B1694" s="158" t="s">
        <v>4911</v>
      </c>
    </row>
    <row r="1695">
      <c r="A1695" s="157">
        <v>1694.0</v>
      </c>
      <c r="B1695" s="158" t="s">
        <v>4912</v>
      </c>
    </row>
    <row r="1696">
      <c r="A1696" s="157">
        <v>1695.0</v>
      </c>
      <c r="B1696" s="158" t="s">
        <v>4913</v>
      </c>
    </row>
    <row r="1697">
      <c r="A1697" s="157">
        <v>1696.0</v>
      </c>
      <c r="B1697" s="158" t="s">
        <v>4914</v>
      </c>
    </row>
    <row r="1698">
      <c r="A1698" s="157">
        <v>1697.0</v>
      </c>
      <c r="B1698" s="158" t="s">
        <v>4915</v>
      </c>
    </row>
    <row r="1699">
      <c r="A1699" s="157">
        <v>1698.0</v>
      </c>
      <c r="B1699" s="158" t="s">
        <v>4916</v>
      </c>
    </row>
    <row r="1700">
      <c r="A1700" s="157">
        <v>1699.0</v>
      </c>
      <c r="B1700" s="158" t="s">
        <v>4917</v>
      </c>
    </row>
    <row r="1701">
      <c r="A1701" s="157">
        <v>1700.0</v>
      </c>
      <c r="B1701" s="158" t="s">
        <v>4918</v>
      </c>
    </row>
    <row r="1702">
      <c r="A1702" s="157">
        <v>1701.0</v>
      </c>
      <c r="B1702" s="158" t="s">
        <v>4919</v>
      </c>
    </row>
    <row r="1703">
      <c r="A1703" s="157">
        <v>1702.0</v>
      </c>
      <c r="B1703" s="158" t="s">
        <v>4920</v>
      </c>
    </row>
    <row r="1704">
      <c r="A1704" s="157">
        <v>1703.0</v>
      </c>
      <c r="B1704" s="158" t="s">
        <v>4921</v>
      </c>
    </row>
    <row r="1705">
      <c r="A1705" s="157">
        <v>1704.0</v>
      </c>
      <c r="B1705" s="158" t="s">
        <v>4922</v>
      </c>
    </row>
    <row r="1706">
      <c r="A1706" s="157">
        <v>1705.0</v>
      </c>
      <c r="B1706" s="158" t="s">
        <v>4923</v>
      </c>
    </row>
    <row r="1707">
      <c r="A1707" s="157">
        <v>1706.0</v>
      </c>
      <c r="B1707" s="158" t="s">
        <v>4924</v>
      </c>
    </row>
    <row r="1708">
      <c r="A1708" s="157">
        <v>1707.0</v>
      </c>
      <c r="B1708" s="158" t="s">
        <v>4925</v>
      </c>
    </row>
    <row r="1709">
      <c r="A1709" s="157">
        <v>1708.0</v>
      </c>
      <c r="B1709" s="158" t="s">
        <v>4926</v>
      </c>
    </row>
    <row r="1710">
      <c r="A1710" s="157">
        <v>1709.0</v>
      </c>
      <c r="B1710" s="158" t="s">
        <v>4927</v>
      </c>
    </row>
    <row r="1711">
      <c r="A1711" s="157">
        <v>1710.0</v>
      </c>
      <c r="B1711" s="158" t="s">
        <v>4928</v>
      </c>
    </row>
    <row r="1712">
      <c r="A1712" s="157">
        <v>1711.0</v>
      </c>
      <c r="B1712" s="158" t="s">
        <v>4929</v>
      </c>
    </row>
    <row r="1713">
      <c r="A1713" s="157">
        <v>1712.0</v>
      </c>
      <c r="B1713" s="158" t="s">
        <v>4930</v>
      </c>
    </row>
    <row r="1714">
      <c r="A1714" s="157">
        <v>1713.0</v>
      </c>
      <c r="B1714" s="158" t="s">
        <v>4931</v>
      </c>
    </row>
    <row r="1715">
      <c r="A1715" s="157">
        <v>1714.0</v>
      </c>
      <c r="B1715" s="158" t="s">
        <v>4932</v>
      </c>
    </row>
    <row r="1716">
      <c r="A1716" s="157">
        <v>1715.0</v>
      </c>
      <c r="B1716" s="158" t="s">
        <v>4933</v>
      </c>
    </row>
    <row r="1717">
      <c r="A1717" s="157">
        <v>1716.0</v>
      </c>
      <c r="B1717" s="158" t="s">
        <v>4934</v>
      </c>
    </row>
    <row r="1718">
      <c r="A1718" s="157">
        <v>1717.0</v>
      </c>
      <c r="B1718" s="158" t="s">
        <v>4935</v>
      </c>
    </row>
    <row r="1719">
      <c r="A1719" s="157">
        <v>1718.0</v>
      </c>
      <c r="B1719" s="158" t="s">
        <v>4936</v>
      </c>
    </row>
    <row r="1720">
      <c r="A1720" s="157">
        <v>1719.0</v>
      </c>
      <c r="B1720" s="158" t="s">
        <v>4937</v>
      </c>
    </row>
    <row r="1721">
      <c r="A1721" s="157">
        <v>1720.0</v>
      </c>
      <c r="B1721" s="158" t="s">
        <v>4938</v>
      </c>
    </row>
    <row r="1722">
      <c r="A1722" s="157">
        <v>1721.0</v>
      </c>
      <c r="B1722" s="158" t="s">
        <v>4939</v>
      </c>
    </row>
    <row r="1723">
      <c r="A1723" s="157">
        <v>1722.0</v>
      </c>
      <c r="B1723" s="158" t="s">
        <v>4940</v>
      </c>
    </row>
    <row r="1724">
      <c r="A1724" s="157">
        <v>1723.0</v>
      </c>
      <c r="B1724" s="158" t="s">
        <v>4941</v>
      </c>
    </row>
    <row r="1725">
      <c r="A1725" s="157">
        <v>1724.0</v>
      </c>
      <c r="B1725" s="158" t="s">
        <v>4942</v>
      </c>
    </row>
    <row r="1726">
      <c r="A1726" s="157">
        <v>1725.0</v>
      </c>
      <c r="B1726" s="158" t="s">
        <v>4943</v>
      </c>
    </row>
    <row r="1727">
      <c r="A1727" s="157">
        <v>1726.0</v>
      </c>
      <c r="B1727" s="158" t="s">
        <v>4944</v>
      </c>
    </row>
    <row r="1728">
      <c r="A1728" s="157">
        <v>1727.0</v>
      </c>
      <c r="B1728" s="158" t="s">
        <v>4945</v>
      </c>
    </row>
    <row r="1729">
      <c r="A1729" s="157">
        <v>1728.0</v>
      </c>
      <c r="B1729" s="158" t="s">
        <v>4946</v>
      </c>
    </row>
    <row r="1730">
      <c r="A1730" s="157">
        <v>1729.0</v>
      </c>
      <c r="B1730" s="158" t="s">
        <v>4947</v>
      </c>
    </row>
    <row r="1731">
      <c r="A1731" s="157">
        <v>1730.0</v>
      </c>
      <c r="B1731" s="158" t="s">
        <v>4948</v>
      </c>
    </row>
    <row r="1732">
      <c r="A1732" s="157">
        <v>1731.0</v>
      </c>
      <c r="B1732" s="158" t="s">
        <v>4949</v>
      </c>
    </row>
    <row r="1733">
      <c r="A1733" s="157">
        <v>1732.0</v>
      </c>
      <c r="B1733" s="158" t="s">
        <v>4950</v>
      </c>
    </row>
    <row r="1734">
      <c r="A1734" s="157">
        <v>1733.0</v>
      </c>
      <c r="B1734" s="158" t="s">
        <v>4951</v>
      </c>
    </row>
    <row r="1735">
      <c r="A1735" s="157">
        <v>1734.0</v>
      </c>
      <c r="B1735" s="158" t="s">
        <v>4952</v>
      </c>
    </row>
    <row r="1736">
      <c r="A1736" s="157">
        <v>1735.0</v>
      </c>
      <c r="B1736" s="158" t="s">
        <v>4953</v>
      </c>
    </row>
    <row r="1737">
      <c r="A1737" s="157">
        <v>1736.0</v>
      </c>
      <c r="B1737" s="158" t="s">
        <v>4954</v>
      </c>
    </row>
    <row r="1738">
      <c r="A1738" s="157">
        <v>1737.0</v>
      </c>
      <c r="B1738" s="158" t="s">
        <v>4955</v>
      </c>
    </row>
    <row r="1739">
      <c r="A1739" s="157">
        <v>1738.0</v>
      </c>
      <c r="B1739" s="158" t="s">
        <v>4956</v>
      </c>
    </row>
    <row r="1740">
      <c r="A1740" s="157">
        <v>1739.0</v>
      </c>
      <c r="B1740" s="158" t="s">
        <v>4957</v>
      </c>
    </row>
    <row r="1741">
      <c r="A1741" s="157">
        <v>1740.0</v>
      </c>
      <c r="B1741" s="158" t="s">
        <v>4958</v>
      </c>
    </row>
    <row r="1742">
      <c r="A1742" s="157">
        <v>1741.0</v>
      </c>
      <c r="B1742" s="158" t="s">
        <v>4959</v>
      </c>
    </row>
    <row r="1743">
      <c r="A1743" s="157">
        <v>1742.0</v>
      </c>
      <c r="B1743" s="158" t="s">
        <v>4960</v>
      </c>
    </row>
    <row r="1744">
      <c r="A1744" s="157">
        <v>1743.0</v>
      </c>
      <c r="B1744" s="158" t="s">
        <v>4961</v>
      </c>
    </row>
    <row r="1745">
      <c r="A1745" s="157">
        <v>1744.0</v>
      </c>
      <c r="B1745" s="158" t="s">
        <v>4962</v>
      </c>
    </row>
    <row r="1746">
      <c r="A1746" s="157">
        <v>1745.0</v>
      </c>
      <c r="B1746" s="158" t="s">
        <v>4963</v>
      </c>
    </row>
    <row r="1747">
      <c r="A1747" s="157">
        <v>1746.0</v>
      </c>
      <c r="B1747" s="158" t="s">
        <v>4964</v>
      </c>
    </row>
    <row r="1748">
      <c r="A1748" s="157">
        <v>1747.0</v>
      </c>
      <c r="B1748" s="158" t="s">
        <v>4965</v>
      </c>
    </row>
    <row r="1749">
      <c r="A1749" s="157">
        <v>1748.0</v>
      </c>
      <c r="B1749" s="158" t="s">
        <v>4966</v>
      </c>
    </row>
    <row r="1750">
      <c r="A1750" s="157">
        <v>1749.0</v>
      </c>
      <c r="B1750" s="158" t="s">
        <v>4967</v>
      </c>
    </row>
    <row r="1751">
      <c r="A1751" s="157">
        <v>1750.0</v>
      </c>
      <c r="B1751" s="158" t="s">
        <v>4968</v>
      </c>
    </row>
    <row r="1752">
      <c r="A1752" s="157">
        <v>1751.0</v>
      </c>
      <c r="B1752" s="158" t="s">
        <v>4969</v>
      </c>
    </row>
    <row r="1753">
      <c r="A1753" s="157">
        <v>1752.0</v>
      </c>
      <c r="B1753" s="158" t="s">
        <v>4970</v>
      </c>
    </row>
    <row r="1754">
      <c r="A1754" s="157">
        <v>1753.0</v>
      </c>
      <c r="B1754" s="158" t="s">
        <v>4971</v>
      </c>
    </row>
    <row r="1755">
      <c r="A1755" s="157">
        <v>1754.0</v>
      </c>
      <c r="B1755" s="158" t="s">
        <v>4972</v>
      </c>
    </row>
    <row r="1756">
      <c r="A1756" s="157">
        <v>1755.0</v>
      </c>
      <c r="B1756" s="158" t="s">
        <v>4973</v>
      </c>
    </row>
    <row r="1757">
      <c r="A1757" s="157">
        <v>1756.0</v>
      </c>
      <c r="B1757" s="159" t="s">
        <v>4974</v>
      </c>
    </row>
    <row r="1758">
      <c r="A1758" s="157">
        <v>1757.0</v>
      </c>
      <c r="B1758" s="159" t="s">
        <v>4975</v>
      </c>
    </row>
    <row r="1759">
      <c r="A1759" s="157">
        <v>1758.0</v>
      </c>
      <c r="B1759" s="159" t="s">
        <v>4976</v>
      </c>
    </row>
    <row r="1760">
      <c r="A1760" s="157">
        <v>1759.0</v>
      </c>
      <c r="B1760" s="159" t="s">
        <v>4977</v>
      </c>
    </row>
    <row r="1761">
      <c r="A1761" s="157">
        <v>1760.0</v>
      </c>
      <c r="B1761" s="159" t="s">
        <v>4978</v>
      </c>
    </row>
    <row r="1762">
      <c r="A1762" s="157">
        <v>1761.0</v>
      </c>
      <c r="B1762" s="159" t="s">
        <v>4979</v>
      </c>
    </row>
    <row r="1763">
      <c r="A1763" s="157">
        <v>1762.0</v>
      </c>
      <c r="B1763" s="159" t="s">
        <v>4980</v>
      </c>
    </row>
    <row r="1764">
      <c r="A1764" s="157">
        <v>1763.0</v>
      </c>
      <c r="B1764" s="159" t="s">
        <v>4981</v>
      </c>
    </row>
    <row r="1765">
      <c r="A1765" s="157">
        <v>1764.0</v>
      </c>
      <c r="B1765" s="159" t="s">
        <v>4982</v>
      </c>
    </row>
    <row r="1766">
      <c r="A1766" s="157">
        <v>1765.0</v>
      </c>
      <c r="B1766" s="159" t="s">
        <v>4983</v>
      </c>
    </row>
    <row r="1767">
      <c r="A1767" s="157">
        <v>1766.0</v>
      </c>
      <c r="B1767" s="159" t="s">
        <v>4984</v>
      </c>
    </row>
    <row r="1768">
      <c r="A1768" s="157">
        <v>1767.0</v>
      </c>
      <c r="B1768" s="159" t="s">
        <v>4985</v>
      </c>
    </row>
    <row r="1769">
      <c r="A1769" s="157">
        <v>1768.0</v>
      </c>
      <c r="B1769" s="159" t="s">
        <v>4986</v>
      </c>
    </row>
    <row r="1770">
      <c r="A1770" s="157">
        <v>1769.0</v>
      </c>
      <c r="B1770" s="159" t="s">
        <v>4987</v>
      </c>
    </row>
    <row r="1771">
      <c r="A1771" s="157">
        <v>1770.0</v>
      </c>
      <c r="B1771" s="159" t="s">
        <v>4988</v>
      </c>
    </row>
    <row r="1772">
      <c r="A1772" s="157">
        <v>1771.0</v>
      </c>
      <c r="B1772" s="159" t="s">
        <v>4989</v>
      </c>
    </row>
    <row r="1773">
      <c r="A1773" s="157">
        <v>1772.0</v>
      </c>
      <c r="B1773" s="158" t="s">
        <v>4990</v>
      </c>
    </row>
    <row r="1774">
      <c r="A1774" s="157">
        <v>1773.0</v>
      </c>
      <c r="B1774" s="158" t="s">
        <v>4991</v>
      </c>
    </row>
    <row r="1775">
      <c r="A1775" s="157">
        <v>1774.0</v>
      </c>
      <c r="B1775" s="158" t="s">
        <v>4992</v>
      </c>
    </row>
    <row r="1776">
      <c r="A1776" s="157">
        <v>1775.0</v>
      </c>
      <c r="B1776" s="158" t="s">
        <v>4993</v>
      </c>
    </row>
    <row r="1777">
      <c r="A1777" s="157">
        <v>1776.0</v>
      </c>
      <c r="B1777" s="158" t="s">
        <v>4994</v>
      </c>
    </row>
    <row r="1778">
      <c r="A1778" s="157">
        <v>1777.0</v>
      </c>
      <c r="B1778" s="158" t="s">
        <v>4995</v>
      </c>
    </row>
    <row r="1779">
      <c r="A1779" s="157">
        <v>1778.0</v>
      </c>
      <c r="B1779" s="158" t="s">
        <v>4996</v>
      </c>
    </row>
    <row r="1780">
      <c r="A1780" s="157">
        <v>1779.0</v>
      </c>
      <c r="B1780" s="158" t="s">
        <v>4997</v>
      </c>
    </row>
    <row r="1781">
      <c r="A1781" s="157">
        <v>1780.0</v>
      </c>
      <c r="B1781" s="158" t="s">
        <v>4998</v>
      </c>
    </row>
    <row r="1782">
      <c r="A1782" s="157">
        <v>1781.0</v>
      </c>
      <c r="B1782" s="158" t="s">
        <v>4999</v>
      </c>
    </row>
    <row r="1783">
      <c r="A1783" s="157">
        <v>1782.0</v>
      </c>
      <c r="B1783" s="158" t="s">
        <v>5000</v>
      </c>
    </row>
    <row r="1784">
      <c r="A1784" s="157">
        <v>1783.0</v>
      </c>
      <c r="B1784" s="158" t="s">
        <v>5001</v>
      </c>
    </row>
    <row r="1785">
      <c r="A1785" s="157">
        <v>1784.0</v>
      </c>
      <c r="B1785" s="158" t="s">
        <v>5002</v>
      </c>
    </row>
    <row r="1786">
      <c r="A1786" s="157">
        <v>1785.0</v>
      </c>
      <c r="B1786" s="158" t="s">
        <v>5003</v>
      </c>
    </row>
    <row r="1787">
      <c r="A1787" s="157">
        <v>1786.0</v>
      </c>
      <c r="B1787" s="158" t="s">
        <v>5004</v>
      </c>
    </row>
    <row r="1788">
      <c r="A1788" s="157">
        <v>1787.0</v>
      </c>
      <c r="B1788" s="158" t="s">
        <v>5005</v>
      </c>
    </row>
    <row r="1789">
      <c r="A1789" s="157">
        <v>1788.0</v>
      </c>
      <c r="B1789" s="158" t="s">
        <v>5006</v>
      </c>
    </row>
    <row r="1790">
      <c r="A1790" s="157">
        <v>1789.0</v>
      </c>
      <c r="B1790" s="158" t="s">
        <v>5007</v>
      </c>
    </row>
    <row r="1791">
      <c r="A1791" s="157">
        <v>1790.0</v>
      </c>
      <c r="B1791" s="158" t="s">
        <v>5008</v>
      </c>
    </row>
    <row r="1792">
      <c r="A1792" s="157">
        <v>1791.0</v>
      </c>
      <c r="B1792" s="158" t="s">
        <v>5009</v>
      </c>
    </row>
    <row r="1793">
      <c r="A1793" s="157">
        <v>1792.0</v>
      </c>
      <c r="B1793" s="158" t="s">
        <v>5010</v>
      </c>
    </row>
    <row r="1794">
      <c r="A1794" s="157">
        <v>1793.0</v>
      </c>
      <c r="B1794" s="158" t="s">
        <v>5011</v>
      </c>
    </row>
    <row r="1795">
      <c r="A1795" s="157">
        <v>1794.0</v>
      </c>
      <c r="B1795" s="158" t="s">
        <v>5012</v>
      </c>
    </row>
    <row r="1796">
      <c r="A1796" s="157">
        <v>1795.0</v>
      </c>
      <c r="B1796" s="158" t="s">
        <v>5013</v>
      </c>
    </row>
    <row r="1797">
      <c r="A1797" s="157">
        <v>1796.0</v>
      </c>
      <c r="B1797" s="158" t="s">
        <v>5014</v>
      </c>
    </row>
    <row r="1798">
      <c r="A1798" s="157">
        <v>1797.0</v>
      </c>
      <c r="B1798" s="158" t="s">
        <v>5015</v>
      </c>
    </row>
    <row r="1799">
      <c r="A1799" s="157">
        <v>1798.0</v>
      </c>
      <c r="B1799" s="158" t="s">
        <v>5016</v>
      </c>
    </row>
    <row r="1800">
      <c r="A1800" s="157">
        <v>1799.0</v>
      </c>
      <c r="B1800" s="158" t="s">
        <v>5017</v>
      </c>
    </row>
    <row r="1801">
      <c r="A1801" s="157">
        <v>1800.0</v>
      </c>
      <c r="B1801" s="158" t="s">
        <v>5018</v>
      </c>
    </row>
    <row r="1802">
      <c r="A1802" s="157">
        <v>1801.0</v>
      </c>
      <c r="B1802" s="158" t="s">
        <v>5019</v>
      </c>
    </row>
    <row r="1803">
      <c r="A1803" s="157">
        <v>1802.0</v>
      </c>
      <c r="B1803" s="158" t="s">
        <v>5020</v>
      </c>
    </row>
    <row r="1804">
      <c r="A1804" s="157">
        <v>1803.0</v>
      </c>
      <c r="B1804" s="158" t="s">
        <v>5021</v>
      </c>
    </row>
    <row r="1805">
      <c r="A1805" s="157">
        <v>1804.0</v>
      </c>
      <c r="B1805" s="158" t="s">
        <v>5022</v>
      </c>
    </row>
    <row r="1806">
      <c r="A1806" s="157">
        <v>1805.0</v>
      </c>
      <c r="B1806" s="158" t="s">
        <v>5023</v>
      </c>
    </row>
    <row r="1807">
      <c r="A1807" s="157">
        <v>1806.0</v>
      </c>
      <c r="B1807" s="158" t="s">
        <v>5024</v>
      </c>
    </row>
    <row r="1808">
      <c r="A1808" s="157">
        <v>1807.0</v>
      </c>
      <c r="B1808" s="158" t="s">
        <v>5025</v>
      </c>
    </row>
    <row r="1809">
      <c r="A1809" s="157">
        <v>1808.0</v>
      </c>
      <c r="B1809" s="158" t="s">
        <v>5026</v>
      </c>
    </row>
    <row r="1810">
      <c r="A1810" s="157">
        <v>1809.0</v>
      </c>
      <c r="B1810" s="158" t="s">
        <v>5027</v>
      </c>
    </row>
    <row r="1811">
      <c r="A1811" s="157">
        <v>1810.0</v>
      </c>
      <c r="B1811" s="158" t="s">
        <v>5028</v>
      </c>
    </row>
    <row r="1812">
      <c r="A1812" s="157">
        <v>1811.0</v>
      </c>
      <c r="B1812" s="158" t="s">
        <v>5029</v>
      </c>
    </row>
    <row r="1813">
      <c r="A1813" s="157">
        <v>1812.0</v>
      </c>
      <c r="B1813" s="158" t="s">
        <v>5030</v>
      </c>
    </row>
    <row r="1814">
      <c r="A1814" s="157">
        <v>1813.0</v>
      </c>
      <c r="B1814" s="159" t="s">
        <v>5031</v>
      </c>
    </row>
    <row r="1815">
      <c r="A1815" s="157">
        <v>1814.0</v>
      </c>
      <c r="B1815" s="158" t="s">
        <v>5032</v>
      </c>
    </row>
    <row r="1816">
      <c r="A1816" s="157">
        <v>1815.0</v>
      </c>
      <c r="B1816" s="158" t="s">
        <v>5033</v>
      </c>
    </row>
    <row r="1817">
      <c r="A1817" s="157">
        <v>1816.0</v>
      </c>
      <c r="B1817" s="158" t="s">
        <v>5034</v>
      </c>
    </row>
    <row r="1818">
      <c r="A1818" s="157">
        <v>1817.0</v>
      </c>
      <c r="B1818" s="158" t="s">
        <v>5035</v>
      </c>
    </row>
    <row r="1819">
      <c r="A1819" s="157">
        <v>1818.0</v>
      </c>
      <c r="B1819" s="158" t="s">
        <v>5036</v>
      </c>
    </row>
    <row r="1820">
      <c r="A1820" s="157">
        <v>1819.0</v>
      </c>
      <c r="B1820" s="158" t="s">
        <v>5037</v>
      </c>
    </row>
    <row r="1821">
      <c r="A1821" s="157">
        <v>1820.0</v>
      </c>
      <c r="B1821" s="158" t="s">
        <v>5038</v>
      </c>
    </row>
    <row r="1822">
      <c r="A1822" s="157">
        <v>1821.0</v>
      </c>
      <c r="B1822" s="158" t="s">
        <v>5039</v>
      </c>
    </row>
    <row r="1823">
      <c r="A1823" s="157">
        <v>1822.0</v>
      </c>
      <c r="B1823" s="158" t="s">
        <v>5040</v>
      </c>
    </row>
    <row r="1824">
      <c r="A1824" s="157">
        <v>1823.0</v>
      </c>
      <c r="B1824" s="158" t="s">
        <v>5041</v>
      </c>
    </row>
    <row r="1825">
      <c r="A1825" s="157">
        <v>1824.0</v>
      </c>
      <c r="B1825" s="158" t="s">
        <v>5042</v>
      </c>
    </row>
    <row r="1826">
      <c r="A1826" s="157">
        <v>1825.0</v>
      </c>
      <c r="B1826" s="158" t="s">
        <v>5043</v>
      </c>
    </row>
    <row r="1827">
      <c r="A1827" s="157">
        <v>1826.0</v>
      </c>
      <c r="B1827" s="158" t="s">
        <v>5044</v>
      </c>
    </row>
    <row r="1828">
      <c r="A1828" s="157">
        <v>1827.0</v>
      </c>
      <c r="B1828" s="158" t="s">
        <v>5045</v>
      </c>
    </row>
    <row r="1829">
      <c r="A1829" s="157">
        <v>1828.0</v>
      </c>
      <c r="B1829" s="158" t="s">
        <v>5046</v>
      </c>
    </row>
    <row r="1830">
      <c r="A1830" s="157">
        <v>1829.0</v>
      </c>
      <c r="B1830" s="158" t="s">
        <v>5047</v>
      </c>
    </row>
    <row r="1831">
      <c r="A1831" s="157">
        <v>1830.0</v>
      </c>
      <c r="B1831" s="158" t="s">
        <v>5048</v>
      </c>
    </row>
    <row r="1832">
      <c r="A1832" s="157">
        <v>1831.0</v>
      </c>
      <c r="B1832" s="158" t="s">
        <v>5049</v>
      </c>
    </row>
    <row r="1833">
      <c r="A1833" s="157">
        <v>1832.0</v>
      </c>
      <c r="B1833" s="158" t="s">
        <v>5050</v>
      </c>
    </row>
    <row r="1834">
      <c r="A1834" s="157">
        <v>1833.0</v>
      </c>
      <c r="B1834" s="158" t="s">
        <v>5051</v>
      </c>
    </row>
    <row r="1835">
      <c r="A1835" s="157">
        <v>1834.0</v>
      </c>
      <c r="B1835" s="158" t="s">
        <v>5052</v>
      </c>
    </row>
    <row r="1836">
      <c r="A1836" s="157">
        <v>1835.0</v>
      </c>
      <c r="B1836" s="158" t="s">
        <v>5053</v>
      </c>
    </row>
    <row r="1837">
      <c r="A1837" s="157">
        <v>1836.0</v>
      </c>
      <c r="B1837" s="158" t="s">
        <v>5054</v>
      </c>
    </row>
    <row r="1838">
      <c r="A1838" s="157">
        <v>1837.0</v>
      </c>
      <c r="B1838" s="158" t="s">
        <v>5055</v>
      </c>
    </row>
    <row r="1839">
      <c r="A1839" s="157">
        <v>1838.0</v>
      </c>
      <c r="B1839" s="158" t="s">
        <v>5056</v>
      </c>
    </row>
    <row r="1840">
      <c r="A1840" s="157">
        <v>1839.0</v>
      </c>
      <c r="B1840" s="158" t="s">
        <v>5057</v>
      </c>
    </row>
    <row r="1841">
      <c r="A1841" s="157">
        <v>1840.0</v>
      </c>
      <c r="B1841" s="158" t="s">
        <v>5058</v>
      </c>
    </row>
    <row r="1842">
      <c r="A1842" s="157">
        <v>1841.0</v>
      </c>
      <c r="B1842" s="158" t="s">
        <v>5059</v>
      </c>
    </row>
    <row r="1843">
      <c r="A1843" s="157">
        <v>1842.0</v>
      </c>
      <c r="B1843" s="158" t="s">
        <v>5060</v>
      </c>
    </row>
    <row r="1844">
      <c r="A1844" s="157">
        <v>1843.0</v>
      </c>
      <c r="B1844" s="158" t="s">
        <v>5061</v>
      </c>
    </row>
    <row r="1845">
      <c r="A1845" s="157">
        <v>1844.0</v>
      </c>
      <c r="B1845" s="158" t="s">
        <v>5062</v>
      </c>
    </row>
    <row r="1846">
      <c r="A1846" s="157">
        <v>1845.0</v>
      </c>
      <c r="B1846" s="158" t="s">
        <v>5063</v>
      </c>
    </row>
    <row r="1847">
      <c r="A1847" s="157">
        <v>1846.0</v>
      </c>
      <c r="B1847" s="158" t="s">
        <v>5064</v>
      </c>
    </row>
    <row r="1848">
      <c r="A1848" s="157">
        <v>1847.0</v>
      </c>
      <c r="B1848" s="158" t="s">
        <v>5065</v>
      </c>
    </row>
    <row r="1849">
      <c r="A1849" s="157">
        <v>1848.0</v>
      </c>
      <c r="B1849" s="158" t="s">
        <v>5066</v>
      </c>
    </row>
    <row r="1850">
      <c r="A1850" s="157">
        <v>1849.0</v>
      </c>
      <c r="B1850" s="158" t="s">
        <v>5067</v>
      </c>
    </row>
    <row r="1851">
      <c r="A1851" s="157">
        <v>1850.0</v>
      </c>
      <c r="B1851" s="158" t="s">
        <v>5068</v>
      </c>
    </row>
    <row r="1852">
      <c r="A1852" s="157">
        <v>1851.0</v>
      </c>
      <c r="B1852" s="158" t="s">
        <v>5069</v>
      </c>
    </row>
    <row r="1853">
      <c r="A1853" s="157">
        <v>1852.0</v>
      </c>
      <c r="B1853" s="158" t="s">
        <v>5070</v>
      </c>
    </row>
    <row r="1854">
      <c r="A1854" s="157">
        <v>1853.0</v>
      </c>
      <c r="B1854" s="158" t="s">
        <v>5071</v>
      </c>
    </row>
    <row r="1855">
      <c r="A1855" s="157">
        <v>1854.0</v>
      </c>
      <c r="B1855" s="158" t="s">
        <v>5072</v>
      </c>
    </row>
    <row r="1856">
      <c r="A1856" s="157">
        <v>1855.0</v>
      </c>
      <c r="B1856" s="158" t="s">
        <v>5073</v>
      </c>
    </row>
    <row r="1857">
      <c r="A1857" s="157">
        <v>1856.0</v>
      </c>
      <c r="B1857" s="158" t="s">
        <v>5074</v>
      </c>
    </row>
    <row r="1858">
      <c r="A1858" s="157">
        <v>1857.0</v>
      </c>
      <c r="B1858" s="158" t="s">
        <v>5075</v>
      </c>
    </row>
    <row r="1859">
      <c r="A1859" s="157">
        <v>1858.0</v>
      </c>
      <c r="B1859" s="158" t="s">
        <v>5076</v>
      </c>
    </row>
    <row r="1860">
      <c r="A1860" s="157">
        <v>1859.0</v>
      </c>
      <c r="B1860" s="158" t="s">
        <v>5077</v>
      </c>
    </row>
    <row r="1861">
      <c r="A1861" s="157">
        <v>1860.0</v>
      </c>
      <c r="B1861" s="158" t="s">
        <v>5078</v>
      </c>
    </row>
    <row r="1862">
      <c r="A1862" s="157">
        <v>1861.0</v>
      </c>
      <c r="B1862" s="158" t="s">
        <v>5079</v>
      </c>
    </row>
    <row r="1863">
      <c r="A1863" s="157">
        <v>1862.0</v>
      </c>
      <c r="B1863" s="158" t="s">
        <v>5080</v>
      </c>
    </row>
    <row r="1864">
      <c r="A1864" s="157">
        <v>1863.0</v>
      </c>
      <c r="B1864" s="158" t="s">
        <v>5081</v>
      </c>
    </row>
    <row r="1865">
      <c r="A1865" s="157">
        <v>1864.0</v>
      </c>
      <c r="B1865" s="158" t="s">
        <v>5082</v>
      </c>
    </row>
    <row r="1866">
      <c r="A1866" s="157">
        <v>1865.0</v>
      </c>
      <c r="B1866" s="158" t="s">
        <v>5083</v>
      </c>
    </row>
    <row r="1867">
      <c r="A1867" s="157">
        <v>1866.0</v>
      </c>
      <c r="B1867" s="158" t="s">
        <v>5084</v>
      </c>
    </row>
    <row r="1868">
      <c r="A1868" s="157">
        <v>1867.0</v>
      </c>
      <c r="B1868" s="158" t="s">
        <v>5085</v>
      </c>
    </row>
    <row r="1869">
      <c r="A1869" s="157">
        <v>1868.0</v>
      </c>
      <c r="B1869" s="158" t="s">
        <v>5086</v>
      </c>
    </row>
    <row r="1870">
      <c r="A1870" s="157">
        <v>1869.0</v>
      </c>
      <c r="B1870" s="158" t="s">
        <v>5087</v>
      </c>
    </row>
    <row r="1871">
      <c r="A1871" s="157">
        <v>1870.0</v>
      </c>
      <c r="B1871" s="158" t="s">
        <v>5088</v>
      </c>
    </row>
    <row r="1872">
      <c r="A1872" s="157">
        <v>1871.0</v>
      </c>
      <c r="B1872" s="158" t="s">
        <v>5089</v>
      </c>
    </row>
    <row r="1873">
      <c r="A1873" s="157">
        <v>1872.0</v>
      </c>
      <c r="B1873" s="158" t="s">
        <v>5090</v>
      </c>
    </row>
    <row r="1874">
      <c r="A1874" s="157">
        <v>1873.0</v>
      </c>
      <c r="B1874" s="158" t="s">
        <v>5091</v>
      </c>
    </row>
    <row r="1875">
      <c r="A1875" s="157">
        <v>1874.0</v>
      </c>
      <c r="B1875" s="158" t="s">
        <v>5092</v>
      </c>
    </row>
    <row r="1876">
      <c r="A1876" s="157">
        <v>1875.0</v>
      </c>
      <c r="B1876" s="158" t="s">
        <v>5093</v>
      </c>
    </row>
    <row r="1877">
      <c r="A1877" s="157">
        <v>1876.0</v>
      </c>
      <c r="B1877" s="158" t="s">
        <v>5094</v>
      </c>
    </row>
    <row r="1878">
      <c r="A1878" s="157">
        <v>1877.0</v>
      </c>
      <c r="B1878" s="158" t="s">
        <v>5095</v>
      </c>
    </row>
    <row r="1879">
      <c r="A1879" s="157">
        <v>1878.0</v>
      </c>
      <c r="B1879" s="158" t="s">
        <v>5096</v>
      </c>
    </row>
    <row r="1880">
      <c r="A1880" s="157">
        <v>1879.0</v>
      </c>
      <c r="B1880" s="158" t="s">
        <v>5097</v>
      </c>
    </row>
    <row r="1881">
      <c r="A1881" s="157">
        <v>1880.0</v>
      </c>
      <c r="B1881" s="158" t="s">
        <v>5098</v>
      </c>
    </row>
    <row r="1882">
      <c r="A1882" s="157">
        <v>1881.0</v>
      </c>
      <c r="B1882" s="158" t="s">
        <v>5099</v>
      </c>
    </row>
    <row r="1883">
      <c r="A1883" s="157">
        <v>1882.0</v>
      </c>
      <c r="B1883" s="158" t="s">
        <v>5100</v>
      </c>
    </row>
    <row r="1884">
      <c r="A1884" s="157">
        <v>1883.0</v>
      </c>
      <c r="B1884" s="158" t="s">
        <v>5101</v>
      </c>
    </row>
    <row r="1885">
      <c r="A1885" s="157">
        <v>1884.0</v>
      </c>
      <c r="B1885" s="158" t="s">
        <v>5102</v>
      </c>
    </row>
    <row r="1886">
      <c r="A1886" s="157">
        <v>1885.0</v>
      </c>
      <c r="B1886" s="160" t="s">
        <v>5103</v>
      </c>
    </row>
    <row r="1887">
      <c r="A1887" s="157">
        <v>1886.0</v>
      </c>
      <c r="B1887" s="160" t="s">
        <v>5104</v>
      </c>
    </row>
    <row r="1888">
      <c r="A1888" s="157">
        <v>1887.0</v>
      </c>
      <c r="B1888" s="160" t="s">
        <v>5105</v>
      </c>
    </row>
    <row r="1889">
      <c r="A1889" s="157">
        <v>1888.0</v>
      </c>
      <c r="B1889" s="160" t="s">
        <v>5106</v>
      </c>
    </row>
    <row r="1890">
      <c r="A1890" s="157">
        <v>1889.0</v>
      </c>
      <c r="B1890" s="160" t="s">
        <v>5107</v>
      </c>
    </row>
    <row r="1891">
      <c r="A1891" s="157">
        <v>1890.0</v>
      </c>
      <c r="B1891" s="160" t="s">
        <v>5108</v>
      </c>
    </row>
    <row r="1892">
      <c r="A1892" s="157">
        <v>1891.0</v>
      </c>
      <c r="B1892" s="160" t="s">
        <v>5109</v>
      </c>
    </row>
    <row r="1893">
      <c r="A1893" s="157">
        <v>1892.0</v>
      </c>
      <c r="B1893" s="160" t="s">
        <v>5110</v>
      </c>
    </row>
    <row r="1894">
      <c r="A1894" s="157">
        <v>1893.0</v>
      </c>
      <c r="B1894" s="160" t="s">
        <v>5111</v>
      </c>
    </row>
    <row r="1895">
      <c r="A1895" s="157">
        <v>1894.0</v>
      </c>
      <c r="B1895" s="160" t="s">
        <v>5112</v>
      </c>
    </row>
    <row r="1896">
      <c r="A1896" s="157">
        <v>1895.0</v>
      </c>
      <c r="B1896" s="160" t="s">
        <v>5113</v>
      </c>
    </row>
    <row r="1897">
      <c r="A1897" s="157">
        <v>1896.0</v>
      </c>
      <c r="B1897" s="162" t="s">
        <v>5114</v>
      </c>
    </row>
    <row r="1898">
      <c r="A1898" s="157">
        <v>1897.0</v>
      </c>
      <c r="B1898" s="160" t="s">
        <v>5115</v>
      </c>
    </row>
    <row r="1899">
      <c r="A1899" s="157">
        <v>1898.0</v>
      </c>
      <c r="B1899" s="160" t="s">
        <v>5116</v>
      </c>
    </row>
    <row r="1900">
      <c r="A1900" s="157">
        <v>1899.0</v>
      </c>
      <c r="B1900" s="158" t="s">
        <v>5117</v>
      </c>
    </row>
    <row r="1901">
      <c r="A1901" s="157">
        <v>1900.0</v>
      </c>
      <c r="B1901" s="158" t="s">
        <v>5118</v>
      </c>
    </row>
    <row r="1902">
      <c r="A1902" s="157">
        <v>1901.0</v>
      </c>
      <c r="B1902" s="158" t="s">
        <v>5119</v>
      </c>
    </row>
    <row r="1903">
      <c r="A1903" s="157">
        <v>1902.0</v>
      </c>
      <c r="B1903" s="158" t="s">
        <v>5120</v>
      </c>
    </row>
    <row r="1904">
      <c r="A1904" s="157">
        <v>1903.0</v>
      </c>
      <c r="B1904" s="158" t="s">
        <v>5121</v>
      </c>
    </row>
    <row r="1905">
      <c r="A1905" s="157">
        <v>1904.0</v>
      </c>
      <c r="B1905" s="159" t="s">
        <v>5122</v>
      </c>
    </row>
    <row r="1906">
      <c r="A1906" s="157">
        <v>1905.0</v>
      </c>
      <c r="B1906" s="158" t="s">
        <v>5123</v>
      </c>
    </row>
    <row r="1907">
      <c r="A1907" s="157">
        <v>1906.0</v>
      </c>
      <c r="B1907" s="158" t="s">
        <v>5124</v>
      </c>
    </row>
    <row r="1908">
      <c r="A1908" s="157">
        <v>1907.0</v>
      </c>
      <c r="B1908" s="158" t="s">
        <v>5125</v>
      </c>
    </row>
    <row r="1909">
      <c r="A1909" s="157">
        <v>1908.0</v>
      </c>
      <c r="B1909" s="159" t="s">
        <v>5126</v>
      </c>
    </row>
    <row r="1910">
      <c r="A1910" s="157">
        <v>1909.0</v>
      </c>
      <c r="B1910" s="158" t="s">
        <v>5127</v>
      </c>
    </row>
    <row r="1911">
      <c r="A1911" s="157">
        <v>1910.0</v>
      </c>
      <c r="B1911" s="159" t="s">
        <v>5128</v>
      </c>
    </row>
    <row r="1912">
      <c r="A1912" s="157">
        <v>1911.0</v>
      </c>
      <c r="B1912" s="159" t="s">
        <v>5129</v>
      </c>
    </row>
    <row r="1913">
      <c r="A1913" s="157">
        <v>1912.0</v>
      </c>
      <c r="B1913" s="158" t="s">
        <v>5130</v>
      </c>
    </row>
    <row r="1914">
      <c r="A1914" s="157">
        <v>1913.0</v>
      </c>
      <c r="B1914" s="158" t="s">
        <v>5131</v>
      </c>
    </row>
    <row r="1915">
      <c r="A1915" s="157">
        <v>1914.0</v>
      </c>
      <c r="B1915" s="158" t="s">
        <v>5132</v>
      </c>
    </row>
    <row r="1916">
      <c r="A1916" s="157">
        <v>1915.0</v>
      </c>
      <c r="B1916" s="159" t="s">
        <v>5133</v>
      </c>
    </row>
    <row r="1917">
      <c r="A1917" s="157">
        <v>1916.0</v>
      </c>
      <c r="B1917" s="159" t="s">
        <v>5134</v>
      </c>
    </row>
    <row r="1918">
      <c r="A1918" s="157">
        <v>1917.0</v>
      </c>
      <c r="B1918" s="158" t="s">
        <v>5135</v>
      </c>
    </row>
    <row r="1919">
      <c r="A1919" s="157">
        <v>1918.0</v>
      </c>
      <c r="B1919" s="158" t="s">
        <v>5136</v>
      </c>
    </row>
    <row r="1920">
      <c r="A1920" s="157">
        <v>1919.0</v>
      </c>
      <c r="B1920" s="158" t="s">
        <v>5137</v>
      </c>
    </row>
    <row r="1921">
      <c r="A1921" s="157">
        <v>1920.0</v>
      </c>
      <c r="B1921" s="158" t="s">
        <v>5138</v>
      </c>
    </row>
    <row r="1922">
      <c r="A1922" s="157">
        <v>1921.0</v>
      </c>
      <c r="B1922" s="158" t="s">
        <v>5139</v>
      </c>
    </row>
    <row r="1923">
      <c r="A1923" s="157">
        <v>1922.0</v>
      </c>
      <c r="B1923" s="158" t="s">
        <v>5140</v>
      </c>
    </row>
    <row r="1924">
      <c r="A1924" s="157">
        <v>1923.0</v>
      </c>
      <c r="B1924" s="158" t="s">
        <v>5141</v>
      </c>
    </row>
    <row r="1925">
      <c r="A1925" s="157">
        <v>1924.0</v>
      </c>
      <c r="B1925" s="158" t="s">
        <v>5142</v>
      </c>
    </row>
    <row r="1926">
      <c r="A1926" s="157">
        <v>1925.0</v>
      </c>
      <c r="B1926" s="159" t="s">
        <v>5143</v>
      </c>
    </row>
    <row r="1927">
      <c r="A1927" s="157">
        <v>1926.0</v>
      </c>
      <c r="B1927" s="159" t="s">
        <v>5144</v>
      </c>
    </row>
    <row r="1928">
      <c r="A1928" s="157">
        <v>1927.0</v>
      </c>
      <c r="B1928" s="158" t="s">
        <v>5145</v>
      </c>
    </row>
    <row r="1929">
      <c r="A1929" s="157">
        <v>1928.0</v>
      </c>
      <c r="B1929" s="159" t="s">
        <v>5146</v>
      </c>
    </row>
    <row r="1930">
      <c r="A1930" s="157">
        <v>1929.0</v>
      </c>
      <c r="B1930" s="159" t="s">
        <v>5147</v>
      </c>
    </row>
    <row r="1931">
      <c r="A1931" s="157">
        <v>1930.0</v>
      </c>
      <c r="B1931" s="158" t="s">
        <v>5148</v>
      </c>
    </row>
    <row r="1932">
      <c r="A1932" s="157">
        <v>1931.0</v>
      </c>
      <c r="B1932" s="158" t="s">
        <v>5149</v>
      </c>
    </row>
    <row r="1933">
      <c r="A1933" s="157">
        <v>1932.0</v>
      </c>
      <c r="B1933" s="159" t="s">
        <v>5150</v>
      </c>
    </row>
    <row r="1934">
      <c r="A1934" s="157">
        <v>1933.0</v>
      </c>
      <c r="B1934" s="159" t="s">
        <v>5151</v>
      </c>
    </row>
    <row r="1935">
      <c r="A1935" s="157">
        <v>1934.0</v>
      </c>
      <c r="B1935" s="158" t="s">
        <v>5152</v>
      </c>
    </row>
    <row r="1936">
      <c r="A1936" s="157">
        <v>1935.0</v>
      </c>
      <c r="B1936" s="158" t="s">
        <v>5153</v>
      </c>
    </row>
    <row r="1937">
      <c r="A1937" s="157">
        <v>1936.0</v>
      </c>
      <c r="B1937" s="158" t="s">
        <v>5154</v>
      </c>
    </row>
    <row r="1938">
      <c r="A1938" s="157">
        <v>1937.0</v>
      </c>
      <c r="B1938" s="159" t="s">
        <v>5155</v>
      </c>
    </row>
    <row r="1939">
      <c r="A1939" s="157">
        <v>1938.0</v>
      </c>
      <c r="B1939" s="159" t="s">
        <v>5156</v>
      </c>
    </row>
    <row r="1940">
      <c r="A1940" s="157">
        <v>1939.0</v>
      </c>
      <c r="B1940" s="159" t="s">
        <v>5157</v>
      </c>
    </row>
    <row r="1941">
      <c r="A1941" s="157">
        <v>1940.0</v>
      </c>
      <c r="B1941" s="159" t="s">
        <v>5158</v>
      </c>
    </row>
    <row r="1942">
      <c r="A1942" s="157">
        <v>1941.0</v>
      </c>
      <c r="B1942" s="159" t="s">
        <v>5159</v>
      </c>
    </row>
    <row r="1943">
      <c r="A1943" s="157">
        <v>1942.0</v>
      </c>
      <c r="B1943" s="159" t="s">
        <v>5160</v>
      </c>
    </row>
    <row r="1944">
      <c r="A1944" s="157">
        <v>1943.0</v>
      </c>
      <c r="B1944" s="159" t="s">
        <v>5161</v>
      </c>
    </row>
    <row r="1945">
      <c r="A1945" s="157">
        <v>1944.0</v>
      </c>
      <c r="B1945" s="158" t="s">
        <v>5162</v>
      </c>
    </row>
    <row r="1946">
      <c r="A1946" s="157">
        <v>1945.0</v>
      </c>
      <c r="B1946" s="158" t="s">
        <v>5163</v>
      </c>
    </row>
    <row r="1947">
      <c r="A1947" s="157">
        <v>1946.0</v>
      </c>
      <c r="B1947" s="159" t="s">
        <v>5164</v>
      </c>
    </row>
    <row r="1948">
      <c r="A1948" s="157">
        <v>1947.0</v>
      </c>
      <c r="B1948" s="160" t="s">
        <v>5165</v>
      </c>
    </row>
    <row r="1949">
      <c r="A1949" s="157">
        <v>1948.0</v>
      </c>
      <c r="B1949" s="160" t="s">
        <v>5166</v>
      </c>
    </row>
    <row r="1950">
      <c r="A1950" s="157">
        <v>1949.0</v>
      </c>
      <c r="B1950" s="160" t="s">
        <v>5167</v>
      </c>
    </row>
    <row r="1951">
      <c r="A1951" s="157">
        <v>1950.0</v>
      </c>
      <c r="B1951" s="160" t="s">
        <v>5168</v>
      </c>
    </row>
    <row r="1952">
      <c r="A1952" s="157">
        <v>1951.0</v>
      </c>
      <c r="B1952" s="160" t="s">
        <v>5169</v>
      </c>
    </row>
    <row r="1953">
      <c r="A1953" s="157">
        <v>1952.0</v>
      </c>
      <c r="B1953" s="159" t="s">
        <v>5170</v>
      </c>
    </row>
    <row r="1954">
      <c r="A1954" s="157">
        <v>1953.0</v>
      </c>
      <c r="B1954" s="159" t="s">
        <v>5171</v>
      </c>
    </row>
    <row r="1955">
      <c r="A1955" s="157">
        <v>1954.0</v>
      </c>
      <c r="B1955" s="158" t="s">
        <v>5172</v>
      </c>
    </row>
    <row r="1956">
      <c r="A1956" s="157">
        <v>1955.0</v>
      </c>
      <c r="B1956" s="159" t="s">
        <v>5173</v>
      </c>
    </row>
    <row r="1957">
      <c r="A1957" s="157">
        <v>1956.0</v>
      </c>
      <c r="B1957" s="159" t="s">
        <v>5174</v>
      </c>
    </row>
    <row r="1958">
      <c r="A1958" s="157">
        <v>1957.0</v>
      </c>
      <c r="B1958" s="159" t="s">
        <v>5175</v>
      </c>
    </row>
    <row r="1959">
      <c r="A1959" s="157">
        <v>1958.0</v>
      </c>
      <c r="B1959" s="158" t="s">
        <v>5176</v>
      </c>
    </row>
    <row r="1960">
      <c r="A1960" s="157">
        <v>1959.0</v>
      </c>
      <c r="B1960" s="158" t="s">
        <v>5177</v>
      </c>
    </row>
    <row r="1961">
      <c r="A1961" s="157">
        <v>1960.0</v>
      </c>
      <c r="B1961" s="158" t="s">
        <v>5178</v>
      </c>
    </row>
    <row r="1962">
      <c r="A1962" s="157">
        <v>1961.0</v>
      </c>
      <c r="B1962" s="158" t="s">
        <v>5179</v>
      </c>
    </row>
    <row r="1963">
      <c r="A1963" s="157">
        <v>1962.0</v>
      </c>
      <c r="B1963" s="158" t="s">
        <v>5180</v>
      </c>
    </row>
    <row r="1964">
      <c r="A1964" s="157">
        <v>1963.0</v>
      </c>
      <c r="B1964" s="158" t="s">
        <v>5181</v>
      </c>
    </row>
    <row r="1965">
      <c r="A1965" s="157">
        <v>1964.0</v>
      </c>
      <c r="B1965" s="158" t="s">
        <v>5182</v>
      </c>
    </row>
    <row r="1966">
      <c r="A1966" s="157">
        <v>1965.0</v>
      </c>
      <c r="B1966" s="158" t="s">
        <v>5183</v>
      </c>
    </row>
    <row r="1967">
      <c r="A1967" s="157">
        <v>1966.0</v>
      </c>
      <c r="B1967" s="158" t="s">
        <v>5184</v>
      </c>
    </row>
    <row r="1968">
      <c r="A1968" s="157">
        <v>1967.0</v>
      </c>
      <c r="B1968" s="158" t="s">
        <v>5185</v>
      </c>
    </row>
    <row r="1969">
      <c r="A1969" s="157">
        <v>1968.0</v>
      </c>
      <c r="B1969" s="165" t="s">
        <v>5186</v>
      </c>
    </row>
    <row r="1970">
      <c r="A1970" s="157">
        <v>1969.0</v>
      </c>
      <c r="B1970" s="165" t="s">
        <v>5187</v>
      </c>
    </row>
    <row r="1971">
      <c r="A1971" s="157">
        <v>1970.0</v>
      </c>
      <c r="B1971" s="165" t="s">
        <v>5188</v>
      </c>
    </row>
    <row r="1972">
      <c r="A1972" s="157">
        <v>1971.0</v>
      </c>
      <c r="B1972" s="165" t="s">
        <v>5189</v>
      </c>
    </row>
    <row r="1973">
      <c r="A1973" s="157">
        <v>1972.0</v>
      </c>
      <c r="B1973" s="165" t="s">
        <v>5190</v>
      </c>
    </row>
    <row r="1974">
      <c r="A1974" s="157">
        <v>1973.0</v>
      </c>
      <c r="B1974" s="165" t="s">
        <v>5191</v>
      </c>
    </row>
    <row r="1975">
      <c r="A1975" s="157">
        <v>1974.0</v>
      </c>
      <c r="B1975" s="165" t="s">
        <v>5192</v>
      </c>
    </row>
    <row r="1976">
      <c r="A1976" s="157">
        <v>1975.0</v>
      </c>
      <c r="B1976" s="165" t="s">
        <v>5193</v>
      </c>
    </row>
    <row r="1977">
      <c r="A1977" s="157">
        <v>1976.0</v>
      </c>
      <c r="B1977" s="165" t="s">
        <v>5194</v>
      </c>
    </row>
    <row r="1978">
      <c r="A1978" s="157">
        <v>1977.0</v>
      </c>
      <c r="B1978" s="165" t="s">
        <v>5195</v>
      </c>
    </row>
    <row r="1979">
      <c r="A1979" s="157">
        <v>1978.0</v>
      </c>
      <c r="B1979" s="165" t="s">
        <v>5196</v>
      </c>
    </row>
    <row r="1980">
      <c r="A1980" s="157">
        <v>1979.0</v>
      </c>
      <c r="B1980" s="165" t="s">
        <v>5197</v>
      </c>
    </row>
    <row r="1981">
      <c r="A1981" s="157">
        <v>1980.0</v>
      </c>
      <c r="B1981" s="165" t="s">
        <v>5198</v>
      </c>
    </row>
    <row r="1982">
      <c r="A1982" s="157">
        <v>1981.0</v>
      </c>
      <c r="B1982" s="165" t="s">
        <v>5199</v>
      </c>
    </row>
    <row r="1983">
      <c r="A1983" s="157">
        <v>1982.0</v>
      </c>
      <c r="B1983" s="165" t="s">
        <v>5200</v>
      </c>
    </row>
    <row r="1984">
      <c r="A1984" s="157">
        <v>1983.0</v>
      </c>
      <c r="B1984" s="165" t="s">
        <v>5201</v>
      </c>
    </row>
    <row r="1985">
      <c r="A1985" s="157">
        <v>1984.0</v>
      </c>
      <c r="B1985" s="165" t="s">
        <v>5202</v>
      </c>
    </row>
    <row r="1986">
      <c r="A1986" s="157">
        <v>1985.0</v>
      </c>
      <c r="B1986" s="165" t="s">
        <v>5203</v>
      </c>
    </row>
    <row r="1987">
      <c r="A1987" s="157">
        <v>1986.0</v>
      </c>
      <c r="B1987" s="165" t="s">
        <v>5204</v>
      </c>
    </row>
    <row r="1988">
      <c r="A1988" s="157">
        <v>1987.0</v>
      </c>
      <c r="B1988" s="165" t="s">
        <v>5205</v>
      </c>
    </row>
    <row r="1989">
      <c r="A1989" s="157">
        <v>1988.0</v>
      </c>
      <c r="B1989" s="165" t="s">
        <v>5206</v>
      </c>
    </row>
    <row r="1990">
      <c r="A1990" s="157">
        <v>1989.0</v>
      </c>
      <c r="B1990" s="165" t="s">
        <v>5207</v>
      </c>
    </row>
    <row r="1991">
      <c r="A1991" s="157">
        <v>1990.0</v>
      </c>
      <c r="B1991" s="165" t="s">
        <v>5208</v>
      </c>
    </row>
    <row r="1992">
      <c r="A1992" s="157">
        <v>1991.0</v>
      </c>
      <c r="B1992" s="165" t="s">
        <v>5209</v>
      </c>
    </row>
    <row r="1993">
      <c r="A1993" s="157">
        <v>1992.0</v>
      </c>
      <c r="B1993" s="165" t="s">
        <v>5210</v>
      </c>
    </row>
    <row r="1994">
      <c r="A1994" s="157">
        <v>1993.0</v>
      </c>
      <c r="B1994" s="165" t="s">
        <v>5211</v>
      </c>
    </row>
    <row r="1995">
      <c r="A1995" s="157">
        <v>1994.0</v>
      </c>
      <c r="B1995" s="165" t="s">
        <v>5212</v>
      </c>
    </row>
    <row r="1996">
      <c r="A1996" s="157">
        <v>1995.0</v>
      </c>
      <c r="B1996" s="165" t="s">
        <v>5213</v>
      </c>
    </row>
    <row r="1997">
      <c r="A1997" s="157">
        <v>1996.0</v>
      </c>
      <c r="B1997" s="165" t="s">
        <v>5214</v>
      </c>
    </row>
    <row r="1998">
      <c r="A1998" s="157">
        <v>1997.0</v>
      </c>
      <c r="B1998" s="165" t="s">
        <v>5215</v>
      </c>
    </row>
    <row r="1999">
      <c r="A1999" s="157">
        <v>1998.0</v>
      </c>
      <c r="B1999" s="165" t="s">
        <v>5216</v>
      </c>
    </row>
    <row r="2000">
      <c r="A2000" s="157">
        <v>1999.0</v>
      </c>
      <c r="B2000" s="165" t="s">
        <v>5217</v>
      </c>
    </row>
    <row r="2001">
      <c r="A2001" s="157">
        <v>2000.0</v>
      </c>
      <c r="B2001" s="165" t="s">
        <v>5218</v>
      </c>
    </row>
    <row r="2002">
      <c r="A2002" s="157">
        <v>2001.0</v>
      </c>
      <c r="B2002" s="165" t="s">
        <v>5219</v>
      </c>
    </row>
    <row r="2003">
      <c r="A2003" s="157">
        <v>2002.0</v>
      </c>
      <c r="B2003" s="165" t="s">
        <v>5220</v>
      </c>
    </row>
    <row r="2004">
      <c r="A2004" s="157">
        <v>2003.0</v>
      </c>
      <c r="B2004" s="165" t="s">
        <v>5221</v>
      </c>
    </row>
    <row r="2005">
      <c r="A2005" s="157">
        <v>2004.0</v>
      </c>
      <c r="B2005" s="165" t="s">
        <v>5222</v>
      </c>
    </row>
    <row r="2006">
      <c r="A2006" s="157">
        <v>2005.0</v>
      </c>
      <c r="B2006" s="165" t="s">
        <v>5223</v>
      </c>
    </row>
    <row r="2007">
      <c r="A2007" s="157">
        <v>2006.0</v>
      </c>
      <c r="B2007" s="165" t="s">
        <v>5224</v>
      </c>
    </row>
    <row r="2008">
      <c r="A2008" s="157">
        <v>2007.0</v>
      </c>
      <c r="B2008" s="165" t="s">
        <v>5225</v>
      </c>
    </row>
    <row r="2009">
      <c r="A2009" s="157">
        <v>2008.0</v>
      </c>
      <c r="B2009" s="165" t="s">
        <v>5226</v>
      </c>
    </row>
    <row r="2010">
      <c r="A2010" s="157">
        <v>2009.0</v>
      </c>
      <c r="B2010" s="165" t="s">
        <v>5227</v>
      </c>
    </row>
    <row r="2011">
      <c r="A2011" s="157">
        <v>2010.0</v>
      </c>
      <c r="B2011" s="165" t="s">
        <v>5228</v>
      </c>
    </row>
    <row r="2012">
      <c r="A2012" s="157">
        <v>2011.0</v>
      </c>
      <c r="B2012" s="165" t="s">
        <v>5229</v>
      </c>
    </row>
    <row r="2013">
      <c r="A2013" s="157">
        <v>2012.0</v>
      </c>
      <c r="B2013" s="165" t="s">
        <v>5230</v>
      </c>
    </row>
    <row r="2014">
      <c r="A2014" s="157">
        <v>2013.0</v>
      </c>
      <c r="B2014" s="165" t="s">
        <v>5231</v>
      </c>
    </row>
    <row r="2015">
      <c r="A2015" s="157">
        <v>2014.0</v>
      </c>
      <c r="B2015" s="165" t="s">
        <v>5232</v>
      </c>
    </row>
    <row r="2016">
      <c r="A2016" s="157">
        <v>2015.0</v>
      </c>
      <c r="B2016" s="165" t="s">
        <v>5233</v>
      </c>
    </row>
    <row r="2017">
      <c r="A2017" s="157">
        <v>2016.0</v>
      </c>
      <c r="B2017" s="165" t="s">
        <v>5234</v>
      </c>
    </row>
    <row r="2018">
      <c r="A2018" s="157">
        <v>2017.0</v>
      </c>
      <c r="B2018" s="165" t="s">
        <v>5235</v>
      </c>
    </row>
    <row r="2019">
      <c r="A2019" s="157">
        <v>2018.0</v>
      </c>
      <c r="B2019" s="165" t="s">
        <v>5236</v>
      </c>
    </row>
    <row r="2020">
      <c r="A2020" s="157">
        <v>2019.0</v>
      </c>
      <c r="B2020" s="165" t="s">
        <v>5237</v>
      </c>
    </row>
    <row r="2021">
      <c r="A2021" s="157">
        <v>2020.0</v>
      </c>
      <c r="B2021" s="165" t="s">
        <v>5238</v>
      </c>
    </row>
    <row r="2022">
      <c r="A2022" s="157">
        <v>2021.0</v>
      </c>
      <c r="B2022" s="165" t="s">
        <v>5239</v>
      </c>
    </row>
    <row r="2023">
      <c r="A2023" s="157">
        <v>2022.0</v>
      </c>
      <c r="B2023" s="165" t="s">
        <v>5240</v>
      </c>
    </row>
    <row r="2024">
      <c r="A2024" s="157">
        <v>2023.0</v>
      </c>
      <c r="B2024" s="165" t="s">
        <v>5241</v>
      </c>
    </row>
    <row r="2025">
      <c r="A2025" s="157">
        <v>2024.0</v>
      </c>
      <c r="B2025" s="165" t="s">
        <v>5242</v>
      </c>
    </row>
    <row r="2026">
      <c r="A2026" s="157">
        <v>2025.0</v>
      </c>
      <c r="B2026" s="165" t="s">
        <v>5243</v>
      </c>
    </row>
    <row r="2027">
      <c r="A2027" s="157">
        <v>2026.0</v>
      </c>
      <c r="B2027" s="165" t="s">
        <v>5244</v>
      </c>
    </row>
    <row r="2028">
      <c r="A2028" s="157">
        <v>2027.0</v>
      </c>
      <c r="B2028" s="165" t="s">
        <v>5245</v>
      </c>
    </row>
    <row r="2029">
      <c r="A2029" s="157">
        <v>2028.0</v>
      </c>
      <c r="B2029" s="165" t="s">
        <v>5246</v>
      </c>
    </row>
    <row r="2030">
      <c r="A2030" s="157">
        <v>2029.0</v>
      </c>
      <c r="B2030" s="165" t="s">
        <v>5247</v>
      </c>
    </row>
    <row r="2031">
      <c r="A2031" s="157">
        <v>2030.0</v>
      </c>
      <c r="B2031" s="165" t="s">
        <v>5248</v>
      </c>
    </row>
    <row r="2032">
      <c r="A2032" s="157">
        <v>2031.0</v>
      </c>
      <c r="B2032" s="165" t="s">
        <v>5249</v>
      </c>
    </row>
    <row r="2033">
      <c r="A2033" s="157">
        <v>2032.0</v>
      </c>
      <c r="B2033" s="165" t="s">
        <v>5250</v>
      </c>
    </row>
    <row r="2034">
      <c r="A2034" s="157">
        <v>2033.0</v>
      </c>
      <c r="B2034" s="165" t="s">
        <v>5251</v>
      </c>
    </row>
    <row r="2035">
      <c r="A2035" s="157">
        <v>2034.0</v>
      </c>
      <c r="B2035" s="165" t="s">
        <v>5252</v>
      </c>
    </row>
    <row r="2036">
      <c r="A2036" s="157">
        <v>2035.0</v>
      </c>
      <c r="B2036" s="165" t="s">
        <v>5253</v>
      </c>
    </row>
    <row r="2037">
      <c r="A2037" s="157">
        <v>2036.0</v>
      </c>
      <c r="B2037" s="165" t="s">
        <v>5254</v>
      </c>
    </row>
    <row r="2038">
      <c r="A2038" s="157">
        <v>2037.0</v>
      </c>
      <c r="B2038" s="165" t="s">
        <v>5255</v>
      </c>
    </row>
    <row r="2039">
      <c r="A2039" s="157">
        <v>2038.0</v>
      </c>
      <c r="B2039" s="165" t="s">
        <v>5256</v>
      </c>
    </row>
    <row r="2040">
      <c r="A2040" s="157">
        <v>2039.0</v>
      </c>
      <c r="B2040" s="165" t="s">
        <v>5257</v>
      </c>
    </row>
    <row r="2041">
      <c r="A2041" s="157">
        <v>2040.0</v>
      </c>
      <c r="B2041" s="159" t="s">
        <v>5258</v>
      </c>
    </row>
    <row r="2042">
      <c r="A2042" s="157">
        <v>2041.0</v>
      </c>
      <c r="B2042" s="159" t="s">
        <v>5259</v>
      </c>
    </row>
    <row r="2043">
      <c r="A2043" s="157">
        <v>2042.0</v>
      </c>
      <c r="B2043" s="159" t="s">
        <v>5260</v>
      </c>
    </row>
    <row r="2044">
      <c r="A2044" s="157">
        <v>2043.0</v>
      </c>
      <c r="B2044" s="159" t="s">
        <v>5261</v>
      </c>
    </row>
    <row r="2045">
      <c r="A2045" s="157">
        <v>2044.0</v>
      </c>
      <c r="B2045" s="159" t="s">
        <v>5262</v>
      </c>
    </row>
    <row r="2046">
      <c r="A2046" s="157">
        <v>2045.0</v>
      </c>
      <c r="B2046" s="159" t="s">
        <v>5263</v>
      </c>
    </row>
    <row r="2047">
      <c r="A2047" s="157">
        <v>2046.0</v>
      </c>
      <c r="B2047" s="159" t="s">
        <v>5264</v>
      </c>
    </row>
    <row r="2048">
      <c r="A2048" s="157">
        <v>2047.0</v>
      </c>
      <c r="B2048" s="159" t="s">
        <v>5265</v>
      </c>
    </row>
    <row r="2049">
      <c r="A2049" s="157">
        <v>2048.0</v>
      </c>
      <c r="B2049" s="159" t="s">
        <v>5266</v>
      </c>
    </row>
    <row r="2050">
      <c r="A2050" s="157">
        <v>2049.0</v>
      </c>
      <c r="B2050" s="159" t="s">
        <v>5267</v>
      </c>
    </row>
    <row r="2051">
      <c r="A2051" s="157">
        <v>2050.0</v>
      </c>
      <c r="B2051" s="159" t="s">
        <v>5268</v>
      </c>
    </row>
    <row r="2052">
      <c r="A2052" s="157">
        <v>2051.0</v>
      </c>
      <c r="B2052" s="159" t="s">
        <v>5269</v>
      </c>
    </row>
    <row r="2053">
      <c r="A2053" s="157">
        <v>2052.0</v>
      </c>
      <c r="B2053" s="159" t="s">
        <v>5270</v>
      </c>
    </row>
    <row r="2054">
      <c r="A2054" s="157">
        <v>2053.0</v>
      </c>
      <c r="B2054" s="159" t="s">
        <v>5271</v>
      </c>
    </row>
    <row r="2055">
      <c r="A2055" s="157">
        <v>2054.0</v>
      </c>
      <c r="B2055" s="159" t="s">
        <v>5272</v>
      </c>
    </row>
    <row r="2056">
      <c r="A2056" s="157">
        <v>2055.0</v>
      </c>
      <c r="B2056" s="159" t="s">
        <v>5273</v>
      </c>
    </row>
    <row r="2057">
      <c r="A2057" s="157">
        <v>2056.0</v>
      </c>
      <c r="B2057" s="159" t="s">
        <v>5274</v>
      </c>
    </row>
    <row r="2058">
      <c r="A2058" s="157">
        <v>2057.0</v>
      </c>
      <c r="B2058" s="159" t="s">
        <v>5275</v>
      </c>
    </row>
    <row r="2059">
      <c r="A2059" s="157">
        <v>2058.0</v>
      </c>
      <c r="B2059" s="159" t="s">
        <v>5276</v>
      </c>
    </row>
    <row r="2060">
      <c r="A2060" s="157">
        <v>2059.0</v>
      </c>
      <c r="B2060" s="159" t="s">
        <v>5277</v>
      </c>
    </row>
    <row r="2061">
      <c r="A2061" s="157">
        <v>2060.0</v>
      </c>
      <c r="B2061" s="158" t="s">
        <v>5278</v>
      </c>
    </row>
    <row r="2062">
      <c r="A2062" s="157">
        <v>2061.0</v>
      </c>
      <c r="B2062" s="158" t="s">
        <v>5279</v>
      </c>
    </row>
    <row r="2063">
      <c r="A2063" s="157">
        <v>2062.0</v>
      </c>
      <c r="B2063" s="158" t="s">
        <v>5280</v>
      </c>
    </row>
    <row r="2064">
      <c r="A2064" s="157">
        <v>2063.0</v>
      </c>
      <c r="B2064" s="158" t="s">
        <v>5281</v>
      </c>
    </row>
    <row r="2065">
      <c r="A2065" s="157">
        <v>2064.0</v>
      </c>
      <c r="B2065" s="158" t="s">
        <v>5282</v>
      </c>
    </row>
    <row r="2066">
      <c r="A2066" s="157">
        <v>2065.0</v>
      </c>
      <c r="B2066" s="158" t="s">
        <v>5283</v>
      </c>
    </row>
    <row r="2067">
      <c r="A2067" s="157">
        <v>2066.0</v>
      </c>
      <c r="B2067" s="158" t="s">
        <v>5284</v>
      </c>
    </row>
    <row r="2068">
      <c r="A2068" s="157">
        <v>2067.0</v>
      </c>
      <c r="B2068" s="158" t="s">
        <v>5285</v>
      </c>
    </row>
    <row r="2069">
      <c r="A2069" s="157">
        <v>2068.0</v>
      </c>
      <c r="B2069" s="158" t="s">
        <v>5286</v>
      </c>
    </row>
    <row r="2070">
      <c r="A2070" s="157">
        <v>2069.0</v>
      </c>
      <c r="B2070" s="158" t="s">
        <v>5287</v>
      </c>
    </row>
    <row r="2071">
      <c r="A2071" s="157">
        <v>2070.0</v>
      </c>
      <c r="B2071" s="158" t="s">
        <v>5288</v>
      </c>
    </row>
    <row r="2072">
      <c r="A2072" s="157">
        <v>2071.0</v>
      </c>
      <c r="B2072" s="158" t="s">
        <v>5289</v>
      </c>
    </row>
    <row r="2073">
      <c r="A2073" s="157">
        <v>2072.0</v>
      </c>
      <c r="B2073" s="158" t="s">
        <v>5290</v>
      </c>
    </row>
    <row r="2074">
      <c r="A2074" s="157">
        <v>2073.0</v>
      </c>
      <c r="B2074" s="158" t="s">
        <v>5291</v>
      </c>
    </row>
    <row r="2075">
      <c r="A2075" s="157">
        <v>2074.0</v>
      </c>
      <c r="B2075" s="158" t="s">
        <v>5292</v>
      </c>
    </row>
    <row r="2076">
      <c r="A2076" s="157">
        <v>2075.0</v>
      </c>
      <c r="B2076" s="158" t="s">
        <v>5293</v>
      </c>
    </row>
    <row r="2077">
      <c r="A2077" s="157">
        <v>2076.0</v>
      </c>
      <c r="B2077" s="158" t="s">
        <v>5294</v>
      </c>
    </row>
    <row r="2078">
      <c r="A2078" s="157">
        <v>2077.0</v>
      </c>
      <c r="B2078" s="158" t="s">
        <v>5295</v>
      </c>
    </row>
    <row r="2079">
      <c r="A2079" s="157">
        <v>2078.0</v>
      </c>
      <c r="B2079" s="158" t="s">
        <v>5296</v>
      </c>
    </row>
    <row r="2080">
      <c r="A2080" s="157">
        <v>2079.0</v>
      </c>
      <c r="B2080" s="158" t="s">
        <v>5297</v>
      </c>
    </row>
    <row r="2081">
      <c r="A2081" s="157">
        <v>2080.0</v>
      </c>
      <c r="B2081" s="158" t="s">
        <v>5298</v>
      </c>
    </row>
    <row r="2082">
      <c r="A2082" s="157">
        <v>2081.0</v>
      </c>
      <c r="B2082" s="158" t="s">
        <v>5299</v>
      </c>
    </row>
    <row r="2083">
      <c r="A2083" s="157">
        <v>2082.0</v>
      </c>
      <c r="B2083" s="159" t="s">
        <v>5300</v>
      </c>
    </row>
    <row r="2084">
      <c r="A2084" s="157">
        <v>2083.0</v>
      </c>
      <c r="B2084" s="159" t="s">
        <v>5301</v>
      </c>
    </row>
    <row r="2085">
      <c r="A2085" s="157">
        <v>2084.0</v>
      </c>
      <c r="B2085" s="159" t="s">
        <v>5302</v>
      </c>
    </row>
    <row r="2086">
      <c r="A2086" s="157">
        <v>2085.0</v>
      </c>
      <c r="B2086" s="159" t="s">
        <v>5303</v>
      </c>
    </row>
    <row r="2087">
      <c r="A2087" s="157">
        <v>2086.0</v>
      </c>
      <c r="B2087" s="159" t="s">
        <v>5304</v>
      </c>
    </row>
    <row r="2088">
      <c r="A2088" s="157">
        <v>2087.0</v>
      </c>
      <c r="B2088" s="158" t="s">
        <v>5305</v>
      </c>
    </row>
    <row r="2089">
      <c r="A2089" s="157">
        <v>2088.0</v>
      </c>
      <c r="B2089" s="158" t="s">
        <v>5306</v>
      </c>
    </row>
    <row r="2090">
      <c r="A2090" s="157">
        <v>2089.0</v>
      </c>
      <c r="B2090" s="158" t="s">
        <v>5307</v>
      </c>
    </row>
    <row r="2091">
      <c r="A2091" s="157">
        <v>2090.0</v>
      </c>
      <c r="B2091" s="158" t="s">
        <v>5308</v>
      </c>
    </row>
    <row r="2092">
      <c r="A2092" s="157">
        <v>2091.0</v>
      </c>
      <c r="B2092" s="158" t="s">
        <v>5309</v>
      </c>
    </row>
    <row r="2093">
      <c r="A2093" s="157">
        <v>2092.0</v>
      </c>
      <c r="B2093" s="158" t="s">
        <v>5310</v>
      </c>
    </row>
    <row r="2094">
      <c r="A2094" s="157">
        <v>2093.0</v>
      </c>
      <c r="B2094" s="158" t="s">
        <v>5311</v>
      </c>
    </row>
    <row r="2095">
      <c r="A2095" s="157">
        <v>2094.0</v>
      </c>
      <c r="B2095" s="158" t="s">
        <v>5312</v>
      </c>
    </row>
    <row r="2096">
      <c r="A2096" s="157">
        <v>2095.0</v>
      </c>
      <c r="B2096" s="158" t="s">
        <v>5313</v>
      </c>
    </row>
    <row r="2097">
      <c r="A2097" s="157">
        <v>2096.0</v>
      </c>
      <c r="B2097" s="158" t="s">
        <v>5314</v>
      </c>
    </row>
    <row r="2098">
      <c r="A2098" s="157">
        <v>2097.0</v>
      </c>
      <c r="B2098" s="158" t="s">
        <v>5315</v>
      </c>
    </row>
    <row r="2099">
      <c r="A2099" s="157">
        <v>2098.0</v>
      </c>
      <c r="B2099" s="158" t="s">
        <v>5316</v>
      </c>
    </row>
    <row r="2100">
      <c r="A2100" s="157">
        <v>2099.0</v>
      </c>
      <c r="B2100" s="158" t="s">
        <v>5317</v>
      </c>
    </row>
    <row r="2101">
      <c r="A2101" s="157">
        <v>2100.0</v>
      </c>
      <c r="B2101" s="158" t="s">
        <v>5318</v>
      </c>
    </row>
    <row r="2102">
      <c r="A2102" s="157">
        <v>2101.0</v>
      </c>
      <c r="B2102" s="158" t="s">
        <v>5319</v>
      </c>
    </row>
    <row r="2103">
      <c r="A2103" s="157">
        <v>2102.0</v>
      </c>
      <c r="B2103" s="158" t="s">
        <v>5320</v>
      </c>
    </row>
    <row r="2104">
      <c r="A2104" s="157">
        <v>2103.0</v>
      </c>
      <c r="B2104" s="158" t="s">
        <v>5321</v>
      </c>
    </row>
    <row r="2105">
      <c r="A2105" s="157">
        <v>2104.0</v>
      </c>
      <c r="B2105" s="158" t="s">
        <v>5322</v>
      </c>
    </row>
    <row r="2106">
      <c r="A2106" s="157">
        <v>2105.0</v>
      </c>
      <c r="B2106" s="158" t="s">
        <v>5323</v>
      </c>
    </row>
    <row r="2107">
      <c r="A2107" s="157">
        <v>2106.0</v>
      </c>
      <c r="B2107" s="158" t="s">
        <v>5324</v>
      </c>
    </row>
    <row r="2108">
      <c r="A2108" s="157">
        <v>2107.0</v>
      </c>
      <c r="B2108" s="158" t="s">
        <v>5325</v>
      </c>
    </row>
    <row r="2109">
      <c r="A2109" s="157">
        <v>2108.0</v>
      </c>
      <c r="B2109" s="159" t="s">
        <v>5326</v>
      </c>
    </row>
    <row r="2110">
      <c r="A2110" s="157">
        <v>2109.0</v>
      </c>
      <c r="B2110" s="159" t="s">
        <v>5327</v>
      </c>
    </row>
    <row r="2111">
      <c r="A2111" s="157">
        <v>2110.0</v>
      </c>
      <c r="B2111" s="158" t="s">
        <v>5328</v>
      </c>
    </row>
    <row r="2112">
      <c r="A2112" s="157">
        <v>2111.0</v>
      </c>
      <c r="B2112" s="159" t="s">
        <v>5329</v>
      </c>
    </row>
    <row r="2113">
      <c r="A2113" s="157">
        <v>2112.0</v>
      </c>
      <c r="B2113" s="158" t="s">
        <v>5330</v>
      </c>
    </row>
    <row r="2114">
      <c r="A2114" s="157">
        <v>2113.0</v>
      </c>
      <c r="B2114" s="158" t="s">
        <v>5331</v>
      </c>
    </row>
    <row r="2115">
      <c r="A2115" s="157">
        <v>2114.0</v>
      </c>
      <c r="B2115" s="158" t="s">
        <v>5332</v>
      </c>
    </row>
    <row r="2116">
      <c r="A2116" s="157">
        <v>2115.0</v>
      </c>
      <c r="B2116" s="158" t="s">
        <v>5333</v>
      </c>
    </row>
    <row r="2117">
      <c r="A2117" s="157">
        <v>2116.0</v>
      </c>
      <c r="B2117" s="158" t="s">
        <v>5334</v>
      </c>
    </row>
    <row r="2118">
      <c r="A2118" s="157">
        <v>2117.0</v>
      </c>
      <c r="B2118" s="158" t="s">
        <v>5335</v>
      </c>
    </row>
    <row r="2119">
      <c r="A2119" s="157">
        <v>2118.0</v>
      </c>
      <c r="B2119" s="159" t="s">
        <v>5336</v>
      </c>
    </row>
    <row r="2120">
      <c r="A2120" s="157">
        <v>2119.0</v>
      </c>
      <c r="B2120" s="158" t="s">
        <v>5337</v>
      </c>
    </row>
    <row r="2121">
      <c r="A2121" s="157">
        <v>2120.0</v>
      </c>
      <c r="B2121" s="159" t="s">
        <v>5338</v>
      </c>
    </row>
    <row r="2122">
      <c r="A2122" s="157">
        <v>2121.0</v>
      </c>
      <c r="B2122" s="158" t="s">
        <v>5339</v>
      </c>
    </row>
    <row r="2123">
      <c r="A2123" s="157">
        <v>2122.0</v>
      </c>
      <c r="B2123" s="159" t="s">
        <v>5340</v>
      </c>
    </row>
    <row r="2124">
      <c r="A2124" s="157">
        <v>2123.0</v>
      </c>
      <c r="B2124" s="159" t="s">
        <v>5341</v>
      </c>
    </row>
    <row r="2125">
      <c r="A2125" s="157">
        <v>2124.0</v>
      </c>
      <c r="B2125" s="158" t="s">
        <v>5342</v>
      </c>
    </row>
    <row r="2126">
      <c r="A2126" s="157">
        <v>2125.0</v>
      </c>
      <c r="B2126" s="158" t="s">
        <v>5343</v>
      </c>
    </row>
    <row r="2127">
      <c r="A2127" s="157">
        <v>2126.0</v>
      </c>
      <c r="B2127" s="158" t="s">
        <v>5344</v>
      </c>
    </row>
    <row r="2128">
      <c r="A2128" s="157">
        <v>2127.0</v>
      </c>
      <c r="B2128" s="158" t="s">
        <v>5345</v>
      </c>
    </row>
    <row r="2129">
      <c r="A2129" s="157">
        <v>2128.0</v>
      </c>
      <c r="B2129" s="159" t="s">
        <v>5346</v>
      </c>
    </row>
    <row r="2130">
      <c r="A2130" s="157">
        <v>2129.0</v>
      </c>
      <c r="B2130" s="159" t="s">
        <v>5347</v>
      </c>
    </row>
    <row r="2131">
      <c r="A2131" s="157">
        <v>2130.0</v>
      </c>
      <c r="B2131" s="158" t="s">
        <v>5348</v>
      </c>
    </row>
    <row r="2132">
      <c r="A2132" s="157">
        <v>2131.0</v>
      </c>
      <c r="B2132" s="158" t="s">
        <v>5349</v>
      </c>
    </row>
    <row r="2133">
      <c r="A2133" s="157">
        <v>2132.0</v>
      </c>
      <c r="B2133" s="159" t="s">
        <v>5350</v>
      </c>
    </row>
    <row r="2134">
      <c r="A2134" s="157">
        <v>2133.0</v>
      </c>
      <c r="B2134" s="159" t="s">
        <v>5351</v>
      </c>
    </row>
    <row r="2135">
      <c r="A2135" s="157">
        <v>2134.0</v>
      </c>
      <c r="B2135" s="159" t="s">
        <v>5352</v>
      </c>
    </row>
    <row r="2136">
      <c r="A2136" s="157">
        <v>2135.0</v>
      </c>
      <c r="B2136" s="159" t="s">
        <v>5353</v>
      </c>
    </row>
    <row r="2137">
      <c r="A2137" s="157">
        <v>2136.0</v>
      </c>
      <c r="B2137" s="159" t="s">
        <v>5354</v>
      </c>
    </row>
    <row r="2138">
      <c r="A2138" s="157">
        <v>2137.0</v>
      </c>
      <c r="B2138" s="160" t="s">
        <v>5355</v>
      </c>
    </row>
    <row r="2139">
      <c r="A2139" s="157">
        <v>2138.0</v>
      </c>
      <c r="B2139" s="160" t="s">
        <v>5356</v>
      </c>
    </row>
    <row r="2140">
      <c r="A2140" s="157">
        <v>2139.0</v>
      </c>
      <c r="B2140" s="160" t="s">
        <v>5357</v>
      </c>
    </row>
    <row r="2141">
      <c r="A2141" s="157">
        <v>2140.0</v>
      </c>
      <c r="B2141" s="160" t="s">
        <v>5358</v>
      </c>
    </row>
    <row r="2142">
      <c r="A2142" s="157">
        <v>2141.0</v>
      </c>
      <c r="B2142" s="160" t="s">
        <v>5359</v>
      </c>
    </row>
    <row r="2143">
      <c r="A2143" s="157">
        <v>2142.0</v>
      </c>
      <c r="B2143" s="160" t="s">
        <v>5360</v>
      </c>
    </row>
    <row r="2144">
      <c r="A2144" s="157">
        <v>2143.0</v>
      </c>
      <c r="B2144" s="160" t="s">
        <v>5361</v>
      </c>
    </row>
    <row r="2145">
      <c r="A2145" s="157">
        <v>2144.0</v>
      </c>
      <c r="B2145" s="160" t="s">
        <v>5362</v>
      </c>
    </row>
    <row r="2146">
      <c r="A2146" s="157">
        <v>2145.0</v>
      </c>
      <c r="B2146" s="160" t="s">
        <v>5363</v>
      </c>
    </row>
    <row r="2147">
      <c r="A2147" s="157">
        <v>2146.0</v>
      </c>
      <c r="B2147" s="160" t="s">
        <v>5364</v>
      </c>
    </row>
    <row r="2148">
      <c r="A2148" s="157">
        <v>2147.0</v>
      </c>
      <c r="B2148" s="160" t="s">
        <v>5365</v>
      </c>
    </row>
    <row r="2149">
      <c r="A2149" s="157">
        <v>2148.0</v>
      </c>
      <c r="B2149" s="160" t="s">
        <v>5366</v>
      </c>
    </row>
    <row r="2150">
      <c r="A2150" s="157">
        <v>2149.0</v>
      </c>
      <c r="B2150" s="160" t="s">
        <v>5367</v>
      </c>
    </row>
    <row r="2151">
      <c r="A2151" s="157">
        <v>2150.0</v>
      </c>
      <c r="B2151" s="160" t="s">
        <v>5368</v>
      </c>
    </row>
    <row r="2152">
      <c r="A2152" s="157">
        <v>2151.0</v>
      </c>
      <c r="B2152" s="160" t="s">
        <v>5369</v>
      </c>
    </row>
    <row r="2153">
      <c r="A2153" s="157">
        <v>2152.0</v>
      </c>
      <c r="B2153" s="160" t="s">
        <v>5370</v>
      </c>
    </row>
    <row r="2154">
      <c r="A2154" s="157">
        <v>2153.0</v>
      </c>
      <c r="B2154" s="160" t="s">
        <v>5371</v>
      </c>
    </row>
    <row r="2155">
      <c r="A2155" s="157">
        <v>2154.0</v>
      </c>
      <c r="B2155" s="160" t="s">
        <v>5372</v>
      </c>
    </row>
    <row r="2156">
      <c r="A2156" s="157">
        <v>2155.0</v>
      </c>
      <c r="B2156" s="160" t="s">
        <v>5373</v>
      </c>
    </row>
    <row r="2157">
      <c r="A2157" s="157">
        <v>2156.0</v>
      </c>
      <c r="B2157" s="160" t="s">
        <v>5374</v>
      </c>
    </row>
    <row r="2158">
      <c r="A2158" s="157">
        <v>2157.0</v>
      </c>
      <c r="B2158" s="160" t="s">
        <v>5375</v>
      </c>
    </row>
    <row r="2159">
      <c r="A2159" s="157">
        <v>2158.0</v>
      </c>
      <c r="B2159" s="160" t="s">
        <v>5376</v>
      </c>
    </row>
    <row r="2160">
      <c r="A2160" s="157">
        <v>2159.0</v>
      </c>
      <c r="B2160" s="160" t="s">
        <v>5377</v>
      </c>
    </row>
    <row r="2161">
      <c r="A2161" s="157">
        <v>2160.0</v>
      </c>
      <c r="B2161" s="162" t="s">
        <v>5378</v>
      </c>
    </row>
    <row r="2162">
      <c r="A2162" s="157">
        <v>2161.0</v>
      </c>
      <c r="B2162" s="160" t="s">
        <v>5379</v>
      </c>
    </row>
    <row r="2163">
      <c r="A2163" s="157">
        <v>2162.0</v>
      </c>
      <c r="B2163" s="160" t="s">
        <v>5380</v>
      </c>
    </row>
    <row r="2164">
      <c r="A2164" s="157">
        <v>2163.0</v>
      </c>
      <c r="B2164" s="160" t="s">
        <v>5381</v>
      </c>
    </row>
    <row r="2165">
      <c r="A2165" s="157">
        <v>2164.0</v>
      </c>
      <c r="B2165" s="160" t="s">
        <v>5382</v>
      </c>
    </row>
    <row r="2166">
      <c r="A2166" s="157">
        <v>2165.0</v>
      </c>
      <c r="B2166" s="158" t="s">
        <v>5383</v>
      </c>
    </row>
    <row r="2167">
      <c r="A2167" s="157">
        <v>2166.0</v>
      </c>
      <c r="B2167" s="158" t="s">
        <v>5384</v>
      </c>
    </row>
    <row r="2168">
      <c r="A2168" s="157">
        <v>2167.0</v>
      </c>
      <c r="B2168" s="158" t="s">
        <v>5385</v>
      </c>
    </row>
    <row r="2169">
      <c r="A2169" s="157">
        <v>2168.0</v>
      </c>
      <c r="B2169" s="158" t="s">
        <v>5386</v>
      </c>
    </row>
    <row r="2170">
      <c r="A2170" s="157">
        <v>2169.0</v>
      </c>
      <c r="B2170" s="158" t="s">
        <v>5387</v>
      </c>
    </row>
    <row r="2171">
      <c r="A2171" s="157">
        <v>2170.0</v>
      </c>
      <c r="B2171" s="158" t="s">
        <v>5388</v>
      </c>
    </row>
    <row r="2172">
      <c r="A2172" s="157">
        <v>2171.0</v>
      </c>
      <c r="B2172" s="158" t="s">
        <v>5389</v>
      </c>
    </row>
    <row r="2173">
      <c r="A2173" s="157">
        <v>2172.0</v>
      </c>
      <c r="B2173" s="158" t="s">
        <v>5390</v>
      </c>
    </row>
    <row r="2174">
      <c r="A2174" s="157">
        <v>2173.0</v>
      </c>
      <c r="B2174" s="158" t="s">
        <v>5391</v>
      </c>
    </row>
    <row r="2175">
      <c r="A2175" s="157">
        <v>2174.0</v>
      </c>
      <c r="B2175" s="158" t="s">
        <v>5392</v>
      </c>
    </row>
    <row r="2176">
      <c r="A2176" s="157">
        <v>2175.0</v>
      </c>
      <c r="B2176" s="160" t="s">
        <v>5393</v>
      </c>
    </row>
    <row r="2177">
      <c r="A2177" s="157">
        <v>2176.0</v>
      </c>
      <c r="B2177" s="160" t="s">
        <v>5394</v>
      </c>
    </row>
    <row r="2178">
      <c r="A2178" s="157">
        <v>2177.0</v>
      </c>
      <c r="B2178" s="160" t="s">
        <v>5395</v>
      </c>
    </row>
    <row r="2179">
      <c r="A2179" s="157">
        <v>2178.0</v>
      </c>
      <c r="B2179" s="160" t="s">
        <v>5396</v>
      </c>
    </row>
    <row r="2180">
      <c r="A2180" s="157">
        <v>2179.0</v>
      </c>
      <c r="B2180" s="160" t="s">
        <v>5397</v>
      </c>
    </row>
    <row r="2181">
      <c r="A2181" s="157">
        <v>2180.0</v>
      </c>
      <c r="B2181" s="158" t="s">
        <v>5398</v>
      </c>
    </row>
    <row r="2182">
      <c r="A2182" s="157">
        <v>2181.0</v>
      </c>
      <c r="B2182" s="158" t="s">
        <v>5399</v>
      </c>
    </row>
    <row r="2183">
      <c r="A2183" s="157">
        <v>2182.0</v>
      </c>
      <c r="B2183" s="158" t="s">
        <v>5400</v>
      </c>
    </row>
    <row r="2184">
      <c r="A2184" s="157">
        <v>2183.0</v>
      </c>
      <c r="B2184" s="158" t="s">
        <v>5401</v>
      </c>
    </row>
    <row r="2185">
      <c r="A2185" s="157">
        <v>2184.0</v>
      </c>
      <c r="B2185" s="158" t="s">
        <v>5402</v>
      </c>
    </row>
    <row r="2186">
      <c r="A2186" s="157">
        <v>2185.0</v>
      </c>
      <c r="B2186" s="158" t="s">
        <v>5403</v>
      </c>
    </row>
    <row r="2187">
      <c r="A2187" s="157">
        <v>2186.0</v>
      </c>
      <c r="B2187" s="158" t="s">
        <v>5404</v>
      </c>
    </row>
    <row r="2188">
      <c r="A2188" s="157">
        <v>2187.0</v>
      </c>
      <c r="B2188" s="159" t="s">
        <v>5405</v>
      </c>
    </row>
    <row r="2189">
      <c r="A2189" s="157">
        <v>2188.0</v>
      </c>
      <c r="B2189" s="159" t="s">
        <v>5406</v>
      </c>
    </row>
    <row r="2190">
      <c r="A2190" s="157">
        <v>2189.0</v>
      </c>
      <c r="B2190" s="159" t="s">
        <v>5407</v>
      </c>
    </row>
    <row r="2191">
      <c r="A2191" s="157">
        <v>2190.0</v>
      </c>
      <c r="B2191" s="159" t="s">
        <v>5408</v>
      </c>
    </row>
    <row r="2192">
      <c r="A2192" s="157">
        <v>2191.0</v>
      </c>
      <c r="B2192" s="159" t="s">
        <v>5409</v>
      </c>
    </row>
    <row r="2193">
      <c r="A2193" s="157">
        <v>2192.0</v>
      </c>
      <c r="B2193" s="159" t="s">
        <v>5410</v>
      </c>
    </row>
    <row r="2194">
      <c r="A2194" s="157">
        <v>2193.0</v>
      </c>
      <c r="B2194" s="159" t="s">
        <v>5411</v>
      </c>
    </row>
    <row r="2195">
      <c r="A2195" s="157">
        <v>2194.0</v>
      </c>
      <c r="B2195" s="159" t="s">
        <v>5412</v>
      </c>
    </row>
    <row r="2196">
      <c r="A2196" s="157">
        <v>2195.0</v>
      </c>
      <c r="B2196" s="159" t="s">
        <v>5413</v>
      </c>
    </row>
    <row r="2197">
      <c r="A2197" s="157">
        <v>2196.0</v>
      </c>
      <c r="B2197" s="159" t="s">
        <v>5414</v>
      </c>
    </row>
    <row r="2198">
      <c r="A2198" s="157">
        <v>2197.0</v>
      </c>
      <c r="B2198" s="159" t="s">
        <v>5415</v>
      </c>
    </row>
    <row r="2199">
      <c r="A2199" s="157">
        <v>2198.0</v>
      </c>
      <c r="B2199" s="159" t="s">
        <v>5416</v>
      </c>
    </row>
    <row r="2200">
      <c r="A2200" s="157">
        <v>2199.0</v>
      </c>
      <c r="B2200" s="159" t="s">
        <v>5417</v>
      </c>
    </row>
    <row r="2201">
      <c r="A2201" s="157">
        <v>2200.0</v>
      </c>
      <c r="B2201" s="158" t="s">
        <v>5418</v>
      </c>
    </row>
    <row r="2202">
      <c r="A2202" s="157">
        <v>2201.0</v>
      </c>
      <c r="B2202" s="158" t="s">
        <v>5419</v>
      </c>
    </row>
    <row r="2203">
      <c r="A2203" s="157">
        <v>2202.0</v>
      </c>
      <c r="B2203" s="158" t="s">
        <v>5420</v>
      </c>
    </row>
    <row r="2204">
      <c r="A2204" s="157">
        <v>2203.0</v>
      </c>
      <c r="B2204" s="158" t="s">
        <v>5421</v>
      </c>
    </row>
    <row r="2205">
      <c r="A2205" s="157">
        <v>2204.0</v>
      </c>
      <c r="B2205" s="158" t="s">
        <v>5422</v>
      </c>
    </row>
    <row r="2206">
      <c r="A2206" s="157">
        <v>2205.0</v>
      </c>
      <c r="B2206" s="158" t="s">
        <v>5423</v>
      </c>
    </row>
    <row r="2207">
      <c r="A2207" s="157">
        <v>2206.0</v>
      </c>
      <c r="B2207" s="158" t="s">
        <v>5424</v>
      </c>
    </row>
    <row r="2208">
      <c r="A2208" s="157">
        <v>2207.0</v>
      </c>
      <c r="B2208" s="158" t="s">
        <v>5425</v>
      </c>
    </row>
    <row r="2209">
      <c r="A2209" s="157">
        <v>2208.0</v>
      </c>
      <c r="B2209" s="159" t="s">
        <v>5413</v>
      </c>
    </row>
    <row r="2210">
      <c r="A2210" s="157">
        <v>2209.0</v>
      </c>
      <c r="B2210" s="159" t="s">
        <v>5414</v>
      </c>
    </row>
    <row r="2211">
      <c r="A2211" s="157">
        <v>2210.0</v>
      </c>
      <c r="B2211" s="159" t="s">
        <v>5415</v>
      </c>
    </row>
    <row r="2212">
      <c r="A2212" s="157">
        <v>2211.0</v>
      </c>
      <c r="B2212" s="159" t="s">
        <v>5426</v>
      </c>
    </row>
    <row r="2213">
      <c r="A2213" s="157">
        <v>2212.0</v>
      </c>
      <c r="B2213" s="159" t="s">
        <v>5427</v>
      </c>
    </row>
    <row r="2214">
      <c r="A2214" s="157">
        <v>2213.0</v>
      </c>
      <c r="B2214" s="159" t="s">
        <v>5428</v>
      </c>
    </row>
    <row r="2215">
      <c r="A2215" s="157">
        <v>2214.0</v>
      </c>
      <c r="B2215" s="159" t="s">
        <v>5429</v>
      </c>
    </row>
    <row r="2216">
      <c r="A2216" s="157">
        <v>2215.0</v>
      </c>
      <c r="B2216" s="159" t="s">
        <v>5430</v>
      </c>
    </row>
    <row r="2217">
      <c r="A2217" s="157">
        <v>2216.0</v>
      </c>
      <c r="B2217" s="159" t="s">
        <v>5431</v>
      </c>
    </row>
    <row r="2218">
      <c r="A2218" s="157">
        <v>2217.0</v>
      </c>
      <c r="B2218" s="159" t="s">
        <v>5432</v>
      </c>
    </row>
    <row r="2219">
      <c r="A2219" s="157">
        <v>2218.0</v>
      </c>
      <c r="B2219" s="159" t="s">
        <v>5433</v>
      </c>
    </row>
    <row r="2220">
      <c r="A2220" s="157">
        <v>2219.0</v>
      </c>
      <c r="B2220" s="159" t="s">
        <v>5434</v>
      </c>
    </row>
    <row r="2221">
      <c r="A2221" s="157">
        <v>2220.0</v>
      </c>
      <c r="B2221" s="159" t="s">
        <v>5435</v>
      </c>
    </row>
    <row r="2222">
      <c r="A2222" s="157">
        <v>2221.0</v>
      </c>
      <c r="B2222" s="159" t="s">
        <v>5436</v>
      </c>
    </row>
    <row r="2223">
      <c r="A2223" s="157">
        <v>2222.0</v>
      </c>
      <c r="B2223" s="159" t="s">
        <v>5437</v>
      </c>
    </row>
    <row r="2224">
      <c r="A2224" s="157">
        <v>2223.0</v>
      </c>
      <c r="B2224" s="159" t="s">
        <v>5438</v>
      </c>
    </row>
    <row r="2225">
      <c r="A2225" s="157">
        <v>2224.0</v>
      </c>
      <c r="B2225" s="159" t="s">
        <v>5439</v>
      </c>
    </row>
    <row r="2226">
      <c r="A2226" s="157">
        <v>2225.0</v>
      </c>
      <c r="B2226" s="159" t="s">
        <v>5440</v>
      </c>
    </row>
    <row r="2227">
      <c r="A2227" s="157">
        <v>2226.0</v>
      </c>
      <c r="B2227" s="159" t="s">
        <v>5441</v>
      </c>
    </row>
    <row r="2228">
      <c r="A2228" s="157">
        <v>2227.0</v>
      </c>
      <c r="B2228" s="159" t="s">
        <v>5442</v>
      </c>
    </row>
    <row r="2229">
      <c r="A2229" s="157">
        <v>2228.0</v>
      </c>
      <c r="B2229" s="159" t="s">
        <v>5443</v>
      </c>
    </row>
    <row r="2230">
      <c r="A2230" s="157">
        <v>2229.0</v>
      </c>
      <c r="B2230" s="159" t="s">
        <v>5444</v>
      </c>
    </row>
    <row r="2231">
      <c r="A2231" s="157">
        <v>2230.0</v>
      </c>
      <c r="B2231" s="159" t="s">
        <v>5445</v>
      </c>
    </row>
    <row r="2232">
      <c r="A2232" s="157">
        <v>2231.0</v>
      </c>
      <c r="B2232" s="159" t="s">
        <v>5446</v>
      </c>
    </row>
    <row r="2233">
      <c r="A2233" s="157">
        <v>2232.0</v>
      </c>
      <c r="B2233" s="159" t="s">
        <v>5447</v>
      </c>
    </row>
    <row r="2234">
      <c r="A2234" s="157">
        <v>2233.0</v>
      </c>
      <c r="B2234" s="159" t="s">
        <v>5448</v>
      </c>
    </row>
    <row r="2235">
      <c r="A2235" s="157">
        <v>2234.0</v>
      </c>
      <c r="B2235" s="159" t="s">
        <v>5449</v>
      </c>
    </row>
    <row r="2236">
      <c r="A2236" s="157">
        <v>2235.0</v>
      </c>
      <c r="B2236" s="159" t="s">
        <v>5450</v>
      </c>
    </row>
    <row r="2237">
      <c r="A2237" s="157">
        <v>2236.0</v>
      </c>
      <c r="B2237" s="159" t="s">
        <v>5451</v>
      </c>
    </row>
    <row r="2238">
      <c r="A2238" s="157">
        <v>2237.0</v>
      </c>
      <c r="B2238" s="159" t="s">
        <v>5452</v>
      </c>
    </row>
    <row r="2239">
      <c r="A2239" s="157">
        <v>2238.0</v>
      </c>
      <c r="B2239" s="159" t="s">
        <v>5453</v>
      </c>
    </row>
    <row r="2240">
      <c r="A2240" s="157">
        <v>2239.0</v>
      </c>
      <c r="B2240" s="159" t="s">
        <v>5454</v>
      </c>
    </row>
    <row r="2241">
      <c r="A2241" s="157">
        <v>2240.0</v>
      </c>
      <c r="B2241" s="159" t="s">
        <v>5455</v>
      </c>
    </row>
    <row r="2242">
      <c r="A2242" s="157">
        <v>2241.0</v>
      </c>
      <c r="B2242" s="159" t="s">
        <v>5456</v>
      </c>
    </row>
    <row r="2243">
      <c r="A2243" s="157">
        <v>2242.0</v>
      </c>
      <c r="B2243" s="159" t="s">
        <v>5457</v>
      </c>
    </row>
    <row r="2244">
      <c r="A2244" s="157">
        <v>2243.0</v>
      </c>
      <c r="B2244" s="159" t="s">
        <v>5458</v>
      </c>
    </row>
    <row r="2245">
      <c r="A2245" s="157">
        <v>2244.0</v>
      </c>
      <c r="B2245" s="159" t="s">
        <v>5459</v>
      </c>
    </row>
    <row r="2246">
      <c r="A2246" s="157">
        <v>2245.0</v>
      </c>
      <c r="B2246" s="159" t="s">
        <v>5460</v>
      </c>
    </row>
    <row r="2247">
      <c r="A2247" s="157">
        <v>2246.0</v>
      </c>
      <c r="B2247" s="159" t="s">
        <v>5461</v>
      </c>
    </row>
    <row r="2248">
      <c r="A2248" s="157">
        <v>2247.0</v>
      </c>
      <c r="B2248" s="159" t="s">
        <v>5462</v>
      </c>
    </row>
    <row r="2249">
      <c r="A2249" s="157">
        <v>2248.0</v>
      </c>
      <c r="B2249" s="159" t="s">
        <v>5463</v>
      </c>
    </row>
    <row r="2250">
      <c r="A2250" s="157">
        <v>2249.0</v>
      </c>
      <c r="B2250" s="159" t="s">
        <v>5464</v>
      </c>
    </row>
    <row r="2251">
      <c r="A2251" s="157">
        <v>2250.0</v>
      </c>
      <c r="B2251" s="159" t="s">
        <v>5465</v>
      </c>
    </row>
    <row r="2252">
      <c r="A2252" s="157">
        <v>2251.0</v>
      </c>
      <c r="B2252" s="159" t="s">
        <v>5466</v>
      </c>
    </row>
    <row r="2253">
      <c r="A2253" s="157">
        <v>2252.0</v>
      </c>
      <c r="B2253" s="159" t="s">
        <v>5467</v>
      </c>
    </row>
    <row r="2254">
      <c r="A2254" s="157">
        <v>2253.0</v>
      </c>
      <c r="B2254" s="159" t="s">
        <v>5468</v>
      </c>
    </row>
    <row r="2255">
      <c r="A2255" s="157">
        <v>2254.0</v>
      </c>
      <c r="B2255" s="159" t="s">
        <v>5469</v>
      </c>
    </row>
    <row r="2256">
      <c r="A2256" s="157">
        <v>2255.0</v>
      </c>
      <c r="B2256" s="159" t="s">
        <v>5470</v>
      </c>
    </row>
    <row r="2257">
      <c r="A2257" s="157">
        <v>2256.0</v>
      </c>
      <c r="B2257" s="159" t="s">
        <v>5471</v>
      </c>
    </row>
    <row r="2258">
      <c r="A2258" s="157">
        <v>2257.0</v>
      </c>
      <c r="B2258" s="159" t="s">
        <v>5472</v>
      </c>
    </row>
    <row r="2259">
      <c r="A2259" s="157">
        <v>2258.0</v>
      </c>
      <c r="B2259" s="159" t="s">
        <v>5473</v>
      </c>
    </row>
    <row r="2260">
      <c r="A2260" s="157">
        <v>2259.0</v>
      </c>
      <c r="B2260" s="160" t="s">
        <v>5474</v>
      </c>
    </row>
    <row r="2261">
      <c r="A2261" s="157">
        <v>2260.0</v>
      </c>
      <c r="B2261" s="160" t="s">
        <v>5475</v>
      </c>
    </row>
    <row r="2262">
      <c r="A2262" s="157">
        <v>2261.0</v>
      </c>
      <c r="B2262" s="160" t="s">
        <v>5476</v>
      </c>
    </row>
    <row r="2263">
      <c r="A2263" s="157">
        <v>2262.0</v>
      </c>
      <c r="B2263" s="162" t="s">
        <v>5477</v>
      </c>
    </row>
    <row r="2264">
      <c r="A2264" s="157">
        <v>2263.0</v>
      </c>
      <c r="B2264" s="160" t="s">
        <v>5478</v>
      </c>
    </row>
    <row r="2265">
      <c r="A2265" s="157">
        <v>2264.0</v>
      </c>
      <c r="B2265" s="160" t="s">
        <v>5479</v>
      </c>
    </row>
    <row r="2266">
      <c r="A2266" s="157">
        <v>2265.0</v>
      </c>
      <c r="B2266" s="160" t="s">
        <v>5480</v>
      </c>
    </row>
    <row r="2267">
      <c r="A2267" s="157">
        <v>2266.0</v>
      </c>
      <c r="B2267" s="160" t="s">
        <v>5481</v>
      </c>
    </row>
    <row r="2268">
      <c r="A2268" s="157">
        <v>2267.0</v>
      </c>
      <c r="B2268" s="160" t="s">
        <v>5482</v>
      </c>
    </row>
    <row r="2269">
      <c r="A2269" s="157">
        <v>2268.0</v>
      </c>
      <c r="B2269" s="160" t="s">
        <v>5483</v>
      </c>
    </row>
    <row r="2270">
      <c r="A2270" s="157">
        <v>2269.0</v>
      </c>
      <c r="B2270" s="160" t="s">
        <v>5484</v>
      </c>
    </row>
    <row r="2271">
      <c r="A2271" s="157">
        <v>2270.0</v>
      </c>
      <c r="B2271" s="160" t="s">
        <v>5485</v>
      </c>
    </row>
    <row r="2272">
      <c r="A2272" s="157">
        <v>2271.0</v>
      </c>
      <c r="B2272" s="160" t="s">
        <v>5486</v>
      </c>
    </row>
    <row r="2273">
      <c r="A2273" s="157">
        <v>2272.0</v>
      </c>
      <c r="B2273" s="160" t="s">
        <v>5487</v>
      </c>
    </row>
    <row r="2274">
      <c r="A2274" s="157">
        <v>2273.0</v>
      </c>
      <c r="B2274" s="160" t="s">
        <v>5488</v>
      </c>
    </row>
    <row r="2275">
      <c r="A2275" s="157">
        <v>2274.0</v>
      </c>
      <c r="B2275" s="160" t="s">
        <v>5489</v>
      </c>
    </row>
    <row r="2276">
      <c r="A2276" s="157">
        <v>2275.0</v>
      </c>
      <c r="B2276" s="160" t="s">
        <v>5490</v>
      </c>
    </row>
    <row r="2277">
      <c r="A2277" s="157">
        <v>2276.0</v>
      </c>
      <c r="B2277" s="160" t="s">
        <v>5491</v>
      </c>
    </row>
    <row r="2278">
      <c r="A2278" s="157">
        <v>2277.0</v>
      </c>
      <c r="B2278" s="160" t="s">
        <v>5492</v>
      </c>
    </row>
    <row r="2279">
      <c r="A2279" s="157">
        <v>2278.0</v>
      </c>
      <c r="B2279" s="160" t="s">
        <v>5493</v>
      </c>
    </row>
    <row r="2280">
      <c r="A2280" s="157">
        <v>2279.0</v>
      </c>
      <c r="B2280" s="160" t="s">
        <v>5494</v>
      </c>
    </row>
    <row r="2281">
      <c r="A2281" s="157">
        <v>2280.0</v>
      </c>
      <c r="B2281" s="160" t="s">
        <v>5495</v>
      </c>
    </row>
    <row r="2282">
      <c r="A2282" s="157">
        <v>2281.0</v>
      </c>
      <c r="B2282" s="160" t="s">
        <v>5496</v>
      </c>
    </row>
    <row r="2283">
      <c r="A2283" s="157">
        <v>2282.0</v>
      </c>
      <c r="B2283" s="160" t="s">
        <v>5497</v>
      </c>
    </row>
    <row r="2284">
      <c r="A2284" s="157">
        <v>2283.0</v>
      </c>
      <c r="B2284" s="160" t="s">
        <v>5498</v>
      </c>
    </row>
    <row r="2285">
      <c r="A2285" s="157">
        <v>2284.0</v>
      </c>
      <c r="B2285" s="160" t="s">
        <v>5499</v>
      </c>
    </row>
    <row r="2286">
      <c r="A2286" s="157">
        <v>2285.0</v>
      </c>
      <c r="B2286" s="160" t="s">
        <v>5500</v>
      </c>
    </row>
    <row r="2287">
      <c r="A2287" s="157">
        <v>2286.0</v>
      </c>
      <c r="B2287" s="160" t="s">
        <v>5501</v>
      </c>
    </row>
    <row r="2288">
      <c r="A2288" s="157">
        <v>2287.0</v>
      </c>
      <c r="B2288" s="160" t="s">
        <v>5502</v>
      </c>
    </row>
    <row r="2289">
      <c r="A2289" s="157">
        <v>2288.0</v>
      </c>
      <c r="B2289" s="160" t="s">
        <v>5503</v>
      </c>
    </row>
    <row r="2290">
      <c r="A2290" s="157">
        <v>2289.0</v>
      </c>
      <c r="B2290" s="160" t="s">
        <v>5504</v>
      </c>
    </row>
    <row r="2291">
      <c r="A2291" s="157">
        <v>2290.0</v>
      </c>
      <c r="B2291" s="160" t="s">
        <v>5505</v>
      </c>
    </row>
    <row r="2292">
      <c r="A2292" s="157">
        <v>2291.0</v>
      </c>
      <c r="B2292" s="160" t="s">
        <v>5506</v>
      </c>
    </row>
    <row r="2293">
      <c r="A2293" s="157">
        <v>2292.0</v>
      </c>
      <c r="B2293" s="160" t="s">
        <v>5507</v>
      </c>
    </row>
    <row r="2294">
      <c r="A2294" s="157">
        <v>2293.0</v>
      </c>
      <c r="B2294" s="160" t="s">
        <v>5508</v>
      </c>
    </row>
    <row r="2295">
      <c r="A2295" s="157">
        <v>2294.0</v>
      </c>
      <c r="B2295" s="160" t="s">
        <v>5509</v>
      </c>
    </row>
    <row r="2296">
      <c r="A2296" s="157">
        <v>2295.0</v>
      </c>
      <c r="B2296" s="160" t="s">
        <v>5510</v>
      </c>
    </row>
    <row r="2297">
      <c r="A2297" s="157">
        <v>2296.0</v>
      </c>
      <c r="B2297" s="160" t="s">
        <v>5511</v>
      </c>
    </row>
    <row r="2298">
      <c r="A2298" s="157">
        <v>2297.0</v>
      </c>
      <c r="B2298" s="160" t="s">
        <v>5512</v>
      </c>
    </row>
    <row r="2299">
      <c r="A2299" s="157">
        <v>2298.0</v>
      </c>
      <c r="B2299" s="160" t="s">
        <v>5513</v>
      </c>
    </row>
    <row r="2300">
      <c r="A2300" s="157">
        <v>2299.0</v>
      </c>
      <c r="B2300" s="162" t="s">
        <v>5514</v>
      </c>
    </row>
    <row r="2301">
      <c r="A2301" s="157">
        <v>2300.0</v>
      </c>
      <c r="B2301" s="163" t="s">
        <v>5515</v>
      </c>
    </row>
    <row r="2302">
      <c r="A2302" s="157">
        <v>2301.0</v>
      </c>
      <c r="B2302" s="158" t="s">
        <v>5516</v>
      </c>
    </row>
    <row r="2303">
      <c r="A2303" s="157">
        <v>2302.0</v>
      </c>
      <c r="B2303" s="158" t="s">
        <v>5517</v>
      </c>
    </row>
    <row r="2304">
      <c r="A2304" s="157">
        <v>2303.0</v>
      </c>
      <c r="B2304" s="158" t="s">
        <v>5518</v>
      </c>
    </row>
    <row r="2305">
      <c r="A2305" s="157">
        <v>2304.0</v>
      </c>
      <c r="B2305" s="158" t="s">
        <v>5519</v>
      </c>
    </row>
    <row r="2306">
      <c r="A2306" s="157">
        <v>2305.0</v>
      </c>
      <c r="B2306" s="158" t="s">
        <v>5520</v>
      </c>
    </row>
    <row r="2307">
      <c r="A2307" s="157">
        <v>2306.0</v>
      </c>
      <c r="B2307" s="158" t="s">
        <v>5521</v>
      </c>
    </row>
    <row r="2308">
      <c r="A2308" s="157">
        <v>2307.0</v>
      </c>
      <c r="B2308" s="158" t="s">
        <v>5522</v>
      </c>
    </row>
    <row r="2309">
      <c r="A2309" s="157">
        <v>2308.0</v>
      </c>
      <c r="B2309" s="158" t="s">
        <v>5523</v>
      </c>
    </row>
    <row r="2310">
      <c r="A2310" s="157">
        <v>2309.0</v>
      </c>
      <c r="B2310" s="158" t="s">
        <v>5524</v>
      </c>
    </row>
    <row r="2311">
      <c r="A2311" s="157">
        <v>2310.0</v>
      </c>
      <c r="B2311" s="158" t="s">
        <v>5525</v>
      </c>
    </row>
    <row r="2312">
      <c r="A2312" s="157">
        <v>2311.0</v>
      </c>
      <c r="B2312" s="158" t="s">
        <v>5526</v>
      </c>
    </row>
    <row r="2313">
      <c r="A2313" s="157">
        <v>2312.0</v>
      </c>
      <c r="B2313" s="158" t="s">
        <v>5527</v>
      </c>
    </row>
    <row r="2314">
      <c r="A2314" s="157">
        <v>2313.0</v>
      </c>
      <c r="B2314" s="158" t="s">
        <v>5528</v>
      </c>
    </row>
    <row r="2315">
      <c r="A2315" s="157">
        <v>2314.0</v>
      </c>
      <c r="B2315" s="158" t="s">
        <v>5529</v>
      </c>
    </row>
    <row r="2316">
      <c r="A2316" s="157">
        <v>2315.0</v>
      </c>
      <c r="B2316" s="158" t="s">
        <v>5530</v>
      </c>
    </row>
    <row r="2317">
      <c r="A2317" s="157">
        <v>2316.0</v>
      </c>
      <c r="B2317" s="158" t="s">
        <v>5531</v>
      </c>
    </row>
    <row r="2318">
      <c r="A2318" s="157">
        <v>2317.0</v>
      </c>
      <c r="B2318" s="158" t="s">
        <v>5532</v>
      </c>
    </row>
    <row r="2319">
      <c r="A2319" s="157">
        <v>2318.0</v>
      </c>
      <c r="B2319" s="158" t="s">
        <v>5533</v>
      </c>
    </row>
    <row r="2320">
      <c r="A2320" s="157">
        <v>2319.0</v>
      </c>
      <c r="B2320" s="158" t="s">
        <v>5534</v>
      </c>
    </row>
    <row r="2321">
      <c r="A2321" s="157">
        <v>2320.0</v>
      </c>
      <c r="B2321" s="158" t="s">
        <v>5535</v>
      </c>
    </row>
    <row r="2322">
      <c r="A2322" s="157">
        <v>2321.0</v>
      </c>
      <c r="B2322" s="158" t="s">
        <v>5536</v>
      </c>
    </row>
    <row r="2323">
      <c r="A2323" s="157">
        <v>2322.0</v>
      </c>
      <c r="B2323" s="158" t="s">
        <v>5537</v>
      </c>
    </row>
    <row r="2324">
      <c r="A2324" s="157">
        <v>2323.0</v>
      </c>
      <c r="B2324" s="158" t="s">
        <v>5538</v>
      </c>
    </row>
    <row r="2325">
      <c r="A2325" s="157">
        <v>2324.0</v>
      </c>
      <c r="B2325" s="158" t="s">
        <v>5539</v>
      </c>
    </row>
    <row r="2326">
      <c r="A2326" s="157">
        <v>2325.0</v>
      </c>
      <c r="B2326" s="158" t="s">
        <v>5540</v>
      </c>
    </row>
    <row r="2327">
      <c r="A2327" s="157">
        <v>2326.0</v>
      </c>
      <c r="B2327" s="158" t="s">
        <v>5541</v>
      </c>
    </row>
    <row r="2328">
      <c r="A2328" s="157">
        <v>2327.0</v>
      </c>
      <c r="B2328" s="158" t="s">
        <v>5542</v>
      </c>
    </row>
    <row r="2329">
      <c r="A2329" s="157">
        <v>2328.0</v>
      </c>
      <c r="B2329" s="158" t="s">
        <v>5543</v>
      </c>
    </row>
    <row r="2330">
      <c r="A2330" s="157">
        <v>2329.0</v>
      </c>
      <c r="B2330" s="158" t="s">
        <v>5544</v>
      </c>
    </row>
    <row r="2331">
      <c r="A2331" s="157">
        <v>2330.0</v>
      </c>
      <c r="B2331" s="158" t="s">
        <v>5545</v>
      </c>
    </row>
    <row r="2332">
      <c r="A2332" s="157">
        <v>2331.0</v>
      </c>
      <c r="B2332" s="158" t="s">
        <v>5546</v>
      </c>
    </row>
    <row r="2333">
      <c r="A2333" s="157">
        <v>2332.0</v>
      </c>
      <c r="B2333" s="158" t="s">
        <v>5547</v>
      </c>
    </row>
    <row r="2334">
      <c r="A2334" s="157">
        <v>2333.0</v>
      </c>
      <c r="B2334" s="158" t="s">
        <v>5548</v>
      </c>
    </row>
    <row r="2335">
      <c r="A2335" s="157">
        <v>2334.0</v>
      </c>
      <c r="B2335" s="158" t="s">
        <v>5549</v>
      </c>
    </row>
    <row r="2336">
      <c r="A2336" s="157">
        <v>2335.0</v>
      </c>
      <c r="B2336" s="158" t="s">
        <v>5550</v>
      </c>
    </row>
    <row r="2337">
      <c r="A2337" s="157">
        <v>2336.0</v>
      </c>
      <c r="B2337" s="158" t="s">
        <v>5551</v>
      </c>
    </row>
    <row r="2338">
      <c r="A2338" s="157">
        <v>2337.0</v>
      </c>
      <c r="B2338" s="158" t="s">
        <v>5552</v>
      </c>
    </row>
    <row r="2339">
      <c r="A2339" s="157">
        <v>2338.0</v>
      </c>
      <c r="B2339" s="158" t="s">
        <v>5553</v>
      </c>
    </row>
    <row r="2340">
      <c r="A2340" s="157">
        <v>2339.0</v>
      </c>
      <c r="B2340" s="158" t="s">
        <v>5554</v>
      </c>
    </row>
    <row r="2341">
      <c r="A2341" s="157">
        <v>2340.0</v>
      </c>
      <c r="B2341" s="158" t="s">
        <v>5555</v>
      </c>
    </row>
    <row r="2342">
      <c r="A2342" s="157">
        <v>2341.0</v>
      </c>
      <c r="B2342" s="158" t="s">
        <v>5556</v>
      </c>
    </row>
    <row r="2343">
      <c r="A2343" s="157">
        <v>2342.0</v>
      </c>
      <c r="B2343" s="158" t="s">
        <v>5557</v>
      </c>
    </row>
    <row r="2344">
      <c r="A2344" s="157">
        <v>2343.0</v>
      </c>
      <c r="B2344" s="158" t="s">
        <v>5558</v>
      </c>
    </row>
    <row r="2345">
      <c r="A2345" s="157">
        <v>2344.0</v>
      </c>
      <c r="B2345" s="158" t="s">
        <v>5559</v>
      </c>
    </row>
    <row r="2346">
      <c r="A2346" s="157">
        <v>2345.0</v>
      </c>
      <c r="B2346" s="158" t="s">
        <v>5560</v>
      </c>
    </row>
    <row r="2347">
      <c r="A2347" s="157">
        <v>2346.0</v>
      </c>
      <c r="B2347" s="158" t="s">
        <v>5561</v>
      </c>
    </row>
    <row r="2348">
      <c r="A2348" s="157">
        <v>2347.0</v>
      </c>
      <c r="B2348" s="158" t="s">
        <v>5562</v>
      </c>
    </row>
    <row r="2349">
      <c r="A2349" s="157">
        <v>2348.0</v>
      </c>
      <c r="B2349" s="158" t="s">
        <v>5563</v>
      </c>
    </row>
    <row r="2350">
      <c r="A2350" s="157">
        <v>2349.0</v>
      </c>
      <c r="B2350" s="158" t="s">
        <v>5564</v>
      </c>
    </row>
    <row r="2351">
      <c r="A2351" s="157">
        <v>2350.0</v>
      </c>
      <c r="B2351" s="158" t="s">
        <v>5565</v>
      </c>
    </row>
    <row r="2352">
      <c r="A2352" s="157">
        <v>2351.0</v>
      </c>
      <c r="B2352" s="158" t="s">
        <v>5566</v>
      </c>
    </row>
    <row r="2353">
      <c r="A2353" s="157">
        <v>2352.0</v>
      </c>
      <c r="B2353" s="158" t="s">
        <v>5567</v>
      </c>
    </row>
    <row r="2354">
      <c r="A2354" s="157">
        <v>2353.0</v>
      </c>
      <c r="B2354" s="158" t="s">
        <v>5568</v>
      </c>
    </row>
    <row r="2355">
      <c r="A2355" s="157">
        <v>2354.0</v>
      </c>
      <c r="B2355" s="158" t="s">
        <v>5569</v>
      </c>
    </row>
    <row r="2356">
      <c r="A2356" s="157">
        <v>2355.0</v>
      </c>
      <c r="B2356" s="159" t="s">
        <v>5570</v>
      </c>
    </row>
    <row r="2357">
      <c r="A2357" s="157">
        <v>2356.0</v>
      </c>
      <c r="B2357" s="158" t="s">
        <v>5571</v>
      </c>
    </row>
    <row r="2358">
      <c r="A2358" s="157">
        <v>2357.0</v>
      </c>
      <c r="B2358" s="158" t="s">
        <v>5572</v>
      </c>
    </row>
    <row r="2359">
      <c r="A2359" s="157">
        <v>2358.0</v>
      </c>
      <c r="B2359" s="158" t="s">
        <v>5573</v>
      </c>
    </row>
    <row r="2360">
      <c r="A2360" s="157">
        <v>2359.0</v>
      </c>
      <c r="B2360" s="158" t="s">
        <v>5574</v>
      </c>
    </row>
    <row r="2361">
      <c r="A2361" s="157">
        <v>2360.0</v>
      </c>
      <c r="B2361" s="158" t="s">
        <v>5575</v>
      </c>
    </row>
    <row r="2362">
      <c r="A2362" s="157">
        <v>2361.0</v>
      </c>
      <c r="B2362" s="158" t="s">
        <v>5576</v>
      </c>
    </row>
    <row r="2363">
      <c r="A2363" s="157">
        <v>2362.0</v>
      </c>
      <c r="B2363" s="158" t="s">
        <v>5577</v>
      </c>
    </row>
    <row r="2364">
      <c r="A2364" s="157">
        <v>2363.0</v>
      </c>
      <c r="B2364" s="158" t="s">
        <v>5578</v>
      </c>
    </row>
    <row r="2365">
      <c r="A2365" s="157">
        <v>2364.0</v>
      </c>
      <c r="B2365" s="158" t="s">
        <v>5579</v>
      </c>
    </row>
    <row r="2366">
      <c r="A2366" s="157">
        <v>2365.0</v>
      </c>
      <c r="B2366" s="158" t="s">
        <v>5580</v>
      </c>
    </row>
    <row r="2367">
      <c r="A2367" s="157">
        <v>2366.0</v>
      </c>
      <c r="B2367" s="158" t="s">
        <v>5581</v>
      </c>
    </row>
    <row r="2368">
      <c r="A2368" s="157">
        <v>2367.0</v>
      </c>
      <c r="B2368" s="158" t="s">
        <v>5582</v>
      </c>
    </row>
    <row r="2369">
      <c r="A2369" s="157">
        <v>2368.0</v>
      </c>
      <c r="B2369" s="158" t="s">
        <v>5583</v>
      </c>
    </row>
    <row r="2370">
      <c r="A2370" s="157">
        <v>2369.0</v>
      </c>
      <c r="B2370" s="158" t="s">
        <v>5584</v>
      </c>
    </row>
    <row r="2371">
      <c r="A2371" s="157">
        <v>2370.0</v>
      </c>
      <c r="B2371" s="158" t="s">
        <v>5585</v>
      </c>
    </row>
    <row r="2372">
      <c r="A2372" s="157">
        <v>2371.0</v>
      </c>
      <c r="B2372" s="158" t="s">
        <v>5586</v>
      </c>
    </row>
    <row r="2373">
      <c r="A2373" s="157">
        <v>2372.0</v>
      </c>
      <c r="B2373" s="158" t="s">
        <v>5587</v>
      </c>
    </row>
    <row r="2374">
      <c r="A2374" s="157">
        <v>2373.0</v>
      </c>
      <c r="B2374" s="158" t="s">
        <v>5588</v>
      </c>
    </row>
    <row r="2375">
      <c r="A2375" s="157">
        <v>2374.0</v>
      </c>
      <c r="B2375" s="158" t="s">
        <v>5589</v>
      </c>
    </row>
    <row r="2376">
      <c r="A2376" s="157">
        <v>2375.0</v>
      </c>
      <c r="B2376" s="158" t="s">
        <v>5590</v>
      </c>
    </row>
    <row r="2377">
      <c r="A2377" s="157">
        <v>2376.0</v>
      </c>
      <c r="B2377" s="158" t="s">
        <v>5591</v>
      </c>
    </row>
    <row r="2378">
      <c r="A2378" s="157">
        <v>2377.0</v>
      </c>
      <c r="B2378" s="158" t="s">
        <v>5592</v>
      </c>
    </row>
    <row r="2379">
      <c r="A2379" s="157">
        <v>2378.0</v>
      </c>
      <c r="B2379" s="158" t="s">
        <v>5593</v>
      </c>
    </row>
    <row r="2380">
      <c r="A2380" s="157">
        <v>2379.0</v>
      </c>
      <c r="B2380" s="158" t="s">
        <v>5594</v>
      </c>
    </row>
    <row r="2381">
      <c r="A2381" s="157">
        <v>2380.0</v>
      </c>
      <c r="B2381" s="158" t="s">
        <v>5595</v>
      </c>
    </row>
    <row r="2382">
      <c r="A2382" s="157">
        <v>2381.0</v>
      </c>
      <c r="B2382" s="158" t="s">
        <v>5596</v>
      </c>
    </row>
    <row r="2383">
      <c r="A2383" s="157">
        <v>2382.0</v>
      </c>
      <c r="B2383" s="158" t="s">
        <v>5597</v>
      </c>
    </row>
    <row r="2384">
      <c r="A2384" s="157">
        <v>2383.0</v>
      </c>
      <c r="B2384" s="158" t="s">
        <v>5598</v>
      </c>
    </row>
    <row r="2385">
      <c r="A2385" s="157">
        <v>2384.0</v>
      </c>
      <c r="B2385" s="158" t="s">
        <v>5599</v>
      </c>
    </row>
    <row r="2386">
      <c r="A2386" s="157">
        <v>2385.0</v>
      </c>
      <c r="B2386" s="158" t="s">
        <v>5600</v>
      </c>
    </row>
    <row r="2387">
      <c r="A2387" s="157">
        <v>2386.0</v>
      </c>
      <c r="B2387" s="158" t="s">
        <v>5601</v>
      </c>
    </row>
    <row r="2388">
      <c r="A2388" s="157">
        <v>2387.0</v>
      </c>
      <c r="B2388" s="158" t="s">
        <v>5602</v>
      </c>
    </row>
    <row r="2389">
      <c r="A2389" s="157">
        <v>2388.0</v>
      </c>
      <c r="B2389" s="158" t="s">
        <v>5603</v>
      </c>
    </row>
    <row r="2390">
      <c r="A2390" s="157">
        <v>2389.0</v>
      </c>
      <c r="B2390" s="158" t="s">
        <v>5604</v>
      </c>
    </row>
    <row r="2391">
      <c r="A2391" s="157">
        <v>2390.0</v>
      </c>
      <c r="B2391" s="158" t="s">
        <v>5605</v>
      </c>
    </row>
    <row r="2392">
      <c r="A2392" s="157">
        <v>2391.0</v>
      </c>
      <c r="B2392" s="158" t="s">
        <v>5606</v>
      </c>
    </row>
    <row r="2393">
      <c r="A2393" s="157">
        <v>2392.0</v>
      </c>
      <c r="B2393" s="158" t="s">
        <v>5607</v>
      </c>
    </row>
    <row r="2394">
      <c r="A2394" s="157">
        <v>2393.0</v>
      </c>
      <c r="B2394" s="158" t="s">
        <v>5608</v>
      </c>
    </row>
    <row r="2395">
      <c r="A2395" s="157">
        <v>2394.0</v>
      </c>
      <c r="B2395" s="158" t="s">
        <v>5609</v>
      </c>
    </row>
    <row r="2396">
      <c r="A2396" s="157">
        <v>2395.0</v>
      </c>
      <c r="B2396" s="158" t="s">
        <v>5610</v>
      </c>
    </row>
    <row r="2397">
      <c r="A2397" s="157">
        <v>2396.0</v>
      </c>
      <c r="B2397" s="158" t="s">
        <v>5611</v>
      </c>
    </row>
    <row r="2398">
      <c r="A2398" s="157">
        <v>2397.0</v>
      </c>
      <c r="B2398" s="158" t="s">
        <v>5612</v>
      </c>
    </row>
    <row r="2399">
      <c r="A2399" s="157">
        <v>2398.0</v>
      </c>
      <c r="B2399" s="158" t="s">
        <v>5613</v>
      </c>
    </row>
    <row r="2400">
      <c r="A2400" s="157">
        <v>2399.0</v>
      </c>
      <c r="B2400" s="158" t="s">
        <v>5614</v>
      </c>
    </row>
    <row r="2401">
      <c r="A2401" s="157">
        <v>2400.0</v>
      </c>
      <c r="B2401" s="158" t="s">
        <v>5615</v>
      </c>
    </row>
    <row r="2402">
      <c r="A2402" s="157">
        <v>2401.0</v>
      </c>
      <c r="B2402" s="158" t="s">
        <v>5616</v>
      </c>
    </row>
    <row r="2403">
      <c r="A2403" s="157">
        <v>2402.0</v>
      </c>
      <c r="B2403" s="158" t="s">
        <v>5617</v>
      </c>
    </row>
    <row r="2404">
      <c r="A2404" s="157">
        <v>2403.0</v>
      </c>
      <c r="B2404" s="158" t="s">
        <v>5618</v>
      </c>
    </row>
    <row r="2405">
      <c r="A2405" s="157">
        <v>2404.0</v>
      </c>
      <c r="B2405" s="158" t="s">
        <v>5619</v>
      </c>
    </row>
    <row r="2406">
      <c r="A2406" s="157">
        <v>2405.0</v>
      </c>
      <c r="B2406" s="158" t="s">
        <v>5620</v>
      </c>
    </row>
    <row r="2407">
      <c r="A2407" s="157">
        <v>2406.0</v>
      </c>
      <c r="B2407" s="158" t="s">
        <v>5621</v>
      </c>
    </row>
    <row r="2408">
      <c r="A2408" s="157">
        <v>2407.0</v>
      </c>
      <c r="B2408" s="158" t="s">
        <v>5622</v>
      </c>
    </row>
    <row r="2409">
      <c r="A2409" s="157">
        <v>2408.0</v>
      </c>
      <c r="B2409" s="158" t="s">
        <v>5623</v>
      </c>
    </row>
    <row r="2410">
      <c r="A2410" s="157">
        <v>2409.0</v>
      </c>
      <c r="B2410" s="158" t="s">
        <v>5624</v>
      </c>
    </row>
    <row r="2411">
      <c r="A2411" s="157">
        <v>2410.0</v>
      </c>
      <c r="B2411" s="158" t="s">
        <v>5625</v>
      </c>
    </row>
    <row r="2412">
      <c r="A2412" s="157">
        <v>2411.0</v>
      </c>
      <c r="B2412" s="158" t="s">
        <v>5626</v>
      </c>
    </row>
    <row r="2413">
      <c r="A2413" s="157">
        <v>2412.0</v>
      </c>
      <c r="B2413" s="158" t="s">
        <v>5627</v>
      </c>
    </row>
    <row r="2414">
      <c r="A2414" s="157">
        <v>2413.0</v>
      </c>
      <c r="B2414" s="158" t="s">
        <v>5628</v>
      </c>
    </row>
    <row r="2415">
      <c r="A2415" s="157">
        <v>2414.0</v>
      </c>
      <c r="B2415" s="158" t="s">
        <v>5629</v>
      </c>
    </row>
    <row r="2416">
      <c r="A2416" s="157">
        <v>2415.0</v>
      </c>
      <c r="B2416" s="158" t="s">
        <v>5630</v>
      </c>
    </row>
    <row r="2417">
      <c r="A2417" s="157">
        <v>2416.0</v>
      </c>
      <c r="B2417" s="158" t="s">
        <v>5631</v>
      </c>
    </row>
    <row r="2418">
      <c r="A2418" s="157">
        <v>2417.0</v>
      </c>
      <c r="B2418" s="158" t="s">
        <v>5632</v>
      </c>
    </row>
    <row r="2419">
      <c r="A2419" s="157">
        <v>2418.0</v>
      </c>
      <c r="B2419" s="158" t="s">
        <v>5633</v>
      </c>
    </row>
    <row r="2420">
      <c r="A2420" s="157">
        <v>2419.0</v>
      </c>
      <c r="B2420" s="158" t="s">
        <v>5634</v>
      </c>
    </row>
    <row r="2421">
      <c r="A2421" s="157">
        <v>2420.0</v>
      </c>
      <c r="B2421" s="158" t="s">
        <v>5635</v>
      </c>
    </row>
    <row r="2422">
      <c r="A2422" s="157">
        <v>2421.0</v>
      </c>
      <c r="B2422" s="158" t="s">
        <v>5636</v>
      </c>
    </row>
    <row r="2423">
      <c r="A2423" s="157">
        <v>2422.0</v>
      </c>
      <c r="B2423" s="158" t="s">
        <v>5637</v>
      </c>
    </row>
    <row r="2424">
      <c r="A2424" s="157">
        <v>2423.0</v>
      </c>
      <c r="B2424" s="158" t="s">
        <v>5638</v>
      </c>
    </row>
    <row r="2425">
      <c r="A2425" s="157">
        <v>2424.0</v>
      </c>
      <c r="B2425" s="158" t="s">
        <v>5639</v>
      </c>
    </row>
    <row r="2426">
      <c r="A2426" s="157">
        <v>2425.0</v>
      </c>
      <c r="B2426" s="158" t="s">
        <v>5640</v>
      </c>
    </row>
    <row r="2427">
      <c r="A2427" s="157">
        <v>2426.0</v>
      </c>
      <c r="B2427" s="158" t="s">
        <v>5641</v>
      </c>
    </row>
    <row r="2428">
      <c r="A2428" s="157">
        <v>2427.0</v>
      </c>
      <c r="B2428" s="158" t="s">
        <v>5642</v>
      </c>
    </row>
    <row r="2429">
      <c r="A2429" s="157">
        <v>2428.0</v>
      </c>
      <c r="B2429" s="158" t="s">
        <v>5643</v>
      </c>
    </row>
    <row r="2430">
      <c r="A2430" s="157">
        <v>2429.0</v>
      </c>
      <c r="B2430" s="158" t="s">
        <v>5644</v>
      </c>
    </row>
    <row r="2431">
      <c r="A2431" s="157">
        <v>2430.0</v>
      </c>
      <c r="B2431" s="158" t="s">
        <v>5645</v>
      </c>
    </row>
    <row r="2432">
      <c r="A2432" s="157">
        <v>2431.0</v>
      </c>
      <c r="B2432" s="158" t="s">
        <v>5646</v>
      </c>
    </row>
    <row r="2433">
      <c r="A2433" s="157">
        <v>2432.0</v>
      </c>
      <c r="B2433" s="158" t="s">
        <v>5647</v>
      </c>
    </row>
    <row r="2434">
      <c r="A2434" s="157">
        <v>2433.0</v>
      </c>
      <c r="B2434" s="158" t="s">
        <v>5648</v>
      </c>
    </row>
    <row r="2435">
      <c r="A2435" s="157">
        <v>2434.0</v>
      </c>
      <c r="B2435" s="159" t="s">
        <v>5649</v>
      </c>
    </row>
    <row r="2436">
      <c r="A2436" s="157">
        <v>2435.0</v>
      </c>
      <c r="B2436" s="158" t="s">
        <v>5650</v>
      </c>
    </row>
    <row r="2437">
      <c r="A2437" s="157">
        <v>2436.0</v>
      </c>
      <c r="B2437" s="158" t="s">
        <v>5651</v>
      </c>
    </row>
    <row r="2438">
      <c r="A2438" s="157">
        <v>2437.0</v>
      </c>
      <c r="B2438" s="158" t="s">
        <v>5652</v>
      </c>
    </row>
    <row r="2439">
      <c r="A2439" s="157">
        <v>2438.0</v>
      </c>
      <c r="B2439" s="158" t="s">
        <v>5653</v>
      </c>
    </row>
    <row r="2440">
      <c r="A2440" s="157">
        <v>2439.0</v>
      </c>
      <c r="B2440" s="158" t="s">
        <v>5654</v>
      </c>
    </row>
    <row r="2441">
      <c r="A2441" s="157">
        <v>2440.0</v>
      </c>
      <c r="B2441" s="158" t="s">
        <v>5655</v>
      </c>
    </row>
    <row r="2442">
      <c r="A2442" s="157">
        <v>2441.0</v>
      </c>
      <c r="B2442" s="158" t="s">
        <v>5656</v>
      </c>
    </row>
    <row r="2443">
      <c r="A2443" s="157">
        <v>2442.0</v>
      </c>
      <c r="B2443" s="158" t="s">
        <v>5657</v>
      </c>
    </row>
    <row r="2444">
      <c r="A2444" s="157">
        <v>2443.0</v>
      </c>
      <c r="B2444" s="158" t="s">
        <v>5658</v>
      </c>
    </row>
    <row r="2445">
      <c r="A2445" s="157">
        <v>2444.0</v>
      </c>
      <c r="B2445" s="158" t="s">
        <v>5659</v>
      </c>
    </row>
    <row r="2446">
      <c r="A2446" s="157">
        <v>2445.0</v>
      </c>
      <c r="B2446" s="158" t="s">
        <v>5660</v>
      </c>
    </row>
    <row r="2447">
      <c r="A2447" s="157">
        <v>2446.0</v>
      </c>
      <c r="B2447" s="158" t="s">
        <v>5661</v>
      </c>
    </row>
    <row r="2448">
      <c r="A2448" s="157">
        <v>2447.0</v>
      </c>
      <c r="B2448" s="158" t="s">
        <v>5662</v>
      </c>
    </row>
    <row r="2449">
      <c r="A2449" s="157">
        <v>2448.0</v>
      </c>
      <c r="B2449" s="158" t="s">
        <v>5663</v>
      </c>
    </row>
    <row r="2450">
      <c r="A2450" s="157">
        <v>2449.0</v>
      </c>
      <c r="B2450" s="158" t="s">
        <v>5664</v>
      </c>
    </row>
    <row r="2451">
      <c r="A2451" s="157">
        <v>2450.0</v>
      </c>
      <c r="B2451" s="158" t="s">
        <v>5665</v>
      </c>
    </row>
    <row r="2452">
      <c r="A2452" s="157">
        <v>2451.0</v>
      </c>
      <c r="B2452" s="158" t="s">
        <v>5666</v>
      </c>
    </row>
    <row r="2453">
      <c r="A2453" s="157">
        <v>2452.0</v>
      </c>
      <c r="B2453" s="158" t="s">
        <v>5667</v>
      </c>
    </row>
    <row r="2454">
      <c r="A2454" s="157">
        <v>2453.0</v>
      </c>
      <c r="B2454" s="158" t="s">
        <v>5668</v>
      </c>
    </row>
    <row r="2455">
      <c r="A2455" s="157">
        <v>2454.0</v>
      </c>
      <c r="B2455" s="158" t="s">
        <v>5669</v>
      </c>
    </row>
    <row r="2456">
      <c r="A2456" s="157">
        <v>2455.0</v>
      </c>
      <c r="B2456" s="158" t="s">
        <v>5670</v>
      </c>
    </row>
    <row r="2457">
      <c r="A2457" s="157">
        <v>2456.0</v>
      </c>
      <c r="B2457" s="158" t="s">
        <v>5671</v>
      </c>
    </row>
    <row r="2458">
      <c r="A2458" s="157">
        <v>2457.0</v>
      </c>
      <c r="B2458" s="158" t="s">
        <v>5672</v>
      </c>
    </row>
    <row r="2459">
      <c r="A2459" s="157">
        <v>2458.0</v>
      </c>
      <c r="B2459" s="158" t="s">
        <v>5673</v>
      </c>
    </row>
    <row r="2460">
      <c r="A2460" s="157">
        <v>2459.0</v>
      </c>
      <c r="B2460" s="158" t="s">
        <v>5674</v>
      </c>
    </row>
    <row r="2461">
      <c r="A2461" s="157">
        <v>2460.0</v>
      </c>
      <c r="B2461" s="158" t="s">
        <v>5675</v>
      </c>
    </row>
    <row r="2462">
      <c r="A2462" s="157">
        <v>2461.0</v>
      </c>
      <c r="B2462" s="158" t="s">
        <v>5676</v>
      </c>
    </row>
    <row r="2463">
      <c r="A2463" s="157">
        <v>2462.0</v>
      </c>
      <c r="B2463" s="158" t="s">
        <v>5677</v>
      </c>
    </row>
    <row r="2464">
      <c r="A2464" s="157">
        <v>2463.0</v>
      </c>
      <c r="B2464" s="158" t="s">
        <v>5678</v>
      </c>
    </row>
    <row r="2465">
      <c r="A2465" s="157">
        <v>2464.0</v>
      </c>
      <c r="B2465" s="158" t="s">
        <v>5679</v>
      </c>
    </row>
    <row r="2466">
      <c r="A2466" s="157">
        <v>2465.0</v>
      </c>
      <c r="B2466" s="158" t="s">
        <v>5680</v>
      </c>
    </row>
    <row r="2467">
      <c r="A2467" s="157">
        <v>2466.0</v>
      </c>
      <c r="B2467" s="158" t="s">
        <v>5681</v>
      </c>
    </row>
    <row r="2468">
      <c r="A2468" s="157">
        <v>2467.0</v>
      </c>
      <c r="B2468" s="158" t="s">
        <v>5682</v>
      </c>
    </row>
    <row r="2469">
      <c r="A2469" s="157">
        <v>2468.0</v>
      </c>
      <c r="B2469" s="158" t="s">
        <v>5683</v>
      </c>
    </row>
    <row r="2470">
      <c r="A2470" s="157">
        <v>2469.0</v>
      </c>
      <c r="B2470" s="158" t="s">
        <v>5684</v>
      </c>
    </row>
    <row r="2471">
      <c r="A2471" s="157">
        <v>2470.0</v>
      </c>
      <c r="B2471" s="158" t="s">
        <v>5685</v>
      </c>
    </row>
    <row r="2472">
      <c r="A2472" s="157">
        <v>2471.0</v>
      </c>
      <c r="B2472" s="158" t="s">
        <v>5686</v>
      </c>
    </row>
    <row r="2473">
      <c r="A2473" s="157">
        <v>2472.0</v>
      </c>
      <c r="B2473" s="158" t="s">
        <v>5687</v>
      </c>
    </row>
    <row r="2474">
      <c r="A2474" s="157">
        <v>2473.0</v>
      </c>
      <c r="B2474" s="158" t="s">
        <v>5688</v>
      </c>
    </row>
    <row r="2475">
      <c r="A2475" s="157">
        <v>2474.0</v>
      </c>
      <c r="B2475" s="158" t="s">
        <v>5689</v>
      </c>
    </row>
    <row r="2476">
      <c r="A2476" s="157">
        <v>2475.0</v>
      </c>
      <c r="B2476" s="158" t="s">
        <v>5690</v>
      </c>
    </row>
    <row r="2477">
      <c r="A2477" s="157">
        <v>2476.0</v>
      </c>
      <c r="B2477" s="158" t="s">
        <v>5691</v>
      </c>
    </row>
    <row r="2478">
      <c r="A2478" s="157">
        <v>2477.0</v>
      </c>
      <c r="B2478" s="158" t="s">
        <v>5692</v>
      </c>
    </row>
    <row r="2479">
      <c r="A2479" s="157">
        <v>2478.0</v>
      </c>
      <c r="B2479" s="158" t="s">
        <v>5693</v>
      </c>
    </row>
    <row r="2480">
      <c r="A2480" s="157">
        <v>2479.0</v>
      </c>
      <c r="B2480" s="158" t="s">
        <v>5694</v>
      </c>
    </row>
    <row r="2481">
      <c r="A2481" s="157">
        <v>2480.0</v>
      </c>
      <c r="B2481" s="158" t="s">
        <v>5695</v>
      </c>
    </row>
    <row r="2482">
      <c r="A2482" s="157">
        <v>2481.0</v>
      </c>
      <c r="B2482" s="158" t="s">
        <v>5696</v>
      </c>
    </row>
    <row r="2483">
      <c r="A2483" s="157">
        <v>2482.0</v>
      </c>
      <c r="B2483" s="158" t="s">
        <v>5697</v>
      </c>
    </row>
    <row r="2484">
      <c r="A2484" s="157">
        <v>2483.0</v>
      </c>
      <c r="B2484" s="158" t="s">
        <v>5698</v>
      </c>
    </row>
    <row r="2485">
      <c r="A2485" s="157">
        <v>2484.0</v>
      </c>
      <c r="B2485" s="158" t="s">
        <v>5699</v>
      </c>
    </row>
    <row r="2486">
      <c r="A2486" s="157">
        <v>2485.0</v>
      </c>
      <c r="B2486" s="158" t="s">
        <v>5700</v>
      </c>
    </row>
    <row r="2487">
      <c r="A2487" s="157">
        <v>2486.0</v>
      </c>
      <c r="B2487" s="158" t="s">
        <v>5701</v>
      </c>
    </row>
    <row r="2488">
      <c r="A2488" s="157">
        <v>2487.0</v>
      </c>
      <c r="B2488" s="158" t="s">
        <v>5702</v>
      </c>
    </row>
    <row r="2489">
      <c r="A2489" s="157">
        <v>2488.0</v>
      </c>
      <c r="B2489" s="158" t="s">
        <v>5703</v>
      </c>
    </row>
    <row r="2490">
      <c r="A2490" s="157">
        <v>2489.0</v>
      </c>
      <c r="B2490" s="158" t="s">
        <v>5704</v>
      </c>
    </row>
    <row r="2491">
      <c r="A2491" s="157">
        <v>2490.0</v>
      </c>
      <c r="B2491" s="158" t="s">
        <v>5705</v>
      </c>
    </row>
    <row r="2492">
      <c r="A2492" s="157">
        <v>2491.0</v>
      </c>
      <c r="B2492" s="158" t="s">
        <v>5706</v>
      </c>
    </row>
    <row r="2493">
      <c r="A2493" s="157">
        <v>2492.0</v>
      </c>
      <c r="B2493" s="158" t="s">
        <v>5707</v>
      </c>
    </row>
    <row r="2494">
      <c r="A2494" s="157">
        <v>2493.0</v>
      </c>
      <c r="B2494" s="158" t="s">
        <v>5708</v>
      </c>
    </row>
    <row r="2495">
      <c r="A2495" s="157">
        <v>2494.0</v>
      </c>
      <c r="B2495" s="158" t="s">
        <v>5709</v>
      </c>
    </row>
    <row r="2496">
      <c r="A2496" s="157">
        <v>2495.0</v>
      </c>
      <c r="B2496" s="158" t="s">
        <v>5710</v>
      </c>
    </row>
    <row r="2497">
      <c r="A2497" s="157">
        <v>2496.0</v>
      </c>
      <c r="B2497" s="158" t="s">
        <v>5711</v>
      </c>
    </row>
    <row r="2498">
      <c r="A2498" s="157">
        <v>2497.0</v>
      </c>
      <c r="B2498" s="158" t="s">
        <v>5712</v>
      </c>
    </row>
    <row r="2499">
      <c r="A2499" s="157">
        <v>2498.0</v>
      </c>
      <c r="B2499" s="158" t="s">
        <v>5713</v>
      </c>
    </row>
    <row r="2500">
      <c r="A2500" s="157">
        <v>2499.0</v>
      </c>
      <c r="B2500" s="160" t="s">
        <v>5714</v>
      </c>
    </row>
    <row r="2501">
      <c r="A2501" s="157">
        <v>2500.0</v>
      </c>
      <c r="B2501" s="160" t="s">
        <v>5715</v>
      </c>
    </row>
    <row r="2502">
      <c r="A2502" s="157">
        <v>2501.0</v>
      </c>
      <c r="B2502" s="160" t="s">
        <v>5716</v>
      </c>
    </row>
    <row r="2503">
      <c r="A2503" s="157">
        <v>2502.0</v>
      </c>
      <c r="B2503" s="160" t="s">
        <v>5717</v>
      </c>
    </row>
    <row r="2504">
      <c r="A2504" s="157">
        <v>2503.0</v>
      </c>
      <c r="B2504" s="160" t="s">
        <v>5718</v>
      </c>
    </row>
    <row r="2505">
      <c r="A2505" s="157">
        <v>2504.0</v>
      </c>
      <c r="B2505" s="160" t="s">
        <v>5719</v>
      </c>
    </row>
    <row r="2506">
      <c r="A2506" s="157">
        <v>2505.0</v>
      </c>
      <c r="B2506" s="160" t="s">
        <v>5720</v>
      </c>
    </row>
    <row r="2507">
      <c r="A2507" s="157">
        <v>2506.0</v>
      </c>
      <c r="B2507" s="160" t="s">
        <v>5721</v>
      </c>
    </row>
    <row r="2508">
      <c r="A2508" s="157">
        <v>2507.0</v>
      </c>
      <c r="B2508" s="160" t="s">
        <v>5722</v>
      </c>
    </row>
    <row r="2509">
      <c r="A2509" s="157">
        <v>2508.0</v>
      </c>
      <c r="B2509" s="160" t="s">
        <v>5723</v>
      </c>
    </row>
    <row r="2510">
      <c r="A2510" s="157">
        <v>2509.0</v>
      </c>
      <c r="B2510" s="162" t="s">
        <v>5724</v>
      </c>
    </row>
    <row r="2511">
      <c r="A2511" s="157">
        <v>2510.0</v>
      </c>
      <c r="B2511" s="168" t="s">
        <v>5725</v>
      </c>
    </row>
    <row r="2512">
      <c r="A2512" s="157">
        <v>2511.0</v>
      </c>
      <c r="B2512" s="159" t="s">
        <v>5726</v>
      </c>
    </row>
    <row r="2513">
      <c r="A2513" s="157">
        <v>2512.0</v>
      </c>
      <c r="B2513" s="158" t="s">
        <v>5727</v>
      </c>
    </row>
    <row r="2514">
      <c r="A2514" s="157">
        <v>2513.0</v>
      </c>
      <c r="B2514" s="159" t="s">
        <v>5728</v>
      </c>
    </row>
    <row r="2515">
      <c r="A2515" s="157">
        <v>2514.0</v>
      </c>
      <c r="B2515" s="159" t="s">
        <v>5729</v>
      </c>
    </row>
    <row r="2516">
      <c r="A2516" s="157">
        <v>2515.0</v>
      </c>
      <c r="B2516" s="158" t="s">
        <v>5730</v>
      </c>
    </row>
    <row r="2517">
      <c r="A2517" s="157">
        <v>2516.0</v>
      </c>
      <c r="B2517" s="158" t="s">
        <v>5731</v>
      </c>
    </row>
    <row r="2518">
      <c r="A2518" s="157">
        <v>2517.0</v>
      </c>
      <c r="B2518" s="159" t="s">
        <v>5732</v>
      </c>
    </row>
    <row r="2519">
      <c r="A2519" s="157">
        <v>2518.0</v>
      </c>
      <c r="B2519" s="158" t="s">
        <v>5733</v>
      </c>
    </row>
    <row r="2520">
      <c r="A2520" s="157">
        <v>2519.0</v>
      </c>
      <c r="B2520" s="158" t="s">
        <v>5734</v>
      </c>
    </row>
    <row r="2521">
      <c r="A2521" s="157">
        <v>2520.0</v>
      </c>
      <c r="B2521" s="158" t="s">
        <v>5735</v>
      </c>
    </row>
    <row r="2522">
      <c r="A2522" s="157">
        <v>2521.0</v>
      </c>
      <c r="B2522" s="158" t="s">
        <v>5736</v>
      </c>
    </row>
    <row r="2523">
      <c r="A2523" s="157">
        <v>2522.0</v>
      </c>
      <c r="B2523" s="158" t="s">
        <v>5737</v>
      </c>
    </row>
    <row r="2524">
      <c r="A2524" s="157">
        <v>2523.0</v>
      </c>
      <c r="B2524" s="158" t="s">
        <v>5738</v>
      </c>
    </row>
    <row r="2525">
      <c r="A2525" s="157">
        <v>2524.0</v>
      </c>
      <c r="B2525" s="158" t="s">
        <v>5739</v>
      </c>
    </row>
    <row r="2526">
      <c r="A2526" s="157">
        <v>2525.0</v>
      </c>
      <c r="B2526" s="158" t="s">
        <v>5740</v>
      </c>
    </row>
    <row r="2527">
      <c r="A2527" s="157">
        <v>2526.0</v>
      </c>
      <c r="B2527" s="158" t="s">
        <v>5741</v>
      </c>
    </row>
    <row r="2528">
      <c r="A2528" s="157">
        <v>2527.0</v>
      </c>
      <c r="B2528" s="158" t="s">
        <v>5742</v>
      </c>
    </row>
    <row r="2529">
      <c r="A2529" s="157">
        <v>2528.0</v>
      </c>
      <c r="B2529" s="158" t="s">
        <v>5743</v>
      </c>
    </row>
    <row r="2530">
      <c r="A2530" s="157">
        <v>2529.0</v>
      </c>
      <c r="B2530" s="159" t="s">
        <v>5744</v>
      </c>
    </row>
    <row r="2531">
      <c r="A2531" s="157">
        <v>2530.0</v>
      </c>
      <c r="B2531" s="158" t="s">
        <v>5745</v>
      </c>
    </row>
    <row r="2532">
      <c r="A2532" s="157">
        <v>2531.0</v>
      </c>
      <c r="B2532" s="159" t="s">
        <v>5746</v>
      </c>
    </row>
    <row r="2533">
      <c r="A2533" s="157">
        <v>2532.0</v>
      </c>
      <c r="B2533" s="159" t="s">
        <v>5747</v>
      </c>
    </row>
    <row r="2534">
      <c r="A2534" s="157">
        <v>2533.0</v>
      </c>
      <c r="B2534" s="159" t="s">
        <v>5748</v>
      </c>
    </row>
    <row r="2535">
      <c r="A2535" s="157">
        <v>2534.0</v>
      </c>
      <c r="B2535" s="159" t="s">
        <v>5749</v>
      </c>
    </row>
    <row r="2536">
      <c r="A2536" s="157">
        <v>2535.0</v>
      </c>
      <c r="B2536" s="159" t="s">
        <v>5750</v>
      </c>
    </row>
    <row r="2537">
      <c r="A2537" s="157">
        <v>2536.0</v>
      </c>
      <c r="B2537" s="158" t="s">
        <v>5751</v>
      </c>
    </row>
    <row r="2538">
      <c r="A2538" s="157">
        <v>2537.0</v>
      </c>
      <c r="B2538" s="158" t="s">
        <v>5752</v>
      </c>
    </row>
    <row r="2539">
      <c r="A2539" s="157">
        <v>2538.0</v>
      </c>
      <c r="B2539" s="158" t="s">
        <v>5753</v>
      </c>
    </row>
    <row r="2540">
      <c r="A2540" s="157">
        <v>2539.0</v>
      </c>
      <c r="B2540" s="159" t="s">
        <v>5754</v>
      </c>
    </row>
    <row r="2541">
      <c r="A2541" s="157">
        <v>2540.0</v>
      </c>
      <c r="B2541" s="159" t="s">
        <v>5755</v>
      </c>
    </row>
    <row r="2542">
      <c r="A2542" s="157">
        <v>2541.0</v>
      </c>
      <c r="B2542" s="159" t="s">
        <v>5756</v>
      </c>
    </row>
    <row r="2543">
      <c r="A2543" s="157">
        <v>2542.0</v>
      </c>
      <c r="B2543" s="158" t="s">
        <v>5757</v>
      </c>
    </row>
    <row r="2544">
      <c r="A2544" s="157">
        <v>2543.0</v>
      </c>
      <c r="B2544" s="159" t="s">
        <v>5758</v>
      </c>
    </row>
    <row r="2545">
      <c r="A2545" s="157">
        <v>2544.0</v>
      </c>
      <c r="B2545" s="159" t="s">
        <v>5759</v>
      </c>
    </row>
    <row r="2546">
      <c r="A2546" s="157">
        <v>2545.0</v>
      </c>
      <c r="B2546" s="158" t="s">
        <v>5760</v>
      </c>
    </row>
    <row r="2547">
      <c r="A2547" s="157">
        <v>2546.0</v>
      </c>
      <c r="B2547" s="159" t="s">
        <v>5761</v>
      </c>
    </row>
    <row r="2548">
      <c r="A2548" s="157">
        <v>2547.0</v>
      </c>
      <c r="B2548" s="158" t="s">
        <v>5762</v>
      </c>
    </row>
    <row r="2549">
      <c r="A2549" s="157">
        <v>2548.0</v>
      </c>
      <c r="B2549" s="158" t="s">
        <v>5763</v>
      </c>
    </row>
    <row r="2550">
      <c r="A2550" s="157">
        <v>2549.0</v>
      </c>
      <c r="B2550" s="159" t="s">
        <v>5764</v>
      </c>
    </row>
    <row r="2551">
      <c r="A2551" s="157">
        <v>2550.0</v>
      </c>
      <c r="B2551" s="158" t="s">
        <v>5765</v>
      </c>
    </row>
    <row r="2552">
      <c r="A2552" s="157">
        <v>2551.0</v>
      </c>
      <c r="B2552" s="159" t="s">
        <v>5766</v>
      </c>
    </row>
    <row r="2553">
      <c r="A2553" s="157">
        <v>2552.0</v>
      </c>
      <c r="B2553" s="158" t="s">
        <v>5767</v>
      </c>
    </row>
    <row r="2554">
      <c r="A2554" s="157">
        <v>2553.0</v>
      </c>
      <c r="B2554" s="159" t="s">
        <v>5768</v>
      </c>
    </row>
    <row r="2555">
      <c r="A2555" s="157">
        <v>2554.0</v>
      </c>
      <c r="B2555" s="159" t="s">
        <v>5769</v>
      </c>
    </row>
    <row r="2556">
      <c r="A2556" s="157">
        <v>2555.0</v>
      </c>
      <c r="B2556" s="158" t="s">
        <v>5770</v>
      </c>
    </row>
    <row r="2557">
      <c r="A2557" s="157">
        <v>2556.0</v>
      </c>
      <c r="B2557" s="158" t="s">
        <v>5771</v>
      </c>
    </row>
    <row r="2558">
      <c r="A2558" s="157">
        <v>2557.0</v>
      </c>
      <c r="B2558" s="158" t="s">
        <v>5772</v>
      </c>
    </row>
    <row r="2559">
      <c r="A2559" s="157">
        <v>2558.0</v>
      </c>
      <c r="B2559" s="158" t="s">
        <v>5773</v>
      </c>
    </row>
    <row r="2560">
      <c r="A2560" s="157">
        <v>2559.0</v>
      </c>
      <c r="B2560" s="159" t="s">
        <v>5774</v>
      </c>
    </row>
    <row r="2561">
      <c r="A2561" s="157">
        <v>2560.0</v>
      </c>
      <c r="B2561" s="158" t="s">
        <v>5775</v>
      </c>
    </row>
    <row r="2562">
      <c r="A2562" s="157">
        <v>2561.0</v>
      </c>
      <c r="B2562" s="158" t="s">
        <v>5776</v>
      </c>
    </row>
    <row r="2563">
      <c r="A2563" s="157">
        <v>2562.0</v>
      </c>
      <c r="B2563" s="158" t="s">
        <v>5777</v>
      </c>
    </row>
    <row r="2564">
      <c r="A2564" s="157">
        <v>2563.0</v>
      </c>
      <c r="B2564" s="158" t="s">
        <v>5778</v>
      </c>
    </row>
    <row r="2565">
      <c r="A2565" s="157">
        <v>2564.0</v>
      </c>
      <c r="B2565" s="158" t="s">
        <v>5779</v>
      </c>
    </row>
    <row r="2566">
      <c r="A2566" s="157">
        <v>2565.0</v>
      </c>
      <c r="B2566" s="158" t="s">
        <v>5780</v>
      </c>
    </row>
    <row r="2567">
      <c r="A2567" s="157">
        <v>2566.0</v>
      </c>
      <c r="B2567" s="158" t="s">
        <v>5781</v>
      </c>
    </row>
    <row r="2568">
      <c r="A2568" s="157">
        <v>2567.0</v>
      </c>
      <c r="B2568" s="158" t="s">
        <v>5782</v>
      </c>
    </row>
    <row r="2569">
      <c r="A2569" s="157">
        <v>2568.0</v>
      </c>
      <c r="B2569" s="158" t="s">
        <v>5783</v>
      </c>
    </row>
    <row r="2570">
      <c r="A2570" s="157">
        <v>2569.0</v>
      </c>
      <c r="B2570" s="158" t="s">
        <v>5784</v>
      </c>
    </row>
    <row r="2571">
      <c r="A2571" s="157">
        <v>2570.0</v>
      </c>
      <c r="B2571" s="158" t="s">
        <v>5785</v>
      </c>
    </row>
    <row r="2572">
      <c r="A2572" s="157">
        <v>2571.0</v>
      </c>
      <c r="B2572" s="158" t="s">
        <v>5786</v>
      </c>
    </row>
    <row r="2573">
      <c r="A2573" s="157">
        <v>2572.0</v>
      </c>
      <c r="B2573" s="160" t="s">
        <v>5787</v>
      </c>
    </row>
    <row r="2574">
      <c r="A2574" s="157">
        <v>2573.0</v>
      </c>
      <c r="B2574" s="164" t="s">
        <v>5788</v>
      </c>
    </row>
    <row r="2575">
      <c r="A2575" s="157">
        <v>2574.0</v>
      </c>
      <c r="B2575" s="160" t="s">
        <v>5789</v>
      </c>
    </row>
    <row r="2576">
      <c r="A2576" s="157">
        <v>2575.0</v>
      </c>
      <c r="B2576" s="160" t="s">
        <v>5790</v>
      </c>
    </row>
    <row r="2577">
      <c r="A2577" s="157">
        <v>2576.0</v>
      </c>
      <c r="B2577" s="160" t="s">
        <v>5791</v>
      </c>
    </row>
    <row r="2578">
      <c r="A2578" s="157">
        <v>2577.0</v>
      </c>
      <c r="B2578" s="162" t="s">
        <v>5792</v>
      </c>
    </row>
    <row r="2579">
      <c r="A2579" s="157">
        <v>2578.0</v>
      </c>
      <c r="B2579" s="160" t="s">
        <v>5793</v>
      </c>
    </row>
    <row r="2580">
      <c r="A2580" s="157">
        <v>2579.0</v>
      </c>
      <c r="B2580" s="162" t="s">
        <v>5794</v>
      </c>
    </row>
    <row r="2581">
      <c r="A2581" s="157">
        <v>2580.0</v>
      </c>
      <c r="B2581" s="163" t="s">
        <v>5795</v>
      </c>
    </row>
    <row r="2582">
      <c r="A2582" s="157">
        <v>2581.0</v>
      </c>
      <c r="B2582" s="158" t="s">
        <v>5796</v>
      </c>
    </row>
    <row r="2583">
      <c r="A2583" s="157">
        <v>2582.0</v>
      </c>
      <c r="B2583" s="158" t="s">
        <v>5797</v>
      </c>
    </row>
    <row r="2584">
      <c r="A2584" s="157">
        <v>2583.0</v>
      </c>
      <c r="B2584" s="158" t="s">
        <v>5798</v>
      </c>
    </row>
    <row r="2585">
      <c r="A2585" s="157">
        <v>2584.0</v>
      </c>
      <c r="B2585" s="158" t="s">
        <v>5799</v>
      </c>
    </row>
    <row r="2586">
      <c r="A2586" s="157">
        <v>2585.0</v>
      </c>
      <c r="B2586" s="158" t="s">
        <v>5800</v>
      </c>
    </row>
    <row r="2587">
      <c r="A2587" s="157">
        <v>2586.0</v>
      </c>
      <c r="B2587" s="158" t="s">
        <v>5801</v>
      </c>
    </row>
    <row r="2588">
      <c r="A2588" s="157">
        <v>2587.0</v>
      </c>
      <c r="B2588" s="158" t="s">
        <v>5802</v>
      </c>
    </row>
    <row r="2589">
      <c r="A2589" s="157">
        <v>2588.0</v>
      </c>
      <c r="B2589" s="158" t="s">
        <v>5803</v>
      </c>
    </row>
    <row r="2590">
      <c r="A2590" s="157">
        <v>2589.0</v>
      </c>
      <c r="B2590" s="158" t="s">
        <v>5804</v>
      </c>
    </row>
    <row r="2591">
      <c r="A2591" s="157">
        <v>2590.0</v>
      </c>
      <c r="B2591" s="158" t="s">
        <v>5805</v>
      </c>
    </row>
    <row r="2592">
      <c r="A2592" s="157">
        <v>2591.0</v>
      </c>
      <c r="B2592" s="158" t="s">
        <v>5806</v>
      </c>
    </row>
    <row r="2593">
      <c r="A2593" s="157">
        <v>2592.0</v>
      </c>
      <c r="B2593" s="158" t="s">
        <v>5807</v>
      </c>
    </row>
    <row r="2594">
      <c r="A2594" s="157">
        <v>2593.0</v>
      </c>
      <c r="B2594" s="158" t="s">
        <v>5808</v>
      </c>
    </row>
    <row r="2595">
      <c r="A2595" s="157">
        <v>2594.0</v>
      </c>
      <c r="B2595" s="158" t="s">
        <v>5809</v>
      </c>
    </row>
    <row r="2596">
      <c r="A2596" s="157">
        <v>2595.0</v>
      </c>
      <c r="B2596" s="158" t="s">
        <v>5810</v>
      </c>
    </row>
    <row r="2597">
      <c r="A2597" s="157">
        <v>2596.0</v>
      </c>
      <c r="B2597" s="158" t="s">
        <v>5811</v>
      </c>
    </row>
    <row r="2598">
      <c r="A2598" s="157">
        <v>2597.0</v>
      </c>
      <c r="B2598" s="158" t="s">
        <v>5812</v>
      </c>
    </row>
    <row r="2599">
      <c r="A2599" s="157">
        <v>2598.0</v>
      </c>
      <c r="B2599" s="158" t="s">
        <v>5813</v>
      </c>
    </row>
    <row r="2600">
      <c r="A2600" s="157">
        <v>2599.0</v>
      </c>
      <c r="B2600" s="158" t="s">
        <v>5814</v>
      </c>
    </row>
    <row r="2601">
      <c r="A2601" s="157">
        <v>2600.0</v>
      </c>
      <c r="B2601" s="158" t="s">
        <v>5815</v>
      </c>
    </row>
    <row r="2602">
      <c r="A2602" s="157">
        <v>2601.0</v>
      </c>
      <c r="B2602" s="158" t="s">
        <v>5816</v>
      </c>
    </row>
    <row r="2603">
      <c r="A2603" s="157">
        <v>2602.0</v>
      </c>
      <c r="B2603" s="158" t="s">
        <v>5817</v>
      </c>
    </row>
    <row r="2604">
      <c r="A2604" s="157">
        <v>2603.0</v>
      </c>
      <c r="B2604" s="158" t="s">
        <v>5818</v>
      </c>
    </row>
    <row r="2605">
      <c r="A2605" s="157">
        <v>2604.0</v>
      </c>
      <c r="B2605" s="158" t="s">
        <v>5819</v>
      </c>
    </row>
    <row r="2606">
      <c r="A2606" s="157">
        <v>2605.0</v>
      </c>
      <c r="B2606" s="158" t="s">
        <v>5820</v>
      </c>
    </row>
    <row r="2607">
      <c r="A2607" s="157">
        <v>2606.0</v>
      </c>
      <c r="B2607" s="158" t="s">
        <v>5821</v>
      </c>
    </row>
    <row r="2608">
      <c r="A2608" s="157">
        <v>2607.0</v>
      </c>
      <c r="B2608" s="158" t="s">
        <v>5822</v>
      </c>
    </row>
    <row r="2609">
      <c r="A2609" s="157">
        <v>2608.0</v>
      </c>
      <c r="B2609" s="158" t="s">
        <v>5823</v>
      </c>
    </row>
    <row r="2610">
      <c r="A2610" s="157">
        <v>2609.0</v>
      </c>
      <c r="B2610" s="158" t="s">
        <v>5824</v>
      </c>
    </row>
    <row r="2611">
      <c r="A2611" s="157">
        <v>2610.0</v>
      </c>
      <c r="B2611" s="158" t="s">
        <v>5825</v>
      </c>
    </row>
    <row r="2612">
      <c r="A2612" s="157">
        <v>2611.0</v>
      </c>
      <c r="B2612" s="158" t="s">
        <v>5826</v>
      </c>
    </row>
    <row r="2613">
      <c r="A2613" s="157">
        <v>2612.0</v>
      </c>
      <c r="B2613" s="158" t="s">
        <v>5827</v>
      </c>
    </row>
    <row r="2614">
      <c r="A2614" s="157">
        <v>2613.0</v>
      </c>
      <c r="B2614" s="158" t="s">
        <v>5828</v>
      </c>
    </row>
    <row r="2615">
      <c r="A2615" s="157">
        <v>2614.0</v>
      </c>
      <c r="B2615" s="158" t="s">
        <v>5829</v>
      </c>
    </row>
    <row r="2616">
      <c r="A2616" s="157">
        <v>2615.0</v>
      </c>
      <c r="B2616" s="159" t="s">
        <v>5830</v>
      </c>
    </row>
    <row r="2617">
      <c r="A2617" s="157">
        <v>2616.0</v>
      </c>
      <c r="B2617" s="159" t="s">
        <v>5831</v>
      </c>
    </row>
    <row r="2618">
      <c r="A2618" s="157">
        <v>2617.0</v>
      </c>
      <c r="B2618" s="159" t="s">
        <v>5832</v>
      </c>
    </row>
    <row r="2619">
      <c r="A2619" s="157">
        <v>2618.0</v>
      </c>
      <c r="B2619" s="159" t="s">
        <v>5833</v>
      </c>
    </row>
    <row r="2620">
      <c r="A2620" s="157">
        <v>2619.0</v>
      </c>
      <c r="B2620" s="159" t="s">
        <v>5834</v>
      </c>
    </row>
    <row r="2621">
      <c r="A2621" s="157">
        <v>2620.0</v>
      </c>
      <c r="B2621" s="159" t="s">
        <v>5835</v>
      </c>
    </row>
    <row r="2622">
      <c r="A2622" s="157">
        <v>2621.0</v>
      </c>
      <c r="B2622" s="159" t="s">
        <v>5836</v>
      </c>
    </row>
    <row r="2623">
      <c r="A2623" s="157">
        <v>2622.0</v>
      </c>
      <c r="B2623" s="159" t="s">
        <v>5837</v>
      </c>
    </row>
    <row r="2624">
      <c r="A2624" s="157">
        <v>2623.0</v>
      </c>
      <c r="B2624" s="159" t="s">
        <v>5838</v>
      </c>
    </row>
    <row r="2625">
      <c r="A2625" s="157">
        <v>2624.0</v>
      </c>
      <c r="B2625" s="159" t="s">
        <v>5839</v>
      </c>
    </row>
    <row r="2626">
      <c r="A2626" s="157">
        <v>2625.0</v>
      </c>
      <c r="B2626" s="159" t="s">
        <v>5840</v>
      </c>
    </row>
    <row r="2627">
      <c r="A2627" s="157">
        <v>2626.0</v>
      </c>
      <c r="B2627" s="159" t="s">
        <v>5841</v>
      </c>
    </row>
    <row r="2628">
      <c r="A2628" s="157">
        <v>2627.0</v>
      </c>
      <c r="B2628" s="159" t="s">
        <v>5842</v>
      </c>
    </row>
    <row r="2629">
      <c r="A2629" s="157">
        <v>2628.0</v>
      </c>
      <c r="B2629" s="159" t="s">
        <v>5843</v>
      </c>
    </row>
    <row r="2630">
      <c r="A2630" s="157">
        <v>2629.0</v>
      </c>
      <c r="B2630" s="159" t="s">
        <v>5844</v>
      </c>
    </row>
    <row r="2631">
      <c r="A2631" s="157">
        <v>2630.0</v>
      </c>
      <c r="B2631" s="159" t="s">
        <v>5845</v>
      </c>
    </row>
    <row r="2632">
      <c r="A2632" s="157">
        <v>2631.0</v>
      </c>
      <c r="B2632" s="159" t="s">
        <v>5846</v>
      </c>
    </row>
    <row r="2633">
      <c r="A2633" s="157">
        <v>2632.0</v>
      </c>
      <c r="B2633" s="159" t="s">
        <v>5847</v>
      </c>
    </row>
    <row r="2634">
      <c r="A2634" s="157">
        <v>2633.0</v>
      </c>
      <c r="B2634" s="159" t="s">
        <v>5848</v>
      </c>
    </row>
    <row r="2635">
      <c r="A2635" s="157">
        <v>2634.0</v>
      </c>
      <c r="B2635" s="159" t="s">
        <v>5849</v>
      </c>
    </row>
    <row r="2636">
      <c r="A2636" s="157">
        <v>2635.0</v>
      </c>
      <c r="B2636" s="159" t="s">
        <v>5850</v>
      </c>
    </row>
    <row r="2637">
      <c r="A2637" s="157">
        <v>2636.0</v>
      </c>
      <c r="B2637" s="158" t="s">
        <v>5745</v>
      </c>
    </row>
    <row r="2638">
      <c r="A2638" s="157">
        <v>2637.0</v>
      </c>
      <c r="B2638" s="158" t="s">
        <v>5851</v>
      </c>
    </row>
    <row r="2639">
      <c r="A2639" s="157">
        <v>2638.0</v>
      </c>
      <c r="B2639" s="158" t="s">
        <v>5852</v>
      </c>
    </row>
    <row r="2640">
      <c r="A2640" s="157">
        <v>2639.0</v>
      </c>
      <c r="B2640" s="158" t="s">
        <v>5853</v>
      </c>
    </row>
    <row r="2641">
      <c r="A2641" s="157">
        <v>2640.0</v>
      </c>
      <c r="B2641" s="158" t="s">
        <v>5854</v>
      </c>
    </row>
    <row r="2642">
      <c r="A2642" s="157">
        <v>2641.0</v>
      </c>
      <c r="B2642" s="158" t="s">
        <v>5855</v>
      </c>
    </row>
    <row r="2643">
      <c r="A2643" s="157">
        <v>2642.0</v>
      </c>
      <c r="B2643" s="158" t="s">
        <v>5856</v>
      </c>
    </row>
    <row r="2644">
      <c r="A2644" s="157">
        <v>2643.0</v>
      </c>
      <c r="B2644" s="158" t="s">
        <v>5857</v>
      </c>
    </row>
    <row r="2645">
      <c r="A2645" s="157">
        <v>2644.0</v>
      </c>
      <c r="B2645" s="158" t="s">
        <v>5858</v>
      </c>
    </row>
    <row r="2646">
      <c r="A2646" s="157">
        <v>2645.0</v>
      </c>
      <c r="B2646" s="158" t="s">
        <v>5859</v>
      </c>
    </row>
    <row r="2647">
      <c r="A2647" s="157">
        <v>2646.0</v>
      </c>
      <c r="B2647" s="158" t="s">
        <v>5860</v>
      </c>
    </row>
    <row r="2648">
      <c r="A2648" s="157">
        <v>2647.0</v>
      </c>
      <c r="B2648" s="158" t="s">
        <v>5861</v>
      </c>
    </row>
    <row r="2649">
      <c r="A2649" s="157">
        <v>2648.0</v>
      </c>
      <c r="B2649" s="158" t="s">
        <v>5862</v>
      </c>
    </row>
    <row r="2650">
      <c r="A2650" s="157">
        <v>2649.0</v>
      </c>
      <c r="B2650" s="158" t="s">
        <v>5863</v>
      </c>
    </row>
    <row r="2651">
      <c r="A2651" s="157">
        <v>2650.0</v>
      </c>
      <c r="B2651" s="158" t="s">
        <v>5864</v>
      </c>
    </row>
    <row r="2652">
      <c r="A2652" s="157">
        <v>2651.0</v>
      </c>
      <c r="B2652" s="158" t="s">
        <v>5865</v>
      </c>
    </row>
    <row r="2653">
      <c r="A2653" s="157">
        <v>2652.0</v>
      </c>
      <c r="B2653" s="158" t="s">
        <v>5866</v>
      </c>
    </row>
    <row r="2654">
      <c r="A2654" s="157">
        <v>2653.0</v>
      </c>
      <c r="B2654" s="158" t="s">
        <v>5867</v>
      </c>
    </row>
    <row r="2655">
      <c r="A2655" s="157">
        <v>2654.0</v>
      </c>
      <c r="B2655" s="158" t="s">
        <v>5868</v>
      </c>
    </row>
    <row r="2656">
      <c r="A2656" s="157">
        <v>2655.0</v>
      </c>
      <c r="B2656" s="158" t="s">
        <v>5869</v>
      </c>
    </row>
    <row r="2657">
      <c r="A2657" s="157">
        <v>2656.0</v>
      </c>
      <c r="B2657" s="158" t="s">
        <v>5870</v>
      </c>
    </row>
    <row r="2658">
      <c r="A2658" s="157">
        <v>2657.0</v>
      </c>
      <c r="B2658" s="158" t="s">
        <v>5871</v>
      </c>
    </row>
    <row r="2659">
      <c r="A2659" s="157">
        <v>2658.0</v>
      </c>
      <c r="B2659" s="158" t="s">
        <v>5872</v>
      </c>
    </row>
    <row r="2660">
      <c r="A2660" s="157">
        <v>2659.0</v>
      </c>
      <c r="B2660" s="158" t="s">
        <v>5873</v>
      </c>
    </row>
    <row r="2661">
      <c r="A2661" s="157">
        <v>2660.0</v>
      </c>
      <c r="B2661" s="158" t="s">
        <v>5874</v>
      </c>
    </row>
    <row r="2662">
      <c r="A2662" s="157">
        <v>2661.0</v>
      </c>
      <c r="B2662" s="158" t="s">
        <v>5875</v>
      </c>
    </row>
    <row r="2663">
      <c r="A2663" s="157">
        <v>2662.0</v>
      </c>
      <c r="B2663" s="158" t="s">
        <v>5876</v>
      </c>
    </row>
    <row r="2664">
      <c r="A2664" s="157">
        <v>2663.0</v>
      </c>
      <c r="B2664" s="158" t="s">
        <v>5877</v>
      </c>
    </row>
    <row r="2665">
      <c r="A2665" s="157">
        <v>2664.0</v>
      </c>
      <c r="B2665" s="158" t="s">
        <v>5878</v>
      </c>
    </row>
    <row r="2666">
      <c r="A2666" s="157">
        <v>2665.0</v>
      </c>
      <c r="B2666" s="158" t="s">
        <v>5879</v>
      </c>
    </row>
    <row r="2667">
      <c r="A2667" s="157">
        <v>2666.0</v>
      </c>
      <c r="B2667" s="158" t="s">
        <v>5880</v>
      </c>
    </row>
    <row r="2668">
      <c r="A2668" s="157">
        <v>2667.0</v>
      </c>
      <c r="B2668" s="169" t="s">
        <v>5881</v>
      </c>
    </row>
    <row r="2669">
      <c r="A2669" s="157">
        <v>2668.0</v>
      </c>
      <c r="B2669" s="158" t="s">
        <v>5882</v>
      </c>
    </row>
    <row r="2670">
      <c r="A2670" s="157">
        <v>2669.0</v>
      </c>
      <c r="B2670" s="158" t="s">
        <v>5883</v>
      </c>
    </row>
    <row r="2671">
      <c r="A2671" s="157">
        <v>2670.0</v>
      </c>
      <c r="B2671" s="158" t="s">
        <v>5884</v>
      </c>
    </row>
    <row r="2672">
      <c r="A2672" s="157">
        <v>2671.0</v>
      </c>
      <c r="B2672" s="158" t="s">
        <v>5885</v>
      </c>
    </row>
    <row r="2673">
      <c r="A2673" s="157">
        <v>2672.0</v>
      </c>
      <c r="B2673" s="158" t="s">
        <v>5886</v>
      </c>
    </row>
    <row r="2674">
      <c r="A2674" s="157">
        <v>2673.0</v>
      </c>
      <c r="B2674" s="158" t="s">
        <v>5887</v>
      </c>
    </row>
    <row r="2675">
      <c r="A2675" s="157">
        <v>2674.0</v>
      </c>
      <c r="B2675" s="158" t="s">
        <v>5888</v>
      </c>
    </row>
    <row r="2676">
      <c r="A2676" s="157">
        <v>2675.0</v>
      </c>
      <c r="B2676" s="158" t="s">
        <v>5889</v>
      </c>
    </row>
    <row r="2677">
      <c r="A2677" s="157">
        <v>2676.0</v>
      </c>
      <c r="B2677" s="158" t="s">
        <v>5890</v>
      </c>
    </row>
    <row r="2678">
      <c r="A2678" s="157">
        <v>2677.0</v>
      </c>
      <c r="B2678" s="158" t="s">
        <v>5891</v>
      </c>
    </row>
    <row r="2679">
      <c r="A2679" s="157">
        <v>2678.0</v>
      </c>
      <c r="B2679" s="158" t="s">
        <v>5892</v>
      </c>
    </row>
    <row r="2680">
      <c r="A2680" s="157">
        <v>2679.0</v>
      </c>
      <c r="B2680" s="158" t="s">
        <v>5893</v>
      </c>
    </row>
    <row r="2681">
      <c r="A2681" s="157">
        <v>2680.0</v>
      </c>
      <c r="B2681" s="158" t="s">
        <v>5894</v>
      </c>
    </row>
    <row r="2682">
      <c r="A2682" s="157">
        <v>2681.0</v>
      </c>
      <c r="B2682" s="158" t="s">
        <v>5895</v>
      </c>
    </row>
    <row r="2683">
      <c r="A2683" s="157">
        <v>2682.0</v>
      </c>
      <c r="B2683" s="158" t="s">
        <v>5896</v>
      </c>
    </row>
    <row r="2684">
      <c r="A2684" s="157">
        <v>2683.0</v>
      </c>
      <c r="B2684" s="158" t="s">
        <v>5897</v>
      </c>
    </row>
    <row r="2685">
      <c r="A2685" s="157">
        <v>2684.0</v>
      </c>
      <c r="B2685" s="158" t="s">
        <v>5898</v>
      </c>
    </row>
    <row r="2686">
      <c r="A2686" s="157">
        <v>2685.0</v>
      </c>
      <c r="B2686" s="158" t="s">
        <v>5899</v>
      </c>
    </row>
    <row r="2687">
      <c r="A2687" s="157">
        <v>2686.0</v>
      </c>
      <c r="B2687" s="159" t="s">
        <v>5900</v>
      </c>
    </row>
    <row r="2688">
      <c r="A2688" s="157">
        <v>2687.0</v>
      </c>
      <c r="B2688" s="158" t="s">
        <v>5901</v>
      </c>
    </row>
    <row r="2689">
      <c r="A2689" s="157">
        <v>2688.0</v>
      </c>
      <c r="B2689" s="159" t="s">
        <v>5902</v>
      </c>
    </row>
    <row r="2690">
      <c r="A2690" s="157">
        <v>2689.0</v>
      </c>
      <c r="B2690" s="159" t="s">
        <v>5903</v>
      </c>
    </row>
    <row r="2691">
      <c r="A2691" s="157">
        <v>2690.0</v>
      </c>
      <c r="B2691" s="158" t="s">
        <v>5904</v>
      </c>
    </row>
    <row r="2692">
      <c r="A2692" s="157">
        <v>2691.0</v>
      </c>
      <c r="B2692" s="158" t="s">
        <v>5905</v>
      </c>
    </row>
    <row r="2693">
      <c r="A2693" s="157">
        <v>2692.0</v>
      </c>
      <c r="B2693" s="158" t="s">
        <v>5906</v>
      </c>
    </row>
    <row r="2694">
      <c r="A2694" s="157">
        <v>2693.0</v>
      </c>
      <c r="B2694" s="170" t="s">
        <v>5907</v>
      </c>
    </row>
    <row r="2695">
      <c r="A2695" s="157">
        <v>2694.0</v>
      </c>
      <c r="B2695" s="159" t="s">
        <v>5908</v>
      </c>
    </row>
    <row r="2696">
      <c r="A2696" s="157">
        <v>2695.0</v>
      </c>
      <c r="B2696" s="159" t="s">
        <v>5909</v>
      </c>
    </row>
    <row r="2697">
      <c r="A2697" s="157">
        <v>2696.0</v>
      </c>
      <c r="B2697" s="159" t="s">
        <v>5910</v>
      </c>
    </row>
    <row r="2698">
      <c r="A2698" s="157">
        <v>2697.0</v>
      </c>
      <c r="B2698" s="158" t="s">
        <v>5911</v>
      </c>
    </row>
    <row r="2699">
      <c r="A2699" s="157">
        <v>2698.0</v>
      </c>
      <c r="B2699" s="158" t="s">
        <v>5912</v>
      </c>
    </row>
    <row r="2700">
      <c r="A2700" s="157">
        <v>2699.0</v>
      </c>
      <c r="B2700" s="159" t="s">
        <v>5913</v>
      </c>
    </row>
    <row r="2701">
      <c r="A2701" s="157">
        <v>2700.0</v>
      </c>
      <c r="B2701" s="159" t="s">
        <v>5914</v>
      </c>
    </row>
    <row r="2702">
      <c r="A2702" s="157">
        <v>2701.0</v>
      </c>
      <c r="B2702" s="158" t="s">
        <v>5915</v>
      </c>
    </row>
    <row r="2703">
      <c r="A2703" s="157">
        <v>2702.0</v>
      </c>
      <c r="B2703" s="158" t="s">
        <v>5916</v>
      </c>
    </row>
    <row r="2704">
      <c r="A2704" s="157">
        <v>2703.0</v>
      </c>
      <c r="B2704" s="158" t="s">
        <v>5917</v>
      </c>
    </row>
    <row r="2705">
      <c r="A2705" s="157">
        <v>2704.0</v>
      </c>
      <c r="B2705" s="158" t="s">
        <v>5918</v>
      </c>
    </row>
    <row r="2706">
      <c r="A2706" s="157">
        <v>2705.0</v>
      </c>
      <c r="B2706" s="158" t="s">
        <v>5919</v>
      </c>
    </row>
    <row r="2707">
      <c r="A2707" s="157">
        <v>2706.0</v>
      </c>
      <c r="B2707" s="158" t="s">
        <v>5920</v>
      </c>
    </row>
    <row r="2708">
      <c r="A2708" s="157">
        <v>2707.0</v>
      </c>
      <c r="B2708" s="158" t="s">
        <v>5921</v>
      </c>
    </row>
    <row r="2709">
      <c r="A2709" s="157">
        <v>2708.0</v>
      </c>
      <c r="B2709" s="158" t="s">
        <v>5922</v>
      </c>
    </row>
    <row r="2710">
      <c r="A2710" s="157">
        <v>2709.0</v>
      </c>
      <c r="B2710" s="158" t="s">
        <v>5923</v>
      </c>
    </row>
    <row r="2711">
      <c r="A2711" s="157">
        <v>2710.0</v>
      </c>
      <c r="B2711" s="158" t="s">
        <v>5924</v>
      </c>
    </row>
    <row r="2712">
      <c r="A2712" s="157">
        <v>2711.0</v>
      </c>
      <c r="B2712" s="158" t="s">
        <v>5925</v>
      </c>
    </row>
    <row r="2713">
      <c r="A2713" s="157">
        <v>2712.0</v>
      </c>
      <c r="B2713" s="158" t="s">
        <v>5926</v>
      </c>
    </row>
    <row r="2714">
      <c r="A2714" s="157">
        <v>2713.0</v>
      </c>
      <c r="B2714" s="158" t="s">
        <v>5927</v>
      </c>
    </row>
    <row r="2715">
      <c r="A2715" s="157">
        <v>2714.0</v>
      </c>
      <c r="B2715" s="158" t="s">
        <v>5928</v>
      </c>
    </row>
    <row r="2716">
      <c r="A2716" s="157">
        <v>2715.0</v>
      </c>
      <c r="B2716" s="158" t="s">
        <v>5929</v>
      </c>
    </row>
    <row r="2717">
      <c r="A2717" s="157">
        <v>2716.0</v>
      </c>
      <c r="B2717" s="158" t="s">
        <v>5930</v>
      </c>
    </row>
    <row r="2718">
      <c r="A2718" s="157">
        <v>2717.0</v>
      </c>
      <c r="B2718" s="158" t="s">
        <v>5931</v>
      </c>
    </row>
    <row r="2719">
      <c r="A2719" s="157">
        <v>2718.0</v>
      </c>
      <c r="B2719" s="158" t="s">
        <v>5932</v>
      </c>
    </row>
    <row r="2720">
      <c r="A2720" s="157">
        <v>2719.0</v>
      </c>
      <c r="B2720" s="158" t="s">
        <v>5933</v>
      </c>
    </row>
    <row r="2721">
      <c r="A2721" s="157">
        <v>2720.0</v>
      </c>
      <c r="B2721" s="158" t="s">
        <v>5934</v>
      </c>
    </row>
    <row r="2722">
      <c r="A2722" s="157">
        <v>2721.0</v>
      </c>
      <c r="B2722" s="158" t="s">
        <v>5935</v>
      </c>
    </row>
    <row r="2723">
      <c r="A2723" s="157">
        <v>2722.0</v>
      </c>
      <c r="B2723" s="158" t="s">
        <v>5936</v>
      </c>
    </row>
    <row r="2724">
      <c r="A2724" s="157">
        <v>2723.0</v>
      </c>
      <c r="B2724" s="158" t="s">
        <v>5937</v>
      </c>
    </row>
    <row r="2725">
      <c r="A2725" s="157">
        <v>2724.0</v>
      </c>
      <c r="B2725" s="158" t="s">
        <v>5938</v>
      </c>
    </row>
    <row r="2726">
      <c r="A2726" s="157">
        <v>2725.0</v>
      </c>
      <c r="B2726" s="158" t="s">
        <v>5939</v>
      </c>
    </row>
    <row r="2727">
      <c r="A2727" s="157">
        <v>2726.0</v>
      </c>
      <c r="B2727" s="158" t="s">
        <v>5940</v>
      </c>
    </row>
    <row r="2728">
      <c r="A2728" s="157">
        <v>2727.0</v>
      </c>
      <c r="B2728" s="158" t="s">
        <v>5941</v>
      </c>
    </row>
    <row r="2729">
      <c r="A2729" s="157">
        <v>2728.0</v>
      </c>
      <c r="B2729" s="158" t="s">
        <v>5942</v>
      </c>
    </row>
    <row r="2730">
      <c r="A2730" s="157">
        <v>2729.0</v>
      </c>
      <c r="B2730" s="158" t="s">
        <v>5943</v>
      </c>
    </row>
    <row r="2731">
      <c r="A2731" s="157">
        <v>2730.0</v>
      </c>
      <c r="B2731" s="158" t="s">
        <v>5944</v>
      </c>
    </row>
    <row r="2732">
      <c r="A2732" s="157">
        <v>2731.0</v>
      </c>
      <c r="B2732" s="158" t="s">
        <v>5945</v>
      </c>
    </row>
    <row r="2733">
      <c r="A2733" s="157">
        <v>2732.0</v>
      </c>
      <c r="B2733" s="158" t="s">
        <v>5946</v>
      </c>
    </row>
    <row r="2734">
      <c r="A2734" s="157">
        <v>2733.0</v>
      </c>
      <c r="B2734" s="158" t="s">
        <v>5947</v>
      </c>
    </row>
    <row r="2735">
      <c r="A2735" s="157">
        <v>2734.0</v>
      </c>
      <c r="B2735" s="158" t="s">
        <v>5948</v>
      </c>
    </row>
    <row r="2736">
      <c r="A2736" s="157">
        <v>2735.0</v>
      </c>
      <c r="B2736" s="158" t="s">
        <v>5949</v>
      </c>
    </row>
    <row r="2737">
      <c r="A2737" s="157">
        <v>2736.0</v>
      </c>
      <c r="B2737" s="158" t="s">
        <v>5950</v>
      </c>
    </row>
    <row r="2738">
      <c r="A2738" s="157">
        <v>2737.0</v>
      </c>
      <c r="B2738" s="158" t="s">
        <v>5951</v>
      </c>
    </row>
    <row r="2739">
      <c r="A2739" s="157">
        <v>2738.0</v>
      </c>
      <c r="B2739" s="159" t="s">
        <v>5952</v>
      </c>
    </row>
    <row r="2740">
      <c r="A2740" s="157">
        <v>2739.0</v>
      </c>
      <c r="B2740" s="159" t="s">
        <v>5953</v>
      </c>
    </row>
    <row r="2741">
      <c r="A2741" s="157">
        <v>2740.0</v>
      </c>
      <c r="B2741" s="159" t="s">
        <v>5954</v>
      </c>
    </row>
    <row r="2742">
      <c r="A2742" s="157">
        <v>2741.0</v>
      </c>
      <c r="B2742" s="159" t="s">
        <v>5955</v>
      </c>
    </row>
    <row r="2743">
      <c r="A2743" s="157">
        <v>2742.0</v>
      </c>
      <c r="B2743" s="159" t="s">
        <v>5956</v>
      </c>
    </row>
    <row r="2744">
      <c r="A2744" s="157">
        <v>2743.0</v>
      </c>
      <c r="B2744" s="159" t="s">
        <v>5957</v>
      </c>
    </row>
    <row r="2745">
      <c r="A2745" s="157">
        <v>2744.0</v>
      </c>
      <c r="B2745" s="158" t="s">
        <v>5958</v>
      </c>
    </row>
    <row r="2746">
      <c r="A2746" s="157">
        <v>2745.0</v>
      </c>
      <c r="B2746" s="158" t="s">
        <v>5959</v>
      </c>
    </row>
    <row r="2747">
      <c r="A2747" s="157">
        <v>2746.0</v>
      </c>
      <c r="B2747" s="158" t="s">
        <v>5960</v>
      </c>
    </row>
    <row r="2748">
      <c r="A2748" s="157">
        <v>2747.0</v>
      </c>
      <c r="B2748" s="159" t="s">
        <v>5961</v>
      </c>
    </row>
    <row r="2749">
      <c r="A2749" s="157">
        <v>2748.0</v>
      </c>
      <c r="B2749" s="159" t="s">
        <v>5962</v>
      </c>
    </row>
    <row r="2750">
      <c r="A2750" s="157">
        <v>2749.0</v>
      </c>
      <c r="B2750" s="159" t="s">
        <v>5963</v>
      </c>
    </row>
    <row r="2751">
      <c r="A2751" s="157">
        <v>2750.0</v>
      </c>
      <c r="B2751" s="159" t="s">
        <v>5964</v>
      </c>
    </row>
    <row r="2752">
      <c r="A2752" s="157">
        <v>2751.0</v>
      </c>
      <c r="B2752" s="158" t="s">
        <v>5965</v>
      </c>
    </row>
    <row r="2753">
      <c r="A2753" s="157">
        <v>2752.0</v>
      </c>
      <c r="B2753" s="158" t="s">
        <v>5966</v>
      </c>
    </row>
    <row r="2754">
      <c r="A2754" s="157">
        <v>2753.0</v>
      </c>
      <c r="B2754" s="158" t="s">
        <v>5967</v>
      </c>
    </row>
    <row r="2755">
      <c r="A2755" s="157">
        <v>2754.0</v>
      </c>
      <c r="B2755" s="158" t="s">
        <v>5968</v>
      </c>
    </row>
    <row r="2756">
      <c r="A2756" s="157">
        <v>2755.0</v>
      </c>
      <c r="B2756" s="158" t="s">
        <v>5969</v>
      </c>
    </row>
    <row r="2757">
      <c r="A2757" s="157">
        <v>2756.0</v>
      </c>
      <c r="B2757" s="158" t="s">
        <v>5970</v>
      </c>
    </row>
    <row r="2758">
      <c r="A2758" s="157">
        <v>2757.0</v>
      </c>
      <c r="B2758" s="158" t="s">
        <v>5971</v>
      </c>
    </row>
    <row r="2759">
      <c r="A2759" s="157">
        <v>2758.0</v>
      </c>
      <c r="B2759" s="158" t="s">
        <v>5972</v>
      </c>
    </row>
    <row r="2760">
      <c r="A2760" s="157">
        <v>2759.0</v>
      </c>
      <c r="B2760" s="158" t="s">
        <v>5973</v>
      </c>
    </row>
    <row r="2761">
      <c r="A2761" s="157">
        <v>2760.0</v>
      </c>
      <c r="B2761" s="158" t="s">
        <v>5974</v>
      </c>
    </row>
    <row r="2762">
      <c r="A2762" s="157">
        <v>2761.0</v>
      </c>
      <c r="B2762" s="158" t="s">
        <v>5975</v>
      </c>
    </row>
    <row r="2763">
      <c r="A2763" s="157">
        <v>2762.0</v>
      </c>
      <c r="B2763" s="158" t="s">
        <v>5976</v>
      </c>
    </row>
    <row r="2764">
      <c r="A2764" s="157">
        <v>2763.0</v>
      </c>
      <c r="B2764" s="158" t="s">
        <v>5977</v>
      </c>
    </row>
    <row r="2765">
      <c r="A2765" s="157">
        <v>2764.0</v>
      </c>
      <c r="B2765" s="158" t="s">
        <v>5978</v>
      </c>
    </row>
    <row r="2766">
      <c r="A2766" s="157">
        <v>2765.0</v>
      </c>
      <c r="B2766" s="158" t="s">
        <v>5979</v>
      </c>
    </row>
    <row r="2767">
      <c r="A2767" s="157">
        <v>2766.0</v>
      </c>
      <c r="B2767" s="158" t="s">
        <v>5980</v>
      </c>
    </row>
    <row r="2768">
      <c r="A2768" s="157">
        <v>2767.0</v>
      </c>
      <c r="B2768" s="158" t="s">
        <v>5981</v>
      </c>
    </row>
    <row r="2769">
      <c r="A2769" s="157">
        <v>2768.0</v>
      </c>
      <c r="B2769" s="158" t="s">
        <v>5982</v>
      </c>
    </row>
    <row r="2770">
      <c r="A2770" s="157">
        <v>2769.0</v>
      </c>
      <c r="B2770" s="158" t="s">
        <v>5983</v>
      </c>
    </row>
    <row r="2771">
      <c r="A2771" s="157">
        <v>2770.0</v>
      </c>
      <c r="B2771" s="158" t="s">
        <v>5984</v>
      </c>
    </row>
    <row r="2772">
      <c r="A2772" s="157">
        <v>2771.0</v>
      </c>
      <c r="B2772" s="158" t="s">
        <v>5985</v>
      </c>
    </row>
    <row r="2773">
      <c r="A2773" s="157">
        <v>2772.0</v>
      </c>
      <c r="B2773" s="158" t="s">
        <v>5986</v>
      </c>
    </row>
    <row r="2774">
      <c r="A2774" s="157">
        <v>2773.0</v>
      </c>
      <c r="B2774" s="158" t="s">
        <v>5987</v>
      </c>
    </row>
    <row r="2775">
      <c r="A2775" s="157">
        <v>2774.0</v>
      </c>
      <c r="B2775" s="158" t="s">
        <v>5988</v>
      </c>
    </row>
    <row r="2776">
      <c r="A2776" s="157">
        <v>2775.0</v>
      </c>
      <c r="B2776" s="158" t="s">
        <v>5989</v>
      </c>
    </row>
    <row r="2777">
      <c r="A2777" s="157">
        <v>2776.0</v>
      </c>
      <c r="B2777" s="158" t="s">
        <v>5990</v>
      </c>
    </row>
    <row r="2778">
      <c r="A2778" s="157">
        <v>2777.0</v>
      </c>
      <c r="B2778" s="158" t="s">
        <v>5991</v>
      </c>
    </row>
    <row r="2779">
      <c r="A2779" s="157">
        <v>2778.0</v>
      </c>
      <c r="B2779" s="158" t="s">
        <v>5992</v>
      </c>
    </row>
    <row r="2780">
      <c r="A2780" s="157">
        <v>2779.0</v>
      </c>
      <c r="B2780" s="158" t="s">
        <v>5993</v>
      </c>
    </row>
    <row r="2781">
      <c r="A2781" s="157">
        <v>2780.0</v>
      </c>
      <c r="B2781" s="158" t="s">
        <v>5994</v>
      </c>
    </row>
    <row r="2782">
      <c r="A2782" s="157">
        <v>2781.0</v>
      </c>
      <c r="B2782" s="158" t="s">
        <v>5995</v>
      </c>
    </row>
    <row r="2783">
      <c r="A2783" s="157">
        <v>2782.0</v>
      </c>
      <c r="B2783" s="158" t="s">
        <v>5996</v>
      </c>
    </row>
    <row r="2784">
      <c r="A2784" s="157">
        <v>2783.0</v>
      </c>
      <c r="B2784" s="158" t="s">
        <v>5997</v>
      </c>
    </row>
    <row r="2785">
      <c r="A2785" s="157">
        <v>2784.0</v>
      </c>
      <c r="B2785" s="158" t="s">
        <v>5998</v>
      </c>
    </row>
    <row r="2786">
      <c r="A2786" s="157">
        <v>2785.0</v>
      </c>
      <c r="B2786" s="158" t="s">
        <v>5999</v>
      </c>
    </row>
    <row r="2787">
      <c r="A2787" s="157">
        <v>2786.0</v>
      </c>
      <c r="B2787" s="158" t="s">
        <v>6000</v>
      </c>
    </row>
    <row r="2788">
      <c r="A2788" s="157">
        <v>2787.0</v>
      </c>
      <c r="B2788" s="158" t="s">
        <v>6001</v>
      </c>
    </row>
    <row r="2789">
      <c r="A2789" s="157">
        <v>2788.0</v>
      </c>
      <c r="B2789" s="158" t="s">
        <v>6002</v>
      </c>
    </row>
    <row r="2790">
      <c r="A2790" s="157">
        <v>2789.0</v>
      </c>
      <c r="B2790" s="158" t="s">
        <v>6003</v>
      </c>
    </row>
    <row r="2791">
      <c r="A2791" s="157">
        <v>2790.0</v>
      </c>
      <c r="B2791" s="158" t="s">
        <v>6004</v>
      </c>
    </row>
    <row r="2792">
      <c r="A2792" s="157">
        <v>2791.0</v>
      </c>
      <c r="B2792" s="158" t="s">
        <v>6005</v>
      </c>
    </row>
    <row r="2793">
      <c r="A2793" s="157">
        <v>2792.0</v>
      </c>
      <c r="B2793" s="158" t="s">
        <v>6006</v>
      </c>
    </row>
    <row r="2794">
      <c r="A2794" s="157">
        <v>2793.0</v>
      </c>
      <c r="B2794" s="158" t="s">
        <v>6007</v>
      </c>
    </row>
    <row r="2795">
      <c r="A2795" s="157">
        <v>2794.0</v>
      </c>
      <c r="B2795" s="158" t="s">
        <v>6008</v>
      </c>
    </row>
    <row r="2796">
      <c r="A2796" s="157">
        <v>2795.0</v>
      </c>
      <c r="B2796" s="158" t="s">
        <v>6009</v>
      </c>
    </row>
    <row r="2797">
      <c r="A2797" s="157">
        <v>2796.0</v>
      </c>
      <c r="B2797" s="158" t="s">
        <v>6010</v>
      </c>
    </row>
    <row r="2798">
      <c r="A2798" s="157">
        <v>2797.0</v>
      </c>
      <c r="B2798" s="158" t="s">
        <v>6011</v>
      </c>
    </row>
    <row r="2799">
      <c r="A2799" s="157">
        <v>2798.0</v>
      </c>
      <c r="B2799" s="158" t="s">
        <v>6012</v>
      </c>
    </row>
    <row r="2800">
      <c r="A2800" s="157">
        <v>2799.0</v>
      </c>
      <c r="B2800" s="158" t="s">
        <v>6013</v>
      </c>
    </row>
    <row r="2801">
      <c r="A2801" s="157">
        <v>2800.0</v>
      </c>
      <c r="B2801" s="158" t="s">
        <v>6014</v>
      </c>
    </row>
    <row r="2802">
      <c r="A2802" s="157">
        <v>2801.0</v>
      </c>
      <c r="B2802" s="165" t="s">
        <v>6015</v>
      </c>
    </row>
    <row r="2803">
      <c r="A2803" s="157">
        <v>2802.0</v>
      </c>
      <c r="B2803" s="165" t="s">
        <v>6016</v>
      </c>
    </row>
    <row r="2804">
      <c r="A2804" s="157">
        <v>2803.0</v>
      </c>
      <c r="B2804" s="165" t="s">
        <v>6017</v>
      </c>
    </row>
    <row r="2805">
      <c r="A2805" s="157">
        <v>2804.0</v>
      </c>
      <c r="B2805" s="165" t="s">
        <v>6018</v>
      </c>
    </row>
    <row r="2806">
      <c r="A2806" s="157">
        <v>2805.0</v>
      </c>
      <c r="B2806" s="165" t="s">
        <v>6019</v>
      </c>
    </row>
    <row r="2807">
      <c r="A2807" s="157">
        <v>2806.0</v>
      </c>
      <c r="B2807" s="165" t="s">
        <v>6020</v>
      </c>
    </row>
    <row r="2808">
      <c r="A2808" s="157">
        <v>2807.0</v>
      </c>
      <c r="B2808" s="165" t="s">
        <v>6021</v>
      </c>
    </row>
    <row r="2809">
      <c r="A2809" s="157">
        <v>2808.0</v>
      </c>
      <c r="B2809" s="165" t="s">
        <v>6022</v>
      </c>
    </row>
    <row r="2810">
      <c r="A2810" s="157">
        <v>2809.0</v>
      </c>
      <c r="B2810" s="165" t="s">
        <v>6023</v>
      </c>
    </row>
    <row r="2811">
      <c r="A2811" s="157">
        <v>2810.0</v>
      </c>
      <c r="B2811" s="165" t="s">
        <v>6024</v>
      </c>
    </row>
    <row r="2812">
      <c r="A2812" s="157">
        <v>2811.0</v>
      </c>
      <c r="B2812" s="165" t="s">
        <v>6025</v>
      </c>
    </row>
    <row r="2813">
      <c r="A2813" s="157">
        <v>2812.0</v>
      </c>
      <c r="B2813" s="165" t="s">
        <v>6026</v>
      </c>
    </row>
    <row r="2814">
      <c r="A2814" s="157">
        <v>2813.0</v>
      </c>
      <c r="B2814" s="165" t="s">
        <v>6027</v>
      </c>
    </row>
    <row r="2815">
      <c r="A2815" s="157">
        <v>2814.0</v>
      </c>
      <c r="B2815" s="165" t="s">
        <v>6028</v>
      </c>
    </row>
    <row r="2816">
      <c r="A2816" s="157">
        <v>2815.0</v>
      </c>
      <c r="B2816" s="165" t="s">
        <v>6029</v>
      </c>
    </row>
    <row r="2817">
      <c r="A2817" s="157">
        <v>2816.0</v>
      </c>
      <c r="B2817" s="165" t="s">
        <v>6030</v>
      </c>
    </row>
    <row r="2818">
      <c r="A2818" s="157">
        <v>2817.0</v>
      </c>
      <c r="B2818" s="165" t="s">
        <v>6031</v>
      </c>
    </row>
    <row r="2819">
      <c r="A2819" s="157">
        <v>2818.0</v>
      </c>
      <c r="B2819" s="165" t="s">
        <v>6032</v>
      </c>
    </row>
    <row r="2820">
      <c r="A2820" s="157">
        <v>2819.0</v>
      </c>
      <c r="B2820" s="165" t="s">
        <v>6033</v>
      </c>
    </row>
    <row r="2821">
      <c r="A2821" s="157">
        <v>2820.0</v>
      </c>
      <c r="B2821" s="165" t="s">
        <v>6034</v>
      </c>
    </row>
    <row r="2822">
      <c r="A2822" s="157">
        <v>2821.0</v>
      </c>
      <c r="B2822" s="165" t="s">
        <v>6035</v>
      </c>
    </row>
    <row r="2823">
      <c r="A2823" s="157">
        <v>2822.0</v>
      </c>
      <c r="B2823" s="165" t="s">
        <v>6036</v>
      </c>
    </row>
    <row r="2824">
      <c r="A2824" s="157">
        <v>2823.0</v>
      </c>
      <c r="B2824" s="165" t="s">
        <v>6037</v>
      </c>
    </row>
    <row r="2825">
      <c r="A2825" s="157">
        <v>2824.0</v>
      </c>
      <c r="B2825" s="159" t="s">
        <v>6038</v>
      </c>
    </row>
    <row r="2826">
      <c r="A2826" s="157">
        <v>2825.0</v>
      </c>
      <c r="B2826" s="165" t="s">
        <v>6039</v>
      </c>
    </row>
    <row r="2827">
      <c r="A2827" s="157">
        <v>2826.0</v>
      </c>
      <c r="B2827" s="165" t="s">
        <v>6040</v>
      </c>
    </row>
    <row r="2828">
      <c r="A2828" s="157">
        <v>2827.0</v>
      </c>
      <c r="B2828" s="165" t="s">
        <v>6041</v>
      </c>
    </row>
    <row r="2829">
      <c r="A2829" s="157">
        <v>2828.0</v>
      </c>
      <c r="B2829" s="165" t="s">
        <v>6042</v>
      </c>
    </row>
    <row r="2830">
      <c r="A2830" s="157">
        <v>2829.0</v>
      </c>
      <c r="B2830" s="165" t="s">
        <v>6043</v>
      </c>
    </row>
    <row r="2831">
      <c r="A2831" s="157">
        <v>2830.0</v>
      </c>
      <c r="B2831" s="165" t="s">
        <v>6044</v>
      </c>
    </row>
    <row r="2832">
      <c r="A2832" s="157">
        <v>2831.0</v>
      </c>
      <c r="B2832" s="165" t="s">
        <v>6045</v>
      </c>
    </row>
    <row r="2833">
      <c r="A2833" s="157">
        <v>2832.0</v>
      </c>
      <c r="B2833" s="165" t="s">
        <v>6046</v>
      </c>
    </row>
    <row r="2834">
      <c r="A2834" s="157">
        <v>2833.0</v>
      </c>
      <c r="B2834" s="165" t="s">
        <v>6047</v>
      </c>
    </row>
    <row r="2835">
      <c r="A2835" s="157">
        <v>2834.0</v>
      </c>
      <c r="B2835" s="165" t="s">
        <v>6048</v>
      </c>
    </row>
    <row r="2836">
      <c r="A2836" s="157">
        <v>2835.0</v>
      </c>
      <c r="B2836" s="165" t="s">
        <v>6049</v>
      </c>
    </row>
    <row r="2837">
      <c r="A2837" s="157">
        <v>2836.0</v>
      </c>
      <c r="B2837" s="165" t="s">
        <v>6050</v>
      </c>
    </row>
    <row r="2838">
      <c r="A2838" s="157">
        <v>2837.0</v>
      </c>
      <c r="B2838" s="165" t="s">
        <v>6051</v>
      </c>
    </row>
    <row r="2839">
      <c r="A2839" s="157">
        <v>2838.0</v>
      </c>
      <c r="B2839" s="165" t="s">
        <v>6052</v>
      </c>
    </row>
    <row r="2840">
      <c r="A2840" s="157">
        <v>2839.0</v>
      </c>
      <c r="B2840" s="165" t="s">
        <v>6053</v>
      </c>
    </row>
    <row r="2841">
      <c r="A2841" s="157">
        <v>2840.0</v>
      </c>
      <c r="B2841" s="165" t="s">
        <v>6054</v>
      </c>
    </row>
    <row r="2842">
      <c r="A2842" s="157">
        <v>2841.0</v>
      </c>
      <c r="B2842" s="165" t="s">
        <v>6055</v>
      </c>
    </row>
    <row r="2843">
      <c r="A2843" s="157">
        <v>2842.0</v>
      </c>
      <c r="B2843" s="165" t="s">
        <v>6056</v>
      </c>
    </row>
    <row r="2844">
      <c r="A2844" s="157">
        <v>2843.0</v>
      </c>
      <c r="B2844" s="165" t="s">
        <v>6057</v>
      </c>
    </row>
    <row r="2845">
      <c r="A2845" s="157">
        <v>2844.0</v>
      </c>
      <c r="B2845" s="165" t="s">
        <v>6058</v>
      </c>
    </row>
    <row r="2846">
      <c r="A2846" s="157">
        <v>2845.0</v>
      </c>
      <c r="B2846" s="165" t="s">
        <v>6059</v>
      </c>
    </row>
    <row r="2847">
      <c r="A2847" s="157">
        <v>2846.0</v>
      </c>
      <c r="B2847" s="165" t="s">
        <v>6060</v>
      </c>
    </row>
    <row r="2848">
      <c r="A2848" s="157">
        <v>2847.0</v>
      </c>
      <c r="B2848" s="165" t="s">
        <v>6061</v>
      </c>
    </row>
    <row r="2849">
      <c r="A2849" s="157">
        <v>2848.0</v>
      </c>
      <c r="B2849" s="165" t="s">
        <v>6062</v>
      </c>
    </row>
    <row r="2850">
      <c r="A2850" s="157">
        <v>2849.0</v>
      </c>
      <c r="B2850" s="165" t="s">
        <v>6063</v>
      </c>
    </row>
    <row r="2851">
      <c r="A2851" s="157">
        <v>2850.0</v>
      </c>
      <c r="B2851" s="165" t="s">
        <v>6064</v>
      </c>
    </row>
    <row r="2852">
      <c r="A2852" s="157">
        <v>2851.0</v>
      </c>
      <c r="B2852" s="165" t="s">
        <v>6065</v>
      </c>
    </row>
    <row r="2853">
      <c r="A2853" s="157">
        <v>2852.0</v>
      </c>
      <c r="B2853" s="165" t="s">
        <v>6066</v>
      </c>
    </row>
    <row r="2854">
      <c r="A2854" s="157">
        <v>2853.0</v>
      </c>
      <c r="B2854" s="165" t="s">
        <v>6067</v>
      </c>
    </row>
    <row r="2855">
      <c r="A2855" s="157">
        <v>2854.0</v>
      </c>
      <c r="B2855" s="165" t="s">
        <v>6068</v>
      </c>
    </row>
    <row r="2856">
      <c r="A2856" s="157">
        <v>2855.0</v>
      </c>
      <c r="B2856" s="165" t="s">
        <v>6069</v>
      </c>
    </row>
    <row r="2857">
      <c r="A2857" s="157">
        <v>2856.0</v>
      </c>
      <c r="B2857" s="165" t="s">
        <v>6070</v>
      </c>
    </row>
    <row r="2858">
      <c r="A2858" s="157">
        <v>2857.0</v>
      </c>
      <c r="B2858" s="165" t="s">
        <v>6071</v>
      </c>
    </row>
    <row r="2859">
      <c r="A2859" s="157">
        <v>2858.0</v>
      </c>
      <c r="B2859" s="165" t="s">
        <v>6072</v>
      </c>
    </row>
    <row r="2860">
      <c r="A2860" s="157">
        <v>2859.0</v>
      </c>
      <c r="B2860" s="165" t="s">
        <v>6073</v>
      </c>
    </row>
    <row r="2861">
      <c r="A2861" s="157">
        <v>2860.0</v>
      </c>
      <c r="B2861" s="165" t="s">
        <v>6074</v>
      </c>
    </row>
    <row r="2862">
      <c r="A2862" s="157">
        <v>2861.0</v>
      </c>
      <c r="B2862" s="165" t="s">
        <v>6075</v>
      </c>
    </row>
    <row r="2863">
      <c r="A2863" s="157">
        <v>2862.0</v>
      </c>
      <c r="B2863" s="165" t="s">
        <v>6076</v>
      </c>
    </row>
    <row r="2864">
      <c r="A2864" s="157">
        <v>2863.0</v>
      </c>
      <c r="B2864" s="165" t="s">
        <v>6077</v>
      </c>
    </row>
    <row r="2865">
      <c r="A2865" s="157">
        <v>2864.0</v>
      </c>
      <c r="B2865" s="165" t="s">
        <v>6078</v>
      </c>
    </row>
    <row r="2866">
      <c r="A2866" s="157">
        <v>2865.0</v>
      </c>
      <c r="B2866" s="165" t="s">
        <v>6079</v>
      </c>
    </row>
    <row r="2867">
      <c r="A2867" s="157">
        <v>2866.0</v>
      </c>
      <c r="B2867" s="165" t="s">
        <v>6080</v>
      </c>
    </row>
    <row r="2868">
      <c r="A2868" s="157">
        <v>2867.0</v>
      </c>
      <c r="B2868" s="165" t="s">
        <v>6081</v>
      </c>
    </row>
    <row r="2869">
      <c r="A2869" s="157">
        <v>2868.0</v>
      </c>
      <c r="B2869" s="165" t="s">
        <v>6082</v>
      </c>
    </row>
    <row r="2870">
      <c r="A2870" s="157">
        <v>2869.0</v>
      </c>
      <c r="B2870" s="165" t="s">
        <v>6083</v>
      </c>
    </row>
    <row r="2871">
      <c r="A2871" s="157">
        <v>2870.0</v>
      </c>
      <c r="B2871" s="165" t="s">
        <v>6084</v>
      </c>
    </row>
    <row r="2872">
      <c r="A2872" s="157">
        <v>2871.0</v>
      </c>
      <c r="B2872" s="165" t="s">
        <v>6085</v>
      </c>
    </row>
    <row r="2873">
      <c r="A2873" s="157">
        <v>2872.0</v>
      </c>
      <c r="B2873" s="165" t="s">
        <v>6086</v>
      </c>
    </row>
    <row r="2874">
      <c r="A2874" s="157">
        <v>2873.0</v>
      </c>
      <c r="B2874" s="165" t="s">
        <v>6087</v>
      </c>
    </row>
    <row r="2875">
      <c r="A2875" s="157">
        <v>2874.0</v>
      </c>
      <c r="B2875" s="165" t="s">
        <v>6088</v>
      </c>
    </row>
    <row r="2876">
      <c r="A2876" s="157">
        <v>2875.0</v>
      </c>
      <c r="B2876" s="165" t="s">
        <v>6089</v>
      </c>
    </row>
    <row r="2877">
      <c r="A2877" s="157">
        <v>2876.0</v>
      </c>
      <c r="B2877" s="165" t="s">
        <v>6090</v>
      </c>
    </row>
    <row r="2878">
      <c r="A2878" s="157">
        <v>2877.0</v>
      </c>
      <c r="B2878" s="165" t="s">
        <v>6091</v>
      </c>
    </row>
    <row r="2879">
      <c r="A2879" s="157">
        <v>2878.0</v>
      </c>
      <c r="B2879" s="165" t="s">
        <v>6092</v>
      </c>
    </row>
    <row r="2880">
      <c r="A2880" s="157">
        <v>2879.0</v>
      </c>
      <c r="B2880" s="165" t="s">
        <v>6093</v>
      </c>
    </row>
    <row r="2881">
      <c r="A2881" s="157">
        <v>2880.0</v>
      </c>
      <c r="B2881" s="165" t="s">
        <v>6094</v>
      </c>
    </row>
    <row r="2882">
      <c r="A2882" s="157">
        <v>2881.0</v>
      </c>
      <c r="B2882" s="165" t="s">
        <v>6095</v>
      </c>
    </row>
    <row r="2883">
      <c r="A2883" s="157">
        <v>2882.0</v>
      </c>
      <c r="B2883" s="165" t="s">
        <v>6096</v>
      </c>
    </row>
    <row r="2884">
      <c r="A2884" s="157">
        <v>2883.0</v>
      </c>
      <c r="B2884" s="165" t="s">
        <v>6097</v>
      </c>
    </row>
    <row r="2885">
      <c r="A2885" s="157">
        <v>2884.0</v>
      </c>
      <c r="B2885" s="165" t="s">
        <v>6098</v>
      </c>
    </row>
    <row r="2886">
      <c r="A2886" s="157">
        <v>2885.0</v>
      </c>
      <c r="B2886" s="165" t="s">
        <v>6099</v>
      </c>
    </row>
    <row r="2887">
      <c r="A2887" s="157">
        <v>2886.0</v>
      </c>
      <c r="B2887" s="158" t="s">
        <v>6100</v>
      </c>
    </row>
    <row r="2888">
      <c r="A2888" s="157">
        <v>2887.0</v>
      </c>
      <c r="B2888" s="158" t="s">
        <v>6101</v>
      </c>
    </row>
    <row r="2889">
      <c r="A2889" s="157">
        <v>2888.0</v>
      </c>
      <c r="B2889" s="158" t="s">
        <v>6102</v>
      </c>
    </row>
    <row r="2890">
      <c r="A2890" s="157">
        <v>2889.0</v>
      </c>
      <c r="B2890" s="158" t="s">
        <v>6103</v>
      </c>
    </row>
    <row r="2891">
      <c r="A2891" s="157">
        <v>2890.0</v>
      </c>
      <c r="B2891" s="158" t="s">
        <v>6104</v>
      </c>
    </row>
    <row r="2892">
      <c r="A2892" s="157">
        <v>2891.0</v>
      </c>
      <c r="B2892" s="171" t="s">
        <v>6105</v>
      </c>
    </row>
    <row r="2893">
      <c r="A2893" s="157">
        <v>2892.0</v>
      </c>
      <c r="B2893" s="158" t="s">
        <v>6106</v>
      </c>
    </row>
    <row r="2894">
      <c r="A2894" s="157">
        <v>2893.0</v>
      </c>
      <c r="B2894" s="158" t="s">
        <v>6107</v>
      </c>
    </row>
    <row r="2895">
      <c r="A2895" s="157">
        <v>2894.0</v>
      </c>
      <c r="B2895" s="158" t="s">
        <v>6108</v>
      </c>
    </row>
    <row r="2896">
      <c r="A2896" s="157">
        <v>2895.0</v>
      </c>
      <c r="B2896" s="158" t="s">
        <v>6109</v>
      </c>
    </row>
    <row r="2897">
      <c r="A2897" s="157">
        <v>2896.0</v>
      </c>
      <c r="B2897" s="158" t="s">
        <v>6110</v>
      </c>
    </row>
    <row r="2898">
      <c r="A2898" s="157">
        <v>2897.0</v>
      </c>
      <c r="B2898" s="159" t="s">
        <v>6111</v>
      </c>
    </row>
    <row r="2899">
      <c r="A2899" s="157">
        <v>2898.0</v>
      </c>
      <c r="B2899" s="159" t="s">
        <v>6112</v>
      </c>
    </row>
    <row r="2900">
      <c r="A2900" s="157">
        <v>2899.0</v>
      </c>
      <c r="B2900" s="159" t="s">
        <v>6113</v>
      </c>
    </row>
    <row r="2901">
      <c r="A2901" s="157">
        <v>2900.0</v>
      </c>
      <c r="B2901" s="159" t="s">
        <v>6114</v>
      </c>
    </row>
    <row r="2902">
      <c r="A2902" s="157">
        <v>2901.0</v>
      </c>
      <c r="B2902" s="159" t="s">
        <v>6113</v>
      </c>
    </row>
    <row r="2903">
      <c r="A2903" s="157">
        <v>2902.0</v>
      </c>
      <c r="B2903" s="159" t="s">
        <v>6114</v>
      </c>
    </row>
    <row r="2904">
      <c r="A2904" s="157">
        <v>2903.0</v>
      </c>
      <c r="B2904" s="159" t="s">
        <v>6115</v>
      </c>
    </row>
    <row r="2905">
      <c r="A2905" s="157">
        <v>2904.0</v>
      </c>
      <c r="B2905" s="159" t="s">
        <v>6116</v>
      </c>
    </row>
    <row r="2906">
      <c r="A2906" s="157">
        <v>2905.0</v>
      </c>
      <c r="B2906" s="159" t="s">
        <v>6117</v>
      </c>
    </row>
    <row r="2907">
      <c r="A2907" s="157">
        <v>2906.0</v>
      </c>
      <c r="B2907" s="159" t="s">
        <v>6118</v>
      </c>
    </row>
    <row r="2908">
      <c r="A2908" s="157">
        <v>2907.0</v>
      </c>
      <c r="B2908" s="159" t="s">
        <v>6119</v>
      </c>
    </row>
    <row r="2909">
      <c r="A2909" s="157">
        <v>2908.0</v>
      </c>
      <c r="B2909" s="159" t="s">
        <v>6120</v>
      </c>
    </row>
    <row r="2910">
      <c r="A2910" s="157">
        <v>2909.0</v>
      </c>
      <c r="B2910" s="158" t="s">
        <v>6121</v>
      </c>
    </row>
    <row r="2911">
      <c r="A2911" s="157">
        <v>2910.0</v>
      </c>
      <c r="B2911" s="158" t="s">
        <v>6122</v>
      </c>
    </row>
    <row r="2912">
      <c r="A2912" s="157">
        <v>2911.0</v>
      </c>
      <c r="B2912" s="158" t="s">
        <v>6123</v>
      </c>
    </row>
    <row r="2913">
      <c r="A2913" s="157">
        <v>2912.0</v>
      </c>
      <c r="B2913" s="158" t="s">
        <v>6124</v>
      </c>
    </row>
    <row r="2914">
      <c r="A2914" s="157">
        <v>2913.0</v>
      </c>
      <c r="B2914" s="158" t="s">
        <v>6125</v>
      </c>
    </row>
    <row r="2915">
      <c r="A2915" s="157">
        <v>2914.0</v>
      </c>
      <c r="B2915" s="159" t="s">
        <v>6126</v>
      </c>
    </row>
    <row r="2916">
      <c r="A2916" s="157">
        <v>2915.0</v>
      </c>
      <c r="B2916" s="159" t="s">
        <v>6127</v>
      </c>
    </row>
    <row r="2917">
      <c r="A2917" s="157">
        <v>2916.0</v>
      </c>
      <c r="B2917" s="159" t="s">
        <v>6128</v>
      </c>
    </row>
    <row r="2918">
      <c r="A2918" s="157">
        <v>2917.0</v>
      </c>
      <c r="B2918" s="158" t="s">
        <v>6129</v>
      </c>
    </row>
    <row r="2919">
      <c r="A2919" s="157">
        <v>2918.0</v>
      </c>
      <c r="B2919" s="158" t="s">
        <v>6130</v>
      </c>
    </row>
    <row r="2920">
      <c r="A2920" s="157">
        <v>2919.0</v>
      </c>
      <c r="B2920" s="158" t="s">
        <v>6131</v>
      </c>
    </row>
    <row r="2921">
      <c r="A2921" s="157">
        <v>2920.0</v>
      </c>
      <c r="B2921" s="158" t="s">
        <v>6132</v>
      </c>
    </row>
    <row r="2922">
      <c r="A2922" s="157">
        <v>2921.0</v>
      </c>
      <c r="B2922" s="158" t="s">
        <v>6133</v>
      </c>
    </row>
    <row r="2923">
      <c r="A2923" s="157">
        <v>2922.0</v>
      </c>
      <c r="B2923" s="159" t="s">
        <v>6134</v>
      </c>
    </row>
    <row r="2924">
      <c r="A2924" s="157">
        <v>2923.0</v>
      </c>
      <c r="B2924" s="159" t="s">
        <v>6135</v>
      </c>
    </row>
    <row r="2925">
      <c r="A2925" s="157">
        <v>2924.0</v>
      </c>
      <c r="B2925" s="158" t="s">
        <v>6136</v>
      </c>
    </row>
    <row r="2926">
      <c r="A2926" s="157">
        <v>2925.0</v>
      </c>
      <c r="B2926" s="158" t="s">
        <v>6137</v>
      </c>
    </row>
    <row r="2927">
      <c r="A2927" s="157">
        <v>2926.0</v>
      </c>
      <c r="B2927" s="158" t="s">
        <v>6138</v>
      </c>
    </row>
    <row r="2928">
      <c r="A2928" s="157">
        <v>2927.0</v>
      </c>
      <c r="B2928" s="158" t="s">
        <v>6139</v>
      </c>
    </row>
    <row r="2929">
      <c r="A2929" s="157">
        <v>2928.0</v>
      </c>
      <c r="B2929" s="158" t="s">
        <v>6140</v>
      </c>
    </row>
    <row r="2930">
      <c r="A2930" s="157">
        <v>2929.0</v>
      </c>
      <c r="B2930" s="158" t="s">
        <v>6141</v>
      </c>
    </row>
    <row r="2931">
      <c r="A2931" s="157">
        <v>2930.0</v>
      </c>
      <c r="B2931" s="158" t="s">
        <v>6142</v>
      </c>
    </row>
    <row r="2932">
      <c r="A2932" s="157">
        <v>2931.0</v>
      </c>
      <c r="B2932" s="158" t="s">
        <v>6143</v>
      </c>
    </row>
    <row r="2933">
      <c r="A2933" s="157">
        <v>2932.0</v>
      </c>
      <c r="B2933" s="158" t="s">
        <v>6144</v>
      </c>
    </row>
    <row r="2934">
      <c r="A2934" s="157">
        <v>2933.0</v>
      </c>
      <c r="B2934" s="158" t="s">
        <v>6145</v>
      </c>
    </row>
    <row r="2935">
      <c r="A2935" s="157">
        <v>2934.0</v>
      </c>
      <c r="B2935" s="158" t="s">
        <v>6146</v>
      </c>
    </row>
    <row r="2936">
      <c r="A2936" s="157">
        <v>2935.0</v>
      </c>
      <c r="B2936" s="158" t="s">
        <v>6147</v>
      </c>
    </row>
    <row r="2937">
      <c r="A2937" s="157">
        <v>2936.0</v>
      </c>
      <c r="B2937" s="158" t="s">
        <v>6148</v>
      </c>
    </row>
    <row r="2938">
      <c r="A2938" s="157">
        <v>2937.0</v>
      </c>
      <c r="B2938" s="158" t="s">
        <v>6149</v>
      </c>
    </row>
    <row r="2939">
      <c r="A2939" s="157">
        <v>2938.0</v>
      </c>
      <c r="B2939" s="158" t="s">
        <v>6150</v>
      </c>
    </row>
    <row r="2940">
      <c r="A2940" s="157">
        <v>2939.0</v>
      </c>
      <c r="B2940" s="158" t="s">
        <v>6151</v>
      </c>
    </row>
    <row r="2941">
      <c r="A2941" s="157">
        <v>2940.0</v>
      </c>
      <c r="B2941" s="158" t="s">
        <v>6152</v>
      </c>
    </row>
    <row r="2942">
      <c r="A2942" s="157">
        <v>2941.0</v>
      </c>
      <c r="B2942" s="158" t="s">
        <v>6153</v>
      </c>
    </row>
    <row r="2943">
      <c r="A2943" s="157">
        <v>2942.0</v>
      </c>
      <c r="B2943" s="158" t="s">
        <v>6154</v>
      </c>
    </row>
    <row r="2944">
      <c r="A2944" s="157">
        <v>2943.0</v>
      </c>
      <c r="B2944" s="158" t="s">
        <v>6155</v>
      </c>
    </row>
    <row r="2945">
      <c r="A2945" s="157">
        <v>2944.0</v>
      </c>
      <c r="B2945" s="158" t="s">
        <v>6156</v>
      </c>
    </row>
    <row r="2946">
      <c r="A2946" s="157">
        <v>2945.0</v>
      </c>
      <c r="B2946" s="158" t="s">
        <v>6157</v>
      </c>
    </row>
    <row r="2947">
      <c r="A2947" s="157">
        <v>2946.0</v>
      </c>
      <c r="B2947" s="158" t="s">
        <v>6158</v>
      </c>
    </row>
    <row r="2948">
      <c r="A2948" s="157">
        <v>2947.0</v>
      </c>
      <c r="B2948" s="158" t="s">
        <v>6159</v>
      </c>
    </row>
    <row r="2949">
      <c r="A2949" s="157">
        <v>2948.0</v>
      </c>
      <c r="B2949" s="158" t="s">
        <v>6160</v>
      </c>
    </row>
    <row r="2950">
      <c r="A2950" s="157">
        <v>2949.0</v>
      </c>
      <c r="B2950" s="159" t="s">
        <v>6161</v>
      </c>
    </row>
    <row r="2951">
      <c r="A2951" s="157">
        <v>2950.0</v>
      </c>
      <c r="B2951" s="159" t="s">
        <v>6162</v>
      </c>
    </row>
    <row r="2952">
      <c r="A2952" s="157">
        <v>2951.0</v>
      </c>
      <c r="B2952" s="158" t="s">
        <v>6163</v>
      </c>
    </row>
    <row r="2953">
      <c r="A2953" s="157">
        <v>2952.0</v>
      </c>
      <c r="B2953" s="158" t="s">
        <v>6164</v>
      </c>
    </row>
    <row r="2954">
      <c r="A2954" s="157">
        <v>2953.0</v>
      </c>
      <c r="B2954" s="158" t="s">
        <v>6165</v>
      </c>
    </row>
    <row r="2955">
      <c r="A2955" s="157">
        <v>2954.0</v>
      </c>
      <c r="B2955" s="158" t="s">
        <v>6166</v>
      </c>
    </row>
    <row r="2956">
      <c r="A2956" s="157">
        <v>2955.0</v>
      </c>
      <c r="B2956" s="158" t="s">
        <v>6167</v>
      </c>
    </row>
    <row r="2957">
      <c r="A2957" s="157">
        <v>2956.0</v>
      </c>
      <c r="B2957" s="158" t="s">
        <v>6168</v>
      </c>
    </row>
    <row r="2958">
      <c r="A2958" s="157">
        <v>2957.0</v>
      </c>
      <c r="B2958" s="158" t="s">
        <v>6169</v>
      </c>
    </row>
    <row r="2959">
      <c r="A2959" s="157">
        <v>2958.0</v>
      </c>
      <c r="B2959" s="158" t="s">
        <v>6170</v>
      </c>
    </row>
    <row r="2960">
      <c r="A2960" s="157">
        <v>2959.0</v>
      </c>
      <c r="B2960" s="158" t="s">
        <v>6171</v>
      </c>
    </row>
    <row r="2961">
      <c r="A2961" s="157">
        <v>2960.0</v>
      </c>
      <c r="B2961" s="158" t="s">
        <v>6172</v>
      </c>
    </row>
    <row r="2962">
      <c r="A2962" s="157">
        <v>2961.0</v>
      </c>
      <c r="B2962" s="158" t="s">
        <v>6173</v>
      </c>
    </row>
    <row r="2963">
      <c r="A2963" s="157">
        <v>2962.0</v>
      </c>
      <c r="B2963" s="158" t="s">
        <v>6174</v>
      </c>
    </row>
    <row r="2964">
      <c r="A2964" s="157">
        <v>2963.0</v>
      </c>
      <c r="B2964" s="158" t="s">
        <v>6175</v>
      </c>
    </row>
    <row r="2965">
      <c r="A2965" s="157">
        <v>2964.0</v>
      </c>
      <c r="B2965" s="158" t="s">
        <v>6176</v>
      </c>
    </row>
    <row r="2966">
      <c r="A2966" s="157">
        <v>2965.0</v>
      </c>
      <c r="B2966" s="159" t="s">
        <v>6174</v>
      </c>
    </row>
    <row r="2967">
      <c r="A2967" s="157">
        <v>2966.0</v>
      </c>
      <c r="B2967" s="158" t="s">
        <v>6175</v>
      </c>
    </row>
    <row r="2968">
      <c r="A2968" s="157">
        <v>2967.0</v>
      </c>
      <c r="B2968" s="158" t="s">
        <v>6176</v>
      </c>
    </row>
    <row r="2969">
      <c r="A2969" s="157">
        <v>2968.0</v>
      </c>
      <c r="B2969" s="158" t="s">
        <v>6177</v>
      </c>
    </row>
    <row r="2970">
      <c r="A2970" s="157">
        <v>2969.0</v>
      </c>
      <c r="B2970" s="158" t="s">
        <v>6178</v>
      </c>
    </row>
    <row r="2971">
      <c r="A2971" s="157">
        <v>2970.0</v>
      </c>
      <c r="B2971" s="158" t="s">
        <v>6179</v>
      </c>
    </row>
    <row r="2972">
      <c r="A2972" s="157">
        <v>2971.0</v>
      </c>
      <c r="B2972" s="158" t="s">
        <v>6180</v>
      </c>
    </row>
    <row r="2973">
      <c r="A2973" s="157">
        <v>2972.0</v>
      </c>
      <c r="B2973" s="172" t="s">
        <v>6181</v>
      </c>
    </row>
    <row r="2974">
      <c r="A2974" s="157">
        <v>2973.0</v>
      </c>
      <c r="B2974" s="158" t="s">
        <v>6182</v>
      </c>
    </row>
    <row r="2975">
      <c r="A2975" s="157">
        <v>2974.0</v>
      </c>
      <c r="B2975" s="158" t="s">
        <v>6183</v>
      </c>
    </row>
    <row r="2976">
      <c r="A2976" s="157">
        <v>2975.0</v>
      </c>
      <c r="B2976" s="158" t="s">
        <v>6184</v>
      </c>
    </row>
    <row r="2977">
      <c r="A2977" s="157">
        <v>2976.0</v>
      </c>
      <c r="B2977" s="158" t="s">
        <v>6185</v>
      </c>
    </row>
    <row r="2978">
      <c r="A2978" s="157">
        <v>2977.0</v>
      </c>
      <c r="B2978" s="158" t="s">
        <v>6186</v>
      </c>
    </row>
    <row r="2979">
      <c r="A2979" s="157">
        <v>2978.0</v>
      </c>
      <c r="B2979" s="158" t="s">
        <v>6187</v>
      </c>
    </row>
    <row r="2980">
      <c r="A2980" s="157">
        <v>2979.0</v>
      </c>
      <c r="B2980" s="158" t="s">
        <v>6188</v>
      </c>
    </row>
    <row r="2981">
      <c r="A2981" s="157">
        <v>2980.0</v>
      </c>
      <c r="B2981" s="158" t="s">
        <v>6189</v>
      </c>
    </row>
    <row r="2982">
      <c r="A2982" s="157">
        <v>2981.0</v>
      </c>
      <c r="B2982" s="158" t="s">
        <v>6190</v>
      </c>
    </row>
    <row r="2983">
      <c r="A2983" s="157">
        <v>2982.0</v>
      </c>
      <c r="B2983" s="158" t="s">
        <v>6191</v>
      </c>
    </row>
    <row r="2984">
      <c r="A2984" s="157">
        <v>2983.0</v>
      </c>
      <c r="B2984" s="159" t="s">
        <v>6192</v>
      </c>
    </row>
    <row r="2985">
      <c r="A2985" s="157">
        <v>2984.0</v>
      </c>
      <c r="B2985" s="159" t="s">
        <v>6193</v>
      </c>
    </row>
    <row r="2986">
      <c r="A2986" s="157">
        <v>2985.0</v>
      </c>
      <c r="B2986" s="158" t="s">
        <v>6194</v>
      </c>
    </row>
    <row r="2987">
      <c r="A2987" s="157">
        <v>2986.0</v>
      </c>
      <c r="B2987" s="172" t="s">
        <v>6195</v>
      </c>
    </row>
    <row r="2988">
      <c r="A2988" s="157">
        <v>2987.0</v>
      </c>
      <c r="B2988" s="158" t="s">
        <v>6196</v>
      </c>
    </row>
    <row r="2989">
      <c r="A2989" s="157">
        <v>2988.0</v>
      </c>
      <c r="B2989" s="158" t="s">
        <v>6197</v>
      </c>
    </row>
    <row r="2990">
      <c r="A2990" s="157">
        <v>2989.0</v>
      </c>
      <c r="B2990" s="158" t="s">
        <v>6198</v>
      </c>
    </row>
    <row r="2991">
      <c r="A2991" s="157">
        <v>2990.0</v>
      </c>
      <c r="B2991" s="158" t="s">
        <v>6199</v>
      </c>
    </row>
    <row r="2992">
      <c r="A2992" s="157">
        <v>2991.0</v>
      </c>
      <c r="B2992" s="158" t="s">
        <v>6200</v>
      </c>
    </row>
    <row r="2993">
      <c r="A2993" s="157">
        <v>2992.0</v>
      </c>
      <c r="B2993" s="158" t="s">
        <v>6201</v>
      </c>
    </row>
    <row r="2994">
      <c r="A2994" s="157">
        <v>2993.0</v>
      </c>
      <c r="B2994" s="158" t="s">
        <v>6202</v>
      </c>
    </row>
    <row r="2995">
      <c r="A2995" s="157">
        <v>2994.0</v>
      </c>
      <c r="B2995" s="159" t="s">
        <v>6203</v>
      </c>
    </row>
    <row r="2996">
      <c r="A2996" s="157">
        <v>2995.0</v>
      </c>
      <c r="B2996" s="159" t="s">
        <v>6204</v>
      </c>
    </row>
    <row r="2997">
      <c r="A2997" s="157">
        <v>2996.0</v>
      </c>
      <c r="B2997" s="159" t="s">
        <v>6205</v>
      </c>
    </row>
    <row r="2998">
      <c r="A2998" s="157">
        <v>2997.0</v>
      </c>
      <c r="B2998" s="158" t="s">
        <v>6206</v>
      </c>
    </row>
    <row r="2999">
      <c r="A2999" s="157">
        <v>2998.0</v>
      </c>
      <c r="B2999" s="158" t="s">
        <v>6207</v>
      </c>
    </row>
    <row r="3000">
      <c r="A3000" s="157">
        <v>2999.0</v>
      </c>
      <c r="B3000" s="158" t="s">
        <v>6208</v>
      </c>
    </row>
    <row r="3001">
      <c r="A3001" s="157">
        <v>3000.0</v>
      </c>
      <c r="B3001" s="158" t="s">
        <v>6209</v>
      </c>
    </row>
    <row r="3002">
      <c r="A3002" s="157">
        <v>3001.0</v>
      </c>
      <c r="B3002" s="158" t="s">
        <v>6210</v>
      </c>
    </row>
    <row r="3003">
      <c r="A3003" s="157">
        <v>3002.0</v>
      </c>
      <c r="B3003" s="158" t="s">
        <v>6211</v>
      </c>
    </row>
    <row r="3004">
      <c r="A3004" s="157">
        <v>3003.0</v>
      </c>
      <c r="B3004" s="158" t="s">
        <v>6212</v>
      </c>
    </row>
    <row r="3005">
      <c r="A3005" s="157">
        <v>3004.0</v>
      </c>
      <c r="B3005" s="158" t="s">
        <v>6213</v>
      </c>
    </row>
    <row r="3006">
      <c r="A3006" s="157">
        <v>3005.0</v>
      </c>
      <c r="B3006" s="158" t="s">
        <v>6214</v>
      </c>
    </row>
    <row r="3007">
      <c r="A3007" s="157">
        <v>3006.0</v>
      </c>
      <c r="B3007" s="158" t="s">
        <v>6215</v>
      </c>
    </row>
    <row r="3008">
      <c r="A3008" s="157">
        <v>3007.0</v>
      </c>
      <c r="B3008" s="158" t="s">
        <v>6216</v>
      </c>
    </row>
    <row r="3009">
      <c r="A3009" s="157">
        <v>3008.0</v>
      </c>
      <c r="B3009" s="158" t="s">
        <v>6217</v>
      </c>
    </row>
    <row r="3010">
      <c r="A3010" s="157">
        <v>3009.0</v>
      </c>
      <c r="B3010" s="158" t="s">
        <v>6218</v>
      </c>
    </row>
    <row r="3011">
      <c r="A3011" s="157">
        <v>3010.0</v>
      </c>
      <c r="B3011" s="158" t="s">
        <v>6219</v>
      </c>
    </row>
    <row r="3012">
      <c r="A3012" s="157">
        <v>3011.0</v>
      </c>
      <c r="B3012" s="158" t="s">
        <v>6220</v>
      </c>
    </row>
    <row r="3013">
      <c r="A3013" s="157">
        <v>3012.0</v>
      </c>
      <c r="B3013" s="158" t="s">
        <v>6221</v>
      </c>
    </row>
    <row r="3014">
      <c r="A3014" s="157">
        <v>3013.0</v>
      </c>
      <c r="B3014" s="158" t="s">
        <v>6222</v>
      </c>
    </row>
    <row r="3015">
      <c r="A3015" s="157">
        <v>3014.0</v>
      </c>
      <c r="B3015" s="158" t="s">
        <v>6223</v>
      </c>
    </row>
    <row r="3016">
      <c r="A3016" s="157">
        <v>3015.0</v>
      </c>
      <c r="B3016" s="158" t="s">
        <v>6224</v>
      </c>
    </row>
    <row r="3017">
      <c r="A3017" s="157">
        <v>3016.0</v>
      </c>
      <c r="B3017" s="158" t="s">
        <v>6225</v>
      </c>
    </row>
    <row r="3018">
      <c r="A3018" s="157">
        <v>3017.0</v>
      </c>
      <c r="B3018" s="158" t="s">
        <v>6226</v>
      </c>
    </row>
    <row r="3019">
      <c r="A3019" s="157">
        <v>3018.0</v>
      </c>
      <c r="B3019" s="158" t="s">
        <v>6227</v>
      </c>
    </row>
    <row r="3020">
      <c r="A3020" s="157">
        <v>3019.0</v>
      </c>
      <c r="B3020" s="158" t="s">
        <v>6228</v>
      </c>
    </row>
    <row r="3021">
      <c r="A3021" s="157">
        <v>3020.0</v>
      </c>
      <c r="B3021" s="158" t="s">
        <v>6229</v>
      </c>
    </row>
    <row r="3022">
      <c r="A3022" s="157">
        <v>3021.0</v>
      </c>
      <c r="B3022" s="158" t="s">
        <v>6230</v>
      </c>
    </row>
    <row r="3023">
      <c r="A3023" s="157">
        <v>3022.0</v>
      </c>
      <c r="B3023" s="158" t="s">
        <v>6231</v>
      </c>
    </row>
    <row r="3024">
      <c r="A3024" s="157">
        <v>3023.0</v>
      </c>
      <c r="B3024" s="158" t="s">
        <v>6232</v>
      </c>
    </row>
    <row r="3025">
      <c r="A3025" s="157">
        <v>3024.0</v>
      </c>
      <c r="B3025" s="158" t="s">
        <v>6233</v>
      </c>
    </row>
    <row r="3026">
      <c r="A3026" s="157">
        <v>3025.0</v>
      </c>
      <c r="B3026" s="158" t="s">
        <v>6234</v>
      </c>
    </row>
    <row r="3027">
      <c r="A3027" s="157">
        <v>3026.0</v>
      </c>
      <c r="B3027" s="158" t="s">
        <v>6235</v>
      </c>
    </row>
    <row r="3028">
      <c r="A3028" s="157">
        <v>3027.0</v>
      </c>
      <c r="B3028" s="158" t="s">
        <v>6236</v>
      </c>
    </row>
    <row r="3029">
      <c r="A3029" s="157">
        <v>3028.0</v>
      </c>
      <c r="B3029" s="158" t="s">
        <v>6237</v>
      </c>
    </row>
    <row r="3030">
      <c r="A3030" s="157">
        <v>3029.0</v>
      </c>
      <c r="B3030" s="158" t="s">
        <v>6238</v>
      </c>
    </row>
    <row r="3031">
      <c r="A3031" s="157">
        <v>3030.0</v>
      </c>
      <c r="B3031" s="158" t="s">
        <v>6239</v>
      </c>
    </row>
    <row r="3032">
      <c r="A3032" s="157">
        <v>3031.0</v>
      </c>
      <c r="B3032" s="158" t="s">
        <v>6240</v>
      </c>
    </row>
    <row r="3033">
      <c r="A3033" s="157">
        <v>3032.0</v>
      </c>
      <c r="B3033" s="158" t="s">
        <v>6241</v>
      </c>
    </row>
    <row r="3034">
      <c r="A3034" s="157">
        <v>3033.0</v>
      </c>
      <c r="B3034" s="158" t="s">
        <v>6242</v>
      </c>
    </row>
    <row r="3035">
      <c r="A3035" s="157">
        <v>3034.0</v>
      </c>
      <c r="B3035" s="158" t="s">
        <v>6243</v>
      </c>
    </row>
    <row r="3036">
      <c r="A3036" s="157">
        <v>3035.0</v>
      </c>
      <c r="B3036" s="158" t="s">
        <v>6244</v>
      </c>
    </row>
    <row r="3037">
      <c r="A3037" s="157">
        <v>3036.0</v>
      </c>
      <c r="B3037" s="158" t="s">
        <v>6245</v>
      </c>
    </row>
    <row r="3038">
      <c r="A3038" s="157">
        <v>3037.0</v>
      </c>
      <c r="B3038" s="158" t="s">
        <v>6246</v>
      </c>
    </row>
    <row r="3039">
      <c r="A3039" s="157">
        <v>3038.0</v>
      </c>
      <c r="B3039" s="158" t="s">
        <v>6247</v>
      </c>
    </row>
    <row r="3040">
      <c r="A3040" s="157">
        <v>3039.0</v>
      </c>
      <c r="B3040" s="158" t="s">
        <v>6248</v>
      </c>
    </row>
    <row r="3041">
      <c r="A3041" s="157">
        <v>3040.0</v>
      </c>
      <c r="B3041" s="158" t="s">
        <v>6249</v>
      </c>
    </row>
    <row r="3042">
      <c r="A3042" s="157">
        <v>3041.0</v>
      </c>
      <c r="B3042" s="158" t="s">
        <v>6250</v>
      </c>
    </row>
    <row r="3043">
      <c r="A3043" s="157">
        <v>3042.0</v>
      </c>
      <c r="B3043" s="158" t="s">
        <v>6251</v>
      </c>
    </row>
    <row r="3044">
      <c r="A3044" s="157">
        <v>3043.0</v>
      </c>
      <c r="B3044" s="158" t="s">
        <v>6252</v>
      </c>
    </row>
    <row r="3045">
      <c r="A3045" s="157">
        <v>3044.0</v>
      </c>
      <c r="B3045" s="158" t="s">
        <v>6253</v>
      </c>
    </row>
    <row r="3046">
      <c r="A3046" s="157">
        <v>3045.0</v>
      </c>
      <c r="B3046" s="158" t="s">
        <v>6254</v>
      </c>
    </row>
    <row r="3047">
      <c r="A3047" s="157">
        <v>3046.0</v>
      </c>
      <c r="B3047" s="158" t="s">
        <v>6255</v>
      </c>
    </row>
    <row r="3048">
      <c r="A3048" s="157">
        <v>3047.0</v>
      </c>
      <c r="B3048" s="158" t="s">
        <v>6256</v>
      </c>
    </row>
    <row r="3049">
      <c r="A3049" s="157">
        <v>3048.0</v>
      </c>
      <c r="B3049" s="158" t="s">
        <v>6257</v>
      </c>
    </row>
    <row r="3050">
      <c r="A3050" s="157">
        <v>3049.0</v>
      </c>
      <c r="B3050" s="158" t="s">
        <v>6258</v>
      </c>
    </row>
    <row r="3051">
      <c r="A3051" s="157">
        <v>3050.0</v>
      </c>
      <c r="B3051" s="158" t="s">
        <v>6259</v>
      </c>
    </row>
    <row r="3052">
      <c r="A3052" s="157">
        <v>3051.0</v>
      </c>
      <c r="B3052" s="158" t="s">
        <v>6260</v>
      </c>
    </row>
    <row r="3053">
      <c r="A3053" s="157">
        <v>3052.0</v>
      </c>
      <c r="B3053" s="158" t="s">
        <v>6261</v>
      </c>
    </row>
    <row r="3054">
      <c r="A3054" s="157">
        <v>3053.0</v>
      </c>
      <c r="B3054" s="158" t="s">
        <v>6262</v>
      </c>
    </row>
    <row r="3055">
      <c r="A3055" s="157">
        <v>3054.0</v>
      </c>
      <c r="B3055" s="158" t="s">
        <v>6263</v>
      </c>
    </row>
    <row r="3056">
      <c r="A3056" s="157">
        <v>3055.0</v>
      </c>
      <c r="B3056" s="158" t="s">
        <v>6264</v>
      </c>
    </row>
    <row r="3057">
      <c r="A3057" s="157">
        <v>3056.0</v>
      </c>
      <c r="B3057" s="158" t="s">
        <v>6265</v>
      </c>
    </row>
    <row r="3058">
      <c r="A3058" s="157">
        <v>3057.0</v>
      </c>
      <c r="B3058" s="158" t="s">
        <v>6266</v>
      </c>
    </row>
    <row r="3059">
      <c r="A3059" s="157">
        <v>3058.0</v>
      </c>
      <c r="B3059" s="158" t="s">
        <v>6267</v>
      </c>
    </row>
    <row r="3060">
      <c r="A3060" s="157">
        <v>3059.0</v>
      </c>
      <c r="B3060" s="158" t="s">
        <v>6268</v>
      </c>
    </row>
    <row r="3061">
      <c r="A3061" s="157">
        <v>3060.0</v>
      </c>
      <c r="B3061" s="158" t="s">
        <v>6269</v>
      </c>
    </row>
    <row r="3062">
      <c r="A3062" s="157">
        <v>3061.0</v>
      </c>
      <c r="B3062" s="158" t="s">
        <v>6270</v>
      </c>
    </row>
    <row r="3063">
      <c r="A3063" s="157">
        <v>3062.0</v>
      </c>
      <c r="B3063" s="158" t="s">
        <v>6271</v>
      </c>
    </row>
    <row r="3064">
      <c r="A3064" s="157">
        <v>3063.0</v>
      </c>
      <c r="B3064" s="158" t="s">
        <v>6272</v>
      </c>
    </row>
    <row r="3065">
      <c r="A3065" s="157">
        <v>3064.0</v>
      </c>
      <c r="B3065" s="158" t="s">
        <v>6273</v>
      </c>
    </row>
    <row r="3066">
      <c r="A3066" s="157">
        <v>3065.0</v>
      </c>
      <c r="B3066" s="158" t="s">
        <v>6274</v>
      </c>
    </row>
    <row r="3067">
      <c r="A3067" s="157">
        <v>3066.0</v>
      </c>
      <c r="B3067" s="158" t="s">
        <v>6275</v>
      </c>
    </row>
    <row r="3068">
      <c r="A3068" s="157">
        <v>3067.0</v>
      </c>
      <c r="B3068" s="158" t="s">
        <v>6276</v>
      </c>
    </row>
    <row r="3069">
      <c r="A3069" s="157">
        <v>3068.0</v>
      </c>
      <c r="B3069" s="158" t="s">
        <v>6277</v>
      </c>
    </row>
    <row r="3070">
      <c r="A3070" s="157">
        <v>3069.0</v>
      </c>
      <c r="B3070" s="158" t="s">
        <v>6278</v>
      </c>
    </row>
    <row r="3071">
      <c r="A3071" s="157">
        <v>3070.0</v>
      </c>
      <c r="B3071" s="158" t="s">
        <v>6279</v>
      </c>
    </row>
    <row r="3072">
      <c r="A3072" s="157">
        <v>3071.0</v>
      </c>
      <c r="B3072" s="158" t="s">
        <v>6280</v>
      </c>
    </row>
    <row r="3073">
      <c r="A3073" s="157">
        <v>3072.0</v>
      </c>
      <c r="B3073" s="158" t="s">
        <v>6281</v>
      </c>
    </row>
    <row r="3074">
      <c r="A3074" s="157">
        <v>3073.0</v>
      </c>
      <c r="B3074" s="158" t="s">
        <v>6282</v>
      </c>
    </row>
    <row r="3075">
      <c r="A3075" s="157">
        <v>3074.0</v>
      </c>
      <c r="B3075" s="158" t="s">
        <v>6283</v>
      </c>
    </row>
    <row r="3076">
      <c r="A3076" s="157">
        <v>3075.0</v>
      </c>
      <c r="B3076" s="158" t="s">
        <v>6284</v>
      </c>
    </row>
    <row r="3077">
      <c r="A3077" s="157">
        <v>3076.0</v>
      </c>
      <c r="B3077" s="158" t="s">
        <v>6285</v>
      </c>
    </row>
    <row r="3078">
      <c r="A3078" s="157">
        <v>3077.0</v>
      </c>
      <c r="B3078" s="158" t="s">
        <v>6286</v>
      </c>
    </row>
    <row r="3079">
      <c r="A3079" s="157">
        <v>3078.0</v>
      </c>
      <c r="B3079" s="158" t="s">
        <v>6287</v>
      </c>
    </row>
    <row r="3080">
      <c r="A3080" s="157">
        <v>3079.0</v>
      </c>
      <c r="B3080" s="158" t="s">
        <v>6288</v>
      </c>
    </row>
    <row r="3081">
      <c r="A3081" s="157">
        <v>3080.0</v>
      </c>
      <c r="B3081" s="158" t="s">
        <v>6289</v>
      </c>
    </row>
    <row r="3082">
      <c r="A3082" s="157">
        <v>3081.0</v>
      </c>
      <c r="B3082" s="158" t="s">
        <v>6290</v>
      </c>
    </row>
    <row r="3083">
      <c r="A3083" s="157">
        <v>3082.0</v>
      </c>
      <c r="B3083" s="158" t="s">
        <v>6291</v>
      </c>
    </row>
    <row r="3084">
      <c r="A3084" s="157">
        <v>3083.0</v>
      </c>
      <c r="B3084" s="158" t="s">
        <v>6292</v>
      </c>
    </row>
    <row r="3085">
      <c r="A3085" s="157">
        <v>3084.0</v>
      </c>
      <c r="B3085" s="160" t="s">
        <v>6293</v>
      </c>
    </row>
    <row r="3086">
      <c r="A3086" s="157">
        <v>3085.0</v>
      </c>
      <c r="B3086" s="158" t="s">
        <v>6294</v>
      </c>
    </row>
    <row r="3087">
      <c r="A3087" s="157">
        <v>3086.0</v>
      </c>
      <c r="B3087" s="158" t="s">
        <v>6295</v>
      </c>
    </row>
    <row r="3088">
      <c r="A3088" s="157">
        <v>3087.0</v>
      </c>
      <c r="B3088" s="158" t="s">
        <v>6296</v>
      </c>
    </row>
    <row r="3089">
      <c r="A3089" s="157">
        <v>3088.0</v>
      </c>
      <c r="B3089" s="158" t="s">
        <v>6297</v>
      </c>
    </row>
    <row r="3090">
      <c r="A3090" s="157">
        <v>3089.0</v>
      </c>
      <c r="B3090" s="171" t="s">
        <v>6298</v>
      </c>
    </row>
    <row r="3091">
      <c r="A3091" s="157">
        <v>3090.0</v>
      </c>
      <c r="B3091" s="171" t="s">
        <v>6299</v>
      </c>
    </row>
    <row r="3092">
      <c r="A3092" s="157">
        <v>3091.0</v>
      </c>
      <c r="B3092" s="171" t="s">
        <v>6300</v>
      </c>
    </row>
    <row r="3093">
      <c r="A3093" s="157">
        <v>3092.0</v>
      </c>
      <c r="B3093" s="168" t="s">
        <v>6301</v>
      </c>
    </row>
    <row r="3094">
      <c r="A3094" s="157">
        <v>3093.0</v>
      </c>
      <c r="B3094" s="158" t="s">
        <v>6302</v>
      </c>
    </row>
    <row r="3095">
      <c r="A3095" s="157">
        <v>3094.0</v>
      </c>
      <c r="B3095" s="158" t="s">
        <v>6303</v>
      </c>
    </row>
    <row r="3096">
      <c r="A3096" s="157">
        <v>3095.0</v>
      </c>
      <c r="B3096" s="158" t="s">
        <v>6304</v>
      </c>
    </row>
    <row r="3097">
      <c r="A3097" s="157">
        <v>3096.0</v>
      </c>
      <c r="B3097" s="158" t="s">
        <v>6305</v>
      </c>
    </row>
    <row r="3098">
      <c r="A3098" s="157">
        <v>3097.0</v>
      </c>
      <c r="B3098" s="158" t="s">
        <v>6306</v>
      </c>
    </row>
    <row r="3099">
      <c r="A3099" s="157">
        <v>3098.0</v>
      </c>
      <c r="B3099" s="158" t="s">
        <v>6307</v>
      </c>
    </row>
    <row r="3100">
      <c r="A3100" s="157">
        <v>3099.0</v>
      </c>
      <c r="B3100" s="159" t="s">
        <v>6308</v>
      </c>
    </row>
    <row r="3101">
      <c r="A3101" s="157">
        <v>3100.0</v>
      </c>
      <c r="B3101" s="159" t="s">
        <v>6309</v>
      </c>
    </row>
    <row r="3102">
      <c r="A3102" s="157">
        <v>3101.0</v>
      </c>
      <c r="B3102" s="159" t="s">
        <v>6310</v>
      </c>
    </row>
    <row r="3103">
      <c r="A3103" s="157">
        <v>3102.0</v>
      </c>
      <c r="B3103" s="158" t="s">
        <v>6311</v>
      </c>
    </row>
    <row r="3104">
      <c r="A3104" s="157">
        <v>3103.0</v>
      </c>
      <c r="B3104" s="159" t="s">
        <v>6312</v>
      </c>
    </row>
    <row r="3105">
      <c r="A3105" s="157">
        <v>3104.0</v>
      </c>
      <c r="B3105" s="159" t="s">
        <v>6313</v>
      </c>
    </row>
    <row r="3106">
      <c r="A3106" s="157">
        <v>3105.0</v>
      </c>
      <c r="B3106" s="159" t="s">
        <v>6314</v>
      </c>
    </row>
    <row r="3107">
      <c r="A3107" s="157">
        <v>3106.0</v>
      </c>
      <c r="B3107" s="158" t="s">
        <v>6315</v>
      </c>
    </row>
    <row r="3108">
      <c r="A3108" s="157">
        <v>3107.0</v>
      </c>
      <c r="B3108" s="159" t="s">
        <v>6316</v>
      </c>
    </row>
    <row r="3109">
      <c r="A3109" s="157">
        <v>3108.0</v>
      </c>
      <c r="B3109" s="159" t="s">
        <v>6317</v>
      </c>
    </row>
    <row r="3110">
      <c r="A3110" s="157">
        <v>3109.0</v>
      </c>
      <c r="B3110" s="158" t="s">
        <v>6318</v>
      </c>
    </row>
    <row r="3111">
      <c r="A3111" s="157">
        <v>3110.0</v>
      </c>
      <c r="B3111" s="158" t="s">
        <v>6319</v>
      </c>
    </row>
    <row r="3112">
      <c r="A3112" s="157">
        <v>3111.0</v>
      </c>
      <c r="B3112" s="158" t="s">
        <v>6320</v>
      </c>
    </row>
    <row r="3113">
      <c r="A3113" s="157">
        <v>3112.0</v>
      </c>
      <c r="B3113" s="158" t="s">
        <v>6321</v>
      </c>
    </row>
    <row r="3114">
      <c r="A3114" s="157">
        <v>3113.0</v>
      </c>
      <c r="B3114" s="158" t="s">
        <v>6322</v>
      </c>
    </row>
    <row r="3115">
      <c r="A3115" s="157">
        <v>3114.0</v>
      </c>
      <c r="B3115" s="158" t="s">
        <v>6323</v>
      </c>
    </row>
    <row r="3116">
      <c r="A3116" s="157">
        <v>3115.0</v>
      </c>
      <c r="B3116" s="159" t="s">
        <v>6324</v>
      </c>
    </row>
    <row r="3117">
      <c r="A3117" s="157">
        <v>3116.0</v>
      </c>
      <c r="B3117" s="158" t="s">
        <v>6325</v>
      </c>
    </row>
    <row r="3118">
      <c r="A3118" s="157">
        <v>3117.0</v>
      </c>
      <c r="B3118" s="158" t="s">
        <v>6326</v>
      </c>
    </row>
    <row r="3119">
      <c r="A3119" s="157">
        <v>3118.0</v>
      </c>
      <c r="B3119" s="158" t="s">
        <v>6327</v>
      </c>
    </row>
    <row r="3120">
      <c r="A3120" s="157">
        <v>3119.0</v>
      </c>
      <c r="B3120" s="158" t="s">
        <v>6328</v>
      </c>
    </row>
    <row r="3121">
      <c r="A3121" s="157">
        <v>3120.0</v>
      </c>
      <c r="B3121" s="158" t="s">
        <v>6329</v>
      </c>
    </row>
    <row r="3122">
      <c r="A3122" s="157">
        <v>3121.0</v>
      </c>
      <c r="B3122" s="158" t="s">
        <v>6330</v>
      </c>
    </row>
    <row r="3123">
      <c r="A3123" s="157">
        <v>3122.0</v>
      </c>
      <c r="B3123" s="158" t="s">
        <v>6331</v>
      </c>
    </row>
    <row r="3124">
      <c r="A3124" s="157">
        <v>3123.0</v>
      </c>
      <c r="B3124" s="158" t="s">
        <v>6332</v>
      </c>
    </row>
    <row r="3125">
      <c r="A3125" s="157">
        <v>3124.0</v>
      </c>
      <c r="B3125" s="159" t="s">
        <v>6333</v>
      </c>
    </row>
    <row r="3126">
      <c r="A3126" s="157">
        <v>3125.0</v>
      </c>
      <c r="B3126" s="158" t="s">
        <v>6334</v>
      </c>
    </row>
    <row r="3127">
      <c r="A3127" s="157">
        <v>3126.0</v>
      </c>
      <c r="B3127" s="158" t="s">
        <v>6335</v>
      </c>
    </row>
    <row r="3128">
      <c r="A3128" s="157">
        <v>3127.0</v>
      </c>
      <c r="B3128" s="158" t="s">
        <v>6336</v>
      </c>
    </row>
    <row r="3129">
      <c r="A3129" s="157">
        <v>3128.0</v>
      </c>
      <c r="B3129" s="159" t="s">
        <v>6337</v>
      </c>
    </row>
    <row r="3130">
      <c r="A3130" s="157">
        <v>3129.0</v>
      </c>
      <c r="B3130" s="159" t="s">
        <v>6338</v>
      </c>
    </row>
    <row r="3131">
      <c r="A3131" s="157">
        <v>3130.0</v>
      </c>
      <c r="B3131" s="159" t="s">
        <v>6339</v>
      </c>
    </row>
    <row r="3132">
      <c r="A3132" s="157">
        <v>3131.0</v>
      </c>
      <c r="B3132" s="159" t="s">
        <v>6340</v>
      </c>
    </row>
    <row r="3133">
      <c r="A3133" s="157">
        <v>3132.0</v>
      </c>
      <c r="B3133" s="159" t="s">
        <v>6341</v>
      </c>
    </row>
    <row r="3134">
      <c r="A3134" s="157">
        <v>3133.0</v>
      </c>
      <c r="B3134" s="159" t="s">
        <v>6342</v>
      </c>
    </row>
    <row r="3135">
      <c r="A3135" s="157">
        <v>3134.0</v>
      </c>
      <c r="B3135" s="158" t="s">
        <v>6343</v>
      </c>
    </row>
    <row r="3136">
      <c r="A3136" s="157">
        <v>3135.0</v>
      </c>
      <c r="B3136" s="158" t="s">
        <v>6344</v>
      </c>
    </row>
    <row r="3137">
      <c r="A3137" s="157">
        <v>3136.0</v>
      </c>
      <c r="B3137" s="158" t="s">
        <v>6345</v>
      </c>
    </row>
    <row r="3138">
      <c r="A3138" s="157">
        <v>3137.0</v>
      </c>
      <c r="B3138" s="158" t="s">
        <v>6346</v>
      </c>
    </row>
    <row r="3139">
      <c r="A3139" s="157">
        <v>3138.0</v>
      </c>
      <c r="B3139" s="158" t="s">
        <v>6347</v>
      </c>
    </row>
    <row r="3140">
      <c r="A3140" s="157">
        <v>3139.0</v>
      </c>
      <c r="B3140" s="158" t="s">
        <v>6348</v>
      </c>
    </row>
    <row r="3141">
      <c r="A3141" s="157">
        <v>3140.0</v>
      </c>
      <c r="B3141" s="158" t="s">
        <v>6349</v>
      </c>
    </row>
    <row r="3142">
      <c r="A3142" s="157">
        <v>3141.0</v>
      </c>
      <c r="B3142" s="158" t="s">
        <v>6350</v>
      </c>
    </row>
    <row r="3143">
      <c r="A3143" s="157">
        <v>3142.0</v>
      </c>
      <c r="B3143" s="158" t="s">
        <v>6351</v>
      </c>
    </row>
    <row r="3144">
      <c r="A3144" s="157">
        <v>3143.0</v>
      </c>
      <c r="B3144" s="158" t="s">
        <v>6352</v>
      </c>
    </row>
    <row r="3145">
      <c r="A3145" s="157">
        <v>3144.0</v>
      </c>
      <c r="B3145" s="158" t="s">
        <v>6353</v>
      </c>
    </row>
    <row r="3146">
      <c r="A3146" s="157">
        <v>3145.0</v>
      </c>
      <c r="B3146" s="158" t="s">
        <v>6354</v>
      </c>
    </row>
    <row r="3147">
      <c r="A3147" s="157">
        <v>3146.0</v>
      </c>
      <c r="B3147" s="158" t="s">
        <v>6355</v>
      </c>
    </row>
    <row r="3148">
      <c r="A3148" s="157">
        <v>3147.0</v>
      </c>
      <c r="B3148" s="158" t="s">
        <v>6356</v>
      </c>
    </row>
    <row r="3149">
      <c r="A3149" s="157">
        <v>3148.0</v>
      </c>
      <c r="B3149" s="158" t="s">
        <v>6357</v>
      </c>
    </row>
    <row r="3150">
      <c r="A3150" s="157">
        <v>3149.0</v>
      </c>
      <c r="B3150" s="158" t="s">
        <v>6358</v>
      </c>
    </row>
    <row r="3151">
      <c r="A3151" s="157">
        <v>3150.0</v>
      </c>
      <c r="B3151" s="158" t="s">
        <v>6359</v>
      </c>
    </row>
    <row r="3152">
      <c r="A3152" s="157">
        <v>3151.0</v>
      </c>
      <c r="B3152" s="159" t="s">
        <v>6360</v>
      </c>
    </row>
    <row r="3153">
      <c r="A3153" s="157">
        <v>3152.0</v>
      </c>
      <c r="B3153" s="159" t="s">
        <v>6361</v>
      </c>
    </row>
    <row r="3154">
      <c r="A3154" s="157">
        <v>3153.0</v>
      </c>
      <c r="B3154" s="159" t="s">
        <v>6362</v>
      </c>
    </row>
    <row r="3155">
      <c r="A3155" s="157">
        <v>3154.0</v>
      </c>
      <c r="B3155" s="158" t="s">
        <v>6363</v>
      </c>
    </row>
    <row r="3156">
      <c r="A3156" s="157">
        <v>3155.0</v>
      </c>
      <c r="B3156" s="158" t="s">
        <v>6364</v>
      </c>
    </row>
    <row r="3157">
      <c r="A3157" s="157">
        <v>3156.0</v>
      </c>
      <c r="B3157" s="158" t="s">
        <v>6365</v>
      </c>
    </row>
    <row r="3158">
      <c r="A3158" s="157">
        <v>3157.0</v>
      </c>
      <c r="B3158" s="158" t="s">
        <v>6366</v>
      </c>
    </row>
    <row r="3159">
      <c r="A3159" s="157">
        <v>3158.0</v>
      </c>
      <c r="B3159" s="158" t="s">
        <v>6367</v>
      </c>
    </row>
    <row r="3160">
      <c r="A3160" s="157">
        <v>3159.0</v>
      </c>
      <c r="B3160" s="158" t="s">
        <v>6368</v>
      </c>
    </row>
    <row r="3161">
      <c r="A3161" s="157">
        <v>3160.0</v>
      </c>
      <c r="B3161" s="158" t="s">
        <v>6369</v>
      </c>
    </row>
    <row r="3162">
      <c r="A3162" s="157">
        <v>3161.0</v>
      </c>
      <c r="B3162" s="158" t="s">
        <v>6370</v>
      </c>
    </row>
    <row r="3163">
      <c r="A3163" s="157">
        <v>3162.0</v>
      </c>
      <c r="B3163" s="158" t="s">
        <v>6371</v>
      </c>
    </row>
    <row r="3164">
      <c r="A3164" s="157">
        <v>3163.0</v>
      </c>
      <c r="B3164" s="159" t="s">
        <v>6372</v>
      </c>
    </row>
    <row r="3165">
      <c r="A3165" s="157">
        <v>3164.0</v>
      </c>
      <c r="B3165" s="159" t="s">
        <v>6373</v>
      </c>
    </row>
    <row r="3166">
      <c r="A3166" s="157">
        <v>3165.0</v>
      </c>
      <c r="B3166" s="158" t="s">
        <v>6374</v>
      </c>
    </row>
    <row r="3167">
      <c r="A3167" s="157">
        <v>3166.0</v>
      </c>
      <c r="B3167" s="159" t="s">
        <v>6375</v>
      </c>
    </row>
    <row r="3168">
      <c r="A3168" s="157">
        <v>3167.0</v>
      </c>
      <c r="B3168" s="159" t="s">
        <v>6376</v>
      </c>
    </row>
    <row r="3169">
      <c r="A3169" s="157">
        <v>3168.0</v>
      </c>
      <c r="B3169" s="159" t="s">
        <v>6377</v>
      </c>
    </row>
    <row r="3170">
      <c r="A3170" s="157">
        <v>3169.0</v>
      </c>
      <c r="B3170" s="158" t="s">
        <v>6378</v>
      </c>
    </row>
    <row r="3171">
      <c r="A3171" s="157">
        <v>3170.0</v>
      </c>
      <c r="B3171" s="158" t="s">
        <v>6379</v>
      </c>
    </row>
    <row r="3172">
      <c r="A3172" s="157">
        <v>3171.0</v>
      </c>
      <c r="B3172" s="158" t="s">
        <v>6380</v>
      </c>
    </row>
    <row r="3173">
      <c r="A3173" s="157">
        <v>3172.0</v>
      </c>
      <c r="B3173" s="159" t="s">
        <v>6381</v>
      </c>
    </row>
    <row r="3174">
      <c r="A3174" s="157">
        <v>3173.0</v>
      </c>
      <c r="B3174" s="159" t="s">
        <v>6382</v>
      </c>
    </row>
    <row r="3175">
      <c r="A3175" s="157">
        <v>3174.0</v>
      </c>
      <c r="B3175" s="159" t="s">
        <v>6383</v>
      </c>
    </row>
    <row r="3176">
      <c r="A3176" s="157">
        <v>3175.0</v>
      </c>
      <c r="B3176" s="159" t="s">
        <v>6384</v>
      </c>
    </row>
    <row r="3177">
      <c r="A3177" s="157">
        <v>3176.0</v>
      </c>
      <c r="B3177" s="158" t="s">
        <v>6385</v>
      </c>
    </row>
    <row r="3178">
      <c r="A3178" s="157">
        <v>3177.0</v>
      </c>
      <c r="B3178" s="158" t="s">
        <v>6386</v>
      </c>
    </row>
    <row r="3179">
      <c r="A3179" s="157">
        <v>3178.0</v>
      </c>
      <c r="B3179" s="158" t="s">
        <v>6387</v>
      </c>
    </row>
    <row r="3180">
      <c r="A3180" s="157">
        <v>3179.0</v>
      </c>
      <c r="B3180" s="158" t="s">
        <v>6388</v>
      </c>
    </row>
    <row r="3181">
      <c r="A3181" s="157">
        <v>3180.0</v>
      </c>
      <c r="B3181" s="158" t="s">
        <v>6389</v>
      </c>
    </row>
    <row r="3182">
      <c r="A3182" s="157">
        <v>3181.0</v>
      </c>
      <c r="B3182" s="159" t="s">
        <v>6390</v>
      </c>
    </row>
    <row r="3183">
      <c r="A3183" s="157">
        <v>3182.0</v>
      </c>
      <c r="B3183" s="159" t="s">
        <v>6391</v>
      </c>
    </row>
    <row r="3184">
      <c r="A3184" s="157">
        <v>3183.0</v>
      </c>
      <c r="B3184" s="159" t="s">
        <v>6392</v>
      </c>
    </row>
    <row r="3185">
      <c r="A3185" s="157">
        <v>3184.0</v>
      </c>
      <c r="B3185" s="159" t="s">
        <v>6393</v>
      </c>
    </row>
    <row r="3186">
      <c r="A3186" s="157">
        <v>3185.0</v>
      </c>
      <c r="B3186" s="159" t="s">
        <v>6394</v>
      </c>
    </row>
    <row r="3187">
      <c r="A3187" s="157">
        <v>3186.0</v>
      </c>
      <c r="B3187" s="159" t="s">
        <v>6395</v>
      </c>
    </row>
    <row r="3188">
      <c r="A3188" s="157">
        <v>3187.0</v>
      </c>
      <c r="B3188" s="159" t="s">
        <v>6396</v>
      </c>
    </row>
    <row r="3189">
      <c r="A3189" s="157">
        <v>3188.0</v>
      </c>
      <c r="B3189" s="159" t="s">
        <v>6397</v>
      </c>
    </row>
    <row r="3190">
      <c r="A3190" s="157">
        <v>3189.0</v>
      </c>
      <c r="B3190" s="158" t="s">
        <v>6398</v>
      </c>
    </row>
    <row r="3191">
      <c r="A3191" s="157">
        <v>3190.0</v>
      </c>
      <c r="B3191" s="158" t="s">
        <v>6399</v>
      </c>
    </row>
    <row r="3192">
      <c r="A3192" s="157">
        <v>3191.0</v>
      </c>
      <c r="B3192" s="158" t="s">
        <v>6400</v>
      </c>
    </row>
    <row r="3193">
      <c r="A3193" s="157">
        <v>3192.0</v>
      </c>
      <c r="B3193" s="158" t="s">
        <v>6401</v>
      </c>
    </row>
    <row r="3194">
      <c r="A3194" s="157">
        <v>3193.0</v>
      </c>
      <c r="B3194" s="158" t="s">
        <v>6402</v>
      </c>
    </row>
    <row r="3195">
      <c r="A3195" s="157">
        <v>3194.0</v>
      </c>
      <c r="B3195" s="158" t="s">
        <v>6403</v>
      </c>
    </row>
    <row r="3196">
      <c r="A3196" s="157">
        <v>3195.0</v>
      </c>
      <c r="B3196" s="158" t="s">
        <v>6404</v>
      </c>
    </row>
    <row r="3197">
      <c r="A3197" s="157">
        <v>3196.0</v>
      </c>
      <c r="B3197" s="158" t="s">
        <v>6405</v>
      </c>
    </row>
    <row r="3198">
      <c r="A3198" s="157">
        <v>3197.0</v>
      </c>
      <c r="B3198" s="159" t="s">
        <v>6406</v>
      </c>
    </row>
    <row r="3199">
      <c r="A3199" s="157">
        <v>3198.0</v>
      </c>
      <c r="B3199" s="159" t="s">
        <v>6407</v>
      </c>
    </row>
    <row r="3200">
      <c r="A3200" s="157">
        <v>3199.0</v>
      </c>
      <c r="B3200" s="158" t="s">
        <v>6408</v>
      </c>
    </row>
    <row r="3201">
      <c r="A3201" s="157">
        <v>3200.0</v>
      </c>
      <c r="B3201" s="158" t="s">
        <v>6409</v>
      </c>
    </row>
    <row r="3202">
      <c r="A3202" s="157">
        <v>3201.0</v>
      </c>
      <c r="B3202" s="158" t="s">
        <v>6410</v>
      </c>
    </row>
    <row r="3203">
      <c r="A3203" s="157">
        <v>3202.0</v>
      </c>
      <c r="B3203" s="158" t="s">
        <v>6411</v>
      </c>
    </row>
    <row r="3204">
      <c r="A3204" s="157">
        <v>3203.0</v>
      </c>
      <c r="B3204" s="158" t="s">
        <v>6412</v>
      </c>
    </row>
    <row r="3205">
      <c r="A3205" s="157">
        <v>3204.0</v>
      </c>
      <c r="B3205" s="158" t="s">
        <v>6413</v>
      </c>
    </row>
    <row r="3206">
      <c r="A3206" s="157">
        <v>3205.0</v>
      </c>
      <c r="B3206" s="158" t="s">
        <v>6414</v>
      </c>
    </row>
    <row r="3207">
      <c r="A3207" s="157">
        <v>3206.0</v>
      </c>
      <c r="B3207" s="158" t="s">
        <v>6415</v>
      </c>
    </row>
    <row r="3208">
      <c r="A3208" s="157">
        <v>3207.0</v>
      </c>
      <c r="B3208" s="158" t="s">
        <v>6416</v>
      </c>
    </row>
    <row r="3209">
      <c r="A3209" s="157">
        <v>3208.0</v>
      </c>
      <c r="B3209" s="158" t="s">
        <v>6417</v>
      </c>
    </row>
    <row r="3210">
      <c r="A3210" s="157">
        <v>3209.0</v>
      </c>
      <c r="B3210" s="158" t="s">
        <v>6418</v>
      </c>
    </row>
    <row r="3211">
      <c r="A3211" s="157">
        <v>3210.0</v>
      </c>
      <c r="B3211" s="158" t="s">
        <v>6419</v>
      </c>
    </row>
    <row r="3212">
      <c r="A3212" s="157">
        <v>3211.0</v>
      </c>
      <c r="B3212" s="158" t="s">
        <v>6420</v>
      </c>
    </row>
    <row r="3213">
      <c r="A3213" s="157">
        <v>3212.0</v>
      </c>
      <c r="B3213" s="158" t="s">
        <v>6421</v>
      </c>
    </row>
    <row r="3214">
      <c r="A3214" s="157">
        <v>3213.0</v>
      </c>
      <c r="B3214" s="158" t="s">
        <v>6422</v>
      </c>
    </row>
    <row r="3215">
      <c r="A3215" s="157">
        <v>3214.0</v>
      </c>
      <c r="B3215" s="158" t="s">
        <v>6423</v>
      </c>
    </row>
    <row r="3216">
      <c r="A3216" s="157">
        <v>3215.0</v>
      </c>
      <c r="B3216" s="158" t="s">
        <v>6424</v>
      </c>
    </row>
    <row r="3217">
      <c r="A3217" s="157">
        <v>3216.0</v>
      </c>
      <c r="B3217" s="158" t="s">
        <v>6425</v>
      </c>
    </row>
    <row r="3218">
      <c r="A3218" s="157">
        <v>3217.0</v>
      </c>
      <c r="B3218" s="158" t="s">
        <v>6426</v>
      </c>
    </row>
    <row r="3219">
      <c r="A3219" s="157">
        <v>3218.0</v>
      </c>
      <c r="B3219" s="158" t="s">
        <v>6427</v>
      </c>
    </row>
    <row r="3220">
      <c r="A3220" s="157">
        <v>3219.0</v>
      </c>
      <c r="B3220" s="158" t="s">
        <v>6428</v>
      </c>
    </row>
    <row r="3221">
      <c r="A3221" s="157">
        <v>3220.0</v>
      </c>
      <c r="B3221" s="158" t="s">
        <v>6429</v>
      </c>
    </row>
    <row r="3222">
      <c r="A3222" s="157">
        <v>3221.0</v>
      </c>
      <c r="B3222" s="158" t="s">
        <v>6430</v>
      </c>
    </row>
    <row r="3223">
      <c r="A3223" s="157">
        <v>3222.0</v>
      </c>
      <c r="B3223" s="158" t="s">
        <v>6431</v>
      </c>
    </row>
    <row r="3224">
      <c r="A3224" s="157">
        <v>3223.0</v>
      </c>
      <c r="B3224" s="158" t="s">
        <v>6432</v>
      </c>
    </row>
    <row r="3225">
      <c r="A3225" s="157">
        <v>3224.0</v>
      </c>
      <c r="B3225" s="158" t="s">
        <v>6433</v>
      </c>
    </row>
    <row r="3226">
      <c r="A3226" s="157">
        <v>3225.0</v>
      </c>
      <c r="B3226" s="158" t="s">
        <v>6434</v>
      </c>
    </row>
    <row r="3227">
      <c r="A3227" s="157">
        <v>3226.0</v>
      </c>
      <c r="B3227" s="158" t="s">
        <v>6435</v>
      </c>
    </row>
    <row r="3228">
      <c r="A3228" s="157">
        <v>3227.0</v>
      </c>
      <c r="B3228" s="158" t="s">
        <v>6436</v>
      </c>
    </row>
    <row r="3229">
      <c r="A3229" s="157">
        <v>3228.0</v>
      </c>
      <c r="B3229" s="158" t="s">
        <v>6437</v>
      </c>
    </row>
    <row r="3230">
      <c r="A3230" s="157">
        <v>3229.0</v>
      </c>
      <c r="B3230" s="158" t="s">
        <v>6438</v>
      </c>
    </row>
    <row r="3231">
      <c r="A3231" s="157">
        <v>3230.0</v>
      </c>
      <c r="B3231" s="158" t="s">
        <v>6439</v>
      </c>
    </row>
    <row r="3232">
      <c r="A3232" s="157">
        <v>3231.0</v>
      </c>
      <c r="B3232" s="158" t="s">
        <v>6440</v>
      </c>
    </row>
    <row r="3233">
      <c r="A3233" s="157">
        <v>3232.0</v>
      </c>
      <c r="B3233" s="158" t="s">
        <v>6441</v>
      </c>
    </row>
    <row r="3234">
      <c r="A3234" s="157">
        <v>3233.0</v>
      </c>
      <c r="B3234" s="158" t="s">
        <v>6442</v>
      </c>
    </row>
    <row r="3235">
      <c r="A3235" s="157">
        <v>3234.0</v>
      </c>
      <c r="B3235" s="158" t="s">
        <v>6443</v>
      </c>
    </row>
    <row r="3236">
      <c r="A3236" s="157">
        <v>3235.0</v>
      </c>
      <c r="B3236" s="158" t="s">
        <v>6444</v>
      </c>
    </row>
    <row r="3237">
      <c r="A3237" s="157">
        <v>3236.0</v>
      </c>
      <c r="B3237" s="158" t="s">
        <v>6445</v>
      </c>
    </row>
    <row r="3238">
      <c r="A3238" s="157">
        <v>3237.0</v>
      </c>
      <c r="B3238" s="158" t="s">
        <v>6446</v>
      </c>
    </row>
    <row r="3239">
      <c r="A3239" s="157">
        <v>3238.0</v>
      </c>
      <c r="B3239" s="158" t="s">
        <v>6447</v>
      </c>
    </row>
    <row r="3240">
      <c r="A3240" s="157">
        <v>3239.0</v>
      </c>
      <c r="B3240" s="158" t="s">
        <v>6448</v>
      </c>
    </row>
    <row r="3241">
      <c r="A3241" s="157">
        <v>3240.0</v>
      </c>
      <c r="B3241" s="158" t="s">
        <v>6449</v>
      </c>
    </row>
    <row r="3242">
      <c r="A3242" s="157">
        <v>3241.0</v>
      </c>
      <c r="B3242" s="158" t="s">
        <v>6450</v>
      </c>
    </row>
    <row r="3243">
      <c r="A3243" s="157">
        <v>3242.0</v>
      </c>
      <c r="B3243" s="158" t="s">
        <v>6451</v>
      </c>
    </row>
    <row r="3244">
      <c r="A3244" s="157">
        <v>3243.0</v>
      </c>
      <c r="B3244" s="158" t="s">
        <v>6452</v>
      </c>
    </row>
    <row r="3245">
      <c r="A3245" s="157">
        <v>3244.0</v>
      </c>
      <c r="B3245" s="158" t="s">
        <v>6453</v>
      </c>
    </row>
    <row r="3246">
      <c r="A3246" s="157">
        <v>3245.0</v>
      </c>
      <c r="B3246" s="158" t="s">
        <v>6454</v>
      </c>
    </row>
    <row r="3247">
      <c r="A3247" s="157">
        <v>3246.0</v>
      </c>
      <c r="B3247" s="158" t="s">
        <v>6455</v>
      </c>
    </row>
    <row r="3248">
      <c r="A3248" s="157">
        <v>3247.0</v>
      </c>
      <c r="B3248" s="158" t="s">
        <v>6456</v>
      </c>
    </row>
    <row r="3249">
      <c r="A3249" s="157">
        <v>3248.0</v>
      </c>
      <c r="B3249" s="158" t="s">
        <v>6457</v>
      </c>
    </row>
    <row r="3250">
      <c r="A3250" s="157">
        <v>3249.0</v>
      </c>
      <c r="B3250" s="158" t="s">
        <v>6458</v>
      </c>
    </row>
    <row r="3251">
      <c r="A3251" s="157">
        <v>3250.0</v>
      </c>
      <c r="B3251" s="158" t="s">
        <v>6459</v>
      </c>
    </row>
    <row r="3252">
      <c r="A3252" s="157">
        <v>3251.0</v>
      </c>
      <c r="B3252" s="158" t="s">
        <v>6460</v>
      </c>
    </row>
    <row r="3253">
      <c r="A3253" s="157">
        <v>3252.0</v>
      </c>
      <c r="B3253" s="158" t="s">
        <v>6461</v>
      </c>
    </row>
    <row r="3254">
      <c r="A3254" s="157">
        <v>3253.0</v>
      </c>
      <c r="B3254" s="158" t="s">
        <v>6462</v>
      </c>
    </row>
    <row r="3255">
      <c r="A3255" s="157">
        <v>3254.0</v>
      </c>
      <c r="B3255" s="158" t="s">
        <v>6463</v>
      </c>
    </row>
    <row r="3256">
      <c r="A3256" s="157">
        <v>3255.0</v>
      </c>
      <c r="B3256" s="158" t="s">
        <v>6464</v>
      </c>
    </row>
    <row r="3257">
      <c r="A3257" s="157">
        <v>3256.0</v>
      </c>
      <c r="B3257" s="158" t="s">
        <v>6465</v>
      </c>
    </row>
    <row r="3258">
      <c r="A3258" s="157">
        <v>3257.0</v>
      </c>
      <c r="B3258" s="158" t="s">
        <v>6466</v>
      </c>
    </row>
    <row r="3259">
      <c r="A3259" s="157">
        <v>3258.0</v>
      </c>
      <c r="B3259" s="158" t="s">
        <v>6467</v>
      </c>
    </row>
    <row r="3260">
      <c r="A3260" s="157">
        <v>3259.0</v>
      </c>
      <c r="B3260" s="158" t="s">
        <v>6468</v>
      </c>
    </row>
    <row r="3261">
      <c r="A3261" s="157">
        <v>3260.0</v>
      </c>
      <c r="B3261" s="159" t="s">
        <v>6469</v>
      </c>
    </row>
    <row r="3262">
      <c r="A3262" s="157">
        <v>3261.0</v>
      </c>
      <c r="B3262" s="158" t="s">
        <v>6470</v>
      </c>
    </row>
    <row r="3263">
      <c r="A3263" s="157">
        <v>3262.0</v>
      </c>
      <c r="B3263" s="159" t="s">
        <v>6471</v>
      </c>
    </row>
    <row r="3264">
      <c r="A3264" s="157">
        <v>3263.0</v>
      </c>
      <c r="B3264" s="159" t="s">
        <v>6472</v>
      </c>
    </row>
    <row r="3265">
      <c r="A3265" s="157">
        <v>3264.0</v>
      </c>
      <c r="B3265" s="159" t="s">
        <v>6473</v>
      </c>
    </row>
    <row r="3266">
      <c r="A3266" s="157">
        <v>3265.0</v>
      </c>
      <c r="B3266" s="158" t="s">
        <v>6474</v>
      </c>
    </row>
    <row r="3267">
      <c r="A3267" s="157">
        <v>3266.0</v>
      </c>
      <c r="B3267" s="158" t="s">
        <v>6475</v>
      </c>
    </row>
    <row r="3268">
      <c r="A3268" s="157">
        <v>3267.0</v>
      </c>
      <c r="B3268" s="158" t="s">
        <v>6476</v>
      </c>
    </row>
    <row r="3269">
      <c r="A3269" s="157">
        <v>3268.0</v>
      </c>
      <c r="B3269" s="158" t="s">
        <v>6477</v>
      </c>
    </row>
    <row r="3270">
      <c r="A3270" s="157">
        <v>3269.0</v>
      </c>
      <c r="B3270" s="159" t="s">
        <v>6478</v>
      </c>
    </row>
    <row r="3271">
      <c r="A3271" s="157">
        <v>3270.0</v>
      </c>
      <c r="B3271" s="158" t="s">
        <v>6479</v>
      </c>
    </row>
    <row r="3272">
      <c r="A3272" s="157">
        <v>3271.0</v>
      </c>
      <c r="B3272" s="158" t="s">
        <v>6480</v>
      </c>
    </row>
    <row r="3273">
      <c r="A3273" s="157">
        <v>3272.0</v>
      </c>
      <c r="B3273" s="158" t="s">
        <v>6481</v>
      </c>
    </row>
    <row r="3274">
      <c r="A3274" s="157">
        <v>3273.0</v>
      </c>
      <c r="B3274" s="158" t="s">
        <v>6482</v>
      </c>
    </row>
    <row r="3275">
      <c r="A3275" s="157">
        <v>3274.0</v>
      </c>
      <c r="B3275" s="158" t="s">
        <v>6483</v>
      </c>
    </row>
    <row r="3276">
      <c r="A3276" s="157">
        <v>3275.0</v>
      </c>
      <c r="B3276" s="159" t="s">
        <v>6484</v>
      </c>
    </row>
    <row r="3277">
      <c r="A3277" s="157">
        <v>3276.0</v>
      </c>
      <c r="B3277" s="159" t="s">
        <v>6485</v>
      </c>
    </row>
    <row r="3278">
      <c r="A3278" s="157">
        <v>3277.0</v>
      </c>
      <c r="B3278" s="158" t="s">
        <v>6486</v>
      </c>
    </row>
    <row r="3279">
      <c r="A3279" s="157">
        <v>3278.0</v>
      </c>
      <c r="B3279" s="158" t="s">
        <v>6487</v>
      </c>
    </row>
    <row r="3280">
      <c r="A3280" s="157">
        <v>3279.0</v>
      </c>
      <c r="B3280" s="158" t="s">
        <v>6488</v>
      </c>
    </row>
    <row r="3281">
      <c r="A3281" s="157">
        <v>3280.0</v>
      </c>
      <c r="B3281" s="159" t="s">
        <v>6489</v>
      </c>
    </row>
    <row r="3282">
      <c r="A3282" s="157">
        <v>3281.0</v>
      </c>
      <c r="B3282" s="158" t="s">
        <v>6490</v>
      </c>
    </row>
    <row r="3283">
      <c r="A3283" s="157">
        <v>3282.0</v>
      </c>
      <c r="B3283" s="158" t="s">
        <v>6491</v>
      </c>
    </row>
    <row r="3284">
      <c r="A3284" s="157">
        <v>3283.0</v>
      </c>
      <c r="B3284" s="158" t="s">
        <v>6492</v>
      </c>
    </row>
    <row r="3285">
      <c r="A3285" s="157">
        <v>3284.0</v>
      </c>
      <c r="B3285" s="158" t="s">
        <v>6493</v>
      </c>
    </row>
    <row r="3286">
      <c r="A3286" s="157">
        <v>3285.0</v>
      </c>
      <c r="B3286" s="158" t="s">
        <v>6494</v>
      </c>
    </row>
    <row r="3287">
      <c r="A3287" s="157">
        <v>3286.0</v>
      </c>
      <c r="B3287" s="158" t="s">
        <v>6495</v>
      </c>
    </row>
    <row r="3288">
      <c r="A3288" s="157">
        <v>3287.0</v>
      </c>
      <c r="B3288" s="158" t="s">
        <v>6496</v>
      </c>
    </row>
    <row r="3289">
      <c r="A3289" s="157">
        <v>3288.0</v>
      </c>
      <c r="B3289" s="158" t="s">
        <v>6497</v>
      </c>
    </row>
    <row r="3290">
      <c r="A3290" s="157">
        <v>3289.0</v>
      </c>
      <c r="B3290" s="158" t="s">
        <v>6498</v>
      </c>
    </row>
    <row r="3291">
      <c r="A3291" s="157">
        <v>3290.0</v>
      </c>
      <c r="B3291" s="158" t="s">
        <v>6499</v>
      </c>
    </row>
    <row r="3292">
      <c r="A3292" s="157">
        <v>3291.0</v>
      </c>
      <c r="B3292" s="158" t="s">
        <v>6500</v>
      </c>
    </row>
    <row r="3293">
      <c r="A3293" s="157">
        <v>3292.0</v>
      </c>
      <c r="B3293" s="158" t="s">
        <v>6501</v>
      </c>
    </row>
    <row r="3294">
      <c r="A3294" s="157">
        <v>3293.0</v>
      </c>
      <c r="B3294" s="158" t="s">
        <v>6502</v>
      </c>
    </row>
    <row r="3295">
      <c r="A3295" s="157">
        <v>3294.0</v>
      </c>
      <c r="B3295" s="159" t="s">
        <v>6503</v>
      </c>
    </row>
    <row r="3296">
      <c r="A3296" s="157">
        <v>3295.0</v>
      </c>
      <c r="B3296" s="159" t="s">
        <v>6504</v>
      </c>
    </row>
    <row r="3297">
      <c r="A3297" s="157">
        <v>3296.0</v>
      </c>
      <c r="B3297" s="159" t="s">
        <v>6505</v>
      </c>
    </row>
    <row r="3298">
      <c r="A3298" s="157">
        <v>3297.0</v>
      </c>
      <c r="B3298" s="158" t="s">
        <v>6506</v>
      </c>
    </row>
    <row r="3299">
      <c r="A3299" s="157">
        <v>3298.0</v>
      </c>
      <c r="B3299" s="158" t="s">
        <v>6507</v>
      </c>
    </row>
    <row r="3300">
      <c r="A3300" s="157">
        <v>3299.0</v>
      </c>
      <c r="B3300" s="158" t="s">
        <v>6508</v>
      </c>
    </row>
    <row r="3301">
      <c r="A3301" s="157">
        <v>3300.0</v>
      </c>
      <c r="B3301" s="159" t="s">
        <v>6509</v>
      </c>
    </row>
    <row r="3302">
      <c r="A3302" s="157">
        <v>3301.0</v>
      </c>
      <c r="B3302" s="158" t="s">
        <v>6510</v>
      </c>
    </row>
    <row r="3303">
      <c r="A3303" s="157">
        <v>3302.0</v>
      </c>
      <c r="B3303" s="159" t="s">
        <v>6511</v>
      </c>
    </row>
    <row r="3304">
      <c r="A3304" s="157">
        <v>3303.0</v>
      </c>
      <c r="B3304" s="158" t="s">
        <v>6512</v>
      </c>
    </row>
    <row r="3305">
      <c r="A3305" s="157">
        <v>3304.0</v>
      </c>
      <c r="B3305" s="158" t="s">
        <v>6513</v>
      </c>
    </row>
    <row r="3306">
      <c r="A3306" s="157">
        <v>3305.0</v>
      </c>
      <c r="B3306" s="158" t="s">
        <v>6514</v>
      </c>
    </row>
    <row r="3307">
      <c r="A3307" s="157">
        <v>3306.0</v>
      </c>
      <c r="B3307" s="158" t="s">
        <v>6515</v>
      </c>
    </row>
    <row r="3308">
      <c r="A3308" s="157">
        <v>3307.0</v>
      </c>
      <c r="B3308" s="158" t="s">
        <v>6516</v>
      </c>
    </row>
    <row r="3309">
      <c r="A3309" s="157">
        <v>3308.0</v>
      </c>
      <c r="B3309" s="158" t="s">
        <v>6517</v>
      </c>
    </row>
    <row r="3310">
      <c r="A3310" s="157">
        <v>3309.0</v>
      </c>
      <c r="B3310" s="158" t="s">
        <v>6518</v>
      </c>
    </row>
    <row r="3311">
      <c r="A3311" s="157">
        <v>3310.0</v>
      </c>
      <c r="B3311" s="158" t="s">
        <v>6519</v>
      </c>
    </row>
    <row r="3312">
      <c r="A3312" s="157">
        <v>3311.0</v>
      </c>
      <c r="B3312" s="158" t="s">
        <v>6520</v>
      </c>
    </row>
    <row r="3313">
      <c r="A3313" s="157">
        <v>3312.0</v>
      </c>
      <c r="B3313" s="158" t="s">
        <v>6521</v>
      </c>
    </row>
    <row r="3314">
      <c r="A3314" s="157">
        <v>3313.0</v>
      </c>
      <c r="B3314" s="158" t="s">
        <v>6522</v>
      </c>
    </row>
    <row r="3315">
      <c r="A3315" s="157">
        <v>3314.0</v>
      </c>
      <c r="B3315" s="158" t="s">
        <v>6523</v>
      </c>
    </row>
    <row r="3316">
      <c r="A3316" s="157">
        <v>3315.0</v>
      </c>
      <c r="B3316" s="158" t="s">
        <v>6524</v>
      </c>
    </row>
    <row r="3317">
      <c r="A3317" s="157">
        <v>3316.0</v>
      </c>
      <c r="B3317" s="158" t="s">
        <v>6525</v>
      </c>
    </row>
    <row r="3318">
      <c r="A3318" s="157">
        <v>3317.0</v>
      </c>
      <c r="B3318" s="158" t="s">
        <v>6526</v>
      </c>
    </row>
    <row r="3319">
      <c r="A3319" s="157">
        <v>3318.0</v>
      </c>
      <c r="B3319" s="158" t="s">
        <v>6527</v>
      </c>
    </row>
    <row r="3320">
      <c r="A3320" s="157">
        <v>3319.0</v>
      </c>
      <c r="B3320" s="158" t="s">
        <v>6528</v>
      </c>
    </row>
    <row r="3321">
      <c r="A3321" s="157">
        <v>3320.0</v>
      </c>
      <c r="B3321" s="158" t="s">
        <v>6529</v>
      </c>
    </row>
    <row r="3322">
      <c r="A3322" s="157">
        <v>3321.0</v>
      </c>
      <c r="B3322" s="158" t="s">
        <v>6530</v>
      </c>
    </row>
    <row r="3323">
      <c r="A3323" s="157">
        <v>3322.0</v>
      </c>
      <c r="B3323" s="158" t="s">
        <v>6531</v>
      </c>
    </row>
    <row r="3324">
      <c r="A3324" s="157">
        <v>3323.0</v>
      </c>
      <c r="B3324" s="158" t="s">
        <v>6532</v>
      </c>
    </row>
    <row r="3325">
      <c r="A3325" s="157">
        <v>3324.0</v>
      </c>
      <c r="B3325" s="158" t="s">
        <v>6533</v>
      </c>
    </row>
    <row r="3326">
      <c r="A3326" s="157">
        <v>3325.0</v>
      </c>
      <c r="B3326" s="159" t="s">
        <v>6534</v>
      </c>
    </row>
    <row r="3327">
      <c r="A3327" s="157">
        <v>3326.0</v>
      </c>
      <c r="B3327" s="158" t="s">
        <v>6535</v>
      </c>
    </row>
    <row r="3328">
      <c r="A3328" s="157">
        <v>3327.0</v>
      </c>
      <c r="B3328" s="158" t="s">
        <v>6536</v>
      </c>
    </row>
    <row r="3329">
      <c r="A3329" s="157">
        <v>3328.0</v>
      </c>
      <c r="B3329" s="158" t="s">
        <v>6537</v>
      </c>
    </row>
    <row r="3330">
      <c r="A3330" s="157">
        <v>3329.0</v>
      </c>
      <c r="B3330" s="159" t="s">
        <v>6538</v>
      </c>
    </row>
    <row r="3331">
      <c r="A3331" s="157">
        <v>3330.0</v>
      </c>
      <c r="B3331" s="159" t="s">
        <v>6539</v>
      </c>
    </row>
    <row r="3332">
      <c r="A3332" s="157">
        <v>3331.0</v>
      </c>
      <c r="B3332" s="158" t="s">
        <v>6540</v>
      </c>
    </row>
    <row r="3333">
      <c r="A3333" s="157">
        <v>3332.0</v>
      </c>
      <c r="B3333" s="159" t="s">
        <v>6541</v>
      </c>
    </row>
    <row r="3334">
      <c r="A3334" s="157">
        <v>3333.0</v>
      </c>
      <c r="B3334" s="158" t="s">
        <v>6542</v>
      </c>
    </row>
    <row r="3335">
      <c r="A3335" s="157">
        <v>3334.0</v>
      </c>
      <c r="B3335" s="158" t="s">
        <v>6543</v>
      </c>
    </row>
    <row r="3336">
      <c r="A3336" s="157">
        <v>3335.0</v>
      </c>
      <c r="B3336" s="158" t="s">
        <v>6544</v>
      </c>
    </row>
    <row r="3337">
      <c r="A3337" s="157">
        <v>3336.0</v>
      </c>
      <c r="B3337" s="158" t="s">
        <v>6545</v>
      </c>
    </row>
    <row r="3338">
      <c r="A3338" s="157">
        <v>3337.0</v>
      </c>
      <c r="B3338" s="159" t="s">
        <v>6546</v>
      </c>
    </row>
    <row r="3339">
      <c r="A3339" s="157">
        <v>3338.0</v>
      </c>
      <c r="B3339" s="159" t="s">
        <v>6547</v>
      </c>
    </row>
    <row r="3340">
      <c r="A3340" s="157">
        <v>3339.0</v>
      </c>
      <c r="B3340" s="158" t="s">
        <v>6548</v>
      </c>
    </row>
    <row r="3341">
      <c r="A3341" s="157">
        <v>3340.0</v>
      </c>
      <c r="B3341" s="158" t="s">
        <v>6549</v>
      </c>
    </row>
    <row r="3342">
      <c r="A3342" s="157">
        <v>3341.0</v>
      </c>
      <c r="B3342" s="158" t="s">
        <v>6550</v>
      </c>
    </row>
    <row r="3343">
      <c r="A3343" s="157">
        <v>3342.0</v>
      </c>
      <c r="B3343" s="158" t="s">
        <v>6551</v>
      </c>
    </row>
    <row r="3344">
      <c r="A3344" s="157">
        <v>3343.0</v>
      </c>
      <c r="B3344" s="158" t="s">
        <v>6552</v>
      </c>
    </row>
    <row r="3345">
      <c r="A3345" s="157">
        <v>3344.0</v>
      </c>
      <c r="B3345" s="158" t="s">
        <v>6553</v>
      </c>
    </row>
    <row r="3346">
      <c r="A3346" s="157">
        <v>3345.0</v>
      </c>
      <c r="B3346" s="158" t="s">
        <v>6554</v>
      </c>
    </row>
    <row r="3347">
      <c r="A3347" s="157">
        <v>3346.0</v>
      </c>
      <c r="B3347" s="159" t="s">
        <v>6555</v>
      </c>
    </row>
    <row r="3348">
      <c r="A3348" s="157">
        <v>3347.0</v>
      </c>
      <c r="B3348" s="159" t="s">
        <v>6556</v>
      </c>
    </row>
    <row r="3349">
      <c r="A3349" s="157">
        <v>3348.0</v>
      </c>
      <c r="B3349" s="159" t="s">
        <v>6557</v>
      </c>
    </row>
    <row r="3350">
      <c r="A3350" s="157">
        <v>3349.0</v>
      </c>
      <c r="B3350" s="159" t="s">
        <v>6558</v>
      </c>
    </row>
    <row r="3351">
      <c r="A3351" s="157">
        <v>3350.0</v>
      </c>
      <c r="B3351" s="158" t="s">
        <v>6559</v>
      </c>
    </row>
    <row r="3352">
      <c r="A3352" s="157">
        <v>3351.0</v>
      </c>
      <c r="B3352" s="158" t="s">
        <v>6560</v>
      </c>
    </row>
    <row r="3353">
      <c r="A3353" s="157">
        <v>3352.0</v>
      </c>
      <c r="B3353" s="158" t="s">
        <v>6561</v>
      </c>
    </row>
    <row r="3354">
      <c r="A3354" s="157">
        <v>3353.0</v>
      </c>
      <c r="B3354" s="158" t="s">
        <v>6562</v>
      </c>
    </row>
    <row r="3355">
      <c r="A3355" s="157">
        <v>3354.0</v>
      </c>
      <c r="B3355" s="158" t="s">
        <v>6563</v>
      </c>
    </row>
    <row r="3356">
      <c r="A3356" s="157">
        <v>3355.0</v>
      </c>
      <c r="B3356" s="158" t="s">
        <v>6564</v>
      </c>
    </row>
    <row r="3357">
      <c r="A3357" s="157">
        <v>3356.0</v>
      </c>
      <c r="B3357" s="158" t="s">
        <v>6565</v>
      </c>
    </row>
    <row r="3358">
      <c r="A3358" s="157">
        <v>3357.0</v>
      </c>
      <c r="B3358" s="158" t="s">
        <v>6566</v>
      </c>
    </row>
    <row r="3359">
      <c r="A3359" s="157">
        <v>3358.0</v>
      </c>
      <c r="B3359" s="158" t="s">
        <v>6567</v>
      </c>
    </row>
    <row r="3360">
      <c r="A3360" s="157">
        <v>3359.0</v>
      </c>
      <c r="B3360" s="158" t="s">
        <v>6568</v>
      </c>
    </row>
    <row r="3361">
      <c r="A3361" s="157">
        <v>3360.0</v>
      </c>
      <c r="B3361" s="159" t="s">
        <v>6569</v>
      </c>
    </row>
    <row r="3362">
      <c r="A3362" s="157">
        <v>3361.0</v>
      </c>
      <c r="B3362" s="158" t="s">
        <v>6570</v>
      </c>
    </row>
    <row r="3363">
      <c r="A3363" s="157">
        <v>3362.0</v>
      </c>
      <c r="B3363" s="158" t="s">
        <v>6571</v>
      </c>
    </row>
    <row r="3364">
      <c r="A3364" s="157">
        <v>3363.0</v>
      </c>
      <c r="B3364" s="158" t="s">
        <v>6572</v>
      </c>
    </row>
    <row r="3365">
      <c r="A3365" s="157">
        <v>3364.0</v>
      </c>
      <c r="B3365" s="158" t="s">
        <v>6573</v>
      </c>
    </row>
    <row r="3366">
      <c r="A3366" s="157">
        <v>3365.0</v>
      </c>
      <c r="B3366" s="158" t="s">
        <v>6574</v>
      </c>
    </row>
    <row r="3367">
      <c r="A3367" s="157">
        <v>3366.0</v>
      </c>
      <c r="B3367" s="159" t="s">
        <v>6575</v>
      </c>
    </row>
    <row r="3368">
      <c r="A3368" s="157">
        <v>3367.0</v>
      </c>
      <c r="B3368" s="159" t="s">
        <v>6576</v>
      </c>
    </row>
    <row r="3369">
      <c r="A3369" s="157">
        <v>3368.0</v>
      </c>
      <c r="B3369" s="158" t="s">
        <v>6577</v>
      </c>
    </row>
    <row r="3370">
      <c r="A3370" s="157">
        <v>3369.0</v>
      </c>
      <c r="B3370" s="158" t="s">
        <v>6578</v>
      </c>
    </row>
    <row r="3371">
      <c r="A3371" s="157">
        <v>3370.0</v>
      </c>
      <c r="B3371" s="159" t="s">
        <v>6579</v>
      </c>
    </row>
    <row r="3372">
      <c r="A3372" s="157">
        <v>3371.0</v>
      </c>
      <c r="B3372" s="158" t="s">
        <v>6580</v>
      </c>
    </row>
    <row r="3373">
      <c r="A3373" s="157">
        <v>3372.0</v>
      </c>
      <c r="B3373" s="158" t="s">
        <v>6581</v>
      </c>
    </row>
    <row r="3374">
      <c r="A3374" s="157">
        <v>3373.0</v>
      </c>
      <c r="B3374" s="158" t="s">
        <v>6582</v>
      </c>
    </row>
    <row r="3375">
      <c r="A3375" s="157">
        <v>3374.0</v>
      </c>
      <c r="B3375" s="158" t="s">
        <v>6583</v>
      </c>
    </row>
    <row r="3376">
      <c r="A3376" s="157">
        <v>3375.0</v>
      </c>
      <c r="B3376" s="158" t="s">
        <v>6584</v>
      </c>
    </row>
    <row r="3377">
      <c r="A3377" s="157">
        <v>3376.0</v>
      </c>
      <c r="B3377" s="159" t="s">
        <v>6585</v>
      </c>
    </row>
    <row r="3378">
      <c r="A3378" s="157">
        <v>3377.0</v>
      </c>
      <c r="B3378" s="158" t="s">
        <v>6586</v>
      </c>
    </row>
    <row r="3379">
      <c r="A3379" s="157">
        <v>3378.0</v>
      </c>
      <c r="B3379" s="159" t="s">
        <v>6587</v>
      </c>
    </row>
    <row r="3380">
      <c r="A3380" s="157">
        <v>3379.0</v>
      </c>
      <c r="B3380" s="158" t="s">
        <v>6588</v>
      </c>
    </row>
    <row r="3381">
      <c r="A3381" s="157">
        <v>3380.0</v>
      </c>
      <c r="B3381" s="158" t="s">
        <v>6589</v>
      </c>
    </row>
    <row r="3382">
      <c r="A3382" s="157">
        <v>3381.0</v>
      </c>
      <c r="B3382" s="158" t="s">
        <v>6590</v>
      </c>
    </row>
    <row r="3383">
      <c r="A3383" s="157">
        <v>3382.0</v>
      </c>
      <c r="B3383" s="158" t="s">
        <v>6591</v>
      </c>
    </row>
    <row r="3384">
      <c r="A3384" s="157">
        <v>3383.0</v>
      </c>
      <c r="B3384" s="158" t="s">
        <v>6592</v>
      </c>
    </row>
    <row r="3385">
      <c r="A3385" s="157">
        <v>3384.0</v>
      </c>
      <c r="B3385" s="158" t="s">
        <v>6593</v>
      </c>
    </row>
    <row r="3386">
      <c r="A3386" s="157">
        <v>3385.0</v>
      </c>
      <c r="B3386" s="158" t="s">
        <v>6594</v>
      </c>
    </row>
    <row r="3387">
      <c r="A3387" s="157">
        <v>3386.0</v>
      </c>
      <c r="B3387" s="159" t="s">
        <v>6595</v>
      </c>
    </row>
    <row r="3388">
      <c r="A3388" s="157">
        <v>3387.0</v>
      </c>
      <c r="B3388" s="159" t="s">
        <v>6596</v>
      </c>
    </row>
    <row r="3389">
      <c r="A3389" s="157">
        <v>3388.0</v>
      </c>
      <c r="B3389" s="158" t="s">
        <v>6597</v>
      </c>
    </row>
    <row r="3390">
      <c r="A3390" s="157">
        <v>3389.0</v>
      </c>
      <c r="B3390" s="158" t="s">
        <v>6598</v>
      </c>
    </row>
    <row r="3391">
      <c r="A3391" s="157">
        <v>3390.0</v>
      </c>
      <c r="B3391" s="159" t="s">
        <v>6599</v>
      </c>
    </row>
    <row r="3392">
      <c r="A3392" s="157">
        <v>3391.0</v>
      </c>
      <c r="B3392" s="159" t="s">
        <v>6600</v>
      </c>
    </row>
    <row r="3393">
      <c r="A3393" s="157">
        <v>3392.0</v>
      </c>
      <c r="B3393" s="158" t="s">
        <v>6601</v>
      </c>
    </row>
    <row r="3394">
      <c r="A3394" s="157">
        <v>3393.0</v>
      </c>
      <c r="B3394" s="158" t="s">
        <v>6602</v>
      </c>
    </row>
    <row r="3395">
      <c r="A3395" s="157">
        <v>3394.0</v>
      </c>
      <c r="B3395" s="158" t="s">
        <v>6603</v>
      </c>
    </row>
    <row r="3396">
      <c r="A3396" s="157">
        <v>3395.0</v>
      </c>
      <c r="B3396" s="158" t="s">
        <v>6604</v>
      </c>
    </row>
    <row r="3397">
      <c r="A3397" s="157">
        <v>3396.0</v>
      </c>
      <c r="B3397" s="158" t="s">
        <v>6605</v>
      </c>
    </row>
    <row r="3398">
      <c r="A3398" s="157">
        <v>3397.0</v>
      </c>
      <c r="B3398" s="158" t="s">
        <v>6606</v>
      </c>
    </row>
    <row r="3399">
      <c r="A3399" s="157">
        <v>3398.0</v>
      </c>
      <c r="B3399" s="159" t="s">
        <v>6607</v>
      </c>
    </row>
    <row r="3400">
      <c r="A3400" s="157">
        <v>3399.0</v>
      </c>
      <c r="B3400" s="159" t="s">
        <v>6608</v>
      </c>
    </row>
    <row r="3401">
      <c r="A3401" s="157">
        <v>3400.0</v>
      </c>
      <c r="B3401" s="158" t="s">
        <v>6609</v>
      </c>
    </row>
    <row r="3402">
      <c r="A3402" s="157">
        <v>3401.0</v>
      </c>
      <c r="B3402" s="158" t="s">
        <v>6610</v>
      </c>
    </row>
    <row r="3403">
      <c r="A3403" s="157">
        <v>3402.0</v>
      </c>
      <c r="B3403" s="158" t="s">
        <v>6611</v>
      </c>
    </row>
    <row r="3404">
      <c r="A3404" s="157">
        <v>3403.0</v>
      </c>
      <c r="B3404" s="158" t="s">
        <v>6612</v>
      </c>
    </row>
    <row r="3405">
      <c r="A3405" s="157">
        <v>3404.0</v>
      </c>
      <c r="B3405" s="158" t="s">
        <v>6613</v>
      </c>
    </row>
    <row r="3406">
      <c r="A3406" s="157">
        <v>3405.0</v>
      </c>
      <c r="B3406" s="158" t="s">
        <v>6614</v>
      </c>
    </row>
    <row r="3407">
      <c r="A3407" s="157">
        <v>3406.0</v>
      </c>
      <c r="B3407" s="158" t="s">
        <v>6615</v>
      </c>
    </row>
    <row r="3408">
      <c r="A3408" s="157">
        <v>3407.0</v>
      </c>
      <c r="B3408" s="158" t="s">
        <v>6616</v>
      </c>
    </row>
    <row r="3409">
      <c r="A3409" s="157">
        <v>3408.0</v>
      </c>
      <c r="B3409" s="158" t="s">
        <v>6617</v>
      </c>
    </row>
    <row r="3410">
      <c r="A3410" s="157">
        <v>3409.0</v>
      </c>
      <c r="B3410" s="158" t="s">
        <v>6618</v>
      </c>
    </row>
    <row r="3411">
      <c r="A3411" s="157">
        <v>3410.0</v>
      </c>
      <c r="B3411" s="158" t="s">
        <v>6619</v>
      </c>
    </row>
    <row r="3412">
      <c r="A3412" s="157">
        <v>3411.0</v>
      </c>
      <c r="B3412" s="158" t="s">
        <v>6620</v>
      </c>
    </row>
    <row r="3413">
      <c r="A3413" s="157">
        <v>3412.0</v>
      </c>
      <c r="B3413" s="158" t="s">
        <v>6621</v>
      </c>
    </row>
    <row r="3414">
      <c r="A3414" s="157">
        <v>3413.0</v>
      </c>
      <c r="B3414" s="158" t="s">
        <v>6622</v>
      </c>
    </row>
    <row r="3415">
      <c r="A3415" s="157">
        <v>3414.0</v>
      </c>
      <c r="B3415" s="158" t="s">
        <v>6623</v>
      </c>
    </row>
    <row r="3416">
      <c r="A3416" s="157">
        <v>3415.0</v>
      </c>
      <c r="B3416" s="158" t="s">
        <v>6624</v>
      </c>
    </row>
    <row r="3417">
      <c r="A3417" s="157">
        <v>3416.0</v>
      </c>
      <c r="B3417" s="158" t="s">
        <v>6625</v>
      </c>
    </row>
    <row r="3418">
      <c r="A3418" s="157">
        <v>3417.0</v>
      </c>
      <c r="B3418" s="158" t="s">
        <v>6626</v>
      </c>
    </row>
    <row r="3419">
      <c r="A3419" s="157">
        <v>3418.0</v>
      </c>
      <c r="B3419" s="159" t="s">
        <v>6627</v>
      </c>
    </row>
    <row r="3420">
      <c r="A3420" s="157">
        <v>3419.0</v>
      </c>
      <c r="B3420" s="159" t="s">
        <v>6628</v>
      </c>
    </row>
    <row r="3421">
      <c r="A3421" s="157">
        <v>3420.0</v>
      </c>
      <c r="B3421" s="159" t="s">
        <v>6629</v>
      </c>
    </row>
    <row r="3422">
      <c r="A3422" s="157">
        <v>3421.0</v>
      </c>
      <c r="B3422" s="159" t="s">
        <v>6630</v>
      </c>
    </row>
    <row r="3423">
      <c r="A3423" s="157">
        <v>3422.0</v>
      </c>
      <c r="B3423" s="158" t="s">
        <v>6631</v>
      </c>
    </row>
    <row r="3424">
      <c r="A3424" s="157">
        <v>3423.0</v>
      </c>
      <c r="B3424" s="158" t="s">
        <v>6632</v>
      </c>
    </row>
    <row r="3425">
      <c r="A3425" s="157">
        <v>3424.0</v>
      </c>
      <c r="B3425" s="158" t="s">
        <v>6633</v>
      </c>
    </row>
    <row r="3426">
      <c r="A3426" s="157">
        <v>3425.0</v>
      </c>
      <c r="B3426" s="158" t="s">
        <v>6634</v>
      </c>
    </row>
    <row r="3427">
      <c r="A3427" s="157">
        <v>3426.0</v>
      </c>
      <c r="B3427" s="158" t="s">
        <v>6635</v>
      </c>
    </row>
    <row r="3428">
      <c r="A3428" s="157">
        <v>3427.0</v>
      </c>
      <c r="B3428" s="158" t="s">
        <v>6636</v>
      </c>
    </row>
    <row r="3429">
      <c r="A3429" s="157">
        <v>3428.0</v>
      </c>
      <c r="B3429" s="158" t="s">
        <v>6637</v>
      </c>
    </row>
    <row r="3430">
      <c r="A3430" s="157">
        <v>3429.0</v>
      </c>
      <c r="B3430" s="158" t="s">
        <v>6638</v>
      </c>
    </row>
    <row r="3431">
      <c r="A3431" s="157">
        <v>3430.0</v>
      </c>
      <c r="B3431" s="159" t="s">
        <v>6639</v>
      </c>
    </row>
    <row r="3432">
      <c r="A3432" s="157">
        <v>3431.0</v>
      </c>
      <c r="B3432" s="159" t="s">
        <v>6640</v>
      </c>
    </row>
    <row r="3433">
      <c r="A3433" s="157">
        <v>3432.0</v>
      </c>
      <c r="B3433" s="159" t="s">
        <v>6641</v>
      </c>
    </row>
    <row r="3434">
      <c r="A3434" s="157">
        <v>3433.0</v>
      </c>
      <c r="B3434" s="159" t="s">
        <v>6642</v>
      </c>
    </row>
    <row r="3435">
      <c r="A3435" s="157">
        <v>3434.0</v>
      </c>
      <c r="B3435" s="159" t="s">
        <v>6643</v>
      </c>
    </row>
    <row r="3436">
      <c r="A3436" s="157">
        <v>3435.0</v>
      </c>
      <c r="B3436" s="159" t="s">
        <v>6644</v>
      </c>
    </row>
    <row r="3437">
      <c r="A3437" s="157">
        <v>3436.0</v>
      </c>
      <c r="B3437" s="159" t="s">
        <v>6645</v>
      </c>
    </row>
    <row r="3438">
      <c r="A3438" s="157">
        <v>3437.0</v>
      </c>
      <c r="B3438" s="159" t="s">
        <v>6646</v>
      </c>
    </row>
    <row r="3439">
      <c r="A3439" s="157">
        <v>3438.0</v>
      </c>
      <c r="B3439" s="159" t="s">
        <v>6647</v>
      </c>
    </row>
    <row r="3440">
      <c r="A3440" s="157">
        <v>3439.0</v>
      </c>
      <c r="B3440" s="159" t="s">
        <v>6648</v>
      </c>
    </row>
    <row r="3441">
      <c r="A3441" s="157">
        <v>3440.0</v>
      </c>
      <c r="B3441" s="159" t="s">
        <v>6649</v>
      </c>
    </row>
    <row r="3442">
      <c r="A3442" s="157">
        <v>3441.0</v>
      </c>
      <c r="B3442" s="159" t="s">
        <v>6650</v>
      </c>
    </row>
    <row r="3443">
      <c r="A3443" s="157">
        <v>3442.0</v>
      </c>
      <c r="B3443" s="158" t="s">
        <v>6651</v>
      </c>
    </row>
    <row r="3444">
      <c r="A3444" s="157">
        <v>3443.0</v>
      </c>
      <c r="B3444" s="158" t="s">
        <v>6652</v>
      </c>
    </row>
    <row r="3445">
      <c r="A3445" s="157">
        <v>3444.0</v>
      </c>
      <c r="B3445" s="159" t="s">
        <v>6653</v>
      </c>
    </row>
    <row r="3446">
      <c r="A3446" s="157">
        <v>3445.0</v>
      </c>
      <c r="B3446" s="159" t="s">
        <v>6654</v>
      </c>
    </row>
    <row r="3447">
      <c r="A3447" s="157">
        <v>3446.0</v>
      </c>
      <c r="B3447" s="159" t="s">
        <v>6655</v>
      </c>
    </row>
    <row r="3448">
      <c r="A3448" s="157">
        <v>3447.0</v>
      </c>
      <c r="B3448" s="159" t="s">
        <v>6656</v>
      </c>
    </row>
    <row r="3449">
      <c r="A3449" s="157">
        <v>3448.0</v>
      </c>
      <c r="B3449" s="159" t="s">
        <v>6657</v>
      </c>
    </row>
    <row r="3450">
      <c r="A3450" s="157">
        <v>3449.0</v>
      </c>
      <c r="B3450" s="159" t="s">
        <v>6658</v>
      </c>
    </row>
    <row r="3451">
      <c r="A3451" s="157">
        <v>3450.0</v>
      </c>
      <c r="B3451" s="159" t="s">
        <v>6659</v>
      </c>
    </row>
    <row r="3452">
      <c r="A3452" s="157">
        <v>3451.0</v>
      </c>
      <c r="B3452" s="159" t="s">
        <v>6660</v>
      </c>
    </row>
    <row r="3453">
      <c r="A3453" s="157">
        <v>3452.0</v>
      </c>
      <c r="B3453" s="159" t="s">
        <v>6661</v>
      </c>
    </row>
    <row r="3454">
      <c r="A3454" s="157">
        <v>3453.0</v>
      </c>
      <c r="B3454" s="158" t="s">
        <v>6662</v>
      </c>
    </row>
    <row r="3455">
      <c r="A3455" s="157">
        <v>3454.0</v>
      </c>
      <c r="B3455" s="158" t="s">
        <v>6663</v>
      </c>
    </row>
    <row r="3456">
      <c r="A3456" s="157">
        <v>3455.0</v>
      </c>
      <c r="B3456" s="159" t="s">
        <v>6664</v>
      </c>
    </row>
    <row r="3457">
      <c r="A3457" s="157">
        <v>3456.0</v>
      </c>
      <c r="B3457" s="159" t="s">
        <v>6665</v>
      </c>
    </row>
    <row r="3458">
      <c r="A3458" s="157">
        <v>3457.0</v>
      </c>
      <c r="B3458" s="158" t="s">
        <v>6666</v>
      </c>
    </row>
    <row r="3459">
      <c r="A3459" s="157">
        <v>3458.0</v>
      </c>
      <c r="B3459" s="158" t="s">
        <v>6667</v>
      </c>
    </row>
    <row r="3460">
      <c r="A3460" s="157">
        <v>3459.0</v>
      </c>
      <c r="B3460" s="158" t="s">
        <v>6668</v>
      </c>
    </row>
    <row r="3461">
      <c r="A3461" s="157">
        <v>3460.0</v>
      </c>
      <c r="B3461" s="158" t="s">
        <v>6669</v>
      </c>
    </row>
    <row r="3462">
      <c r="A3462" s="157">
        <v>3461.0</v>
      </c>
      <c r="B3462" s="158" t="s">
        <v>6670</v>
      </c>
    </row>
    <row r="3463">
      <c r="A3463" s="157">
        <v>3462.0</v>
      </c>
      <c r="B3463" s="158" t="s">
        <v>6671</v>
      </c>
    </row>
    <row r="3464">
      <c r="A3464" s="157">
        <v>3463.0</v>
      </c>
      <c r="B3464" s="158" t="s">
        <v>6672</v>
      </c>
    </row>
    <row r="3465">
      <c r="A3465" s="157">
        <v>3464.0</v>
      </c>
      <c r="B3465" s="158" t="s">
        <v>6673</v>
      </c>
    </row>
    <row r="3466">
      <c r="A3466" s="157">
        <v>3465.0</v>
      </c>
      <c r="B3466" s="159" t="s">
        <v>6674</v>
      </c>
    </row>
    <row r="3467">
      <c r="A3467" s="157">
        <v>3466.0</v>
      </c>
      <c r="B3467" s="159" t="s">
        <v>6675</v>
      </c>
    </row>
    <row r="3468">
      <c r="A3468" s="157">
        <v>3467.0</v>
      </c>
      <c r="B3468" s="159" t="s">
        <v>6676</v>
      </c>
    </row>
    <row r="3469">
      <c r="A3469" s="157">
        <v>3468.0</v>
      </c>
      <c r="B3469" s="159" t="s">
        <v>6677</v>
      </c>
    </row>
    <row r="3470">
      <c r="A3470" s="157">
        <v>3469.0</v>
      </c>
      <c r="B3470" s="159" t="s">
        <v>6678</v>
      </c>
    </row>
    <row r="3471">
      <c r="A3471" s="157">
        <v>3470.0</v>
      </c>
      <c r="B3471" s="158" t="s">
        <v>6679</v>
      </c>
    </row>
    <row r="3472">
      <c r="A3472" s="157">
        <v>3471.0</v>
      </c>
      <c r="B3472" s="158" t="s">
        <v>6680</v>
      </c>
    </row>
    <row r="3473">
      <c r="A3473" s="157">
        <v>3472.0</v>
      </c>
      <c r="B3473" s="159" t="s">
        <v>6681</v>
      </c>
    </row>
    <row r="3474">
      <c r="A3474" s="157">
        <v>3473.0</v>
      </c>
      <c r="B3474" s="158" t="s">
        <v>6682</v>
      </c>
    </row>
    <row r="3475">
      <c r="A3475" s="157">
        <v>3474.0</v>
      </c>
      <c r="B3475" s="159" t="s">
        <v>6683</v>
      </c>
    </row>
    <row r="3476">
      <c r="A3476" s="157">
        <v>3475.0</v>
      </c>
      <c r="B3476" s="158" t="s">
        <v>6684</v>
      </c>
    </row>
    <row r="3477">
      <c r="A3477" s="157">
        <v>3476.0</v>
      </c>
      <c r="B3477" s="159" t="s">
        <v>6685</v>
      </c>
    </row>
    <row r="3478">
      <c r="A3478" s="157">
        <v>3477.0</v>
      </c>
      <c r="B3478" s="159" t="s">
        <v>6686</v>
      </c>
    </row>
    <row r="3479">
      <c r="A3479" s="157">
        <v>3478.0</v>
      </c>
      <c r="B3479" s="158" t="s">
        <v>6687</v>
      </c>
    </row>
    <row r="3480">
      <c r="A3480" s="157">
        <v>3479.0</v>
      </c>
      <c r="B3480" s="159" t="s">
        <v>6688</v>
      </c>
    </row>
    <row r="3481">
      <c r="A3481" s="157">
        <v>3480.0</v>
      </c>
      <c r="B3481" s="158" t="s">
        <v>6689</v>
      </c>
    </row>
    <row r="3482">
      <c r="A3482" s="157">
        <v>3481.0</v>
      </c>
      <c r="B3482" s="159" t="s">
        <v>6690</v>
      </c>
    </row>
    <row r="3483">
      <c r="A3483" s="157">
        <v>3482.0</v>
      </c>
      <c r="B3483" s="159" t="s">
        <v>6691</v>
      </c>
    </row>
    <row r="3484">
      <c r="A3484" s="157">
        <v>3483.0</v>
      </c>
      <c r="B3484" s="159" t="s">
        <v>6692</v>
      </c>
    </row>
    <row r="3485">
      <c r="A3485" s="157">
        <v>3484.0</v>
      </c>
      <c r="B3485" s="158" t="s">
        <v>6693</v>
      </c>
    </row>
    <row r="3486">
      <c r="A3486" s="157">
        <v>3485.0</v>
      </c>
      <c r="B3486" s="158" t="s">
        <v>6694</v>
      </c>
    </row>
    <row r="3487">
      <c r="A3487" s="157">
        <v>3486.0</v>
      </c>
      <c r="B3487" s="158" t="s">
        <v>6695</v>
      </c>
    </row>
    <row r="3488">
      <c r="A3488" s="157">
        <v>3487.0</v>
      </c>
      <c r="B3488" s="158" t="s">
        <v>6696</v>
      </c>
    </row>
    <row r="3489">
      <c r="A3489" s="157">
        <v>3488.0</v>
      </c>
      <c r="B3489" s="158" t="s">
        <v>6697</v>
      </c>
    </row>
    <row r="3490">
      <c r="A3490" s="157">
        <v>3489.0</v>
      </c>
      <c r="B3490" s="158" t="s">
        <v>6698</v>
      </c>
    </row>
    <row r="3491">
      <c r="A3491" s="157">
        <v>3490.0</v>
      </c>
      <c r="B3491" s="158" t="s">
        <v>6699</v>
      </c>
    </row>
    <row r="3492">
      <c r="A3492" s="157">
        <v>3491.0</v>
      </c>
      <c r="B3492" s="158" t="s">
        <v>6700</v>
      </c>
    </row>
    <row r="3493">
      <c r="A3493" s="157">
        <v>3492.0</v>
      </c>
      <c r="B3493" s="158" t="s">
        <v>6701</v>
      </c>
    </row>
    <row r="3494">
      <c r="A3494" s="157">
        <v>3493.0</v>
      </c>
      <c r="B3494" s="158" t="s">
        <v>6702</v>
      </c>
    </row>
    <row r="3495">
      <c r="A3495" s="157">
        <v>3494.0</v>
      </c>
      <c r="B3495" s="158" t="s">
        <v>6703</v>
      </c>
    </row>
    <row r="3496">
      <c r="A3496" s="157">
        <v>3495.0</v>
      </c>
      <c r="B3496" s="158" t="s">
        <v>6704</v>
      </c>
    </row>
    <row r="3497">
      <c r="A3497" s="157">
        <v>3496.0</v>
      </c>
      <c r="B3497" s="158" t="s">
        <v>6705</v>
      </c>
    </row>
    <row r="3498">
      <c r="A3498" s="157">
        <v>3497.0</v>
      </c>
      <c r="B3498" s="158" t="s">
        <v>6706</v>
      </c>
    </row>
    <row r="3499">
      <c r="A3499" s="157">
        <v>3498.0</v>
      </c>
      <c r="B3499" s="158" t="s">
        <v>6707</v>
      </c>
    </row>
    <row r="3500">
      <c r="A3500" s="157">
        <v>3499.0</v>
      </c>
      <c r="B3500" s="158" t="s">
        <v>6708</v>
      </c>
    </row>
    <row r="3501">
      <c r="A3501" s="157">
        <v>3500.0</v>
      </c>
      <c r="B3501" s="158" t="s">
        <v>6709</v>
      </c>
    </row>
    <row r="3502">
      <c r="A3502" s="157">
        <v>3501.0</v>
      </c>
      <c r="B3502" s="158" t="s">
        <v>6710</v>
      </c>
    </row>
    <row r="3503">
      <c r="A3503" s="157">
        <v>3502.0</v>
      </c>
      <c r="B3503" s="158" t="s">
        <v>6711</v>
      </c>
    </row>
    <row r="3504">
      <c r="A3504" s="157">
        <v>3503.0</v>
      </c>
      <c r="B3504" s="158" t="s">
        <v>6712</v>
      </c>
    </row>
    <row r="3505">
      <c r="A3505" s="157">
        <v>3504.0</v>
      </c>
      <c r="B3505" s="158" t="s">
        <v>6713</v>
      </c>
    </row>
    <row r="3506">
      <c r="A3506" s="157">
        <v>3505.0</v>
      </c>
      <c r="B3506" s="158" t="s">
        <v>6714</v>
      </c>
    </row>
    <row r="3507">
      <c r="A3507" s="157">
        <v>3506.0</v>
      </c>
      <c r="B3507" s="158" t="s">
        <v>6715</v>
      </c>
    </row>
    <row r="3508">
      <c r="A3508" s="157">
        <v>3507.0</v>
      </c>
      <c r="B3508" s="158" t="s">
        <v>6716</v>
      </c>
    </row>
    <row r="3509">
      <c r="A3509" s="157">
        <v>3508.0</v>
      </c>
      <c r="B3509" s="158" t="s">
        <v>6717</v>
      </c>
    </row>
    <row r="3510">
      <c r="A3510" s="157">
        <v>3509.0</v>
      </c>
      <c r="B3510" s="158" t="s">
        <v>6718</v>
      </c>
    </row>
    <row r="3511">
      <c r="A3511" s="157">
        <v>3510.0</v>
      </c>
      <c r="B3511" s="158" t="s">
        <v>6719</v>
      </c>
    </row>
    <row r="3512">
      <c r="A3512" s="157">
        <v>3511.0</v>
      </c>
      <c r="B3512" s="158" t="s">
        <v>6720</v>
      </c>
    </row>
    <row r="3513">
      <c r="A3513" s="157">
        <v>3512.0</v>
      </c>
      <c r="B3513" s="158" t="s">
        <v>6721</v>
      </c>
    </row>
    <row r="3514">
      <c r="A3514" s="157">
        <v>3513.0</v>
      </c>
      <c r="B3514" s="158" t="s">
        <v>6722</v>
      </c>
    </row>
    <row r="3515">
      <c r="A3515" s="157">
        <v>3514.0</v>
      </c>
      <c r="B3515" s="158" t="s">
        <v>6723</v>
      </c>
    </row>
    <row r="3516">
      <c r="A3516" s="157">
        <v>3515.0</v>
      </c>
      <c r="B3516" s="158" t="s">
        <v>6724</v>
      </c>
    </row>
    <row r="3517">
      <c r="A3517" s="157">
        <v>3516.0</v>
      </c>
      <c r="B3517" s="158" t="s">
        <v>6725</v>
      </c>
    </row>
    <row r="3518">
      <c r="A3518" s="157">
        <v>3517.0</v>
      </c>
      <c r="B3518" s="158" t="s">
        <v>6726</v>
      </c>
    </row>
    <row r="3519">
      <c r="A3519" s="157">
        <v>3518.0</v>
      </c>
      <c r="B3519" s="158" t="s">
        <v>6727</v>
      </c>
    </row>
    <row r="3520">
      <c r="A3520" s="157">
        <v>3519.0</v>
      </c>
      <c r="B3520" s="158" t="s">
        <v>6728</v>
      </c>
    </row>
    <row r="3521">
      <c r="A3521" s="157">
        <v>3520.0</v>
      </c>
      <c r="B3521" s="158" t="s">
        <v>6729</v>
      </c>
    </row>
    <row r="3522">
      <c r="A3522" s="157">
        <v>3521.0</v>
      </c>
      <c r="B3522" s="158" t="s">
        <v>6730</v>
      </c>
    </row>
    <row r="3523">
      <c r="A3523" s="157">
        <v>3522.0</v>
      </c>
      <c r="B3523" s="158" t="s">
        <v>6731</v>
      </c>
    </row>
    <row r="3524">
      <c r="A3524" s="157">
        <v>3523.0</v>
      </c>
      <c r="B3524" s="158" t="s">
        <v>6732</v>
      </c>
    </row>
    <row r="3525">
      <c r="A3525" s="157">
        <v>3524.0</v>
      </c>
      <c r="B3525" s="158" t="s">
        <v>6733</v>
      </c>
    </row>
    <row r="3526">
      <c r="A3526" s="157">
        <v>3525.0</v>
      </c>
      <c r="B3526" s="158" t="s">
        <v>6734</v>
      </c>
    </row>
    <row r="3527">
      <c r="A3527" s="157">
        <v>3526.0</v>
      </c>
      <c r="B3527" s="158" t="s">
        <v>6735</v>
      </c>
    </row>
    <row r="3528">
      <c r="A3528" s="157">
        <v>3527.0</v>
      </c>
      <c r="B3528" s="158" t="s">
        <v>6736</v>
      </c>
    </row>
    <row r="3529">
      <c r="A3529" s="157">
        <v>3528.0</v>
      </c>
      <c r="B3529" s="158" t="s">
        <v>6737</v>
      </c>
    </row>
    <row r="3530">
      <c r="A3530" s="157">
        <v>3529.0</v>
      </c>
      <c r="B3530" s="158" t="s">
        <v>6738</v>
      </c>
    </row>
    <row r="3531">
      <c r="A3531" s="157">
        <v>3530.0</v>
      </c>
      <c r="B3531" s="158" t="s">
        <v>6739</v>
      </c>
    </row>
    <row r="3532">
      <c r="A3532" s="157">
        <v>3531.0</v>
      </c>
      <c r="B3532" s="158" t="s">
        <v>6740</v>
      </c>
    </row>
    <row r="3533">
      <c r="A3533" s="157">
        <v>3532.0</v>
      </c>
      <c r="B3533" s="158" t="s">
        <v>6741</v>
      </c>
    </row>
    <row r="3534">
      <c r="A3534" s="157">
        <v>3533.0</v>
      </c>
      <c r="B3534" s="158" t="s">
        <v>6742</v>
      </c>
    </row>
    <row r="3535">
      <c r="A3535" s="157">
        <v>3534.0</v>
      </c>
      <c r="B3535" s="158" t="s">
        <v>6743</v>
      </c>
    </row>
    <row r="3536">
      <c r="A3536" s="157">
        <v>3535.0</v>
      </c>
      <c r="B3536" s="158" t="s">
        <v>6744</v>
      </c>
    </row>
    <row r="3537">
      <c r="A3537" s="157">
        <v>3536.0</v>
      </c>
      <c r="B3537" s="158" t="s">
        <v>6745</v>
      </c>
    </row>
    <row r="3538">
      <c r="A3538" s="157">
        <v>3537.0</v>
      </c>
      <c r="B3538" s="158" t="s">
        <v>6746</v>
      </c>
    </row>
    <row r="3539">
      <c r="A3539" s="157">
        <v>3538.0</v>
      </c>
      <c r="B3539" s="158" t="s">
        <v>6747</v>
      </c>
    </row>
    <row r="3540">
      <c r="A3540" s="157">
        <v>3539.0</v>
      </c>
      <c r="B3540" s="158" t="s">
        <v>6748</v>
      </c>
    </row>
    <row r="3541">
      <c r="A3541" s="157">
        <v>3540.0</v>
      </c>
      <c r="B3541" s="158" t="s">
        <v>6749</v>
      </c>
    </row>
    <row r="3542">
      <c r="A3542" s="157">
        <v>3541.0</v>
      </c>
      <c r="B3542" s="158" t="s">
        <v>6750</v>
      </c>
    </row>
    <row r="3543">
      <c r="A3543" s="157">
        <v>3542.0</v>
      </c>
      <c r="B3543" s="158" t="s">
        <v>6751</v>
      </c>
    </row>
    <row r="3544">
      <c r="A3544" s="157">
        <v>3543.0</v>
      </c>
      <c r="B3544" s="159" t="s">
        <v>6752</v>
      </c>
    </row>
    <row r="3545">
      <c r="A3545" s="157">
        <v>3544.0</v>
      </c>
      <c r="B3545" s="158" t="s">
        <v>6753</v>
      </c>
    </row>
    <row r="3546">
      <c r="A3546" s="157">
        <v>3545.0</v>
      </c>
      <c r="B3546" s="158" t="s">
        <v>6754</v>
      </c>
    </row>
    <row r="3547">
      <c r="A3547" s="157">
        <v>3546.0</v>
      </c>
      <c r="B3547" s="158" t="s">
        <v>6755</v>
      </c>
    </row>
    <row r="3548">
      <c r="A3548" s="157">
        <v>3547.0</v>
      </c>
      <c r="B3548" s="158" t="s">
        <v>6756</v>
      </c>
    </row>
    <row r="3549">
      <c r="A3549" s="157">
        <v>3548.0</v>
      </c>
      <c r="B3549" s="158" t="s">
        <v>6757</v>
      </c>
    </row>
    <row r="3550">
      <c r="A3550" s="157">
        <v>3549.0</v>
      </c>
      <c r="B3550" s="159" t="s">
        <v>6758</v>
      </c>
    </row>
    <row r="3551">
      <c r="A3551" s="157">
        <v>3550.0</v>
      </c>
      <c r="B3551" s="159" t="s">
        <v>6759</v>
      </c>
    </row>
    <row r="3552">
      <c r="A3552" s="157">
        <v>3551.0</v>
      </c>
      <c r="B3552" s="158" t="s">
        <v>6760</v>
      </c>
    </row>
    <row r="3553">
      <c r="A3553" s="157">
        <v>3552.0</v>
      </c>
      <c r="B3553" s="159" t="s">
        <v>6761</v>
      </c>
    </row>
    <row r="3554">
      <c r="A3554" s="157">
        <v>3553.0</v>
      </c>
      <c r="B3554" s="158" t="s">
        <v>6762</v>
      </c>
    </row>
    <row r="3555">
      <c r="A3555" s="157">
        <v>3554.0</v>
      </c>
      <c r="B3555" s="158" t="s">
        <v>6763</v>
      </c>
    </row>
    <row r="3556">
      <c r="A3556" s="157">
        <v>3555.0</v>
      </c>
      <c r="B3556" s="158" t="s">
        <v>6764</v>
      </c>
    </row>
    <row r="3557">
      <c r="A3557" s="157">
        <v>3556.0</v>
      </c>
      <c r="B3557" s="158" t="s">
        <v>6765</v>
      </c>
    </row>
    <row r="3558">
      <c r="A3558" s="157">
        <v>3557.0</v>
      </c>
      <c r="B3558" s="158" t="s">
        <v>6766</v>
      </c>
    </row>
    <row r="3559">
      <c r="A3559" s="157">
        <v>3558.0</v>
      </c>
      <c r="B3559" s="158" t="s">
        <v>6767</v>
      </c>
    </row>
    <row r="3560">
      <c r="A3560" s="157">
        <v>3559.0</v>
      </c>
      <c r="B3560" s="158" t="s">
        <v>6768</v>
      </c>
    </row>
    <row r="3561">
      <c r="A3561" s="157">
        <v>3560.0</v>
      </c>
      <c r="B3561" s="164" t="s">
        <v>6769</v>
      </c>
    </row>
    <row r="3562">
      <c r="A3562" s="157">
        <v>3561.0</v>
      </c>
      <c r="B3562" s="158" t="s">
        <v>6770</v>
      </c>
    </row>
    <row r="3563">
      <c r="A3563" s="157">
        <v>3562.0</v>
      </c>
      <c r="B3563" s="158" t="s">
        <v>6771</v>
      </c>
    </row>
    <row r="3564">
      <c r="A3564" s="157">
        <v>3563.0</v>
      </c>
      <c r="B3564" s="159" t="s">
        <v>6772</v>
      </c>
    </row>
    <row r="3565">
      <c r="A3565" s="157">
        <v>3564.0</v>
      </c>
      <c r="B3565" s="158" t="s">
        <v>6773</v>
      </c>
    </row>
    <row r="3566">
      <c r="A3566" s="157">
        <v>3565.0</v>
      </c>
      <c r="B3566" s="158" t="s">
        <v>6774</v>
      </c>
    </row>
    <row r="3567">
      <c r="A3567" s="157">
        <v>3566.0</v>
      </c>
      <c r="B3567" s="158" t="s">
        <v>6775</v>
      </c>
    </row>
    <row r="3568">
      <c r="A3568" s="157">
        <v>3567.0</v>
      </c>
      <c r="B3568" s="158" t="s">
        <v>6776</v>
      </c>
    </row>
    <row r="3569">
      <c r="A3569" s="157">
        <v>3568.0</v>
      </c>
      <c r="B3569" s="158" t="s">
        <v>6777</v>
      </c>
    </row>
    <row r="3570">
      <c r="A3570" s="157">
        <v>3569.0</v>
      </c>
      <c r="B3570" s="158" t="s">
        <v>6778</v>
      </c>
    </row>
    <row r="3571">
      <c r="A3571" s="157">
        <v>3570.0</v>
      </c>
      <c r="B3571" s="158" t="s">
        <v>6779</v>
      </c>
    </row>
    <row r="3572">
      <c r="A3572" s="157">
        <v>3571.0</v>
      </c>
      <c r="B3572" s="158" t="s">
        <v>6780</v>
      </c>
    </row>
    <row r="3573">
      <c r="A3573" s="157">
        <v>3572.0</v>
      </c>
      <c r="B3573" s="158" t="s">
        <v>6781</v>
      </c>
    </row>
    <row r="3574">
      <c r="A3574" s="157">
        <v>3573.0</v>
      </c>
      <c r="B3574" s="158" t="s">
        <v>6782</v>
      </c>
    </row>
    <row r="3575">
      <c r="A3575" s="157">
        <v>3574.0</v>
      </c>
      <c r="B3575" s="158" t="s">
        <v>6783</v>
      </c>
    </row>
    <row r="3576">
      <c r="A3576" s="157">
        <v>3575.0</v>
      </c>
      <c r="B3576" s="158" t="s">
        <v>6784</v>
      </c>
    </row>
    <row r="3577">
      <c r="A3577" s="157">
        <v>3576.0</v>
      </c>
      <c r="B3577" s="158" t="s">
        <v>6785</v>
      </c>
    </row>
    <row r="3578">
      <c r="A3578" s="157">
        <v>3577.0</v>
      </c>
      <c r="B3578" s="158" t="s">
        <v>6786</v>
      </c>
    </row>
    <row r="3579">
      <c r="A3579" s="157">
        <v>3578.0</v>
      </c>
      <c r="B3579" s="158" t="s">
        <v>6787</v>
      </c>
    </row>
    <row r="3580">
      <c r="A3580" s="157">
        <v>3579.0</v>
      </c>
      <c r="B3580" s="158" t="s">
        <v>6788</v>
      </c>
    </row>
    <row r="3581">
      <c r="A3581" s="157">
        <v>3580.0</v>
      </c>
      <c r="B3581" s="158" t="s">
        <v>6789</v>
      </c>
    </row>
    <row r="3582">
      <c r="A3582" s="157">
        <v>3581.0</v>
      </c>
      <c r="B3582" s="158" t="s">
        <v>6790</v>
      </c>
    </row>
    <row r="3583">
      <c r="A3583" s="157">
        <v>3582.0</v>
      </c>
      <c r="B3583" s="158" t="s">
        <v>6791</v>
      </c>
    </row>
    <row r="3584">
      <c r="A3584" s="157">
        <v>3583.0</v>
      </c>
      <c r="B3584" s="158" t="s">
        <v>6792</v>
      </c>
    </row>
    <row r="3585">
      <c r="A3585" s="157">
        <v>3584.0</v>
      </c>
      <c r="B3585" s="158" t="s">
        <v>6793</v>
      </c>
    </row>
    <row r="3586">
      <c r="A3586" s="157">
        <v>3585.0</v>
      </c>
      <c r="B3586" s="158" t="s">
        <v>6794</v>
      </c>
    </row>
    <row r="3587">
      <c r="A3587" s="157">
        <v>3586.0</v>
      </c>
      <c r="B3587" s="158" t="s">
        <v>6795</v>
      </c>
    </row>
    <row r="3588">
      <c r="A3588" s="157">
        <v>3587.0</v>
      </c>
      <c r="B3588" s="158" t="s">
        <v>6796</v>
      </c>
    </row>
    <row r="3589">
      <c r="A3589" s="157">
        <v>3588.0</v>
      </c>
      <c r="B3589" s="158" t="s">
        <v>6797</v>
      </c>
    </row>
    <row r="3590">
      <c r="A3590" s="157">
        <v>3589.0</v>
      </c>
      <c r="B3590" s="158" t="s">
        <v>6798</v>
      </c>
    </row>
    <row r="3591">
      <c r="A3591" s="157">
        <v>3590.0</v>
      </c>
      <c r="B3591" s="158" t="s">
        <v>6799</v>
      </c>
    </row>
    <row r="3592">
      <c r="A3592" s="157">
        <v>3591.0</v>
      </c>
      <c r="B3592" s="158" t="s">
        <v>6800</v>
      </c>
    </row>
    <row r="3593">
      <c r="A3593" s="157">
        <v>3592.0</v>
      </c>
      <c r="B3593" s="158" t="s">
        <v>6801</v>
      </c>
    </row>
    <row r="3594">
      <c r="A3594" s="157">
        <v>3593.0</v>
      </c>
      <c r="B3594" s="158" t="s">
        <v>6802</v>
      </c>
    </row>
    <row r="3595">
      <c r="A3595" s="157">
        <v>3594.0</v>
      </c>
      <c r="B3595" s="158" t="s">
        <v>6803</v>
      </c>
    </row>
    <row r="3596">
      <c r="A3596" s="157">
        <v>3595.0</v>
      </c>
      <c r="B3596" s="158" t="s">
        <v>6804</v>
      </c>
    </row>
    <row r="3597">
      <c r="A3597" s="157">
        <v>3596.0</v>
      </c>
      <c r="B3597" s="158" t="s">
        <v>6805</v>
      </c>
    </row>
    <row r="3598">
      <c r="A3598" s="157">
        <v>3597.0</v>
      </c>
      <c r="B3598" s="158" t="s">
        <v>6806</v>
      </c>
    </row>
    <row r="3599">
      <c r="A3599" s="157">
        <v>3598.0</v>
      </c>
      <c r="B3599" s="158" t="s">
        <v>6807</v>
      </c>
    </row>
    <row r="3600">
      <c r="A3600" s="157">
        <v>3599.0</v>
      </c>
      <c r="B3600" s="158" t="s">
        <v>6808</v>
      </c>
    </row>
    <row r="3601">
      <c r="A3601" s="157">
        <v>3600.0</v>
      </c>
      <c r="B3601" s="158" t="s">
        <v>6809</v>
      </c>
    </row>
    <row r="3602">
      <c r="A3602" s="157">
        <v>3601.0</v>
      </c>
      <c r="B3602" s="158" t="s">
        <v>6810</v>
      </c>
    </row>
    <row r="3603">
      <c r="A3603" s="157">
        <v>3602.0</v>
      </c>
      <c r="B3603" s="158" t="s">
        <v>6811</v>
      </c>
    </row>
    <row r="3604">
      <c r="A3604" s="157">
        <v>3603.0</v>
      </c>
      <c r="B3604" s="158" t="s">
        <v>6812</v>
      </c>
    </row>
    <row r="3605">
      <c r="A3605" s="157">
        <v>3604.0</v>
      </c>
      <c r="B3605" s="158" t="s">
        <v>6813</v>
      </c>
    </row>
    <row r="3606">
      <c r="A3606" s="157">
        <v>3605.0</v>
      </c>
      <c r="B3606" s="158" t="s">
        <v>6814</v>
      </c>
    </row>
    <row r="3607">
      <c r="A3607" s="157">
        <v>3606.0</v>
      </c>
      <c r="B3607" s="158" t="s">
        <v>6815</v>
      </c>
    </row>
    <row r="3608">
      <c r="A3608" s="157">
        <v>3607.0</v>
      </c>
      <c r="B3608" s="159" t="s">
        <v>6816</v>
      </c>
    </row>
    <row r="3609">
      <c r="A3609" s="157">
        <v>3608.0</v>
      </c>
      <c r="B3609" s="159" t="s">
        <v>6817</v>
      </c>
    </row>
    <row r="3610">
      <c r="A3610" s="157">
        <v>3609.0</v>
      </c>
      <c r="B3610" s="159" t="s">
        <v>6818</v>
      </c>
    </row>
    <row r="3611">
      <c r="A3611" s="157">
        <v>3610.0</v>
      </c>
      <c r="B3611" s="158" t="s">
        <v>6819</v>
      </c>
    </row>
    <row r="3612">
      <c r="A3612" s="157">
        <v>3611.0</v>
      </c>
      <c r="B3612" s="158" t="s">
        <v>6820</v>
      </c>
    </row>
    <row r="3613">
      <c r="A3613" s="157">
        <v>3612.0</v>
      </c>
      <c r="B3613" s="158" t="s">
        <v>6821</v>
      </c>
    </row>
    <row r="3614">
      <c r="A3614" s="157">
        <v>3613.0</v>
      </c>
      <c r="B3614" s="158" t="s">
        <v>6822</v>
      </c>
    </row>
    <row r="3615">
      <c r="A3615" s="157">
        <v>3614.0</v>
      </c>
      <c r="B3615" s="158" t="s">
        <v>6823</v>
      </c>
    </row>
    <row r="3616">
      <c r="A3616" s="157">
        <v>3615.0</v>
      </c>
      <c r="B3616" s="158" t="s">
        <v>6824</v>
      </c>
    </row>
    <row r="3617">
      <c r="A3617" s="157">
        <v>3616.0</v>
      </c>
      <c r="B3617" s="158" t="s">
        <v>6825</v>
      </c>
    </row>
    <row r="3618">
      <c r="A3618" s="157">
        <v>3617.0</v>
      </c>
      <c r="B3618" s="158" t="s">
        <v>6826</v>
      </c>
    </row>
    <row r="3619">
      <c r="A3619" s="157">
        <v>3618.0</v>
      </c>
      <c r="B3619" s="158" t="s">
        <v>6827</v>
      </c>
    </row>
    <row r="3620">
      <c r="A3620" s="157">
        <v>3619.0</v>
      </c>
      <c r="B3620" s="158" t="s">
        <v>6828</v>
      </c>
    </row>
    <row r="3621">
      <c r="A3621" s="157">
        <v>3620.0</v>
      </c>
      <c r="B3621" s="158" t="s">
        <v>6829</v>
      </c>
    </row>
    <row r="3622">
      <c r="A3622" s="157">
        <v>3621.0</v>
      </c>
      <c r="B3622" s="158" t="s">
        <v>6830</v>
      </c>
    </row>
    <row r="3623">
      <c r="A3623" s="157">
        <v>3622.0</v>
      </c>
      <c r="B3623" s="158" t="s">
        <v>6831</v>
      </c>
    </row>
    <row r="3624">
      <c r="A3624" s="157">
        <v>3623.0</v>
      </c>
      <c r="B3624" s="158" t="s">
        <v>6832</v>
      </c>
    </row>
    <row r="3625">
      <c r="A3625" s="157">
        <v>3624.0</v>
      </c>
      <c r="B3625" s="158" t="s">
        <v>6833</v>
      </c>
    </row>
    <row r="3626">
      <c r="A3626" s="157">
        <v>3625.0</v>
      </c>
      <c r="B3626" s="158" t="s">
        <v>6834</v>
      </c>
    </row>
    <row r="3627">
      <c r="A3627" s="157">
        <v>3626.0</v>
      </c>
      <c r="B3627" s="158" t="s">
        <v>6835</v>
      </c>
    </row>
    <row r="3628">
      <c r="A3628" s="157">
        <v>3627.0</v>
      </c>
      <c r="B3628" s="158" t="s">
        <v>6836</v>
      </c>
    </row>
    <row r="3629">
      <c r="A3629" s="157">
        <v>3628.0</v>
      </c>
      <c r="B3629" s="158" t="s">
        <v>6837</v>
      </c>
    </row>
    <row r="3630">
      <c r="A3630" s="157">
        <v>3629.0</v>
      </c>
      <c r="B3630" s="158" t="s">
        <v>6838</v>
      </c>
    </row>
    <row r="3631">
      <c r="A3631" s="157">
        <v>3630.0</v>
      </c>
      <c r="B3631" s="158" t="s">
        <v>6839</v>
      </c>
    </row>
    <row r="3632">
      <c r="A3632" s="157">
        <v>3631.0</v>
      </c>
      <c r="B3632" s="158" t="s">
        <v>6840</v>
      </c>
    </row>
    <row r="3633">
      <c r="A3633" s="157">
        <v>3632.0</v>
      </c>
      <c r="B3633" s="158" t="s">
        <v>6841</v>
      </c>
    </row>
    <row r="3634">
      <c r="A3634" s="157">
        <v>3633.0</v>
      </c>
      <c r="B3634" s="158" t="s">
        <v>6842</v>
      </c>
    </row>
    <row r="3635">
      <c r="A3635" s="157">
        <v>3634.0</v>
      </c>
      <c r="B3635" s="158" t="s">
        <v>6843</v>
      </c>
    </row>
    <row r="3636">
      <c r="A3636" s="157">
        <v>3635.0</v>
      </c>
      <c r="B3636" s="158" t="s">
        <v>6844</v>
      </c>
    </row>
    <row r="3637">
      <c r="A3637" s="157">
        <v>3636.0</v>
      </c>
      <c r="B3637" s="158" t="s">
        <v>6845</v>
      </c>
    </row>
    <row r="3638">
      <c r="A3638" s="157">
        <v>3637.0</v>
      </c>
      <c r="B3638" s="159" t="s">
        <v>6846</v>
      </c>
    </row>
    <row r="3639">
      <c r="A3639" s="157">
        <v>3638.0</v>
      </c>
      <c r="B3639" s="159" t="s">
        <v>6847</v>
      </c>
    </row>
    <row r="3640">
      <c r="A3640" s="157">
        <v>3639.0</v>
      </c>
      <c r="B3640" s="159" t="s">
        <v>6848</v>
      </c>
    </row>
    <row r="3641">
      <c r="A3641" s="157">
        <v>3640.0</v>
      </c>
      <c r="B3641" s="159" t="s">
        <v>6849</v>
      </c>
    </row>
    <row r="3642">
      <c r="A3642" s="157">
        <v>3641.0</v>
      </c>
      <c r="B3642" s="159" t="s">
        <v>6850</v>
      </c>
    </row>
    <row r="3643">
      <c r="A3643" s="157">
        <v>3642.0</v>
      </c>
      <c r="B3643" s="159" t="s">
        <v>6851</v>
      </c>
    </row>
    <row r="3644">
      <c r="A3644" s="157">
        <v>3643.0</v>
      </c>
      <c r="B3644" s="159" t="s">
        <v>6852</v>
      </c>
    </row>
    <row r="3645">
      <c r="A3645" s="157">
        <v>3644.0</v>
      </c>
      <c r="B3645" s="159" t="s">
        <v>6853</v>
      </c>
    </row>
    <row r="3646">
      <c r="A3646" s="157">
        <v>3645.0</v>
      </c>
      <c r="B3646" s="159" t="s">
        <v>6854</v>
      </c>
    </row>
    <row r="3647">
      <c r="A3647" s="157">
        <v>3646.0</v>
      </c>
      <c r="B3647" s="159" t="s">
        <v>6855</v>
      </c>
    </row>
    <row r="3648">
      <c r="A3648" s="157">
        <v>3647.0</v>
      </c>
      <c r="B3648" s="159" t="s">
        <v>6856</v>
      </c>
    </row>
    <row r="3649">
      <c r="A3649" s="157">
        <v>3648.0</v>
      </c>
      <c r="B3649" s="159" t="s">
        <v>6857</v>
      </c>
    </row>
    <row r="3650">
      <c r="A3650" s="157">
        <v>3649.0</v>
      </c>
      <c r="B3650" s="159" t="s">
        <v>6858</v>
      </c>
    </row>
    <row r="3651">
      <c r="A3651" s="157">
        <v>3650.0</v>
      </c>
      <c r="B3651" s="159" t="s">
        <v>6859</v>
      </c>
    </row>
    <row r="3652">
      <c r="A3652" s="157">
        <v>3651.0</v>
      </c>
      <c r="B3652" s="158" t="s">
        <v>6860</v>
      </c>
    </row>
    <row r="3653">
      <c r="A3653" s="157">
        <v>3652.0</v>
      </c>
      <c r="B3653" s="158" t="s">
        <v>6861</v>
      </c>
    </row>
    <row r="3654">
      <c r="A3654" s="157">
        <v>3653.0</v>
      </c>
      <c r="B3654" s="158" t="s">
        <v>6862</v>
      </c>
    </row>
    <row r="3655">
      <c r="A3655" s="157">
        <v>3654.0</v>
      </c>
      <c r="B3655" s="159" t="s">
        <v>6863</v>
      </c>
    </row>
    <row r="3656">
      <c r="A3656" s="157">
        <v>3655.0</v>
      </c>
      <c r="B3656" s="159" t="s">
        <v>6864</v>
      </c>
    </row>
    <row r="3657">
      <c r="A3657" s="157">
        <v>3656.0</v>
      </c>
      <c r="B3657" s="159" t="s">
        <v>6865</v>
      </c>
    </row>
    <row r="3658">
      <c r="A3658" s="157">
        <v>3657.0</v>
      </c>
      <c r="B3658" s="159" t="s">
        <v>6866</v>
      </c>
    </row>
    <row r="3659">
      <c r="A3659" s="157">
        <v>3658.0</v>
      </c>
      <c r="B3659" s="159" t="s">
        <v>6867</v>
      </c>
    </row>
    <row r="3660">
      <c r="A3660" s="157">
        <v>3659.0</v>
      </c>
      <c r="B3660" s="159" t="s">
        <v>6868</v>
      </c>
    </row>
    <row r="3661">
      <c r="A3661" s="157">
        <v>3660.0</v>
      </c>
      <c r="B3661" s="159" t="s">
        <v>6869</v>
      </c>
    </row>
    <row r="3662">
      <c r="A3662" s="157">
        <v>3661.0</v>
      </c>
      <c r="B3662" s="159" t="s">
        <v>6870</v>
      </c>
    </row>
    <row r="3663">
      <c r="A3663" s="157">
        <v>3662.0</v>
      </c>
      <c r="B3663" s="158" t="s">
        <v>6871</v>
      </c>
    </row>
    <row r="3664">
      <c r="A3664" s="157">
        <v>3663.0</v>
      </c>
      <c r="B3664" s="158" t="s">
        <v>6872</v>
      </c>
    </row>
    <row r="3665">
      <c r="A3665" s="157">
        <v>3664.0</v>
      </c>
      <c r="B3665" s="158" t="s">
        <v>6873</v>
      </c>
    </row>
    <row r="3666">
      <c r="A3666" s="157">
        <v>3665.0</v>
      </c>
      <c r="B3666" s="158" t="s">
        <v>6874</v>
      </c>
    </row>
    <row r="3667">
      <c r="A3667" s="157">
        <v>3666.0</v>
      </c>
      <c r="B3667" s="159" t="s">
        <v>6875</v>
      </c>
    </row>
    <row r="3668">
      <c r="A3668" s="157">
        <v>3667.0</v>
      </c>
      <c r="B3668" s="159" t="s">
        <v>6876</v>
      </c>
    </row>
    <row r="3669">
      <c r="A3669" s="157">
        <v>3668.0</v>
      </c>
      <c r="B3669" s="159" t="s">
        <v>6877</v>
      </c>
    </row>
    <row r="3670">
      <c r="A3670" s="157">
        <v>3669.0</v>
      </c>
      <c r="B3670" s="159" t="s">
        <v>6878</v>
      </c>
    </row>
    <row r="3671">
      <c r="A3671" s="157">
        <v>3670.0</v>
      </c>
      <c r="B3671" s="159" t="s">
        <v>6879</v>
      </c>
    </row>
    <row r="3672">
      <c r="A3672" s="157">
        <v>3671.0</v>
      </c>
      <c r="B3672" s="159" t="s">
        <v>6880</v>
      </c>
    </row>
    <row r="3673">
      <c r="A3673" s="157">
        <v>3672.0</v>
      </c>
      <c r="B3673" s="159" t="s">
        <v>6881</v>
      </c>
    </row>
    <row r="3674">
      <c r="A3674" s="157">
        <v>3673.0</v>
      </c>
      <c r="B3674" s="159" t="s">
        <v>6882</v>
      </c>
    </row>
    <row r="3675">
      <c r="A3675" s="157">
        <v>3674.0</v>
      </c>
      <c r="B3675" s="159" t="s">
        <v>6883</v>
      </c>
    </row>
    <row r="3676">
      <c r="A3676" s="157">
        <v>3675.0</v>
      </c>
      <c r="B3676" s="159" t="s">
        <v>6884</v>
      </c>
    </row>
    <row r="3677">
      <c r="A3677" s="157">
        <v>3676.0</v>
      </c>
      <c r="B3677" s="159" t="s">
        <v>6885</v>
      </c>
    </row>
    <row r="3678">
      <c r="A3678" s="157">
        <v>3677.0</v>
      </c>
      <c r="B3678" s="158" t="s">
        <v>6886</v>
      </c>
    </row>
    <row r="3679">
      <c r="A3679" s="157">
        <v>3678.0</v>
      </c>
      <c r="B3679" s="159" t="s">
        <v>6887</v>
      </c>
    </row>
    <row r="3680">
      <c r="A3680" s="157">
        <v>3679.0</v>
      </c>
      <c r="B3680" s="159" t="s">
        <v>6888</v>
      </c>
    </row>
    <row r="3681">
      <c r="A3681" s="157">
        <v>3680.0</v>
      </c>
      <c r="B3681" s="159" t="s">
        <v>6889</v>
      </c>
    </row>
    <row r="3682">
      <c r="A3682" s="157">
        <v>3681.0</v>
      </c>
      <c r="B3682" s="158" t="s">
        <v>6890</v>
      </c>
    </row>
    <row r="3683">
      <c r="A3683" s="157">
        <v>3682.0</v>
      </c>
      <c r="B3683" s="158" t="s">
        <v>6891</v>
      </c>
    </row>
    <row r="3684">
      <c r="A3684" s="157">
        <v>3683.0</v>
      </c>
      <c r="B3684" s="159" t="s">
        <v>6892</v>
      </c>
    </row>
    <row r="3685">
      <c r="A3685" s="157">
        <v>3684.0</v>
      </c>
      <c r="B3685" s="159" t="s">
        <v>6893</v>
      </c>
    </row>
    <row r="3686">
      <c r="A3686" s="157">
        <v>3685.0</v>
      </c>
      <c r="B3686" s="159" t="s">
        <v>6894</v>
      </c>
    </row>
    <row r="3687">
      <c r="A3687" s="157">
        <v>3686.0</v>
      </c>
      <c r="B3687" s="158" t="s">
        <v>6895</v>
      </c>
    </row>
    <row r="3688">
      <c r="A3688" s="157">
        <v>3687.0</v>
      </c>
      <c r="B3688" s="158" t="s">
        <v>6896</v>
      </c>
    </row>
    <row r="3689">
      <c r="A3689" s="157">
        <v>3688.0</v>
      </c>
      <c r="B3689" s="159" t="s">
        <v>6897</v>
      </c>
    </row>
    <row r="3690">
      <c r="A3690" s="157">
        <v>3689.0</v>
      </c>
      <c r="B3690" s="159" t="s">
        <v>6898</v>
      </c>
    </row>
    <row r="3691">
      <c r="A3691" s="157">
        <v>3690.0</v>
      </c>
      <c r="B3691" s="159" t="s">
        <v>6899</v>
      </c>
    </row>
    <row r="3692">
      <c r="A3692" s="157">
        <v>3691.0</v>
      </c>
      <c r="B3692" s="159" t="s">
        <v>6900</v>
      </c>
    </row>
    <row r="3693">
      <c r="A3693" s="157">
        <v>3692.0</v>
      </c>
      <c r="B3693" s="159" t="s">
        <v>6901</v>
      </c>
    </row>
    <row r="3694">
      <c r="A3694" s="157">
        <v>3693.0</v>
      </c>
      <c r="B3694" s="159" t="s">
        <v>6902</v>
      </c>
    </row>
    <row r="3695">
      <c r="A3695" s="157">
        <v>3694.0</v>
      </c>
      <c r="B3695" s="159" t="s">
        <v>6903</v>
      </c>
    </row>
    <row r="3696">
      <c r="A3696" s="157">
        <v>3695.0</v>
      </c>
      <c r="B3696" s="159" t="s">
        <v>6904</v>
      </c>
    </row>
    <row r="3697">
      <c r="A3697" s="157">
        <v>3696.0</v>
      </c>
      <c r="B3697" s="159" t="s">
        <v>6905</v>
      </c>
    </row>
    <row r="3698">
      <c r="A3698" s="157">
        <v>3697.0</v>
      </c>
      <c r="B3698" s="159" t="s">
        <v>6906</v>
      </c>
    </row>
    <row r="3699">
      <c r="A3699" s="157">
        <v>3698.0</v>
      </c>
      <c r="B3699" s="159" t="s">
        <v>6907</v>
      </c>
    </row>
    <row r="3700">
      <c r="A3700" s="157">
        <v>3699.0</v>
      </c>
      <c r="B3700" s="159" t="s">
        <v>6908</v>
      </c>
    </row>
    <row r="3701">
      <c r="A3701" s="157">
        <v>3700.0</v>
      </c>
      <c r="B3701" s="159" t="s">
        <v>6909</v>
      </c>
    </row>
    <row r="3702">
      <c r="A3702" s="157">
        <v>3701.0</v>
      </c>
      <c r="B3702" s="158" t="s">
        <v>6910</v>
      </c>
    </row>
    <row r="3703">
      <c r="A3703" s="157">
        <v>3702.0</v>
      </c>
      <c r="B3703" s="158" t="s">
        <v>6911</v>
      </c>
    </row>
    <row r="3704">
      <c r="A3704" s="157">
        <v>3703.0</v>
      </c>
      <c r="B3704" s="159" t="s">
        <v>6912</v>
      </c>
    </row>
    <row r="3705">
      <c r="A3705" s="157">
        <v>3704.0</v>
      </c>
      <c r="B3705" s="159" t="s">
        <v>6913</v>
      </c>
    </row>
    <row r="3706">
      <c r="A3706" s="157">
        <v>3705.0</v>
      </c>
      <c r="B3706" s="159" t="s">
        <v>6914</v>
      </c>
    </row>
    <row r="3707">
      <c r="A3707" s="157">
        <v>3706.0</v>
      </c>
      <c r="B3707" s="159" t="s">
        <v>6915</v>
      </c>
    </row>
    <row r="3708">
      <c r="A3708" s="157">
        <v>3707.0</v>
      </c>
      <c r="B3708" s="159" t="s">
        <v>6916</v>
      </c>
    </row>
    <row r="3709">
      <c r="A3709" s="157">
        <v>3708.0</v>
      </c>
      <c r="B3709" s="159" t="s">
        <v>6917</v>
      </c>
    </row>
    <row r="3710">
      <c r="A3710" s="157">
        <v>3709.0</v>
      </c>
      <c r="B3710" s="159" t="s">
        <v>6918</v>
      </c>
    </row>
    <row r="3711">
      <c r="A3711" s="157">
        <v>3710.0</v>
      </c>
      <c r="B3711" s="159" t="s">
        <v>6919</v>
      </c>
    </row>
    <row r="3712">
      <c r="A3712" s="157">
        <v>3711.0</v>
      </c>
      <c r="B3712" s="159" t="s">
        <v>6920</v>
      </c>
    </row>
    <row r="3713">
      <c r="A3713" s="157">
        <v>3712.0</v>
      </c>
      <c r="B3713" s="159" t="s">
        <v>6921</v>
      </c>
    </row>
    <row r="3714">
      <c r="A3714" s="157">
        <v>3713.0</v>
      </c>
      <c r="B3714" s="159" t="s">
        <v>6922</v>
      </c>
    </row>
    <row r="3715">
      <c r="A3715" s="157">
        <v>3714.0</v>
      </c>
      <c r="B3715" s="159" t="s">
        <v>6923</v>
      </c>
    </row>
    <row r="3716">
      <c r="A3716" s="157">
        <v>3715.0</v>
      </c>
      <c r="B3716" s="159" t="s">
        <v>6924</v>
      </c>
    </row>
    <row r="3717">
      <c r="A3717" s="157">
        <v>3716.0</v>
      </c>
      <c r="B3717" s="159" t="s">
        <v>6925</v>
      </c>
    </row>
    <row r="3718">
      <c r="A3718" s="157">
        <v>3717.0</v>
      </c>
      <c r="B3718" s="159" t="s">
        <v>6926</v>
      </c>
    </row>
    <row r="3719">
      <c r="A3719" s="157">
        <v>3718.0</v>
      </c>
      <c r="B3719" s="159" t="s">
        <v>6927</v>
      </c>
    </row>
    <row r="3720">
      <c r="A3720" s="157">
        <v>3719.0</v>
      </c>
      <c r="B3720" s="158" t="s">
        <v>6928</v>
      </c>
    </row>
    <row r="3721">
      <c r="A3721" s="157">
        <v>3720.0</v>
      </c>
      <c r="B3721" s="158" t="s">
        <v>6929</v>
      </c>
    </row>
    <row r="3722">
      <c r="A3722" s="157">
        <v>3721.0</v>
      </c>
      <c r="B3722" s="158" t="s">
        <v>6930</v>
      </c>
    </row>
    <row r="3723">
      <c r="A3723" s="157">
        <v>3722.0</v>
      </c>
      <c r="B3723" s="158" t="s">
        <v>6931</v>
      </c>
    </row>
    <row r="3724">
      <c r="A3724" s="157">
        <v>3723.0</v>
      </c>
      <c r="B3724" s="158" t="s">
        <v>6932</v>
      </c>
    </row>
    <row r="3725">
      <c r="A3725" s="157">
        <v>3724.0</v>
      </c>
      <c r="B3725" s="158" t="s">
        <v>6933</v>
      </c>
    </row>
    <row r="3726">
      <c r="A3726" s="157">
        <v>3725.0</v>
      </c>
      <c r="B3726" s="158" t="s">
        <v>6934</v>
      </c>
    </row>
    <row r="3727">
      <c r="A3727" s="157">
        <v>3726.0</v>
      </c>
      <c r="B3727" s="158" t="s">
        <v>6935</v>
      </c>
    </row>
    <row r="3728">
      <c r="A3728" s="157">
        <v>3727.0</v>
      </c>
      <c r="B3728" s="158" t="s">
        <v>6936</v>
      </c>
    </row>
    <row r="3729">
      <c r="A3729" s="157">
        <v>3728.0</v>
      </c>
      <c r="B3729" s="158" t="s">
        <v>6937</v>
      </c>
    </row>
    <row r="3730">
      <c r="A3730" s="157">
        <v>3729.0</v>
      </c>
      <c r="B3730" s="158" t="s">
        <v>6938</v>
      </c>
    </row>
    <row r="3731">
      <c r="A3731" s="157">
        <v>3730.0</v>
      </c>
      <c r="B3731" s="158" t="s">
        <v>6939</v>
      </c>
    </row>
    <row r="3732">
      <c r="A3732" s="157">
        <v>3731.0</v>
      </c>
      <c r="B3732" s="158" t="s">
        <v>6940</v>
      </c>
    </row>
    <row r="3733">
      <c r="A3733" s="157">
        <v>3732.0</v>
      </c>
      <c r="B3733" s="158" t="s">
        <v>6941</v>
      </c>
    </row>
    <row r="3734">
      <c r="A3734" s="157">
        <v>3733.0</v>
      </c>
      <c r="B3734" s="158" t="s">
        <v>6942</v>
      </c>
    </row>
    <row r="3735">
      <c r="A3735" s="157">
        <v>3734.0</v>
      </c>
      <c r="B3735" s="158" t="s">
        <v>6943</v>
      </c>
    </row>
    <row r="3736">
      <c r="A3736" s="157">
        <v>3735.0</v>
      </c>
      <c r="B3736" s="158" t="s">
        <v>6944</v>
      </c>
    </row>
    <row r="3737">
      <c r="A3737" s="157">
        <v>3736.0</v>
      </c>
      <c r="B3737" s="158" t="s">
        <v>6945</v>
      </c>
    </row>
    <row r="3738">
      <c r="A3738" s="157">
        <v>3737.0</v>
      </c>
      <c r="B3738" s="158" t="s">
        <v>6946</v>
      </c>
    </row>
    <row r="3739">
      <c r="A3739" s="157">
        <v>3738.0</v>
      </c>
      <c r="B3739" s="158" t="s">
        <v>6947</v>
      </c>
    </row>
    <row r="3740">
      <c r="A3740" s="157">
        <v>3739.0</v>
      </c>
      <c r="B3740" s="158" t="s">
        <v>6948</v>
      </c>
    </row>
    <row r="3741">
      <c r="A3741" s="157">
        <v>3740.0</v>
      </c>
      <c r="B3741" s="158" t="s">
        <v>6949</v>
      </c>
    </row>
    <row r="3742">
      <c r="A3742" s="157">
        <v>3741.0</v>
      </c>
      <c r="B3742" s="158" t="s">
        <v>6950</v>
      </c>
    </row>
    <row r="3743">
      <c r="A3743" s="157">
        <v>3742.0</v>
      </c>
      <c r="B3743" s="158" t="s">
        <v>6951</v>
      </c>
    </row>
    <row r="3744">
      <c r="A3744" s="157">
        <v>3743.0</v>
      </c>
      <c r="B3744" s="158" t="s">
        <v>6952</v>
      </c>
    </row>
    <row r="3745">
      <c r="A3745" s="157">
        <v>3744.0</v>
      </c>
      <c r="B3745" s="158" t="s">
        <v>6953</v>
      </c>
    </row>
    <row r="3746">
      <c r="A3746" s="157">
        <v>3745.0</v>
      </c>
      <c r="B3746" s="158" t="s">
        <v>6954</v>
      </c>
    </row>
    <row r="3747">
      <c r="A3747" s="157">
        <v>3746.0</v>
      </c>
      <c r="B3747" s="158" t="s">
        <v>6955</v>
      </c>
    </row>
    <row r="3748">
      <c r="A3748" s="157">
        <v>3747.0</v>
      </c>
      <c r="B3748" s="158" t="s">
        <v>6956</v>
      </c>
    </row>
    <row r="3749">
      <c r="A3749" s="157">
        <v>3748.0</v>
      </c>
      <c r="B3749" s="158" t="s">
        <v>6957</v>
      </c>
    </row>
    <row r="3750">
      <c r="A3750" s="157">
        <v>3749.0</v>
      </c>
      <c r="B3750" s="158" t="s">
        <v>6958</v>
      </c>
    </row>
    <row r="3751">
      <c r="A3751" s="157">
        <v>3750.0</v>
      </c>
      <c r="B3751" s="158" t="s">
        <v>6959</v>
      </c>
    </row>
    <row r="3752">
      <c r="A3752" s="157">
        <v>3751.0</v>
      </c>
      <c r="B3752" s="158" t="s">
        <v>6960</v>
      </c>
    </row>
    <row r="3753">
      <c r="A3753" s="157">
        <v>3752.0</v>
      </c>
      <c r="B3753" s="158" t="s">
        <v>6961</v>
      </c>
    </row>
    <row r="3754">
      <c r="A3754" s="157">
        <v>3753.0</v>
      </c>
      <c r="B3754" s="158" t="s">
        <v>6962</v>
      </c>
    </row>
    <row r="3755">
      <c r="A3755" s="157">
        <v>3754.0</v>
      </c>
      <c r="B3755" s="158" t="s">
        <v>6963</v>
      </c>
    </row>
    <row r="3756">
      <c r="A3756" s="157">
        <v>3755.0</v>
      </c>
      <c r="B3756" s="158" t="s">
        <v>6964</v>
      </c>
    </row>
    <row r="3757">
      <c r="A3757" s="157">
        <v>3756.0</v>
      </c>
      <c r="B3757" s="158" t="s">
        <v>6965</v>
      </c>
    </row>
    <row r="3758">
      <c r="A3758" s="157">
        <v>3757.0</v>
      </c>
      <c r="B3758" s="158" t="s">
        <v>6966</v>
      </c>
    </row>
    <row r="3759">
      <c r="A3759" s="157">
        <v>3758.0</v>
      </c>
      <c r="B3759" s="158" t="s">
        <v>6967</v>
      </c>
    </row>
    <row r="3760">
      <c r="A3760" s="157">
        <v>3759.0</v>
      </c>
      <c r="B3760" s="158" t="s">
        <v>6968</v>
      </c>
    </row>
    <row r="3761">
      <c r="A3761" s="157">
        <v>3760.0</v>
      </c>
      <c r="B3761" s="158" t="s">
        <v>6969</v>
      </c>
    </row>
    <row r="3762">
      <c r="A3762" s="157">
        <v>3761.0</v>
      </c>
      <c r="B3762" s="158" t="s">
        <v>6970</v>
      </c>
    </row>
    <row r="3763">
      <c r="A3763" s="157">
        <v>3762.0</v>
      </c>
      <c r="B3763" s="158" t="s">
        <v>6971</v>
      </c>
    </row>
    <row r="3764">
      <c r="A3764" s="157">
        <v>3763.0</v>
      </c>
      <c r="B3764" s="158" t="s">
        <v>6972</v>
      </c>
    </row>
    <row r="3765">
      <c r="A3765" s="157">
        <v>3764.0</v>
      </c>
      <c r="B3765" s="158" t="s">
        <v>6973</v>
      </c>
    </row>
    <row r="3766">
      <c r="A3766" s="157">
        <v>3765.0</v>
      </c>
      <c r="B3766" s="158" t="s">
        <v>6974</v>
      </c>
    </row>
    <row r="3767">
      <c r="A3767" s="157">
        <v>3766.0</v>
      </c>
      <c r="B3767" s="158" t="s">
        <v>6975</v>
      </c>
    </row>
    <row r="3768">
      <c r="A3768" s="157">
        <v>3767.0</v>
      </c>
      <c r="B3768" s="158" t="s">
        <v>6976</v>
      </c>
    </row>
    <row r="3769">
      <c r="A3769" s="157">
        <v>3768.0</v>
      </c>
      <c r="B3769" s="158" t="s">
        <v>6977</v>
      </c>
    </row>
    <row r="3770">
      <c r="A3770" s="157">
        <v>3769.0</v>
      </c>
      <c r="B3770" s="158" t="s">
        <v>6978</v>
      </c>
    </row>
    <row r="3771">
      <c r="A3771" s="157">
        <v>3770.0</v>
      </c>
      <c r="B3771" s="158" t="s">
        <v>6979</v>
      </c>
    </row>
    <row r="3772">
      <c r="A3772" s="157">
        <v>3771.0</v>
      </c>
      <c r="B3772" s="158" t="s">
        <v>6980</v>
      </c>
    </row>
    <row r="3773">
      <c r="A3773" s="157">
        <v>3772.0</v>
      </c>
      <c r="B3773" s="158" t="s">
        <v>6981</v>
      </c>
    </row>
    <row r="3774">
      <c r="A3774" s="157">
        <v>3773.0</v>
      </c>
      <c r="B3774" s="158" t="s">
        <v>6982</v>
      </c>
    </row>
    <row r="3775">
      <c r="A3775" s="157">
        <v>3774.0</v>
      </c>
      <c r="B3775" s="158" t="s">
        <v>6983</v>
      </c>
    </row>
    <row r="3776">
      <c r="A3776" s="157">
        <v>3775.0</v>
      </c>
      <c r="B3776" s="158" t="s">
        <v>6984</v>
      </c>
    </row>
    <row r="3777">
      <c r="A3777" s="157">
        <v>3776.0</v>
      </c>
      <c r="B3777" s="158" t="s">
        <v>6985</v>
      </c>
    </row>
    <row r="3778">
      <c r="A3778" s="157">
        <v>3777.0</v>
      </c>
      <c r="B3778" s="158" t="s">
        <v>6986</v>
      </c>
    </row>
    <row r="3779">
      <c r="A3779" s="157">
        <v>3778.0</v>
      </c>
      <c r="B3779" s="158" t="s">
        <v>6987</v>
      </c>
    </row>
    <row r="3780">
      <c r="A3780" s="157">
        <v>3779.0</v>
      </c>
      <c r="B3780" s="158" t="s">
        <v>6988</v>
      </c>
    </row>
    <row r="3781">
      <c r="A3781" s="157">
        <v>3780.0</v>
      </c>
      <c r="B3781" s="158" t="s">
        <v>6989</v>
      </c>
    </row>
    <row r="3782">
      <c r="A3782" s="157">
        <v>3781.0</v>
      </c>
      <c r="B3782" s="158" t="s">
        <v>6990</v>
      </c>
    </row>
    <row r="3783">
      <c r="A3783" s="157">
        <v>3782.0</v>
      </c>
      <c r="B3783" s="158" t="s">
        <v>6991</v>
      </c>
    </row>
    <row r="3784">
      <c r="A3784" s="157">
        <v>3783.0</v>
      </c>
      <c r="B3784" s="158" t="s">
        <v>6992</v>
      </c>
    </row>
    <row r="3785">
      <c r="A3785" s="157">
        <v>3784.0</v>
      </c>
      <c r="B3785" s="158" t="s">
        <v>6993</v>
      </c>
    </row>
    <row r="3786">
      <c r="A3786" s="157">
        <v>3785.0</v>
      </c>
      <c r="B3786" s="158" t="s">
        <v>6994</v>
      </c>
    </row>
    <row r="3787">
      <c r="A3787" s="157">
        <v>3786.0</v>
      </c>
      <c r="B3787" s="158" t="s">
        <v>6995</v>
      </c>
    </row>
    <row r="3788">
      <c r="A3788" s="157">
        <v>3787.0</v>
      </c>
      <c r="B3788" s="158" t="s">
        <v>6996</v>
      </c>
    </row>
    <row r="3789">
      <c r="A3789" s="157">
        <v>3788.0</v>
      </c>
      <c r="B3789" s="158" t="s">
        <v>6997</v>
      </c>
    </row>
    <row r="3790">
      <c r="A3790" s="157">
        <v>3789.0</v>
      </c>
      <c r="B3790" s="158" t="s">
        <v>6998</v>
      </c>
    </row>
    <row r="3791">
      <c r="A3791" s="157">
        <v>3790.0</v>
      </c>
      <c r="B3791" s="158" t="s">
        <v>6999</v>
      </c>
    </row>
    <row r="3792">
      <c r="A3792" s="157">
        <v>3791.0</v>
      </c>
      <c r="B3792" s="158" t="s">
        <v>7000</v>
      </c>
    </row>
    <row r="3793">
      <c r="A3793" s="157">
        <v>3792.0</v>
      </c>
      <c r="B3793" s="158" t="s">
        <v>7001</v>
      </c>
    </row>
    <row r="3794">
      <c r="A3794" s="157">
        <v>3793.0</v>
      </c>
      <c r="B3794" s="158" t="s">
        <v>7002</v>
      </c>
    </row>
    <row r="3795">
      <c r="A3795" s="157">
        <v>3794.0</v>
      </c>
      <c r="B3795" s="158" t="s">
        <v>7003</v>
      </c>
    </row>
    <row r="3796">
      <c r="A3796" s="157">
        <v>3795.0</v>
      </c>
      <c r="B3796" s="158" t="s">
        <v>7004</v>
      </c>
    </row>
    <row r="3797">
      <c r="A3797" s="157">
        <v>3796.0</v>
      </c>
      <c r="B3797" s="158" t="s">
        <v>7005</v>
      </c>
    </row>
    <row r="3798">
      <c r="A3798" s="157">
        <v>3797.0</v>
      </c>
      <c r="B3798" s="158" t="s">
        <v>7006</v>
      </c>
    </row>
    <row r="3799">
      <c r="A3799" s="157">
        <v>3798.0</v>
      </c>
      <c r="B3799" s="159" t="s">
        <v>7007</v>
      </c>
    </row>
    <row r="3800">
      <c r="A3800" s="157">
        <v>3799.0</v>
      </c>
      <c r="B3800" s="158" t="s">
        <v>7008</v>
      </c>
    </row>
    <row r="3801">
      <c r="A3801" s="157">
        <v>3800.0</v>
      </c>
      <c r="B3801" s="159" t="s">
        <v>7009</v>
      </c>
    </row>
    <row r="3802">
      <c r="A3802" s="157">
        <v>3801.0</v>
      </c>
      <c r="B3802" s="159" t="s">
        <v>7010</v>
      </c>
    </row>
    <row r="3803">
      <c r="A3803" s="157">
        <v>3802.0</v>
      </c>
      <c r="B3803" s="159" t="s">
        <v>7011</v>
      </c>
    </row>
    <row r="3804">
      <c r="A3804" s="157">
        <v>3803.0</v>
      </c>
      <c r="B3804" s="159" t="s">
        <v>7012</v>
      </c>
    </row>
    <row r="3805">
      <c r="A3805" s="157">
        <v>3804.0</v>
      </c>
      <c r="B3805" s="159" t="s">
        <v>7013</v>
      </c>
    </row>
    <row r="3806">
      <c r="A3806" s="157">
        <v>3805.0</v>
      </c>
      <c r="B3806" s="159" t="s">
        <v>7014</v>
      </c>
    </row>
    <row r="3807">
      <c r="A3807" s="157">
        <v>3806.0</v>
      </c>
      <c r="B3807" s="159" t="s">
        <v>7015</v>
      </c>
    </row>
    <row r="3808">
      <c r="A3808" s="157">
        <v>3807.0</v>
      </c>
      <c r="B3808" s="159" t="s">
        <v>7016</v>
      </c>
    </row>
    <row r="3809">
      <c r="A3809" s="157">
        <v>3808.0</v>
      </c>
      <c r="B3809" s="158" t="s">
        <v>7017</v>
      </c>
    </row>
    <row r="3810">
      <c r="A3810" s="157">
        <v>3809.0</v>
      </c>
      <c r="B3810" s="158" t="s">
        <v>7018</v>
      </c>
    </row>
    <row r="3811">
      <c r="A3811" s="157">
        <v>3810.0</v>
      </c>
      <c r="B3811" s="159" t="s">
        <v>7019</v>
      </c>
    </row>
    <row r="3812">
      <c r="A3812" s="157">
        <v>3811.0</v>
      </c>
      <c r="B3812" s="159" t="s">
        <v>7020</v>
      </c>
    </row>
    <row r="3813">
      <c r="A3813" s="157">
        <v>3812.0</v>
      </c>
      <c r="B3813" s="159" t="s">
        <v>7021</v>
      </c>
    </row>
    <row r="3814">
      <c r="A3814" s="157">
        <v>3813.0</v>
      </c>
      <c r="B3814" s="159" t="s">
        <v>7022</v>
      </c>
    </row>
    <row r="3815">
      <c r="A3815" s="157">
        <v>3814.0</v>
      </c>
      <c r="B3815" s="159" t="s">
        <v>7023</v>
      </c>
    </row>
    <row r="3816">
      <c r="A3816" s="157">
        <v>3815.0</v>
      </c>
      <c r="B3816" s="159" t="s">
        <v>7024</v>
      </c>
    </row>
    <row r="3817">
      <c r="A3817" s="157">
        <v>3816.0</v>
      </c>
      <c r="B3817" s="159" t="s">
        <v>7025</v>
      </c>
    </row>
    <row r="3818">
      <c r="A3818" s="157">
        <v>3817.0</v>
      </c>
      <c r="B3818" s="159" t="s">
        <v>7026</v>
      </c>
    </row>
    <row r="3819">
      <c r="A3819" s="157">
        <v>3818.0</v>
      </c>
      <c r="B3819" s="159" t="s">
        <v>7027</v>
      </c>
    </row>
    <row r="3820">
      <c r="A3820" s="157">
        <v>3819.0</v>
      </c>
      <c r="B3820" s="159" t="s">
        <v>7028</v>
      </c>
    </row>
    <row r="3821">
      <c r="A3821" s="157">
        <v>3820.0</v>
      </c>
      <c r="B3821" s="159" t="s">
        <v>7029</v>
      </c>
    </row>
    <row r="3822">
      <c r="A3822" s="157">
        <v>3821.0</v>
      </c>
      <c r="B3822" s="159" t="s">
        <v>7030</v>
      </c>
    </row>
    <row r="3823">
      <c r="A3823" s="157">
        <v>3822.0</v>
      </c>
      <c r="B3823" s="159" t="s">
        <v>7031</v>
      </c>
    </row>
    <row r="3824">
      <c r="A3824" s="157">
        <v>3823.0</v>
      </c>
      <c r="B3824" s="159" t="s">
        <v>7032</v>
      </c>
    </row>
    <row r="3825">
      <c r="A3825" s="157">
        <v>3824.0</v>
      </c>
      <c r="B3825" s="159" t="s">
        <v>7033</v>
      </c>
    </row>
    <row r="3826">
      <c r="A3826" s="157">
        <v>3825.0</v>
      </c>
      <c r="B3826" s="159" t="s">
        <v>7034</v>
      </c>
    </row>
    <row r="3827">
      <c r="A3827" s="157">
        <v>3826.0</v>
      </c>
      <c r="B3827" s="159" t="s">
        <v>7035</v>
      </c>
    </row>
    <row r="3828">
      <c r="A3828" s="157">
        <v>3827.0</v>
      </c>
      <c r="B3828" s="159" t="s">
        <v>7036</v>
      </c>
    </row>
    <row r="3829">
      <c r="A3829" s="157">
        <v>3828.0</v>
      </c>
      <c r="B3829" s="159" t="s">
        <v>7037</v>
      </c>
    </row>
    <row r="3830">
      <c r="A3830" s="157">
        <v>3829.0</v>
      </c>
      <c r="B3830" s="159" t="s">
        <v>7038</v>
      </c>
    </row>
    <row r="3831">
      <c r="A3831" s="157">
        <v>3830.0</v>
      </c>
      <c r="B3831" s="159" t="s">
        <v>7039</v>
      </c>
    </row>
    <row r="3832">
      <c r="A3832" s="157">
        <v>3831.0</v>
      </c>
      <c r="B3832" s="159" t="s">
        <v>7040</v>
      </c>
    </row>
    <row r="3833">
      <c r="A3833" s="157">
        <v>3832.0</v>
      </c>
      <c r="B3833" s="159" t="s">
        <v>7041</v>
      </c>
    </row>
    <row r="3834">
      <c r="A3834" s="157">
        <v>3833.0</v>
      </c>
      <c r="B3834" s="159" t="s">
        <v>7042</v>
      </c>
    </row>
    <row r="3835">
      <c r="A3835" s="157">
        <v>3834.0</v>
      </c>
      <c r="B3835" s="159" t="s">
        <v>7043</v>
      </c>
    </row>
    <row r="3836">
      <c r="A3836" s="157">
        <v>3835.0</v>
      </c>
      <c r="B3836" s="159" t="s">
        <v>7044</v>
      </c>
    </row>
    <row r="3837">
      <c r="A3837" s="157">
        <v>3836.0</v>
      </c>
      <c r="B3837" s="159" t="s">
        <v>7045</v>
      </c>
    </row>
    <row r="3838">
      <c r="A3838" s="157">
        <v>3837.0</v>
      </c>
      <c r="B3838" s="159" t="s">
        <v>7046</v>
      </c>
    </row>
    <row r="3839">
      <c r="A3839" s="157">
        <v>3838.0</v>
      </c>
      <c r="B3839" s="159" t="s">
        <v>7047</v>
      </c>
    </row>
    <row r="3840">
      <c r="A3840" s="157">
        <v>3839.0</v>
      </c>
      <c r="B3840" s="158" t="s">
        <v>7048</v>
      </c>
    </row>
    <row r="3841">
      <c r="A3841" s="157">
        <v>3840.0</v>
      </c>
      <c r="B3841" s="158" t="s">
        <v>7049</v>
      </c>
    </row>
    <row r="3842">
      <c r="A3842" s="157">
        <v>3841.0</v>
      </c>
      <c r="B3842" s="158" t="s">
        <v>7050</v>
      </c>
    </row>
    <row r="3843">
      <c r="A3843" s="157">
        <v>3842.0</v>
      </c>
      <c r="B3843" s="159" t="s">
        <v>7051</v>
      </c>
    </row>
    <row r="3844">
      <c r="A3844" s="157">
        <v>3843.0</v>
      </c>
      <c r="B3844" s="159" t="s">
        <v>7052</v>
      </c>
    </row>
    <row r="3845">
      <c r="A3845" s="157">
        <v>3844.0</v>
      </c>
      <c r="B3845" s="159" t="s">
        <v>7053</v>
      </c>
    </row>
    <row r="3846">
      <c r="A3846" s="157">
        <v>3845.0</v>
      </c>
      <c r="B3846" s="159" t="s">
        <v>7054</v>
      </c>
    </row>
    <row r="3847">
      <c r="A3847" s="157">
        <v>3846.0</v>
      </c>
      <c r="B3847" s="159" t="s">
        <v>7055</v>
      </c>
    </row>
    <row r="3848">
      <c r="A3848" s="157">
        <v>3847.0</v>
      </c>
      <c r="B3848" s="159" t="s">
        <v>7056</v>
      </c>
    </row>
    <row r="3849">
      <c r="A3849" s="157">
        <v>3848.0</v>
      </c>
      <c r="B3849" s="159" t="s">
        <v>7057</v>
      </c>
    </row>
    <row r="3850">
      <c r="A3850" s="157">
        <v>3849.0</v>
      </c>
      <c r="B3850" s="159" t="s">
        <v>7058</v>
      </c>
    </row>
    <row r="3851">
      <c r="A3851" s="157">
        <v>3850.0</v>
      </c>
      <c r="B3851" s="159" t="s">
        <v>7059</v>
      </c>
    </row>
    <row r="3852">
      <c r="A3852" s="157">
        <v>3851.0</v>
      </c>
      <c r="B3852" s="159" t="s">
        <v>7060</v>
      </c>
    </row>
    <row r="3853">
      <c r="A3853" s="157">
        <v>3852.0</v>
      </c>
      <c r="B3853" s="159" t="s">
        <v>7061</v>
      </c>
    </row>
    <row r="3854">
      <c r="A3854" s="157">
        <v>3853.0</v>
      </c>
      <c r="B3854" s="159" t="s">
        <v>7062</v>
      </c>
    </row>
    <row r="3855">
      <c r="A3855" s="157">
        <v>3854.0</v>
      </c>
      <c r="B3855" s="159" t="s">
        <v>7063</v>
      </c>
    </row>
    <row r="3856">
      <c r="A3856" s="157">
        <v>3855.0</v>
      </c>
      <c r="B3856" s="159" t="s">
        <v>7064</v>
      </c>
    </row>
    <row r="3857">
      <c r="A3857" s="157">
        <v>3856.0</v>
      </c>
      <c r="B3857" s="159" t="s">
        <v>7065</v>
      </c>
    </row>
    <row r="3858">
      <c r="A3858" s="157">
        <v>3857.0</v>
      </c>
      <c r="B3858" s="159" t="s">
        <v>7066</v>
      </c>
    </row>
    <row r="3859">
      <c r="A3859" s="157">
        <v>3858.0</v>
      </c>
      <c r="B3859" s="158" t="s">
        <v>7067</v>
      </c>
    </row>
    <row r="3860">
      <c r="A3860" s="157">
        <v>3859.0</v>
      </c>
      <c r="B3860" s="158" t="s">
        <v>7068</v>
      </c>
    </row>
    <row r="3861">
      <c r="A3861" s="157">
        <v>3860.0</v>
      </c>
      <c r="B3861" s="158" t="s">
        <v>7069</v>
      </c>
    </row>
    <row r="3862">
      <c r="A3862" s="157">
        <v>3861.0</v>
      </c>
      <c r="B3862" s="158" t="s">
        <v>7070</v>
      </c>
    </row>
    <row r="3863">
      <c r="A3863" s="157">
        <v>3862.0</v>
      </c>
      <c r="B3863" s="158" t="s">
        <v>7071</v>
      </c>
    </row>
    <row r="3864">
      <c r="A3864" s="157">
        <v>3863.0</v>
      </c>
      <c r="B3864" s="158" t="s">
        <v>7072</v>
      </c>
    </row>
    <row r="3865">
      <c r="A3865" s="157">
        <v>3864.0</v>
      </c>
      <c r="B3865" s="158" t="s">
        <v>7073</v>
      </c>
    </row>
    <row r="3866">
      <c r="A3866" s="157">
        <v>3865.0</v>
      </c>
      <c r="B3866" s="158" t="s">
        <v>7074</v>
      </c>
    </row>
    <row r="3867">
      <c r="A3867" s="157">
        <v>3866.0</v>
      </c>
      <c r="B3867" s="158" t="s">
        <v>7075</v>
      </c>
    </row>
    <row r="3868">
      <c r="A3868" s="157">
        <v>3867.0</v>
      </c>
      <c r="B3868" s="158" t="s">
        <v>7076</v>
      </c>
    </row>
    <row r="3869">
      <c r="A3869" s="157">
        <v>3868.0</v>
      </c>
      <c r="B3869" s="158" t="s">
        <v>7077</v>
      </c>
    </row>
    <row r="3870">
      <c r="A3870" s="157">
        <v>3869.0</v>
      </c>
      <c r="B3870" s="158" t="s">
        <v>7078</v>
      </c>
    </row>
    <row r="3871">
      <c r="A3871" s="157">
        <v>3870.0</v>
      </c>
      <c r="B3871" s="158" t="s">
        <v>7079</v>
      </c>
    </row>
    <row r="3872">
      <c r="A3872" s="157">
        <v>3871.0</v>
      </c>
      <c r="B3872" s="158" t="s">
        <v>7080</v>
      </c>
    </row>
    <row r="3873">
      <c r="A3873" s="157">
        <v>3872.0</v>
      </c>
      <c r="B3873" s="158" t="s">
        <v>7081</v>
      </c>
    </row>
    <row r="3874">
      <c r="A3874" s="157">
        <v>3873.0</v>
      </c>
      <c r="B3874" s="158" t="s">
        <v>7082</v>
      </c>
    </row>
    <row r="3875">
      <c r="A3875" s="157">
        <v>3874.0</v>
      </c>
      <c r="B3875" s="158" t="s">
        <v>7083</v>
      </c>
    </row>
    <row r="3876">
      <c r="A3876" s="157">
        <v>3875.0</v>
      </c>
      <c r="B3876" s="158" t="s">
        <v>7084</v>
      </c>
    </row>
    <row r="3877">
      <c r="A3877" s="157">
        <v>3876.0</v>
      </c>
      <c r="B3877" s="158" t="s">
        <v>7085</v>
      </c>
    </row>
    <row r="3878">
      <c r="A3878" s="157">
        <v>3877.0</v>
      </c>
      <c r="B3878" s="158" t="s">
        <v>7086</v>
      </c>
    </row>
    <row r="3879">
      <c r="A3879" s="157">
        <v>3878.0</v>
      </c>
      <c r="B3879" s="158" t="s">
        <v>7087</v>
      </c>
    </row>
    <row r="3880">
      <c r="A3880" s="157">
        <v>3879.0</v>
      </c>
      <c r="B3880" s="158" t="s">
        <v>7088</v>
      </c>
    </row>
    <row r="3881">
      <c r="A3881" s="157">
        <v>3880.0</v>
      </c>
      <c r="B3881" s="158" t="s">
        <v>7089</v>
      </c>
    </row>
    <row r="3882">
      <c r="A3882" s="157">
        <v>3881.0</v>
      </c>
      <c r="B3882" s="158" t="s">
        <v>7090</v>
      </c>
    </row>
    <row r="3883">
      <c r="A3883" s="157">
        <v>3882.0</v>
      </c>
      <c r="B3883" s="158" t="s">
        <v>7091</v>
      </c>
    </row>
    <row r="3884">
      <c r="A3884" s="157">
        <v>3883.0</v>
      </c>
      <c r="B3884" s="158" t="s">
        <v>7092</v>
      </c>
    </row>
    <row r="3885">
      <c r="A3885" s="157">
        <v>3884.0</v>
      </c>
      <c r="B3885" s="158" t="s">
        <v>7093</v>
      </c>
    </row>
    <row r="3886">
      <c r="A3886" s="157">
        <v>3885.0</v>
      </c>
      <c r="B3886" s="158" t="s">
        <v>7094</v>
      </c>
    </row>
    <row r="3887">
      <c r="A3887" s="157">
        <v>3886.0</v>
      </c>
      <c r="B3887" s="158" t="s">
        <v>7095</v>
      </c>
    </row>
    <row r="3888">
      <c r="A3888" s="157">
        <v>3887.0</v>
      </c>
      <c r="B3888" s="158" t="s">
        <v>7096</v>
      </c>
    </row>
    <row r="3889">
      <c r="A3889" s="157">
        <v>3888.0</v>
      </c>
      <c r="B3889" s="158" t="s">
        <v>7097</v>
      </c>
    </row>
    <row r="3890">
      <c r="A3890" s="157">
        <v>3889.0</v>
      </c>
      <c r="B3890" s="158" t="s">
        <v>7098</v>
      </c>
    </row>
    <row r="3891">
      <c r="A3891" s="157">
        <v>3890.0</v>
      </c>
      <c r="B3891" s="158" t="s">
        <v>7099</v>
      </c>
    </row>
    <row r="3892">
      <c r="A3892" s="157">
        <v>3891.0</v>
      </c>
      <c r="B3892" s="158" t="s">
        <v>7100</v>
      </c>
    </row>
    <row r="3893">
      <c r="A3893" s="157">
        <v>3892.0</v>
      </c>
      <c r="B3893" s="158" t="s">
        <v>7101</v>
      </c>
    </row>
    <row r="3894">
      <c r="A3894" s="157">
        <v>3893.0</v>
      </c>
      <c r="B3894" s="158" t="s">
        <v>7102</v>
      </c>
    </row>
    <row r="3895">
      <c r="A3895" s="157">
        <v>3894.0</v>
      </c>
      <c r="B3895" s="158" t="s">
        <v>7103</v>
      </c>
    </row>
    <row r="3896">
      <c r="A3896" s="157">
        <v>3895.0</v>
      </c>
      <c r="B3896" s="159" t="s">
        <v>7104</v>
      </c>
    </row>
    <row r="3897">
      <c r="A3897" s="157">
        <v>3896.0</v>
      </c>
      <c r="B3897" s="159" t="s">
        <v>7105</v>
      </c>
    </row>
    <row r="3898">
      <c r="A3898" s="157">
        <v>3897.0</v>
      </c>
      <c r="B3898" s="159" t="s">
        <v>7106</v>
      </c>
    </row>
    <row r="3899">
      <c r="A3899" s="157">
        <v>3898.0</v>
      </c>
      <c r="B3899" s="158" t="s">
        <v>7107</v>
      </c>
    </row>
    <row r="3900">
      <c r="A3900" s="157">
        <v>3899.0</v>
      </c>
      <c r="B3900" s="158" t="s">
        <v>7108</v>
      </c>
    </row>
    <row r="3901">
      <c r="A3901" s="157">
        <v>3900.0</v>
      </c>
      <c r="B3901" s="158" t="s">
        <v>7109</v>
      </c>
    </row>
    <row r="3902">
      <c r="A3902" s="157">
        <v>3901.0</v>
      </c>
      <c r="B3902" s="158" t="s">
        <v>7110</v>
      </c>
    </row>
    <row r="3903">
      <c r="A3903" s="157">
        <v>3902.0</v>
      </c>
      <c r="B3903" s="158" t="s">
        <v>7111</v>
      </c>
    </row>
    <row r="3904">
      <c r="A3904" s="157">
        <v>3903.0</v>
      </c>
      <c r="B3904" s="158" t="s">
        <v>7112</v>
      </c>
    </row>
    <row r="3905">
      <c r="A3905" s="157">
        <v>3904.0</v>
      </c>
      <c r="B3905" s="158" t="s">
        <v>7113</v>
      </c>
    </row>
    <row r="3906">
      <c r="A3906" s="157">
        <v>3905.0</v>
      </c>
      <c r="B3906" s="158" t="s">
        <v>7114</v>
      </c>
    </row>
    <row r="3907">
      <c r="A3907" s="157">
        <v>3906.0</v>
      </c>
      <c r="B3907" s="158" t="s">
        <v>7115</v>
      </c>
    </row>
    <row r="3908">
      <c r="A3908" s="157">
        <v>3907.0</v>
      </c>
      <c r="B3908" s="158" t="s">
        <v>7116</v>
      </c>
    </row>
    <row r="3909">
      <c r="A3909" s="157">
        <v>3908.0</v>
      </c>
      <c r="B3909" s="158" t="s">
        <v>7117</v>
      </c>
    </row>
    <row r="3910">
      <c r="A3910" s="157">
        <v>3909.0</v>
      </c>
      <c r="B3910" s="159" t="s">
        <v>7118</v>
      </c>
    </row>
    <row r="3911">
      <c r="A3911" s="157">
        <v>3910.0</v>
      </c>
      <c r="B3911" s="159" t="s">
        <v>7119</v>
      </c>
    </row>
    <row r="3912">
      <c r="A3912" s="157">
        <v>3911.0</v>
      </c>
      <c r="B3912" s="158" t="s">
        <v>7120</v>
      </c>
    </row>
    <row r="3913">
      <c r="A3913" s="157">
        <v>3912.0</v>
      </c>
      <c r="B3913" s="158" t="s">
        <v>7121</v>
      </c>
    </row>
    <row r="3914">
      <c r="A3914" s="157">
        <v>3913.0</v>
      </c>
      <c r="B3914" s="158" t="s">
        <v>7122</v>
      </c>
    </row>
    <row r="3915">
      <c r="A3915" s="157">
        <v>3914.0</v>
      </c>
      <c r="B3915" s="158" t="s">
        <v>7123</v>
      </c>
    </row>
    <row r="3916">
      <c r="A3916" s="157">
        <v>3915.0</v>
      </c>
      <c r="B3916" s="158" t="s">
        <v>7124</v>
      </c>
    </row>
    <row r="3917">
      <c r="A3917" s="157">
        <v>3916.0</v>
      </c>
      <c r="B3917" s="158" t="s">
        <v>7125</v>
      </c>
    </row>
    <row r="3918">
      <c r="A3918" s="157">
        <v>3917.0</v>
      </c>
      <c r="B3918" s="158" t="s">
        <v>7126</v>
      </c>
    </row>
    <row r="3919">
      <c r="A3919" s="157">
        <v>3918.0</v>
      </c>
      <c r="B3919" s="158" t="s">
        <v>7127</v>
      </c>
    </row>
    <row r="3920">
      <c r="A3920" s="157">
        <v>3919.0</v>
      </c>
      <c r="B3920" s="159" t="s">
        <v>7128</v>
      </c>
    </row>
    <row r="3921">
      <c r="A3921" s="157">
        <v>3920.0</v>
      </c>
      <c r="B3921" s="158" t="s">
        <v>7129</v>
      </c>
    </row>
    <row r="3922">
      <c r="A3922" s="157">
        <v>3921.0</v>
      </c>
      <c r="B3922" s="158" t="s">
        <v>7130</v>
      </c>
    </row>
    <row r="3923">
      <c r="A3923" s="157">
        <v>3922.0</v>
      </c>
      <c r="B3923" s="158" t="s">
        <v>7131</v>
      </c>
    </row>
    <row r="3924">
      <c r="A3924" s="157">
        <v>3923.0</v>
      </c>
      <c r="B3924" s="158" t="s">
        <v>7132</v>
      </c>
    </row>
    <row r="3925">
      <c r="A3925" s="157">
        <v>3924.0</v>
      </c>
      <c r="B3925" s="158" t="s">
        <v>7133</v>
      </c>
    </row>
    <row r="3926">
      <c r="A3926" s="157">
        <v>3925.0</v>
      </c>
      <c r="B3926" s="158" t="s">
        <v>7134</v>
      </c>
    </row>
    <row r="3927">
      <c r="A3927" s="157">
        <v>3926.0</v>
      </c>
      <c r="B3927" s="158" t="s">
        <v>7135</v>
      </c>
    </row>
    <row r="3928">
      <c r="A3928" s="157">
        <v>3927.0</v>
      </c>
      <c r="B3928" s="158" t="s">
        <v>7136</v>
      </c>
    </row>
    <row r="3929">
      <c r="A3929" s="157">
        <v>3928.0</v>
      </c>
      <c r="B3929" s="158" t="s">
        <v>7137</v>
      </c>
    </row>
    <row r="3930">
      <c r="A3930" s="157">
        <v>3929.0</v>
      </c>
      <c r="B3930" s="158" t="s">
        <v>7138</v>
      </c>
    </row>
    <row r="3931">
      <c r="A3931" s="157">
        <v>3930.0</v>
      </c>
      <c r="B3931" s="158" t="s">
        <v>7139</v>
      </c>
    </row>
    <row r="3932">
      <c r="A3932" s="157">
        <v>3931.0</v>
      </c>
      <c r="B3932" s="158" t="s">
        <v>7140</v>
      </c>
    </row>
    <row r="3933">
      <c r="A3933" s="157">
        <v>3932.0</v>
      </c>
      <c r="B3933" s="158" t="s">
        <v>7141</v>
      </c>
    </row>
    <row r="3934">
      <c r="A3934" s="157">
        <v>3933.0</v>
      </c>
      <c r="B3934" s="158" t="s">
        <v>7142</v>
      </c>
    </row>
    <row r="3935">
      <c r="A3935" s="157">
        <v>3934.0</v>
      </c>
      <c r="B3935" s="158" t="s">
        <v>7143</v>
      </c>
    </row>
    <row r="3936">
      <c r="A3936" s="157">
        <v>3935.0</v>
      </c>
      <c r="B3936" s="158" t="s">
        <v>7144</v>
      </c>
    </row>
    <row r="3937">
      <c r="A3937" s="157">
        <v>3936.0</v>
      </c>
      <c r="B3937" s="158" t="s">
        <v>7145</v>
      </c>
    </row>
    <row r="3938">
      <c r="A3938" s="157">
        <v>3937.0</v>
      </c>
      <c r="B3938" s="159" t="s">
        <v>7146</v>
      </c>
    </row>
    <row r="3939">
      <c r="A3939" s="157">
        <v>3938.0</v>
      </c>
      <c r="B3939" s="159" t="s">
        <v>7147</v>
      </c>
    </row>
    <row r="3940">
      <c r="A3940" s="157">
        <v>3939.0</v>
      </c>
      <c r="B3940" s="159" t="s">
        <v>7148</v>
      </c>
    </row>
    <row r="3941">
      <c r="A3941" s="157">
        <v>3940.0</v>
      </c>
      <c r="B3941" s="159" t="s">
        <v>7149</v>
      </c>
    </row>
    <row r="3942">
      <c r="A3942" s="157">
        <v>3941.0</v>
      </c>
      <c r="B3942" s="158" t="s">
        <v>7150</v>
      </c>
    </row>
    <row r="3943">
      <c r="A3943" s="157">
        <v>3942.0</v>
      </c>
      <c r="B3943" s="158" t="s">
        <v>7151</v>
      </c>
    </row>
    <row r="3944">
      <c r="A3944" s="157">
        <v>3943.0</v>
      </c>
      <c r="B3944" s="158" t="s">
        <v>7152</v>
      </c>
    </row>
    <row r="3945">
      <c r="A3945" s="157">
        <v>3944.0</v>
      </c>
      <c r="B3945" s="158" t="s">
        <v>7153</v>
      </c>
    </row>
    <row r="3946">
      <c r="A3946" s="157">
        <v>3945.0</v>
      </c>
      <c r="B3946" s="158" t="s">
        <v>7154</v>
      </c>
    </row>
    <row r="3947">
      <c r="A3947" s="157">
        <v>3946.0</v>
      </c>
      <c r="B3947" s="158" t="s">
        <v>7155</v>
      </c>
    </row>
    <row r="3948">
      <c r="A3948" s="157">
        <v>3947.0</v>
      </c>
      <c r="B3948" s="158" t="s">
        <v>7156</v>
      </c>
    </row>
    <row r="3949">
      <c r="A3949" s="157">
        <v>3948.0</v>
      </c>
      <c r="B3949" s="158" t="s">
        <v>7157</v>
      </c>
    </row>
    <row r="3950">
      <c r="A3950" s="157">
        <v>3949.0</v>
      </c>
      <c r="B3950" s="158" t="s">
        <v>7158</v>
      </c>
    </row>
    <row r="3951">
      <c r="A3951" s="157">
        <v>3950.0</v>
      </c>
      <c r="B3951" s="158" t="s">
        <v>7159</v>
      </c>
    </row>
    <row r="3952">
      <c r="A3952" s="157">
        <v>3951.0</v>
      </c>
      <c r="B3952" s="158" t="s">
        <v>7160</v>
      </c>
    </row>
    <row r="3953">
      <c r="A3953" s="157">
        <v>3952.0</v>
      </c>
      <c r="B3953" s="158" t="s">
        <v>7161</v>
      </c>
    </row>
    <row r="3954">
      <c r="A3954" s="157">
        <v>3953.0</v>
      </c>
      <c r="B3954" s="158" t="s">
        <v>7162</v>
      </c>
    </row>
    <row r="3955">
      <c r="A3955" s="157">
        <v>3954.0</v>
      </c>
      <c r="B3955" s="158" t="s">
        <v>7163</v>
      </c>
    </row>
    <row r="3956">
      <c r="A3956" s="157">
        <v>3955.0</v>
      </c>
      <c r="B3956" s="158" t="s">
        <v>7164</v>
      </c>
    </row>
    <row r="3957">
      <c r="A3957" s="157">
        <v>3956.0</v>
      </c>
      <c r="B3957" s="158" t="s">
        <v>7165</v>
      </c>
    </row>
    <row r="3958">
      <c r="A3958" s="157">
        <v>3957.0</v>
      </c>
      <c r="B3958" s="158" t="s">
        <v>7166</v>
      </c>
    </row>
    <row r="3959">
      <c r="A3959" s="157">
        <v>3958.0</v>
      </c>
      <c r="B3959" s="158" t="s">
        <v>7167</v>
      </c>
    </row>
    <row r="3960">
      <c r="A3960" s="157">
        <v>3959.0</v>
      </c>
      <c r="B3960" s="158" t="s">
        <v>7168</v>
      </c>
    </row>
    <row r="3961">
      <c r="A3961" s="157">
        <v>3960.0</v>
      </c>
      <c r="B3961" s="159" t="s">
        <v>7169</v>
      </c>
    </row>
    <row r="3962">
      <c r="A3962" s="157">
        <v>3961.0</v>
      </c>
      <c r="B3962" s="158" t="s">
        <v>7170</v>
      </c>
    </row>
    <row r="3963">
      <c r="A3963" s="157">
        <v>3962.0</v>
      </c>
      <c r="B3963" s="159" t="s">
        <v>7171</v>
      </c>
    </row>
    <row r="3964">
      <c r="A3964" s="157">
        <v>3963.0</v>
      </c>
      <c r="B3964" s="159" t="s">
        <v>7172</v>
      </c>
    </row>
    <row r="3965">
      <c r="A3965" s="157">
        <v>3964.0</v>
      </c>
      <c r="B3965" s="159" t="s">
        <v>7173</v>
      </c>
    </row>
    <row r="3966">
      <c r="A3966" s="157">
        <v>3965.0</v>
      </c>
      <c r="B3966" s="158" t="s">
        <v>7174</v>
      </c>
    </row>
    <row r="3967">
      <c r="A3967" s="157">
        <v>3966.0</v>
      </c>
      <c r="B3967" s="158" t="s">
        <v>7175</v>
      </c>
    </row>
    <row r="3968">
      <c r="A3968" s="157">
        <v>3967.0</v>
      </c>
      <c r="B3968" s="158" t="s">
        <v>7176</v>
      </c>
    </row>
    <row r="3969">
      <c r="A3969" s="157">
        <v>3968.0</v>
      </c>
      <c r="B3969" s="158" t="s">
        <v>7177</v>
      </c>
    </row>
    <row r="3970">
      <c r="A3970" s="157">
        <v>3969.0</v>
      </c>
      <c r="B3970" s="158" t="s">
        <v>7178</v>
      </c>
    </row>
    <row r="3971">
      <c r="A3971" s="157">
        <v>3970.0</v>
      </c>
      <c r="B3971" s="158" t="s">
        <v>7179</v>
      </c>
    </row>
    <row r="3972">
      <c r="A3972" s="157">
        <v>3971.0</v>
      </c>
      <c r="B3972" s="158" t="s">
        <v>7180</v>
      </c>
    </row>
    <row r="3973">
      <c r="A3973" s="157">
        <v>3972.0</v>
      </c>
      <c r="B3973" s="159" t="s">
        <v>7181</v>
      </c>
    </row>
    <row r="3974">
      <c r="A3974" s="157">
        <v>3973.0</v>
      </c>
      <c r="B3974" s="158" t="s">
        <v>7182</v>
      </c>
    </row>
    <row r="3975">
      <c r="A3975" s="157">
        <v>3974.0</v>
      </c>
      <c r="B3975" s="158" t="s">
        <v>7183</v>
      </c>
    </row>
    <row r="3976">
      <c r="A3976" s="157">
        <v>3975.0</v>
      </c>
      <c r="B3976" s="159" t="s">
        <v>7184</v>
      </c>
    </row>
    <row r="3977">
      <c r="A3977" s="157">
        <v>3976.0</v>
      </c>
      <c r="B3977" s="159" t="s">
        <v>7185</v>
      </c>
    </row>
    <row r="3978">
      <c r="A3978" s="157">
        <v>3977.0</v>
      </c>
      <c r="B3978" s="159" t="s">
        <v>7186</v>
      </c>
    </row>
    <row r="3979">
      <c r="A3979" s="157">
        <v>3978.0</v>
      </c>
      <c r="B3979" s="159" t="s">
        <v>7187</v>
      </c>
    </row>
    <row r="3980">
      <c r="A3980" s="157">
        <v>3979.0</v>
      </c>
      <c r="B3980" s="158" t="s">
        <v>7188</v>
      </c>
    </row>
    <row r="3981">
      <c r="A3981" s="157">
        <v>3980.0</v>
      </c>
      <c r="B3981" s="158" t="s">
        <v>7189</v>
      </c>
    </row>
    <row r="3982">
      <c r="A3982" s="157">
        <v>3981.0</v>
      </c>
      <c r="B3982" s="158" t="s">
        <v>7190</v>
      </c>
    </row>
    <row r="3983">
      <c r="A3983" s="157">
        <v>3982.0</v>
      </c>
      <c r="B3983" s="158" t="s">
        <v>7191</v>
      </c>
    </row>
    <row r="3984">
      <c r="A3984" s="157">
        <v>3983.0</v>
      </c>
      <c r="B3984" s="158" t="s">
        <v>7192</v>
      </c>
    </row>
    <row r="3985">
      <c r="A3985" s="157">
        <v>3984.0</v>
      </c>
      <c r="B3985" s="158" t="s">
        <v>7193</v>
      </c>
    </row>
    <row r="3986">
      <c r="A3986" s="157">
        <v>3985.0</v>
      </c>
      <c r="B3986" s="158" t="s">
        <v>7194</v>
      </c>
    </row>
    <row r="3987">
      <c r="A3987" s="157">
        <v>3986.0</v>
      </c>
      <c r="B3987" s="158" t="s">
        <v>7195</v>
      </c>
    </row>
    <row r="3988">
      <c r="A3988" s="157">
        <v>3987.0</v>
      </c>
      <c r="B3988" s="158" t="s">
        <v>7196</v>
      </c>
    </row>
    <row r="3989">
      <c r="A3989" s="157">
        <v>3988.0</v>
      </c>
      <c r="B3989" s="158" t="s">
        <v>7197</v>
      </c>
    </row>
    <row r="3990">
      <c r="A3990" s="157">
        <v>3989.0</v>
      </c>
      <c r="B3990" s="158" t="s">
        <v>7198</v>
      </c>
    </row>
    <row r="3991">
      <c r="A3991" s="157">
        <v>3990.0</v>
      </c>
      <c r="B3991" s="158" t="s">
        <v>7199</v>
      </c>
    </row>
    <row r="3992">
      <c r="A3992" s="157">
        <v>3991.0</v>
      </c>
      <c r="B3992" s="158" t="s">
        <v>7200</v>
      </c>
    </row>
    <row r="3993">
      <c r="A3993" s="157">
        <v>3992.0</v>
      </c>
      <c r="B3993" s="158" t="s">
        <v>7201</v>
      </c>
    </row>
    <row r="3994">
      <c r="A3994" s="157">
        <v>3993.0</v>
      </c>
      <c r="B3994" s="158" t="s">
        <v>7202</v>
      </c>
    </row>
    <row r="3995">
      <c r="A3995" s="157">
        <v>3994.0</v>
      </c>
      <c r="B3995" s="159" t="s">
        <v>7203</v>
      </c>
    </row>
    <row r="3996">
      <c r="A3996" s="157">
        <v>3995.0</v>
      </c>
      <c r="B3996" s="159" t="s">
        <v>7204</v>
      </c>
    </row>
    <row r="3997">
      <c r="A3997" s="157">
        <v>3996.0</v>
      </c>
      <c r="B3997" s="158" t="s">
        <v>7205</v>
      </c>
    </row>
    <row r="3998">
      <c r="A3998" s="157">
        <v>3997.0</v>
      </c>
      <c r="B3998" s="158" t="s">
        <v>7206</v>
      </c>
    </row>
    <row r="3999">
      <c r="A3999" s="157">
        <v>3998.0</v>
      </c>
      <c r="B3999" s="158" t="s">
        <v>7207</v>
      </c>
    </row>
    <row r="4000">
      <c r="A4000" s="157">
        <v>3999.0</v>
      </c>
      <c r="B4000" s="158" t="s">
        <v>7208</v>
      </c>
    </row>
    <row r="4001">
      <c r="A4001" s="157">
        <v>4000.0</v>
      </c>
      <c r="B4001" s="158" t="s">
        <v>7209</v>
      </c>
    </row>
    <row r="4002">
      <c r="A4002" s="157">
        <v>4001.0</v>
      </c>
      <c r="B4002" s="158" t="s">
        <v>7210</v>
      </c>
    </row>
    <row r="4003">
      <c r="A4003" s="157">
        <v>4002.0</v>
      </c>
      <c r="B4003" s="158" t="s">
        <v>7211</v>
      </c>
    </row>
    <row r="4004">
      <c r="A4004" s="157">
        <v>4003.0</v>
      </c>
      <c r="B4004" s="158" t="s">
        <v>7212</v>
      </c>
    </row>
    <row r="4005">
      <c r="A4005" s="157">
        <v>4004.0</v>
      </c>
      <c r="B4005" s="158" t="s">
        <v>7213</v>
      </c>
    </row>
    <row r="4006">
      <c r="A4006" s="157">
        <v>4005.0</v>
      </c>
      <c r="B4006" s="158" t="s">
        <v>7214</v>
      </c>
    </row>
    <row r="4007">
      <c r="A4007" s="157">
        <v>4006.0</v>
      </c>
      <c r="B4007" s="158" t="s">
        <v>7215</v>
      </c>
    </row>
    <row r="4008">
      <c r="A4008" s="157">
        <v>4007.0</v>
      </c>
      <c r="B4008" s="158" t="s">
        <v>7216</v>
      </c>
    </row>
    <row r="4009">
      <c r="A4009" s="157">
        <v>4008.0</v>
      </c>
      <c r="B4009" s="158" t="s">
        <v>7217</v>
      </c>
    </row>
    <row r="4010">
      <c r="A4010" s="157">
        <v>4009.0</v>
      </c>
      <c r="B4010" s="158" t="s">
        <v>7218</v>
      </c>
    </row>
    <row r="4011">
      <c r="A4011" s="157">
        <v>4010.0</v>
      </c>
      <c r="B4011" s="158" t="s">
        <v>7219</v>
      </c>
    </row>
    <row r="4012">
      <c r="A4012" s="157">
        <v>4011.0</v>
      </c>
      <c r="B4012" s="158" t="s">
        <v>7220</v>
      </c>
    </row>
    <row r="4013">
      <c r="A4013" s="157">
        <v>4012.0</v>
      </c>
      <c r="B4013" s="158" t="s">
        <v>7221</v>
      </c>
    </row>
    <row r="4014">
      <c r="A4014" s="157">
        <v>4013.0</v>
      </c>
      <c r="B4014" s="158" t="s">
        <v>7222</v>
      </c>
    </row>
    <row r="4015">
      <c r="A4015" s="157">
        <v>4014.0</v>
      </c>
      <c r="B4015" s="158" t="s">
        <v>7223</v>
      </c>
    </row>
    <row r="4016">
      <c r="A4016" s="157">
        <v>4015.0</v>
      </c>
      <c r="B4016" s="158" t="s">
        <v>7224</v>
      </c>
    </row>
    <row r="4017">
      <c r="A4017" s="157">
        <v>4016.0</v>
      </c>
      <c r="B4017" s="158" t="s">
        <v>7225</v>
      </c>
    </row>
    <row r="4018">
      <c r="A4018" s="157">
        <v>4017.0</v>
      </c>
      <c r="B4018" s="158" t="s">
        <v>7226</v>
      </c>
    </row>
    <row r="4019">
      <c r="A4019" s="157">
        <v>4018.0</v>
      </c>
      <c r="B4019" s="158" t="s">
        <v>7227</v>
      </c>
    </row>
    <row r="4020">
      <c r="A4020" s="157">
        <v>4019.0</v>
      </c>
      <c r="B4020" s="158" t="s">
        <v>7228</v>
      </c>
    </row>
    <row r="4021">
      <c r="A4021" s="157">
        <v>4020.0</v>
      </c>
      <c r="B4021" s="158" t="s">
        <v>7229</v>
      </c>
    </row>
    <row r="4022">
      <c r="A4022" s="157">
        <v>4021.0</v>
      </c>
      <c r="B4022" s="158" t="s">
        <v>7230</v>
      </c>
    </row>
    <row r="4023">
      <c r="A4023" s="157">
        <v>4022.0</v>
      </c>
      <c r="B4023" s="158" t="s">
        <v>7231</v>
      </c>
    </row>
    <row r="4024">
      <c r="A4024" s="157">
        <v>4023.0</v>
      </c>
      <c r="B4024" s="158" t="s">
        <v>7232</v>
      </c>
    </row>
    <row r="4025">
      <c r="A4025" s="157">
        <v>4024.0</v>
      </c>
      <c r="B4025" s="158" t="s">
        <v>7233</v>
      </c>
    </row>
    <row r="4026">
      <c r="A4026" s="157">
        <v>4025.0</v>
      </c>
      <c r="B4026" s="158" t="s">
        <v>7234</v>
      </c>
    </row>
    <row r="4027">
      <c r="A4027" s="157">
        <v>4026.0</v>
      </c>
      <c r="B4027" s="158" t="s">
        <v>7235</v>
      </c>
    </row>
    <row r="4028">
      <c r="A4028" s="157">
        <v>4027.0</v>
      </c>
      <c r="B4028" s="158" t="s">
        <v>7236</v>
      </c>
    </row>
    <row r="4029">
      <c r="A4029" s="157">
        <v>4028.0</v>
      </c>
      <c r="B4029" s="158" t="s">
        <v>7237</v>
      </c>
    </row>
    <row r="4030">
      <c r="A4030" s="157">
        <v>4029.0</v>
      </c>
      <c r="B4030" s="158" t="s">
        <v>7238</v>
      </c>
    </row>
    <row r="4031">
      <c r="A4031" s="157">
        <v>4030.0</v>
      </c>
      <c r="B4031" s="158" t="s">
        <v>7239</v>
      </c>
    </row>
    <row r="4032">
      <c r="A4032" s="157">
        <v>4031.0</v>
      </c>
      <c r="B4032" s="158" t="s">
        <v>7240</v>
      </c>
    </row>
    <row r="4033">
      <c r="A4033" s="157">
        <v>4032.0</v>
      </c>
      <c r="B4033" s="158" t="s">
        <v>7241</v>
      </c>
    </row>
    <row r="4034">
      <c r="A4034" s="157">
        <v>4033.0</v>
      </c>
      <c r="B4034" s="158" t="s">
        <v>7242</v>
      </c>
    </row>
    <row r="4035">
      <c r="A4035" s="157">
        <v>4034.0</v>
      </c>
      <c r="B4035" s="158" t="s">
        <v>7243</v>
      </c>
    </row>
    <row r="4036">
      <c r="A4036" s="157">
        <v>4035.0</v>
      </c>
      <c r="B4036" s="158" t="s">
        <v>7244</v>
      </c>
    </row>
    <row r="4037">
      <c r="A4037" s="157">
        <v>4036.0</v>
      </c>
      <c r="B4037" s="158" t="s">
        <v>7245</v>
      </c>
    </row>
    <row r="4038">
      <c r="A4038" s="157">
        <v>4037.0</v>
      </c>
      <c r="B4038" s="158" t="s">
        <v>7246</v>
      </c>
    </row>
    <row r="4039">
      <c r="A4039" s="157">
        <v>4038.0</v>
      </c>
      <c r="B4039" s="158" t="s">
        <v>7247</v>
      </c>
    </row>
    <row r="4040">
      <c r="A4040" s="157">
        <v>4039.0</v>
      </c>
      <c r="B4040" s="158" t="s">
        <v>7248</v>
      </c>
    </row>
    <row r="4041">
      <c r="A4041" s="157">
        <v>4040.0</v>
      </c>
      <c r="B4041" s="158" t="s">
        <v>7249</v>
      </c>
    </row>
    <row r="4042">
      <c r="A4042" s="157">
        <v>4041.0</v>
      </c>
      <c r="B4042" s="158" t="s">
        <v>7250</v>
      </c>
    </row>
    <row r="4043">
      <c r="A4043" s="157">
        <v>4042.0</v>
      </c>
      <c r="B4043" s="159" t="s">
        <v>7251</v>
      </c>
    </row>
    <row r="4044">
      <c r="A4044" s="157">
        <v>4043.0</v>
      </c>
      <c r="B4044" s="158" t="s">
        <v>7252</v>
      </c>
    </row>
    <row r="4045">
      <c r="A4045" s="157">
        <v>4044.0</v>
      </c>
      <c r="B4045" s="159" t="s">
        <v>7253</v>
      </c>
    </row>
    <row r="4046">
      <c r="A4046" s="157">
        <v>4045.0</v>
      </c>
      <c r="B4046" s="159" t="s">
        <v>7254</v>
      </c>
    </row>
    <row r="4047">
      <c r="A4047" s="157">
        <v>4046.0</v>
      </c>
      <c r="B4047" s="158" t="s">
        <v>7255</v>
      </c>
    </row>
    <row r="4048">
      <c r="A4048" s="157">
        <v>4047.0</v>
      </c>
      <c r="B4048" s="158" t="s">
        <v>7256</v>
      </c>
    </row>
    <row r="4049">
      <c r="A4049" s="157">
        <v>4048.0</v>
      </c>
      <c r="B4049" s="158" t="s">
        <v>7257</v>
      </c>
    </row>
    <row r="4050">
      <c r="A4050" s="157">
        <v>4049.0</v>
      </c>
      <c r="B4050" s="158" t="s">
        <v>7258</v>
      </c>
    </row>
    <row r="4051">
      <c r="A4051" s="157">
        <v>4050.0</v>
      </c>
      <c r="B4051" s="158" t="s">
        <v>7259</v>
      </c>
    </row>
    <row r="4052">
      <c r="A4052" s="157">
        <v>4051.0</v>
      </c>
      <c r="B4052" s="158" t="s">
        <v>7260</v>
      </c>
    </row>
    <row r="4053">
      <c r="A4053" s="157">
        <v>4052.0</v>
      </c>
      <c r="B4053" s="158" t="s">
        <v>7261</v>
      </c>
    </row>
    <row r="4054">
      <c r="A4054" s="157">
        <v>4053.0</v>
      </c>
      <c r="B4054" s="159" t="s">
        <v>7262</v>
      </c>
    </row>
    <row r="4055">
      <c r="A4055" s="157">
        <v>4054.0</v>
      </c>
      <c r="B4055" s="159" t="s">
        <v>7263</v>
      </c>
    </row>
    <row r="4056">
      <c r="A4056" s="157">
        <v>4055.0</v>
      </c>
      <c r="B4056" s="158" t="s">
        <v>7264</v>
      </c>
    </row>
    <row r="4057">
      <c r="A4057" s="157">
        <v>4056.0</v>
      </c>
      <c r="B4057" s="158" t="s">
        <v>7265</v>
      </c>
    </row>
    <row r="4058">
      <c r="A4058" s="157">
        <v>4057.0</v>
      </c>
      <c r="B4058" s="159" t="s">
        <v>7266</v>
      </c>
    </row>
    <row r="4059">
      <c r="A4059" s="157">
        <v>4058.0</v>
      </c>
      <c r="B4059" s="159" t="s">
        <v>7267</v>
      </c>
    </row>
    <row r="4060">
      <c r="A4060" s="157">
        <v>4059.0</v>
      </c>
      <c r="B4060" s="159" t="s">
        <v>7268</v>
      </c>
    </row>
    <row r="4061">
      <c r="A4061" s="157">
        <v>4060.0</v>
      </c>
      <c r="B4061" s="159" t="s">
        <v>7269</v>
      </c>
    </row>
    <row r="4062">
      <c r="A4062" s="157">
        <v>4061.0</v>
      </c>
      <c r="B4062" s="159" t="s">
        <v>7270</v>
      </c>
    </row>
    <row r="4063">
      <c r="A4063" s="157">
        <v>4062.0</v>
      </c>
      <c r="B4063" s="159" t="s">
        <v>7271</v>
      </c>
    </row>
    <row r="4064">
      <c r="A4064" s="157">
        <v>4063.0</v>
      </c>
      <c r="B4064" s="159" t="s">
        <v>7272</v>
      </c>
    </row>
    <row r="4065">
      <c r="A4065" s="157">
        <v>4064.0</v>
      </c>
      <c r="B4065" s="159" t="s">
        <v>7273</v>
      </c>
    </row>
    <row r="4066">
      <c r="A4066" s="157">
        <v>4065.0</v>
      </c>
      <c r="B4066" s="159" t="s">
        <v>7274</v>
      </c>
    </row>
    <row r="4067">
      <c r="A4067" s="157">
        <v>4066.0</v>
      </c>
      <c r="B4067" s="159" t="s">
        <v>7275</v>
      </c>
    </row>
    <row r="4068">
      <c r="A4068" s="157">
        <v>4067.0</v>
      </c>
      <c r="B4068" s="159" t="s">
        <v>7276</v>
      </c>
    </row>
    <row r="4069">
      <c r="A4069" s="157">
        <v>4068.0</v>
      </c>
      <c r="B4069" s="159" t="s">
        <v>7277</v>
      </c>
    </row>
    <row r="4070">
      <c r="A4070" s="157">
        <v>4069.0</v>
      </c>
      <c r="B4070" s="159" t="s">
        <v>7278</v>
      </c>
    </row>
    <row r="4071">
      <c r="A4071" s="157">
        <v>4070.0</v>
      </c>
      <c r="B4071" s="159" t="s">
        <v>7279</v>
      </c>
    </row>
    <row r="4072">
      <c r="A4072" s="157">
        <v>4071.0</v>
      </c>
      <c r="B4072" s="158" t="s">
        <v>7280</v>
      </c>
    </row>
    <row r="4073">
      <c r="A4073" s="157">
        <v>4072.0</v>
      </c>
      <c r="B4073" s="159" t="s">
        <v>7281</v>
      </c>
    </row>
    <row r="4074">
      <c r="A4074" s="157">
        <v>4073.0</v>
      </c>
      <c r="B4074" s="158" t="s">
        <v>7282</v>
      </c>
    </row>
    <row r="4075">
      <c r="A4075" s="157">
        <v>4074.0</v>
      </c>
      <c r="B4075" s="158" t="s">
        <v>7283</v>
      </c>
    </row>
    <row r="4076">
      <c r="A4076" s="157">
        <v>4075.0</v>
      </c>
      <c r="B4076" s="158" t="s">
        <v>7284</v>
      </c>
    </row>
    <row r="4077">
      <c r="A4077" s="157">
        <v>4076.0</v>
      </c>
      <c r="B4077" s="158" t="s">
        <v>7285</v>
      </c>
    </row>
    <row r="4078">
      <c r="A4078" s="157">
        <v>4077.0</v>
      </c>
      <c r="B4078" s="158" t="s">
        <v>7286</v>
      </c>
    </row>
    <row r="4079">
      <c r="A4079" s="157">
        <v>4078.0</v>
      </c>
      <c r="B4079" s="158" t="s">
        <v>7287</v>
      </c>
    </row>
    <row r="4080">
      <c r="A4080" s="157">
        <v>4079.0</v>
      </c>
      <c r="B4080" s="158" t="s">
        <v>7288</v>
      </c>
    </row>
    <row r="4081">
      <c r="A4081" s="157">
        <v>4080.0</v>
      </c>
      <c r="B4081" s="158" t="s">
        <v>7289</v>
      </c>
    </row>
    <row r="4082">
      <c r="A4082" s="157">
        <v>4081.0</v>
      </c>
      <c r="B4082" s="159" t="s">
        <v>7290</v>
      </c>
    </row>
    <row r="4083">
      <c r="A4083" s="157">
        <v>4082.0</v>
      </c>
      <c r="B4083" s="159" t="s">
        <v>7291</v>
      </c>
    </row>
    <row r="4084">
      <c r="A4084" s="157">
        <v>4083.0</v>
      </c>
      <c r="B4084" s="159" t="s">
        <v>7292</v>
      </c>
    </row>
    <row r="4085">
      <c r="A4085" s="157">
        <v>4084.0</v>
      </c>
      <c r="B4085" s="158" t="s">
        <v>7293</v>
      </c>
    </row>
    <row r="4086">
      <c r="A4086" s="157">
        <v>4085.0</v>
      </c>
      <c r="B4086" s="158" t="s">
        <v>7294</v>
      </c>
    </row>
    <row r="4087">
      <c r="A4087" s="157">
        <v>4086.0</v>
      </c>
      <c r="B4087" s="158" t="s">
        <v>7295</v>
      </c>
    </row>
    <row r="4088">
      <c r="A4088" s="157">
        <v>4087.0</v>
      </c>
      <c r="B4088" s="159" t="s">
        <v>7296</v>
      </c>
    </row>
    <row r="4089">
      <c r="A4089" s="157">
        <v>4088.0</v>
      </c>
      <c r="B4089" s="159" t="s">
        <v>7297</v>
      </c>
    </row>
    <row r="4090">
      <c r="A4090" s="157">
        <v>4089.0</v>
      </c>
      <c r="B4090" s="158" t="s">
        <v>7298</v>
      </c>
    </row>
    <row r="4091">
      <c r="A4091" s="157">
        <v>4090.0</v>
      </c>
      <c r="B4091" s="158" t="s">
        <v>7299</v>
      </c>
    </row>
    <row r="4092">
      <c r="A4092" s="157">
        <v>4091.0</v>
      </c>
      <c r="B4092" s="159" t="s">
        <v>7300</v>
      </c>
    </row>
    <row r="4093">
      <c r="A4093" s="157">
        <v>4092.0</v>
      </c>
      <c r="B4093" s="159" t="s">
        <v>7301</v>
      </c>
    </row>
    <row r="4094">
      <c r="A4094" s="157">
        <v>4093.0</v>
      </c>
      <c r="B4094" s="158" t="s">
        <v>7302</v>
      </c>
    </row>
    <row r="4095">
      <c r="A4095" s="157">
        <v>4094.0</v>
      </c>
      <c r="B4095" s="158" t="s">
        <v>7303</v>
      </c>
    </row>
    <row r="4096">
      <c r="A4096" s="157">
        <v>4095.0</v>
      </c>
      <c r="B4096" s="158" t="s">
        <v>7304</v>
      </c>
    </row>
    <row r="4097">
      <c r="A4097" s="157">
        <v>4096.0</v>
      </c>
      <c r="B4097" s="158" t="s">
        <v>7305</v>
      </c>
    </row>
    <row r="4098">
      <c r="A4098" s="157">
        <v>4097.0</v>
      </c>
      <c r="B4098" s="158" t="s">
        <v>7306</v>
      </c>
    </row>
    <row r="4099">
      <c r="A4099" s="157">
        <v>4098.0</v>
      </c>
      <c r="B4099" s="158" t="s">
        <v>7307</v>
      </c>
    </row>
    <row r="4100">
      <c r="A4100" s="157">
        <v>4099.0</v>
      </c>
      <c r="B4100" s="158" t="s">
        <v>7308</v>
      </c>
    </row>
    <row r="4101">
      <c r="A4101" s="157">
        <v>4100.0</v>
      </c>
      <c r="B4101" s="158" t="s">
        <v>7309</v>
      </c>
    </row>
    <row r="4102">
      <c r="A4102" s="157">
        <v>4101.0</v>
      </c>
      <c r="B4102" s="159" t="s">
        <v>7310</v>
      </c>
    </row>
    <row r="4103">
      <c r="A4103" s="157">
        <v>4102.0</v>
      </c>
      <c r="B4103" s="159" t="s">
        <v>7311</v>
      </c>
    </row>
    <row r="4104">
      <c r="A4104" s="157">
        <v>4103.0</v>
      </c>
      <c r="B4104" s="159" t="s">
        <v>7312</v>
      </c>
    </row>
    <row r="4105">
      <c r="A4105" s="157">
        <v>4104.0</v>
      </c>
      <c r="B4105" s="159" t="s">
        <v>7313</v>
      </c>
    </row>
    <row r="4106">
      <c r="A4106" s="157">
        <v>4105.0</v>
      </c>
      <c r="B4106" s="159" t="s">
        <v>7314</v>
      </c>
    </row>
    <row r="4107">
      <c r="A4107" s="157">
        <v>4106.0</v>
      </c>
      <c r="B4107" s="158" t="s">
        <v>7315</v>
      </c>
    </row>
    <row r="4108">
      <c r="A4108" s="157">
        <v>4107.0</v>
      </c>
      <c r="B4108" s="158" t="s">
        <v>7316</v>
      </c>
    </row>
    <row r="4109">
      <c r="A4109" s="157">
        <v>4108.0</v>
      </c>
      <c r="B4109" s="158" t="s">
        <v>7317</v>
      </c>
    </row>
    <row r="4110">
      <c r="A4110" s="157">
        <v>4109.0</v>
      </c>
      <c r="B4110" s="158" t="s">
        <v>7318</v>
      </c>
    </row>
    <row r="4111">
      <c r="A4111" s="157">
        <v>4110.0</v>
      </c>
      <c r="B4111" s="158" t="s">
        <v>7319</v>
      </c>
    </row>
    <row r="4112">
      <c r="A4112" s="157">
        <v>4111.0</v>
      </c>
      <c r="B4112" s="158" t="s">
        <v>7320</v>
      </c>
    </row>
    <row r="4113">
      <c r="A4113" s="157">
        <v>4112.0</v>
      </c>
      <c r="B4113" s="158" t="s">
        <v>7321</v>
      </c>
    </row>
    <row r="4114">
      <c r="A4114" s="157">
        <v>4113.0</v>
      </c>
      <c r="B4114" s="158" t="s">
        <v>7322</v>
      </c>
    </row>
    <row r="4115">
      <c r="A4115" s="157">
        <v>4114.0</v>
      </c>
      <c r="B4115" s="158" t="s">
        <v>7323</v>
      </c>
    </row>
    <row r="4116">
      <c r="A4116" s="157">
        <v>4115.0</v>
      </c>
      <c r="B4116" s="158" t="s">
        <v>7324</v>
      </c>
    </row>
    <row r="4117">
      <c r="A4117" s="157">
        <v>4116.0</v>
      </c>
      <c r="B4117" s="158" t="s">
        <v>7325</v>
      </c>
    </row>
    <row r="4118">
      <c r="A4118" s="157">
        <v>4117.0</v>
      </c>
      <c r="B4118" s="159" t="s">
        <v>7326</v>
      </c>
    </row>
    <row r="4119">
      <c r="A4119" s="157">
        <v>4118.0</v>
      </c>
      <c r="B4119" s="158" t="s">
        <v>7327</v>
      </c>
    </row>
    <row r="4120">
      <c r="A4120" s="157">
        <v>4119.0</v>
      </c>
      <c r="B4120" s="158" t="s">
        <v>7328</v>
      </c>
    </row>
    <row r="4121">
      <c r="A4121" s="157">
        <v>4120.0</v>
      </c>
      <c r="B4121" s="158" t="s">
        <v>7329</v>
      </c>
    </row>
    <row r="4122">
      <c r="A4122" s="157">
        <v>4121.0</v>
      </c>
      <c r="B4122" s="158" t="s">
        <v>7330</v>
      </c>
    </row>
    <row r="4123">
      <c r="A4123" s="157">
        <v>4122.0</v>
      </c>
      <c r="B4123" s="158" t="s">
        <v>7331</v>
      </c>
    </row>
    <row r="4124">
      <c r="A4124" s="157">
        <v>4123.0</v>
      </c>
      <c r="B4124" s="158" t="s">
        <v>7332</v>
      </c>
    </row>
    <row r="4125">
      <c r="A4125" s="157">
        <v>4124.0</v>
      </c>
      <c r="B4125" s="158" t="s">
        <v>7333</v>
      </c>
    </row>
    <row r="4126">
      <c r="A4126" s="157">
        <v>4125.0</v>
      </c>
      <c r="B4126" s="158" t="s">
        <v>7334</v>
      </c>
    </row>
    <row r="4127">
      <c r="A4127" s="157">
        <v>4126.0</v>
      </c>
      <c r="B4127" s="158" t="s">
        <v>7335</v>
      </c>
    </row>
    <row r="4128">
      <c r="A4128" s="157">
        <v>4127.0</v>
      </c>
      <c r="B4128" s="158" t="s">
        <v>7336</v>
      </c>
    </row>
    <row r="4129">
      <c r="A4129" s="157">
        <v>4128.0</v>
      </c>
      <c r="B4129" s="158" t="s">
        <v>7337</v>
      </c>
    </row>
    <row r="4130">
      <c r="A4130" s="157">
        <v>4129.0</v>
      </c>
      <c r="B4130" s="158" t="s">
        <v>7338</v>
      </c>
    </row>
    <row r="4131">
      <c r="A4131" s="157">
        <v>4130.0</v>
      </c>
      <c r="B4131" s="158" t="s">
        <v>7339</v>
      </c>
    </row>
    <row r="4132">
      <c r="A4132" s="157">
        <v>4131.0</v>
      </c>
      <c r="B4132" s="159" t="s">
        <v>7340</v>
      </c>
    </row>
    <row r="4133">
      <c r="A4133" s="157">
        <v>4132.0</v>
      </c>
      <c r="B4133" s="158" t="s">
        <v>7341</v>
      </c>
    </row>
    <row r="4134">
      <c r="A4134" s="157">
        <v>4133.0</v>
      </c>
      <c r="B4134" s="158" t="s">
        <v>7342</v>
      </c>
    </row>
    <row r="4135">
      <c r="A4135" s="157">
        <v>4134.0</v>
      </c>
      <c r="B4135" s="158" t="s">
        <v>7343</v>
      </c>
    </row>
    <row r="4136">
      <c r="A4136" s="157">
        <v>4135.0</v>
      </c>
      <c r="B4136" s="158" t="s">
        <v>7344</v>
      </c>
    </row>
    <row r="4137">
      <c r="A4137" s="157">
        <v>4136.0</v>
      </c>
      <c r="B4137" s="158" t="s">
        <v>7345</v>
      </c>
    </row>
    <row r="4138">
      <c r="A4138" s="157">
        <v>4137.0</v>
      </c>
      <c r="B4138" s="158" t="s">
        <v>7346</v>
      </c>
    </row>
    <row r="4139">
      <c r="A4139" s="157">
        <v>4138.0</v>
      </c>
      <c r="B4139" s="158" t="s">
        <v>7347</v>
      </c>
    </row>
    <row r="4140">
      <c r="A4140" s="157">
        <v>4139.0</v>
      </c>
      <c r="B4140" s="164" t="s">
        <v>7348</v>
      </c>
    </row>
    <row r="4141">
      <c r="A4141" s="157">
        <v>4140.0</v>
      </c>
      <c r="B4141" s="173" t="s">
        <v>7349</v>
      </c>
    </row>
    <row r="4142">
      <c r="A4142" s="157">
        <v>4141.0</v>
      </c>
      <c r="B4142" s="158" t="s">
        <v>7350</v>
      </c>
    </row>
    <row r="4143">
      <c r="A4143" s="157">
        <v>4142.0</v>
      </c>
      <c r="B4143" s="158" t="s">
        <v>7351</v>
      </c>
    </row>
    <row r="4144">
      <c r="A4144" s="157">
        <v>4143.0</v>
      </c>
      <c r="B4144" s="158" t="s">
        <v>7352</v>
      </c>
    </row>
    <row r="4145">
      <c r="A4145" s="157">
        <v>4144.0</v>
      </c>
      <c r="B4145" s="170" t="s">
        <v>7353</v>
      </c>
    </row>
    <row r="4146">
      <c r="A4146" s="157">
        <v>4145.0</v>
      </c>
      <c r="B4146" s="170" t="s">
        <v>7354</v>
      </c>
    </row>
    <row r="4147">
      <c r="A4147" s="157">
        <v>4146.0</v>
      </c>
      <c r="B4147" s="159" t="s">
        <v>7355</v>
      </c>
    </row>
    <row r="4148">
      <c r="A4148" s="157">
        <v>4147.0</v>
      </c>
      <c r="B4148" s="159" t="s">
        <v>7356</v>
      </c>
    </row>
    <row r="4149">
      <c r="A4149" s="157">
        <v>4148.0</v>
      </c>
      <c r="B4149" s="159" t="s">
        <v>7357</v>
      </c>
    </row>
    <row r="4150">
      <c r="A4150" s="157">
        <v>4149.0</v>
      </c>
      <c r="B4150" s="159" t="s">
        <v>7358</v>
      </c>
    </row>
    <row r="4151">
      <c r="A4151" s="157">
        <v>4150.0</v>
      </c>
      <c r="B4151" s="159" t="s">
        <v>7359</v>
      </c>
    </row>
    <row r="4152">
      <c r="A4152" s="157">
        <v>4151.0</v>
      </c>
      <c r="B4152" s="159" t="s">
        <v>7360</v>
      </c>
    </row>
    <row r="4153">
      <c r="A4153" s="157">
        <v>4152.0</v>
      </c>
      <c r="B4153" s="159" t="s">
        <v>7361</v>
      </c>
    </row>
    <row r="4154">
      <c r="A4154" s="157">
        <v>4153.0</v>
      </c>
      <c r="B4154" s="159" t="s">
        <v>7362</v>
      </c>
    </row>
    <row r="4155">
      <c r="A4155" s="157">
        <v>4154.0</v>
      </c>
      <c r="B4155" s="159" t="s">
        <v>7363</v>
      </c>
    </row>
    <row r="4156">
      <c r="A4156" s="157">
        <v>4155.0</v>
      </c>
      <c r="B4156" s="158" t="s">
        <v>7364</v>
      </c>
    </row>
    <row r="4157">
      <c r="A4157" s="157">
        <v>4156.0</v>
      </c>
      <c r="B4157" s="158" t="s">
        <v>7365</v>
      </c>
    </row>
    <row r="4158">
      <c r="A4158" s="157">
        <v>4157.0</v>
      </c>
      <c r="B4158" s="158" t="s">
        <v>7366</v>
      </c>
    </row>
    <row r="4159">
      <c r="A4159" s="157">
        <v>4158.0</v>
      </c>
      <c r="B4159" s="159" t="s">
        <v>7367</v>
      </c>
    </row>
    <row r="4160">
      <c r="A4160" s="157">
        <v>4159.0</v>
      </c>
      <c r="B4160" s="159" t="s">
        <v>7368</v>
      </c>
    </row>
    <row r="4161">
      <c r="A4161" s="157">
        <v>4160.0</v>
      </c>
      <c r="B4161" s="159" t="s">
        <v>7369</v>
      </c>
    </row>
    <row r="4162">
      <c r="A4162" s="157">
        <v>4161.0</v>
      </c>
      <c r="B4162" s="158" t="s">
        <v>7370</v>
      </c>
    </row>
    <row r="4163">
      <c r="A4163" s="157">
        <v>4162.0</v>
      </c>
      <c r="B4163" s="158" t="s">
        <v>7371</v>
      </c>
    </row>
    <row r="4164">
      <c r="A4164" s="157">
        <v>4163.0</v>
      </c>
      <c r="B4164" s="158" t="s">
        <v>7372</v>
      </c>
    </row>
    <row r="4165">
      <c r="A4165" s="157">
        <v>4164.0</v>
      </c>
      <c r="B4165" s="158" t="s">
        <v>7373</v>
      </c>
    </row>
    <row r="4166">
      <c r="A4166" s="157">
        <v>4165.0</v>
      </c>
      <c r="B4166" s="158" t="s">
        <v>7374</v>
      </c>
    </row>
    <row r="4167">
      <c r="A4167" s="157">
        <v>4166.0</v>
      </c>
      <c r="B4167" s="158" t="s">
        <v>7375</v>
      </c>
    </row>
    <row r="4168">
      <c r="A4168" s="157">
        <v>4167.0</v>
      </c>
      <c r="B4168" s="158" t="s">
        <v>7376</v>
      </c>
    </row>
    <row r="4169">
      <c r="A4169" s="157">
        <v>4168.0</v>
      </c>
      <c r="B4169" s="159" t="s">
        <v>7377</v>
      </c>
    </row>
    <row r="4170">
      <c r="A4170" s="157">
        <v>4169.0</v>
      </c>
      <c r="B4170" s="158" t="s">
        <v>7378</v>
      </c>
    </row>
    <row r="4171">
      <c r="A4171" s="157">
        <v>4170.0</v>
      </c>
      <c r="B4171" s="159" t="s">
        <v>7379</v>
      </c>
    </row>
    <row r="4172">
      <c r="A4172" s="157">
        <v>4171.0</v>
      </c>
      <c r="B4172" s="158" t="s">
        <v>7380</v>
      </c>
    </row>
    <row r="4173">
      <c r="A4173" s="157">
        <v>4172.0</v>
      </c>
      <c r="B4173" s="158" t="s">
        <v>7381</v>
      </c>
    </row>
    <row r="4174">
      <c r="A4174" s="157">
        <v>4173.0</v>
      </c>
      <c r="B4174" s="158" t="s">
        <v>7382</v>
      </c>
    </row>
    <row r="4175">
      <c r="A4175" s="157">
        <v>4174.0</v>
      </c>
      <c r="B4175" s="158" t="s">
        <v>7383</v>
      </c>
    </row>
    <row r="4176">
      <c r="A4176" s="157">
        <v>4175.0</v>
      </c>
      <c r="B4176" s="158" t="s">
        <v>7384</v>
      </c>
    </row>
    <row r="4177">
      <c r="A4177" s="157">
        <v>4176.0</v>
      </c>
      <c r="B4177" s="158" t="s">
        <v>7385</v>
      </c>
    </row>
    <row r="4178">
      <c r="A4178" s="157">
        <v>4177.0</v>
      </c>
      <c r="B4178" s="158" t="s">
        <v>7386</v>
      </c>
    </row>
    <row r="4179">
      <c r="A4179" s="157">
        <v>4178.0</v>
      </c>
      <c r="B4179" s="158" t="s">
        <v>7387</v>
      </c>
    </row>
    <row r="4180">
      <c r="A4180" s="157">
        <v>4179.0</v>
      </c>
      <c r="B4180" s="158" t="s">
        <v>7388</v>
      </c>
    </row>
    <row r="4181">
      <c r="A4181" s="157">
        <v>4180.0</v>
      </c>
      <c r="B4181" s="158" t="s">
        <v>7389</v>
      </c>
    </row>
    <row r="4182">
      <c r="A4182" s="157">
        <v>4181.0</v>
      </c>
      <c r="B4182" s="158" t="s">
        <v>7390</v>
      </c>
    </row>
    <row r="4183">
      <c r="A4183" s="157">
        <v>4182.0</v>
      </c>
      <c r="B4183" s="158" t="s">
        <v>7391</v>
      </c>
    </row>
    <row r="4184">
      <c r="A4184" s="157">
        <v>4183.0</v>
      </c>
      <c r="B4184" s="158" t="s">
        <v>7392</v>
      </c>
    </row>
    <row r="4185">
      <c r="A4185" s="157">
        <v>4184.0</v>
      </c>
      <c r="B4185" s="158" t="s">
        <v>7393</v>
      </c>
    </row>
    <row r="4186">
      <c r="A4186" s="157">
        <v>4185.0</v>
      </c>
      <c r="B4186" s="158" t="s">
        <v>7394</v>
      </c>
    </row>
    <row r="4187">
      <c r="A4187" s="157">
        <v>4186.0</v>
      </c>
      <c r="B4187" s="158" t="s">
        <v>7395</v>
      </c>
    </row>
    <row r="4188">
      <c r="A4188" s="157">
        <v>4187.0</v>
      </c>
      <c r="B4188" s="158" t="s">
        <v>7396</v>
      </c>
    </row>
    <row r="4189">
      <c r="A4189" s="157">
        <v>4188.0</v>
      </c>
      <c r="B4189" s="158" t="s">
        <v>7397</v>
      </c>
    </row>
    <row r="4190">
      <c r="A4190" s="157">
        <v>4189.0</v>
      </c>
      <c r="B4190" s="158" t="s">
        <v>7398</v>
      </c>
    </row>
    <row r="4191">
      <c r="A4191" s="157">
        <v>4190.0</v>
      </c>
      <c r="B4191" s="159" t="s">
        <v>7399</v>
      </c>
    </row>
    <row r="4192">
      <c r="A4192" s="157">
        <v>4191.0</v>
      </c>
      <c r="B4192" s="159" t="s">
        <v>7400</v>
      </c>
    </row>
    <row r="4193">
      <c r="A4193" s="157">
        <v>4192.0</v>
      </c>
      <c r="B4193" s="158" t="s">
        <v>7401</v>
      </c>
    </row>
    <row r="4194">
      <c r="A4194" s="157">
        <v>4193.0</v>
      </c>
      <c r="B4194" s="158" t="s">
        <v>7402</v>
      </c>
    </row>
    <row r="4195">
      <c r="A4195" s="157">
        <v>4194.0</v>
      </c>
      <c r="B4195" s="159" t="s">
        <v>7403</v>
      </c>
    </row>
    <row r="4196">
      <c r="A4196" s="157">
        <v>4195.0</v>
      </c>
    </row>
    <row r="4197">
      <c r="A4197" s="157">
        <v>4196.0</v>
      </c>
    </row>
    <row r="4198">
      <c r="A4198" s="157">
        <v>4197.0</v>
      </c>
    </row>
    <row r="4199">
      <c r="A4199" s="157">
        <v>4198.0</v>
      </c>
    </row>
    <row r="4200">
      <c r="A4200" s="157">
        <v>4199.0</v>
      </c>
    </row>
    <row r="4201">
      <c r="A4201" s="157">
        <v>4200.0</v>
      </c>
    </row>
    <row r="4202">
      <c r="A4202" s="157">
        <v>4201.0</v>
      </c>
    </row>
    <row r="4203">
      <c r="A4203" s="157">
        <v>4202.0</v>
      </c>
    </row>
    <row r="4204">
      <c r="A4204" s="157">
        <v>4203.0</v>
      </c>
    </row>
    <row r="4205">
      <c r="A4205" s="157">
        <v>4204.0</v>
      </c>
    </row>
    <row r="4206">
      <c r="A4206" s="157">
        <v>4205.0</v>
      </c>
    </row>
    <row r="4207">
      <c r="A4207" s="157">
        <v>4206.0</v>
      </c>
    </row>
    <row r="4208">
      <c r="A4208" s="157">
        <v>4207.0</v>
      </c>
    </row>
    <row r="4209">
      <c r="A4209" s="157">
        <v>4208.0</v>
      </c>
    </row>
    <row r="4210">
      <c r="A4210" s="157">
        <v>4209.0</v>
      </c>
    </row>
    <row r="4211">
      <c r="A4211" s="157">
        <v>4210.0</v>
      </c>
    </row>
    <row r="4212">
      <c r="A4212" s="157">
        <v>4211.0</v>
      </c>
    </row>
    <row r="4213">
      <c r="A4213" s="157">
        <v>4212.0</v>
      </c>
    </row>
    <row r="4214">
      <c r="A4214" s="157">
        <v>4213.0</v>
      </c>
    </row>
    <row r="4215">
      <c r="A4215" s="157">
        <v>4214.0</v>
      </c>
    </row>
    <row r="4216">
      <c r="A4216" s="157">
        <v>4215.0</v>
      </c>
    </row>
    <row r="4217">
      <c r="A4217" s="157">
        <v>4216.0</v>
      </c>
    </row>
    <row r="4218">
      <c r="A4218" s="157">
        <v>4217.0</v>
      </c>
    </row>
    <row r="4219">
      <c r="A4219" s="157">
        <v>4218.0</v>
      </c>
    </row>
    <row r="4220">
      <c r="A4220" s="157">
        <v>4219.0</v>
      </c>
    </row>
    <row r="4221">
      <c r="A4221" s="157">
        <v>4220.0</v>
      </c>
    </row>
    <row r="4222">
      <c r="A4222" s="157">
        <v>4221.0</v>
      </c>
    </row>
    <row r="4223">
      <c r="A4223" s="157">
        <v>4222.0</v>
      </c>
    </row>
    <row r="4224">
      <c r="A4224" s="157">
        <v>4223.0</v>
      </c>
    </row>
    <row r="4225">
      <c r="A4225" s="157">
        <v>4224.0</v>
      </c>
    </row>
    <row r="4226">
      <c r="A4226" s="157">
        <v>4225.0</v>
      </c>
    </row>
    <row r="4227">
      <c r="A4227" s="157">
        <v>4226.0</v>
      </c>
    </row>
    <row r="4228">
      <c r="A4228" s="157">
        <v>4227.0</v>
      </c>
    </row>
    <row r="4229">
      <c r="A4229" s="157">
        <v>4228.0</v>
      </c>
    </row>
    <row r="4230">
      <c r="A4230" s="157">
        <v>4229.0</v>
      </c>
    </row>
    <row r="4231">
      <c r="A4231" s="157">
        <v>4230.0</v>
      </c>
    </row>
    <row r="4232">
      <c r="A4232" s="157">
        <v>4231.0</v>
      </c>
    </row>
    <row r="4233">
      <c r="A4233" s="157">
        <v>4232.0</v>
      </c>
    </row>
    <row r="4234">
      <c r="A4234" s="157">
        <v>4233.0</v>
      </c>
    </row>
    <row r="4235">
      <c r="A4235" s="157">
        <v>4234.0</v>
      </c>
    </row>
    <row r="4236">
      <c r="A4236" s="157">
        <v>4235.0</v>
      </c>
    </row>
    <row r="4237">
      <c r="A4237" s="157">
        <v>4236.0</v>
      </c>
    </row>
    <row r="4238">
      <c r="A4238" s="157">
        <v>4237.0</v>
      </c>
    </row>
    <row r="4239">
      <c r="A4239" s="157">
        <v>4238.0</v>
      </c>
    </row>
    <row r="4240">
      <c r="A4240" s="157">
        <v>4239.0</v>
      </c>
    </row>
    <row r="4241">
      <c r="A4241" s="157">
        <v>4240.0</v>
      </c>
    </row>
    <row r="4242">
      <c r="A4242" s="157">
        <v>4241.0</v>
      </c>
    </row>
    <row r="4243">
      <c r="A4243" s="157">
        <v>4242.0</v>
      </c>
    </row>
    <row r="4244">
      <c r="A4244" s="157">
        <v>4243.0</v>
      </c>
    </row>
    <row r="4245">
      <c r="A4245" s="157">
        <v>4244.0</v>
      </c>
    </row>
    <row r="4246">
      <c r="A4246" s="157">
        <v>4245.0</v>
      </c>
    </row>
    <row r="4247">
      <c r="A4247" s="157">
        <v>4246.0</v>
      </c>
    </row>
    <row r="4248">
      <c r="A4248" s="157">
        <v>4247.0</v>
      </c>
    </row>
    <row r="4249">
      <c r="A4249" s="157">
        <v>4248.0</v>
      </c>
    </row>
    <row r="4250">
      <c r="A4250" s="157">
        <v>4249.0</v>
      </c>
    </row>
    <row r="4251">
      <c r="A4251" s="157">
        <v>4250.0</v>
      </c>
    </row>
    <row r="4252">
      <c r="A4252" s="157">
        <v>4251.0</v>
      </c>
    </row>
    <row r="4253">
      <c r="A4253" s="157">
        <v>4252.0</v>
      </c>
    </row>
    <row r="4254">
      <c r="A4254" s="157">
        <v>4253.0</v>
      </c>
    </row>
    <row r="4255">
      <c r="A4255" s="157">
        <v>4254.0</v>
      </c>
    </row>
    <row r="4256">
      <c r="A4256" s="157">
        <v>4255.0</v>
      </c>
    </row>
    <row r="4257">
      <c r="A4257" s="157">
        <v>4256.0</v>
      </c>
    </row>
    <row r="4258">
      <c r="A4258" s="157">
        <v>4257.0</v>
      </c>
    </row>
    <row r="4259">
      <c r="A4259" s="157">
        <v>4258.0</v>
      </c>
    </row>
    <row r="4260">
      <c r="A4260" s="157">
        <v>4259.0</v>
      </c>
    </row>
    <row r="4261">
      <c r="A4261" s="157">
        <v>4260.0</v>
      </c>
    </row>
    <row r="4262">
      <c r="A4262" s="157">
        <v>4261.0</v>
      </c>
    </row>
    <row r="4263">
      <c r="A4263" s="157">
        <v>4262.0</v>
      </c>
    </row>
    <row r="4264">
      <c r="A4264" s="157">
        <v>4263.0</v>
      </c>
    </row>
    <row r="4265">
      <c r="A4265" s="157">
        <v>4264.0</v>
      </c>
    </row>
    <row r="4266">
      <c r="A4266" s="157">
        <v>4265.0</v>
      </c>
    </row>
    <row r="4267">
      <c r="A4267" s="157">
        <v>4266.0</v>
      </c>
    </row>
    <row r="4268">
      <c r="A4268" s="157">
        <v>4267.0</v>
      </c>
    </row>
    <row r="4269">
      <c r="A4269" s="157">
        <v>4268.0</v>
      </c>
    </row>
    <row r="4270">
      <c r="A4270" s="157">
        <v>4269.0</v>
      </c>
    </row>
    <row r="4271">
      <c r="A4271" s="157">
        <v>4270.0</v>
      </c>
    </row>
    <row r="4272">
      <c r="A4272" s="157">
        <v>4271.0</v>
      </c>
    </row>
    <row r="4273">
      <c r="A4273" s="157">
        <v>4272.0</v>
      </c>
    </row>
    <row r="4274">
      <c r="A4274" s="157">
        <v>4273.0</v>
      </c>
    </row>
    <row r="4275">
      <c r="A4275" s="157">
        <v>4274.0</v>
      </c>
    </row>
    <row r="4276">
      <c r="A4276" s="157">
        <v>4275.0</v>
      </c>
    </row>
    <row r="4277">
      <c r="A4277" s="157">
        <v>4276.0</v>
      </c>
    </row>
    <row r="4278">
      <c r="A4278" s="157">
        <v>4277.0</v>
      </c>
    </row>
    <row r="4279">
      <c r="A4279" s="157">
        <v>4278.0</v>
      </c>
    </row>
    <row r="4280">
      <c r="A4280" s="157">
        <v>4279.0</v>
      </c>
    </row>
    <row r="4281">
      <c r="A4281" s="157">
        <v>4280.0</v>
      </c>
    </row>
    <row r="4282">
      <c r="A4282" s="157">
        <v>4281.0</v>
      </c>
    </row>
    <row r="4283">
      <c r="A4283" s="157">
        <v>4282.0</v>
      </c>
    </row>
    <row r="4284">
      <c r="A4284" s="157">
        <v>4283.0</v>
      </c>
    </row>
    <row r="4285">
      <c r="A4285" s="157">
        <v>4284.0</v>
      </c>
    </row>
    <row r="4286">
      <c r="A4286" s="157">
        <v>4285.0</v>
      </c>
    </row>
    <row r="4287">
      <c r="A4287" s="157">
        <v>4286.0</v>
      </c>
    </row>
    <row r="4288">
      <c r="A4288" s="157">
        <v>4287.0</v>
      </c>
    </row>
    <row r="4289">
      <c r="A4289" s="157">
        <v>4288.0</v>
      </c>
    </row>
    <row r="4290">
      <c r="A4290" s="157">
        <v>4289.0</v>
      </c>
    </row>
    <row r="4291">
      <c r="A4291" s="157">
        <v>4290.0</v>
      </c>
    </row>
    <row r="4292">
      <c r="A4292" s="157">
        <v>4291.0</v>
      </c>
    </row>
    <row r="4293">
      <c r="A4293" s="157">
        <v>4292.0</v>
      </c>
    </row>
    <row r="4294">
      <c r="A4294" s="157">
        <v>4293.0</v>
      </c>
    </row>
    <row r="4295">
      <c r="A4295" s="157">
        <v>4294.0</v>
      </c>
    </row>
    <row r="4296">
      <c r="A4296" s="157">
        <v>4295.0</v>
      </c>
    </row>
    <row r="4297">
      <c r="A4297" s="157">
        <v>4296.0</v>
      </c>
    </row>
    <row r="4298">
      <c r="A4298" s="157">
        <v>4297.0</v>
      </c>
    </row>
    <row r="4299">
      <c r="A4299" s="157">
        <v>4298.0</v>
      </c>
    </row>
    <row r="4300">
      <c r="A4300" s="157">
        <v>4299.0</v>
      </c>
    </row>
    <row r="4301">
      <c r="A4301" s="157">
        <v>4300.0</v>
      </c>
    </row>
    <row r="4302">
      <c r="A4302" s="157">
        <v>4301.0</v>
      </c>
    </row>
    <row r="4303">
      <c r="A4303" s="157">
        <v>4302.0</v>
      </c>
    </row>
    <row r="4304">
      <c r="A4304" s="157">
        <v>4303.0</v>
      </c>
    </row>
    <row r="4305">
      <c r="A4305" s="157">
        <v>4304.0</v>
      </c>
    </row>
    <row r="4306">
      <c r="A4306" s="157">
        <v>4305.0</v>
      </c>
    </row>
    <row r="4307">
      <c r="A4307" s="157">
        <v>4306.0</v>
      </c>
    </row>
    <row r="4308">
      <c r="A4308" s="157">
        <v>4307.0</v>
      </c>
    </row>
    <row r="4309">
      <c r="A4309" s="157">
        <v>4308.0</v>
      </c>
    </row>
    <row r="4310">
      <c r="A4310" s="157">
        <v>4309.0</v>
      </c>
    </row>
    <row r="4311">
      <c r="A4311" s="157">
        <v>4310.0</v>
      </c>
    </row>
    <row r="4312">
      <c r="A4312" s="157">
        <v>4311.0</v>
      </c>
    </row>
    <row r="4313">
      <c r="A4313" s="157">
        <v>4312.0</v>
      </c>
    </row>
    <row r="4314">
      <c r="A4314" s="157">
        <v>4313.0</v>
      </c>
    </row>
    <row r="4315">
      <c r="A4315" s="157">
        <v>4314.0</v>
      </c>
    </row>
    <row r="4316">
      <c r="A4316" s="157">
        <v>4315.0</v>
      </c>
    </row>
    <row r="4317">
      <c r="A4317" s="157">
        <v>4316.0</v>
      </c>
    </row>
    <row r="4318">
      <c r="A4318" s="157">
        <v>4317.0</v>
      </c>
    </row>
    <row r="4319">
      <c r="A4319" s="157">
        <v>4318.0</v>
      </c>
    </row>
    <row r="4320">
      <c r="A4320" s="157">
        <v>4319.0</v>
      </c>
    </row>
    <row r="4321">
      <c r="A4321" s="157">
        <v>4320.0</v>
      </c>
    </row>
    <row r="4322">
      <c r="A4322" s="157">
        <v>4321.0</v>
      </c>
    </row>
    <row r="4323">
      <c r="A4323" s="157">
        <v>4322.0</v>
      </c>
    </row>
    <row r="4324">
      <c r="A4324" s="157">
        <v>4323.0</v>
      </c>
    </row>
    <row r="4325">
      <c r="A4325" s="157">
        <v>4324.0</v>
      </c>
    </row>
    <row r="4326">
      <c r="A4326" s="157">
        <v>4325.0</v>
      </c>
    </row>
    <row r="4327">
      <c r="A4327" s="157">
        <v>4326.0</v>
      </c>
    </row>
    <row r="4328">
      <c r="A4328" s="157">
        <v>4327.0</v>
      </c>
    </row>
    <row r="4329">
      <c r="A4329" s="157">
        <v>4328.0</v>
      </c>
    </row>
    <row r="4330">
      <c r="A4330" s="157">
        <v>4329.0</v>
      </c>
    </row>
    <row r="4331">
      <c r="A4331" s="157">
        <v>4330.0</v>
      </c>
    </row>
    <row r="4332">
      <c r="A4332" s="157">
        <v>4331.0</v>
      </c>
    </row>
    <row r="4333">
      <c r="A4333" s="157">
        <v>4332.0</v>
      </c>
    </row>
    <row r="4334">
      <c r="A4334" s="157">
        <v>4333.0</v>
      </c>
    </row>
    <row r="4335">
      <c r="A4335" s="157">
        <v>4334.0</v>
      </c>
    </row>
    <row r="4336">
      <c r="A4336" s="157">
        <v>4335.0</v>
      </c>
    </row>
    <row r="4337">
      <c r="A4337" s="157">
        <v>4336.0</v>
      </c>
    </row>
    <row r="4338">
      <c r="A4338" s="157">
        <v>4337.0</v>
      </c>
    </row>
    <row r="4339">
      <c r="A4339" s="157">
        <v>4338.0</v>
      </c>
    </row>
    <row r="4340">
      <c r="A4340" s="157">
        <v>4339.0</v>
      </c>
    </row>
    <row r="4341">
      <c r="A4341" s="157">
        <v>4340.0</v>
      </c>
    </row>
    <row r="4342">
      <c r="A4342" s="157">
        <v>4341.0</v>
      </c>
    </row>
    <row r="4343">
      <c r="A4343" s="157">
        <v>4342.0</v>
      </c>
    </row>
    <row r="4344">
      <c r="A4344" s="157">
        <v>4343.0</v>
      </c>
    </row>
    <row r="4345">
      <c r="A4345" s="157">
        <v>4344.0</v>
      </c>
    </row>
    <row r="4346">
      <c r="A4346" s="157">
        <v>4345.0</v>
      </c>
    </row>
    <row r="4347">
      <c r="A4347" s="157">
        <v>4346.0</v>
      </c>
    </row>
    <row r="4348">
      <c r="A4348" s="157">
        <v>4347.0</v>
      </c>
    </row>
    <row r="4349">
      <c r="A4349" s="157">
        <v>4348.0</v>
      </c>
    </row>
    <row r="4350">
      <c r="A4350" s="157">
        <v>4349.0</v>
      </c>
    </row>
    <row r="4351">
      <c r="A4351" s="157">
        <v>4350.0</v>
      </c>
    </row>
    <row r="4352">
      <c r="A4352" s="157">
        <v>4351.0</v>
      </c>
    </row>
    <row r="4353">
      <c r="A4353" s="157">
        <v>4352.0</v>
      </c>
    </row>
    <row r="4354">
      <c r="A4354" s="157">
        <v>4353.0</v>
      </c>
    </row>
    <row r="4355">
      <c r="A4355" s="157">
        <v>4354.0</v>
      </c>
    </row>
    <row r="4356">
      <c r="A4356" s="157">
        <v>4355.0</v>
      </c>
    </row>
    <row r="4357">
      <c r="A4357" s="157">
        <v>4356.0</v>
      </c>
    </row>
    <row r="4358">
      <c r="A4358" s="157">
        <v>4357.0</v>
      </c>
    </row>
    <row r="4359">
      <c r="A4359" s="157">
        <v>4358.0</v>
      </c>
    </row>
    <row r="4360">
      <c r="A4360" s="157">
        <v>4359.0</v>
      </c>
    </row>
    <row r="4361">
      <c r="A4361" s="157">
        <v>4360.0</v>
      </c>
    </row>
    <row r="4362">
      <c r="A4362" s="157">
        <v>4361.0</v>
      </c>
    </row>
    <row r="4363">
      <c r="A4363" s="157">
        <v>4362.0</v>
      </c>
    </row>
    <row r="4364">
      <c r="A4364" s="157">
        <v>4363.0</v>
      </c>
    </row>
    <row r="4365">
      <c r="A4365" s="157">
        <v>4364.0</v>
      </c>
    </row>
    <row r="4366">
      <c r="A4366" s="157">
        <v>4365.0</v>
      </c>
    </row>
    <row r="4367">
      <c r="A4367" s="157">
        <v>4366.0</v>
      </c>
    </row>
    <row r="4368">
      <c r="A4368" s="157">
        <v>4367.0</v>
      </c>
    </row>
    <row r="4369">
      <c r="A4369" s="157">
        <v>4368.0</v>
      </c>
    </row>
    <row r="4370">
      <c r="A4370" s="157">
        <v>4369.0</v>
      </c>
    </row>
    <row r="4371">
      <c r="A4371" s="157">
        <v>4370.0</v>
      </c>
    </row>
    <row r="4372">
      <c r="A4372" s="157">
        <v>4371.0</v>
      </c>
    </row>
    <row r="4373">
      <c r="A4373" s="157">
        <v>4372.0</v>
      </c>
    </row>
    <row r="4374">
      <c r="A4374" s="157">
        <v>4373.0</v>
      </c>
    </row>
    <row r="4375">
      <c r="A4375" s="157">
        <v>4374.0</v>
      </c>
    </row>
    <row r="4376">
      <c r="A4376" s="157">
        <v>4375.0</v>
      </c>
    </row>
    <row r="4377">
      <c r="A4377" s="157">
        <v>4376.0</v>
      </c>
    </row>
    <row r="4378">
      <c r="A4378" s="157">
        <v>4377.0</v>
      </c>
    </row>
    <row r="4379">
      <c r="A4379" s="157">
        <v>4378.0</v>
      </c>
    </row>
    <row r="4380">
      <c r="A4380" s="157">
        <v>4379.0</v>
      </c>
    </row>
    <row r="4381">
      <c r="A4381" s="157">
        <v>4380.0</v>
      </c>
    </row>
    <row r="4382">
      <c r="A4382" s="157">
        <v>4381.0</v>
      </c>
    </row>
    <row r="4383">
      <c r="A4383" s="157">
        <v>4382.0</v>
      </c>
    </row>
    <row r="4384">
      <c r="A4384" s="157">
        <v>4383.0</v>
      </c>
    </row>
    <row r="4385">
      <c r="A4385" s="157">
        <v>4384.0</v>
      </c>
    </row>
    <row r="4386">
      <c r="A4386" s="157">
        <v>4385.0</v>
      </c>
    </row>
    <row r="4387">
      <c r="A4387" s="157">
        <v>4386.0</v>
      </c>
    </row>
    <row r="4388">
      <c r="A4388" s="157">
        <v>4387.0</v>
      </c>
    </row>
    <row r="4389">
      <c r="A4389" s="157">
        <v>4388.0</v>
      </c>
    </row>
    <row r="4390">
      <c r="A4390" s="157">
        <v>4389.0</v>
      </c>
    </row>
    <row r="4391">
      <c r="A4391" s="157">
        <v>4390.0</v>
      </c>
    </row>
    <row r="4392">
      <c r="A4392" s="157">
        <v>4391.0</v>
      </c>
    </row>
    <row r="4393">
      <c r="A4393" s="157">
        <v>4392.0</v>
      </c>
    </row>
    <row r="4394">
      <c r="A4394" s="157">
        <v>4393.0</v>
      </c>
    </row>
    <row r="4395">
      <c r="A4395" s="157">
        <v>4394.0</v>
      </c>
    </row>
    <row r="4396">
      <c r="A4396" s="157">
        <v>4395.0</v>
      </c>
    </row>
    <row r="4397">
      <c r="A4397" s="157">
        <v>4396.0</v>
      </c>
    </row>
    <row r="4398">
      <c r="A4398" s="157">
        <v>4397.0</v>
      </c>
    </row>
    <row r="4399">
      <c r="A4399" s="157">
        <v>4398.0</v>
      </c>
    </row>
    <row r="4400">
      <c r="A4400" s="157">
        <v>4399.0</v>
      </c>
    </row>
    <row r="4401">
      <c r="A4401" s="157">
        <v>4400.0</v>
      </c>
    </row>
    <row r="4402">
      <c r="A4402" s="157">
        <v>4401.0</v>
      </c>
    </row>
    <row r="4403">
      <c r="A4403" s="157">
        <v>4402.0</v>
      </c>
    </row>
    <row r="4404">
      <c r="A4404" s="157">
        <v>4403.0</v>
      </c>
    </row>
    <row r="4405">
      <c r="A4405" s="157">
        <v>4404.0</v>
      </c>
    </row>
    <row r="4406">
      <c r="A4406" s="157">
        <v>4405.0</v>
      </c>
    </row>
    <row r="4407">
      <c r="A4407" s="157">
        <v>4406.0</v>
      </c>
    </row>
    <row r="4408">
      <c r="A4408" s="157">
        <v>4407.0</v>
      </c>
    </row>
    <row r="4409">
      <c r="A4409" s="157">
        <v>4408.0</v>
      </c>
    </row>
    <row r="4410">
      <c r="A4410" s="157">
        <v>4409.0</v>
      </c>
    </row>
    <row r="4411">
      <c r="A4411" s="157">
        <v>4410.0</v>
      </c>
    </row>
    <row r="4412">
      <c r="A4412" s="157">
        <v>4411.0</v>
      </c>
    </row>
    <row r="4413">
      <c r="A4413" s="157">
        <v>4412.0</v>
      </c>
    </row>
    <row r="4414">
      <c r="A4414" s="157">
        <v>4413.0</v>
      </c>
    </row>
    <row r="4415">
      <c r="A4415" s="157">
        <v>4414.0</v>
      </c>
    </row>
    <row r="4416">
      <c r="A4416" s="157">
        <v>4415.0</v>
      </c>
    </row>
    <row r="4417">
      <c r="A4417" s="157">
        <v>4416.0</v>
      </c>
    </row>
    <row r="4418">
      <c r="A4418" s="157">
        <v>4417.0</v>
      </c>
    </row>
    <row r="4419">
      <c r="A4419" s="157">
        <v>4418.0</v>
      </c>
    </row>
    <row r="4420">
      <c r="A4420" s="157">
        <v>4419.0</v>
      </c>
    </row>
    <row r="4421">
      <c r="A4421" s="157">
        <v>4420.0</v>
      </c>
    </row>
    <row r="4422">
      <c r="A4422" s="157">
        <v>4421.0</v>
      </c>
    </row>
    <row r="4423">
      <c r="A4423" s="157">
        <v>4422.0</v>
      </c>
    </row>
    <row r="4424">
      <c r="A4424" s="157">
        <v>4423.0</v>
      </c>
    </row>
    <row r="4425">
      <c r="A4425" s="157">
        <v>4424.0</v>
      </c>
    </row>
    <row r="4426">
      <c r="A4426" s="157">
        <v>4425.0</v>
      </c>
    </row>
    <row r="4427">
      <c r="A4427" s="157">
        <v>4426.0</v>
      </c>
    </row>
    <row r="4428">
      <c r="A4428" s="157">
        <v>4427.0</v>
      </c>
    </row>
    <row r="4429">
      <c r="A4429" s="157">
        <v>4428.0</v>
      </c>
    </row>
    <row r="4430">
      <c r="A4430" s="157">
        <v>4429.0</v>
      </c>
    </row>
    <row r="4431">
      <c r="A4431" s="157">
        <v>4430.0</v>
      </c>
    </row>
    <row r="4432">
      <c r="A4432" s="157">
        <v>4431.0</v>
      </c>
    </row>
    <row r="4433">
      <c r="A4433" s="157">
        <v>4432.0</v>
      </c>
    </row>
    <row r="4434">
      <c r="A4434" s="157">
        <v>4433.0</v>
      </c>
    </row>
    <row r="4435">
      <c r="A4435" s="157">
        <v>4434.0</v>
      </c>
    </row>
    <row r="4436">
      <c r="A4436" s="157">
        <v>4435.0</v>
      </c>
    </row>
    <row r="4437">
      <c r="A4437" s="157">
        <v>4436.0</v>
      </c>
    </row>
    <row r="4438">
      <c r="A4438" s="157">
        <v>4437.0</v>
      </c>
    </row>
    <row r="4439">
      <c r="A4439" s="157">
        <v>4438.0</v>
      </c>
    </row>
    <row r="4440">
      <c r="A4440" s="157">
        <v>4439.0</v>
      </c>
    </row>
    <row r="4441">
      <c r="A4441" s="157">
        <v>4440.0</v>
      </c>
    </row>
    <row r="4442">
      <c r="A4442" s="157">
        <v>4441.0</v>
      </c>
    </row>
    <row r="4443">
      <c r="A4443" s="157">
        <v>4442.0</v>
      </c>
    </row>
    <row r="4444">
      <c r="A4444" s="157">
        <v>4443.0</v>
      </c>
    </row>
    <row r="4445">
      <c r="A4445" s="157">
        <v>4444.0</v>
      </c>
    </row>
    <row r="4446">
      <c r="A4446" s="157">
        <v>4445.0</v>
      </c>
    </row>
    <row r="4447">
      <c r="A4447" s="157">
        <v>4446.0</v>
      </c>
    </row>
    <row r="4448">
      <c r="A4448" s="157">
        <v>4447.0</v>
      </c>
    </row>
    <row r="4449">
      <c r="A4449" s="157">
        <v>4448.0</v>
      </c>
    </row>
    <row r="4450">
      <c r="A4450" s="157">
        <v>4449.0</v>
      </c>
    </row>
    <row r="4451">
      <c r="A4451" s="157">
        <v>4450.0</v>
      </c>
    </row>
    <row r="4452">
      <c r="A4452" s="157">
        <v>4451.0</v>
      </c>
    </row>
    <row r="4453">
      <c r="A4453" s="157">
        <v>4452.0</v>
      </c>
    </row>
    <row r="4454">
      <c r="A4454" s="157">
        <v>4453.0</v>
      </c>
    </row>
    <row r="4455">
      <c r="A4455" s="157">
        <v>4454.0</v>
      </c>
    </row>
    <row r="4456">
      <c r="A4456" s="157">
        <v>4455.0</v>
      </c>
    </row>
    <row r="4457">
      <c r="A4457" s="157">
        <v>4456.0</v>
      </c>
    </row>
    <row r="4458">
      <c r="A4458" s="157">
        <v>4457.0</v>
      </c>
    </row>
    <row r="4459">
      <c r="A4459" s="157">
        <v>4458.0</v>
      </c>
    </row>
    <row r="4460">
      <c r="A4460" s="157">
        <v>4459.0</v>
      </c>
    </row>
    <row r="4461">
      <c r="A4461" s="157">
        <v>4460.0</v>
      </c>
    </row>
    <row r="4462">
      <c r="A4462" s="157">
        <v>4461.0</v>
      </c>
    </row>
    <row r="4463">
      <c r="A4463" s="157">
        <v>4462.0</v>
      </c>
    </row>
    <row r="4464">
      <c r="A4464" s="157">
        <v>4463.0</v>
      </c>
    </row>
    <row r="4465">
      <c r="A4465" s="157">
        <v>4464.0</v>
      </c>
    </row>
    <row r="4466">
      <c r="A4466" s="157">
        <v>4465.0</v>
      </c>
    </row>
    <row r="4467">
      <c r="A4467" s="157">
        <v>4466.0</v>
      </c>
    </row>
    <row r="4468">
      <c r="A4468" s="157">
        <v>4467.0</v>
      </c>
    </row>
    <row r="4469">
      <c r="A4469" s="157">
        <v>4468.0</v>
      </c>
    </row>
    <row r="4470">
      <c r="A4470" s="157">
        <v>4469.0</v>
      </c>
    </row>
    <row r="4471">
      <c r="A4471" s="157">
        <v>4470.0</v>
      </c>
    </row>
    <row r="4472">
      <c r="A4472" s="157">
        <v>4471.0</v>
      </c>
    </row>
    <row r="4473">
      <c r="A4473" s="157">
        <v>4472.0</v>
      </c>
    </row>
    <row r="4474">
      <c r="A4474" s="157">
        <v>4473.0</v>
      </c>
    </row>
    <row r="4475">
      <c r="A4475" s="157">
        <v>4474.0</v>
      </c>
    </row>
    <row r="4476">
      <c r="A4476" s="157">
        <v>4475.0</v>
      </c>
    </row>
    <row r="4477">
      <c r="A4477" s="157">
        <v>4476.0</v>
      </c>
    </row>
    <row r="4478">
      <c r="A4478" s="157">
        <v>4477.0</v>
      </c>
    </row>
    <row r="4479">
      <c r="A4479" s="157">
        <v>4478.0</v>
      </c>
    </row>
    <row r="4480">
      <c r="A4480" s="157">
        <v>4479.0</v>
      </c>
    </row>
    <row r="4481">
      <c r="A4481" s="157">
        <v>4480.0</v>
      </c>
    </row>
    <row r="4482">
      <c r="A4482" s="157">
        <v>4481.0</v>
      </c>
    </row>
    <row r="4483">
      <c r="A4483" s="157">
        <v>4482.0</v>
      </c>
    </row>
    <row r="4484">
      <c r="A4484" s="157">
        <v>4483.0</v>
      </c>
    </row>
    <row r="4485">
      <c r="A4485" s="157">
        <v>4484.0</v>
      </c>
    </row>
    <row r="4486">
      <c r="A4486" s="157">
        <v>4485.0</v>
      </c>
    </row>
    <row r="4487">
      <c r="A4487" s="157">
        <v>4486.0</v>
      </c>
    </row>
    <row r="4488">
      <c r="A4488" s="157">
        <v>4487.0</v>
      </c>
    </row>
    <row r="4489">
      <c r="A4489" s="157">
        <v>4488.0</v>
      </c>
    </row>
    <row r="4490">
      <c r="A4490" s="157">
        <v>4489.0</v>
      </c>
    </row>
    <row r="4491">
      <c r="A4491" s="157">
        <v>4490.0</v>
      </c>
    </row>
    <row r="4492">
      <c r="A4492" s="157">
        <v>4491.0</v>
      </c>
    </row>
    <row r="4493">
      <c r="A4493" s="157">
        <v>4492.0</v>
      </c>
    </row>
    <row r="4494">
      <c r="A4494" s="157">
        <v>4493.0</v>
      </c>
    </row>
    <row r="4495">
      <c r="A4495" s="157">
        <v>4494.0</v>
      </c>
    </row>
    <row r="4496">
      <c r="A4496" s="157">
        <v>4495.0</v>
      </c>
    </row>
    <row r="4497">
      <c r="A4497" s="157">
        <v>4496.0</v>
      </c>
    </row>
    <row r="4498">
      <c r="A4498" s="157">
        <v>4497.0</v>
      </c>
    </row>
    <row r="4499">
      <c r="A4499" s="157">
        <v>4498.0</v>
      </c>
    </row>
    <row r="4500">
      <c r="A4500" s="157">
        <v>4499.0</v>
      </c>
    </row>
    <row r="4501">
      <c r="A4501" s="157">
        <v>4500.0</v>
      </c>
    </row>
    <row r="4502">
      <c r="A4502" s="157">
        <v>4501.0</v>
      </c>
    </row>
    <row r="4503">
      <c r="A4503" s="157">
        <v>4502.0</v>
      </c>
    </row>
    <row r="4504">
      <c r="A4504" s="157">
        <v>4503.0</v>
      </c>
    </row>
    <row r="4505">
      <c r="A4505" s="157">
        <v>4504.0</v>
      </c>
    </row>
    <row r="4506">
      <c r="A4506" s="157">
        <v>4505.0</v>
      </c>
    </row>
    <row r="4507">
      <c r="A4507" s="157">
        <v>4506.0</v>
      </c>
    </row>
    <row r="4508">
      <c r="A4508" s="157">
        <v>4507.0</v>
      </c>
    </row>
    <row r="4509">
      <c r="A4509" s="157">
        <v>4508.0</v>
      </c>
    </row>
    <row r="4510">
      <c r="A4510" s="157">
        <v>4509.0</v>
      </c>
    </row>
    <row r="4511">
      <c r="A4511" s="157">
        <v>4510.0</v>
      </c>
    </row>
    <row r="4512">
      <c r="A4512" s="157">
        <v>4511.0</v>
      </c>
    </row>
    <row r="4513">
      <c r="A4513" s="157">
        <v>4512.0</v>
      </c>
    </row>
    <row r="4514">
      <c r="A4514" s="157">
        <v>4513.0</v>
      </c>
    </row>
    <row r="4515">
      <c r="A4515" s="157">
        <v>4514.0</v>
      </c>
    </row>
    <row r="4516">
      <c r="A4516" s="157">
        <v>4515.0</v>
      </c>
    </row>
    <row r="4517">
      <c r="A4517" s="157">
        <v>4516.0</v>
      </c>
    </row>
    <row r="4518">
      <c r="A4518" s="157">
        <v>4517.0</v>
      </c>
    </row>
    <row r="4519">
      <c r="A4519" s="157">
        <v>4518.0</v>
      </c>
    </row>
    <row r="4520">
      <c r="A4520" s="157">
        <v>4519.0</v>
      </c>
    </row>
    <row r="4521">
      <c r="A4521" s="157">
        <v>4520.0</v>
      </c>
    </row>
    <row r="4522">
      <c r="A4522" s="157">
        <v>4521.0</v>
      </c>
    </row>
    <row r="4523">
      <c r="A4523" s="157">
        <v>4522.0</v>
      </c>
    </row>
    <row r="4524">
      <c r="A4524" s="157">
        <v>4523.0</v>
      </c>
    </row>
    <row r="4525">
      <c r="A4525" s="157">
        <v>4524.0</v>
      </c>
    </row>
    <row r="4526">
      <c r="A4526" s="157">
        <v>4525.0</v>
      </c>
    </row>
    <row r="4527">
      <c r="A4527" s="157">
        <v>4526.0</v>
      </c>
    </row>
    <row r="4528">
      <c r="A4528" s="157">
        <v>4527.0</v>
      </c>
    </row>
    <row r="4529">
      <c r="A4529" s="157">
        <v>4528.0</v>
      </c>
    </row>
    <row r="4530">
      <c r="A4530" s="157">
        <v>4529.0</v>
      </c>
    </row>
    <row r="4531">
      <c r="A4531" s="157">
        <v>4530.0</v>
      </c>
    </row>
    <row r="4532">
      <c r="A4532" s="157">
        <v>4531.0</v>
      </c>
    </row>
    <row r="4533">
      <c r="A4533" s="157">
        <v>4532.0</v>
      </c>
    </row>
    <row r="4534">
      <c r="A4534" s="157">
        <v>4533.0</v>
      </c>
    </row>
    <row r="4535">
      <c r="A4535" s="157">
        <v>4534.0</v>
      </c>
    </row>
    <row r="4536">
      <c r="A4536" s="157">
        <v>4535.0</v>
      </c>
    </row>
    <row r="4537">
      <c r="A4537" s="157">
        <v>4536.0</v>
      </c>
    </row>
    <row r="4538">
      <c r="A4538" s="157">
        <v>4537.0</v>
      </c>
    </row>
    <row r="4539">
      <c r="A4539" s="157">
        <v>4538.0</v>
      </c>
    </row>
    <row r="4540">
      <c r="A4540" s="157">
        <v>4539.0</v>
      </c>
    </row>
    <row r="4541">
      <c r="A4541" s="157">
        <v>4540.0</v>
      </c>
    </row>
    <row r="4542">
      <c r="A4542" s="157">
        <v>4541.0</v>
      </c>
    </row>
    <row r="4543">
      <c r="A4543" s="157">
        <v>4542.0</v>
      </c>
    </row>
    <row r="4544">
      <c r="A4544" s="157">
        <v>4543.0</v>
      </c>
    </row>
    <row r="4545">
      <c r="A4545" s="157">
        <v>4544.0</v>
      </c>
    </row>
    <row r="4546">
      <c r="A4546" s="157">
        <v>4545.0</v>
      </c>
    </row>
    <row r="4547">
      <c r="A4547" s="157">
        <v>4546.0</v>
      </c>
    </row>
    <row r="4548">
      <c r="A4548" s="157">
        <v>4547.0</v>
      </c>
    </row>
    <row r="4549">
      <c r="A4549" s="157">
        <v>4548.0</v>
      </c>
    </row>
    <row r="4550">
      <c r="A4550" s="157">
        <v>4549.0</v>
      </c>
    </row>
    <row r="4551">
      <c r="A4551" s="157">
        <v>4550.0</v>
      </c>
    </row>
    <row r="4552">
      <c r="A4552" s="157">
        <v>4551.0</v>
      </c>
    </row>
    <row r="4553">
      <c r="A4553" s="157">
        <v>4552.0</v>
      </c>
    </row>
    <row r="4554">
      <c r="A4554" s="157">
        <v>4553.0</v>
      </c>
    </row>
    <row r="4555">
      <c r="A4555" s="157">
        <v>4554.0</v>
      </c>
    </row>
    <row r="4556">
      <c r="A4556" s="157">
        <v>4555.0</v>
      </c>
    </row>
    <row r="4557">
      <c r="A4557" s="157">
        <v>4556.0</v>
      </c>
    </row>
    <row r="4558">
      <c r="A4558" s="157">
        <v>4557.0</v>
      </c>
    </row>
    <row r="4559">
      <c r="A4559" s="157">
        <v>4558.0</v>
      </c>
    </row>
    <row r="4560">
      <c r="A4560" s="157">
        <v>4559.0</v>
      </c>
    </row>
    <row r="4561">
      <c r="A4561" s="157">
        <v>4560.0</v>
      </c>
    </row>
    <row r="4562">
      <c r="A4562" s="157">
        <v>4561.0</v>
      </c>
    </row>
    <row r="4563">
      <c r="A4563" s="157">
        <v>4562.0</v>
      </c>
    </row>
    <row r="4564">
      <c r="A4564" s="157">
        <v>4563.0</v>
      </c>
    </row>
    <row r="4565">
      <c r="A4565" s="157">
        <v>4564.0</v>
      </c>
    </row>
    <row r="4566">
      <c r="A4566" s="157">
        <v>4565.0</v>
      </c>
    </row>
    <row r="4567">
      <c r="A4567" s="157">
        <v>4566.0</v>
      </c>
    </row>
    <row r="4568">
      <c r="A4568" s="157">
        <v>4567.0</v>
      </c>
    </row>
    <row r="4569">
      <c r="A4569" s="157">
        <v>4568.0</v>
      </c>
    </row>
    <row r="4570">
      <c r="A4570" s="157">
        <v>4569.0</v>
      </c>
    </row>
    <row r="4571">
      <c r="A4571" s="157">
        <v>4570.0</v>
      </c>
    </row>
    <row r="4572">
      <c r="A4572" s="157">
        <v>4571.0</v>
      </c>
    </row>
    <row r="4573">
      <c r="A4573" s="157">
        <v>4572.0</v>
      </c>
    </row>
    <row r="4574">
      <c r="A4574" s="157">
        <v>4573.0</v>
      </c>
    </row>
    <row r="4575">
      <c r="A4575" s="157">
        <v>4574.0</v>
      </c>
    </row>
    <row r="4576">
      <c r="A4576" s="157">
        <v>4575.0</v>
      </c>
    </row>
    <row r="4577">
      <c r="A4577" s="157">
        <v>4576.0</v>
      </c>
    </row>
    <row r="4578">
      <c r="A4578" s="157">
        <v>4577.0</v>
      </c>
    </row>
    <row r="4579">
      <c r="A4579" s="157">
        <v>4578.0</v>
      </c>
    </row>
    <row r="4580">
      <c r="A4580" s="157">
        <v>4579.0</v>
      </c>
    </row>
    <row r="4581">
      <c r="A4581" s="157">
        <v>4580.0</v>
      </c>
    </row>
    <row r="4582">
      <c r="A4582" s="157">
        <v>4581.0</v>
      </c>
    </row>
    <row r="4583">
      <c r="A4583" s="157">
        <v>4582.0</v>
      </c>
    </row>
    <row r="4584">
      <c r="A4584" s="157">
        <v>4583.0</v>
      </c>
    </row>
    <row r="4585">
      <c r="A4585" s="157">
        <v>4584.0</v>
      </c>
    </row>
    <row r="4586">
      <c r="A4586" s="157">
        <v>4585.0</v>
      </c>
    </row>
    <row r="4587">
      <c r="A4587" s="157">
        <v>4586.0</v>
      </c>
    </row>
    <row r="4588">
      <c r="A4588" s="157">
        <v>4587.0</v>
      </c>
    </row>
    <row r="4589">
      <c r="A4589" s="157">
        <v>4588.0</v>
      </c>
    </row>
    <row r="4590">
      <c r="A4590" s="157">
        <v>4589.0</v>
      </c>
    </row>
    <row r="4591">
      <c r="A4591" s="157">
        <v>4590.0</v>
      </c>
    </row>
    <row r="4592">
      <c r="A4592" s="157">
        <v>4591.0</v>
      </c>
    </row>
    <row r="4593">
      <c r="A4593" s="157">
        <v>4592.0</v>
      </c>
    </row>
    <row r="4594">
      <c r="A4594" s="157">
        <v>4593.0</v>
      </c>
    </row>
    <row r="4595">
      <c r="A4595" s="157">
        <v>4594.0</v>
      </c>
    </row>
    <row r="4596">
      <c r="A4596" s="157">
        <v>4595.0</v>
      </c>
    </row>
    <row r="4597">
      <c r="A4597" s="157">
        <v>4596.0</v>
      </c>
    </row>
    <row r="4598">
      <c r="A4598" s="157">
        <v>4597.0</v>
      </c>
    </row>
    <row r="4599">
      <c r="A4599" s="157">
        <v>4598.0</v>
      </c>
    </row>
    <row r="4600">
      <c r="A4600" s="157">
        <v>4599.0</v>
      </c>
    </row>
    <row r="4601">
      <c r="A4601" s="157">
        <v>4600.0</v>
      </c>
    </row>
    <row r="4602">
      <c r="A4602" s="157">
        <v>4601.0</v>
      </c>
    </row>
    <row r="4603">
      <c r="A4603" s="157">
        <v>4602.0</v>
      </c>
    </row>
    <row r="4604">
      <c r="A4604" s="157">
        <v>4603.0</v>
      </c>
    </row>
    <row r="4605">
      <c r="A4605" s="157">
        <v>4604.0</v>
      </c>
    </row>
    <row r="4606">
      <c r="A4606" s="157">
        <v>4605.0</v>
      </c>
    </row>
    <row r="4607">
      <c r="A4607" s="157">
        <v>4606.0</v>
      </c>
    </row>
    <row r="4608">
      <c r="A4608" s="157">
        <v>4607.0</v>
      </c>
    </row>
    <row r="4609">
      <c r="A4609" s="157">
        <v>4608.0</v>
      </c>
    </row>
    <row r="4610">
      <c r="A4610" s="157">
        <v>4609.0</v>
      </c>
    </row>
    <row r="4611">
      <c r="A4611" s="157">
        <v>4610.0</v>
      </c>
    </row>
    <row r="4612">
      <c r="A4612" s="157">
        <v>4611.0</v>
      </c>
    </row>
    <row r="4613">
      <c r="A4613" s="157">
        <v>4612.0</v>
      </c>
    </row>
    <row r="4614">
      <c r="A4614" s="157">
        <v>4613.0</v>
      </c>
    </row>
    <row r="4615">
      <c r="A4615" s="157">
        <v>4614.0</v>
      </c>
    </row>
    <row r="4616">
      <c r="A4616" s="157">
        <v>4615.0</v>
      </c>
    </row>
    <row r="4617">
      <c r="A4617" s="157">
        <v>4616.0</v>
      </c>
    </row>
    <row r="4618">
      <c r="A4618" s="157">
        <v>4617.0</v>
      </c>
    </row>
    <row r="4619">
      <c r="A4619" s="157">
        <v>4618.0</v>
      </c>
    </row>
    <row r="4620">
      <c r="A4620" s="157">
        <v>4619.0</v>
      </c>
    </row>
    <row r="4621">
      <c r="A4621" s="157">
        <v>4620.0</v>
      </c>
    </row>
    <row r="4622">
      <c r="A4622" s="157">
        <v>4621.0</v>
      </c>
    </row>
    <row r="4623">
      <c r="A4623" s="157">
        <v>4622.0</v>
      </c>
    </row>
    <row r="4624">
      <c r="A4624" s="157">
        <v>4623.0</v>
      </c>
    </row>
    <row r="4625">
      <c r="A4625" s="157">
        <v>4624.0</v>
      </c>
    </row>
    <row r="4626">
      <c r="A4626" s="157">
        <v>4625.0</v>
      </c>
    </row>
    <row r="4627">
      <c r="A4627" s="157">
        <v>4626.0</v>
      </c>
    </row>
    <row r="4628">
      <c r="A4628" s="157">
        <v>4627.0</v>
      </c>
    </row>
    <row r="4629">
      <c r="A4629" s="157">
        <v>4628.0</v>
      </c>
    </row>
    <row r="4630">
      <c r="A4630" s="157">
        <v>4629.0</v>
      </c>
    </row>
    <row r="4631">
      <c r="A4631" s="157">
        <v>4630.0</v>
      </c>
    </row>
    <row r="4632">
      <c r="A4632" s="157">
        <v>4631.0</v>
      </c>
    </row>
    <row r="4633">
      <c r="A4633" s="157">
        <v>4632.0</v>
      </c>
    </row>
    <row r="4634">
      <c r="A4634" s="157">
        <v>4633.0</v>
      </c>
    </row>
    <row r="4635">
      <c r="A4635" s="157">
        <v>4634.0</v>
      </c>
    </row>
    <row r="4636">
      <c r="A4636" s="157">
        <v>4635.0</v>
      </c>
    </row>
    <row r="4637">
      <c r="A4637" s="157">
        <v>4636.0</v>
      </c>
    </row>
    <row r="4638">
      <c r="A4638" s="157">
        <v>4637.0</v>
      </c>
    </row>
    <row r="4639">
      <c r="A4639" s="157">
        <v>4638.0</v>
      </c>
    </row>
    <row r="4640">
      <c r="A4640" s="157">
        <v>4639.0</v>
      </c>
    </row>
    <row r="4641">
      <c r="A4641" s="157">
        <v>4640.0</v>
      </c>
    </row>
    <row r="4642">
      <c r="A4642" s="157">
        <v>4641.0</v>
      </c>
    </row>
    <row r="4643">
      <c r="A4643" s="157">
        <v>4642.0</v>
      </c>
    </row>
    <row r="4644">
      <c r="A4644" s="157">
        <v>4643.0</v>
      </c>
    </row>
    <row r="4645">
      <c r="A4645" s="157">
        <v>4644.0</v>
      </c>
    </row>
    <row r="4646">
      <c r="A4646" s="157">
        <v>4645.0</v>
      </c>
    </row>
    <row r="4647">
      <c r="A4647" s="157">
        <v>4646.0</v>
      </c>
    </row>
    <row r="4648">
      <c r="A4648" s="157">
        <v>4647.0</v>
      </c>
    </row>
    <row r="4649">
      <c r="A4649" s="157">
        <v>4648.0</v>
      </c>
    </row>
    <row r="4650">
      <c r="A4650" s="157">
        <v>4649.0</v>
      </c>
    </row>
    <row r="4651">
      <c r="A4651" s="157">
        <v>4650.0</v>
      </c>
    </row>
    <row r="4652">
      <c r="A4652" s="157">
        <v>4651.0</v>
      </c>
    </row>
    <row r="4653">
      <c r="A4653" s="157">
        <v>4652.0</v>
      </c>
    </row>
    <row r="4654">
      <c r="A4654" s="157">
        <v>4653.0</v>
      </c>
    </row>
    <row r="4655">
      <c r="A4655" s="157">
        <v>4654.0</v>
      </c>
    </row>
    <row r="4656">
      <c r="A4656" s="157">
        <v>4655.0</v>
      </c>
    </row>
    <row r="4657">
      <c r="A4657" s="157">
        <v>4656.0</v>
      </c>
    </row>
    <row r="4658">
      <c r="A4658" s="157">
        <v>4657.0</v>
      </c>
    </row>
    <row r="4659">
      <c r="A4659" s="157">
        <v>4658.0</v>
      </c>
    </row>
    <row r="4660">
      <c r="A4660" s="157">
        <v>4659.0</v>
      </c>
    </row>
    <row r="4661">
      <c r="A4661" s="157">
        <v>4660.0</v>
      </c>
    </row>
    <row r="4662">
      <c r="A4662" s="157">
        <v>4661.0</v>
      </c>
    </row>
    <row r="4663">
      <c r="A4663" s="157">
        <v>4662.0</v>
      </c>
    </row>
    <row r="4664">
      <c r="A4664" s="157">
        <v>4663.0</v>
      </c>
    </row>
    <row r="4665">
      <c r="A4665" s="157">
        <v>4664.0</v>
      </c>
    </row>
    <row r="4666">
      <c r="A4666" s="157">
        <v>4665.0</v>
      </c>
    </row>
    <row r="4667">
      <c r="A4667" s="157">
        <v>4666.0</v>
      </c>
    </row>
    <row r="4668">
      <c r="A4668" s="157">
        <v>4667.0</v>
      </c>
    </row>
    <row r="4669">
      <c r="A4669" s="157">
        <v>4668.0</v>
      </c>
    </row>
    <row r="4670">
      <c r="A4670" s="157">
        <v>4669.0</v>
      </c>
    </row>
    <row r="4671">
      <c r="A4671" s="157">
        <v>4670.0</v>
      </c>
    </row>
    <row r="4672">
      <c r="A4672" s="157">
        <v>4671.0</v>
      </c>
    </row>
    <row r="4673">
      <c r="A4673" s="157">
        <v>4672.0</v>
      </c>
    </row>
    <row r="4674">
      <c r="A4674" s="157">
        <v>4673.0</v>
      </c>
    </row>
    <row r="4675">
      <c r="A4675" s="157">
        <v>4674.0</v>
      </c>
    </row>
    <row r="4676">
      <c r="A4676" s="157">
        <v>4675.0</v>
      </c>
    </row>
    <row r="4677">
      <c r="A4677" s="157">
        <v>4676.0</v>
      </c>
    </row>
    <row r="4678">
      <c r="A4678" s="157">
        <v>4677.0</v>
      </c>
    </row>
    <row r="4679">
      <c r="A4679" s="157">
        <v>4678.0</v>
      </c>
    </row>
    <row r="4680">
      <c r="A4680" s="157">
        <v>4679.0</v>
      </c>
    </row>
    <row r="4681">
      <c r="A4681" s="157">
        <v>4680.0</v>
      </c>
    </row>
    <row r="4682">
      <c r="A4682" s="157">
        <v>4681.0</v>
      </c>
    </row>
    <row r="4683">
      <c r="A4683" s="157">
        <v>4682.0</v>
      </c>
    </row>
    <row r="4684">
      <c r="A4684" s="157">
        <v>4683.0</v>
      </c>
    </row>
    <row r="4685">
      <c r="A4685" s="157">
        <v>4684.0</v>
      </c>
    </row>
    <row r="4686">
      <c r="A4686" s="157">
        <v>4685.0</v>
      </c>
    </row>
    <row r="4687">
      <c r="A4687" s="157">
        <v>4686.0</v>
      </c>
    </row>
    <row r="4688">
      <c r="A4688" s="157">
        <v>4687.0</v>
      </c>
    </row>
    <row r="4689">
      <c r="A4689" s="157">
        <v>4688.0</v>
      </c>
    </row>
    <row r="4690">
      <c r="A4690" s="157">
        <v>4689.0</v>
      </c>
    </row>
    <row r="4691">
      <c r="A4691" s="157">
        <v>4690.0</v>
      </c>
    </row>
    <row r="4692">
      <c r="A4692" s="157">
        <v>4691.0</v>
      </c>
    </row>
    <row r="4693">
      <c r="A4693" s="157">
        <v>4692.0</v>
      </c>
    </row>
    <row r="4694">
      <c r="A4694" s="157">
        <v>4693.0</v>
      </c>
    </row>
    <row r="4695">
      <c r="A4695" s="157">
        <v>4694.0</v>
      </c>
    </row>
    <row r="4696">
      <c r="A4696" s="157">
        <v>4695.0</v>
      </c>
    </row>
    <row r="4697">
      <c r="A4697" s="157">
        <v>4696.0</v>
      </c>
    </row>
    <row r="4698">
      <c r="A4698" s="157">
        <v>4697.0</v>
      </c>
    </row>
    <row r="4699">
      <c r="A4699" s="157">
        <v>4698.0</v>
      </c>
    </row>
    <row r="4700">
      <c r="A4700" s="157">
        <v>4699.0</v>
      </c>
    </row>
    <row r="4701">
      <c r="A4701" s="157">
        <v>4700.0</v>
      </c>
    </row>
    <row r="4702">
      <c r="A4702" s="157">
        <v>4701.0</v>
      </c>
    </row>
    <row r="4703">
      <c r="A4703" s="157">
        <v>4702.0</v>
      </c>
    </row>
    <row r="4704">
      <c r="A4704" s="157">
        <v>4703.0</v>
      </c>
    </row>
    <row r="4705">
      <c r="A4705" s="157">
        <v>4704.0</v>
      </c>
    </row>
    <row r="4706">
      <c r="A4706" s="157">
        <v>4705.0</v>
      </c>
    </row>
    <row r="4707">
      <c r="A4707" s="157">
        <v>4706.0</v>
      </c>
    </row>
    <row r="4708">
      <c r="A4708" s="157">
        <v>4707.0</v>
      </c>
    </row>
    <row r="4709">
      <c r="A4709" s="157">
        <v>4708.0</v>
      </c>
    </row>
    <row r="4710">
      <c r="A4710" s="157">
        <v>4709.0</v>
      </c>
    </row>
    <row r="4711">
      <c r="A4711" s="157">
        <v>4710.0</v>
      </c>
    </row>
    <row r="4712">
      <c r="A4712" s="157">
        <v>4711.0</v>
      </c>
    </row>
    <row r="4713">
      <c r="A4713" s="157">
        <v>4712.0</v>
      </c>
    </row>
    <row r="4714">
      <c r="A4714" s="157">
        <v>4713.0</v>
      </c>
    </row>
    <row r="4715">
      <c r="A4715" s="157">
        <v>4714.0</v>
      </c>
    </row>
    <row r="4716">
      <c r="A4716" s="157">
        <v>4715.0</v>
      </c>
    </row>
    <row r="4717">
      <c r="A4717" s="157">
        <v>4716.0</v>
      </c>
    </row>
    <row r="4718">
      <c r="A4718" s="157">
        <v>4717.0</v>
      </c>
    </row>
    <row r="4719">
      <c r="A4719" s="157">
        <v>4718.0</v>
      </c>
    </row>
    <row r="4720">
      <c r="A4720" s="157">
        <v>4719.0</v>
      </c>
    </row>
    <row r="4721">
      <c r="A4721" s="157">
        <v>4720.0</v>
      </c>
    </row>
    <row r="4722">
      <c r="A4722" s="157">
        <v>4721.0</v>
      </c>
    </row>
    <row r="4723">
      <c r="A4723" s="157">
        <v>4722.0</v>
      </c>
    </row>
    <row r="4724">
      <c r="A4724" s="157">
        <v>4723.0</v>
      </c>
    </row>
    <row r="4725">
      <c r="A4725" s="157">
        <v>4724.0</v>
      </c>
    </row>
    <row r="4726">
      <c r="A4726" s="157">
        <v>4725.0</v>
      </c>
    </row>
    <row r="4727">
      <c r="A4727" s="157">
        <v>4726.0</v>
      </c>
    </row>
    <row r="4728">
      <c r="A4728" s="157">
        <v>4727.0</v>
      </c>
    </row>
    <row r="4729">
      <c r="A4729" s="157">
        <v>4728.0</v>
      </c>
    </row>
    <row r="4730">
      <c r="A4730" s="157">
        <v>4729.0</v>
      </c>
    </row>
    <row r="4731">
      <c r="A4731" s="157">
        <v>4730.0</v>
      </c>
    </row>
    <row r="4732">
      <c r="A4732" s="157">
        <v>4731.0</v>
      </c>
    </row>
    <row r="4733">
      <c r="A4733" s="157">
        <v>4732.0</v>
      </c>
    </row>
    <row r="4734">
      <c r="A4734" s="157">
        <v>4733.0</v>
      </c>
    </row>
    <row r="4735">
      <c r="A4735" s="157">
        <v>4734.0</v>
      </c>
    </row>
    <row r="4736">
      <c r="A4736" s="157">
        <v>4735.0</v>
      </c>
    </row>
    <row r="4737">
      <c r="A4737" s="157">
        <v>4736.0</v>
      </c>
    </row>
    <row r="4738">
      <c r="A4738" s="157">
        <v>4737.0</v>
      </c>
    </row>
    <row r="4739">
      <c r="A4739" s="157">
        <v>4738.0</v>
      </c>
    </row>
    <row r="4740">
      <c r="A4740" s="157">
        <v>4739.0</v>
      </c>
    </row>
    <row r="4741">
      <c r="A4741" s="157">
        <v>4740.0</v>
      </c>
    </row>
    <row r="4742">
      <c r="A4742" s="157">
        <v>4741.0</v>
      </c>
    </row>
    <row r="4743">
      <c r="A4743" s="157">
        <v>4742.0</v>
      </c>
    </row>
    <row r="4744">
      <c r="A4744" s="157">
        <v>4743.0</v>
      </c>
    </row>
    <row r="4745">
      <c r="A4745" s="157">
        <v>4744.0</v>
      </c>
    </row>
    <row r="4746">
      <c r="A4746" s="157">
        <v>4745.0</v>
      </c>
    </row>
    <row r="4747">
      <c r="A4747" s="157">
        <v>4746.0</v>
      </c>
    </row>
    <row r="4748">
      <c r="A4748" s="157">
        <v>4747.0</v>
      </c>
    </row>
    <row r="4749">
      <c r="A4749" s="157">
        <v>4748.0</v>
      </c>
    </row>
    <row r="4750">
      <c r="A4750" s="157">
        <v>4749.0</v>
      </c>
    </row>
    <row r="4751">
      <c r="A4751" s="157">
        <v>4750.0</v>
      </c>
    </row>
    <row r="4752">
      <c r="A4752" s="157">
        <v>4751.0</v>
      </c>
    </row>
    <row r="4753">
      <c r="A4753" s="157">
        <v>4752.0</v>
      </c>
    </row>
    <row r="4754">
      <c r="A4754" s="157">
        <v>4753.0</v>
      </c>
    </row>
    <row r="4755">
      <c r="A4755" s="157">
        <v>4754.0</v>
      </c>
    </row>
    <row r="4756">
      <c r="A4756" s="157">
        <v>4755.0</v>
      </c>
    </row>
    <row r="4757">
      <c r="A4757" s="157">
        <v>4756.0</v>
      </c>
    </row>
    <row r="4758">
      <c r="A4758" s="157">
        <v>4757.0</v>
      </c>
    </row>
    <row r="4759">
      <c r="A4759" s="157">
        <v>4758.0</v>
      </c>
    </row>
    <row r="4760">
      <c r="A4760" s="157">
        <v>4759.0</v>
      </c>
    </row>
    <row r="4761">
      <c r="A4761" s="157">
        <v>4760.0</v>
      </c>
    </row>
    <row r="4762">
      <c r="A4762" s="157">
        <v>4761.0</v>
      </c>
    </row>
    <row r="4763">
      <c r="A4763" s="157">
        <v>4762.0</v>
      </c>
    </row>
    <row r="4764">
      <c r="A4764" s="157">
        <v>4763.0</v>
      </c>
    </row>
    <row r="4765">
      <c r="A4765" s="157">
        <v>4764.0</v>
      </c>
    </row>
    <row r="4766">
      <c r="A4766" s="157">
        <v>4765.0</v>
      </c>
    </row>
    <row r="4767">
      <c r="A4767" s="157">
        <v>4766.0</v>
      </c>
    </row>
    <row r="4768">
      <c r="A4768" s="157">
        <v>4767.0</v>
      </c>
    </row>
    <row r="4769">
      <c r="A4769" s="157">
        <v>4768.0</v>
      </c>
    </row>
    <row r="4770">
      <c r="A4770" s="157">
        <v>4769.0</v>
      </c>
    </row>
    <row r="4771">
      <c r="A4771" s="157">
        <v>4770.0</v>
      </c>
    </row>
    <row r="4772">
      <c r="A4772" s="157">
        <v>4771.0</v>
      </c>
    </row>
    <row r="4773">
      <c r="A4773" s="157">
        <v>4772.0</v>
      </c>
    </row>
    <row r="4774">
      <c r="A4774" s="157">
        <v>4773.0</v>
      </c>
    </row>
    <row r="4775">
      <c r="A4775" s="157">
        <v>4774.0</v>
      </c>
    </row>
    <row r="4776">
      <c r="A4776" s="157">
        <v>4775.0</v>
      </c>
    </row>
    <row r="4777">
      <c r="A4777" s="157">
        <v>4776.0</v>
      </c>
    </row>
    <row r="4778">
      <c r="A4778" s="157">
        <v>4777.0</v>
      </c>
    </row>
    <row r="4779">
      <c r="A4779" s="157">
        <v>4778.0</v>
      </c>
    </row>
    <row r="4780">
      <c r="A4780" s="157">
        <v>4779.0</v>
      </c>
    </row>
    <row r="4781">
      <c r="A4781" s="157">
        <v>4780.0</v>
      </c>
    </row>
    <row r="4782">
      <c r="A4782" s="157">
        <v>4781.0</v>
      </c>
    </row>
    <row r="4783">
      <c r="A4783" s="157">
        <v>4782.0</v>
      </c>
    </row>
    <row r="4784">
      <c r="A4784" s="157">
        <v>4783.0</v>
      </c>
    </row>
    <row r="4785">
      <c r="A4785" s="157">
        <v>4784.0</v>
      </c>
    </row>
    <row r="4786">
      <c r="A4786" s="157">
        <v>4785.0</v>
      </c>
    </row>
    <row r="4787">
      <c r="A4787" s="157">
        <v>4786.0</v>
      </c>
    </row>
    <row r="4788">
      <c r="A4788" s="157">
        <v>4787.0</v>
      </c>
    </row>
    <row r="4789">
      <c r="A4789" s="157">
        <v>4788.0</v>
      </c>
    </row>
    <row r="4790">
      <c r="A4790" s="157">
        <v>4789.0</v>
      </c>
    </row>
    <row r="4791">
      <c r="A4791" s="157">
        <v>4790.0</v>
      </c>
    </row>
    <row r="4792">
      <c r="A4792" s="157">
        <v>4791.0</v>
      </c>
    </row>
    <row r="4793">
      <c r="A4793" s="157">
        <v>4792.0</v>
      </c>
    </row>
    <row r="4794">
      <c r="A4794" s="157">
        <v>4793.0</v>
      </c>
    </row>
    <row r="4795">
      <c r="A4795" s="157">
        <v>4794.0</v>
      </c>
    </row>
    <row r="4796">
      <c r="A4796" s="157">
        <v>4795.0</v>
      </c>
    </row>
    <row r="4797">
      <c r="A4797" s="157">
        <v>4796.0</v>
      </c>
    </row>
    <row r="4798">
      <c r="A4798" s="157">
        <v>4797.0</v>
      </c>
    </row>
    <row r="4799">
      <c r="A4799" s="157">
        <v>4798.0</v>
      </c>
    </row>
    <row r="4800">
      <c r="A4800" s="157">
        <v>4799.0</v>
      </c>
    </row>
    <row r="4801">
      <c r="A4801" s="157">
        <v>4800.0</v>
      </c>
    </row>
    <row r="4802">
      <c r="A4802" s="157">
        <v>4801.0</v>
      </c>
    </row>
    <row r="4803">
      <c r="A4803" s="157">
        <v>4802.0</v>
      </c>
    </row>
    <row r="4804">
      <c r="A4804" s="157">
        <v>4803.0</v>
      </c>
    </row>
    <row r="4805">
      <c r="A4805" s="157">
        <v>4804.0</v>
      </c>
    </row>
    <row r="4806">
      <c r="A4806" s="157">
        <v>4805.0</v>
      </c>
    </row>
    <row r="4807">
      <c r="A4807" s="157">
        <v>4806.0</v>
      </c>
    </row>
    <row r="4808">
      <c r="A4808" s="157">
        <v>4807.0</v>
      </c>
    </row>
    <row r="4809">
      <c r="A4809" s="157">
        <v>4808.0</v>
      </c>
    </row>
    <row r="4810">
      <c r="A4810" s="157">
        <v>4809.0</v>
      </c>
    </row>
    <row r="4811">
      <c r="A4811" s="157">
        <v>4810.0</v>
      </c>
    </row>
    <row r="4812">
      <c r="A4812" s="157">
        <v>4811.0</v>
      </c>
    </row>
    <row r="4813">
      <c r="A4813" s="157">
        <v>4812.0</v>
      </c>
    </row>
    <row r="4814">
      <c r="A4814" s="157">
        <v>4813.0</v>
      </c>
    </row>
    <row r="4815">
      <c r="A4815" s="157">
        <v>4814.0</v>
      </c>
    </row>
    <row r="4816">
      <c r="A4816" s="157">
        <v>4815.0</v>
      </c>
    </row>
    <row r="4817">
      <c r="A4817" s="157">
        <v>4816.0</v>
      </c>
    </row>
    <row r="4818">
      <c r="A4818" s="157">
        <v>4817.0</v>
      </c>
    </row>
    <row r="4819">
      <c r="A4819" s="157">
        <v>4818.0</v>
      </c>
    </row>
    <row r="4820">
      <c r="A4820" s="157">
        <v>4819.0</v>
      </c>
    </row>
    <row r="4821">
      <c r="A4821" s="157">
        <v>4820.0</v>
      </c>
    </row>
    <row r="4822">
      <c r="A4822" s="157">
        <v>4821.0</v>
      </c>
    </row>
    <row r="4823">
      <c r="A4823" s="157">
        <v>4822.0</v>
      </c>
    </row>
    <row r="4824">
      <c r="A4824" s="157">
        <v>4823.0</v>
      </c>
    </row>
    <row r="4825">
      <c r="A4825" s="157">
        <v>4824.0</v>
      </c>
    </row>
    <row r="4826">
      <c r="A4826" s="157">
        <v>4825.0</v>
      </c>
    </row>
    <row r="4827">
      <c r="A4827" s="157">
        <v>4826.0</v>
      </c>
    </row>
    <row r="4828">
      <c r="A4828" s="157">
        <v>4827.0</v>
      </c>
    </row>
    <row r="4829">
      <c r="A4829" s="157">
        <v>4828.0</v>
      </c>
    </row>
    <row r="4830">
      <c r="A4830" s="157">
        <v>4829.0</v>
      </c>
    </row>
    <row r="4831">
      <c r="A4831" s="157">
        <v>4830.0</v>
      </c>
    </row>
    <row r="4832">
      <c r="A4832" s="157">
        <v>4831.0</v>
      </c>
    </row>
    <row r="4833">
      <c r="A4833" s="157">
        <v>4832.0</v>
      </c>
    </row>
    <row r="4834">
      <c r="A4834" s="157">
        <v>4833.0</v>
      </c>
    </row>
    <row r="4835">
      <c r="A4835" s="157">
        <v>4834.0</v>
      </c>
    </row>
    <row r="4836">
      <c r="A4836" s="157">
        <v>4835.0</v>
      </c>
    </row>
    <row r="4837">
      <c r="A4837" s="157">
        <v>4836.0</v>
      </c>
    </row>
    <row r="4838">
      <c r="A4838" s="157">
        <v>4837.0</v>
      </c>
    </row>
    <row r="4839">
      <c r="A4839" s="157">
        <v>4838.0</v>
      </c>
    </row>
    <row r="4840">
      <c r="A4840" s="157">
        <v>4839.0</v>
      </c>
    </row>
    <row r="4841">
      <c r="A4841" s="157">
        <v>4840.0</v>
      </c>
    </row>
    <row r="4842">
      <c r="A4842" s="157">
        <v>4841.0</v>
      </c>
    </row>
    <row r="4843">
      <c r="A4843" s="157">
        <v>4842.0</v>
      </c>
    </row>
    <row r="4844">
      <c r="A4844" s="157">
        <v>4843.0</v>
      </c>
    </row>
    <row r="4845">
      <c r="A4845" s="157">
        <v>4844.0</v>
      </c>
    </row>
    <row r="4846">
      <c r="A4846" s="157">
        <v>4845.0</v>
      </c>
    </row>
    <row r="4847">
      <c r="A4847" s="157">
        <v>4846.0</v>
      </c>
    </row>
    <row r="4848">
      <c r="A4848" s="157">
        <v>4847.0</v>
      </c>
    </row>
    <row r="4849">
      <c r="A4849" s="157">
        <v>4848.0</v>
      </c>
    </row>
    <row r="4850">
      <c r="A4850" s="157">
        <v>4849.0</v>
      </c>
    </row>
    <row r="4851">
      <c r="A4851" s="157">
        <v>4850.0</v>
      </c>
    </row>
    <row r="4852">
      <c r="A4852" s="157">
        <v>4851.0</v>
      </c>
    </row>
    <row r="4853">
      <c r="A4853" s="157">
        <v>4852.0</v>
      </c>
    </row>
    <row r="4854">
      <c r="A4854" s="157">
        <v>4853.0</v>
      </c>
    </row>
    <row r="4855">
      <c r="A4855" s="157">
        <v>4854.0</v>
      </c>
    </row>
    <row r="4856">
      <c r="A4856" s="157">
        <v>4855.0</v>
      </c>
    </row>
    <row r="4857">
      <c r="A4857" s="157">
        <v>4856.0</v>
      </c>
    </row>
    <row r="4858">
      <c r="A4858" s="157">
        <v>4857.0</v>
      </c>
    </row>
    <row r="4859">
      <c r="A4859" s="157">
        <v>4858.0</v>
      </c>
    </row>
    <row r="4860">
      <c r="A4860" s="157">
        <v>4859.0</v>
      </c>
    </row>
    <row r="4861">
      <c r="A4861" s="157">
        <v>4860.0</v>
      </c>
    </row>
    <row r="4862">
      <c r="A4862" s="157">
        <v>4861.0</v>
      </c>
    </row>
    <row r="4863">
      <c r="A4863" s="157">
        <v>4862.0</v>
      </c>
    </row>
    <row r="4864">
      <c r="A4864" s="157">
        <v>4863.0</v>
      </c>
    </row>
    <row r="4865">
      <c r="A4865" s="157">
        <v>4864.0</v>
      </c>
    </row>
    <row r="4866">
      <c r="A4866" s="157">
        <v>4865.0</v>
      </c>
    </row>
    <row r="4867">
      <c r="A4867" s="157">
        <v>4866.0</v>
      </c>
    </row>
    <row r="4868">
      <c r="A4868" s="157">
        <v>4867.0</v>
      </c>
    </row>
    <row r="4869">
      <c r="A4869" s="157">
        <v>4868.0</v>
      </c>
    </row>
    <row r="4870">
      <c r="A4870" s="157">
        <v>4869.0</v>
      </c>
    </row>
    <row r="4871">
      <c r="A4871" s="157">
        <v>4870.0</v>
      </c>
    </row>
    <row r="4872">
      <c r="A4872" s="157">
        <v>4871.0</v>
      </c>
    </row>
    <row r="4873">
      <c r="A4873" s="157">
        <v>4872.0</v>
      </c>
    </row>
    <row r="4874">
      <c r="A4874" s="157">
        <v>4873.0</v>
      </c>
    </row>
    <row r="4875">
      <c r="A4875" s="157">
        <v>4874.0</v>
      </c>
    </row>
    <row r="4876">
      <c r="A4876" s="157">
        <v>4875.0</v>
      </c>
    </row>
    <row r="4877">
      <c r="A4877" s="157">
        <v>4876.0</v>
      </c>
    </row>
    <row r="4878">
      <c r="A4878" s="157">
        <v>4877.0</v>
      </c>
    </row>
    <row r="4879">
      <c r="A4879" s="157">
        <v>4878.0</v>
      </c>
    </row>
    <row r="4880">
      <c r="A4880" s="157">
        <v>4879.0</v>
      </c>
    </row>
    <row r="4881">
      <c r="A4881" s="157">
        <v>4880.0</v>
      </c>
    </row>
    <row r="4882">
      <c r="A4882" s="157">
        <v>4881.0</v>
      </c>
    </row>
    <row r="4883">
      <c r="A4883" s="157">
        <v>4882.0</v>
      </c>
    </row>
    <row r="4884">
      <c r="A4884" s="157">
        <v>4883.0</v>
      </c>
    </row>
    <row r="4885">
      <c r="A4885" s="157">
        <v>4884.0</v>
      </c>
    </row>
    <row r="4886">
      <c r="A4886" s="157">
        <v>4885.0</v>
      </c>
    </row>
    <row r="4887">
      <c r="A4887" s="157">
        <v>4886.0</v>
      </c>
    </row>
    <row r="4888">
      <c r="A4888" s="157">
        <v>4887.0</v>
      </c>
    </row>
    <row r="4889">
      <c r="A4889" s="157">
        <v>4888.0</v>
      </c>
    </row>
    <row r="4890">
      <c r="A4890" s="157">
        <v>4889.0</v>
      </c>
    </row>
    <row r="4891">
      <c r="A4891" s="157">
        <v>4890.0</v>
      </c>
    </row>
    <row r="4892">
      <c r="A4892" s="157">
        <v>4891.0</v>
      </c>
    </row>
    <row r="4893">
      <c r="A4893" s="157">
        <v>4892.0</v>
      </c>
    </row>
    <row r="4894">
      <c r="A4894" s="157">
        <v>4893.0</v>
      </c>
    </row>
    <row r="4895">
      <c r="A4895" s="157">
        <v>4894.0</v>
      </c>
    </row>
    <row r="4896">
      <c r="A4896" s="157">
        <v>4895.0</v>
      </c>
    </row>
    <row r="4897">
      <c r="A4897" s="157">
        <v>4896.0</v>
      </c>
    </row>
    <row r="4898">
      <c r="A4898" s="157">
        <v>4897.0</v>
      </c>
    </row>
    <row r="4899">
      <c r="A4899" s="157">
        <v>4898.0</v>
      </c>
    </row>
    <row r="4900">
      <c r="A4900" s="157">
        <v>4899.0</v>
      </c>
    </row>
    <row r="4901">
      <c r="A4901" s="157">
        <v>4900.0</v>
      </c>
    </row>
    <row r="4902">
      <c r="A4902" s="157">
        <v>4901.0</v>
      </c>
    </row>
    <row r="4903">
      <c r="A4903" s="157">
        <v>4902.0</v>
      </c>
    </row>
    <row r="4904">
      <c r="A4904" s="157">
        <v>4903.0</v>
      </c>
    </row>
    <row r="4905">
      <c r="A4905" s="157">
        <v>4904.0</v>
      </c>
    </row>
    <row r="4906">
      <c r="A4906" s="157">
        <v>4905.0</v>
      </c>
    </row>
    <row r="4907">
      <c r="A4907" s="157">
        <v>4906.0</v>
      </c>
    </row>
    <row r="4908">
      <c r="A4908" s="157">
        <v>4907.0</v>
      </c>
    </row>
    <row r="4909">
      <c r="A4909" s="157">
        <v>4908.0</v>
      </c>
    </row>
    <row r="4910">
      <c r="A4910" s="157">
        <v>4909.0</v>
      </c>
    </row>
    <row r="4911">
      <c r="A4911" s="157">
        <v>4910.0</v>
      </c>
    </row>
    <row r="4912">
      <c r="A4912" s="157">
        <v>4911.0</v>
      </c>
    </row>
    <row r="4913">
      <c r="A4913" s="157">
        <v>4912.0</v>
      </c>
    </row>
    <row r="4914">
      <c r="A4914" s="157">
        <v>4913.0</v>
      </c>
    </row>
    <row r="4915">
      <c r="A4915" s="157">
        <v>4914.0</v>
      </c>
    </row>
    <row r="4916">
      <c r="A4916" s="157">
        <v>4915.0</v>
      </c>
    </row>
    <row r="4917">
      <c r="A4917" s="157">
        <v>4916.0</v>
      </c>
    </row>
    <row r="4918">
      <c r="A4918" s="157">
        <v>4917.0</v>
      </c>
    </row>
    <row r="4919">
      <c r="A4919" s="157">
        <v>4918.0</v>
      </c>
    </row>
    <row r="4920">
      <c r="A4920" s="157">
        <v>4919.0</v>
      </c>
    </row>
    <row r="4921">
      <c r="A4921" s="157">
        <v>4920.0</v>
      </c>
    </row>
    <row r="4922">
      <c r="A4922" s="157">
        <v>4921.0</v>
      </c>
    </row>
    <row r="4923">
      <c r="A4923" s="157">
        <v>4922.0</v>
      </c>
    </row>
    <row r="4924">
      <c r="A4924" s="157">
        <v>4923.0</v>
      </c>
    </row>
    <row r="4925">
      <c r="A4925" s="157">
        <v>4924.0</v>
      </c>
    </row>
    <row r="4926">
      <c r="A4926" s="157">
        <v>4925.0</v>
      </c>
    </row>
    <row r="4927">
      <c r="A4927" s="157">
        <v>4926.0</v>
      </c>
    </row>
    <row r="4928">
      <c r="A4928" s="157">
        <v>4927.0</v>
      </c>
    </row>
    <row r="4929">
      <c r="A4929" s="157">
        <v>4928.0</v>
      </c>
    </row>
    <row r="4930">
      <c r="A4930" s="157">
        <v>4929.0</v>
      </c>
    </row>
    <row r="4931">
      <c r="A4931" s="157">
        <v>4930.0</v>
      </c>
    </row>
    <row r="4932">
      <c r="A4932" s="157">
        <v>4931.0</v>
      </c>
    </row>
    <row r="4933">
      <c r="A4933" s="157">
        <v>4932.0</v>
      </c>
    </row>
    <row r="4934">
      <c r="A4934" s="157">
        <v>4933.0</v>
      </c>
    </row>
    <row r="4935">
      <c r="A4935" s="157">
        <v>4934.0</v>
      </c>
    </row>
    <row r="4936">
      <c r="A4936" s="157">
        <v>4935.0</v>
      </c>
    </row>
    <row r="4937">
      <c r="A4937" s="157">
        <v>4936.0</v>
      </c>
    </row>
    <row r="4938">
      <c r="A4938" s="157">
        <v>4937.0</v>
      </c>
    </row>
    <row r="4939">
      <c r="A4939" s="157">
        <v>4938.0</v>
      </c>
    </row>
    <row r="4940">
      <c r="A4940" s="157">
        <v>4939.0</v>
      </c>
    </row>
    <row r="4941">
      <c r="A4941" s="157">
        <v>4940.0</v>
      </c>
    </row>
    <row r="4942">
      <c r="A4942" s="157">
        <v>4941.0</v>
      </c>
    </row>
    <row r="4943">
      <c r="A4943" s="157">
        <v>4942.0</v>
      </c>
    </row>
    <row r="4944">
      <c r="A4944" s="157">
        <v>4943.0</v>
      </c>
    </row>
    <row r="4945">
      <c r="A4945" s="157">
        <v>4944.0</v>
      </c>
    </row>
    <row r="4946">
      <c r="A4946" s="157">
        <v>4945.0</v>
      </c>
    </row>
    <row r="4947">
      <c r="A4947" s="157">
        <v>4946.0</v>
      </c>
    </row>
    <row r="4948">
      <c r="A4948" s="157">
        <v>4947.0</v>
      </c>
    </row>
    <row r="4949">
      <c r="A4949" s="157">
        <v>4948.0</v>
      </c>
    </row>
    <row r="4950">
      <c r="A4950" s="157">
        <v>4949.0</v>
      </c>
    </row>
    <row r="4951">
      <c r="A4951" s="157">
        <v>4950.0</v>
      </c>
    </row>
    <row r="4952">
      <c r="A4952" s="157">
        <v>4951.0</v>
      </c>
    </row>
    <row r="4953">
      <c r="A4953" s="157">
        <v>4952.0</v>
      </c>
    </row>
    <row r="4954">
      <c r="A4954" s="157">
        <v>4953.0</v>
      </c>
    </row>
    <row r="4955">
      <c r="A4955" s="157">
        <v>4954.0</v>
      </c>
    </row>
    <row r="4956">
      <c r="A4956" s="157">
        <v>4955.0</v>
      </c>
    </row>
    <row r="4957">
      <c r="A4957" s="157">
        <v>4956.0</v>
      </c>
    </row>
    <row r="4958">
      <c r="A4958" s="157">
        <v>4957.0</v>
      </c>
    </row>
    <row r="4959">
      <c r="A4959" s="157">
        <v>4958.0</v>
      </c>
    </row>
    <row r="4960">
      <c r="A4960" s="157">
        <v>4959.0</v>
      </c>
    </row>
    <row r="4961">
      <c r="A4961" s="157">
        <v>4960.0</v>
      </c>
    </row>
    <row r="4962">
      <c r="A4962" s="157">
        <v>4961.0</v>
      </c>
    </row>
    <row r="4963">
      <c r="A4963" s="157">
        <v>4962.0</v>
      </c>
    </row>
    <row r="4964">
      <c r="A4964" s="157">
        <v>4963.0</v>
      </c>
    </row>
    <row r="4965">
      <c r="A4965" s="157">
        <v>4964.0</v>
      </c>
    </row>
    <row r="4966">
      <c r="A4966" s="157">
        <v>4965.0</v>
      </c>
    </row>
    <row r="4967">
      <c r="A4967" s="157">
        <v>4966.0</v>
      </c>
    </row>
    <row r="4968">
      <c r="A4968" s="157">
        <v>4967.0</v>
      </c>
    </row>
    <row r="4969">
      <c r="A4969" s="157">
        <v>4968.0</v>
      </c>
    </row>
    <row r="4970">
      <c r="A4970" s="157">
        <v>4969.0</v>
      </c>
    </row>
    <row r="4971">
      <c r="A4971" s="157">
        <v>4970.0</v>
      </c>
    </row>
    <row r="4972">
      <c r="A4972" s="157">
        <v>4971.0</v>
      </c>
    </row>
    <row r="4973">
      <c r="A4973" s="157">
        <v>4972.0</v>
      </c>
    </row>
    <row r="4974">
      <c r="A4974" s="157">
        <v>4973.0</v>
      </c>
    </row>
    <row r="4975">
      <c r="A4975" s="157">
        <v>4974.0</v>
      </c>
    </row>
    <row r="4976">
      <c r="A4976" s="157">
        <v>4975.0</v>
      </c>
    </row>
    <row r="4977">
      <c r="A4977" s="157">
        <v>4976.0</v>
      </c>
    </row>
    <row r="4978">
      <c r="A4978" s="157">
        <v>4977.0</v>
      </c>
    </row>
    <row r="4979">
      <c r="A4979" s="157">
        <v>4978.0</v>
      </c>
    </row>
    <row r="4980">
      <c r="A4980" s="157">
        <v>4979.0</v>
      </c>
    </row>
    <row r="4981">
      <c r="A4981" s="157">
        <v>4980.0</v>
      </c>
    </row>
    <row r="4982">
      <c r="A4982" s="157">
        <v>4981.0</v>
      </c>
    </row>
    <row r="4983">
      <c r="A4983" s="157">
        <v>4982.0</v>
      </c>
    </row>
    <row r="4984">
      <c r="A4984" s="157">
        <v>4983.0</v>
      </c>
    </row>
    <row r="4985">
      <c r="A4985" s="157">
        <v>4984.0</v>
      </c>
    </row>
    <row r="4986">
      <c r="A4986" s="157">
        <v>4985.0</v>
      </c>
    </row>
    <row r="4987">
      <c r="A4987" s="157">
        <v>4986.0</v>
      </c>
    </row>
    <row r="4988">
      <c r="A4988" s="157">
        <v>4987.0</v>
      </c>
    </row>
    <row r="4989">
      <c r="A4989" s="157">
        <v>4988.0</v>
      </c>
    </row>
    <row r="4990">
      <c r="A4990" s="157">
        <v>4989.0</v>
      </c>
    </row>
    <row r="4991">
      <c r="A4991" s="157">
        <v>4990.0</v>
      </c>
    </row>
    <row r="4992">
      <c r="A4992" s="157">
        <v>4991.0</v>
      </c>
    </row>
    <row r="4993">
      <c r="A4993" s="157">
        <v>4992.0</v>
      </c>
    </row>
    <row r="4994">
      <c r="A4994" s="157">
        <v>4993.0</v>
      </c>
    </row>
    <row r="4995">
      <c r="A4995" s="157">
        <v>4994.0</v>
      </c>
    </row>
    <row r="4996">
      <c r="A4996" s="157">
        <v>4995.0</v>
      </c>
    </row>
    <row r="4997">
      <c r="A4997" s="157">
        <v>4996.0</v>
      </c>
    </row>
    <row r="4998">
      <c r="A4998" s="157">
        <v>4997.0</v>
      </c>
    </row>
    <row r="4999">
      <c r="A4999" s="157">
        <v>4998.0</v>
      </c>
    </row>
    <row r="5000">
      <c r="A5000" s="157">
        <v>4999.0</v>
      </c>
    </row>
    <row r="5001">
      <c r="A5001" s="157">
        <v>5000.0</v>
      </c>
    </row>
    <row r="5002">
      <c r="A5002" s="157">
        <v>5001.0</v>
      </c>
    </row>
    <row r="5003">
      <c r="A5003" s="157">
        <v>5002.0</v>
      </c>
    </row>
    <row r="5004">
      <c r="A5004" s="157">
        <v>5003.0</v>
      </c>
    </row>
    <row r="5005">
      <c r="A5005" s="157">
        <v>5004.0</v>
      </c>
    </row>
    <row r="5006">
      <c r="A5006" s="157">
        <v>5005.0</v>
      </c>
    </row>
    <row r="5007">
      <c r="A5007" s="157">
        <v>5006.0</v>
      </c>
    </row>
    <row r="5008">
      <c r="A5008" s="157">
        <v>5007.0</v>
      </c>
    </row>
    <row r="5009">
      <c r="A5009" s="157">
        <v>5008.0</v>
      </c>
    </row>
    <row r="5010">
      <c r="A5010" s="157">
        <v>5009.0</v>
      </c>
    </row>
    <row r="5011">
      <c r="A5011" s="157">
        <v>5010.0</v>
      </c>
    </row>
    <row r="5012">
      <c r="A5012" s="157">
        <v>5011.0</v>
      </c>
    </row>
    <row r="5013">
      <c r="A5013" s="157">
        <v>5012.0</v>
      </c>
    </row>
    <row r="5014">
      <c r="A5014" s="157">
        <v>5013.0</v>
      </c>
    </row>
    <row r="5015">
      <c r="A5015" s="157">
        <v>5014.0</v>
      </c>
    </row>
    <row r="5016">
      <c r="A5016" s="157">
        <v>5015.0</v>
      </c>
    </row>
    <row r="5017">
      <c r="A5017" s="157">
        <v>5016.0</v>
      </c>
    </row>
    <row r="5018">
      <c r="A5018" s="157">
        <v>5017.0</v>
      </c>
    </row>
    <row r="5019">
      <c r="A5019" s="157">
        <v>5018.0</v>
      </c>
    </row>
    <row r="5020">
      <c r="A5020" s="157">
        <v>5019.0</v>
      </c>
    </row>
    <row r="5021">
      <c r="A5021" s="157">
        <v>5020.0</v>
      </c>
    </row>
    <row r="5022">
      <c r="A5022" s="157">
        <v>5021.0</v>
      </c>
    </row>
    <row r="5023">
      <c r="A5023" s="157">
        <v>5022.0</v>
      </c>
    </row>
    <row r="5024">
      <c r="A5024" s="157">
        <v>5023.0</v>
      </c>
    </row>
    <row r="5025">
      <c r="A5025" s="157">
        <v>5024.0</v>
      </c>
    </row>
    <row r="5026">
      <c r="A5026" s="157">
        <v>5025.0</v>
      </c>
    </row>
    <row r="5027">
      <c r="A5027" s="157">
        <v>5026.0</v>
      </c>
    </row>
    <row r="5028">
      <c r="A5028" s="157">
        <v>5027.0</v>
      </c>
    </row>
    <row r="5029">
      <c r="A5029" s="157">
        <v>5028.0</v>
      </c>
    </row>
    <row r="5030">
      <c r="A5030" s="157">
        <v>5029.0</v>
      </c>
    </row>
    <row r="5031">
      <c r="A5031" s="157">
        <v>5030.0</v>
      </c>
    </row>
    <row r="5032">
      <c r="A5032" s="157">
        <v>5031.0</v>
      </c>
    </row>
    <row r="5033">
      <c r="A5033" s="157">
        <v>5032.0</v>
      </c>
    </row>
    <row r="5034">
      <c r="A5034" s="157">
        <v>5033.0</v>
      </c>
    </row>
    <row r="5035">
      <c r="A5035" s="157">
        <v>5034.0</v>
      </c>
    </row>
    <row r="5036">
      <c r="A5036" s="157">
        <v>5035.0</v>
      </c>
    </row>
    <row r="5037">
      <c r="A5037" s="157">
        <v>5036.0</v>
      </c>
    </row>
    <row r="5038">
      <c r="A5038" s="157">
        <v>5037.0</v>
      </c>
    </row>
    <row r="5039">
      <c r="A5039" s="157">
        <v>5038.0</v>
      </c>
    </row>
    <row r="5040">
      <c r="A5040" s="157">
        <v>5039.0</v>
      </c>
    </row>
    <row r="5041">
      <c r="A5041" s="157">
        <v>5040.0</v>
      </c>
    </row>
    <row r="5042">
      <c r="A5042" s="157">
        <v>5041.0</v>
      </c>
    </row>
    <row r="5043">
      <c r="A5043" s="157">
        <v>5042.0</v>
      </c>
    </row>
    <row r="5044">
      <c r="A5044" s="157">
        <v>5043.0</v>
      </c>
    </row>
    <row r="5045">
      <c r="A5045" s="157">
        <v>5044.0</v>
      </c>
    </row>
    <row r="5046">
      <c r="A5046" s="157">
        <v>5045.0</v>
      </c>
    </row>
    <row r="5047">
      <c r="A5047" s="157">
        <v>5046.0</v>
      </c>
    </row>
    <row r="5048">
      <c r="A5048" s="157">
        <v>5047.0</v>
      </c>
    </row>
    <row r="5049">
      <c r="A5049" s="157">
        <v>5048.0</v>
      </c>
    </row>
    <row r="5050">
      <c r="A5050" s="157">
        <v>5049.0</v>
      </c>
    </row>
    <row r="5051">
      <c r="A5051" s="157">
        <v>5050.0</v>
      </c>
    </row>
    <row r="5052">
      <c r="A5052" s="157">
        <v>5051.0</v>
      </c>
    </row>
    <row r="5053">
      <c r="A5053" s="157">
        <v>5052.0</v>
      </c>
    </row>
    <row r="5054">
      <c r="A5054" s="157">
        <v>5053.0</v>
      </c>
    </row>
    <row r="5055">
      <c r="A5055" s="157">
        <v>5054.0</v>
      </c>
    </row>
    <row r="5056">
      <c r="A5056" s="157">
        <v>5055.0</v>
      </c>
    </row>
    <row r="5057">
      <c r="A5057" s="157">
        <v>5056.0</v>
      </c>
    </row>
    <row r="5058">
      <c r="A5058" s="157">
        <v>5057.0</v>
      </c>
    </row>
    <row r="5059">
      <c r="A5059" s="157">
        <v>5058.0</v>
      </c>
    </row>
    <row r="5060">
      <c r="A5060" s="157">
        <v>5059.0</v>
      </c>
    </row>
    <row r="5061">
      <c r="A5061" s="157">
        <v>5060.0</v>
      </c>
    </row>
    <row r="5062">
      <c r="A5062" s="157">
        <v>5061.0</v>
      </c>
    </row>
    <row r="5063">
      <c r="A5063" s="157">
        <v>5062.0</v>
      </c>
    </row>
    <row r="5064">
      <c r="A5064" s="157">
        <v>5063.0</v>
      </c>
    </row>
    <row r="5065">
      <c r="A5065" s="157">
        <v>5064.0</v>
      </c>
    </row>
    <row r="5066">
      <c r="A5066" s="157">
        <v>5065.0</v>
      </c>
    </row>
    <row r="5067">
      <c r="A5067" s="157">
        <v>5066.0</v>
      </c>
    </row>
    <row r="5068">
      <c r="A5068" s="157">
        <v>5067.0</v>
      </c>
    </row>
    <row r="5069">
      <c r="A5069" s="157">
        <v>5068.0</v>
      </c>
    </row>
    <row r="5070">
      <c r="A5070" s="157">
        <v>5069.0</v>
      </c>
    </row>
    <row r="5071">
      <c r="A5071" s="157">
        <v>5070.0</v>
      </c>
    </row>
    <row r="5072">
      <c r="A5072" s="157">
        <v>5071.0</v>
      </c>
    </row>
    <row r="5073">
      <c r="A5073" s="157">
        <v>5072.0</v>
      </c>
    </row>
    <row r="5074">
      <c r="A5074" s="157">
        <v>5073.0</v>
      </c>
    </row>
    <row r="5075">
      <c r="A5075" s="157">
        <v>5074.0</v>
      </c>
    </row>
    <row r="5076">
      <c r="A5076" s="157">
        <v>5075.0</v>
      </c>
    </row>
    <row r="5077">
      <c r="A5077" s="157">
        <v>5076.0</v>
      </c>
    </row>
    <row r="5078">
      <c r="A5078" s="157">
        <v>5077.0</v>
      </c>
    </row>
    <row r="5079">
      <c r="A5079" s="157">
        <v>5078.0</v>
      </c>
    </row>
    <row r="5080">
      <c r="A5080" s="157">
        <v>5079.0</v>
      </c>
    </row>
    <row r="5081">
      <c r="A5081" s="157">
        <v>5080.0</v>
      </c>
    </row>
    <row r="5082">
      <c r="A5082" s="157">
        <v>5081.0</v>
      </c>
    </row>
    <row r="5083">
      <c r="A5083" s="157">
        <v>5082.0</v>
      </c>
    </row>
    <row r="5084">
      <c r="A5084" s="157">
        <v>5083.0</v>
      </c>
    </row>
    <row r="5085">
      <c r="A5085" s="157">
        <v>5084.0</v>
      </c>
    </row>
    <row r="5086">
      <c r="A5086" s="157">
        <v>5085.0</v>
      </c>
    </row>
    <row r="5087">
      <c r="A5087" s="157">
        <v>5086.0</v>
      </c>
    </row>
    <row r="5088">
      <c r="A5088" s="157">
        <v>5087.0</v>
      </c>
    </row>
    <row r="5089">
      <c r="A5089" s="157">
        <v>5088.0</v>
      </c>
    </row>
    <row r="5090">
      <c r="A5090" s="157">
        <v>5089.0</v>
      </c>
    </row>
    <row r="5091">
      <c r="A5091" s="157">
        <v>5090.0</v>
      </c>
    </row>
    <row r="5092">
      <c r="A5092" s="157">
        <v>5091.0</v>
      </c>
    </row>
    <row r="5093">
      <c r="A5093" s="157">
        <v>5092.0</v>
      </c>
    </row>
    <row r="5094">
      <c r="A5094" s="157">
        <v>5093.0</v>
      </c>
    </row>
    <row r="5095">
      <c r="A5095" s="157">
        <v>5094.0</v>
      </c>
    </row>
    <row r="5096">
      <c r="A5096" s="157">
        <v>5095.0</v>
      </c>
    </row>
    <row r="5097">
      <c r="A5097" s="157">
        <v>5096.0</v>
      </c>
    </row>
    <row r="5098">
      <c r="A5098" s="157">
        <v>5097.0</v>
      </c>
    </row>
    <row r="5099">
      <c r="A5099" s="157">
        <v>5098.0</v>
      </c>
    </row>
    <row r="5100">
      <c r="A5100" s="157">
        <v>5099.0</v>
      </c>
    </row>
    <row r="5101">
      <c r="A5101" s="157">
        <v>5100.0</v>
      </c>
    </row>
    <row r="5102">
      <c r="A5102" s="157">
        <v>5101.0</v>
      </c>
    </row>
    <row r="5103">
      <c r="A5103" s="157">
        <v>5102.0</v>
      </c>
    </row>
    <row r="5104">
      <c r="A5104" s="157">
        <v>5103.0</v>
      </c>
    </row>
    <row r="5105">
      <c r="A5105" s="157">
        <v>5104.0</v>
      </c>
    </row>
    <row r="5106">
      <c r="A5106" s="157">
        <v>5105.0</v>
      </c>
    </row>
    <row r="5107">
      <c r="A5107" s="157">
        <v>5106.0</v>
      </c>
    </row>
    <row r="5108">
      <c r="A5108" s="157">
        <v>5107.0</v>
      </c>
    </row>
    <row r="5109">
      <c r="A5109" s="157">
        <v>5108.0</v>
      </c>
    </row>
    <row r="5110">
      <c r="A5110" s="157">
        <v>5109.0</v>
      </c>
    </row>
    <row r="5111">
      <c r="A5111" s="157">
        <v>5110.0</v>
      </c>
    </row>
    <row r="5112">
      <c r="A5112" s="157">
        <v>5111.0</v>
      </c>
    </row>
    <row r="5113">
      <c r="A5113" s="157">
        <v>5112.0</v>
      </c>
    </row>
    <row r="5114">
      <c r="A5114" s="157">
        <v>5113.0</v>
      </c>
    </row>
    <row r="5115">
      <c r="A5115" s="157">
        <v>5114.0</v>
      </c>
    </row>
    <row r="5116">
      <c r="A5116" s="157">
        <v>5115.0</v>
      </c>
    </row>
    <row r="5117">
      <c r="A5117" s="157">
        <v>5116.0</v>
      </c>
    </row>
    <row r="5118">
      <c r="A5118" s="157">
        <v>5117.0</v>
      </c>
    </row>
    <row r="5119">
      <c r="A5119" s="157">
        <v>5118.0</v>
      </c>
    </row>
    <row r="5120">
      <c r="A5120" s="157">
        <v>5119.0</v>
      </c>
    </row>
    <row r="5121">
      <c r="A5121" s="157">
        <v>5120.0</v>
      </c>
    </row>
    <row r="5122">
      <c r="A5122" s="157">
        <v>5121.0</v>
      </c>
    </row>
    <row r="5123">
      <c r="A5123" s="157">
        <v>5122.0</v>
      </c>
    </row>
    <row r="5124">
      <c r="A5124" s="157">
        <v>5123.0</v>
      </c>
    </row>
    <row r="5125">
      <c r="A5125" s="157">
        <v>5124.0</v>
      </c>
    </row>
    <row r="5126">
      <c r="A5126" s="157">
        <v>5125.0</v>
      </c>
    </row>
    <row r="5127">
      <c r="A5127" s="157">
        <v>5126.0</v>
      </c>
    </row>
    <row r="5128">
      <c r="A5128" s="157">
        <v>5127.0</v>
      </c>
    </row>
    <row r="5129">
      <c r="A5129" s="157">
        <v>5128.0</v>
      </c>
    </row>
    <row r="5130">
      <c r="A5130" s="157">
        <v>5129.0</v>
      </c>
    </row>
    <row r="5131">
      <c r="A5131" s="157">
        <v>5130.0</v>
      </c>
    </row>
    <row r="5132">
      <c r="A5132" s="157">
        <v>5131.0</v>
      </c>
    </row>
    <row r="5133">
      <c r="A5133" s="157">
        <v>5132.0</v>
      </c>
    </row>
    <row r="5134">
      <c r="A5134" s="157">
        <v>5133.0</v>
      </c>
    </row>
    <row r="5135">
      <c r="A5135" s="157">
        <v>5134.0</v>
      </c>
    </row>
    <row r="5136">
      <c r="A5136" s="157">
        <v>5135.0</v>
      </c>
    </row>
    <row r="5137">
      <c r="A5137" s="157">
        <v>5136.0</v>
      </c>
    </row>
    <row r="5138">
      <c r="A5138" s="157">
        <v>5137.0</v>
      </c>
    </row>
    <row r="5139">
      <c r="A5139" s="157">
        <v>5138.0</v>
      </c>
    </row>
    <row r="5140">
      <c r="A5140" s="157">
        <v>5139.0</v>
      </c>
    </row>
    <row r="5141">
      <c r="A5141" s="157">
        <v>5140.0</v>
      </c>
    </row>
    <row r="5142">
      <c r="A5142" s="157">
        <v>5141.0</v>
      </c>
    </row>
    <row r="5143">
      <c r="A5143" s="157">
        <v>5142.0</v>
      </c>
    </row>
    <row r="5144">
      <c r="A5144" s="157">
        <v>5143.0</v>
      </c>
    </row>
    <row r="5145">
      <c r="A5145" s="157">
        <v>5144.0</v>
      </c>
    </row>
    <row r="5146">
      <c r="A5146" s="157">
        <v>5145.0</v>
      </c>
    </row>
    <row r="5147">
      <c r="A5147" s="157">
        <v>5146.0</v>
      </c>
    </row>
    <row r="5148">
      <c r="A5148" s="157">
        <v>5147.0</v>
      </c>
    </row>
    <row r="5149">
      <c r="A5149" s="157">
        <v>5148.0</v>
      </c>
    </row>
    <row r="5150">
      <c r="A5150" s="157">
        <v>5149.0</v>
      </c>
    </row>
    <row r="5151">
      <c r="A5151" s="157">
        <v>5150.0</v>
      </c>
    </row>
    <row r="5152">
      <c r="A5152" s="157">
        <v>5151.0</v>
      </c>
    </row>
    <row r="5153">
      <c r="A5153" s="157">
        <v>5152.0</v>
      </c>
    </row>
    <row r="5154">
      <c r="A5154" s="157">
        <v>5153.0</v>
      </c>
    </row>
    <row r="5155">
      <c r="A5155" s="157">
        <v>5154.0</v>
      </c>
    </row>
    <row r="5156">
      <c r="A5156" s="157">
        <v>5155.0</v>
      </c>
    </row>
    <row r="5157">
      <c r="A5157" s="157">
        <v>5156.0</v>
      </c>
    </row>
    <row r="5158">
      <c r="A5158" s="157">
        <v>5157.0</v>
      </c>
    </row>
    <row r="5159">
      <c r="A5159" s="157">
        <v>5158.0</v>
      </c>
    </row>
    <row r="5160">
      <c r="A5160" s="157">
        <v>5159.0</v>
      </c>
    </row>
    <row r="5161">
      <c r="A5161" s="157">
        <v>5160.0</v>
      </c>
    </row>
    <row r="5162">
      <c r="A5162" s="157">
        <v>5161.0</v>
      </c>
    </row>
    <row r="5163">
      <c r="A5163" s="157">
        <v>5162.0</v>
      </c>
    </row>
    <row r="5164">
      <c r="A5164" s="157">
        <v>5163.0</v>
      </c>
    </row>
    <row r="5165">
      <c r="A5165" s="157">
        <v>5164.0</v>
      </c>
    </row>
    <row r="5166">
      <c r="A5166" s="157">
        <v>5165.0</v>
      </c>
    </row>
    <row r="5167">
      <c r="A5167" s="157">
        <v>5166.0</v>
      </c>
    </row>
    <row r="5168">
      <c r="A5168" s="157">
        <v>5167.0</v>
      </c>
    </row>
    <row r="5169">
      <c r="A5169" s="157">
        <v>5168.0</v>
      </c>
    </row>
    <row r="5170">
      <c r="A5170" s="157">
        <v>5169.0</v>
      </c>
    </row>
    <row r="5171">
      <c r="A5171" s="157">
        <v>5170.0</v>
      </c>
    </row>
    <row r="5172">
      <c r="A5172" s="157">
        <v>5171.0</v>
      </c>
    </row>
    <row r="5173">
      <c r="A5173" s="157">
        <v>5172.0</v>
      </c>
    </row>
    <row r="5174">
      <c r="A5174" s="157">
        <v>5173.0</v>
      </c>
    </row>
    <row r="5175">
      <c r="A5175" s="157">
        <v>5174.0</v>
      </c>
    </row>
    <row r="5176">
      <c r="A5176" s="157">
        <v>5175.0</v>
      </c>
    </row>
    <row r="5177">
      <c r="A5177" s="157">
        <v>5176.0</v>
      </c>
    </row>
    <row r="5178">
      <c r="A5178" s="157">
        <v>5177.0</v>
      </c>
    </row>
    <row r="5179">
      <c r="A5179" s="157">
        <v>5178.0</v>
      </c>
    </row>
    <row r="5180">
      <c r="A5180" s="157">
        <v>5179.0</v>
      </c>
    </row>
    <row r="5181">
      <c r="A5181" s="157">
        <v>5180.0</v>
      </c>
    </row>
    <row r="5182">
      <c r="A5182" s="157">
        <v>5181.0</v>
      </c>
    </row>
    <row r="5183">
      <c r="A5183" s="157">
        <v>5182.0</v>
      </c>
    </row>
    <row r="5184">
      <c r="A5184" s="157">
        <v>5183.0</v>
      </c>
    </row>
    <row r="5185">
      <c r="A5185" s="157">
        <v>5184.0</v>
      </c>
    </row>
    <row r="5186">
      <c r="A5186" s="157">
        <v>5185.0</v>
      </c>
    </row>
    <row r="5187">
      <c r="A5187" s="157">
        <v>5186.0</v>
      </c>
    </row>
    <row r="5188">
      <c r="A5188" s="157">
        <v>5187.0</v>
      </c>
    </row>
    <row r="5189">
      <c r="A5189" s="157">
        <v>5188.0</v>
      </c>
    </row>
    <row r="5190">
      <c r="A5190" s="157">
        <v>5189.0</v>
      </c>
    </row>
    <row r="5191">
      <c r="A5191" s="157">
        <v>5190.0</v>
      </c>
    </row>
    <row r="5192">
      <c r="A5192" s="157">
        <v>5191.0</v>
      </c>
    </row>
    <row r="5193">
      <c r="A5193" s="157">
        <v>5192.0</v>
      </c>
    </row>
    <row r="5194">
      <c r="A5194" s="157">
        <v>5193.0</v>
      </c>
    </row>
    <row r="5195">
      <c r="A5195" s="157">
        <v>5194.0</v>
      </c>
    </row>
    <row r="5196">
      <c r="A5196" s="157">
        <v>5195.0</v>
      </c>
    </row>
    <row r="5197">
      <c r="A5197" s="157">
        <v>5196.0</v>
      </c>
    </row>
    <row r="5198">
      <c r="A5198" s="157">
        <v>5197.0</v>
      </c>
    </row>
    <row r="5199">
      <c r="A5199" s="157">
        <v>5198.0</v>
      </c>
    </row>
    <row r="5200">
      <c r="A5200" s="157">
        <v>5199.0</v>
      </c>
    </row>
    <row r="5201">
      <c r="A5201" s="157">
        <v>5200.0</v>
      </c>
    </row>
    <row r="5202">
      <c r="A5202" s="157">
        <v>5201.0</v>
      </c>
    </row>
    <row r="5203">
      <c r="A5203" s="157">
        <v>5202.0</v>
      </c>
    </row>
    <row r="5204">
      <c r="A5204" s="157">
        <v>5203.0</v>
      </c>
    </row>
    <row r="5205">
      <c r="A5205" s="157">
        <v>5204.0</v>
      </c>
    </row>
    <row r="5206">
      <c r="A5206" s="157">
        <v>5205.0</v>
      </c>
    </row>
    <row r="5207">
      <c r="A5207" s="157">
        <v>5206.0</v>
      </c>
    </row>
    <row r="5208">
      <c r="A5208" s="157">
        <v>5207.0</v>
      </c>
    </row>
    <row r="5209">
      <c r="A5209" s="157">
        <v>5208.0</v>
      </c>
    </row>
    <row r="5210">
      <c r="A5210" s="157">
        <v>5209.0</v>
      </c>
    </row>
    <row r="5211">
      <c r="A5211" s="157">
        <v>5210.0</v>
      </c>
    </row>
    <row r="5212">
      <c r="A5212" s="157">
        <v>5211.0</v>
      </c>
    </row>
    <row r="5213">
      <c r="A5213" s="157">
        <v>5212.0</v>
      </c>
    </row>
    <row r="5214">
      <c r="A5214" s="157">
        <v>5213.0</v>
      </c>
    </row>
    <row r="5215">
      <c r="A5215" s="157">
        <v>5214.0</v>
      </c>
    </row>
    <row r="5216">
      <c r="A5216" s="157">
        <v>5215.0</v>
      </c>
    </row>
    <row r="5217">
      <c r="A5217" s="157">
        <v>5216.0</v>
      </c>
    </row>
    <row r="5218">
      <c r="A5218" s="157">
        <v>5217.0</v>
      </c>
    </row>
    <row r="5219">
      <c r="A5219" s="157">
        <v>5218.0</v>
      </c>
    </row>
    <row r="5220">
      <c r="A5220" s="157">
        <v>5219.0</v>
      </c>
    </row>
    <row r="5221">
      <c r="A5221" s="157">
        <v>5220.0</v>
      </c>
    </row>
    <row r="5222">
      <c r="A5222" s="157">
        <v>5221.0</v>
      </c>
    </row>
    <row r="5223">
      <c r="A5223" s="157">
        <v>5222.0</v>
      </c>
    </row>
    <row r="5224">
      <c r="A5224" s="157">
        <v>5223.0</v>
      </c>
    </row>
    <row r="5225">
      <c r="A5225" s="157">
        <v>5224.0</v>
      </c>
    </row>
    <row r="5226">
      <c r="A5226" s="157">
        <v>5225.0</v>
      </c>
    </row>
    <row r="5227">
      <c r="A5227" s="157">
        <v>5226.0</v>
      </c>
    </row>
    <row r="5228">
      <c r="A5228" s="157">
        <v>5227.0</v>
      </c>
    </row>
    <row r="5229">
      <c r="A5229" s="157">
        <v>5228.0</v>
      </c>
    </row>
    <row r="5230">
      <c r="A5230" s="157">
        <v>5229.0</v>
      </c>
    </row>
    <row r="5231">
      <c r="A5231" s="157">
        <v>5230.0</v>
      </c>
    </row>
    <row r="5232">
      <c r="A5232" s="157">
        <v>5231.0</v>
      </c>
    </row>
    <row r="5233">
      <c r="A5233" s="157">
        <v>5232.0</v>
      </c>
    </row>
    <row r="5234">
      <c r="A5234" s="157">
        <v>5233.0</v>
      </c>
    </row>
    <row r="5235">
      <c r="A5235" s="157">
        <v>5234.0</v>
      </c>
    </row>
    <row r="5236">
      <c r="A5236" s="157">
        <v>5235.0</v>
      </c>
    </row>
    <row r="5237">
      <c r="A5237" s="157">
        <v>5236.0</v>
      </c>
    </row>
    <row r="5238">
      <c r="A5238" s="157">
        <v>5237.0</v>
      </c>
    </row>
    <row r="5239">
      <c r="A5239" s="157">
        <v>5238.0</v>
      </c>
    </row>
    <row r="5240">
      <c r="A5240" s="157">
        <v>5239.0</v>
      </c>
    </row>
    <row r="5241">
      <c r="A5241" s="157">
        <v>5240.0</v>
      </c>
    </row>
    <row r="5242">
      <c r="A5242" s="157">
        <v>5241.0</v>
      </c>
    </row>
    <row r="5243">
      <c r="A5243" s="157">
        <v>5242.0</v>
      </c>
    </row>
    <row r="5244">
      <c r="A5244" s="157">
        <v>5243.0</v>
      </c>
    </row>
    <row r="5245">
      <c r="A5245" s="157">
        <v>5244.0</v>
      </c>
    </row>
    <row r="5246">
      <c r="A5246" s="157">
        <v>5245.0</v>
      </c>
    </row>
    <row r="5247">
      <c r="A5247" s="157">
        <v>5246.0</v>
      </c>
    </row>
    <row r="5248">
      <c r="A5248" s="157">
        <v>5247.0</v>
      </c>
    </row>
    <row r="5249">
      <c r="A5249" s="157">
        <v>5248.0</v>
      </c>
    </row>
    <row r="5250">
      <c r="A5250" s="157">
        <v>5249.0</v>
      </c>
    </row>
    <row r="5251">
      <c r="A5251" s="157">
        <v>5250.0</v>
      </c>
    </row>
    <row r="5252">
      <c r="A5252" s="157">
        <v>5251.0</v>
      </c>
    </row>
    <row r="5253">
      <c r="A5253" s="157">
        <v>5252.0</v>
      </c>
    </row>
    <row r="5254">
      <c r="A5254" s="157">
        <v>5253.0</v>
      </c>
    </row>
    <row r="5255">
      <c r="A5255" s="157">
        <v>5254.0</v>
      </c>
    </row>
    <row r="5256">
      <c r="A5256" s="157">
        <v>5255.0</v>
      </c>
    </row>
    <row r="5257">
      <c r="A5257" s="157">
        <v>5256.0</v>
      </c>
    </row>
    <row r="5258">
      <c r="A5258" s="157">
        <v>5257.0</v>
      </c>
    </row>
    <row r="5259">
      <c r="A5259" s="157">
        <v>5258.0</v>
      </c>
    </row>
    <row r="5260">
      <c r="A5260" s="157">
        <v>5259.0</v>
      </c>
    </row>
    <row r="5261">
      <c r="A5261" s="157">
        <v>5260.0</v>
      </c>
    </row>
    <row r="5262">
      <c r="A5262" s="157">
        <v>5261.0</v>
      </c>
    </row>
    <row r="5263">
      <c r="A5263" s="157">
        <v>5262.0</v>
      </c>
    </row>
    <row r="5264">
      <c r="A5264" s="157">
        <v>5263.0</v>
      </c>
    </row>
    <row r="5265">
      <c r="A5265" s="157">
        <v>5264.0</v>
      </c>
    </row>
    <row r="5266">
      <c r="A5266" s="157">
        <v>5265.0</v>
      </c>
    </row>
    <row r="5267">
      <c r="A5267" s="157">
        <v>5266.0</v>
      </c>
    </row>
    <row r="5268">
      <c r="A5268" s="157">
        <v>5267.0</v>
      </c>
    </row>
    <row r="5269">
      <c r="A5269" s="157">
        <v>5268.0</v>
      </c>
    </row>
    <row r="5270">
      <c r="A5270" s="157">
        <v>5269.0</v>
      </c>
    </row>
    <row r="5271">
      <c r="A5271" s="157">
        <v>5270.0</v>
      </c>
    </row>
    <row r="5272">
      <c r="A5272" s="157">
        <v>5271.0</v>
      </c>
    </row>
    <row r="5273">
      <c r="A5273" s="157">
        <v>5272.0</v>
      </c>
    </row>
    <row r="5274">
      <c r="A5274" s="157">
        <v>5273.0</v>
      </c>
    </row>
    <row r="5275">
      <c r="A5275" s="157">
        <v>5274.0</v>
      </c>
    </row>
    <row r="5276">
      <c r="A5276" s="157">
        <v>5275.0</v>
      </c>
    </row>
    <row r="5277">
      <c r="A5277" s="157">
        <v>5276.0</v>
      </c>
    </row>
    <row r="5278">
      <c r="A5278" s="157">
        <v>5277.0</v>
      </c>
    </row>
    <row r="5279">
      <c r="A5279" s="157">
        <v>5278.0</v>
      </c>
    </row>
    <row r="5280">
      <c r="A5280" s="157">
        <v>5279.0</v>
      </c>
    </row>
    <row r="5281">
      <c r="A5281" s="157">
        <v>5280.0</v>
      </c>
    </row>
    <row r="5282">
      <c r="A5282" s="157">
        <v>5281.0</v>
      </c>
    </row>
    <row r="5283">
      <c r="A5283" s="157">
        <v>5282.0</v>
      </c>
    </row>
    <row r="5284">
      <c r="A5284" s="157">
        <v>5283.0</v>
      </c>
    </row>
    <row r="5285">
      <c r="A5285" s="157">
        <v>5284.0</v>
      </c>
    </row>
    <row r="5286">
      <c r="A5286" s="157">
        <v>5285.0</v>
      </c>
    </row>
    <row r="5287">
      <c r="A5287" s="157">
        <v>5286.0</v>
      </c>
    </row>
    <row r="5288">
      <c r="A5288" s="157">
        <v>5287.0</v>
      </c>
    </row>
    <row r="5289">
      <c r="A5289" s="157">
        <v>5288.0</v>
      </c>
    </row>
    <row r="5290">
      <c r="A5290" s="157">
        <v>5289.0</v>
      </c>
    </row>
    <row r="5291">
      <c r="A5291" s="157">
        <v>5290.0</v>
      </c>
    </row>
    <row r="5292">
      <c r="A5292" s="157">
        <v>5291.0</v>
      </c>
    </row>
    <row r="5293">
      <c r="A5293" s="157">
        <v>5292.0</v>
      </c>
    </row>
    <row r="5294">
      <c r="A5294" s="157">
        <v>5293.0</v>
      </c>
    </row>
    <row r="5295">
      <c r="A5295" s="157">
        <v>5294.0</v>
      </c>
    </row>
    <row r="5296">
      <c r="A5296" s="157">
        <v>5295.0</v>
      </c>
    </row>
    <row r="5297">
      <c r="A5297" s="157">
        <v>5296.0</v>
      </c>
    </row>
    <row r="5298">
      <c r="A5298" s="157">
        <v>5297.0</v>
      </c>
    </row>
    <row r="5299">
      <c r="A5299" s="157">
        <v>5298.0</v>
      </c>
    </row>
    <row r="5300">
      <c r="A5300" s="157">
        <v>5299.0</v>
      </c>
    </row>
    <row r="5301">
      <c r="A5301" s="157">
        <v>5300.0</v>
      </c>
    </row>
    <row r="5302">
      <c r="A5302" s="157">
        <v>5301.0</v>
      </c>
    </row>
    <row r="5303">
      <c r="A5303" s="157">
        <v>5302.0</v>
      </c>
    </row>
    <row r="5304">
      <c r="A5304" s="157">
        <v>5303.0</v>
      </c>
    </row>
    <row r="5305">
      <c r="A5305" s="157">
        <v>5304.0</v>
      </c>
    </row>
    <row r="5306">
      <c r="A5306" s="157">
        <v>5305.0</v>
      </c>
    </row>
    <row r="5307">
      <c r="A5307" s="157">
        <v>5306.0</v>
      </c>
    </row>
    <row r="5308">
      <c r="A5308" s="157">
        <v>5307.0</v>
      </c>
    </row>
    <row r="5309">
      <c r="A5309" s="157">
        <v>5308.0</v>
      </c>
    </row>
    <row r="5310">
      <c r="A5310" s="157">
        <v>5309.0</v>
      </c>
    </row>
    <row r="5311">
      <c r="A5311" s="157">
        <v>5310.0</v>
      </c>
    </row>
    <row r="5312">
      <c r="A5312" s="157">
        <v>5311.0</v>
      </c>
    </row>
    <row r="5313">
      <c r="A5313" s="157">
        <v>5312.0</v>
      </c>
    </row>
    <row r="5314">
      <c r="A5314" s="157">
        <v>5313.0</v>
      </c>
    </row>
    <row r="5315">
      <c r="A5315" s="157">
        <v>5314.0</v>
      </c>
    </row>
    <row r="5316">
      <c r="A5316" s="157">
        <v>5315.0</v>
      </c>
    </row>
    <row r="5317">
      <c r="A5317" s="157">
        <v>5316.0</v>
      </c>
    </row>
    <row r="5318">
      <c r="A5318" s="157">
        <v>5317.0</v>
      </c>
    </row>
    <row r="5319">
      <c r="A5319" s="157">
        <v>5318.0</v>
      </c>
    </row>
    <row r="5320">
      <c r="A5320" s="157">
        <v>5319.0</v>
      </c>
    </row>
    <row r="5321">
      <c r="A5321" s="157">
        <v>5320.0</v>
      </c>
    </row>
    <row r="5322">
      <c r="A5322" s="157">
        <v>5321.0</v>
      </c>
    </row>
    <row r="5323">
      <c r="A5323" s="157">
        <v>5322.0</v>
      </c>
    </row>
    <row r="5324">
      <c r="A5324" s="157">
        <v>5323.0</v>
      </c>
    </row>
    <row r="5325">
      <c r="A5325" s="157">
        <v>5324.0</v>
      </c>
    </row>
    <row r="5326">
      <c r="A5326" s="157">
        <v>5325.0</v>
      </c>
    </row>
    <row r="5327">
      <c r="A5327" s="157">
        <v>5326.0</v>
      </c>
    </row>
    <row r="5328">
      <c r="A5328" s="157">
        <v>5327.0</v>
      </c>
    </row>
    <row r="5329">
      <c r="A5329" s="157">
        <v>5328.0</v>
      </c>
    </row>
    <row r="5330">
      <c r="A5330" s="157">
        <v>5329.0</v>
      </c>
    </row>
    <row r="5331">
      <c r="A5331" s="157">
        <v>5330.0</v>
      </c>
    </row>
    <row r="5332">
      <c r="A5332" s="157">
        <v>5331.0</v>
      </c>
    </row>
    <row r="5333">
      <c r="A5333" s="157">
        <v>5332.0</v>
      </c>
    </row>
    <row r="5334">
      <c r="A5334" s="157">
        <v>5333.0</v>
      </c>
    </row>
    <row r="5335">
      <c r="A5335" s="157">
        <v>5334.0</v>
      </c>
    </row>
    <row r="5336">
      <c r="A5336" s="157">
        <v>5335.0</v>
      </c>
    </row>
    <row r="5337">
      <c r="A5337" s="157">
        <v>5336.0</v>
      </c>
    </row>
    <row r="5338">
      <c r="A5338" s="157">
        <v>5337.0</v>
      </c>
    </row>
    <row r="5339">
      <c r="A5339" s="157">
        <v>5338.0</v>
      </c>
    </row>
    <row r="5340">
      <c r="A5340" s="157">
        <v>5339.0</v>
      </c>
    </row>
    <row r="5341">
      <c r="A5341" s="157">
        <v>5340.0</v>
      </c>
    </row>
    <row r="5342">
      <c r="A5342" s="157">
        <v>5341.0</v>
      </c>
    </row>
    <row r="5343">
      <c r="A5343" s="157">
        <v>5342.0</v>
      </c>
    </row>
    <row r="5344">
      <c r="A5344" s="157">
        <v>5343.0</v>
      </c>
    </row>
    <row r="5345">
      <c r="A5345" s="157">
        <v>5344.0</v>
      </c>
    </row>
    <row r="5346">
      <c r="A5346" s="157">
        <v>5345.0</v>
      </c>
    </row>
    <row r="5347">
      <c r="A5347" s="157">
        <v>5346.0</v>
      </c>
    </row>
    <row r="5348">
      <c r="A5348" s="157">
        <v>5347.0</v>
      </c>
    </row>
    <row r="5349">
      <c r="A5349" s="157">
        <v>5348.0</v>
      </c>
    </row>
    <row r="5350">
      <c r="A5350" s="157">
        <v>5349.0</v>
      </c>
    </row>
    <row r="5351">
      <c r="A5351" s="157">
        <v>5350.0</v>
      </c>
    </row>
    <row r="5352">
      <c r="A5352" s="157">
        <v>5351.0</v>
      </c>
    </row>
    <row r="5353">
      <c r="A5353" s="157">
        <v>5352.0</v>
      </c>
    </row>
    <row r="5354">
      <c r="A5354" s="157">
        <v>5353.0</v>
      </c>
    </row>
    <row r="5355">
      <c r="A5355" s="157">
        <v>5354.0</v>
      </c>
    </row>
    <row r="5356">
      <c r="A5356" s="157">
        <v>5355.0</v>
      </c>
    </row>
    <row r="5357">
      <c r="A5357" s="157">
        <v>5356.0</v>
      </c>
    </row>
    <row r="5358">
      <c r="A5358" s="157">
        <v>5357.0</v>
      </c>
    </row>
    <row r="5359">
      <c r="A5359" s="157">
        <v>5358.0</v>
      </c>
    </row>
    <row r="5360">
      <c r="A5360" s="157">
        <v>5359.0</v>
      </c>
    </row>
    <row r="5361">
      <c r="A5361" s="157">
        <v>5360.0</v>
      </c>
    </row>
    <row r="5362">
      <c r="A5362" s="157">
        <v>5361.0</v>
      </c>
    </row>
    <row r="5363">
      <c r="A5363" s="157">
        <v>5362.0</v>
      </c>
    </row>
    <row r="5364">
      <c r="A5364" s="157">
        <v>5363.0</v>
      </c>
    </row>
    <row r="5365">
      <c r="A5365" s="157">
        <v>5364.0</v>
      </c>
    </row>
    <row r="5366">
      <c r="A5366" s="157">
        <v>5365.0</v>
      </c>
    </row>
    <row r="5367">
      <c r="A5367" s="157">
        <v>5366.0</v>
      </c>
    </row>
    <row r="5368">
      <c r="A5368" s="157">
        <v>5367.0</v>
      </c>
    </row>
    <row r="5369">
      <c r="A5369" s="157">
        <v>5368.0</v>
      </c>
    </row>
    <row r="5370">
      <c r="A5370" s="157">
        <v>5369.0</v>
      </c>
    </row>
    <row r="5371">
      <c r="A5371" s="157">
        <v>5370.0</v>
      </c>
    </row>
    <row r="5372">
      <c r="A5372" s="157">
        <v>5371.0</v>
      </c>
    </row>
    <row r="5373">
      <c r="A5373" s="157">
        <v>5372.0</v>
      </c>
    </row>
    <row r="5374">
      <c r="A5374" s="157">
        <v>5373.0</v>
      </c>
    </row>
    <row r="5375">
      <c r="A5375" s="157">
        <v>5374.0</v>
      </c>
    </row>
    <row r="5376">
      <c r="A5376" s="157">
        <v>5375.0</v>
      </c>
    </row>
    <row r="5377">
      <c r="A5377" s="157">
        <v>5376.0</v>
      </c>
    </row>
    <row r="5378">
      <c r="A5378" s="157">
        <v>5377.0</v>
      </c>
    </row>
    <row r="5379">
      <c r="A5379" s="157">
        <v>5378.0</v>
      </c>
    </row>
    <row r="5380">
      <c r="A5380" s="157">
        <v>5379.0</v>
      </c>
    </row>
    <row r="5381">
      <c r="A5381" s="157">
        <v>5380.0</v>
      </c>
    </row>
    <row r="5382">
      <c r="A5382" s="157">
        <v>5381.0</v>
      </c>
    </row>
    <row r="5383">
      <c r="A5383" s="157">
        <v>5382.0</v>
      </c>
    </row>
    <row r="5384">
      <c r="A5384" s="157">
        <v>5383.0</v>
      </c>
    </row>
    <row r="5385">
      <c r="A5385" s="157">
        <v>5384.0</v>
      </c>
    </row>
    <row r="5386">
      <c r="A5386" s="157">
        <v>5385.0</v>
      </c>
    </row>
    <row r="5387">
      <c r="A5387" s="157">
        <v>5386.0</v>
      </c>
    </row>
    <row r="5388">
      <c r="A5388" s="157">
        <v>5387.0</v>
      </c>
    </row>
    <row r="5389">
      <c r="A5389" s="157">
        <v>5388.0</v>
      </c>
    </row>
    <row r="5390">
      <c r="A5390" s="157">
        <v>5389.0</v>
      </c>
    </row>
    <row r="5391">
      <c r="A5391" s="157">
        <v>5390.0</v>
      </c>
    </row>
    <row r="5392">
      <c r="A5392" s="157">
        <v>5391.0</v>
      </c>
    </row>
    <row r="5393">
      <c r="A5393" s="157">
        <v>5392.0</v>
      </c>
    </row>
    <row r="5394">
      <c r="A5394" s="157">
        <v>5393.0</v>
      </c>
    </row>
    <row r="5395">
      <c r="A5395" s="157">
        <v>5394.0</v>
      </c>
    </row>
    <row r="5396">
      <c r="A5396" s="157">
        <v>5395.0</v>
      </c>
    </row>
    <row r="5397">
      <c r="A5397" s="157">
        <v>5396.0</v>
      </c>
    </row>
    <row r="5398">
      <c r="A5398" s="157">
        <v>5397.0</v>
      </c>
    </row>
    <row r="5399">
      <c r="A5399" s="157">
        <v>5398.0</v>
      </c>
    </row>
    <row r="5400">
      <c r="A5400" s="157">
        <v>5399.0</v>
      </c>
    </row>
    <row r="5401">
      <c r="A5401" s="157">
        <v>5400.0</v>
      </c>
    </row>
    <row r="5402">
      <c r="A5402" s="157">
        <v>5401.0</v>
      </c>
    </row>
    <row r="5403">
      <c r="A5403" s="157">
        <v>5402.0</v>
      </c>
    </row>
    <row r="5404">
      <c r="A5404" s="157">
        <v>5403.0</v>
      </c>
    </row>
    <row r="5405">
      <c r="A5405" s="157">
        <v>5404.0</v>
      </c>
    </row>
    <row r="5406">
      <c r="A5406" s="157">
        <v>5405.0</v>
      </c>
    </row>
    <row r="5407">
      <c r="A5407" s="157">
        <v>5406.0</v>
      </c>
    </row>
    <row r="5408">
      <c r="A5408" s="157">
        <v>5407.0</v>
      </c>
    </row>
    <row r="5409">
      <c r="A5409" s="157">
        <v>5408.0</v>
      </c>
    </row>
    <row r="5410">
      <c r="A5410" s="157">
        <v>5409.0</v>
      </c>
    </row>
    <row r="5411">
      <c r="A5411" s="157">
        <v>5410.0</v>
      </c>
    </row>
    <row r="5412">
      <c r="A5412" s="157">
        <v>5411.0</v>
      </c>
    </row>
    <row r="5413">
      <c r="A5413" s="157">
        <v>5412.0</v>
      </c>
    </row>
    <row r="5414">
      <c r="A5414" s="157">
        <v>5413.0</v>
      </c>
    </row>
    <row r="5415">
      <c r="A5415" s="157">
        <v>5414.0</v>
      </c>
    </row>
    <row r="5416">
      <c r="A5416" s="157">
        <v>5415.0</v>
      </c>
    </row>
    <row r="5417">
      <c r="A5417" s="157">
        <v>5416.0</v>
      </c>
    </row>
    <row r="5418">
      <c r="A5418" s="157">
        <v>5417.0</v>
      </c>
    </row>
    <row r="5419">
      <c r="A5419" s="157">
        <v>5418.0</v>
      </c>
    </row>
    <row r="5420">
      <c r="A5420" s="157">
        <v>5419.0</v>
      </c>
    </row>
    <row r="5421">
      <c r="A5421" s="157">
        <v>5420.0</v>
      </c>
    </row>
    <row r="5422">
      <c r="A5422" s="157">
        <v>5421.0</v>
      </c>
    </row>
    <row r="5423">
      <c r="A5423" s="157">
        <v>5422.0</v>
      </c>
    </row>
    <row r="5424">
      <c r="A5424" s="157">
        <v>5423.0</v>
      </c>
    </row>
    <row r="5425">
      <c r="A5425" s="157">
        <v>5424.0</v>
      </c>
    </row>
    <row r="5426">
      <c r="A5426" s="157">
        <v>5425.0</v>
      </c>
    </row>
    <row r="5427">
      <c r="A5427" s="157">
        <v>5426.0</v>
      </c>
    </row>
    <row r="5428">
      <c r="A5428" s="157">
        <v>5427.0</v>
      </c>
    </row>
    <row r="5429">
      <c r="A5429" s="157">
        <v>5428.0</v>
      </c>
    </row>
    <row r="5430">
      <c r="A5430" s="157">
        <v>5429.0</v>
      </c>
    </row>
    <row r="5431">
      <c r="A5431" s="157">
        <v>5430.0</v>
      </c>
    </row>
    <row r="5432">
      <c r="A5432" s="157">
        <v>5431.0</v>
      </c>
    </row>
    <row r="5433">
      <c r="A5433" s="157">
        <v>5432.0</v>
      </c>
    </row>
    <row r="5434">
      <c r="A5434" s="157">
        <v>5433.0</v>
      </c>
    </row>
    <row r="5435">
      <c r="A5435" s="157">
        <v>5434.0</v>
      </c>
    </row>
    <row r="5436">
      <c r="A5436" s="157">
        <v>5435.0</v>
      </c>
    </row>
    <row r="5437">
      <c r="A5437" s="157">
        <v>5436.0</v>
      </c>
    </row>
    <row r="5438">
      <c r="A5438" s="157">
        <v>5437.0</v>
      </c>
    </row>
    <row r="5439">
      <c r="A5439" s="157">
        <v>5438.0</v>
      </c>
    </row>
    <row r="5440">
      <c r="A5440" s="157">
        <v>5439.0</v>
      </c>
    </row>
    <row r="5441">
      <c r="A5441" s="157">
        <v>5440.0</v>
      </c>
    </row>
    <row r="5442">
      <c r="A5442" s="157">
        <v>5441.0</v>
      </c>
    </row>
    <row r="5443">
      <c r="A5443" s="157">
        <v>5442.0</v>
      </c>
    </row>
    <row r="5444">
      <c r="A5444" s="157">
        <v>5443.0</v>
      </c>
    </row>
    <row r="5445">
      <c r="A5445" s="157">
        <v>5444.0</v>
      </c>
    </row>
    <row r="5446">
      <c r="A5446" s="157">
        <v>5445.0</v>
      </c>
    </row>
    <row r="5447">
      <c r="A5447" s="157">
        <v>5446.0</v>
      </c>
    </row>
    <row r="5448">
      <c r="A5448" s="157">
        <v>5447.0</v>
      </c>
    </row>
    <row r="5449">
      <c r="A5449" s="157">
        <v>5448.0</v>
      </c>
    </row>
    <row r="5450">
      <c r="A5450" s="157">
        <v>5449.0</v>
      </c>
    </row>
    <row r="5451">
      <c r="A5451" s="157">
        <v>5450.0</v>
      </c>
    </row>
    <row r="5452">
      <c r="A5452" s="157">
        <v>5451.0</v>
      </c>
    </row>
    <row r="5453">
      <c r="A5453" s="157">
        <v>5452.0</v>
      </c>
    </row>
    <row r="5454">
      <c r="A5454" s="157">
        <v>5453.0</v>
      </c>
    </row>
    <row r="5455">
      <c r="A5455" s="157">
        <v>5454.0</v>
      </c>
    </row>
    <row r="5456">
      <c r="A5456" s="157">
        <v>5455.0</v>
      </c>
    </row>
    <row r="5457">
      <c r="A5457" s="157">
        <v>5456.0</v>
      </c>
    </row>
    <row r="5458">
      <c r="A5458" s="157">
        <v>5457.0</v>
      </c>
    </row>
    <row r="5459">
      <c r="A5459" s="157">
        <v>5458.0</v>
      </c>
    </row>
    <row r="5460">
      <c r="A5460" s="157">
        <v>5459.0</v>
      </c>
    </row>
    <row r="5461">
      <c r="A5461" s="157">
        <v>5460.0</v>
      </c>
    </row>
    <row r="5462">
      <c r="A5462" s="157">
        <v>5461.0</v>
      </c>
    </row>
    <row r="5463">
      <c r="A5463" s="157">
        <v>5462.0</v>
      </c>
    </row>
    <row r="5464">
      <c r="A5464" s="157">
        <v>5463.0</v>
      </c>
    </row>
    <row r="5465">
      <c r="A5465" s="157">
        <v>5464.0</v>
      </c>
    </row>
    <row r="5466">
      <c r="A5466" s="157">
        <v>5465.0</v>
      </c>
    </row>
    <row r="5467">
      <c r="A5467" s="157">
        <v>5466.0</v>
      </c>
    </row>
    <row r="5468">
      <c r="A5468" s="157">
        <v>5467.0</v>
      </c>
    </row>
    <row r="5469">
      <c r="A5469" s="157">
        <v>5468.0</v>
      </c>
    </row>
    <row r="5470">
      <c r="A5470" s="157">
        <v>5469.0</v>
      </c>
    </row>
    <row r="5471">
      <c r="A5471" s="157">
        <v>5470.0</v>
      </c>
    </row>
    <row r="5472">
      <c r="A5472" s="157">
        <v>5471.0</v>
      </c>
    </row>
    <row r="5473">
      <c r="A5473" s="157">
        <v>5472.0</v>
      </c>
    </row>
    <row r="5474">
      <c r="A5474" s="157">
        <v>5473.0</v>
      </c>
    </row>
    <row r="5475">
      <c r="A5475" s="157">
        <v>5474.0</v>
      </c>
    </row>
    <row r="5476">
      <c r="A5476" s="157">
        <v>5475.0</v>
      </c>
    </row>
    <row r="5477">
      <c r="A5477" s="157">
        <v>5476.0</v>
      </c>
    </row>
    <row r="5478">
      <c r="A5478" s="157">
        <v>5477.0</v>
      </c>
    </row>
    <row r="5479">
      <c r="A5479" s="157">
        <v>5478.0</v>
      </c>
    </row>
    <row r="5480">
      <c r="A5480" s="157">
        <v>5479.0</v>
      </c>
    </row>
    <row r="5481">
      <c r="A5481" s="157">
        <v>5480.0</v>
      </c>
    </row>
    <row r="5482">
      <c r="A5482" s="157">
        <v>5481.0</v>
      </c>
    </row>
    <row r="5483">
      <c r="A5483" s="157">
        <v>5482.0</v>
      </c>
    </row>
    <row r="5484">
      <c r="A5484" s="157">
        <v>5483.0</v>
      </c>
    </row>
    <row r="5485">
      <c r="A5485" s="157">
        <v>5484.0</v>
      </c>
    </row>
    <row r="5486">
      <c r="A5486" s="157">
        <v>5485.0</v>
      </c>
    </row>
    <row r="5487">
      <c r="A5487" s="157">
        <v>5486.0</v>
      </c>
    </row>
    <row r="5488">
      <c r="A5488" s="157">
        <v>5487.0</v>
      </c>
    </row>
    <row r="5489">
      <c r="A5489" s="157">
        <v>5488.0</v>
      </c>
    </row>
    <row r="5490">
      <c r="A5490" s="157">
        <v>5489.0</v>
      </c>
    </row>
    <row r="5491">
      <c r="A5491" s="157">
        <v>5490.0</v>
      </c>
    </row>
    <row r="5492">
      <c r="A5492" s="157">
        <v>5491.0</v>
      </c>
    </row>
    <row r="5493">
      <c r="A5493" s="157">
        <v>5492.0</v>
      </c>
    </row>
    <row r="5494">
      <c r="A5494" s="157">
        <v>5493.0</v>
      </c>
    </row>
    <row r="5495">
      <c r="A5495" s="157">
        <v>5494.0</v>
      </c>
    </row>
    <row r="5496">
      <c r="A5496" s="157">
        <v>5495.0</v>
      </c>
    </row>
    <row r="5497">
      <c r="A5497" s="157">
        <v>5496.0</v>
      </c>
    </row>
    <row r="5498">
      <c r="A5498" s="157">
        <v>5497.0</v>
      </c>
    </row>
    <row r="5499">
      <c r="A5499" s="157">
        <v>5498.0</v>
      </c>
    </row>
    <row r="5500">
      <c r="A5500" s="157">
        <v>5499.0</v>
      </c>
    </row>
    <row r="5501">
      <c r="A5501" s="157">
        <v>5500.0</v>
      </c>
    </row>
    <row r="5502">
      <c r="A5502" s="157">
        <v>5501.0</v>
      </c>
    </row>
    <row r="5503">
      <c r="A5503" s="157">
        <v>5502.0</v>
      </c>
    </row>
    <row r="5504">
      <c r="A5504" s="157">
        <v>5503.0</v>
      </c>
    </row>
    <row r="5505">
      <c r="A5505" s="157">
        <v>5504.0</v>
      </c>
    </row>
    <row r="5506">
      <c r="A5506" s="157">
        <v>5505.0</v>
      </c>
    </row>
    <row r="5507">
      <c r="A5507" s="157">
        <v>5506.0</v>
      </c>
    </row>
    <row r="5508">
      <c r="A5508" s="157">
        <v>5507.0</v>
      </c>
    </row>
    <row r="5509">
      <c r="A5509" s="157">
        <v>5508.0</v>
      </c>
    </row>
    <row r="5510">
      <c r="A5510" s="157">
        <v>5509.0</v>
      </c>
    </row>
    <row r="5511">
      <c r="A5511" s="157">
        <v>5510.0</v>
      </c>
    </row>
    <row r="5512">
      <c r="A5512" s="157">
        <v>5511.0</v>
      </c>
    </row>
    <row r="5513">
      <c r="A5513" s="157">
        <v>5512.0</v>
      </c>
    </row>
    <row r="5514">
      <c r="A5514" s="157">
        <v>5513.0</v>
      </c>
    </row>
    <row r="5515">
      <c r="A5515" s="157">
        <v>5514.0</v>
      </c>
    </row>
    <row r="5516">
      <c r="A5516" s="157">
        <v>5515.0</v>
      </c>
    </row>
    <row r="5517">
      <c r="A5517" s="157">
        <v>5516.0</v>
      </c>
    </row>
    <row r="5518">
      <c r="A5518" s="157">
        <v>5517.0</v>
      </c>
    </row>
    <row r="5519">
      <c r="A5519" s="157">
        <v>5518.0</v>
      </c>
    </row>
    <row r="5520">
      <c r="A5520" s="157">
        <v>5519.0</v>
      </c>
    </row>
    <row r="5521">
      <c r="A5521" s="157">
        <v>5520.0</v>
      </c>
    </row>
    <row r="5522">
      <c r="A5522" s="157">
        <v>5521.0</v>
      </c>
    </row>
    <row r="5523">
      <c r="A5523" s="157">
        <v>5522.0</v>
      </c>
    </row>
    <row r="5524">
      <c r="A5524" s="157">
        <v>5523.0</v>
      </c>
    </row>
    <row r="5525">
      <c r="A5525" s="157">
        <v>5524.0</v>
      </c>
    </row>
    <row r="5526">
      <c r="A5526" s="157">
        <v>5525.0</v>
      </c>
    </row>
    <row r="5527">
      <c r="A5527" s="157">
        <v>5526.0</v>
      </c>
    </row>
    <row r="5528">
      <c r="A5528" s="157">
        <v>5527.0</v>
      </c>
    </row>
    <row r="5529">
      <c r="A5529" s="157">
        <v>5528.0</v>
      </c>
    </row>
    <row r="5530">
      <c r="A5530" s="157">
        <v>5529.0</v>
      </c>
    </row>
    <row r="5531">
      <c r="A5531" s="157">
        <v>5530.0</v>
      </c>
    </row>
    <row r="5532">
      <c r="A5532" s="157">
        <v>5531.0</v>
      </c>
    </row>
    <row r="5533">
      <c r="A5533" s="157">
        <v>5532.0</v>
      </c>
    </row>
    <row r="5534">
      <c r="A5534" s="157">
        <v>5533.0</v>
      </c>
    </row>
    <row r="5535">
      <c r="A5535" s="157">
        <v>5534.0</v>
      </c>
    </row>
    <row r="5536">
      <c r="A5536" s="157">
        <v>5535.0</v>
      </c>
    </row>
    <row r="5537">
      <c r="A5537" s="157">
        <v>5536.0</v>
      </c>
    </row>
    <row r="5538">
      <c r="A5538" s="157">
        <v>5537.0</v>
      </c>
    </row>
    <row r="5539">
      <c r="A5539" s="157">
        <v>5538.0</v>
      </c>
    </row>
    <row r="5540">
      <c r="A5540" s="157">
        <v>5539.0</v>
      </c>
    </row>
    <row r="5541">
      <c r="A5541" s="157">
        <v>5540.0</v>
      </c>
    </row>
    <row r="5542">
      <c r="A5542" s="157">
        <v>5541.0</v>
      </c>
    </row>
    <row r="5543">
      <c r="A5543" s="157">
        <v>5542.0</v>
      </c>
    </row>
    <row r="5544">
      <c r="A5544" s="157">
        <v>5543.0</v>
      </c>
    </row>
    <row r="5545">
      <c r="A5545" s="157">
        <v>5544.0</v>
      </c>
    </row>
    <row r="5546">
      <c r="A5546" s="157">
        <v>5545.0</v>
      </c>
    </row>
    <row r="5547">
      <c r="A5547" s="157">
        <v>5546.0</v>
      </c>
    </row>
    <row r="5548">
      <c r="A5548" s="157">
        <v>5547.0</v>
      </c>
    </row>
    <row r="5549">
      <c r="A5549" s="157">
        <v>5548.0</v>
      </c>
    </row>
    <row r="5550">
      <c r="A5550" s="157">
        <v>5549.0</v>
      </c>
    </row>
    <row r="5551">
      <c r="A5551" s="157">
        <v>5550.0</v>
      </c>
    </row>
    <row r="5552">
      <c r="A5552" s="157">
        <v>5551.0</v>
      </c>
    </row>
    <row r="5553">
      <c r="A5553" s="157">
        <v>5552.0</v>
      </c>
    </row>
    <row r="5554">
      <c r="A5554" s="157">
        <v>5553.0</v>
      </c>
    </row>
    <row r="5555">
      <c r="A5555" s="157">
        <v>5554.0</v>
      </c>
    </row>
    <row r="5556">
      <c r="A5556" s="157">
        <v>5555.0</v>
      </c>
    </row>
    <row r="5557">
      <c r="A5557" s="157">
        <v>5556.0</v>
      </c>
    </row>
    <row r="5558">
      <c r="A5558" s="157">
        <v>5557.0</v>
      </c>
    </row>
    <row r="5559">
      <c r="A5559" s="157">
        <v>5558.0</v>
      </c>
    </row>
    <row r="5560">
      <c r="A5560" s="157">
        <v>5559.0</v>
      </c>
    </row>
    <row r="5561">
      <c r="A5561" s="157">
        <v>5560.0</v>
      </c>
    </row>
    <row r="5562">
      <c r="A5562" s="157">
        <v>5561.0</v>
      </c>
    </row>
    <row r="5563">
      <c r="A5563" s="157">
        <v>5562.0</v>
      </c>
    </row>
    <row r="5564">
      <c r="A5564" s="157">
        <v>5563.0</v>
      </c>
    </row>
    <row r="5565">
      <c r="A5565" s="157">
        <v>5564.0</v>
      </c>
    </row>
    <row r="5566">
      <c r="A5566" s="157">
        <v>5565.0</v>
      </c>
    </row>
    <row r="5567">
      <c r="A5567" s="157">
        <v>5566.0</v>
      </c>
    </row>
    <row r="5568">
      <c r="A5568" s="157">
        <v>5567.0</v>
      </c>
    </row>
    <row r="5569">
      <c r="A5569" s="157">
        <v>5568.0</v>
      </c>
    </row>
    <row r="5570">
      <c r="A5570" s="157">
        <v>5569.0</v>
      </c>
    </row>
    <row r="5571">
      <c r="A5571" s="157">
        <v>5570.0</v>
      </c>
    </row>
    <row r="5572">
      <c r="A5572" s="157">
        <v>5571.0</v>
      </c>
    </row>
    <row r="5573">
      <c r="A5573" s="157">
        <v>5572.0</v>
      </c>
    </row>
    <row r="5574">
      <c r="A5574" s="157">
        <v>5573.0</v>
      </c>
    </row>
    <row r="5575">
      <c r="A5575" s="157">
        <v>5574.0</v>
      </c>
    </row>
    <row r="5576">
      <c r="A5576" s="157">
        <v>5575.0</v>
      </c>
    </row>
    <row r="5577">
      <c r="A5577" s="157">
        <v>5576.0</v>
      </c>
    </row>
    <row r="5578">
      <c r="A5578" s="157">
        <v>5577.0</v>
      </c>
    </row>
    <row r="5579">
      <c r="A5579" s="157">
        <v>5578.0</v>
      </c>
    </row>
    <row r="5580">
      <c r="A5580" s="157">
        <v>5579.0</v>
      </c>
    </row>
    <row r="5581">
      <c r="A5581" s="157">
        <v>5580.0</v>
      </c>
    </row>
    <row r="5582">
      <c r="A5582" s="157">
        <v>5581.0</v>
      </c>
    </row>
    <row r="5583">
      <c r="A5583" s="157">
        <v>5582.0</v>
      </c>
    </row>
    <row r="5584">
      <c r="A5584" s="157">
        <v>5583.0</v>
      </c>
    </row>
    <row r="5585">
      <c r="A5585" s="157">
        <v>5584.0</v>
      </c>
    </row>
    <row r="5586">
      <c r="A5586" s="157">
        <v>5585.0</v>
      </c>
    </row>
    <row r="5587">
      <c r="A5587" s="157">
        <v>5586.0</v>
      </c>
    </row>
    <row r="5588">
      <c r="A5588" s="157">
        <v>5587.0</v>
      </c>
    </row>
    <row r="5589">
      <c r="A5589" s="157">
        <v>5588.0</v>
      </c>
    </row>
    <row r="5590">
      <c r="A5590" s="157">
        <v>5589.0</v>
      </c>
    </row>
    <row r="5591">
      <c r="A5591" s="157">
        <v>5590.0</v>
      </c>
    </row>
    <row r="5592">
      <c r="A5592" s="157">
        <v>5591.0</v>
      </c>
    </row>
    <row r="5593">
      <c r="A5593" s="157">
        <v>5592.0</v>
      </c>
    </row>
    <row r="5594">
      <c r="A5594" s="157">
        <v>5593.0</v>
      </c>
    </row>
    <row r="5595">
      <c r="A5595" s="157">
        <v>5594.0</v>
      </c>
    </row>
    <row r="5596">
      <c r="A5596" s="157">
        <v>5595.0</v>
      </c>
    </row>
    <row r="5597">
      <c r="A5597" s="157">
        <v>5596.0</v>
      </c>
    </row>
    <row r="5598">
      <c r="A5598" s="157">
        <v>5597.0</v>
      </c>
    </row>
    <row r="5599">
      <c r="A5599" s="157">
        <v>5598.0</v>
      </c>
    </row>
    <row r="5600">
      <c r="A5600" s="157">
        <v>5599.0</v>
      </c>
    </row>
    <row r="5601">
      <c r="A5601" s="157">
        <v>5600.0</v>
      </c>
    </row>
    <row r="5602">
      <c r="A5602" s="157">
        <v>5601.0</v>
      </c>
    </row>
    <row r="5603">
      <c r="A5603" s="157">
        <v>5602.0</v>
      </c>
    </row>
    <row r="5604">
      <c r="A5604" s="157">
        <v>5603.0</v>
      </c>
    </row>
    <row r="5605">
      <c r="A5605" s="157">
        <v>5604.0</v>
      </c>
    </row>
    <row r="5606">
      <c r="A5606" s="157">
        <v>5605.0</v>
      </c>
    </row>
    <row r="5607">
      <c r="A5607" s="157">
        <v>5606.0</v>
      </c>
    </row>
    <row r="5608">
      <c r="A5608" s="157">
        <v>5607.0</v>
      </c>
    </row>
    <row r="5609">
      <c r="A5609" s="157">
        <v>5608.0</v>
      </c>
    </row>
    <row r="5610">
      <c r="A5610" s="157">
        <v>5609.0</v>
      </c>
    </row>
    <row r="5611">
      <c r="A5611" s="157">
        <v>5610.0</v>
      </c>
    </row>
    <row r="5612">
      <c r="A5612" s="157">
        <v>5611.0</v>
      </c>
    </row>
    <row r="5613">
      <c r="A5613" s="157">
        <v>5612.0</v>
      </c>
    </row>
    <row r="5614">
      <c r="A5614" s="157">
        <v>5613.0</v>
      </c>
    </row>
    <row r="5615">
      <c r="A5615" s="157">
        <v>5614.0</v>
      </c>
    </row>
    <row r="5616">
      <c r="A5616" s="157">
        <v>5615.0</v>
      </c>
    </row>
    <row r="5617">
      <c r="A5617" s="157">
        <v>5616.0</v>
      </c>
    </row>
    <row r="5618">
      <c r="A5618" s="157">
        <v>5617.0</v>
      </c>
    </row>
    <row r="5619">
      <c r="A5619" s="157">
        <v>5618.0</v>
      </c>
    </row>
    <row r="5620">
      <c r="A5620" s="157">
        <v>5619.0</v>
      </c>
    </row>
    <row r="5621">
      <c r="A5621" s="157">
        <v>5620.0</v>
      </c>
    </row>
    <row r="5622">
      <c r="A5622" s="157">
        <v>5621.0</v>
      </c>
    </row>
    <row r="5623">
      <c r="A5623" s="157">
        <v>5622.0</v>
      </c>
    </row>
    <row r="5624">
      <c r="A5624" s="157">
        <v>5623.0</v>
      </c>
    </row>
    <row r="5625">
      <c r="A5625" s="157">
        <v>5624.0</v>
      </c>
    </row>
    <row r="5626">
      <c r="A5626" s="157">
        <v>5625.0</v>
      </c>
    </row>
    <row r="5627">
      <c r="A5627" s="157">
        <v>5626.0</v>
      </c>
    </row>
    <row r="5628">
      <c r="A5628" s="157">
        <v>5627.0</v>
      </c>
    </row>
    <row r="5629">
      <c r="A5629" s="157">
        <v>5628.0</v>
      </c>
    </row>
    <row r="5630">
      <c r="A5630" s="157">
        <v>5629.0</v>
      </c>
    </row>
    <row r="5631">
      <c r="A5631" s="157">
        <v>5630.0</v>
      </c>
    </row>
    <row r="5632">
      <c r="A5632" s="157">
        <v>5631.0</v>
      </c>
    </row>
    <row r="5633">
      <c r="A5633" s="157">
        <v>5632.0</v>
      </c>
    </row>
    <row r="5634">
      <c r="A5634" s="157">
        <v>5633.0</v>
      </c>
    </row>
    <row r="5635">
      <c r="A5635" s="157">
        <v>5634.0</v>
      </c>
    </row>
    <row r="5636">
      <c r="A5636" s="157">
        <v>5635.0</v>
      </c>
    </row>
    <row r="5637">
      <c r="A5637" s="157">
        <v>5636.0</v>
      </c>
    </row>
    <row r="5638">
      <c r="A5638" s="157">
        <v>5637.0</v>
      </c>
    </row>
    <row r="5639">
      <c r="A5639" s="157">
        <v>5638.0</v>
      </c>
    </row>
    <row r="5640">
      <c r="A5640" s="157">
        <v>5639.0</v>
      </c>
    </row>
    <row r="5641">
      <c r="A5641" s="157">
        <v>5640.0</v>
      </c>
    </row>
    <row r="5642">
      <c r="A5642" s="157">
        <v>5641.0</v>
      </c>
    </row>
    <row r="5643">
      <c r="A5643" s="157">
        <v>5642.0</v>
      </c>
    </row>
    <row r="5644">
      <c r="A5644" s="157">
        <v>5643.0</v>
      </c>
    </row>
    <row r="5645">
      <c r="A5645" s="157">
        <v>5644.0</v>
      </c>
    </row>
    <row r="5646">
      <c r="A5646" s="157">
        <v>5645.0</v>
      </c>
    </row>
    <row r="5647">
      <c r="A5647" s="157">
        <v>5646.0</v>
      </c>
    </row>
    <row r="5648">
      <c r="A5648" s="157">
        <v>5647.0</v>
      </c>
    </row>
    <row r="5649">
      <c r="A5649" s="157">
        <v>5648.0</v>
      </c>
    </row>
    <row r="5650">
      <c r="A5650" s="157">
        <v>5649.0</v>
      </c>
    </row>
    <row r="5651">
      <c r="A5651" s="157">
        <v>5650.0</v>
      </c>
    </row>
    <row r="5652">
      <c r="A5652" s="157">
        <v>5651.0</v>
      </c>
    </row>
    <row r="5653">
      <c r="A5653" s="157">
        <v>5652.0</v>
      </c>
    </row>
    <row r="5654">
      <c r="A5654" s="157">
        <v>5653.0</v>
      </c>
    </row>
    <row r="5655">
      <c r="A5655" s="157">
        <v>5654.0</v>
      </c>
    </row>
    <row r="5656">
      <c r="A5656" s="157">
        <v>5655.0</v>
      </c>
    </row>
    <row r="5657">
      <c r="A5657" s="157">
        <v>5656.0</v>
      </c>
    </row>
    <row r="5658">
      <c r="A5658" s="157">
        <v>5657.0</v>
      </c>
    </row>
    <row r="5659">
      <c r="A5659" s="157">
        <v>5658.0</v>
      </c>
    </row>
    <row r="5660">
      <c r="A5660" s="157">
        <v>5659.0</v>
      </c>
    </row>
    <row r="5661">
      <c r="A5661" s="157">
        <v>5660.0</v>
      </c>
    </row>
    <row r="5662">
      <c r="A5662" s="157">
        <v>5661.0</v>
      </c>
    </row>
    <row r="5663">
      <c r="A5663" s="157">
        <v>5662.0</v>
      </c>
    </row>
    <row r="5664">
      <c r="A5664" s="157">
        <v>5663.0</v>
      </c>
    </row>
    <row r="5665">
      <c r="A5665" s="157">
        <v>5664.0</v>
      </c>
    </row>
    <row r="5666">
      <c r="A5666" s="157">
        <v>5665.0</v>
      </c>
    </row>
    <row r="5667">
      <c r="A5667" s="157">
        <v>5666.0</v>
      </c>
    </row>
    <row r="5668">
      <c r="A5668" s="157">
        <v>5667.0</v>
      </c>
    </row>
    <row r="5669">
      <c r="A5669" s="157">
        <v>5668.0</v>
      </c>
    </row>
    <row r="5670">
      <c r="A5670" s="157">
        <v>5669.0</v>
      </c>
    </row>
    <row r="5671">
      <c r="A5671" s="157">
        <v>5670.0</v>
      </c>
    </row>
    <row r="5672">
      <c r="A5672" s="157">
        <v>5671.0</v>
      </c>
    </row>
    <row r="5673">
      <c r="A5673" s="157">
        <v>5672.0</v>
      </c>
    </row>
    <row r="5674">
      <c r="A5674" s="157">
        <v>5673.0</v>
      </c>
    </row>
    <row r="5675">
      <c r="A5675" s="157">
        <v>5674.0</v>
      </c>
    </row>
    <row r="5676">
      <c r="A5676" s="157">
        <v>5675.0</v>
      </c>
    </row>
    <row r="5677">
      <c r="A5677" s="157">
        <v>5676.0</v>
      </c>
    </row>
    <row r="5678">
      <c r="A5678" s="157">
        <v>5677.0</v>
      </c>
    </row>
    <row r="5679">
      <c r="A5679" s="157">
        <v>5678.0</v>
      </c>
    </row>
    <row r="5680">
      <c r="A5680" s="157">
        <v>5679.0</v>
      </c>
    </row>
    <row r="5681">
      <c r="A5681" s="157">
        <v>5680.0</v>
      </c>
    </row>
    <row r="5682">
      <c r="A5682" s="157">
        <v>5681.0</v>
      </c>
    </row>
    <row r="5683">
      <c r="A5683" s="157">
        <v>5682.0</v>
      </c>
    </row>
    <row r="5684">
      <c r="A5684" s="157">
        <v>5683.0</v>
      </c>
    </row>
    <row r="5685">
      <c r="A5685" s="157">
        <v>5684.0</v>
      </c>
    </row>
    <row r="5686">
      <c r="A5686" s="157">
        <v>5685.0</v>
      </c>
    </row>
    <row r="5687">
      <c r="A5687" s="157">
        <v>5686.0</v>
      </c>
    </row>
    <row r="5688">
      <c r="A5688" s="157">
        <v>5687.0</v>
      </c>
    </row>
    <row r="5689">
      <c r="A5689" s="157">
        <v>5688.0</v>
      </c>
    </row>
    <row r="5690">
      <c r="A5690" s="157">
        <v>5689.0</v>
      </c>
    </row>
    <row r="5691">
      <c r="A5691" s="157">
        <v>5690.0</v>
      </c>
    </row>
    <row r="5692">
      <c r="A5692" s="157">
        <v>5691.0</v>
      </c>
    </row>
    <row r="5693">
      <c r="A5693" s="157">
        <v>5692.0</v>
      </c>
    </row>
    <row r="5694">
      <c r="A5694" s="157">
        <v>5693.0</v>
      </c>
    </row>
    <row r="5695">
      <c r="A5695" s="157">
        <v>5694.0</v>
      </c>
    </row>
    <row r="5696">
      <c r="A5696" s="157">
        <v>5695.0</v>
      </c>
    </row>
    <row r="5697">
      <c r="A5697" s="157">
        <v>5696.0</v>
      </c>
    </row>
    <row r="5698">
      <c r="A5698" s="157">
        <v>5697.0</v>
      </c>
    </row>
    <row r="5699">
      <c r="A5699" s="157">
        <v>5698.0</v>
      </c>
    </row>
    <row r="5700">
      <c r="A5700" s="157">
        <v>5699.0</v>
      </c>
    </row>
    <row r="5701">
      <c r="A5701" s="157">
        <v>5700.0</v>
      </c>
    </row>
    <row r="5702">
      <c r="A5702" s="157">
        <v>5701.0</v>
      </c>
    </row>
    <row r="5703">
      <c r="A5703" s="157">
        <v>5702.0</v>
      </c>
    </row>
    <row r="5704">
      <c r="A5704" s="157">
        <v>5703.0</v>
      </c>
    </row>
    <row r="5705">
      <c r="A5705" s="157">
        <v>5704.0</v>
      </c>
    </row>
    <row r="5706">
      <c r="A5706" s="157">
        <v>5705.0</v>
      </c>
    </row>
    <row r="5707">
      <c r="A5707" s="157">
        <v>5706.0</v>
      </c>
    </row>
    <row r="5708">
      <c r="A5708" s="157">
        <v>5707.0</v>
      </c>
    </row>
    <row r="5709">
      <c r="A5709" s="157">
        <v>5708.0</v>
      </c>
    </row>
    <row r="5710">
      <c r="A5710" s="157">
        <v>5709.0</v>
      </c>
    </row>
    <row r="5711">
      <c r="A5711" s="157">
        <v>5710.0</v>
      </c>
    </row>
    <row r="5712">
      <c r="A5712" s="157">
        <v>5711.0</v>
      </c>
    </row>
    <row r="5713">
      <c r="A5713" s="157">
        <v>5712.0</v>
      </c>
    </row>
    <row r="5714">
      <c r="A5714" s="157">
        <v>5713.0</v>
      </c>
    </row>
    <row r="5715">
      <c r="A5715" s="157">
        <v>5714.0</v>
      </c>
    </row>
    <row r="5716">
      <c r="A5716" s="157">
        <v>5715.0</v>
      </c>
    </row>
    <row r="5717">
      <c r="A5717" s="157">
        <v>5716.0</v>
      </c>
    </row>
    <row r="5718">
      <c r="A5718" s="157">
        <v>5717.0</v>
      </c>
    </row>
    <row r="5719">
      <c r="A5719" s="157">
        <v>5718.0</v>
      </c>
    </row>
    <row r="5720">
      <c r="A5720" s="157">
        <v>5719.0</v>
      </c>
    </row>
    <row r="5721">
      <c r="A5721" s="157">
        <v>5720.0</v>
      </c>
    </row>
    <row r="5722">
      <c r="A5722" s="157">
        <v>5721.0</v>
      </c>
    </row>
    <row r="5723">
      <c r="A5723" s="157">
        <v>5722.0</v>
      </c>
    </row>
    <row r="5724">
      <c r="A5724" s="157">
        <v>5723.0</v>
      </c>
    </row>
    <row r="5725">
      <c r="A5725" s="157">
        <v>5724.0</v>
      </c>
    </row>
    <row r="5726">
      <c r="A5726" s="157">
        <v>5725.0</v>
      </c>
    </row>
    <row r="5727">
      <c r="A5727" s="157">
        <v>5726.0</v>
      </c>
    </row>
    <row r="5728">
      <c r="A5728" s="157">
        <v>5727.0</v>
      </c>
    </row>
    <row r="5729">
      <c r="A5729" s="157">
        <v>5728.0</v>
      </c>
    </row>
    <row r="5730">
      <c r="A5730" s="157">
        <v>5729.0</v>
      </c>
    </row>
    <row r="5731">
      <c r="A5731" s="157">
        <v>5730.0</v>
      </c>
    </row>
    <row r="5732">
      <c r="A5732" s="157">
        <v>5731.0</v>
      </c>
    </row>
    <row r="5733">
      <c r="A5733" s="157">
        <v>5732.0</v>
      </c>
    </row>
    <row r="5734">
      <c r="A5734" s="157">
        <v>5733.0</v>
      </c>
    </row>
    <row r="5735">
      <c r="A5735" s="157">
        <v>5734.0</v>
      </c>
    </row>
    <row r="5736">
      <c r="A5736" s="157">
        <v>5735.0</v>
      </c>
    </row>
    <row r="5737">
      <c r="A5737" s="157">
        <v>5736.0</v>
      </c>
    </row>
    <row r="5738">
      <c r="A5738" s="157">
        <v>5737.0</v>
      </c>
    </row>
    <row r="5739">
      <c r="A5739" s="157">
        <v>5738.0</v>
      </c>
    </row>
    <row r="5740">
      <c r="A5740" s="157">
        <v>5739.0</v>
      </c>
    </row>
    <row r="5741">
      <c r="A5741" s="157">
        <v>5740.0</v>
      </c>
    </row>
    <row r="5742">
      <c r="A5742" s="157">
        <v>5741.0</v>
      </c>
    </row>
    <row r="5743">
      <c r="A5743" s="157">
        <v>5742.0</v>
      </c>
    </row>
    <row r="5744">
      <c r="A5744" s="157">
        <v>5743.0</v>
      </c>
    </row>
    <row r="5745">
      <c r="A5745" s="157">
        <v>5744.0</v>
      </c>
    </row>
    <row r="5746">
      <c r="A5746" s="157">
        <v>5745.0</v>
      </c>
    </row>
    <row r="5747">
      <c r="A5747" s="157">
        <v>5746.0</v>
      </c>
    </row>
    <row r="5748">
      <c r="A5748" s="157">
        <v>5747.0</v>
      </c>
    </row>
    <row r="5749">
      <c r="A5749" s="157">
        <v>5748.0</v>
      </c>
    </row>
    <row r="5750">
      <c r="A5750" s="157">
        <v>5749.0</v>
      </c>
    </row>
    <row r="5751">
      <c r="A5751" s="157">
        <v>5750.0</v>
      </c>
    </row>
    <row r="5752">
      <c r="A5752" s="157">
        <v>5751.0</v>
      </c>
    </row>
    <row r="5753">
      <c r="A5753" s="157">
        <v>5752.0</v>
      </c>
    </row>
    <row r="5754">
      <c r="A5754" s="157">
        <v>5753.0</v>
      </c>
    </row>
    <row r="5755">
      <c r="A5755" s="157">
        <v>5754.0</v>
      </c>
    </row>
    <row r="5756">
      <c r="A5756" s="157">
        <v>5755.0</v>
      </c>
    </row>
    <row r="5757">
      <c r="A5757" s="157">
        <v>5756.0</v>
      </c>
    </row>
    <row r="5758">
      <c r="A5758" s="157">
        <v>5757.0</v>
      </c>
    </row>
    <row r="5759">
      <c r="A5759" s="157">
        <v>5758.0</v>
      </c>
    </row>
    <row r="5760">
      <c r="A5760" s="157">
        <v>5759.0</v>
      </c>
    </row>
    <row r="5761">
      <c r="A5761" s="157">
        <v>5760.0</v>
      </c>
    </row>
    <row r="5762">
      <c r="A5762" s="157">
        <v>5761.0</v>
      </c>
    </row>
    <row r="5763">
      <c r="A5763" s="157">
        <v>5762.0</v>
      </c>
    </row>
    <row r="5764">
      <c r="A5764" s="157">
        <v>5763.0</v>
      </c>
    </row>
    <row r="5765">
      <c r="A5765" s="157">
        <v>5764.0</v>
      </c>
    </row>
    <row r="5766">
      <c r="A5766" s="157">
        <v>5765.0</v>
      </c>
    </row>
    <row r="5767">
      <c r="A5767" s="157">
        <v>5766.0</v>
      </c>
    </row>
    <row r="5768">
      <c r="A5768" s="157">
        <v>5767.0</v>
      </c>
    </row>
    <row r="5769">
      <c r="A5769" s="157">
        <v>5768.0</v>
      </c>
    </row>
    <row r="5770">
      <c r="A5770" s="157">
        <v>5769.0</v>
      </c>
    </row>
    <row r="5771">
      <c r="A5771" s="157">
        <v>5770.0</v>
      </c>
    </row>
    <row r="5772">
      <c r="A5772" s="157">
        <v>5771.0</v>
      </c>
    </row>
    <row r="5773">
      <c r="A5773" s="157">
        <v>5772.0</v>
      </c>
    </row>
    <row r="5774">
      <c r="A5774" s="157">
        <v>5773.0</v>
      </c>
    </row>
    <row r="5775">
      <c r="A5775" s="157">
        <v>5774.0</v>
      </c>
    </row>
    <row r="5776">
      <c r="A5776" s="157">
        <v>5775.0</v>
      </c>
    </row>
    <row r="5777">
      <c r="A5777" s="157">
        <v>5776.0</v>
      </c>
    </row>
    <row r="5778">
      <c r="A5778" s="157">
        <v>5777.0</v>
      </c>
    </row>
    <row r="5779">
      <c r="A5779" s="157">
        <v>5778.0</v>
      </c>
    </row>
    <row r="5780">
      <c r="A5780" s="157">
        <v>5779.0</v>
      </c>
    </row>
    <row r="5781">
      <c r="A5781" s="157">
        <v>5780.0</v>
      </c>
    </row>
    <row r="5782">
      <c r="A5782" s="157">
        <v>5781.0</v>
      </c>
    </row>
    <row r="5783">
      <c r="A5783" s="157">
        <v>5782.0</v>
      </c>
    </row>
    <row r="5784">
      <c r="A5784" s="157">
        <v>5783.0</v>
      </c>
    </row>
    <row r="5785">
      <c r="A5785" s="157">
        <v>5784.0</v>
      </c>
    </row>
    <row r="5786">
      <c r="A5786" s="157">
        <v>5785.0</v>
      </c>
    </row>
    <row r="5787">
      <c r="A5787" s="157">
        <v>5786.0</v>
      </c>
    </row>
    <row r="5788">
      <c r="A5788" s="157">
        <v>5787.0</v>
      </c>
    </row>
    <row r="5789">
      <c r="A5789" s="157">
        <v>5788.0</v>
      </c>
    </row>
    <row r="5790">
      <c r="A5790" s="157">
        <v>5789.0</v>
      </c>
    </row>
    <row r="5791">
      <c r="A5791" s="157">
        <v>5790.0</v>
      </c>
    </row>
    <row r="5792">
      <c r="A5792" s="157">
        <v>5791.0</v>
      </c>
    </row>
    <row r="5793">
      <c r="A5793" s="157">
        <v>5792.0</v>
      </c>
    </row>
    <row r="5794">
      <c r="A5794" s="157">
        <v>5793.0</v>
      </c>
    </row>
    <row r="5795">
      <c r="A5795" s="157">
        <v>5794.0</v>
      </c>
    </row>
    <row r="5796">
      <c r="A5796" s="157">
        <v>5795.0</v>
      </c>
    </row>
    <row r="5797">
      <c r="A5797" s="157">
        <v>5796.0</v>
      </c>
    </row>
    <row r="5798">
      <c r="A5798" s="157">
        <v>5797.0</v>
      </c>
    </row>
    <row r="5799">
      <c r="A5799" s="157">
        <v>5798.0</v>
      </c>
    </row>
    <row r="5800">
      <c r="A5800" s="157">
        <v>5799.0</v>
      </c>
    </row>
    <row r="5801">
      <c r="A5801" s="157">
        <v>5800.0</v>
      </c>
    </row>
    <row r="5802">
      <c r="A5802" s="157">
        <v>5801.0</v>
      </c>
    </row>
    <row r="5803">
      <c r="A5803" s="157">
        <v>5802.0</v>
      </c>
    </row>
    <row r="5804">
      <c r="A5804" s="157">
        <v>5803.0</v>
      </c>
    </row>
    <row r="5805">
      <c r="A5805" s="157">
        <v>5804.0</v>
      </c>
    </row>
    <row r="5806">
      <c r="A5806" s="157">
        <v>5805.0</v>
      </c>
    </row>
    <row r="5807">
      <c r="A5807" s="157">
        <v>5806.0</v>
      </c>
    </row>
    <row r="5808">
      <c r="A5808" s="157">
        <v>5807.0</v>
      </c>
    </row>
    <row r="5809">
      <c r="A5809" s="157">
        <v>5808.0</v>
      </c>
    </row>
    <row r="5810">
      <c r="A5810" s="157">
        <v>5809.0</v>
      </c>
    </row>
    <row r="5811">
      <c r="A5811" s="157">
        <v>5810.0</v>
      </c>
    </row>
    <row r="5812">
      <c r="A5812" s="157">
        <v>5811.0</v>
      </c>
    </row>
    <row r="5813">
      <c r="A5813" s="157">
        <v>5812.0</v>
      </c>
    </row>
    <row r="5814">
      <c r="A5814" s="157">
        <v>5813.0</v>
      </c>
    </row>
    <row r="5815">
      <c r="A5815" s="157">
        <v>5814.0</v>
      </c>
    </row>
    <row r="5816">
      <c r="A5816" s="157">
        <v>5815.0</v>
      </c>
    </row>
    <row r="5817">
      <c r="A5817" s="157">
        <v>5816.0</v>
      </c>
    </row>
    <row r="5818">
      <c r="A5818" s="157">
        <v>5817.0</v>
      </c>
    </row>
    <row r="5819">
      <c r="A5819" s="157">
        <v>5818.0</v>
      </c>
    </row>
    <row r="5820">
      <c r="A5820" s="157">
        <v>5819.0</v>
      </c>
    </row>
    <row r="5821">
      <c r="A5821" s="157">
        <v>5820.0</v>
      </c>
    </row>
    <row r="5822">
      <c r="A5822" s="157">
        <v>5821.0</v>
      </c>
    </row>
    <row r="5823">
      <c r="A5823" s="157">
        <v>5822.0</v>
      </c>
    </row>
    <row r="5824">
      <c r="A5824" s="157">
        <v>5823.0</v>
      </c>
    </row>
    <row r="5825">
      <c r="A5825" s="157">
        <v>5824.0</v>
      </c>
    </row>
    <row r="5826">
      <c r="A5826" s="157">
        <v>5825.0</v>
      </c>
    </row>
    <row r="5827">
      <c r="A5827" s="157">
        <v>5826.0</v>
      </c>
    </row>
    <row r="5828">
      <c r="A5828" s="157">
        <v>5827.0</v>
      </c>
    </row>
    <row r="5829">
      <c r="A5829" s="157">
        <v>5828.0</v>
      </c>
    </row>
    <row r="5830">
      <c r="A5830" s="157">
        <v>5829.0</v>
      </c>
    </row>
    <row r="5831">
      <c r="A5831" s="157">
        <v>5830.0</v>
      </c>
    </row>
    <row r="5832">
      <c r="A5832" s="157">
        <v>5831.0</v>
      </c>
    </row>
    <row r="5833">
      <c r="A5833" s="157">
        <v>5832.0</v>
      </c>
    </row>
    <row r="5834">
      <c r="A5834" s="157">
        <v>5833.0</v>
      </c>
    </row>
    <row r="5835">
      <c r="A5835" s="157">
        <v>5834.0</v>
      </c>
    </row>
    <row r="5836">
      <c r="A5836" s="157">
        <v>5835.0</v>
      </c>
    </row>
    <row r="5837">
      <c r="A5837" s="157">
        <v>5836.0</v>
      </c>
    </row>
    <row r="5838">
      <c r="A5838" s="157">
        <v>5837.0</v>
      </c>
    </row>
    <row r="5839">
      <c r="A5839" s="157">
        <v>5838.0</v>
      </c>
    </row>
    <row r="5840">
      <c r="A5840" s="157">
        <v>5839.0</v>
      </c>
    </row>
    <row r="5841">
      <c r="A5841" s="157">
        <v>5840.0</v>
      </c>
    </row>
    <row r="5842">
      <c r="A5842" s="157">
        <v>5841.0</v>
      </c>
    </row>
    <row r="5843">
      <c r="A5843" s="157">
        <v>5842.0</v>
      </c>
    </row>
    <row r="5844">
      <c r="A5844" s="157">
        <v>5843.0</v>
      </c>
    </row>
    <row r="5845">
      <c r="A5845" s="157">
        <v>5844.0</v>
      </c>
    </row>
    <row r="5846">
      <c r="A5846" s="157">
        <v>5845.0</v>
      </c>
    </row>
    <row r="5847">
      <c r="A5847" s="157">
        <v>5846.0</v>
      </c>
    </row>
    <row r="5848">
      <c r="A5848" s="157">
        <v>5847.0</v>
      </c>
    </row>
    <row r="5849">
      <c r="A5849" s="157">
        <v>5848.0</v>
      </c>
    </row>
    <row r="5850">
      <c r="A5850" s="157">
        <v>5849.0</v>
      </c>
    </row>
    <row r="5851">
      <c r="A5851" s="157">
        <v>5850.0</v>
      </c>
    </row>
    <row r="5852">
      <c r="A5852" s="157">
        <v>5851.0</v>
      </c>
    </row>
    <row r="5853">
      <c r="A5853" s="157">
        <v>5852.0</v>
      </c>
    </row>
    <row r="5854">
      <c r="A5854" s="157">
        <v>5853.0</v>
      </c>
    </row>
    <row r="5855">
      <c r="A5855" s="157">
        <v>5854.0</v>
      </c>
    </row>
    <row r="5856">
      <c r="A5856" s="157">
        <v>5855.0</v>
      </c>
    </row>
    <row r="5857">
      <c r="A5857" s="157">
        <v>5856.0</v>
      </c>
    </row>
    <row r="5858">
      <c r="A5858" s="157">
        <v>5857.0</v>
      </c>
    </row>
    <row r="5859">
      <c r="A5859" s="157">
        <v>5858.0</v>
      </c>
    </row>
    <row r="5860">
      <c r="A5860" s="157">
        <v>5859.0</v>
      </c>
    </row>
    <row r="5861">
      <c r="A5861" s="157">
        <v>5860.0</v>
      </c>
    </row>
    <row r="5862">
      <c r="A5862" s="157">
        <v>5861.0</v>
      </c>
    </row>
    <row r="5863">
      <c r="A5863" s="157">
        <v>5862.0</v>
      </c>
    </row>
    <row r="5864">
      <c r="A5864" s="157">
        <v>5863.0</v>
      </c>
    </row>
    <row r="5865">
      <c r="A5865" s="157">
        <v>5864.0</v>
      </c>
    </row>
    <row r="5866">
      <c r="A5866" s="157">
        <v>5865.0</v>
      </c>
    </row>
    <row r="5867">
      <c r="A5867" s="157">
        <v>5866.0</v>
      </c>
    </row>
    <row r="5868">
      <c r="A5868" s="157">
        <v>5867.0</v>
      </c>
    </row>
    <row r="5869">
      <c r="A5869" s="157">
        <v>5868.0</v>
      </c>
    </row>
    <row r="5870">
      <c r="A5870" s="157">
        <v>5869.0</v>
      </c>
    </row>
    <row r="5871">
      <c r="A5871" s="157">
        <v>5870.0</v>
      </c>
    </row>
    <row r="5872">
      <c r="A5872" s="157">
        <v>5871.0</v>
      </c>
    </row>
    <row r="5873">
      <c r="A5873" s="157">
        <v>5872.0</v>
      </c>
    </row>
    <row r="5874">
      <c r="A5874" s="157">
        <v>5873.0</v>
      </c>
    </row>
    <row r="5875">
      <c r="A5875" s="157">
        <v>5874.0</v>
      </c>
    </row>
    <row r="5876">
      <c r="A5876" s="157">
        <v>5875.0</v>
      </c>
    </row>
    <row r="5877">
      <c r="A5877" s="157">
        <v>5876.0</v>
      </c>
    </row>
    <row r="5878">
      <c r="A5878" s="157">
        <v>5877.0</v>
      </c>
    </row>
    <row r="5879">
      <c r="A5879" s="157">
        <v>5878.0</v>
      </c>
    </row>
    <row r="5880">
      <c r="A5880" s="157">
        <v>5879.0</v>
      </c>
    </row>
    <row r="5881">
      <c r="A5881" s="157">
        <v>5880.0</v>
      </c>
    </row>
    <row r="5882">
      <c r="A5882" s="157">
        <v>5881.0</v>
      </c>
    </row>
    <row r="5883">
      <c r="A5883" s="157">
        <v>5882.0</v>
      </c>
    </row>
    <row r="5884">
      <c r="A5884" s="157">
        <v>5883.0</v>
      </c>
    </row>
    <row r="5885">
      <c r="A5885" s="157">
        <v>5884.0</v>
      </c>
    </row>
    <row r="5886">
      <c r="A5886" s="157">
        <v>5885.0</v>
      </c>
    </row>
    <row r="5887">
      <c r="A5887" s="157">
        <v>5886.0</v>
      </c>
    </row>
    <row r="5888">
      <c r="A5888" s="157">
        <v>5887.0</v>
      </c>
    </row>
    <row r="5889">
      <c r="A5889" s="157">
        <v>5888.0</v>
      </c>
    </row>
    <row r="5890">
      <c r="A5890" s="157">
        <v>5889.0</v>
      </c>
    </row>
    <row r="5891">
      <c r="A5891" s="157">
        <v>5890.0</v>
      </c>
    </row>
    <row r="5892">
      <c r="A5892" s="157">
        <v>5891.0</v>
      </c>
    </row>
    <row r="5893">
      <c r="A5893" s="157">
        <v>5892.0</v>
      </c>
    </row>
    <row r="5894">
      <c r="A5894" s="157">
        <v>5893.0</v>
      </c>
    </row>
    <row r="5895">
      <c r="A5895" s="157">
        <v>5894.0</v>
      </c>
    </row>
    <row r="5896">
      <c r="A5896" s="157">
        <v>5895.0</v>
      </c>
    </row>
    <row r="5897">
      <c r="A5897" s="157">
        <v>5896.0</v>
      </c>
    </row>
    <row r="5898">
      <c r="A5898" s="157">
        <v>5897.0</v>
      </c>
    </row>
    <row r="5899">
      <c r="A5899" s="157">
        <v>5898.0</v>
      </c>
    </row>
    <row r="5900">
      <c r="A5900" s="157">
        <v>5899.0</v>
      </c>
    </row>
    <row r="5901">
      <c r="A5901" s="157">
        <v>5900.0</v>
      </c>
    </row>
    <row r="5902">
      <c r="A5902" s="157">
        <v>5901.0</v>
      </c>
    </row>
    <row r="5903">
      <c r="A5903" s="157">
        <v>5902.0</v>
      </c>
    </row>
    <row r="5904">
      <c r="A5904" s="157">
        <v>5903.0</v>
      </c>
    </row>
    <row r="5905">
      <c r="A5905" s="157">
        <v>5904.0</v>
      </c>
    </row>
    <row r="5906">
      <c r="A5906" s="157">
        <v>5905.0</v>
      </c>
    </row>
    <row r="5907">
      <c r="A5907" s="157">
        <v>5906.0</v>
      </c>
    </row>
    <row r="5908">
      <c r="A5908" s="157">
        <v>5907.0</v>
      </c>
    </row>
    <row r="5909">
      <c r="A5909" s="157">
        <v>5908.0</v>
      </c>
    </row>
    <row r="5910">
      <c r="A5910" s="157">
        <v>5909.0</v>
      </c>
    </row>
    <row r="5911">
      <c r="A5911" s="157">
        <v>5910.0</v>
      </c>
    </row>
    <row r="5912">
      <c r="A5912" s="157">
        <v>5911.0</v>
      </c>
    </row>
    <row r="5913">
      <c r="A5913" s="157">
        <v>5912.0</v>
      </c>
    </row>
    <row r="5914">
      <c r="A5914" s="157">
        <v>5913.0</v>
      </c>
    </row>
    <row r="5915">
      <c r="A5915" s="157">
        <v>5914.0</v>
      </c>
    </row>
    <row r="5916">
      <c r="A5916" s="157">
        <v>5915.0</v>
      </c>
    </row>
    <row r="5917">
      <c r="A5917" s="157">
        <v>5916.0</v>
      </c>
    </row>
    <row r="5918">
      <c r="A5918" s="157">
        <v>5917.0</v>
      </c>
    </row>
    <row r="5919">
      <c r="A5919" s="157">
        <v>5918.0</v>
      </c>
    </row>
    <row r="5920">
      <c r="A5920" s="157">
        <v>5919.0</v>
      </c>
    </row>
    <row r="5921">
      <c r="A5921" s="157">
        <v>5920.0</v>
      </c>
    </row>
    <row r="5922">
      <c r="A5922" s="157">
        <v>5921.0</v>
      </c>
    </row>
    <row r="5923">
      <c r="A5923" s="157">
        <v>5922.0</v>
      </c>
    </row>
    <row r="5924">
      <c r="A5924" s="157">
        <v>5923.0</v>
      </c>
    </row>
    <row r="5925">
      <c r="A5925" s="157">
        <v>5924.0</v>
      </c>
    </row>
    <row r="5926">
      <c r="A5926" s="157">
        <v>5925.0</v>
      </c>
    </row>
    <row r="5927">
      <c r="A5927" s="157">
        <v>5926.0</v>
      </c>
    </row>
    <row r="5928">
      <c r="A5928" s="157">
        <v>5927.0</v>
      </c>
    </row>
    <row r="5929">
      <c r="A5929" s="157">
        <v>5928.0</v>
      </c>
    </row>
    <row r="5930">
      <c r="A5930" s="157">
        <v>5929.0</v>
      </c>
    </row>
    <row r="5931">
      <c r="A5931" s="157">
        <v>5930.0</v>
      </c>
    </row>
    <row r="5932">
      <c r="A5932" s="157">
        <v>5931.0</v>
      </c>
    </row>
    <row r="5933">
      <c r="A5933" s="157">
        <v>5932.0</v>
      </c>
    </row>
    <row r="5934">
      <c r="A5934" s="157">
        <v>5933.0</v>
      </c>
    </row>
    <row r="5935">
      <c r="A5935" s="157">
        <v>5934.0</v>
      </c>
    </row>
    <row r="5936">
      <c r="A5936" s="157">
        <v>5935.0</v>
      </c>
    </row>
    <row r="5937">
      <c r="A5937" s="157">
        <v>5936.0</v>
      </c>
    </row>
    <row r="5938">
      <c r="A5938" s="157">
        <v>5937.0</v>
      </c>
    </row>
    <row r="5939">
      <c r="A5939" s="157">
        <v>5938.0</v>
      </c>
    </row>
    <row r="5940">
      <c r="A5940" s="157">
        <v>5939.0</v>
      </c>
    </row>
    <row r="5941">
      <c r="A5941" s="157">
        <v>5940.0</v>
      </c>
    </row>
    <row r="5942">
      <c r="A5942" s="157">
        <v>5941.0</v>
      </c>
    </row>
    <row r="5943">
      <c r="A5943" s="157">
        <v>5942.0</v>
      </c>
    </row>
    <row r="5944">
      <c r="A5944" s="157">
        <v>5943.0</v>
      </c>
    </row>
    <row r="5945">
      <c r="A5945" s="157">
        <v>5944.0</v>
      </c>
    </row>
    <row r="5946">
      <c r="A5946" s="157">
        <v>5945.0</v>
      </c>
    </row>
    <row r="5947">
      <c r="A5947" s="157">
        <v>5946.0</v>
      </c>
    </row>
    <row r="5948">
      <c r="A5948" s="157">
        <v>5947.0</v>
      </c>
    </row>
    <row r="5949">
      <c r="A5949" s="157">
        <v>5948.0</v>
      </c>
    </row>
    <row r="5950">
      <c r="A5950" s="157">
        <v>5949.0</v>
      </c>
    </row>
    <row r="5951">
      <c r="A5951" s="157">
        <v>5950.0</v>
      </c>
    </row>
    <row r="5952">
      <c r="A5952" s="157">
        <v>5951.0</v>
      </c>
    </row>
    <row r="5953">
      <c r="A5953" s="157">
        <v>5952.0</v>
      </c>
    </row>
    <row r="5954">
      <c r="A5954" s="157">
        <v>5953.0</v>
      </c>
    </row>
    <row r="5955">
      <c r="A5955" s="157">
        <v>5954.0</v>
      </c>
    </row>
    <row r="5956">
      <c r="A5956" s="157">
        <v>5955.0</v>
      </c>
    </row>
    <row r="5957">
      <c r="A5957" s="157">
        <v>5956.0</v>
      </c>
    </row>
    <row r="5958">
      <c r="A5958" s="157">
        <v>5957.0</v>
      </c>
    </row>
    <row r="5959">
      <c r="A5959" s="157">
        <v>5958.0</v>
      </c>
    </row>
    <row r="5960">
      <c r="A5960" s="157">
        <v>5959.0</v>
      </c>
    </row>
    <row r="5961">
      <c r="A5961" s="157">
        <v>5960.0</v>
      </c>
    </row>
    <row r="5962">
      <c r="A5962" s="157">
        <v>5961.0</v>
      </c>
    </row>
    <row r="5963">
      <c r="A5963" s="157">
        <v>5962.0</v>
      </c>
    </row>
    <row r="5964">
      <c r="A5964" s="157">
        <v>5963.0</v>
      </c>
    </row>
    <row r="5965">
      <c r="A5965" s="157">
        <v>5964.0</v>
      </c>
    </row>
    <row r="5966">
      <c r="A5966" s="157">
        <v>5965.0</v>
      </c>
    </row>
    <row r="5967">
      <c r="A5967" s="157">
        <v>5966.0</v>
      </c>
    </row>
    <row r="5968">
      <c r="A5968" s="157">
        <v>5967.0</v>
      </c>
    </row>
    <row r="5969">
      <c r="A5969" s="157">
        <v>5968.0</v>
      </c>
    </row>
    <row r="5970">
      <c r="A5970" s="157">
        <v>5969.0</v>
      </c>
    </row>
    <row r="5971">
      <c r="A5971" s="157">
        <v>5970.0</v>
      </c>
    </row>
    <row r="5972">
      <c r="A5972" s="157">
        <v>5971.0</v>
      </c>
    </row>
    <row r="5973">
      <c r="A5973" s="157">
        <v>5972.0</v>
      </c>
    </row>
    <row r="5974">
      <c r="A5974" s="157">
        <v>5973.0</v>
      </c>
    </row>
    <row r="5975">
      <c r="A5975" s="157">
        <v>5974.0</v>
      </c>
    </row>
    <row r="5976">
      <c r="A5976" s="157">
        <v>5975.0</v>
      </c>
    </row>
    <row r="5977">
      <c r="A5977" s="157">
        <v>5976.0</v>
      </c>
    </row>
    <row r="5978">
      <c r="A5978" s="157">
        <v>5977.0</v>
      </c>
    </row>
    <row r="5979">
      <c r="A5979" s="157">
        <v>5978.0</v>
      </c>
    </row>
    <row r="5980">
      <c r="A5980" s="157">
        <v>5979.0</v>
      </c>
    </row>
    <row r="5981">
      <c r="A5981" s="157">
        <v>5980.0</v>
      </c>
    </row>
    <row r="5982">
      <c r="A5982" s="157">
        <v>5981.0</v>
      </c>
    </row>
    <row r="5983">
      <c r="A5983" s="157">
        <v>5982.0</v>
      </c>
    </row>
    <row r="5984">
      <c r="A5984" s="157">
        <v>5983.0</v>
      </c>
    </row>
    <row r="5985">
      <c r="A5985" s="157">
        <v>5984.0</v>
      </c>
    </row>
    <row r="5986">
      <c r="A5986" s="157">
        <v>5985.0</v>
      </c>
    </row>
    <row r="5987">
      <c r="A5987" s="157">
        <v>5986.0</v>
      </c>
    </row>
    <row r="5988">
      <c r="A5988" s="157">
        <v>5987.0</v>
      </c>
    </row>
    <row r="5989">
      <c r="A5989" s="157">
        <v>5988.0</v>
      </c>
    </row>
    <row r="5990">
      <c r="A5990" s="157">
        <v>5989.0</v>
      </c>
    </row>
    <row r="5991">
      <c r="A5991" s="157">
        <v>5990.0</v>
      </c>
    </row>
    <row r="5992">
      <c r="A5992" s="157">
        <v>5991.0</v>
      </c>
    </row>
    <row r="5993">
      <c r="A5993" s="157">
        <v>5992.0</v>
      </c>
    </row>
    <row r="5994">
      <c r="A5994" s="157">
        <v>5993.0</v>
      </c>
    </row>
    <row r="5995">
      <c r="A5995" s="157">
        <v>5994.0</v>
      </c>
    </row>
    <row r="5996">
      <c r="A5996" s="157">
        <v>5995.0</v>
      </c>
    </row>
    <row r="5997">
      <c r="A5997" s="157">
        <v>5996.0</v>
      </c>
    </row>
    <row r="5998">
      <c r="A5998" s="157">
        <v>5997.0</v>
      </c>
    </row>
    <row r="5999">
      <c r="A5999" s="157">
        <v>5998.0</v>
      </c>
    </row>
    <row r="6000">
      <c r="A6000" s="157">
        <v>5999.0</v>
      </c>
    </row>
    <row r="6001">
      <c r="A6001" s="157">
        <v>6000.0</v>
      </c>
    </row>
    <row r="6002">
      <c r="A6002" s="157">
        <v>6001.0</v>
      </c>
    </row>
    <row r="6003">
      <c r="A6003" s="157">
        <v>6002.0</v>
      </c>
    </row>
    <row r="6004">
      <c r="A6004" s="157">
        <v>6003.0</v>
      </c>
    </row>
    <row r="6005">
      <c r="A6005" s="157">
        <v>6004.0</v>
      </c>
    </row>
    <row r="6006">
      <c r="A6006" s="157">
        <v>6005.0</v>
      </c>
    </row>
    <row r="6007">
      <c r="A6007" s="157">
        <v>6006.0</v>
      </c>
    </row>
    <row r="6008">
      <c r="A6008" s="157">
        <v>6007.0</v>
      </c>
    </row>
    <row r="6009">
      <c r="A6009" s="157">
        <v>6008.0</v>
      </c>
    </row>
    <row r="6010">
      <c r="A6010" s="157">
        <v>6009.0</v>
      </c>
    </row>
    <row r="6011">
      <c r="A6011" s="157">
        <v>6010.0</v>
      </c>
    </row>
    <row r="6012">
      <c r="A6012" s="157">
        <v>6011.0</v>
      </c>
    </row>
    <row r="6013">
      <c r="A6013" s="157">
        <v>6012.0</v>
      </c>
    </row>
    <row r="6014">
      <c r="A6014" s="157">
        <v>6013.0</v>
      </c>
    </row>
    <row r="6015">
      <c r="A6015" s="157">
        <v>6014.0</v>
      </c>
    </row>
    <row r="6016">
      <c r="A6016" s="157">
        <v>6015.0</v>
      </c>
    </row>
    <row r="6017">
      <c r="A6017" s="157">
        <v>6016.0</v>
      </c>
    </row>
    <row r="6018">
      <c r="A6018" s="157">
        <v>6017.0</v>
      </c>
    </row>
    <row r="6019">
      <c r="A6019" s="157">
        <v>6018.0</v>
      </c>
    </row>
    <row r="6020">
      <c r="A6020" s="157">
        <v>6019.0</v>
      </c>
    </row>
    <row r="6021">
      <c r="A6021" s="157">
        <v>6020.0</v>
      </c>
    </row>
    <row r="6022">
      <c r="A6022" s="157">
        <v>6021.0</v>
      </c>
    </row>
    <row r="6023">
      <c r="A6023" s="157">
        <v>6022.0</v>
      </c>
    </row>
    <row r="6024">
      <c r="A6024" s="157">
        <v>6023.0</v>
      </c>
    </row>
    <row r="6025">
      <c r="A6025" s="157">
        <v>6024.0</v>
      </c>
    </row>
    <row r="6026">
      <c r="A6026" s="157">
        <v>6025.0</v>
      </c>
    </row>
    <row r="6027">
      <c r="A6027" s="157">
        <v>6026.0</v>
      </c>
    </row>
    <row r="6028">
      <c r="A6028" s="157">
        <v>6027.0</v>
      </c>
    </row>
    <row r="6029">
      <c r="A6029" s="157">
        <v>6028.0</v>
      </c>
    </row>
    <row r="6030">
      <c r="A6030" s="157">
        <v>6029.0</v>
      </c>
    </row>
    <row r="6031">
      <c r="A6031" s="157">
        <v>6030.0</v>
      </c>
    </row>
    <row r="6032">
      <c r="A6032" s="157">
        <v>6031.0</v>
      </c>
    </row>
    <row r="6033">
      <c r="A6033" s="157">
        <v>6032.0</v>
      </c>
    </row>
    <row r="6034">
      <c r="A6034" s="157">
        <v>6033.0</v>
      </c>
    </row>
    <row r="6035">
      <c r="A6035" s="157">
        <v>6034.0</v>
      </c>
    </row>
    <row r="6036">
      <c r="A6036" s="157">
        <v>6035.0</v>
      </c>
    </row>
    <row r="6037">
      <c r="A6037" s="157">
        <v>6036.0</v>
      </c>
    </row>
    <row r="6038">
      <c r="A6038" s="157">
        <v>6037.0</v>
      </c>
    </row>
    <row r="6039">
      <c r="A6039" s="157">
        <v>6038.0</v>
      </c>
    </row>
    <row r="6040">
      <c r="A6040" s="157">
        <v>6039.0</v>
      </c>
    </row>
    <row r="6041">
      <c r="A6041" s="157">
        <v>6040.0</v>
      </c>
    </row>
    <row r="6042">
      <c r="A6042" s="157">
        <v>6041.0</v>
      </c>
    </row>
    <row r="6043">
      <c r="A6043" s="157">
        <v>6042.0</v>
      </c>
    </row>
    <row r="6044">
      <c r="A6044" s="157">
        <v>6043.0</v>
      </c>
    </row>
    <row r="6045">
      <c r="A6045" s="157">
        <v>6044.0</v>
      </c>
    </row>
    <row r="6046">
      <c r="A6046" s="157">
        <v>6045.0</v>
      </c>
    </row>
    <row r="6047">
      <c r="A6047" s="157">
        <v>6046.0</v>
      </c>
    </row>
    <row r="6048">
      <c r="A6048" s="157">
        <v>6047.0</v>
      </c>
    </row>
    <row r="6049">
      <c r="A6049" s="157">
        <v>6048.0</v>
      </c>
    </row>
    <row r="6050">
      <c r="A6050" s="157">
        <v>6049.0</v>
      </c>
    </row>
    <row r="6051">
      <c r="A6051" s="157">
        <v>6050.0</v>
      </c>
    </row>
    <row r="6052">
      <c r="A6052" s="157">
        <v>6051.0</v>
      </c>
    </row>
    <row r="6053">
      <c r="A6053" s="157">
        <v>6052.0</v>
      </c>
    </row>
    <row r="6054">
      <c r="A6054" s="157">
        <v>6053.0</v>
      </c>
    </row>
    <row r="6055">
      <c r="A6055" s="157">
        <v>6054.0</v>
      </c>
    </row>
    <row r="6056">
      <c r="A6056" s="157">
        <v>6055.0</v>
      </c>
    </row>
    <row r="6057">
      <c r="A6057" s="157">
        <v>6056.0</v>
      </c>
    </row>
    <row r="6058">
      <c r="A6058" s="157">
        <v>6057.0</v>
      </c>
    </row>
    <row r="6059">
      <c r="A6059" s="157">
        <v>6058.0</v>
      </c>
    </row>
    <row r="6060">
      <c r="A6060" s="157">
        <v>6059.0</v>
      </c>
    </row>
    <row r="6061">
      <c r="A6061" s="157">
        <v>6060.0</v>
      </c>
    </row>
    <row r="6062">
      <c r="A6062" s="157">
        <v>6061.0</v>
      </c>
    </row>
    <row r="6063">
      <c r="A6063" s="157">
        <v>6062.0</v>
      </c>
    </row>
    <row r="6064">
      <c r="A6064" s="157">
        <v>6063.0</v>
      </c>
    </row>
    <row r="6065">
      <c r="A6065" s="157">
        <v>6064.0</v>
      </c>
    </row>
    <row r="6066">
      <c r="A6066" s="157">
        <v>6065.0</v>
      </c>
    </row>
    <row r="6067">
      <c r="A6067" s="157">
        <v>6066.0</v>
      </c>
    </row>
    <row r="6068">
      <c r="A6068" s="157">
        <v>6067.0</v>
      </c>
    </row>
    <row r="6069">
      <c r="A6069" s="157">
        <v>6068.0</v>
      </c>
    </row>
    <row r="6070">
      <c r="A6070" s="157">
        <v>6069.0</v>
      </c>
    </row>
    <row r="6071">
      <c r="A6071" s="157">
        <v>6070.0</v>
      </c>
    </row>
    <row r="6072">
      <c r="A6072" s="157">
        <v>6071.0</v>
      </c>
    </row>
    <row r="6073">
      <c r="A6073" s="157">
        <v>6072.0</v>
      </c>
    </row>
    <row r="6074">
      <c r="A6074" s="157">
        <v>6073.0</v>
      </c>
    </row>
    <row r="6075">
      <c r="A6075" s="157">
        <v>6074.0</v>
      </c>
    </row>
    <row r="6076">
      <c r="A6076" s="157">
        <v>6075.0</v>
      </c>
    </row>
    <row r="6077">
      <c r="A6077" s="157">
        <v>6076.0</v>
      </c>
    </row>
    <row r="6078">
      <c r="A6078" s="157">
        <v>6077.0</v>
      </c>
    </row>
    <row r="6079">
      <c r="A6079" s="157">
        <v>6078.0</v>
      </c>
    </row>
    <row r="6080">
      <c r="A6080" s="157">
        <v>6079.0</v>
      </c>
    </row>
    <row r="6081">
      <c r="A6081" s="157">
        <v>6080.0</v>
      </c>
    </row>
    <row r="6082">
      <c r="A6082" s="157">
        <v>6081.0</v>
      </c>
    </row>
    <row r="6083">
      <c r="A6083" s="157">
        <v>6082.0</v>
      </c>
    </row>
    <row r="6084">
      <c r="A6084" s="157">
        <v>6083.0</v>
      </c>
    </row>
    <row r="6085">
      <c r="A6085" s="157">
        <v>6084.0</v>
      </c>
    </row>
    <row r="6086">
      <c r="A6086" s="157">
        <v>6085.0</v>
      </c>
    </row>
    <row r="6087">
      <c r="A6087" s="157">
        <v>6086.0</v>
      </c>
    </row>
    <row r="6088">
      <c r="A6088" s="157">
        <v>6087.0</v>
      </c>
    </row>
    <row r="6089">
      <c r="A6089" s="157">
        <v>6088.0</v>
      </c>
    </row>
    <row r="6090">
      <c r="A6090" s="157">
        <v>6089.0</v>
      </c>
    </row>
    <row r="6091">
      <c r="A6091" s="157">
        <v>6090.0</v>
      </c>
    </row>
    <row r="6092">
      <c r="A6092" s="157">
        <v>6091.0</v>
      </c>
    </row>
    <row r="6093">
      <c r="A6093" s="157">
        <v>6092.0</v>
      </c>
    </row>
    <row r="6094">
      <c r="A6094" s="157">
        <v>6093.0</v>
      </c>
    </row>
    <row r="6095">
      <c r="A6095" s="157">
        <v>6094.0</v>
      </c>
    </row>
    <row r="6096">
      <c r="A6096" s="157">
        <v>6095.0</v>
      </c>
    </row>
    <row r="6097">
      <c r="A6097" s="157">
        <v>6096.0</v>
      </c>
    </row>
    <row r="6098">
      <c r="A6098" s="157">
        <v>6097.0</v>
      </c>
    </row>
    <row r="6099">
      <c r="A6099" s="157">
        <v>6098.0</v>
      </c>
    </row>
    <row r="6100">
      <c r="A6100" s="157">
        <v>6099.0</v>
      </c>
    </row>
    <row r="6101">
      <c r="A6101" s="157">
        <v>6100.0</v>
      </c>
    </row>
    <row r="6102">
      <c r="A6102" s="157">
        <v>6101.0</v>
      </c>
    </row>
    <row r="6103">
      <c r="A6103" s="157">
        <v>6102.0</v>
      </c>
    </row>
    <row r="6104">
      <c r="A6104" s="157">
        <v>6103.0</v>
      </c>
    </row>
    <row r="6105">
      <c r="A6105" s="157">
        <v>6104.0</v>
      </c>
    </row>
    <row r="6106">
      <c r="A6106" s="157">
        <v>6105.0</v>
      </c>
    </row>
    <row r="6107">
      <c r="A6107" s="157">
        <v>6106.0</v>
      </c>
    </row>
    <row r="6108">
      <c r="A6108" s="157">
        <v>6107.0</v>
      </c>
    </row>
    <row r="6109">
      <c r="A6109" s="157">
        <v>6108.0</v>
      </c>
    </row>
    <row r="6110">
      <c r="A6110" s="157">
        <v>6109.0</v>
      </c>
    </row>
    <row r="6111">
      <c r="A6111" s="157">
        <v>6110.0</v>
      </c>
    </row>
    <row r="6112">
      <c r="A6112" s="157">
        <v>6111.0</v>
      </c>
    </row>
    <row r="6113">
      <c r="A6113" s="157">
        <v>6112.0</v>
      </c>
    </row>
    <row r="6114">
      <c r="A6114" s="157">
        <v>6113.0</v>
      </c>
    </row>
    <row r="6115">
      <c r="A6115" s="157">
        <v>6114.0</v>
      </c>
    </row>
    <row r="6116">
      <c r="A6116" s="157">
        <v>6115.0</v>
      </c>
    </row>
    <row r="6117">
      <c r="A6117" s="157">
        <v>6116.0</v>
      </c>
    </row>
    <row r="6118">
      <c r="A6118" s="157">
        <v>6117.0</v>
      </c>
    </row>
    <row r="6119">
      <c r="A6119" s="157">
        <v>6118.0</v>
      </c>
    </row>
    <row r="6120">
      <c r="A6120" s="157">
        <v>6119.0</v>
      </c>
    </row>
    <row r="6121">
      <c r="A6121" s="157">
        <v>6120.0</v>
      </c>
    </row>
    <row r="6122">
      <c r="A6122" s="157">
        <v>6121.0</v>
      </c>
    </row>
    <row r="6123">
      <c r="A6123" s="157">
        <v>6122.0</v>
      </c>
    </row>
    <row r="6124">
      <c r="A6124" s="157">
        <v>6123.0</v>
      </c>
    </row>
    <row r="6125">
      <c r="A6125" s="157">
        <v>6124.0</v>
      </c>
    </row>
    <row r="6126">
      <c r="A6126" s="157">
        <v>6125.0</v>
      </c>
    </row>
    <row r="6127">
      <c r="A6127" s="157">
        <v>6126.0</v>
      </c>
    </row>
    <row r="6128">
      <c r="A6128" s="157">
        <v>6127.0</v>
      </c>
    </row>
    <row r="6129">
      <c r="A6129" s="157">
        <v>6128.0</v>
      </c>
    </row>
    <row r="6130">
      <c r="A6130" s="157">
        <v>6129.0</v>
      </c>
    </row>
    <row r="6131">
      <c r="A6131" s="157">
        <v>6130.0</v>
      </c>
    </row>
    <row r="6132">
      <c r="A6132" s="157">
        <v>6131.0</v>
      </c>
    </row>
    <row r="6133">
      <c r="A6133" s="157">
        <v>6132.0</v>
      </c>
    </row>
    <row r="6134">
      <c r="A6134" s="157">
        <v>6133.0</v>
      </c>
    </row>
    <row r="6135">
      <c r="A6135" s="157">
        <v>6134.0</v>
      </c>
    </row>
    <row r="6136">
      <c r="A6136" s="157">
        <v>6135.0</v>
      </c>
    </row>
    <row r="6137">
      <c r="A6137" s="157">
        <v>6136.0</v>
      </c>
    </row>
    <row r="6138">
      <c r="A6138" s="157">
        <v>6137.0</v>
      </c>
    </row>
    <row r="6139">
      <c r="A6139" s="157">
        <v>6138.0</v>
      </c>
    </row>
    <row r="6140">
      <c r="A6140" s="157">
        <v>6139.0</v>
      </c>
    </row>
    <row r="6141">
      <c r="A6141" s="157">
        <v>6140.0</v>
      </c>
    </row>
    <row r="6142">
      <c r="A6142" s="157">
        <v>6141.0</v>
      </c>
    </row>
    <row r="6143">
      <c r="A6143" s="157">
        <v>6142.0</v>
      </c>
    </row>
    <row r="6144">
      <c r="A6144" s="157">
        <v>6143.0</v>
      </c>
    </row>
    <row r="6145">
      <c r="A6145" s="157">
        <v>6144.0</v>
      </c>
    </row>
    <row r="6146">
      <c r="A6146" s="157">
        <v>6145.0</v>
      </c>
    </row>
    <row r="6147">
      <c r="A6147" s="157">
        <v>6146.0</v>
      </c>
    </row>
    <row r="6148">
      <c r="A6148" s="157">
        <v>6147.0</v>
      </c>
    </row>
    <row r="6149">
      <c r="A6149" s="157">
        <v>6148.0</v>
      </c>
    </row>
    <row r="6150">
      <c r="A6150" s="157">
        <v>6149.0</v>
      </c>
    </row>
    <row r="6151">
      <c r="A6151" s="157">
        <v>6150.0</v>
      </c>
    </row>
    <row r="6152">
      <c r="A6152" s="157">
        <v>6151.0</v>
      </c>
    </row>
    <row r="6153">
      <c r="A6153" s="157">
        <v>6152.0</v>
      </c>
    </row>
    <row r="6154">
      <c r="A6154" s="157">
        <v>6153.0</v>
      </c>
    </row>
    <row r="6155">
      <c r="A6155" s="157">
        <v>6154.0</v>
      </c>
    </row>
    <row r="6156">
      <c r="A6156" s="157">
        <v>6155.0</v>
      </c>
    </row>
    <row r="6157">
      <c r="A6157" s="157">
        <v>6156.0</v>
      </c>
    </row>
    <row r="6158">
      <c r="A6158" s="157">
        <v>6157.0</v>
      </c>
    </row>
    <row r="6159">
      <c r="A6159" s="157">
        <v>6158.0</v>
      </c>
    </row>
    <row r="6160">
      <c r="A6160" s="157">
        <v>6159.0</v>
      </c>
    </row>
    <row r="6161">
      <c r="A6161" s="157">
        <v>6160.0</v>
      </c>
    </row>
    <row r="6162">
      <c r="A6162" s="157">
        <v>6161.0</v>
      </c>
    </row>
    <row r="6163">
      <c r="A6163" s="157">
        <v>6162.0</v>
      </c>
    </row>
    <row r="6164">
      <c r="A6164" s="157">
        <v>6163.0</v>
      </c>
    </row>
    <row r="6165">
      <c r="A6165" s="157">
        <v>6164.0</v>
      </c>
    </row>
    <row r="6166">
      <c r="A6166" s="157">
        <v>6165.0</v>
      </c>
    </row>
    <row r="6167">
      <c r="A6167" s="157">
        <v>6166.0</v>
      </c>
    </row>
    <row r="6168">
      <c r="A6168" s="157">
        <v>6167.0</v>
      </c>
    </row>
    <row r="6169">
      <c r="A6169" s="157">
        <v>6168.0</v>
      </c>
    </row>
    <row r="6170">
      <c r="A6170" s="157">
        <v>6169.0</v>
      </c>
    </row>
    <row r="6171">
      <c r="A6171" s="157">
        <v>6170.0</v>
      </c>
    </row>
    <row r="6172">
      <c r="A6172" s="157">
        <v>6171.0</v>
      </c>
    </row>
    <row r="6173">
      <c r="A6173" s="157">
        <v>6172.0</v>
      </c>
    </row>
    <row r="6174">
      <c r="A6174" s="157">
        <v>6173.0</v>
      </c>
    </row>
    <row r="6175">
      <c r="A6175" s="157">
        <v>6174.0</v>
      </c>
    </row>
    <row r="6176">
      <c r="A6176" s="157">
        <v>6175.0</v>
      </c>
    </row>
    <row r="6177">
      <c r="A6177" s="157">
        <v>6176.0</v>
      </c>
    </row>
    <row r="6178">
      <c r="A6178" s="157">
        <v>6177.0</v>
      </c>
    </row>
    <row r="6179">
      <c r="A6179" s="157">
        <v>6178.0</v>
      </c>
    </row>
    <row r="6180">
      <c r="A6180" s="157">
        <v>6179.0</v>
      </c>
    </row>
    <row r="6181">
      <c r="A6181" s="157">
        <v>6180.0</v>
      </c>
    </row>
    <row r="6182">
      <c r="A6182" s="157">
        <v>6181.0</v>
      </c>
    </row>
    <row r="6183">
      <c r="A6183" s="157">
        <v>6182.0</v>
      </c>
    </row>
    <row r="6184">
      <c r="A6184" s="157">
        <v>6183.0</v>
      </c>
    </row>
    <row r="6185">
      <c r="A6185" s="157">
        <v>6184.0</v>
      </c>
    </row>
    <row r="6186">
      <c r="A6186" s="157">
        <v>6185.0</v>
      </c>
    </row>
    <row r="6187">
      <c r="A6187" s="157">
        <v>6186.0</v>
      </c>
    </row>
    <row r="6188">
      <c r="A6188" s="157">
        <v>6187.0</v>
      </c>
    </row>
    <row r="6189">
      <c r="A6189" s="157">
        <v>6188.0</v>
      </c>
    </row>
    <row r="6190">
      <c r="A6190" s="157">
        <v>6189.0</v>
      </c>
    </row>
    <row r="6191">
      <c r="A6191" s="157">
        <v>6190.0</v>
      </c>
    </row>
    <row r="6192">
      <c r="A6192" s="157">
        <v>6191.0</v>
      </c>
    </row>
    <row r="6193">
      <c r="A6193" s="157">
        <v>6192.0</v>
      </c>
    </row>
    <row r="6194">
      <c r="A6194" s="157">
        <v>6193.0</v>
      </c>
    </row>
    <row r="6195">
      <c r="A6195" s="157">
        <v>6194.0</v>
      </c>
    </row>
    <row r="6196">
      <c r="A6196" s="157">
        <v>6195.0</v>
      </c>
    </row>
    <row r="6197">
      <c r="A6197" s="157">
        <v>6196.0</v>
      </c>
    </row>
    <row r="6198">
      <c r="A6198" s="157">
        <v>6197.0</v>
      </c>
    </row>
    <row r="6199">
      <c r="A6199" s="157">
        <v>6198.0</v>
      </c>
    </row>
    <row r="6200">
      <c r="A6200" s="157">
        <v>6199.0</v>
      </c>
    </row>
    <row r="6201">
      <c r="A6201" s="157">
        <v>6200.0</v>
      </c>
    </row>
    <row r="6202">
      <c r="A6202" s="157">
        <v>6201.0</v>
      </c>
    </row>
    <row r="6203">
      <c r="A6203" s="157">
        <v>6202.0</v>
      </c>
    </row>
    <row r="6204">
      <c r="A6204" s="157">
        <v>6203.0</v>
      </c>
    </row>
    <row r="6205">
      <c r="A6205" s="157">
        <v>6204.0</v>
      </c>
    </row>
    <row r="6206">
      <c r="A6206" s="157">
        <v>6205.0</v>
      </c>
    </row>
    <row r="6207">
      <c r="A6207" s="157">
        <v>6206.0</v>
      </c>
    </row>
    <row r="6208">
      <c r="A6208" s="157">
        <v>6207.0</v>
      </c>
    </row>
    <row r="6209">
      <c r="A6209" s="157">
        <v>6208.0</v>
      </c>
    </row>
    <row r="6210">
      <c r="A6210" s="157">
        <v>6209.0</v>
      </c>
    </row>
    <row r="6211">
      <c r="A6211" s="157">
        <v>6210.0</v>
      </c>
    </row>
    <row r="6212">
      <c r="A6212" s="157">
        <v>6211.0</v>
      </c>
    </row>
    <row r="6213">
      <c r="A6213" s="157">
        <v>6212.0</v>
      </c>
    </row>
    <row r="6214">
      <c r="A6214" s="157">
        <v>6213.0</v>
      </c>
    </row>
    <row r="6215">
      <c r="A6215" s="157">
        <v>6214.0</v>
      </c>
    </row>
    <row r="6216">
      <c r="A6216" s="157">
        <v>6215.0</v>
      </c>
    </row>
    <row r="6217">
      <c r="A6217" s="157">
        <v>6216.0</v>
      </c>
    </row>
    <row r="6218">
      <c r="A6218" s="157">
        <v>6217.0</v>
      </c>
    </row>
    <row r="6219">
      <c r="A6219" s="157">
        <v>6218.0</v>
      </c>
    </row>
    <row r="6220">
      <c r="A6220" s="157">
        <v>6219.0</v>
      </c>
    </row>
    <row r="6221">
      <c r="A6221" s="157">
        <v>6220.0</v>
      </c>
    </row>
    <row r="6222">
      <c r="A6222" s="157">
        <v>6221.0</v>
      </c>
    </row>
    <row r="6223">
      <c r="A6223" s="157">
        <v>6222.0</v>
      </c>
    </row>
    <row r="6224">
      <c r="A6224" s="157">
        <v>6223.0</v>
      </c>
    </row>
    <row r="6225">
      <c r="A6225" s="157">
        <v>6224.0</v>
      </c>
    </row>
    <row r="6226">
      <c r="A6226" s="157">
        <v>6225.0</v>
      </c>
    </row>
    <row r="6227">
      <c r="A6227" s="157">
        <v>6226.0</v>
      </c>
    </row>
    <row r="6228">
      <c r="A6228" s="157">
        <v>6227.0</v>
      </c>
    </row>
    <row r="6229">
      <c r="A6229" s="157">
        <v>6228.0</v>
      </c>
    </row>
    <row r="6230">
      <c r="A6230" s="157">
        <v>6229.0</v>
      </c>
    </row>
    <row r="6231">
      <c r="A6231" s="157">
        <v>6230.0</v>
      </c>
    </row>
    <row r="6232">
      <c r="A6232" s="157">
        <v>6231.0</v>
      </c>
    </row>
    <row r="6233">
      <c r="A6233" s="157">
        <v>6232.0</v>
      </c>
    </row>
    <row r="6234">
      <c r="A6234" s="157">
        <v>6233.0</v>
      </c>
    </row>
    <row r="6235">
      <c r="A6235" s="157">
        <v>6234.0</v>
      </c>
    </row>
    <row r="6236">
      <c r="A6236" s="157">
        <v>6235.0</v>
      </c>
    </row>
    <row r="6237">
      <c r="A6237" s="157">
        <v>6236.0</v>
      </c>
    </row>
    <row r="6238">
      <c r="A6238" s="157">
        <v>6237.0</v>
      </c>
    </row>
    <row r="6239">
      <c r="A6239" s="157">
        <v>6238.0</v>
      </c>
    </row>
    <row r="6240">
      <c r="A6240" s="157">
        <v>6239.0</v>
      </c>
    </row>
    <row r="6241">
      <c r="A6241" s="157">
        <v>6240.0</v>
      </c>
    </row>
    <row r="6242">
      <c r="A6242" s="157">
        <v>6241.0</v>
      </c>
    </row>
    <row r="6243">
      <c r="A6243" s="157">
        <v>6242.0</v>
      </c>
    </row>
    <row r="6244">
      <c r="A6244" s="157">
        <v>6243.0</v>
      </c>
    </row>
    <row r="6245">
      <c r="A6245" s="157">
        <v>6244.0</v>
      </c>
    </row>
    <row r="6246">
      <c r="A6246" s="157">
        <v>6245.0</v>
      </c>
    </row>
    <row r="6247">
      <c r="A6247" s="157">
        <v>6246.0</v>
      </c>
    </row>
    <row r="6248">
      <c r="A6248" s="157">
        <v>6247.0</v>
      </c>
    </row>
    <row r="6249">
      <c r="A6249" s="157">
        <v>6248.0</v>
      </c>
    </row>
    <row r="6250">
      <c r="A6250" s="157">
        <v>6249.0</v>
      </c>
    </row>
    <row r="6251">
      <c r="A6251" s="157">
        <v>6250.0</v>
      </c>
    </row>
    <row r="6252">
      <c r="A6252" s="157">
        <v>6251.0</v>
      </c>
    </row>
    <row r="6253">
      <c r="A6253" s="157">
        <v>6252.0</v>
      </c>
    </row>
    <row r="6254">
      <c r="A6254" s="157">
        <v>6253.0</v>
      </c>
    </row>
    <row r="6255">
      <c r="A6255" s="157">
        <v>6254.0</v>
      </c>
    </row>
    <row r="6256">
      <c r="A6256" s="157">
        <v>6255.0</v>
      </c>
    </row>
    <row r="6257">
      <c r="A6257" s="157">
        <v>6256.0</v>
      </c>
    </row>
    <row r="6258">
      <c r="A6258" s="157">
        <v>6257.0</v>
      </c>
    </row>
    <row r="6259">
      <c r="A6259" s="157">
        <v>6258.0</v>
      </c>
    </row>
    <row r="6260">
      <c r="A6260" s="157">
        <v>6259.0</v>
      </c>
    </row>
    <row r="6261">
      <c r="A6261" s="157">
        <v>6260.0</v>
      </c>
    </row>
    <row r="6262">
      <c r="A6262" s="157">
        <v>6261.0</v>
      </c>
    </row>
    <row r="6263">
      <c r="A6263" s="157">
        <v>6262.0</v>
      </c>
    </row>
    <row r="6264">
      <c r="A6264" s="157">
        <v>6263.0</v>
      </c>
    </row>
    <row r="6265">
      <c r="A6265" s="157">
        <v>6264.0</v>
      </c>
    </row>
    <row r="6266">
      <c r="A6266" s="157">
        <v>6265.0</v>
      </c>
    </row>
    <row r="6267">
      <c r="A6267" s="157">
        <v>6266.0</v>
      </c>
    </row>
    <row r="6268">
      <c r="A6268" s="157">
        <v>6267.0</v>
      </c>
    </row>
    <row r="6269">
      <c r="A6269" s="157">
        <v>6268.0</v>
      </c>
    </row>
    <row r="6270">
      <c r="A6270" s="157">
        <v>6269.0</v>
      </c>
    </row>
    <row r="6271">
      <c r="A6271" s="157">
        <v>6270.0</v>
      </c>
    </row>
    <row r="6272">
      <c r="A6272" s="157">
        <v>6271.0</v>
      </c>
    </row>
    <row r="6273">
      <c r="A6273" s="157">
        <v>6272.0</v>
      </c>
    </row>
    <row r="6274">
      <c r="A6274" s="157">
        <v>6273.0</v>
      </c>
    </row>
    <row r="6275">
      <c r="A6275" s="157">
        <v>6274.0</v>
      </c>
    </row>
    <row r="6276">
      <c r="A6276" s="157">
        <v>6275.0</v>
      </c>
    </row>
    <row r="6277">
      <c r="A6277" s="157">
        <v>6276.0</v>
      </c>
    </row>
    <row r="6278">
      <c r="A6278" s="157">
        <v>6277.0</v>
      </c>
    </row>
    <row r="6279">
      <c r="A6279" s="157">
        <v>6278.0</v>
      </c>
    </row>
    <row r="6280">
      <c r="A6280" s="157">
        <v>6279.0</v>
      </c>
    </row>
    <row r="6281">
      <c r="A6281" s="157">
        <v>6280.0</v>
      </c>
    </row>
    <row r="6282">
      <c r="A6282" s="157">
        <v>6281.0</v>
      </c>
    </row>
    <row r="6283">
      <c r="A6283" s="157">
        <v>6282.0</v>
      </c>
    </row>
    <row r="6284">
      <c r="A6284" s="157">
        <v>6283.0</v>
      </c>
    </row>
    <row r="6285">
      <c r="A6285" s="157">
        <v>6284.0</v>
      </c>
    </row>
    <row r="6286">
      <c r="A6286" s="157">
        <v>6285.0</v>
      </c>
    </row>
    <row r="6287">
      <c r="A6287" s="157">
        <v>6286.0</v>
      </c>
    </row>
    <row r="6288">
      <c r="A6288" s="157">
        <v>6287.0</v>
      </c>
    </row>
    <row r="6289">
      <c r="A6289" s="157">
        <v>6288.0</v>
      </c>
    </row>
    <row r="6290">
      <c r="A6290" s="157">
        <v>6289.0</v>
      </c>
    </row>
    <row r="6291">
      <c r="A6291" s="157">
        <v>6290.0</v>
      </c>
    </row>
    <row r="6292">
      <c r="A6292" s="157">
        <v>6291.0</v>
      </c>
    </row>
    <row r="6293">
      <c r="A6293" s="157">
        <v>6292.0</v>
      </c>
    </row>
    <row r="6294">
      <c r="A6294" s="157">
        <v>6293.0</v>
      </c>
    </row>
    <row r="6295">
      <c r="A6295" s="157">
        <v>6294.0</v>
      </c>
    </row>
    <row r="6296">
      <c r="A6296" s="157">
        <v>6295.0</v>
      </c>
    </row>
    <row r="6297">
      <c r="A6297" s="157">
        <v>6296.0</v>
      </c>
    </row>
    <row r="6298">
      <c r="A6298" s="157">
        <v>6297.0</v>
      </c>
    </row>
    <row r="6299">
      <c r="A6299" s="157">
        <v>6298.0</v>
      </c>
    </row>
    <row r="6300">
      <c r="A6300" s="157">
        <v>6299.0</v>
      </c>
    </row>
    <row r="6301">
      <c r="A6301" s="157">
        <v>6300.0</v>
      </c>
    </row>
    <row r="6302">
      <c r="A6302" s="157">
        <v>6301.0</v>
      </c>
    </row>
    <row r="6303">
      <c r="A6303" s="157">
        <v>6302.0</v>
      </c>
    </row>
    <row r="6304">
      <c r="A6304" s="157">
        <v>6303.0</v>
      </c>
    </row>
    <row r="6305">
      <c r="A6305" s="157">
        <v>6304.0</v>
      </c>
    </row>
    <row r="6306">
      <c r="A6306" s="157">
        <v>6305.0</v>
      </c>
    </row>
    <row r="6307">
      <c r="A6307" s="157">
        <v>6306.0</v>
      </c>
    </row>
    <row r="6308">
      <c r="A6308" s="157">
        <v>6307.0</v>
      </c>
    </row>
    <row r="6309">
      <c r="A6309" s="157">
        <v>6308.0</v>
      </c>
    </row>
    <row r="6310">
      <c r="A6310" s="157">
        <v>6309.0</v>
      </c>
    </row>
    <row r="6311">
      <c r="A6311" s="157">
        <v>6310.0</v>
      </c>
    </row>
    <row r="6312">
      <c r="A6312" s="157">
        <v>6311.0</v>
      </c>
    </row>
    <row r="6313">
      <c r="A6313" s="157">
        <v>6312.0</v>
      </c>
    </row>
    <row r="6314">
      <c r="A6314" s="157">
        <v>6313.0</v>
      </c>
    </row>
    <row r="6315">
      <c r="A6315" s="157">
        <v>6314.0</v>
      </c>
    </row>
    <row r="6316">
      <c r="A6316" s="157">
        <v>6315.0</v>
      </c>
    </row>
    <row r="6317">
      <c r="A6317" s="157">
        <v>6316.0</v>
      </c>
    </row>
    <row r="6318">
      <c r="A6318" s="157">
        <v>6317.0</v>
      </c>
    </row>
    <row r="6319">
      <c r="A6319" s="157">
        <v>6318.0</v>
      </c>
    </row>
    <row r="6320">
      <c r="A6320" s="157">
        <v>6319.0</v>
      </c>
    </row>
    <row r="6321">
      <c r="A6321" s="157">
        <v>6320.0</v>
      </c>
    </row>
    <row r="6322">
      <c r="A6322" s="157">
        <v>6321.0</v>
      </c>
    </row>
    <row r="6323">
      <c r="A6323" s="157">
        <v>6322.0</v>
      </c>
    </row>
    <row r="6324">
      <c r="A6324" s="157">
        <v>6323.0</v>
      </c>
    </row>
    <row r="6325">
      <c r="A6325" s="157">
        <v>6324.0</v>
      </c>
    </row>
    <row r="6326">
      <c r="A6326" s="157">
        <v>6325.0</v>
      </c>
    </row>
    <row r="6327">
      <c r="A6327" s="157">
        <v>6326.0</v>
      </c>
    </row>
    <row r="6328">
      <c r="A6328" s="157">
        <v>6327.0</v>
      </c>
    </row>
    <row r="6329">
      <c r="A6329" s="157">
        <v>6328.0</v>
      </c>
    </row>
    <row r="6330">
      <c r="A6330" s="157">
        <v>6329.0</v>
      </c>
    </row>
    <row r="6331">
      <c r="A6331" s="157">
        <v>6330.0</v>
      </c>
    </row>
    <row r="6332">
      <c r="A6332" s="157">
        <v>6331.0</v>
      </c>
    </row>
    <row r="6333">
      <c r="A6333" s="157">
        <v>6332.0</v>
      </c>
    </row>
    <row r="6334">
      <c r="A6334" s="157">
        <v>6333.0</v>
      </c>
    </row>
    <row r="6335">
      <c r="A6335" s="157">
        <v>6334.0</v>
      </c>
    </row>
    <row r="6336">
      <c r="A6336" s="157">
        <v>6335.0</v>
      </c>
    </row>
    <row r="6337">
      <c r="A6337" s="157">
        <v>6336.0</v>
      </c>
    </row>
    <row r="6338">
      <c r="A6338" s="157">
        <v>6337.0</v>
      </c>
    </row>
    <row r="6339">
      <c r="A6339" s="157">
        <v>6338.0</v>
      </c>
    </row>
    <row r="6340">
      <c r="A6340" s="157">
        <v>6339.0</v>
      </c>
    </row>
    <row r="6341">
      <c r="A6341" s="157">
        <v>6340.0</v>
      </c>
    </row>
    <row r="6342">
      <c r="A6342" s="157">
        <v>6341.0</v>
      </c>
    </row>
    <row r="6343">
      <c r="A6343" s="157">
        <v>6342.0</v>
      </c>
    </row>
    <row r="6344">
      <c r="A6344" s="157">
        <v>6343.0</v>
      </c>
    </row>
    <row r="6345">
      <c r="A6345" s="157">
        <v>6344.0</v>
      </c>
    </row>
    <row r="6346">
      <c r="A6346" s="157">
        <v>6345.0</v>
      </c>
    </row>
    <row r="6347">
      <c r="A6347" s="157">
        <v>6346.0</v>
      </c>
    </row>
    <row r="6348">
      <c r="A6348" s="157">
        <v>6347.0</v>
      </c>
    </row>
    <row r="6349">
      <c r="A6349" s="157">
        <v>6348.0</v>
      </c>
    </row>
    <row r="6350">
      <c r="A6350" s="157">
        <v>6349.0</v>
      </c>
    </row>
    <row r="6351">
      <c r="A6351" s="157">
        <v>6350.0</v>
      </c>
    </row>
    <row r="6352">
      <c r="A6352" s="157">
        <v>6351.0</v>
      </c>
    </row>
    <row r="6353">
      <c r="A6353" s="157">
        <v>6352.0</v>
      </c>
    </row>
    <row r="6354">
      <c r="A6354" s="157">
        <v>6353.0</v>
      </c>
    </row>
    <row r="6355">
      <c r="A6355" s="157">
        <v>6354.0</v>
      </c>
    </row>
    <row r="6356">
      <c r="A6356" s="157">
        <v>6355.0</v>
      </c>
    </row>
    <row r="6357">
      <c r="A6357" s="157">
        <v>6356.0</v>
      </c>
    </row>
    <row r="6358">
      <c r="A6358" s="157">
        <v>6357.0</v>
      </c>
    </row>
    <row r="6359">
      <c r="A6359" s="157">
        <v>6358.0</v>
      </c>
    </row>
    <row r="6360">
      <c r="A6360" s="157">
        <v>6359.0</v>
      </c>
    </row>
    <row r="6361">
      <c r="A6361" s="157">
        <v>6360.0</v>
      </c>
    </row>
    <row r="6362">
      <c r="A6362" s="157">
        <v>6361.0</v>
      </c>
    </row>
    <row r="6363">
      <c r="A6363" s="157">
        <v>6362.0</v>
      </c>
    </row>
    <row r="6364">
      <c r="A6364" s="157">
        <v>6363.0</v>
      </c>
    </row>
    <row r="6365">
      <c r="A6365" s="157">
        <v>6364.0</v>
      </c>
    </row>
    <row r="6366">
      <c r="A6366" s="157">
        <v>6365.0</v>
      </c>
    </row>
    <row r="6367">
      <c r="A6367" s="157">
        <v>6366.0</v>
      </c>
    </row>
    <row r="6368">
      <c r="A6368" s="157">
        <v>6367.0</v>
      </c>
    </row>
    <row r="6369">
      <c r="A6369" s="157">
        <v>6368.0</v>
      </c>
    </row>
    <row r="6370">
      <c r="A6370" s="157">
        <v>6369.0</v>
      </c>
    </row>
    <row r="6371">
      <c r="A6371" s="157">
        <v>6370.0</v>
      </c>
    </row>
    <row r="6372">
      <c r="A6372" s="157">
        <v>6371.0</v>
      </c>
    </row>
    <row r="6373">
      <c r="A6373" s="157">
        <v>6372.0</v>
      </c>
    </row>
    <row r="6374">
      <c r="A6374" s="157">
        <v>6373.0</v>
      </c>
    </row>
    <row r="6375">
      <c r="A6375" s="157">
        <v>6374.0</v>
      </c>
    </row>
    <row r="6376">
      <c r="A6376" s="157">
        <v>6375.0</v>
      </c>
    </row>
    <row r="6377">
      <c r="A6377" s="157">
        <v>6376.0</v>
      </c>
    </row>
    <row r="6378">
      <c r="A6378" s="157">
        <v>6377.0</v>
      </c>
    </row>
    <row r="6379">
      <c r="A6379" s="157">
        <v>6378.0</v>
      </c>
    </row>
    <row r="6380">
      <c r="A6380" s="157">
        <v>6379.0</v>
      </c>
    </row>
    <row r="6381">
      <c r="A6381" s="157">
        <v>6380.0</v>
      </c>
    </row>
    <row r="6382">
      <c r="A6382" s="157">
        <v>6381.0</v>
      </c>
    </row>
    <row r="6383">
      <c r="A6383" s="157">
        <v>6382.0</v>
      </c>
    </row>
    <row r="6384">
      <c r="A6384" s="157">
        <v>6383.0</v>
      </c>
    </row>
    <row r="6385">
      <c r="A6385" s="157">
        <v>6384.0</v>
      </c>
    </row>
    <row r="6386">
      <c r="A6386" s="157">
        <v>6385.0</v>
      </c>
    </row>
    <row r="6387">
      <c r="A6387" s="157">
        <v>6386.0</v>
      </c>
    </row>
    <row r="6388">
      <c r="A6388" s="157">
        <v>6387.0</v>
      </c>
    </row>
    <row r="6389">
      <c r="A6389" s="157">
        <v>6388.0</v>
      </c>
    </row>
    <row r="6390">
      <c r="A6390" s="157">
        <v>6389.0</v>
      </c>
    </row>
    <row r="6391">
      <c r="A6391" s="157">
        <v>6390.0</v>
      </c>
    </row>
    <row r="6392">
      <c r="A6392" s="157">
        <v>6391.0</v>
      </c>
    </row>
    <row r="6393">
      <c r="A6393" s="157">
        <v>6392.0</v>
      </c>
    </row>
    <row r="6394">
      <c r="A6394" s="157">
        <v>6393.0</v>
      </c>
    </row>
    <row r="6395">
      <c r="A6395" s="157">
        <v>6394.0</v>
      </c>
    </row>
    <row r="6396">
      <c r="A6396" s="157">
        <v>6395.0</v>
      </c>
    </row>
    <row r="6397">
      <c r="A6397" s="157">
        <v>6396.0</v>
      </c>
    </row>
    <row r="6398">
      <c r="A6398" s="157">
        <v>6397.0</v>
      </c>
    </row>
    <row r="6399">
      <c r="A6399" s="157">
        <v>6398.0</v>
      </c>
    </row>
    <row r="6400">
      <c r="A6400" s="157">
        <v>6399.0</v>
      </c>
    </row>
    <row r="6401">
      <c r="A6401" s="157">
        <v>6400.0</v>
      </c>
    </row>
    <row r="6402">
      <c r="A6402" s="157">
        <v>6401.0</v>
      </c>
    </row>
    <row r="6403">
      <c r="A6403" s="157">
        <v>6402.0</v>
      </c>
    </row>
    <row r="6404">
      <c r="A6404" s="157">
        <v>6403.0</v>
      </c>
    </row>
    <row r="6405">
      <c r="A6405" s="157">
        <v>6404.0</v>
      </c>
    </row>
    <row r="6406">
      <c r="A6406" s="157">
        <v>6405.0</v>
      </c>
    </row>
    <row r="6407">
      <c r="A6407" s="157">
        <v>6406.0</v>
      </c>
    </row>
    <row r="6408">
      <c r="A6408" s="157">
        <v>6407.0</v>
      </c>
    </row>
    <row r="6409">
      <c r="A6409" s="157">
        <v>6408.0</v>
      </c>
    </row>
    <row r="6410">
      <c r="A6410" s="157">
        <v>6409.0</v>
      </c>
    </row>
    <row r="6411">
      <c r="A6411" s="157">
        <v>6410.0</v>
      </c>
    </row>
    <row r="6412">
      <c r="A6412" s="157">
        <v>6411.0</v>
      </c>
    </row>
    <row r="6413">
      <c r="A6413" s="157">
        <v>6412.0</v>
      </c>
    </row>
    <row r="6414">
      <c r="A6414" s="157">
        <v>6413.0</v>
      </c>
    </row>
    <row r="6415">
      <c r="A6415" s="157">
        <v>6414.0</v>
      </c>
    </row>
    <row r="6416">
      <c r="A6416" s="157">
        <v>6415.0</v>
      </c>
    </row>
    <row r="6417">
      <c r="A6417" s="157">
        <v>6416.0</v>
      </c>
    </row>
    <row r="6418">
      <c r="A6418" s="157">
        <v>6417.0</v>
      </c>
    </row>
    <row r="6419">
      <c r="A6419" s="157">
        <v>6418.0</v>
      </c>
    </row>
    <row r="6420">
      <c r="A6420" s="157">
        <v>6419.0</v>
      </c>
    </row>
    <row r="6421">
      <c r="A6421" s="157">
        <v>6420.0</v>
      </c>
    </row>
    <row r="6422">
      <c r="A6422" s="157">
        <v>6421.0</v>
      </c>
    </row>
    <row r="6423">
      <c r="A6423" s="157">
        <v>6422.0</v>
      </c>
    </row>
    <row r="6424">
      <c r="A6424" s="157">
        <v>6423.0</v>
      </c>
    </row>
    <row r="6425">
      <c r="A6425" s="157">
        <v>6424.0</v>
      </c>
    </row>
    <row r="6426">
      <c r="A6426" s="157">
        <v>6425.0</v>
      </c>
    </row>
    <row r="6427">
      <c r="A6427" s="157">
        <v>6426.0</v>
      </c>
    </row>
    <row r="6428">
      <c r="A6428" s="157">
        <v>6427.0</v>
      </c>
    </row>
    <row r="6429">
      <c r="A6429" s="157">
        <v>6428.0</v>
      </c>
    </row>
    <row r="6430">
      <c r="A6430" s="157">
        <v>6429.0</v>
      </c>
    </row>
    <row r="6431">
      <c r="A6431" s="157">
        <v>6430.0</v>
      </c>
    </row>
    <row r="6432">
      <c r="A6432" s="157">
        <v>6431.0</v>
      </c>
    </row>
    <row r="6433">
      <c r="A6433" s="157">
        <v>6432.0</v>
      </c>
    </row>
    <row r="6434">
      <c r="A6434" s="157">
        <v>6433.0</v>
      </c>
    </row>
    <row r="6435">
      <c r="A6435" s="157">
        <v>6434.0</v>
      </c>
    </row>
    <row r="6436">
      <c r="A6436" s="157">
        <v>6435.0</v>
      </c>
    </row>
    <row r="6437">
      <c r="A6437" s="157">
        <v>6436.0</v>
      </c>
    </row>
    <row r="6438">
      <c r="A6438" s="157">
        <v>6437.0</v>
      </c>
    </row>
    <row r="6439">
      <c r="A6439" s="157">
        <v>6438.0</v>
      </c>
    </row>
    <row r="6440">
      <c r="A6440" s="157">
        <v>6439.0</v>
      </c>
    </row>
    <row r="6441">
      <c r="A6441" s="157">
        <v>6440.0</v>
      </c>
    </row>
    <row r="6442">
      <c r="A6442" s="157">
        <v>6441.0</v>
      </c>
    </row>
    <row r="6443">
      <c r="A6443" s="157">
        <v>6442.0</v>
      </c>
    </row>
    <row r="6444">
      <c r="A6444" s="157">
        <v>6443.0</v>
      </c>
    </row>
    <row r="6445">
      <c r="A6445" s="157">
        <v>6444.0</v>
      </c>
    </row>
    <row r="6446">
      <c r="A6446" s="157">
        <v>6445.0</v>
      </c>
    </row>
    <row r="6447">
      <c r="A6447" s="157">
        <v>6446.0</v>
      </c>
    </row>
    <row r="6448">
      <c r="A6448" s="157">
        <v>6447.0</v>
      </c>
    </row>
    <row r="6449">
      <c r="A6449" s="157">
        <v>6448.0</v>
      </c>
    </row>
    <row r="6450">
      <c r="A6450" s="157">
        <v>6449.0</v>
      </c>
    </row>
    <row r="6451">
      <c r="A6451" s="157">
        <v>6450.0</v>
      </c>
    </row>
    <row r="6452">
      <c r="A6452" s="157">
        <v>6451.0</v>
      </c>
    </row>
    <row r="6453">
      <c r="A6453" s="157">
        <v>6452.0</v>
      </c>
    </row>
    <row r="6454">
      <c r="A6454" s="157">
        <v>6453.0</v>
      </c>
    </row>
    <row r="6455">
      <c r="A6455" s="157">
        <v>6454.0</v>
      </c>
    </row>
    <row r="6456">
      <c r="A6456" s="157">
        <v>6455.0</v>
      </c>
    </row>
    <row r="6457">
      <c r="A6457" s="157">
        <v>6456.0</v>
      </c>
    </row>
    <row r="6458">
      <c r="A6458" s="157">
        <v>6457.0</v>
      </c>
    </row>
    <row r="6459">
      <c r="A6459" s="157">
        <v>6458.0</v>
      </c>
    </row>
    <row r="6460">
      <c r="A6460" s="157">
        <v>6459.0</v>
      </c>
    </row>
    <row r="6461">
      <c r="A6461" s="157">
        <v>6460.0</v>
      </c>
    </row>
    <row r="6462">
      <c r="A6462" s="157">
        <v>6461.0</v>
      </c>
    </row>
    <row r="6463">
      <c r="A6463" s="157">
        <v>6462.0</v>
      </c>
    </row>
    <row r="6464">
      <c r="A6464" s="157">
        <v>6463.0</v>
      </c>
    </row>
    <row r="6465">
      <c r="A6465" s="157">
        <v>6464.0</v>
      </c>
    </row>
    <row r="6466">
      <c r="A6466" s="157">
        <v>6465.0</v>
      </c>
    </row>
    <row r="6467">
      <c r="A6467" s="157">
        <v>6466.0</v>
      </c>
    </row>
    <row r="6468">
      <c r="A6468" s="157">
        <v>6467.0</v>
      </c>
    </row>
    <row r="6469">
      <c r="A6469" s="157">
        <v>6468.0</v>
      </c>
    </row>
    <row r="6470">
      <c r="A6470" s="157">
        <v>6469.0</v>
      </c>
    </row>
    <row r="6471">
      <c r="A6471" s="157">
        <v>6470.0</v>
      </c>
    </row>
    <row r="6472">
      <c r="A6472" s="157">
        <v>6471.0</v>
      </c>
    </row>
    <row r="6473">
      <c r="A6473" s="157">
        <v>6472.0</v>
      </c>
    </row>
    <row r="6474">
      <c r="A6474" s="157">
        <v>6473.0</v>
      </c>
    </row>
    <row r="6475">
      <c r="A6475" s="157">
        <v>6474.0</v>
      </c>
    </row>
    <row r="6476">
      <c r="A6476" s="157">
        <v>6475.0</v>
      </c>
    </row>
    <row r="6477">
      <c r="A6477" s="157">
        <v>6476.0</v>
      </c>
    </row>
    <row r="6478">
      <c r="A6478" s="157">
        <v>6477.0</v>
      </c>
    </row>
    <row r="6479">
      <c r="A6479" s="157">
        <v>6478.0</v>
      </c>
    </row>
    <row r="6480">
      <c r="A6480" s="157">
        <v>6479.0</v>
      </c>
    </row>
    <row r="6481">
      <c r="A6481" s="157">
        <v>6480.0</v>
      </c>
    </row>
    <row r="6482">
      <c r="A6482" s="157">
        <v>6481.0</v>
      </c>
    </row>
    <row r="6483">
      <c r="A6483" s="157">
        <v>6482.0</v>
      </c>
    </row>
    <row r="6484">
      <c r="A6484" s="157">
        <v>6483.0</v>
      </c>
    </row>
    <row r="6485">
      <c r="A6485" s="157">
        <v>6484.0</v>
      </c>
    </row>
    <row r="6486">
      <c r="A6486" s="157">
        <v>6485.0</v>
      </c>
    </row>
    <row r="6487">
      <c r="A6487" s="157">
        <v>6486.0</v>
      </c>
    </row>
    <row r="6488">
      <c r="A6488" s="157">
        <v>6487.0</v>
      </c>
    </row>
    <row r="6489">
      <c r="A6489" s="157">
        <v>6488.0</v>
      </c>
    </row>
    <row r="6490">
      <c r="A6490" s="157">
        <v>6489.0</v>
      </c>
    </row>
    <row r="6491">
      <c r="A6491" s="157">
        <v>6490.0</v>
      </c>
    </row>
    <row r="6492">
      <c r="A6492" s="157">
        <v>6491.0</v>
      </c>
    </row>
    <row r="6493">
      <c r="A6493" s="157">
        <v>6492.0</v>
      </c>
    </row>
    <row r="6494">
      <c r="A6494" s="157">
        <v>6493.0</v>
      </c>
    </row>
    <row r="6495">
      <c r="A6495" s="157">
        <v>6494.0</v>
      </c>
    </row>
    <row r="6496">
      <c r="A6496" s="157">
        <v>6495.0</v>
      </c>
    </row>
    <row r="6497">
      <c r="A6497" s="157">
        <v>6496.0</v>
      </c>
    </row>
    <row r="6498">
      <c r="A6498" s="157">
        <v>6497.0</v>
      </c>
    </row>
    <row r="6499">
      <c r="A6499" s="157">
        <v>6498.0</v>
      </c>
    </row>
    <row r="6500">
      <c r="A6500" s="157">
        <v>6499.0</v>
      </c>
    </row>
    <row r="6501">
      <c r="A6501" s="157">
        <v>6500.0</v>
      </c>
    </row>
    <row r="6502">
      <c r="A6502" s="157">
        <v>6501.0</v>
      </c>
    </row>
    <row r="6503">
      <c r="A6503" s="157">
        <v>6502.0</v>
      </c>
    </row>
    <row r="6504">
      <c r="A6504" s="157">
        <v>6503.0</v>
      </c>
    </row>
    <row r="6505">
      <c r="A6505" s="157">
        <v>6504.0</v>
      </c>
    </row>
    <row r="6506">
      <c r="A6506" s="157">
        <v>6505.0</v>
      </c>
    </row>
    <row r="6507">
      <c r="A6507" s="157">
        <v>6506.0</v>
      </c>
    </row>
    <row r="6508">
      <c r="A6508" s="157">
        <v>6507.0</v>
      </c>
    </row>
    <row r="6509">
      <c r="A6509" s="157">
        <v>6508.0</v>
      </c>
    </row>
    <row r="6510">
      <c r="A6510" s="157">
        <v>6509.0</v>
      </c>
    </row>
    <row r="6511">
      <c r="A6511" s="157">
        <v>6510.0</v>
      </c>
    </row>
    <row r="6512">
      <c r="A6512" s="157">
        <v>6511.0</v>
      </c>
    </row>
    <row r="6513">
      <c r="A6513" s="157">
        <v>6512.0</v>
      </c>
    </row>
    <row r="6514">
      <c r="A6514" s="157">
        <v>6513.0</v>
      </c>
    </row>
    <row r="6515">
      <c r="A6515" s="157">
        <v>6514.0</v>
      </c>
    </row>
    <row r="6516">
      <c r="A6516" s="157">
        <v>6515.0</v>
      </c>
    </row>
    <row r="6517">
      <c r="A6517" s="157">
        <v>6516.0</v>
      </c>
    </row>
    <row r="6518">
      <c r="A6518" s="157">
        <v>6517.0</v>
      </c>
    </row>
    <row r="6519">
      <c r="A6519" s="157">
        <v>6518.0</v>
      </c>
    </row>
    <row r="6520">
      <c r="A6520" s="157">
        <v>6519.0</v>
      </c>
    </row>
    <row r="6521">
      <c r="A6521" s="157">
        <v>6520.0</v>
      </c>
    </row>
    <row r="6522">
      <c r="A6522" s="157">
        <v>6521.0</v>
      </c>
    </row>
    <row r="6523">
      <c r="A6523" s="157">
        <v>6522.0</v>
      </c>
    </row>
    <row r="6524">
      <c r="A6524" s="157">
        <v>6523.0</v>
      </c>
    </row>
    <row r="6525">
      <c r="A6525" s="157">
        <v>6524.0</v>
      </c>
    </row>
    <row r="6526">
      <c r="A6526" s="157">
        <v>6525.0</v>
      </c>
    </row>
    <row r="6527">
      <c r="A6527" s="157">
        <v>6526.0</v>
      </c>
    </row>
    <row r="6528">
      <c r="A6528" s="157">
        <v>6527.0</v>
      </c>
    </row>
    <row r="6529">
      <c r="A6529" s="157">
        <v>6528.0</v>
      </c>
    </row>
    <row r="6530">
      <c r="A6530" s="157">
        <v>6529.0</v>
      </c>
    </row>
    <row r="6531">
      <c r="A6531" s="157">
        <v>6530.0</v>
      </c>
    </row>
    <row r="6532">
      <c r="A6532" s="157">
        <v>6531.0</v>
      </c>
    </row>
    <row r="6533">
      <c r="A6533" s="157">
        <v>6532.0</v>
      </c>
    </row>
    <row r="6534">
      <c r="A6534" s="157">
        <v>6533.0</v>
      </c>
    </row>
    <row r="6535">
      <c r="A6535" s="157">
        <v>6534.0</v>
      </c>
    </row>
    <row r="6536">
      <c r="A6536" s="157">
        <v>6535.0</v>
      </c>
    </row>
    <row r="6537">
      <c r="A6537" s="157">
        <v>6536.0</v>
      </c>
    </row>
    <row r="6538">
      <c r="A6538" s="157">
        <v>6537.0</v>
      </c>
    </row>
    <row r="6539">
      <c r="A6539" s="157">
        <v>6538.0</v>
      </c>
    </row>
    <row r="6540">
      <c r="A6540" s="157">
        <v>6539.0</v>
      </c>
    </row>
    <row r="6541">
      <c r="A6541" s="157">
        <v>6540.0</v>
      </c>
    </row>
    <row r="6542">
      <c r="A6542" s="157">
        <v>6541.0</v>
      </c>
    </row>
    <row r="6543">
      <c r="A6543" s="157">
        <v>6542.0</v>
      </c>
    </row>
    <row r="6544">
      <c r="A6544" s="157">
        <v>6543.0</v>
      </c>
    </row>
    <row r="6545">
      <c r="A6545" s="157">
        <v>6544.0</v>
      </c>
    </row>
    <row r="6546">
      <c r="A6546" s="157">
        <v>6545.0</v>
      </c>
    </row>
    <row r="6547">
      <c r="A6547" s="157">
        <v>6546.0</v>
      </c>
    </row>
    <row r="6548">
      <c r="A6548" s="157">
        <v>6547.0</v>
      </c>
    </row>
    <row r="6549">
      <c r="A6549" s="157">
        <v>6548.0</v>
      </c>
    </row>
    <row r="6550">
      <c r="A6550" s="157">
        <v>6549.0</v>
      </c>
    </row>
    <row r="6551">
      <c r="A6551" s="157">
        <v>6550.0</v>
      </c>
    </row>
    <row r="6552">
      <c r="A6552" s="157">
        <v>6551.0</v>
      </c>
    </row>
    <row r="6553">
      <c r="A6553" s="157">
        <v>6552.0</v>
      </c>
    </row>
    <row r="6554">
      <c r="A6554" s="157">
        <v>6553.0</v>
      </c>
    </row>
    <row r="6555">
      <c r="A6555" s="157">
        <v>6554.0</v>
      </c>
    </row>
    <row r="6556">
      <c r="A6556" s="157">
        <v>6555.0</v>
      </c>
    </row>
    <row r="6557">
      <c r="A6557" s="157">
        <v>6556.0</v>
      </c>
    </row>
    <row r="6558">
      <c r="A6558" s="157">
        <v>6557.0</v>
      </c>
    </row>
    <row r="6559">
      <c r="A6559" s="157">
        <v>6558.0</v>
      </c>
    </row>
    <row r="6560">
      <c r="A6560" s="157">
        <v>6559.0</v>
      </c>
    </row>
    <row r="6561">
      <c r="A6561" s="157">
        <v>6560.0</v>
      </c>
    </row>
    <row r="6562">
      <c r="A6562" s="157">
        <v>6561.0</v>
      </c>
    </row>
    <row r="6563">
      <c r="A6563" s="157">
        <v>6562.0</v>
      </c>
    </row>
    <row r="6564">
      <c r="A6564" s="157">
        <v>6563.0</v>
      </c>
    </row>
    <row r="6565">
      <c r="A6565" s="157">
        <v>6564.0</v>
      </c>
    </row>
    <row r="6566">
      <c r="A6566" s="157">
        <v>6565.0</v>
      </c>
    </row>
    <row r="6567">
      <c r="A6567" s="157">
        <v>6566.0</v>
      </c>
    </row>
    <row r="6568">
      <c r="A6568" s="157">
        <v>6567.0</v>
      </c>
    </row>
    <row r="6569">
      <c r="A6569" s="157">
        <v>6568.0</v>
      </c>
    </row>
    <row r="6570">
      <c r="A6570" s="157">
        <v>6569.0</v>
      </c>
    </row>
    <row r="6571">
      <c r="A6571" s="157">
        <v>6570.0</v>
      </c>
    </row>
    <row r="6572">
      <c r="A6572" s="157">
        <v>6571.0</v>
      </c>
    </row>
    <row r="6573">
      <c r="A6573" s="157">
        <v>6572.0</v>
      </c>
    </row>
    <row r="6574">
      <c r="A6574" s="157">
        <v>6573.0</v>
      </c>
    </row>
    <row r="6575">
      <c r="A6575" s="157">
        <v>6574.0</v>
      </c>
    </row>
    <row r="6576">
      <c r="A6576" s="157">
        <v>6575.0</v>
      </c>
    </row>
    <row r="6577">
      <c r="A6577" s="157">
        <v>6576.0</v>
      </c>
    </row>
    <row r="6578">
      <c r="A6578" s="157">
        <v>6577.0</v>
      </c>
    </row>
    <row r="6579">
      <c r="A6579" s="157">
        <v>6578.0</v>
      </c>
    </row>
    <row r="6580">
      <c r="A6580" s="157">
        <v>6579.0</v>
      </c>
    </row>
    <row r="6581">
      <c r="A6581" s="157">
        <v>6580.0</v>
      </c>
    </row>
    <row r="6582">
      <c r="A6582" s="157">
        <v>6581.0</v>
      </c>
    </row>
    <row r="6583">
      <c r="A6583" s="157">
        <v>6582.0</v>
      </c>
    </row>
    <row r="6584">
      <c r="A6584" s="157">
        <v>6583.0</v>
      </c>
    </row>
    <row r="6585">
      <c r="A6585" s="157">
        <v>6584.0</v>
      </c>
    </row>
    <row r="6586">
      <c r="A6586" s="157">
        <v>6585.0</v>
      </c>
    </row>
    <row r="6587">
      <c r="A6587" s="157">
        <v>6586.0</v>
      </c>
    </row>
    <row r="6588">
      <c r="A6588" s="157">
        <v>6587.0</v>
      </c>
    </row>
    <row r="6589">
      <c r="A6589" s="157">
        <v>6588.0</v>
      </c>
    </row>
    <row r="6590">
      <c r="A6590" s="157">
        <v>6589.0</v>
      </c>
    </row>
    <row r="6591">
      <c r="A6591" s="157">
        <v>6590.0</v>
      </c>
    </row>
    <row r="6592">
      <c r="A6592" s="157">
        <v>6591.0</v>
      </c>
    </row>
    <row r="6593">
      <c r="A6593" s="157">
        <v>6592.0</v>
      </c>
    </row>
    <row r="6594">
      <c r="A6594" s="157">
        <v>6593.0</v>
      </c>
    </row>
    <row r="6595">
      <c r="A6595" s="157">
        <v>6594.0</v>
      </c>
    </row>
    <row r="6596">
      <c r="A6596" s="157">
        <v>6595.0</v>
      </c>
    </row>
    <row r="6597">
      <c r="A6597" s="157">
        <v>6596.0</v>
      </c>
    </row>
    <row r="6598">
      <c r="A6598" s="157">
        <v>6597.0</v>
      </c>
    </row>
    <row r="6599">
      <c r="A6599" s="157">
        <v>6598.0</v>
      </c>
    </row>
    <row r="6600">
      <c r="A6600" s="157">
        <v>6599.0</v>
      </c>
    </row>
    <row r="6601">
      <c r="A6601" s="157">
        <v>6600.0</v>
      </c>
    </row>
    <row r="6602">
      <c r="A6602" s="157">
        <v>6601.0</v>
      </c>
    </row>
    <row r="6603">
      <c r="A6603" s="157">
        <v>6602.0</v>
      </c>
    </row>
    <row r="6604">
      <c r="A6604" s="157">
        <v>6603.0</v>
      </c>
    </row>
    <row r="6605">
      <c r="A6605" s="157">
        <v>6604.0</v>
      </c>
    </row>
    <row r="6606">
      <c r="A6606" s="157">
        <v>6605.0</v>
      </c>
    </row>
    <row r="6607">
      <c r="A6607" s="157">
        <v>6606.0</v>
      </c>
    </row>
    <row r="6608">
      <c r="A6608" s="157">
        <v>6607.0</v>
      </c>
    </row>
    <row r="6609">
      <c r="A6609" s="157">
        <v>6608.0</v>
      </c>
    </row>
    <row r="6610">
      <c r="A6610" s="157">
        <v>6609.0</v>
      </c>
    </row>
    <row r="6611">
      <c r="A6611" s="157">
        <v>6610.0</v>
      </c>
    </row>
    <row r="6612">
      <c r="A6612" s="157">
        <v>6611.0</v>
      </c>
    </row>
    <row r="6613">
      <c r="A6613" s="157">
        <v>6612.0</v>
      </c>
    </row>
    <row r="6614">
      <c r="A6614" s="157">
        <v>6613.0</v>
      </c>
    </row>
    <row r="6615">
      <c r="A6615" s="157">
        <v>6614.0</v>
      </c>
    </row>
    <row r="6616">
      <c r="A6616" s="157">
        <v>6615.0</v>
      </c>
    </row>
    <row r="6617">
      <c r="A6617" s="157">
        <v>6616.0</v>
      </c>
    </row>
    <row r="6618">
      <c r="A6618" s="157">
        <v>6617.0</v>
      </c>
    </row>
    <row r="6619">
      <c r="A6619" s="157">
        <v>6618.0</v>
      </c>
    </row>
    <row r="6620">
      <c r="A6620" s="157">
        <v>6619.0</v>
      </c>
    </row>
    <row r="6621">
      <c r="A6621" s="157">
        <v>6620.0</v>
      </c>
    </row>
    <row r="6622">
      <c r="A6622" s="157">
        <v>6621.0</v>
      </c>
    </row>
    <row r="6623">
      <c r="A6623" s="157">
        <v>6622.0</v>
      </c>
    </row>
    <row r="6624">
      <c r="A6624" s="157">
        <v>6623.0</v>
      </c>
    </row>
    <row r="6625">
      <c r="A6625" s="157">
        <v>6624.0</v>
      </c>
    </row>
    <row r="6626">
      <c r="A6626" s="157">
        <v>6625.0</v>
      </c>
    </row>
    <row r="6627">
      <c r="A6627" s="157">
        <v>6626.0</v>
      </c>
    </row>
    <row r="6628">
      <c r="A6628" s="157">
        <v>6627.0</v>
      </c>
    </row>
    <row r="6629">
      <c r="A6629" s="157">
        <v>6628.0</v>
      </c>
    </row>
    <row r="6630">
      <c r="A6630" s="157">
        <v>6629.0</v>
      </c>
    </row>
    <row r="6631">
      <c r="A6631" s="157">
        <v>6630.0</v>
      </c>
    </row>
    <row r="6632">
      <c r="A6632" s="157">
        <v>6631.0</v>
      </c>
    </row>
    <row r="6633">
      <c r="A6633" s="157">
        <v>6632.0</v>
      </c>
    </row>
    <row r="6634">
      <c r="A6634" s="157">
        <v>6633.0</v>
      </c>
    </row>
    <row r="6635">
      <c r="A6635" s="157">
        <v>6634.0</v>
      </c>
    </row>
    <row r="6636">
      <c r="A6636" s="157">
        <v>6635.0</v>
      </c>
    </row>
    <row r="6637">
      <c r="A6637" s="157">
        <v>6636.0</v>
      </c>
    </row>
    <row r="6638">
      <c r="A6638" s="157">
        <v>6637.0</v>
      </c>
    </row>
    <row r="6639">
      <c r="A6639" s="157">
        <v>6638.0</v>
      </c>
    </row>
    <row r="6640">
      <c r="A6640" s="157">
        <v>6639.0</v>
      </c>
    </row>
    <row r="6641">
      <c r="A6641" s="157">
        <v>6640.0</v>
      </c>
    </row>
    <row r="6642">
      <c r="A6642" s="157">
        <v>6641.0</v>
      </c>
    </row>
    <row r="6643">
      <c r="A6643" s="157">
        <v>6642.0</v>
      </c>
    </row>
    <row r="6644">
      <c r="A6644" s="157">
        <v>6643.0</v>
      </c>
    </row>
    <row r="6645">
      <c r="A6645" s="157">
        <v>6644.0</v>
      </c>
    </row>
    <row r="6646">
      <c r="A6646" s="157">
        <v>6645.0</v>
      </c>
    </row>
    <row r="6647">
      <c r="A6647" s="157">
        <v>6646.0</v>
      </c>
    </row>
    <row r="6648">
      <c r="A6648" s="157">
        <v>6647.0</v>
      </c>
    </row>
    <row r="6649">
      <c r="A6649" s="157">
        <v>6648.0</v>
      </c>
    </row>
    <row r="6650">
      <c r="A6650" s="157">
        <v>6649.0</v>
      </c>
    </row>
    <row r="6651">
      <c r="A6651" s="157">
        <v>6650.0</v>
      </c>
    </row>
    <row r="6652">
      <c r="A6652" s="157">
        <v>6651.0</v>
      </c>
    </row>
    <row r="6653">
      <c r="A6653" s="157">
        <v>6652.0</v>
      </c>
    </row>
    <row r="6654">
      <c r="A6654" s="157">
        <v>6653.0</v>
      </c>
    </row>
    <row r="6655">
      <c r="A6655" s="157">
        <v>6654.0</v>
      </c>
    </row>
    <row r="6656">
      <c r="A6656" s="157">
        <v>6655.0</v>
      </c>
    </row>
    <row r="6657">
      <c r="A6657" s="157">
        <v>6656.0</v>
      </c>
    </row>
    <row r="6658">
      <c r="A6658" s="157">
        <v>6657.0</v>
      </c>
    </row>
    <row r="6659">
      <c r="A6659" s="157">
        <v>6658.0</v>
      </c>
    </row>
    <row r="6660">
      <c r="A6660" s="157">
        <v>6659.0</v>
      </c>
    </row>
    <row r="6661">
      <c r="A6661" s="157">
        <v>6660.0</v>
      </c>
    </row>
    <row r="6662">
      <c r="A6662" s="157">
        <v>6661.0</v>
      </c>
    </row>
    <row r="6663">
      <c r="A6663" s="157">
        <v>6662.0</v>
      </c>
    </row>
    <row r="6664">
      <c r="A6664" s="157">
        <v>6663.0</v>
      </c>
    </row>
    <row r="6665">
      <c r="A6665" s="157">
        <v>6664.0</v>
      </c>
    </row>
    <row r="6666">
      <c r="A6666" s="157">
        <v>6665.0</v>
      </c>
    </row>
    <row r="6667">
      <c r="A6667" s="157">
        <v>6666.0</v>
      </c>
    </row>
    <row r="6668">
      <c r="A6668" s="157">
        <v>6667.0</v>
      </c>
    </row>
    <row r="6669">
      <c r="A6669" s="157">
        <v>6668.0</v>
      </c>
    </row>
    <row r="6670">
      <c r="A6670" s="157">
        <v>6669.0</v>
      </c>
    </row>
    <row r="6671">
      <c r="A6671" s="157">
        <v>6670.0</v>
      </c>
    </row>
    <row r="6672">
      <c r="A6672" s="157">
        <v>6671.0</v>
      </c>
    </row>
    <row r="6673">
      <c r="A6673" s="157">
        <v>6672.0</v>
      </c>
    </row>
    <row r="6674">
      <c r="A6674" s="157">
        <v>6673.0</v>
      </c>
    </row>
    <row r="6675">
      <c r="A6675" s="157">
        <v>6674.0</v>
      </c>
    </row>
    <row r="6676">
      <c r="A6676" s="157">
        <v>6675.0</v>
      </c>
    </row>
    <row r="6677">
      <c r="A6677" s="157">
        <v>6676.0</v>
      </c>
    </row>
    <row r="6678">
      <c r="A6678" s="157">
        <v>6677.0</v>
      </c>
    </row>
    <row r="6679">
      <c r="A6679" s="157">
        <v>6678.0</v>
      </c>
    </row>
    <row r="6680">
      <c r="A6680" s="157">
        <v>6679.0</v>
      </c>
    </row>
    <row r="6681">
      <c r="A6681" s="157">
        <v>6680.0</v>
      </c>
    </row>
    <row r="6682">
      <c r="A6682" s="157">
        <v>6681.0</v>
      </c>
    </row>
    <row r="6683">
      <c r="A6683" s="157">
        <v>6682.0</v>
      </c>
    </row>
    <row r="6684">
      <c r="A6684" s="157">
        <v>6683.0</v>
      </c>
    </row>
    <row r="6685">
      <c r="A6685" s="157">
        <v>6684.0</v>
      </c>
    </row>
    <row r="6686">
      <c r="A6686" s="157">
        <v>6685.0</v>
      </c>
    </row>
    <row r="6687">
      <c r="A6687" s="157">
        <v>6686.0</v>
      </c>
    </row>
    <row r="6688">
      <c r="A6688" s="157">
        <v>6687.0</v>
      </c>
    </row>
    <row r="6689">
      <c r="A6689" s="157">
        <v>6688.0</v>
      </c>
    </row>
    <row r="6690">
      <c r="A6690" s="157">
        <v>6689.0</v>
      </c>
    </row>
    <row r="6691">
      <c r="A6691" s="157">
        <v>6690.0</v>
      </c>
    </row>
    <row r="6692">
      <c r="A6692" s="157">
        <v>6691.0</v>
      </c>
    </row>
    <row r="6693">
      <c r="A6693" s="157">
        <v>6692.0</v>
      </c>
    </row>
    <row r="6694">
      <c r="A6694" s="157">
        <v>6693.0</v>
      </c>
    </row>
    <row r="6695">
      <c r="A6695" s="157">
        <v>6694.0</v>
      </c>
    </row>
    <row r="6696">
      <c r="A6696" s="157">
        <v>6695.0</v>
      </c>
    </row>
    <row r="6697">
      <c r="A6697" s="157">
        <v>6696.0</v>
      </c>
    </row>
    <row r="6698">
      <c r="A6698" s="157">
        <v>6697.0</v>
      </c>
    </row>
    <row r="6699">
      <c r="A6699" s="157">
        <v>6698.0</v>
      </c>
    </row>
    <row r="6700">
      <c r="A6700" s="157">
        <v>6699.0</v>
      </c>
    </row>
    <row r="6701">
      <c r="A6701" s="157">
        <v>6700.0</v>
      </c>
    </row>
    <row r="6702">
      <c r="A6702" s="157">
        <v>6701.0</v>
      </c>
    </row>
    <row r="6703">
      <c r="A6703" s="157">
        <v>6702.0</v>
      </c>
    </row>
    <row r="6704">
      <c r="A6704" s="157">
        <v>6703.0</v>
      </c>
    </row>
    <row r="6705">
      <c r="A6705" s="157">
        <v>6704.0</v>
      </c>
    </row>
    <row r="6706">
      <c r="A6706" s="157">
        <v>6705.0</v>
      </c>
    </row>
    <row r="6707">
      <c r="A6707" s="157">
        <v>6706.0</v>
      </c>
    </row>
    <row r="6708">
      <c r="A6708" s="157">
        <v>6707.0</v>
      </c>
    </row>
    <row r="6709">
      <c r="A6709" s="157">
        <v>6708.0</v>
      </c>
    </row>
    <row r="6710">
      <c r="A6710" s="157">
        <v>6709.0</v>
      </c>
    </row>
    <row r="6711">
      <c r="A6711" s="157">
        <v>6710.0</v>
      </c>
    </row>
    <row r="6712">
      <c r="A6712" s="157">
        <v>6711.0</v>
      </c>
    </row>
    <row r="6713">
      <c r="A6713" s="157">
        <v>6712.0</v>
      </c>
    </row>
    <row r="6714">
      <c r="A6714" s="157">
        <v>6713.0</v>
      </c>
    </row>
    <row r="6715">
      <c r="A6715" s="157">
        <v>6714.0</v>
      </c>
    </row>
    <row r="6716">
      <c r="A6716" s="157">
        <v>6715.0</v>
      </c>
    </row>
    <row r="6717">
      <c r="A6717" s="157">
        <v>6716.0</v>
      </c>
    </row>
    <row r="6718">
      <c r="A6718" s="157">
        <v>6717.0</v>
      </c>
    </row>
    <row r="6719">
      <c r="A6719" s="157">
        <v>6718.0</v>
      </c>
    </row>
    <row r="6720">
      <c r="A6720" s="157">
        <v>6719.0</v>
      </c>
    </row>
    <row r="6721">
      <c r="A6721" s="157">
        <v>6720.0</v>
      </c>
    </row>
    <row r="6722">
      <c r="A6722" s="157">
        <v>6721.0</v>
      </c>
    </row>
    <row r="6723">
      <c r="A6723" s="157">
        <v>6722.0</v>
      </c>
    </row>
    <row r="6724">
      <c r="A6724" s="157">
        <v>6723.0</v>
      </c>
    </row>
    <row r="6725">
      <c r="A6725" s="157">
        <v>6724.0</v>
      </c>
    </row>
    <row r="6726">
      <c r="A6726" s="157">
        <v>6725.0</v>
      </c>
    </row>
    <row r="6727">
      <c r="A6727" s="157">
        <v>6726.0</v>
      </c>
    </row>
    <row r="6728">
      <c r="A6728" s="157">
        <v>6727.0</v>
      </c>
    </row>
    <row r="6729">
      <c r="A6729" s="157">
        <v>6728.0</v>
      </c>
    </row>
    <row r="6730">
      <c r="A6730" s="157">
        <v>6729.0</v>
      </c>
    </row>
    <row r="6731">
      <c r="A6731" s="157">
        <v>6730.0</v>
      </c>
    </row>
    <row r="6732">
      <c r="A6732" s="157">
        <v>6731.0</v>
      </c>
    </row>
    <row r="6733">
      <c r="A6733" s="157">
        <v>6732.0</v>
      </c>
    </row>
    <row r="6734">
      <c r="A6734" s="157">
        <v>6733.0</v>
      </c>
    </row>
    <row r="6735">
      <c r="A6735" s="157">
        <v>6734.0</v>
      </c>
    </row>
    <row r="6736">
      <c r="A6736" s="157">
        <v>6735.0</v>
      </c>
    </row>
    <row r="6737">
      <c r="A6737" s="157">
        <v>6736.0</v>
      </c>
    </row>
    <row r="6738">
      <c r="A6738" s="157">
        <v>6737.0</v>
      </c>
    </row>
    <row r="6739">
      <c r="A6739" s="157">
        <v>6738.0</v>
      </c>
    </row>
    <row r="6740">
      <c r="A6740" s="157">
        <v>6739.0</v>
      </c>
    </row>
    <row r="6741">
      <c r="A6741" s="157">
        <v>6740.0</v>
      </c>
    </row>
    <row r="6742">
      <c r="A6742" s="157">
        <v>6741.0</v>
      </c>
    </row>
    <row r="6743">
      <c r="A6743" s="157">
        <v>6742.0</v>
      </c>
    </row>
    <row r="6744">
      <c r="A6744" s="157">
        <v>6743.0</v>
      </c>
    </row>
    <row r="6745">
      <c r="A6745" s="157">
        <v>6744.0</v>
      </c>
    </row>
    <row r="6746">
      <c r="A6746" s="157">
        <v>6745.0</v>
      </c>
    </row>
    <row r="6747">
      <c r="A6747" s="157">
        <v>6746.0</v>
      </c>
    </row>
    <row r="6748">
      <c r="A6748" s="157">
        <v>6747.0</v>
      </c>
    </row>
    <row r="6749">
      <c r="A6749" s="157">
        <v>6748.0</v>
      </c>
    </row>
    <row r="6750">
      <c r="A6750" s="157">
        <v>6749.0</v>
      </c>
    </row>
    <row r="6751">
      <c r="A6751" s="157">
        <v>6750.0</v>
      </c>
    </row>
    <row r="6752">
      <c r="A6752" s="157">
        <v>6751.0</v>
      </c>
    </row>
    <row r="6753">
      <c r="A6753" s="157">
        <v>6752.0</v>
      </c>
    </row>
    <row r="6754">
      <c r="A6754" s="157">
        <v>6753.0</v>
      </c>
    </row>
    <row r="6755">
      <c r="A6755" s="157">
        <v>6754.0</v>
      </c>
    </row>
    <row r="6756">
      <c r="A6756" s="157">
        <v>6755.0</v>
      </c>
    </row>
    <row r="6757">
      <c r="A6757" s="157">
        <v>6756.0</v>
      </c>
    </row>
    <row r="6758">
      <c r="A6758" s="157">
        <v>6757.0</v>
      </c>
    </row>
    <row r="6759">
      <c r="A6759" s="157">
        <v>6758.0</v>
      </c>
    </row>
    <row r="6760">
      <c r="A6760" s="157">
        <v>6759.0</v>
      </c>
    </row>
    <row r="6761">
      <c r="A6761" s="157">
        <v>6760.0</v>
      </c>
    </row>
    <row r="6762">
      <c r="A6762" s="157">
        <v>6761.0</v>
      </c>
    </row>
    <row r="6763">
      <c r="A6763" s="157">
        <v>6762.0</v>
      </c>
    </row>
    <row r="6764">
      <c r="A6764" s="157">
        <v>6763.0</v>
      </c>
    </row>
    <row r="6765">
      <c r="A6765" s="157">
        <v>6764.0</v>
      </c>
    </row>
    <row r="6766">
      <c r="A6766" s="157">
        <v>6765.0</v>
      </c>
    </row>
    <row r="6767">
      <c r="A6767" s="157">
        <v>6766.0</v>
      </c>
    </row>
    <row r="6768">
      <c r="A6768" s="157">
        <v>6767.0</v>
      </c>
    </row>
    <row r="6769">
      <c r="A6769" s="157">
        <v>6768.0</v>
      </c>
    </row>
    <row r="6770">
      <c r="A6770" s="157">
        <v>6769.0</v>
      </c>
    </row>
    <row r="6771">
      <c r="A6771" s="157">
        <v>6770.0</v>
      </c>
    </row>
    <row r="6772">
      <c r="A6772" s="157">
        <v>6771.0</v>
      </c>
    </row>
    <row r="6773">
      <c r="A6773" s="157">
        <v>6772.0</v>
      </c>
    </row>
    <row r="6774">
      <c r="A6774" s="157">
        <v>6773.0</v>
      </c>
    </row>
    <row r="6775">
      <c r="A6775" s="157">
        <v>6774.0</v>
      </c>
    </row>
    <row r="6776">
      <c r="A6776" s="157">
        <v>6775.0</v>
      </c>
    </row>
    <row r="6777">
      <c r="A6777" s="157">
        <v>6776.0</v>
      </c>
    </row>
    <row r="6778">
      <c r="A6778" s="157">
        <v>6777.0</v>
      </c>
    </row>
    <row r="6779">
      <c r="A6779" s="157">
        <v>6778.0</v>
      </c>
    </row>
    <row r="6780">
      <c r="A6780" s="157">
        <v>6779.0</v>
      </c>
    </row>
    <row r="6781">
      <c r="A6781" s="157">
        <v>6780.0</v>
      </c>
    </row>
    <row r="6782">
      <c r="A6782" s="157">
        <v>6781.0</v>
      </c>
    </row>
    <row r="6783">
      <c r="A6783" s="157">
        <v>6782.0</v>
      </c>
    </row>
    <row r="6784">
      <c r="A6784" s="157">
        <v>6783.0</v>
      </c>
    </row>
    <row r="6785">
      <c r="A6785" s="157">
        <v>6784.0</v>
      </c>
    </row>
    <row r="6786">
      <c r="A6786" s="157">
        <v>6785.0</v>
      </c>
    </row>
    <row r="6787">
      <c r="A6787" s="157">
        <v>6786.0</v>
      </c>
    </row>
    <row r="6788">
      <c r="A6788" s="157">
        <v>6787.0</v>
      </c>
    </row>
    <row r="6789">
      <c r="A6789" s="157">
        <v>6788.0</v>
      </c>
    </row>
    <row r="6790">
      <c r="A6790" s="157">
        <v>6789.0</v>
      </c>
    </row>
    <row r="6791">
      <c r="A6791" s="157">
        <v>6790.0</v>
      </c>
    </row>
    <row r="6792">
      <c r="A6792" s="157">
        <v>6791.0</v>
      </c>
    </row>
    <row r="6793">
      <c r="A6793" s="157">
        <v>6792.0</v>
      </c>
    </row>
    <row r="6794">
      <c r="A6794" s="157">
        <v>6793.0</v>
      </c>
    </row>
    <row r="6795">
      <c r="A6795" s="157">
        <v>6794.0</v>
      </c>
    </row>
    <row r="6796">
      <c r="A6796" s="157">
        <v>6795.0</v>
      </c>
    </row>
    <row r="6797">
      <c r="A6797" s="157">
        <v>6796.0</v>
      </c>
    </row>
    <row r="6798">
      <c r="A6798" s="157">
        <v>6797.0</v>
      </c>
    </row>
    <row r="6799">
      <c r="A6799" s="157">
        <v>6798.0</v>
      </c>
    </row>
    <row r="6800">
      <c r="A6800" s="157">
        <v>6799.0</v>
      </c>
    </row>
    <row r="6801">
      <c r="A6801" s="157">
        <v>6800.0</v>
      </c>
    </row>
    <row r="6802">
      <c r="A6802" s="157">
        <v>6801.0</v>
      </c>
    </row>
    <row r="6803">
      <c r="A6803" s="157">
        <v>6802.0</v>
      </c>
    </row>
    <row r="6804">
      <c r="A6804" s="157">
        <v>6803.0</v>
      </c>
    </row>
    <row r="6805">
      <c r="A6805" s="157">
        <v>6804.0</v>
      </c>
    </row>
    <row r="6806">
      <c r="A6806" s="157">
        <v>6805.0</v>
      </c>
    </row>
    <row r="6807">
      <c r="A6807" s="157">
        <v>6806.0</v>
      </c>
    </row>
    <row r="6808">
      <c r="A6808" s="157">
        <v>6807.0</v>
      </c>
    </row>
    <row r="6809">
      <c r="A6809" s="157">
        <v>6808.0</v>
      </c>
    </row>
    <row r="6810">
      <c r="A6810" s="157">
        <v>6809.0</v>
      </c>
    </row>
    <row r="6811">
      <c r="A6811" s="157">
        <v>6810.0</v>
      </c>
    </row>
    <row r="6812">
      <c r="A6812" s="157">
        <v>6811.0</v>
      </c>
    </row>
    <row r="6813">
      <c r="A6813" s="157">
        <v>6812.0</v>
      </c>
    </row>
    <row r="6814">
      <c r="A6814" s="157">
        <v>6813.0</v>
      </c>
    </row>
    <row r="6815">
      <c r="A6815" s="157">
        <v>6814.0</v>
      </c>
    </row>
    <row r="6816">
      <c r="A6816" s="157">
        <v>6815.0</v>
      </c>
    </row>
    <row r="6817">
      <c r="A6817" s="157">
        <v>6816.0</v>
      </c>
    </row>
    <row r="6818">
      <c r="A6818" s="157">
        <v>6817.0</v>
      </c>
    </row>
    <row r="6819">
      <c r="A6819" s="157">
        <v>6818.0</v>
      </c>
    </row>
    <row r="6820">
      <c r="A6820" s="157">
        <v>6819.0</v>
      </c>
    </row>
    <row r="6821">
      <c r="A6821" s="157">
        <v>6820.0</v>
      </c>
    </row>
    <row r="6822">
      <c r="A6822" s="157">
        <v>6821.0</v>
      </c>
    </row>
    <row r="6823">
      <c r="A6823" s="157">
        <v>6822.0</v>
      </c>
    </row>
    <row r="6824">
      <c r="A6824" s="157">
        <v>6823.0</v>
      </c>
    </row>
    <row r="6825">
      <c r="A6825" s="157">
        <v>6824.0</v>
      </c>
    </row>
    <row r="6826">
      <c r="A6826" s="157">
        <v>6825.0</v>
      </c>
    </row>
    <row r="6827">
      <c r="A6827" s="157">
        <v>6826.0</v>
      </c>
    </row>
    <row r="6828">
      <c r="A6828" s="157">
        <v>6827.0</v>
      </c>
    </row>
    <row r="6829">
      <c r="A6829" s="157">
        <v>6828.0</v>
      </c>
    </row>
    <row r="6830">
      <c r="A6830" s="157">
        <v>6829.0</v>
      </c>
    </row>
    <row r="6831">
      <c r="A6831" s="157">
        <v>6830.0</v>
      </c>
    </row>
    <row r="6832">
      <c r="A6832" s="157">
        <v>6831.0</v>
      </c>
    </row>
    <row r="6833">
      <c r="A6833" s="157">
        <v>6832.0</v>
      </c>
    </row>
    <row r="6834">
      <c r="A6834" s="157">
        <v>6833.0</v>
      </c>
    </row>
    <row r="6835">
      <c r="A6835" s="157">
        <v>6834.0</v>
      </c>
    </row>
    <row r="6836">
      <c r="A6836" s="157">
        <v>6835.0</v>
      </c>
    </row>
    <row r="6837">
      <c r="A6837" s="157">
        <v>6836.0</v>
      </c>
    </row>
    <row r="6838">
      <c r="A6838" s="157">
        <v>6837.0</v>
      </c>
    </row>
    <row r="6839">
      <c r="A6839" s="157">
        <v>6838.0</v>
      </c>
    </row>
    <row r="6840">
      <c r="A6840" s="157">
        <v>6839.0</v>
      </c>
    </row>
    <row r="6841">
      <c r="A6841" s="157">
        <v>6840.0</v>
      </c>
    </row>
    <row r="6842">
      <c r="A6842" s="157">
        <v>6841.0</v>
      </c>
    </row>
    <row r="6843">
      <c r="A6843" s="157">
        <v>6842.0</v>
      </c>
    </row>
    <row r="6844">
      <c r="A6844" s="157">
        <v>6843.0</v>
      </c>
    </row>
    <row r="6845">
      <c r="A6845" s="157">
        <v>6844.0</v>
      </c>
    </row>
    <row r="6846">
      <c r="A6846" s="157">
        <v>6845.0</v>
      </c>
    </row>
    <row r="6847">
      <c r="A6847" s="157">
        <v>6846.0</v>
      </c>
    </row>
    <row r="6848">
      <c r="A6848" s="157">
        <v>6847.0</v>
      </c>
    </row>
    <row r="6849">
      <c r="A6849" s="157">
        <v>6848.0</v>
      </c>
    </row>
    <row r="6850">
      <c r="A6850" s="157">
        <v>6849.0</v>
      </c>
    </row>
    <row r="6851">
      <c r="A6851" s="157">
        <v>6850.0</v>
      </c>
    </row>
    <row r="6852">
      <c r="A6852" s="157">
        <v>6851.0</v>
      </c>
    </row>
    <row r="6853">
      <c r="A6853" s="157">
        <v>6852.0</v>
      </c>
    </row>
    <row r="6854">
      <c r="A6854" s="157">
        <v>6853.0</v>
      </c>
    </row>
    <row r="6855">
      <c r="A6855" s="157">
        <v>6854.0</v>
      </c>
    </row>
    <row r="6856">
      <c r="A6856" s="157">
        <v>6855.0</v>
      </c>
    </row>
    <row r="6857">
      <c r="A6857" s="157">
        <v>6856.0</v>
      </c>
    </row>
    <row r="6858">
      <c r="A6858" s="157">
        <v>6857.0</v>
      </c>
    </row>
    <row r="6859">
      <c r="A6859" s="157">
        <v>6858.0</v>
      </c>
    </row>
    <row r="6860">
      <c r="A6860" s="157">
        <v>6859.0</v>
      </c>
    </row>
    <row r="6861">
      <c r="A6861" s="157">
        <v>6860.0</v>
      </c>
    </row>
    <row r="6862">
      <c r="A6862" s="157">
        <v>6861.0</v>
      </c>
    </row>
    <row r="6863">
      <c r="A6863" s="157">
        <v>6862.0</v>
      </c>
    </row>
    <row r="6864">
      <c r="A6864" s="157">
        <v>6863.0</v>
      </c>
    </row>
    <row r="6865">
      <c r="A6865" s="157">
        <v>6864.0</v>
      </c>
    </row>
    <row r="6866">
      <c r="A6866" s="157">
        <v>6865.0</v>
      </c>
    </row>
    <row r="6867">
      <c r="A6867" s="157">
        <v>6866.0</v>
      </c>
    </row>
    <row r="6868">
      <c r="A6868" s="157">
        <v>6867.0</v>
      </c>
    </row>
    <row r="6869">
      <c r="A6869" s="157">
        <v>6868.0</v>
      </c>
    </row>
    <row r="6870">
      <c r="A6870" s="157">
        <v>6869.0</v>
      </c>
    </row>
    <row r="6871">
      <c r="A6871" s="157">
        <v>6870.0</v>
      </c>
    </row>
    <row r="6872">
      <c r="A6872" s="157">
        <v>6871.0</v>
      </c>
    </row>
    <row r="6873">
      <c r="A6873" s="157">
        <v>6872.0</v>
      </c>
    </row>
    <row r="6874">
      <c r="A6874" s="157">
        <v>6873.0</v>
      </c>
    </row>
    <row r="6875">
      <c r="A6875" s="157">
        <v>6874.0</v>
      </c>
    </row>
    <row r="6876">
      <c r="A6876" s="157">
        <v>6875.0</v>
      </c>
    </row>
    <row r="6877">
      <c r="A6877" s="157">
        <v>6876.0</v>
      </c>
    </row>
    <row r="6878">
      <c r="A6878" s="157">
        <v>6877.0</v>
      </c>
    </row>
    <row r="6879">
      <c r="A6879" s="157">
        <v>6878.0</v>
      </c>
    </row>
    <row r="6880">
      <c r="A6880" s="157">
        <v>6879.0</v>
      </c>
    </row>
    <row r="6881">
      <c r="A6881" s="157">
        <v>6880.0</v>
      </c>
    </row>
    <row r="6882">
      <c r="A6882" s="157">
        <v>6881.0</v>
      </c>
    </row>
    <row r="6883">
      <c r="A6883" s="157">
        <v>6882.0</v>
      </c>
    </row>
    <row r="6884">
      <c r="A6884" s="157">
        <v>6883.0</v>
      </c>
    </row>
    <row r="6885">
      <c r="A6885" s="157">
        <v>6884.0</v>
      </c>
    </row>
    <row r="6886">
      <c r="A6886" s="157">
        <v>6885.0</v>
      </c>
    </row>
    <row r="6887">
      <c r="A6887" s="157">
        <v>6886.0</v>
      </c>
    </row>
    <row r="6888">
      <c r="A6888" s="157">
        <v>6887.0</v>
      </c>
    </row>
    <row r="6889">
      <c r="A6889" s="157">
        <v>6888.0</v>
      </c>
    </row>
    <row r="6890">
      <c r="A6890" s="157">
        <v>6889.0</v>
      </c>
    </row>
    <row r="6891">
      <c r="A6891" s="157">
        <v>6890.0</v>
      </c>
    </row>
    <row r="6892">
      <c r="A6892" s="157">
        <v>6891.0</v>
      </c>
    </row>
    <row r="6893">
      <c r="A6893" s="157">
        <v>6892.0</v>
      </c>
    </row>
    <row r="6894">
      <c r="A6894" s="157">
        <v>6893.0</v>
      </c>
    </row>
    <row r="6895">
      <c r="A6895" s="157">
        <v>6894.0</v>
      </c>
    </row>
    <row r="6896">
      <c r="A6896" s="157">
        <v>6895.0</v>
      </c>
    </row>
    <row r="6897">
      <c r="A6897" s="157">
        <v>6896.0</v>
      </c>
    </row>
    <row r="6898">
      <c r="A6898" s="157">
        <v>6897.0</v>
      </c>
    </row>
    <row r="6899">
      <c r="A6899" s="157">
        <v>6898.0</v>
      </c>
    </row>
    <row r="6900">
      <c r="A6900" s="157">
        <v>6899.0</v>
      </c>
    </row>
    <row r="6901">
      <c r="A6901" s="157">
        <v>6900.0</v>
      </c>
    </row>
    <row r="6902">
      <c r="A6902" s="157">
        <v>6901.0</v>
      </c>
    </row>
    <row r="6903">
      <c r="A6903" s="157">
        <v>6902.0</v>
      </c>
    </row>
    <row r="6904">
      <c r="A6904" s="157">
        <v>6903.0</v>
      </c>
    </row>
    <row r="6905">
      <c r="A6905" s="157">
        <v>6904.0</v>
      </c>
    </row>
    <row r="6906">
      <c r="A6906" s="157">
        <v>6905.0</v>
      </c>
    </row>
    <row r="6907">
      <c r="A6907" s="157">
        <v>6906.0</v>
      </c>
    </row>
    <row r="6908">
      <c r="A6908" s="157">
        <v>6907.0</v>
      </c>
    </row>
    <row r="6909">
      <c r="A6909" s="157">
        <v>6908.0</v>
      </c>
    </row>
    <row r="6910">
      <c r="A6910" s="157">
        <v>6909.0</v>
      </c>
    </row>
    <row r="6911">
      <c r="A6911" s="157">
        <v>6910.0</v>
      </c>
    </row>
    <row r="6912">
      <c r="A6912" s="157">
        <v>6911.0</v>
      </c>
    </row>
    <row r="6913">
      <c r="A6913" s="157">
        <v>6912.0</v>
      </c>
    </row>
    <row r="6914">
      <c r="A6914" s="157">
        <v>6913.0</v>
      </c>
    </row>
    <row r="6915">
      <c r="A6915" s="157">
        <v>6914.0</v>
      </c>
    </row>
    <row r="6916">
      <c r="A6916" s="157">
        <v>6915.0</v>
      </c>
    </row>
    <row r="6917">
      <c r="A6917" s="157">
        <v>6916.0</v>
      </c>
    </row>
    <row r="6918">
      <c r="A6918" s="157">
        <v>6917.0</v>
      </c>
    </row>
    <row r="6919">
      <c r="A6919" s="157">
        <v>6918.0</v>
      </c>
    </row>
    <row r="6920">
      <c r="A6920" s="157">
        <v>6919.0</v>
      </c>
    </row>
    <row r="6921">
      <c r="A6921" s="157">
        <v>6920.0</v>
      </c>
    </row>
    <row r="6922">
      <c r="A6922" s="157">
        <v>6921.0</v>
      </c>
    </row>
    <row r="6923">
      <c r="A6923" s="157">
        <v>6922.0</v>
      </c>
    </row>
    <row r="6924">
      <c r="A6924" s="157">
        <v>6923.0</v>
      </c>
    </row>
    <row r="6925">
      <c r="A6925" s="157">
        <v>6924.0</v>
      </c>
    </row>
    <row r="6926">
      <c r="A6926" s="157">
        <v>6925.0</v>
      </c>
    </row>
    <row r="6927">
      <c r="A6927" s="157">
        <v>6926.0</v>
      </c>
    </row>
    <row r="6928">
      <c r="A6928" s="157">
        <v>6927.0</v>
      </c>
    </row>
    <row r="6929">
      <c r="A6929" s="157">
        <v>6928.0</v>
      </c>
    </row>
    <row r="6930">
      <c r="A6930" s="157">
        <v>6929.0</v>
      </c>
    </row>
    <row r="6931">
      <c r="A6931" s="157">
        <v>6930.0</v>
      </c>
    </row>
    <row r="6932">
      <c r="A6932" s="157">
        <v>6931.0</v>
      </c>
    </row>
    <row r="6933">
      <c r="A6933" s="157">
        <v>6932.0</v>
      </c>
    </row>
    <row r="6934">
      <c r="A6934" s="157">
        <v>6933.0</v>
      </c>
    </row>
    <row r="6935">
      <c r="A6935" s="157">
        <v>6934.0</v>
      </c>
    </row>
    <row r="6936">
      <c r="A6936" s="157">
        <v>6935.0</v>
      </c>
    </row>
    <row r="6937">
      <c r="A6937" s="157">
        <v>6936.0</v>
      </c>
    </row>
    <row r="6938">
      <c r="A6938" s="157">
        <v>6937.0</v>
      </c>
    </row>
    <row r="6939">
      <c r="A6939" s="157">
        <v>6938.0</v>
      </c>
    </row>
    <row r="6940">
      <c r="A6940" s="157">
        <v>6939.0</v>
      </c>
    </row>
    <row r="6941">
      <c r="A6941" s="157">
        <v>6940.0</v>
      </c>
    </row>
    <row r="6942">
      <c r="A6942" s="157">
        <v>6941.0</v>
      </c>
    </row>
    <row r="6943">
      <c r="A6943" s="157">
        <v>6942.0</v>
      </c>
    </row>
    <row r="6944">
      <c r="A6944" s="157">
        <v>6943.0</v>
      </c>
    </row>
    <row r="6945">
      <c r="A6945" s="157">
        <v>6944.0</v>
      </c>
    </row>
    <row r="6946">
      <c r="A6946" s="157">
        <v>6945.0</v>
      </c>
    </row>
    <row r="6947">
      <c r="A6947" s="157">
        <v>6946.0</v>
      </c>
    </row>
    <row r="6948">
      <c r="A6948" s="157">
        <v>6947.0</v>
      </c>
    </row>
    <row r="6949">
      <c r="A6949" s="157">
        <v>6948.0</v>
      </c>
    </row>
    <row r="6950">
      <c r="A6950" s="157">
        <v>6949.0</v>
      </c>
    </row>
    <row r="6951">
      <c r="A6951" s="157">
        <v>6950.0</v>
      </c>
    </row>
    <row r="6952">
      <c r="A6952" s="157">
        <v>6951.0</v>
      </c>
    </row>
    <row r="6953">
      <c r="A6953" s="157">
        <v>6952.0</v>
      </c>
    </row>
    <row r="6954">
      <c r="A6954" s="157">
        <v>6953.0</v>
      </c>
    </row>
    <row r="6955">
      <c r="A6955" s="157">
        <v>6954.0</v>
      </c>
    </row>
    <row r="6956">
      <c r="A6956" s="157">
        <v>6955.0</v>
      </c>
    </row>
    <row r="6957">
      <c r="A6957" s="157">
        <v>6956.0</v>
      </c>
    </row>
    <row r="6958">
      <c r="A6958" s="157">
        <v>6957.0</v>
      </c>
    </row>
    <row r="6959">
      <c r="A6959" s="157">
        <v>6958.0</v>
      </c>
    </row>
    <row r="6960">
      <c r="A6960" s="157">
        <v>6959.0</v>
      </c>
    </row>
    <row r="6961">
      <c r="A6961" s="157">
        <v>6960.0</v>
      </c>
    </row>
    <row r="6962">
      <c r="A6962" s="157">
        <v>6961.0</v>
      </c>
    </row>
    <row r="6963">
      <c r="A6963" s="157">
        <v>6962.0</v>
      </c>
    </row>
    <row r="6964">
      <c r="A6964" s="157">
        <v>6963.0</v>
      </c>
    </row>
    <row r="6965">
      <c r="A6965" s="157">
        <v>6964.0</v>
      </c>
    </row>
    <row r="6966">
      <c r="A6966" s="157">
        <v>6965.0</v>
      </c>
    </row>
    <row r="6967">
      <c r="A6967" s="157">
        <v>6966.0</v>
      </c>
    </row>
    <row r="6968">
      <c r="A6968" s="157">
        <v>6967.0</v>
      </c>
    </row>
    <row r="6969">
      <c r="A6969" s="157">
        <v>6968.0</v>
      </c>
    </row>
    <row r="6970">
      <c r="A6970" s="157">
        <v>6969.0</v>
      </c>
    </row>
    <row r="6971">
      <c r="A6971" s="157">
        <v>6970.0</v>
      </c>
    </row>
    <row r="6972">
      <c r="A6972" s="157">
        <v>6971.0</v>
      </c>
    </row>
    <row r="6973">
      <c r="A6973" s="157">
        <v>6972.0</v>
      </c>
    </row>
    <row r="6974">
      <c r="A6974" s="157">
        <v>6973.0</v>
      </c>
    </row>
    <row r="6975">
      <c r="A6975" s="157">
        <v>6974.0</v>
      </c>
    </row>
    <row r="6976">
      <c r="A6976" s="157">
        <v>6975.0</v>
      </c>
    </row>
    <row r="6977">
      <c r="A6977" s="157">
        <v>6976.0</v>
      </c>
    </row>
    <row r="6978">
      <c r="A6978" s="157">
        <v>6977.0</v>
      </c>
    </row>
    <row r="6979">
      <c r="A6979" s="157">
        <v>6978.0</v>
      </c>
    </row>
    <row r="6980">
      <c r="A6980" s="157">
        <v>6979.0</v>
      </c>
    </row>
    <row r="6981">
      <c r="A6981" s="157">
        <v>6980.0</v>
      </c>
    </row>
    <row r="6982">
      <c r="A6982" s="157">
        <v>6981.0</v>
      </c>
    </row>
    <row r="6983">
      <c r="A6983" s="157">
        <v>6982.0</v>
      </c>
    </row>
    <row r="6984">
      <c r="A6984" s="157">
        <v>6983.0</v>
      </c>
    </row>
    <row r="6985">
      <c r="A6985" s="157">
        <v>6984.0</v>
      </c>
    </row>
    <row r="6986">
      <c r="A6986" s="157">
        <v>6985.0</v>
      </c>
    </row>
    <row r="6987">
      <c r="A6987" s="157">
        <v>6986.0</v>
      </c>
    </row>
    <row r="6988">
      <c r="A6988" s="157">
        <v>6987.0</v>
      </c>
    </row>
    <row r="6989">
      <c r="A6989" s="157">
        <v>6988.0</v>
      </c>
    </row>
    <row r="6990">
      <c r="A6990" s="157">
        <v>6989.0</v>
      </c>
    </row>
    <row r="6991">
      <c r="A6991" s="157">
        <v>6990.0</v>
      </c>
    </row>
    <row r="6992">
      <c r="A6992" s="157">
        <v>6991.0</v>
      </c>
    </row>
    <row r="6993">
      <c r="A6993" s="157">
        <v>6992.0</v>
      </c>
    </row>
    <row r="6994">
      <c r="A6994" s="157">
        <v>6993.0</v>
      </c>
    </row>
    <row r="6995">
      <c r="A6995" s="157">
        <v>6994.0</v>
      </c>
    </row>
    <row r="6996">
      <c r="A6996" s="157">
        <v>6995.0</v>
      </c>
    </row>
    <row r="6997">
      <c r="A6997" s="157">
        <v>6996.0</v>
      </c>
    </row>
    <row r="6998">
      <c r="A6998" s="157">
        <v>6997.0</v>
      </c>
    </row>
    <row r="6999">
      <c r="A6999" s="157">
        <v>6998.0</v>
      </c>
    </row>
    <row r="7000">
      <c r="A7000" s="157">
        <v>6999.0</v>
      </c>
    </row>
    <row r="7001">
      <c r="A7001" s="157">
        <v>7000.0</v>
      </c>
    </row>
    <row r="7002">
      <c r="A7002" s="157">
        <v>7001.0</v>
      </c>
    </row>
    <row r="7003">
      <c r="A7003" s="157">
        <v>7002.0</v>
      </c>
    </row>
    <row r="7004">
      <c r="A7004" s="157">
        <v>7003.0</v>
      </c>
    </row>
    <row r="7005">
      <c r="A7005" s="157">
        <v>7004.0</v>
      </c>
    </row>
    <row r="7006">
      <c r="A7006" s="157">
        <v>7005.0</v>
      </c>
    </row>
    <row r="7007">
      <c r="A7007" s="157">
        <v>7006.0</v>
      </c>
    </row>
    <row r="7008">
      <c r="A7008" s="157">
        <v>7007.0</v>
      </c>
    </row>
    <row r="7009">
      <c r="A7009" s="157">
        <v>7008.0</v>
      </c>
    </row>
    <row r="7010">
      <c r="A7010" s="157">
        <v>7009.0</v>
      </c>
    </row>
    <row r="7011">
      <c r="A7011" s="157">
        <v>7010.0</v>
      </c>
    </row>
    <row r="7012">
      <c r="A7012" s="157">
        <v>7011.0</v>
      </c>
    </row>
    <row r="7013">
      <c r="A7013" s="157">
        <v>7012.0</v>
      </c>
    </row>
    <row r="7014">
      <c r="A7014" s="157">
        <v>7013.0</v>
      </c>
    </row>
    <row r="7015">
      <c r="A7015" s="157">
        <v>7014.0</v>
      </c>
    </row>
    <row r="7016">
      <c r="A7016" s="157">
        <v>7015.0</v>
      </c>
    </row>
    <row r="7017">
      <c r="A7017" s="157">
        <v>7016.0</v>
      </c>
    </row>
    <row r="7018">
      <c r="A7018" s="157">
        <v>7017.0</v>
      </c>
    </row>
    <row r="7019">
      <c r="A7019" s="157">
        <v>7018.0</v>
      </c>
    </row>
    <row r="7020">
      <c r="A7020" s="157">
        <v>7019.0</v>
      </c>
    </row>
    <row r="7021">
      <c r="A7021" s="157">
        <v>7020.0</v>
      </c>
    </row>
    <row r="7022">
      <c r="A7022" s="157">
        <v>7021.0</v>
      </c>
    </row>
    <row r="7023">
      <c r="A7023" s="157">
        <v>7022.0</v>
      </c>
    </row>
    <row r="7024">
      <c r="A7024" s="157">
        <v>7023.0</v>
      </c>
    </row>
    <row r="7025">
      <c r="A7025" s="157">
        <v>7024.0</v>
      </c>
    </row>
    <row r="7026">
      <c r="A7026" s="157">
        <v>7025.0</v>
      </c>
    </row>
    <row r="7027">
      <c r="A7027" s="157">
        <v>7026.0</v>
      </c>
    </row>
    <row r="7028">
      <c r="A7028" s="157">
        <v>7027.0</v>
      </c>
    </row>
    <row r="7029">
      <c r="A7029" s="157">
        <v>7028.0</v>
      </c>
    </row>
    <row r="7030">
      <c r="A7030" s="157">
        <v>7029.0</v>
      </c>
    </row>
    <row r="7031">
      <c r="A7031" s="157">
        <v>7030.0</v>
      </c>
    </row>
    <row r="7032">
      <c r="A7032" s="157">
        <v>7031.0</v>
      </c>
    </row>
    <row r="7033">
      <c r="A7033" s="157">
        <v>7032.0</v>
      </c>
    </row>
    <row r="7034">
      <c r="A7034" s="157">
        <v>7033.0</v>
      </c>
    </row>
    <row r="7035">
      <c r="A7035" s="157">
        <v>7034.0</v>
      </c>
    </row>
    <row r="7036">
      <c r="A7036" s="157">
        <v>7035.0</v>
      </c>
    </row>
    <row r="7037">
      <c r="A7037" s="157">
        <v>7036.0</v>
      </c>
    </row>
    <row r="7038">
      <c r="A7038" s="157">
        <v>7037.0</v>
      </c>
    </row>
    <row r="7039">
      <c r="A7039" s="157">
        <v>7038.0</v>
      </c>
    </row>
    <row r="7040">
      <c r="A7040" s="157">
        <v>7039.0</v>
      </c>
    </row>
    <row r="7041">
      <c r="A7041" s="157">
        <v>7040.0</v>
      </c>
    </row>
    <row r="7042">
      <c r="A7042" s="157">
        <v>7041.0</v>
      </c>
    </row>
    <row r="7043">
      <c r="A7043" s="157">
        <v>7042.0</v>
      </c>
    </row>
    <row r="7044">
      <c r="A7044" s="157">
        <v>7043.0</v>
      </c>
    </row>
    <row r="7045">
      <c r="A7045" s="157">
        <v>7044.0</v>
      </c>
    </row>
    <row r="7046">
      <c r="A7046" s="157">
        <v>7045.0</v>
      </c>
    </row>
    <row r="7047">
      <c r="A7047" s="157">
        <v>7046.0</v>
      </c>
    </row>
    <row r="7048">
      <c r="A7048" s="157">
        <v>7047.0</v>
      </c>
    </row>
    <row r="7049">
      <c r="A7049" s="157">
        <v>7048.0</v>
      </c>
    </row>
    <row r="7050">
      <c r="A7050" s="157">
        <v>7049.0</v>
      </c>
    </row>
    <row r="7051">
      <c r="A7051" s="157">
        <v>7050.0</v>
      </c>
    </row>
    <row r="7052">
      <c r="A7052" s="157">
        <v>7051.0</v>
      </c>
    </row>
    <row r="7053">
      <c r="A7053" s="157">
        <v>7052.0</v>
      </c>
    </row>
    <row r="7054">
      <c r="A7054" s="157">
        <v>7053.0</v>
      </c>
    </row>
    <row r="7055">
      <c r="A7055" s="157">
        <v>7054.0</v>
      </c>
    </row>
    <row r="7056">
      <c r="A7056" s="157">
        <v>7055.0</v>
      </c>
    </row>
    <row r="7057">
      <c r="A7057" s="157">
        <v>7056.0</v>
      </c>
    </row>
    <row r="7058">
      <c r="A7058" s="157">
        <v>7057.0</v>
      </c>
    </row>
    <row r="7059">
      <c r="A7059" s="157">
        <v>7058.0</v>
      </c>
    </row>
    <row r="7060">
      <c r="A7060" s="157">
        <v>7059.0</v>
      </c>
    </row>
    <row r="7061">
      <c r="A7061" s="157">
        <v>7060.0</v>
      </c>
    </row>
    <row r="7062">
      <c r="A7062" s="157">
        <v>7061.0</v>
      </c>
    </row>
    <row r="7063">
      <c r="A7063" s="157">
        <v>7062.0</v>
      </c>
    </row>
    <row r="7064">
      <c r="A7064" s="157">
        <v>7063.0</v>
      </c>
    </row>
    <row r="7065">
      <c r="A7065" s="157">
        <v>7064.0</v>
      </c>
    </row>
    <row r="7066">
      <c r="A7066" s="157">
        <v>7065.0</v>
      </c>
    </row>
    <row r="7067">
      <c r="A7067" s="157">
        <v>7066.0</v>
      </c>
    </row>
    <row r="7068">
      <c r="A7068" s="157">
        <v>7067.0</v>
      </c>
    </row>
    <row r="7069">
      <c r="A7069" s="157">
        <v>7068.0</v>
      </c>
    </row>
    <row r="7070">
      <c r="A7070" s="157">
        <v>7069.0</v>
      </c>
    </row>
    <row r="7071">
      <c r="A7071" s="157">
        <v>7070.0</v>
      </c>
    </row>
    <row r="7072">
      <c r="A7072" s="157">
        <v>7071.0</v>
      </c>
    </row>
    <row r="7073">
      <c r="A7073" s="157">
        <v>7072.0</v>
      </c>
    </row>
    <row r="7074">
      <c r="A7074" s="157">
        <v>7073.0</v>
      </c>
    </row>
    <row r="7075">
      <c r="A7075" s="157">
        <v>7074.0</v>
      </c>
    </row>
    <row r="7076">
      <c r="A7076" s="157">
        <v>7075.0</v>
      </c>
    </row>
    <row r="7077">
      <c r="A7077" s="157">
        <v>7076.0</v>
      </c>
    </row>
    <row r="7078">
      <c r="A7078" s="157">
        <v>7077.0</v>
      </c>
    </row>
    <row r="7079">
      <c r="A7079" s="157">
        <v>7078.0</v>
      </c>
    </row>
    <row r="7080">
      <c r="A7080" s="157">
        <v>7079.0</v>
      </c>
    </row>
    <row r="7081">
      <c r="A7081" s="157">
        <v>7080.0</v>
      </c>
    </row>
    <row r="7082">
      <c r="A7082" s="157">
        <v>7081.0</v>
      </c>
    </row>
    <row r="7083">
      <c r="A7083" s="157">
        <v>7082.0</v>
      </c>
    </row>
    <row r="7084">
      <c r="A7084" s="157">
        <v>7083.0</v>
      </c>
    </row>
    <row r="7085">
      <c r="A7085" s="157">
        <v>7084.0</v>
      </c>
    </row>
    <row r="7086">
      <c r="A7086" s="157">
        <v>7085.0</v>
      </c>
    </row>
    <row r="7087">
      <c r="A7087" s="157">
        <v>7086.0</v>
      </c>
    </row>
    <row r="7088">
      <c r="A7088" s="157">
        <v>7087.0</v>
      </c>
    </row>
    <row r="7089">
      <c r="A7089" s="157">
        <v>7088.0</v>
      </c>
    </row>
    <row r="7090">
      <c r="A7090" s="157">
        <v>7089.0</v>
      </c>
    </row>
    <row r="7091">
      <c r="A7091" s="157">
        <v>7090.0</v>
      </c>
    </row>
    <row r="7092">
      <c r="A7092" s="157">
        <v>7091.0</v>
      </c>
    </row>
    <row r="7093">
      <c r="A7093" s="157">
        <v>7092.0</v>
      </c>
    </row>
    <row r="7094">
      <c r="A7094" s="157">
        <v>7093.0</v>
      </c>
    </row>
    <row r="7095">
      <c r="A7095" s="157">
        <v>7094.0</v>
      </c>
    </row>
    <row r="7096">
      <c r="A7096" s="157">
        <v>7095.0</v>
      </c>
    </row>
    <row r="7097">
      <c r="A7097" s="157">
        <v>7096.0</v>
      </c>
    </row>
    <row r="7098">
      <c r="A7098" s="157">
        <v>7097.0</v>
      </c>
    </row>
    <row r="7099">
      <c r="A7099" s="157">
        <v>7098.0</v>
      </c>
    </row>
    <row r="7100">
      <c r="A7100" s="157">
        <v>7099.0</v>
      </c>
    </row>
    <row r="7101">
      <c r="A7101" s="157">
        <v>7100.0</v>
      </c>
    </row>
    <row r="7102">
      <c r="A7102" s="157">
        <v>7101.0</v>
      </c>
    </row>
    <row r="7103">
      <c r="A7103" s="157">
        <v>7102.0</v>
      </c>
    </row>
    <row r="7104">
      <c r="A7104" s="157">
        <v>7103.0</v>
      </c>
    </row>
    <row r="7105">
      <c r="A7105" s="157">
        <v>7104.0</v>
      </c>
    </row>
    <row r="7106">
      <c r="A7106" s="157">
        <v>7105.0</v>
      </c>
    </row>
    <row r="7107">
      <c r="A7107" s="157">
        <v>7106.0</v>
      </c>
    </row>
    <row r="7108">
      <c r="A7108" s="157">
        <v>7107.0</v>
      </c>
    </row>
    <row r="7109">
      <c r="A7109" s="157">
        <v>7108.0</v>
      </c>
    </row>
    <row r="7110">
      <c r="A7110" s="157">
        <v>7109.0</v>
      </c>
    </row>
    <row r="7111">
      <c r="A7111" s="157">
        <v>7110.0</v>
      </c>
    </row>
    <row r="7112">
      <c r="A7112" s="157">
        <v>7111.0</v>
      </c>
    </row>
    <row r="7113">
      <c r="A7113" s="157">
        <v>7112.0</v>
      </c>
    </row>
    <row r="7114">
      <c r="A7114" s="157">
        <v>7113.0</v>
      </c>
    </row>
    <row r="7115">
      <c r="A7115" s="157">
        <v>7114.0</v>
      </c>
    </row>
    <row r="7116">
      <c r="A7116" s="157">
        <v>7115.0</v>
      </c>
    </row>
    <row r="7117">
      <c r="A7117" s="157">
        <v>7116.0</v>
      </c>
    </row>
    <row r="7118">
      <c r="A7118" s="157">
        <v>7117.0</v>
      </c>
    </row>
    <row r="7119">
      <c r="A7119" s="157">
        <v>7118.0</v>
      </c>
    </row>
    <row r="7120">
      <c r="A7120" s="157">
        <v>7119.0</v>
      </c>
    </row>
    <row r="7121">
      <c r="A7121" s="157">
        <v>7120.0</v>
      </c>
    </row>
    <row r="7122">
      <c r="A7122" s="157">
        <v>7121.0</v>
      </c>
    </row>
    <row r="7123">
      <c r="A7123" s="157">
        <v>7122.0</v>
      </c>
    </row>
    <row r="7124">
      <c r="A7124" s="157">
        <v>7123.0</v>
      </c>
    </row>
    <row r="7125">
      <c r="A7125" s="157">
        <v>7124.0</v>
      </c>
    </row>
    <row r="7126">
      <c r="A7126" s="157">
        <v>7125.0</v>
      </c>
    </row>
    <row r="7127">
      <c r="A7127" s="157">
        <v>7126.0</v>
      </c>
    </row>
    <row r="7128">
      <c r="A7128" s="157">
        <v>7127.0</v>
      </c>
    </row>
    <row r="7129">
      <c r="A7129" s="157">
        <v>7128.0</v>
      </c>
    </row>
    <row r="7130">
      <c r="A7130" s="157">
        <v>7129.0</v>
      </c>
    </row>
    <row r="7131">
      <c r="A7131" s="157">
        <v>7130.0</v>
      </c>
    </row>
    <row r="7132">
      <c r="A7132" s="157">
        <v>7131.0</v>
      </c>
    </row>
    <row r="7133">
      <c r="A7133" s="157">
        <v>7132.0</v>
      </c>
    </row>
    <row r="7134">
      <c r="A7134" s="157">
        <v>7133.0</v>
      </c>
    </row>
    <row r="7135">
      <c r="A7135" s="157">
        <v>7134.0</v>
      </c>
    </row>
    <row r="7136">
      <c r="A7136" s="157">
        <v>7135.0</v>
      </c>
    </row>
    <row r="7137">
      <c r="A7137" s="157">
        <v>7136.0</v>
      </c>
    </row>
    <row r="7138">
      <c r="A7138" s="157">
        <v>7137.0</v>
      </c>
    </row>
    <row r="7139">
      <c r="A7139" s="157">
        <v>7138.0</v>
      </c>
    </row>
    <row r="7140">
      <c r="A7140" s="157">
        <v>7139.0</v>
      </c>
    </row>
    <row r="7141">
      <c r="A7141" s="157">
        <v>7140.0</v>
      </c>
    </row>
    <row r="7142">
      <c r="A7142" s="157">
        <v>7141.0</v>
      </c>
    </row>
    <row r="7143">
      <c r="A7143" s="157">
        <v>7142.0</v>
      </c>
    </row>
    <row r="7144">
      <c r="A7144" s="157">
        <v>7143.0</v>
      </c>
    </row>
    <row r="7145">
      <c r="A7145" s="157">
        <v>7144.0</v>
      </c>
    </row>
    <row r="7146">
      <c r="A7146" s="157">
        <v>7145.0</v>
      </c>
    </row>
    <row r="7147">
      <c r="A7147" s="157">
        <v>7146.0</v>
      </c>
    </row>
    <row r="7148">
      <c r="A7148" s="157">
        <v>7147.0</v>
      </c>
    </row>
    <row r="7149">
      <c r="A7149" s="157">
        <v>7148.0</v>
      </c>
    </row>
    <row r="7150">
      <c r="A7150" s="157">
        <v>7149.0</v>
      </c>
    </row>
    <row r="7151">
      <c r="A7151" s="157">
        <v>7150.0</v>
      </c>
    </row>
    <row r="7152">
      <c r="A7152" s="157">
        <v>7151.0</v>
      </c>
    </row>
    <row r="7153">
      <c r="A7153" s="157">
        <v>7152.0</v>
      </c>
    </row>
    <row r="7154">
      <c r="A7154" s="157">
        <v>7153.0</v>
      </c>
    </row>
    <row r="7155">
      <c r="A7155" s="157">
        <v>7154.0</v>
      </c>
    </row>
    <row r="7156">
      <c r="A7156" s="157">
        <v>7155.0</v>
      </c>
    </row>
    <row r="7157">
      <c r="A7157" s="157">
        <v>7156.0</v>
      </c>
    </row>
    <row r="7158">
      <c r="A7158" s="157">
        <v>7157.0</v>
      </c>
    </row>
    <row r="7159">
      <c r="A7159" s="157">
        <v>7158.0</v>
      </c>
    </row>
    <row r="7160">
      <c r="A7160" s="157">
        <v>7159.0</v>
      </c>
    </row>
    <row r="7161">
      <c r="A7161" s="157">
        <v>7160.0</v>
      </c>
    </row>
    <row r="7162">
      <c r="A7162" s="157">
        <v>7161.0</v>
      </c>
    </row>
    <row r="7163">
      <c r="A7163" s="157">
        <v>7162.0</v>
      </c>
    </row>
    <row r="7164">
      <c r="A7164" s="157">
        <v>7163.0</v>
      </c>
    </row>
    <row r="7165">
      <c r="A7165" s="157">
        <v>7164.0</v>
      </c>
    </row>
    <row r="7166">
      <c r="A7166" s="157">
        <v>7165.0</v>
      </c>
    </row>
    <row r="7167">
      <c r="A7167" s="157">
        <v>7166.0</v>
      </c>
    </row>
    <row r="7168">
      <c r="A7168" s="157">
        <v>7167.0</v>
      </c>
    </row>
    <row r="7169">
      <c r="A7169" s="157">
        <v>7168.0</v>
      </c>
    </row>
    <row r="7170">
      <c r="A7170" s="157">
        <v>7169.0</v>
      </c>
    </row>
    <row r="7171">
      <c r="A7171" s="157">
        <v>7170.0</v>
      </c>
    </row>
    <row r="7172">
      <c r="A7172" s="157">
        <v>7171.0</v>
      </c>
    </row>
    <row r="7173">
      <c r="A7173" s="157">
        <v>7172.0</v>
      </c>
    </row>
    <row r="7174">
      <c r="A7174" s="157">
        <v>7173.0</v>
      </c>
    </row>
    <row r="7175">
      <c r="A7175" s="157">
        <v>7174.0</v>
      </c>
    </row>
    <row r="7176">
      <c r="A7176" s="157">
        <v>7175.0</v>
      </c>
    </row>
    <row r="7177">
      <c r="A7177" s="157">
        <v>7176.0</v>
      </c>
    </row>
    <row r="7178">
      <c r="A7178" s="157">
        <v>7177.0</v>
      </c>
    </row>
    <row r="7179">
      <c r="A7179" s="157">
        <v>7178.0</v>
      </c>
    </row>
    <row r="7180">
      <c r="A7180" s="157">
        <v>7179.0</v>
      </c>
    </row>
    <row r="7181">
      <c r="A7181" s="157">
        <v>7180.0</v>
      </c>
    </row>
    <row r="7182">
      <c r="A7182" s="157">
        <v>7181.0</v>
      </c>
    </row>
    <row r="7183">
      <c r="A7183" s="157">
        <v>7182.0</v>
      </c>
    </row>
    <row r="7184">
      <c r="A7184" s="157">
        <v>7183.0</v>
      </c>
    </row>
    <row r="7185">
      <c r="A7185" s="157">
        <v>7184.0</v>
      </c>
    </row>
    <row r="7186">
      <c r="A7186" s="157">
        <v>7185.0</v>
      </c>
    </row>
    <row r="7187">
      <c r="A7187" s="157">
        <v>7186.0</v>
      </c>
    </row>
    <row r="7188">
      <c r="A7188" s="157">
        <v>7187.0</v>
      </c>
    </row>
    <row r="7189">
      <c r="A7189" s="157">
        <v>7188.0</v>
      </c>
    </row>
    <row r="7190">
      <c r="A7190" s="157">
        <v>7189.0</v>
      </c>
    </row>
    <row r="7191">
      <c r="A7191" s="157">
        <v>7190.0</v>
      </c>
    </row>
    <row r="7192">
      <c r="A7192" s="157">
        <v>7191.0</v>
      </c>
    </row>
    <row r="7193">
      <c r="A7193" s="157">
        <v>7192.0</v>
      </c>
    </row>
    <row r="7194">
      <c r="A7194" s="157">
        <v>7193.0</v>
      </c>
    </row>
    <row r="7195">
      <c r="A7195" s="157">
        <v>7194.0</v>
      </c>
    </row>
    <row r="7196">
      <c r="A7196" s="157">
        <v>7195.0</v>
      </c>
    </row>
    <row r="7197">
      <c r="A7197" s="157">
        <v>7196.0</v>
      </c>
    </row>
    <row r="7198">
      <c r="A7198" s="157">
        <v>7197.0</v>
      </c>
    </row>
    <row r="7199">
      <c r="A7199" s="157">
        <v>7198.0</v>
      </c>
    </row>
    <row r="7200">
      <c r="A7200" s="157">
        <v>7199.0</v>
      </c>
    </row>
    <row r="7201">
      <c r="A7201" s="157">
        <v>7200.0</v>
      </c>
    </row>
    <row r="7202">
      <c r="A7202" s="157">
        <v>7201.0</v>
      </c>
    </row>
    <row r="7203">
      <c r="A7203" s="157">
        <v>7202.0</v>
      </c>
    </row>
    <row r="7204">
      <c r="A7204" s="157">
        <v>7203.0</v>
      </c>
    </row>
    <row r="7205">
      <c r="A7205" s="157">
        <v>7204.0</v>
      </c>
    </row>
    <row r="7206">
      <c r="A7206" s="157">
        <v>7205.0</v>
      </c>
    </row>
    <row r="7207">
      <c r="A7207" s="157">
        <v>7206.0</v>
      </c>
    </row>
    <row r="7208">
      <c r="A7208" s="157">
        <v>7207.0</v>
      </c>
    </row>
    <row r="7209">
      <c r="A7209" s="157">
        <v>7208.0</v>
      </c>
    </row>
    <row r="7210">
      <c r="A7210" s="157">
        <v>7209.0</v>
      </c>
    </row>
    <row r="7211">
      <c r="A7211" s="157">
        <v>7210.0</v>
      </c>
    </row>
    <row r="7212">
      <c r="A7212" s="157">
        <v>7211.0</v>
      </c>
    </row>
    <row r="7213">
      <c r="A7213" s="157">
        <v>7212.0</v>
      </c>
    </row>
    <row r="7214">
      <c r="A7214" s="157">
        <v>7213.0</v>
      </c>
    </row>
    <row r="7215">
      <c r="A7215" s="157">
        <v>7214.0</v>
      </c>
    </row>
    <row r="7216">
      <c r="A7216" s="157">
        <v>7215.0</v>
      </c>
    </row>
    <row r="7217">
      <c r="A7217" s="157">
        <v>7216.0</v>
      </c>
    </row>
    <row r="7218">
      <c r="A7218" s="157">
        <v>7217.0</v>
      </c>
    </row>
    <row r="7219">
      <c r="A7219" s="157">
        <v>7218.0</v>
      </c>
    </row>
    <row r="7220">
      <c r="A7220" s="157">
        <v>7219.0</v>
      </c>
    </row>
    <row r="7221">
      <c r="A7221" s="157">
        <v>7220.0</v>
      </c>
    </row>
    <row r="7222">
      <c r="A7222" s="157">
        <v>7221.0</v>
      </c>
    </row>
    <row r="7223">
      <c r="A7223" s="157">
        <v>7222.0</v>
      </c>
    </row>
    <row r="7224">
      <c r="A7224" s="157">
        <v>7223.0</v>
      </c>
    </row>
    <row r="7225">
      <c r="A7225" s="157">
        <v>7224.0</v>
      </c>
    </row>
    <row r="7226">
      <c r="A7226" s="157">
        <v>7225.0</v>
      </c>
    </row>
    <row r="7227">
      <c r="A7227" s="157">
        <v>7226.0</v>
      </c>
    </row>
    <row r="7228">
      <c r="A7228" s="157">
        <v>7227.0</v>
      </c>
    </row>
    <row r="7229">
      <c r="A7229" s="157">
        <v>7228.0</v>
      </c>
    </row>
    <row r="7230">
      <c r="A7230" s="157">
        <v>7229.0</v>
      </c>
    </row>
    <row r="7231">
      <c r="A7231" s="157">
        <v>7230.0</v>
      </c>
    </row>
    <row r="7232">
      <c r="A7232" s="157">
        <v>7231.0</v>
      </c>
    </row>
    <row r="7233">
      <c r="A7233" s="157">
        <v>7232.0</v>
      </c>
    </row>
    <row r="7234">
      <c r="A7234" s="157">
        <v>7233.0</v>
      </c>
    </row>
    <row r="7235">
      <c r="A7235" s="157">
        <v>7234.0</v>
      </c>
    </row>
    <row r="7236">
      <c r="A7236" s="157">
        <v>7235.0</v>
      </c>
    </row>
    <row r="7237">
      <c r="A7237" s="157">
        <v>7236.0</v>
      </c>
    </row>
    <row r="7238">
      <c r="A7238" s="157">
        <v>7237.0</v>
      </c>
    </row>
    <row r="7239">
      <c r="A7239" s="157">
        <v>7238.0</v>
      </c>
    </row>
    <row r="7240">
      <c r="A7240" s="157">
        <v>7239.0</v>
      </c>
    </row>
    <row r="7241">
      <c r="A7241" s="157">
        <v>7240.0</v>
      </c>
    </row>
    <row r="7242">
      <c r="A7242" s="157">
        <v>7241.0</v>
      </c>
    </row>
    <row r="7243">
      <c r="A7243" s="157">
        <v>7242.0</v>
      </c>
    </row>
    <row r="7244">
      <c r="A7244" s="157">
        <v>7243.0</v>
      </c>
    </row>
    <row r="7245">
      <c r="A7245" s="157">
        <v>7244.0</v>
      </c>
    </row>
    <row r="7246">
      <c r="A7246" s="157">
        <v>7245.0</v>
      </c>
    </row>
    <row r="7247">
      <c r="A7247" s="157">
        <v>7246.0</v>
      </c>
    </row>
    <row r="7248">
      <c r="A7248" s="157">
        <v>7247.0</v>
      </c>
    </row>
    <row r="7249">
      <c r="A7249" s="157">
        <v>7248.0</v>
      </c>
    </row>
    <row r="7250">
      <c r="A7250" s="157">
        <v>7249.0</v>
      </c>
    </row>
    <row r="7251">
      <c r="A7251" s="157">
        <v>7250.0</v>
      </c>
    </row>
    <row r="7252">
      <c r="A7252" s="157">
        <v>7251.0</v>
      </c>
    </row>
    <row r="7253">
      <c r="A7253" s="157">
        <v>7252.0</v>
      </c>
    </row>
    <row r="7254">
      <c r="A7254" s="157">
        <v>7253.0</v>
      </c>
    </row>
    <row r="7255">
      <c r="A7255" s="157">
        <v>7254.0</v>
      </c>
    </row>
    <row r="7256">
      <c r="A7256" s="157">
        <v>7255.0</v>
      </c>
    </row>
    <row r="7257">
      <c r="A7257" s="157">
        <v>7256.0</v>
      </c>
    </row>
    <row r="7258">
      <c r="A7258" s="157">
        <v>7257.0</v>
      </c>
    </row>
    <row r="7259">
      <c r="A7259" s="157">
        <v>7258.0</v>
      </c>
    </row>
    <row r="7260">
      <c r="A7260" s="157">
        <v>7259.0</v>
      </c>
    </row>
    <row r="7261">
      <c r="A7261" s="157">
        <v>7260.0</v>
      </c>
    </row>
    <row r="7262">
      <c r="A7262" s="157">
        <v>7261.0</v>
      </c>
    </row>
    <row r="7263">
      <c r="A7263" s="157">
        <v>7262.0</v>
      </c>
    </row>
    <row r="7264">
      <c r="A7264" s="157">
        <v>7263.0</v>
      </c>
    </row>
    <row r="7265">
      <c r="A7265" s="157">
        <v>7264.0</v>
      </c>
    </row>
    <row r="7266">
      <c r="A7266" s="157">
        <v>7265.0</v>
      </c>
    </row>
    <row r="7267">
      <c r="A7267" s="157">
        <v>7266.0</v>
      </c>
    </row>
    <row r="7268">
      <c r="A7268" s="157">
        <v>7267.0</v>
      </c>
    </row>
    <row r="7269">
      <c r="A7269" s="157">
        <v>7268.0</v>
      </c>
    </row>
    <row r="7270">
      <c r="A7270" s="157">
        <v>7269.0</v>
      </c>
    </row>
    <row r="7271">
      <c r="A7271" s="157">
        <v>7270.0</v>
      </c>
    </row>
    <row r="7272">
      <c r="A7272" s="157">
        <v>7271.0</v>
      </c>
    </row>
    <row r="7273">
      <c r="A7273" s="157">
        <v>7272.0</v>
      </c>
    </row>
    <row r="7274">
      <c r="A7274" s="157">
        <v>7273.0</v>
      </c>
    </row>
    <row r="7275">
      <c r="A7275" s="157">
        <v>7274.0</v>
      </c>
    </row>
    <row r="7276">
      <c r="A7276" s="157">
        <v>7275.0</v>
      </c>
    </row>
    <row r="7277">
      <c r="A7277" s="157">
        <v>7276.0</v>
      </c>
    </row>
    <row r="7278">
      <c r="A7278" s="157">
        <v>7277.0</v>
      </c>
    </row>
    <row r="7279">
      <c r="A7279" s="157">
        <v>7278.0</v>
      </c>
    </row>
    <row r="7280">
      <c r="A7280" s="157">
        <v>7279.0</v>
      </c>
    </row>
    <row r="7281">
      <c r="A7281" s="157">
        <v>7280.0</v>
      </c>
    </row>
    <row r="7282">
      <c r="A7282" s="157">
        <v>7281.0</v>
      </c>
    </row>
    <row r="7283">
      <c r="A7283" s="157">
        <v>7282.0</v>
      </c>
    </row>
    <row r="7284">
      <c r="A7284" s="157">
        <v>7283.0</v>
      </c>
    </row>
    <row r="7285">
      <c r="A7285" s="157">
        <v>7284.0</v>
      </c>
    </row>
    <row r="7286">
      <c r="A7286" s="157">
        <v>7285.0</v>
      </c>
    </row>
    <row r="7287">
      <c r="A7287" s="157">
        <v>7286.0</v>
      </c>
    </row>
    <row r="7288">
      <c r="A7288" s="157">
        <v>7287.0</v>
      </c>
    </row>
    <row r="7289">
      <c r="A7289" s="157">
        <v>7288.0</v>
      </c>
    </row>
    <row r="7290">
      <c r="A7290" s="157">
        <v>7289.0</v>
      </c>
    </row>
    <row r="7291">
      <c r="A7291" s="157">
        <v>7290.0</v>
      </c>
    </row>
    <row r="7292">
      <c r="A7292" s="157">
        <v>7291.0</v>
      </c>
    </row>
    <row r="7293">
      <c r="A7293" s="157">
        <v>7292.0</v>
      </c>
    </row>
    <row r="7294">
      <c r="A7294" s="157">
        <v>7293.0</v>
      </c>
    </row>
    <row r="7295">
      <c r="A7295" s="157">
        <v>7294.0</v>
      </c>
    </row>
    <row r="7296">
      <c r="A7296" s="157">
        <v>7295.0</v>
      </c>
    </row>
    <row r="7297">
      <c r="A7297" s="157">
        <v>7296.0</v>
      </c>
    </row>
    <row r="7298">
      <c r="A7298" s="157">
        <v>7297.0</v>
      </c>
    </row>
    <row r="7299">
      <c r="A7299" s="157">
        <v>7298.0</v>
      </c>
    </row>
    <row r="7300">
      <c r="A7300" s="157">
        <v>7299.0</v>
      </c>
    </row>
    <row r="7301">
      <c r="A7301" s="157">
        <v>7300.0</v>
      </c>
    </row>
    <row r="7302">
      <c r="A7302" s="157">
        <v>7301.0</v>
      </c>
    </row>
    <row r="7303">
      <c r="A7303" s="157">
        <v>7302.0</v>
      </c>
    </row>
    <row r="7304">
      <c r="A7304" s="157">
        <v>7303.0</v>
      </c>
    </row>
    <row r="7305">
      <c r="A7305" s="157">
        <v>7304.0</v>
      </c>
    </row>
    <row r="7306">
      <c r="A7306" s="157">
        <v>7305.0</v>
      </c>
    </row>
    <row r="7307">
      <c r="A7307" s="157">
        <v>7306.0</v>
      </c>
    </row>
    <row r="7308">
      <c r="A7308" s="157">
        <v>7307.0</v>
      </c>
    </row>
    <row r="7309">
      <c r="A7309" s="157">
        <v>7308.0</v>
      </c>
    </row>
    <row r="7310">
      <c r="A7310" s="157">
        <v>7309.0</v>
      </c>
    </row>
    <row r="7311">
      <c r="A7311" s="157">
        <v>7310.0</v>
      </c>
    </row>
    <row r="7312">
      <c r="A7312" s="157">
        <v>7311.0</v>
      </c>
    </row>
    <row r="7313">
      <c r="A7313" s="157">
        <v>7312.0</v>
      </c>
    </row>
    <row r="7314">
      <c r="A7314" s="157">
        <v>7313.0</v>
      </c>
    </row>
    <row r="7315">
      <c r="A7315" s="157">
        <v>7314.0</v>
      </c>
    </row>
    <row r="7316">
      <c r="A7316" s="157">
        <v>7315.0</v>
      </c>
    </row>
    <row r="7317">
      <c r="A7317" s="157">
        <v>7316.0</v>
      </c>
    </row>
    <row r="7318">
      <c r="A7318" s="157">
        <v>7317.0</v>
      </c>
    </row>
    <row r="7319">
      <c r="A7319" s="157">
        <v>7318.0</v>
      </c>
    </row>
    <row r="7320">
      <c r="A7320" s="157">
        <v>7319.0</v>
      </c>
    </row>
    <row r="7321">
      <c r="A7321" s="157">
        <v>7320.0</v>
      </c>
    </row>
    <row r="7322">
      <c r="A7322" s="157">
        <v>7321.0</v>
      </c>
    </row>
    <row r="7323">
      <c r="A7323" s="157">
        <v>7322.0</v>
      </c>
    </row>
    <row r="7324">
      <c r="A7324" s="157">
        <v>7323.0</v>
      </c>
    </row>
    <row r="7325">
      <c r="A7325" s="157">
        <v>7324.0</v>
      </c>
    </row>
    <row r="7326">
      <c r="A7326" s="157">
        <v>7325.0</v>
      </c>
    </row>
    <row r="7327">
      <c r="A7327" s="157">
        <v>7326.0</v>
      </c>
    </row>
    <row r="7328">
      <c r="A7328" s="157">
        <v>7327.0</v>
      </c>
    </row>
    <row r="7329">
      <c r="A7329" s="157">
        <v>7328.0</v>
      </c>
    </row>
    <row r="7330">
      <c r="A7330" s="157">
        <v>7329.0</v>
      </c>
    </row>
    <row r="7331">
      <c r="A7331" s="157">
        <v>7330.0</v>
      </c>
    </row>
    <row r="7332">
      <c r="A7332" s="157">
        <v>7331.0</v>
      </c>
    </row>
    <row r="7333">
      <c r="A7333" s="157">
        <v>7332.0</v>
      </c>
    </row>
    <row r="7334">
      <c r="A7334" s="157">
        <v>7333.0</v>
      </c>
    </row>
    <row r="7335">
      <c r="A7335" s="157">
        <v>7334.0</v>
      </c>
    </row>
    <row r="7336">
      <c r="A7336" s="157">
        <v>7335.0</v>
      </c>
    </row>
    <row r="7337">
      <c r="A7337" s="157">
        <v>7336.0</v>
      </c>
    </row>
    <row r="7338">
      <c r="A7338" s="157">
        <v>7337.0</v>
      </c>
    </row>
    <row r="7339">
      <c r="A7339" s="157">
        <v>7338.0</v>
      </c>
    </row>
    <row r="7340">
      <c r="A7340" s="157">
        <v>7339.0</v>
      </c>
    </row>
    <row r="7341">
      <c r="A7341" s="157">
        <v>7340.0</v>
      </c>
    </row>
    <row r="7342">
      <c r="A7342" s="157">
        <v>7341.0</v>
      </c>
    </row>
    <row r="7343">
      <c r="A7343" s="157">
        <v>7342.0</v>
      </c>
    </row>
    <row r="7344">
      <c r="A7344" s="157">
        <v>7343.0</v>
      </c>
    </row>
    <row r="7345">
      <c r="A7345" s="157">
        <v>7344.0</v>
      </c>
    </row>
    <row r="7346">
      <c r="A7346" s="157">
        <v>7345.0</v>
      </c>
    </row>
    <row r="7347">
      <c r="A7347" s="157">
        <v>7346.0</v>
      </c>
    </row>
    <row r="7348">
      <c r="A7348" s="157">
        <v>7347.0</v>
      </c>
    </row>
    <row r="7349">
      <c r="A7349" s="157">
        <v>7348.0</v>
      </c>
    </row>
    <row r="7350">
      <c r="A7350" s="157">
        <v>7349.0</v>
      </c>
    </row>
    <row r="7351">
      <c r="A7351" s="157">
        <v>7350.0</v>
      </c>
    </row>
    <row r="7352">
      <c r="A7352" s="157">
        <v>7351.0</v>
      </c>
    </row>
    <row r="7353">
      <c r="A7353" s="157">
        <v>7352.0</v>
      </c>
    </row>
    <row r="7354">
      <c r="A7354" s="157">
        <v>7353.0</v>
      </c>
    </row>
    <row r="7355">
      <c r="A7355" s="157">
        <v>7354.0</v>
      </c>
    </row>
    <row r="7356">
      <c r="A7356" s="157">
        <v>7355.0</v>
      </c>
    </row>
    <row r="7357">
      <c r="A7357" s="157">
        <v>7356.0</v>
      </c>
    </row>
    <row r="7358">
      <c r="A7358" s="157">
        <v>7357.0</v>
      </c>
    </row>
    <row r="7359">
      <c r="A7359" s="157">
        <v>7358.0</v>
      </c>
    </row>
    <row r="7360">
      <c r="A7360" s="157">
        <v>7359.0</v>
      </c>
    </row>
    <row r="7361">
      <c r="A7361" s="157">
        <v>7360.0</v>
      </c>
    </row>
    <row r="7362">
      <c r="A7362" s="157">
        <v>7361.0</v>
      </c>
    </row>
    <row r="7363">
      <c r="A7363" s="157">
        <v>7362.0</v>
      </c>
    </row>
    <row r="7364">
      <c r="A7364" s="157">
        <v>7363.0</v>
      </c>
    </row>
    <row r="7365">
      <c r="A7365" s="157">
        <v>7364.0</v>
      </c>
    </row>
    <row r="7366">
      <c r="A7366" s="157">
        <v>7365.0</v>
      </c>
    </row>
    <row r="7367">
      <c r="A7367" s="157">
        <v>7366.0</v>
      </c>
    </row>
    <row r="7368">
      <c r="A7368" s="157">
        <v>7367.0</v>
      </c>
    </row>
    <row r="7369">
      <c r="A7369" s="157">
        <v>7368.0</v>
      </c>
    </row>
    <row r="7370">
      <c r="A7370" s="157">
        <v>7369.0</v>
      </c>
    </row>
    <row r="7371">
      <c r="A7371" s="157">
        <v>7370.0</v>
      </c>
    </row>
    <row r="7372">
      <c r="A7372" s="157">
        <v>7371.0</v>
      </c>
    </row>
    <row r="7373">
      <c r="A7373" s="157">
        <v>7372.0</v>
      </c>
    </row>
    <row r="7374">
      <c r="A7374" s="157">
        <v>7373.0</v>
      </c>
    </row>
    <row r="7375">
      <c r="A7375" s="157">
        <v>7374.0</v>
      </c>
    </row>
    <row r="7376">
      <c r="A7376" s="157">
        <v>7375.0</v>
      </c>
    </row>
    <row r="7377">
      <c r="A7377" s="157">
        <v>7376.0</v>
      </c>
    </row>
    <row r="7378">
      <c r="A7378" s="157">
        <v>7377.0</v>
      </c>
    </row>
    <row r="7379">
      <c r="A7379" s="157">
        <v>7378.0</v>
      </c>
    </row>
    <row r="7380">
      <c r="A7380" s="157">
        <v>7379.0</v>
      </c>
    </row>
    <row r="7381">
      <c r="A7381" s="157">
        <v>7380.0</v>
      </c>
    </row>
    <row r="7382">
      <c r="A7382" s="157">
        <v>7381.0</v>
      </c>
    </row>
    <row r="7383">
      <c r="A7383" s="157">
        <v>7382.0</v>
      </c>
    </row>
    <row r="7384">
      <c r="A7384" s="157">
        <v>7383.0</v>
      </c>
    </row>
    <row r="7385">
      <c r="A7385" s="157">
        <v>7384.0</v>
      </c>
    </row>
    <row r="7386">
      <c r="A7386" s="157">
        <v>7385.0</v>
      </c>
    </row>
    <row r="7387">
      <c r="A7387" s="157">
        <v>7386.0</v>
      </c>
    </row>
    <row r="7388">
      <c r="A7388" s="157">
        <v>7387.0</v>
      </c>
    </row>
    <row r="7389">
      <c r="A7389" s="157">
        <v>7388.0</v>
      </c>
    </row>
    <row r="7390">
      <c r="A7390" s="157">
        <v>7389.0</v>
      </c>
    </row>
    <row r="7391">
      <c r="A7391" s="157">
        <v>7390.0</v>
      </c>
    </row>
    <row r="7392">
      <c r="A7392" s="157">
        <v>7391.0</v>
      </c>
    </row>
    <row r="7393">
      <c r="A7393" s="157">
        <v>7392.0</v>
      </c>
    </row>
    <row r="7394">
      <c r="A7394" s="157">
        <v>7393.0</v>
      </c>
    </row>
    <row r="7395">
      <c r="A7395" s="157">
        <v>7394.0</v>
      </c>
    </row>
    <row r="7396">
      <c r="A7396" s="157">
        <v>7395.0</v>
      </c>
    </row>
    <row r="7397">
      <c r="A7397" s="157">
        <v>7396.0</v>
      </c>
    </row>
    <row r="7398">
      <c r="A7398" s="157">
        <v>7397.0</v>
      </c>
    </row>
    <row r="7399">
      <c r="A7399" s="157">
        <v>7398.0</v>
      </c>
    </row>
    <row r="7400">
      <c r="A7400" s="157">
        <v>7399.0</v>
      </c>
    </row>
    <row r="7401">
      <c r="A7401" s="157">
        <v>7400.0</v>
      </c>
    </row>
    <row r="7402">
      <c r="A7402" s="157">
        <v>7401.0</v>
      </c>
    </row>
    <row r="7403">
      <c r="A7403" s="157">
        <v>7402.0</v>
      </c>
    </row>
    <row r="7404">
      <c r="A7404" s="157">
        <v>7403.0</v>
      </c>
    </row>
    <row r="7405">
      <c r="A7405" s="157">
        <v>7404.0</v>
      </c>
    </row>
    <row r="7406">
      <c r="A7406" s="157">
        <v>7405.0</v>
      </c>
    </row>
    <row r="7407">
      <c r="A7407" s="157">
        <v>7406.0</v>
      </c>
    </row>
    <row r="7408">
      <c r="A7408" s="157">
        <v>7407.0</v>
      </c>
    </row>
    <row r="7409">
      <c r="A7409" s="157">
        <v>7408.0</v>
      </c>
    </row>
    <row r="7410">
      <c r="A7410" s="157">
        <v>7409.0</v>
      </c>
    </row>
    <row r="7411">
      <c r="A7411" s="157">
        <v>7410.0</v>
      </c>
    </row>
    <row r="7412">
      <c r="A7412" s="157">
        <v>7411.0</v>
      </c>
    </row>
    <row r="7413">
      <c r="A7413" s="157">
        <v>7412.0</v>
      </c>
    </row>
    <row r="7414">
      <c r="A7414" s="157">
        <v>7413.0</v>
      </c>
    </row>
    <row r="7415">
      <c r="A7415" s="157">
        <v>7414.0</v>
      </c>
    </row>
    <row r="7416">
      <c r="A7416" s="157">
        <v>7415.0</v>
      </c>
    </row>
    <row r="7417">
      <c r="A7417" s="157">
        <v>7416.0</v>
      </c>
    </row>
    <row r="7418">
      <c r="A7418" s="157">
        <v>7417.0</v>
      </c>
    </row>
    <row r="7419">
      <c r="A7419" s="157">
        <v>7418.0</v>
      </c>
    </row>
    <row r="7420">
      <c r="A7420" s="157">
        <v>7419.0</v>
      </c>
    </row>
    <row r="7421">
      <c r="A7421" s="157">
        <v>7420.0</v>
      </c>
    </row>
    <row r="7422">
      <c r="A7422" s="157">
        <v>7421.0</v>
      </c>
    </row>
    <row r="7423">
      <c r="A7423" s="157">
        <v>7422.0</v>
      </c>
    </row>
    <row r="7424">
      <c r="A7424" s="157">
        <v>7423.0</v>
      </c>
    </row>
    <row r="7425">
      <c r="A7425" s="157">
        <v>7424.0</v>
      </c>
    </row>
    <row r="7426">
      <c r="A7426" s="157">
        <v>7425.0</v>
      </c>
    </row>
    <row r="7427">
      <c r="A7427" s="157">
        <v>7426.0</v>
      </c>
    </row>
    <row r="7428">
      <c r="A7428" s="157">
        <v>7427.0</v>
      </c>
    </row>
    <row r="7429">
      <c r="A7429" s="157">
        <v>7428.0</v>
      </c>
    </row>
    <row r="7430">
      <c r="A7430" s="157">
        <v>7429.0</v>
      </c>
    </row>
    <row r="7431">
      <c r="A7431" s="157">
        <v>7430.0</v>
      </c>
    </row>
    <row r="7432">
      <c r="A7432" s="157">
        <v>7431.0</v>
      </c>
    </row>
    <row r="7433">
      <c r="A7433" s="157">
        <v>7432.0</v>
      </c>
    </row>
    <row r="7434">
      <c r="A7434" s="157">
        <v>7433.0</v>
      </c>
    </row>
    <row r="7435">
      <c r="A7435" s="157">
        <v>7434.0</v>
      </c>
    </row>
    <row r="7436">
      <c r="A7436" s="157">
        <v>7435.0</v>
      </c>
    </row>
    <row r="7437">
      <c r="A7437" s="157">
        <v>7436.0</v>
      </c>
    </row>
    <row r="7438">
      <c r="A7438" s="157">
        <v>7437.0</v>
      </c>
    </row>
    <row r="7439">
      <c r="A7439" s="157">
        <v>7438.0</v>
      </c>
    </row>
    <row r="7440">
      <c r="A7440" s="157">
        <v>7439.0</v>
      </c>
    </row>
    <row r="7441">
      <c r="A7441" s="157">
        <v>7440.0</v>
      </c>
    </row>
    <row r="7442">
      <c r="A7442" s="157">
        <v>7441.0</v>
      </c>
    </row>
    <row r="7443">
      <c r="A7443" s="157">
        <v>7442.0</v>
      </c>
    </row>
    <row r="7444">
      <c r="A7444" s="157">
        <v>7443.0</v>
      </c>
    </row>
    <row r="7445">
      <c r="A7445" s="157">
        <v>7444.0</v>
      </c>
    </row>
    <row r="7446">
      <c r="A7446" s="157">
        <v>7445.0</v>
      </c>
    </row>
    <row r="7447">
      <c r="A7447" s="157">
        <v>7446.0</v>
      </c>
    </row>
    <row r="7448">
      <c r="A7448" s="157">
        <v>7447.0</v>
      </c>
    </row>
    <row r="7449">
      <c r="A7449" s="157">
        <v>7448.0</v>
      </c>
    </row>
    <row r="7450">
      <c r="A7450" s="157">
        <v>7449.0</v>
      </c>
    </row>
    <row r="7451">
      <c r="A7451" s="157">
        <v>7450.0</v>
      </c>
    </row>
    <row r="7452">
      <c r="A7452" s="157">
        <v>7451.0</v>
      </c>
    </row>
    <row r="7453">
      <c r="A7453" s="157">
        <v>7452.0</v>
      </c>
    </row>
    <row r="7454">
      <c r="A7454" s="157">
        <v>7453.0</v>
      </c>
    </row>
    <row r="7455">
      <c r="A7455" s="157">
        <v>7454.0</v>
      </c>
    </row>
    <row r="7456">
      <c r="A7456" s="157">
        <v>7455.0</v>
      </c>
    </row>
    <row r="7457">
      <c r="A7457" s="157">
        <v>7456.0</v>
      </c>
    </row>
    <row r="7458">
      <c r="A7458" s="157">
        <v>7457.0</v>
      </c>
    </row>
    <row r="7459">
      <c r="A7459" s="157">
        <v>7458.0</v>
      </c>
    </row>
    <row r="7460">
      <c r="A7460" s="157">
        <v>7459.0</v>
      </c>
    </row>
    <row r="7461">
      <c r="A7461" s="157">
        <v>7460.0</v>
      </c>
    </row>
    <row r="7462">
      <c r="A7462" s="157">
        <v>7461.0</v>
      </c>
    </row>
    <row r="7463">
      <c r="A7463" s="157">
        <v>7462.0</v>
      </c>
    </row>
    <row r="7464">
      <c r="A7464" s="157">
        <v>7463.0</v>
      </c>
    </row>
    <row r="7465">
      <c r="A7465" s="157">
        <v>7464.0</v>
      </c>
    </row>
    <row r="7466">
      <c r="A7466" s="157">
        <v>7465.0</v>
      </c>
    </row>
    <row r="7467">
      <c r="A7467" s="157">
        <v>7466.0</v>
      </c>
    </row>
    <row r="7468">
      <c r="A7468" s="157">
        <v>7467.0</v>
      </c>
    </row>
    <row r="7469">
      <c r="A7469" s="157">
        <v>7468.0</v>
      </c>
    </row>
    <row r="7470">
      <c r="A7470" s="157">
        <v>7469.0</v>
      </c>
    </row>
    <row r="7471">
      <c r="A7471" s="157">
        <v>7470.0</v>
      </c>
    </row>
    <row r="7472">
      <c r="A7472" s="157">
        <v>7471.0</v>
      </c>
    </row>
    <row r="7473">
      <c r="A7473" s="157">
        <v>7472.0</v>
      </c>
    </row>
    <row r="7474">
      <c r="A7474" s="157">
        <v>7473.0</v>
      </c>
    </row>
    <row r="7475">
      <c r="A7475" s="157">
        <v>7474.0</v>
      </c>
    </row>
    <row r="7476">
      <c r="A7476" s="157">
        <v>7475.0</v>
      </c>
    </row>
    <row r="7477">
      <c r="A7477" s="157">
        <v>7476.0</v>
      </c>
    </row>
    <row r="7478">
      <c r="A7478" s="157">
        <v>7477.0</v>
      </c>
    </row>
    <row r="7479">
      <c r="A7479" s="157">
        <v>7478.0</v>
      </c>
    </row>
    <row r="7480">
      <c r="A7480" s="157">
        <v>7479.0</v>
      </c>
    </row>
    <row r="7481">
      <c r="A7481" s="157">
        <v>7480.0</v>
      </c>
    </row>
    <row r="7482">
      <c r="A7482" s="157">
        <v>7481.0</v>
      </c>
    </row>
    <row r="7483">
      <c r="A7483" s="157">
        <v>7482.0</v>
      </c>
    </row>
    <row r="7484">
      <c r="A7484" s="157">
        <v>7483.0</v>
      </c>
    </row>
    <row r="7485">
      <c r="A7485" s="157">
        <v>7484.0</v>
      </c>
    </row>
    <row r="7486">
      <c r="A7486" s="157">
        <v>7485.0</v>
      </c>
    </row>
    <row r="7487">
      <c r="A7487" s="157">
        <v>7486.0</v>
      </c>
    </row>
    <row r="7488">
      <c r="A7488" s="157">
        <v>7487.0</v>
      </c>
    </row>
    <row r="7489">
      <c r="A7489" s="157">
        <v>7488.0</v>
      </c>
    </row>
    <row r="7490">
      <c r="A7490" s="157">
        <v>7489.0</v>
      </c>
    </row>
    <row r="7491">
      <c r="A7491" s="157">
        <v>7490.0</v>
      </c>
    </row>
    <row r="7492">
      <c r="A7492" s="157">
        <v>7491.0</v>
      </c>
    </row>
    <row r="7493">
      <c r="A7493" s="157">
        <v>7492.0</v>
      </c>
    </row>
    <row r="7494">
      <c r="A7494" s="157">
        <v>7493.0</v>
      </c>
    </row>
    <row r="7495">
      <c r="A7495" s="157">
        <v>7494.0</v>
      </c>
    </row>
    <row r="7496">
      <c r="A7496" s="157">
        <v>7495.0</v>
      </c>
    </row>
    <row r="7497">
      <c r="A7497" s="157">
        <v>7496.0</v>
      </c>
    </row>
    <row r="7498">
      <c r="A7498" s="157">
        <v>7497.0</v>
      </c>
    </row>
    <row r="7499">
      <c r="A7499" s="157">
        <v>7498.0</v>
      </c>
    </row>
    <row r="7500">
      <c r="A7500" s="157">
        <v>7499.0</v>
      </c>
    </row>
    <row r="7501">
      <c r="A7501" s="157">
        <v>7500.0</v>
      </c>
    </row>
    <row r="7502">
      <c r="A7502" s="157">
        <v>7501.0</v>
      </c>
    </row>
    <row r="7503">
      <c r="A7503" s="157">
        <v>7502.0</v>
      </c>
    </row>
    <row r="7504">
      <c r="A7504" s="157">
        <v>7503.0</v>
      </c>
    </row>
    <row r="7505">
      <c r="A7505" s="157">
        <v>7504.0</v>
      </c>
    </row>
    <row r="7506">
      <c r="A7506" s="157">
        <v>7505.0</v>
      </c>
    </row>
    <row r="7507">
      <c r="A7507" s="157">
        <v>7506.0</v>
      </c>
    </row>
    <row r="7508">
      <c r="A7508" s="157">
        <v>7507.0</v>
      </c>
    </row>
    <row r="7509">
      <c r="A7509" s="157">
        <v>7508.0</v>
      </c>
    </row>
    <row r="7510">
      <c r="A7510" s="157">
        <v>7509.0</v>
      </c>
    </row>
    <row r="7511">
      <c r="A7511" s="157">
        <v>7510.0</v>
      </c>
    </row>
    <row r="7512">
      <c r="A7512" s="157">
        <v>7511.0</v>
      </c>
    </row>
    <row r="7513">
      <c r="A7513" s="157">
        <v>7512.0</v>
      </c>
    </row>
    <row r="7514">
      <c r="A7514" s="157">
        <v>7513.0</v>
      </c>
    </row>
    <row r="7515">
      <c r="A7515" s="157">
        <v>7514.0</v>
      </c>
    </row>
    <row r="7516">
      <c r="A7516" s="157">
        <v>7515.0</v>
      </c>
    </row>
    <row r="7517">
      <c r="A7517" s="157">
        <v>7516.0</v>
      </c>
    </row>
    <row r="7518">
      <c r="A7518" s="157">
        <v>7517.0</v>
      </c>
    </row>
    <row r="7519">
      <c r="A7519" s="157">
        <v>7518.0</v>
      </c>
    </row>
    <row r="7520">
      <c r="A7520" s="157">
        <v>7519.0</v>
      </c>
    </row>
    <row r="7521">
      <c r="A7521" s="157">
        <v>7520.0</v>
      </c>
    </row>
    <row r="7522">
      <c r="A7522" s="157">
        <v>7521.0</v>
      </c>
    </row>
    <row r="7523">
      <c r="A7523" s="157">
        <v>7522.0</v>
      </c>
    </row>
    <row r="7524">
      <c r="A7524" s="157">
        <v>7523.0</v>
      </c>
    </row>
    <row r="7525">
      <c r="A7525" s="157">
        <v>7524.0</v>
      </c>
    </row>
    <row r="7526">
      <c r="A7526" s="157">
        <v>7525.0</v>
      </c>
    </row>
    <row r="7527">
      <c r="A7527" s="157">
        <v>7526.0</v>
      </c>
    </row>
    <row r="7528">
      <c r="A7528" s="157">
        <v>7527.0</v>
      </c>
    </row>
    <row r="7529">
      <c r="A7529" s="157">
        <v>7528.0</v>
      </c>
    </row>
    <row r="7530">
      <c r="A7530" s="157">
        <v>7529.0</v>
      </c>
    </row>
    <row r="7531">
      <c r="A7531" s="157">
        <v>7530.0</v>
      </c>
    </row>
    <row r="7532">
      <c r="A7532" s="157">
        <v>7531.0</v>
      </c>
    </row>
    <row r="7533">
      <c r="A7533" s="157">
        <v>7532.0</v>
      </c>
    </row>
    <row r="7534">
      <c r="A7534" s="157">
        <v>7533.0</v>
      </c>
    </row>
    <row r="7535">
      <c r="A7535" s="157">
        <v>7534.0</v>
      </c>
    </row>
    <row r="7536">
      <c r="A7536" s="157">
        <v>7535.0</v>
      </c>
    </row>
    <row r="7537">
      <c r="A7537" s="157">
        <v>7536.0</v>
      </c>
    </row>
    <row r="7538">
      <c r="A7538" s="157">
        <v>7537.0</v>
      </c>
    </row>
    <row r="7539">
      <c r="A7539" s="157">
        <v>7538.0</v>
      </c>
    </row>
    <row r="7540">
      <c r="A7540" s="157">
        <v>7539.0</v>
      </c>
    </row>
    <row r="7541">
      <c r="A7541" s="157">
        <v>7540.0</v>
      </c>
    </row>
    <row r="7542">
      <c r="A7542" s="157">
        <v>7541.0</v>
      </c>
    </row>
    <row r="7543">
      <c r="A7543" s="157">
        <v>7542.0</v>
      </c>
    </row>
    <row r="7544">
      <c r="A7544" s="157">
        <v>7543.0</v>
      </c>
    </row>
    <row r="7545">
      <c r="A7545" s="157">
        <v>7544.0</v>
      </c>
    </row>
    <row r="7546">
      <c r="A7546" s="157">
        <v>7545.0</v>
      </c>
    </row>
    <row r="7547">
      <c r="A7547" s="157">
        <v>7546.0</v>
      </c>
    </row>
    <row r="7548">
      <c r="A7548" s="157">
        <v>7547.0</v>
      </c>
    </row>
    <row r="7549">
      <c r="A7549" s="157">
        <v>7548.0</v>
      </c>
    </row>
    <row r="7550">
      <c r="A7550" s="157">
        <v>7549.0</v>
      </c>
    </row>
    <row r="7551">
      <c r="A7551" s="157">
        <v>7550.0</v>
      </c>
    </row>
    <row r="7552">
      <c r="A7552" s="157">
        <v>7551.0</v>
      </c>
    </row>
    <row r="7553">
      <c r="A7553" s="157">
        <v>7552.0</v>
      </c>
    </row>
    <row r="7554">
      <c r="A7554" s="157">
        <v>7553.0</v>
      </c>
    </row>
    <row r="7555">
      <c r="A7555" s="157">
        <v>7554.0</v>
      </c>
    </row>
    <row r="7556">
      <c r="A7556" s="157">
        <v>7555.0</v>
      </c>
    </row>
    <row r="7557">
      <c r="A7557" s="157">
        <v>7556.0</v>
      </c>
    </row>
    <row r="7558">
      <c r="A7558" s="157">
        <v>7557.0</v>
      </c>
    </row>
    <row r="7559">
      <c r="A7559" s="157">
        <v>7558.0</v>
      </c>
    </row>
    <row r="7560">
      <c r="A7560" s="157">
        <v>7559.0</v>
      </c>
    </row>
    <row r="7561">
      <c r="A7561" s="157">
        <v>7560.0</v>
      </c>
    </row>
    <row r="7562">
      <c r="A7562" s="157">
        <v>7561.0</v>
      </c>
    </row>
    <row r="7563">
      <c r="A7563" s="157">
        <v>7562.0</v>
      </c>
    </row>
    <row r="7564">
      <c r="A7564" s="157">
        <v>7563.0</v>
      </c>
    </row>
    <row r="7565">
      <c r="A7565" s="157">
        <v>7564.0</v>
      </c>
    </row>
    <row r="7566">
      <c r="A7566" s="157">
        <v>7565.0</v>
      </c>
    </row>
    <row r="7567">
      <c r="A7567" s="157">
        <v>7566.0</v>
      </c>
    </row>
    <row r="7568">
      <c r="A7568" s="157">
        <v>7567.0</v>
      </c>
    </row>
    <row r="7569">
      <c r="A7569" s="157">
        <v>7568.0</v>
      </c>
    </row>
    <row r="7570">
      <c r="A7570" s="157">
        <v>7569.0</v>
      </c>
    </row>
    <row r="7571">
      <c r="A7571" s="157">
        <v>7570.0</v>
      </c>
    </row>
    <row r="7572">
      <c r="A7572" s="157">
        <v>7571.0</v>
      </c>
    </row>
    <row r="7573">
      <c r="A7573" s="157">
        <v>7572.0</v>
      </c>
    </row>
    <row r="7574">
      <c r="A7574" s="157">
        <v>7573.0</v>
      </c>
    </row>
    <row r="7575">
      <c r="A7575" s="157">
        <v>7574.0</v>
      </c>
    </row>
    <row r="7576">
      <c r="A7576" s="157">
        <v>7575.0</v>
      </c>
    </row>
    <row r="7577">
      <c r="A7577" s="157">
        <v>7576.0</v>
      </c>
    </row>
    <row r="7578">
      <c r="A7578" s="157">
        <v>7577.0</v>
      </c>
    </row>
    <row r="7579">
      <c r="A7579" s="157">
        <v>7578.0</v>
      </c>
    </row>
    <row r="7580">
      <c r="A7580" s="157">
        <v>7579.0</v>
      </c>
    </row>
    <row r="7581">
      <c r="A7581" s="157">
        <v>7580.0</v>
      </c>
    </row>
    <row r="7582">
      <c r="A7582" s="157">
        <v>7581.0</v>
      </c>
    </row>
    <row r="7583">
      <c r="A7583" s="157">
        <v>7582.0</v>
      </c>
    </row>
    <row r="7584">
      <c r="A7584" s="157">
        <v>7583.0</v>
      </c>
    </row>
    <row r="7585">
      <c r="A7585" s="157">
        <v>7584.0</v>
      </c>
    </row>
    <row r="7586">
      <c r="A7586" s="157">
        <v>7585.0</v>
      </c>
    </row>
    <row r="7587">
      <c r="A7587" s="157">
        <v>7586.0</v>
      </c>
    </row>
    <row r="7588">
      <c r="A7588" s="157">
        <v>7587.0</v>
      </c>
    </row>
    <row r="7589">
      <c r="A7589" s="157">
        <v>7588.0</v>
      </c>
    </row>
    <row r="7590">
      <c r="A7590" s="157">
        <v>7589.0</v>
      </c>
    </row>
    <row r="7591">
      <c r="A7591" s="157">
        <v>7590.0</v>
      </c>
    </row>
    <row r="7592">
      <c r="A7592" s="157">
        <v>7591.0</v>
      </c>
    </row>
    <row r="7593">
      <c r="A7593" s="157">
        <v>7592.0</v>
      </c>
    </row>
    <row r="7594">
      <c r="A7594" s="157">
        <v>7593.0</v>
      </c>
    </row>
    <row r="7595">
      <c r="A7595" s="157">
        <v>7594.0</v>
      </c>
    </row>
    <row r="7596">
      <c r="A7596" s="157">
        <v>7595.0</v>
      </c>
    </row>
    <row r="7597">
      <c r="A7597" s="157">
        <v>7596.0</v>
      </c>
    </row>
    <row r="7598">
      <c r="A7598" s="157">
        <v>7597.0</v>
      </c>
    </row>
    <row r="7599">
      <c r="A7599" s="157">
        <v>7598.0</v>
      </c>
    </row>
    <row r="7600">
      <c r="A7600" s="157">
        <v>7599.0</v>
      </c>
    </row>
    <row r="7601">
      <c r="A7601" s="157">
        <v>7600.0</v>
      </c>
    </row>
    <row r="7602">
      <c r="A7602" s="157">
        <v>7601.0</v>
      </c>
    </row>
    <row r="7603">
      <c r="A7603" s="157">
        <v>7602.0</v>
      </c>
    </row>
    <row r="7604">
      <c r="A7604" s="157">
        <v>7603.0</v>
      </c>
    </row>
    <row r="7605">
      <c r="A7605" s="157">
        <v>7604.0</v>
      </c>
    </row>
    <row r="7606">
      <c r="A7606" s="157">
        <v>7605.0</v>
      </c>
    </row>
    <row r="7607">
      <c r="A7607" s="157">
        <v>7606.0</v>
      </c>
    </row>
    <row r="7608">
      <c r="A7608" s="157">
        <v>7607.0</v>
      </c>
    </row>
    <row r="7609">
      <c r="A7609" s="157">
        <v>7608.0</v>
      </c>
    </row>
    <row r="7610">
      <c r="A7610" s="157">
        <v>7609.0</v>
      </c>
    </row>
    <row r="7611">
      <c r="A7611" s="157">
        <v>7610.0</v>
      </c>
    </row>
    <row r="7612">
      <c r="A7612" s="157">
        <v>7611.0</v>
      </c>
    </row>
    <row r="7613">
      <c r="A7613" s="157">
        <v>7612.0</v>
      </c>
    </row>
    <row r="7614">
      <c r="A7614" s="157">
        <v>7613.0</v>
      </c>
    </row>
    <row r="7615">
      <c r="A7615" s="157">
        <v>7614.0</v>
      </c>
    </row>
    <row r="7616">
      <c r="A7616" s="157">
        <v>7615.0</v>
      </c>
    </row>
    <row r="7617">
      <c r="A7617" s="157">
        <v>7616.0</v>
      </c>
    </row>
    <row r="7618">
      <c r="A7618" s="157">
        <v>7617.0</v>
      </c>
    </row>
    <row r="7619">
      <c r="A7619" s="157">
        <v>7618.0</v>
      </c>
    </row>
    <row r="7620">
      <c r="A7620" s="157">
        <v>7619.0</v>
      </c>
    </row>
    <row r="7621">
      <c r="A7621" s="157">
        <v>7620.0</v>
      </c>
    </row>
    <row r="7622">
      <c r="A7622" s="157">
        <v>7621.0</v>
      </c>
    </row>
    <row r="7623">
      <c r="A7623" s="157">
        <v>7622.0</v>
      </c>
    </row>
    <row r="7624">
      <c r="A7624" s="157">
        <v>7623.0</v>
      </c>
    </row>
    <row r="7625">
      <c r="A7625" s="157">
        <v>7624.0</v>
      </c>
    </row>
    <row r="7626">
      <c r="A7626" s="157">
        <v>7625.0</v>
      </c>
    </row>
    <row r="7627">
      <c r="A7627" s="157">
        <v>7626.0</v>
      </c>
    </row>
    <row r="7628">
      <c r="A7628" s="157">
        <v>7627.0</v>
      </c>
    </row>
    <row r="7629">
      <c r="A7629" s="157">
        <v>7628.0</v>
      </c>
    </row>
    <row r="7630">
      <c r="A7630" s="157">
        <v>7629.0</v>
      </c>
    </row>
    <row r="7631">
      <c r="A7631" s="157">
        <v>7630.0</v>
      </c>
    </row>
    <row r="7632">
      <c r="A7632" s="157">
        <v>7631.0</v>
      </c>
    </row>
    <row r="7633">
      <c r="A7633" s="157">
        <v>7632.0</v>
      </c>
    </row>
    <row r="7634">
      <c r="A7634" s="157">
        <v>7633.0</v>
      </c>
    </row>
    <row r="7635">
      <c r="A7635" s="157">
        <v>7634.0</v>
      </c>
    </row>
    <row r="7636">
      <c r="A7636" s="157">
        <v>7635.0</v>
      </c>
    </row>
    <row r="7637">
      <c r="A7637" s="157">
        <v>7636.0</v>
      </c>
    </row>
    <row r="7638">
      <c r="A7638" s="157">
        <v>7637.0</v>
      </c>
    </row>
    <row r="7639">
      <c r="A7639" s="157">
        <v>7638.0</v>
      </c>
    </row>
    <row r="7640">
      <c r="A7640" s="157">
        <v>7639.0</v>
      </c>
    </row>
    <row r="7641">
      <c r="A7641" s="157">
        <v>7640.0</v>
      </c>
    </row>
    <row r="7642">
      <c r="A7642" s="157">
        <v>7641.0</v>
      </c>
    </row>
    <row r="7643">
      <c r="A7643" s="157">
        <v>7642.0</v>
      </c>
    </row>
    <row r="7644">
      <c r="A7644" s="157">
        <v>7643.0</v>
      </c>
    </row>
    <row r="7645">
      <c r="A7645" s="157">
        <v>7644.0</v>
      </c>
    </row>
    <row r="7646">
      <c r="A7646" s="157">
        <v>7645.0</v>
      </c>
    </row>
    <row r="7647">
      <c r="A7647" s="157">
        <v>7646.0</v>
      </c>
    </row>
    <row r="7648">
      <c r="A7648" s="157">
        <v>7647.0</v>
      </c>
    </row>
    <row r="7649">
      <c r="A7649" s="157">
        <v>7648.0</v>
      </c>
    </row>
    <row r="7650">
      <c r="A7650" s="157">
        <v>7649.0</v>
      </c>
    </row>
    <row r="7651">
      <c r="A7651" s="157">
        <v>7650.0</v>
      </c>
    </row>
    <row r="7652">
      <c r="A7652" s="157">
        <v>7651.0</v>
      </c>
    </row>
    <row r="7653">
      <c r="A7653" s="157">
        <v>7652.0</v>
      </c>
    </row>
    <row r="7654">
      <c r="A7654" s="157">
        <v>7653.0</v>
      </c>
    </row>
    <row r="7655">
      <c r="A7655" s="157">
        <v>7654.0</v>
      </c>
    </row>
    <row r="7656">
      <c r="A7656" s="157">
        <v>7655.0</v>
      </c>
    </row>
    <row r="7657">
      <c r="A7657" s="157">
        <v>7656.0</v>
      </c>
    </row>
    <row r="7658">
      <c r="A7658" s="157">
        <v>7657.0</v>
      </c>
    </row>
    <row r="7659">
      <c r="A7659" s="157">
        <v>7658.0</v>
      </c>
    </row>
    <row r="7660">
      <c r="A7660" s="157">
        <v>7659.0</v>
      </c>
    </row>
    <row r="7661">
      <c r="A7661" s="157">
        <v>7660.0</v>
      </c>
    </row>
    <row r="7662">
      <c r="A7662" s="157">
        <v>7661.0</v>
      </c>
    </row>
    <row r="7663">
      <c r="A7663" s="157">
        <v>7662.0</v>
      </c>
    </row>
    <row r="7664">
      <c r="A7664" s="157">
        <v>7663.0</v>
      </c>
    </row>
    <row r="7665">
      <c r="A7665" s="157">
        <v>7664.0</v>
      </c>
    </row>
    <row r="7666">
      <c r="A7666" s="157">
        <v>7665.0</v>
      </c>
    </row>
    <row r="7667">
      <c r="A7667" s="157">
        <v>7666.0</v>
      </c>
    </row>
    <row r="7668">
      <c r="A7668" s="157">
        <v>7667.0</v>
      </c>
    </row>
    <row r="7669">
      <c r="A7669" s="157">
        <v>7668.0</v>
      </c>
    </row>
    <row r="7670">
      <c r="A7670" s="157">
        <v>7669.0</v>
      </c>
    </row>
    <row r="7671">
      <c r="A7671" s="157">
        <v>7670.0</v>
      </c>
    </row>
    <row r="7672">
      <c r="A7672" s="157">
        <v>7671.0</v>
      </c>
    </row>
    <row r="7673">
      <c r="A7673" s="157">
        <v>7672.0</v>
      </c>
    </row>
    <row r="7674">
      <c r="A7674" s="157">
        <v>7673.0</v>
      </c>
    </row>
    <row r="7675">
      <c r="A7675" s="157">
        <v>7674.0</v>
      </c>
    </row>
    <row r="7676">
      <c r="A7676" s="157">
        <v>7675.0</v>
      </c>
    </row>
    <row r="7677">
      <c r="A7677" s="157">
        <v>7676.0</v>
      </c>
    </row>
    <row r="7678">
      <c r="A7678" s="157">
        <v>7677.0</v>
      </c>
    </row>
    <row r="7679">
      <c r="A7679" s="157">
        <v>7678.0</v>
      </c>
    </row>
    <row r="7680">
      <c r="A7680" s="157">
        <v>7679.0</v>
      </c>
    </row>
    <row r="7681">
      <c r="A7681" s="157">
        <v>7680.0</v>
      </c>
    </row>
    <row r="7682">
      <c r="A7682" s="157">
        <v>7681.0</v>
      </c>
    </row>
    <row r="7683">
      <c r="A7683" s="157">
        <v>7682.0</v>
      </c>
    </row>
    <row r="7684">
      <c r="A7684" s="157">
        <v>7683.0</v>
      </c>
    </row>
    <row r="7685">
      <c r="A7685" s="157">
        <v>7684.0</v>
      </c>
    </row>
    <row r="7686">
      <c r="A7686" s="157">
        <v>7685.0</v>
      </c>
    </row>
    <row r="7687">
      <c r="A7687" s="157">
        <v>7686.0</v>
      </c>
    </row>
    <row r="7688">
      <c r="A7688" s="157">
        <v>7687.0</v>
      </c>
    </row>
    <row r="7689">
      <c r="A7689" s="157">
        <v>7688.0</v>
      </c>
    </row>
    <row r="7690">
      <c r="A7690" s="157">
        <v>7689.0</v>
      </c>
    </row>
    <row r="7691">
      <c r="A7691" s="157">
        <v>7690.0</v>
      </c>
    </row>
    <row r="7692">
      <c r="A7692" s="157">
        <v>7691.0</v>
      </c>
    </row>
    <row r="7693">
      <c r="A7693" s="157">
        <v>7692.0</v>
      </c>
    </row>
    <row r="7694">
      <c r="A7694" s="157">
        <v>7693.0</v>
      </c>
    </row>
    <row r="7695">
      <c r="A7695" s="157">
        <v>7694.0</v>
      </c>
    </row>
    <row r="7696">
      <c r="A7696" s="157">
        <v>7695.0</v>
      </c>
    </row>
    <row r="7697">
      <c r="A7697" s="157">
        <v>7696.0</v>
      </c>
    </row>
    <row r="7698">
      <c r="A7698" s="157">
        <v>7697.0</v>
      </c>
    </row>
    <row r="7699">
      <c r="A7699" s="157">
        <v>7698.0</v>
      </c>
    </row>
    <row r="7700">
      <c r="A7700" s="157">
        <v>7699.0</v>
      </c>
    </row>
    <row r="7701">
      <c r="A7701" s="157">
        <v>7700.0</v>
      </c>
    </row>
    <row r="7702">
      <c r="A7702" s="157">
        <v>7701.0</v>
      </c>
    </row>
    <row r="7703">
      <c r="A7703" s="157">
        <v>7702.0</v>
      </c>
    </row>
    <row r="7704">
      <c r="A7704" s="157">
        <v>7703.0</v>
      </c>
    </row>
    <row r="7705">
      <c r="A7705" s="157">
        <v>7704.0</v>
      </c>
    </row>
    <row r="7706">
      <c r="A7706" s="157">
        <v>7705.0</v>
      </c>
    </row>
    <row r="7707">
      <c r="A7707" s="157">
        <v>7706.0</v>
      </c>
    </row>
    <row r="7708">
      <c r="A7708" s="157">
        <v>7707.0</v>
      </c>
    </row>
    <row r="7709">
      <c r="A7709" s="157">
        <v>7708.0</v>
      </c>
    </row>
    <row r="7710">
      <c r="A7710" s="157">
        <v>7709.0</v>
      </c>
    </row>
    <row r="7711">
      <c r="A7711" s="157">
        <v>7710.0</v>
      </c>
    </row>
    <row r="7712">
      <c r="A7712" s="157">
        <v>7711.0</v>
      </c>
    </row>
    <row r="7713">
      <c r="A7713" s="157">
        <v>7712.0</v>
      </c>
    </row>
    <row r="7714">
      <c r="A7714" s="157">
        <v>7713.0</v>
      </c>
    </row>
    <row r="7715">
      <c r="A7715" s="157">
        <v>7714.0</v>
      </c>
    </row>
    <row r="7716">
      <c r="A7716" s="157">
        <v>7715.0</v>
      </c>
    </row>
    <row r="7717">
      <c r="A7717" s="157">
        <v>7716.0</v>
      </c>
    </row>
    <row r="7718">
      <c r="A7718" s="157">
        <v>7717.0</v>
      </c>
    </row>
    <row r="7719">
      <c r="A7719" s="157">
        <v>7718.0</v>
      </c>
    </row>
    <row r="7720">
      <c r="A7720" s="157">
        <v>7719.0</v>
      </c>
    </row>
    <row r="7721">
      <c r="A7721" s="157">
        <v>7720.0</v>
      </c>
    </row>
    <row r="7722">
      <c r="A7722" s="157">
        <v>7721.0</v>
      </c>
    </row>
    <row r="7723">
      <c r="A7723" s="157">
        <v>7722.0</v>
      </c>
    </row>
    <row r="7724">
      <c r="A7724" s="157">
        <v>7723.0</v>
      </c>
    </row>
    <row r="7725">
      <c r="A7725" s="157">
        <v>7724.0</v>
      </c>
    </row>
    <row r="7726">
      <c r="A7726" s="157">
        <v>7725.0</v>
      </c>
    </row>
    <row r="7727">
      <c r="A7727" s="157">
        <v>7726.0</v>
      </c>
    </row>
    <row r="7728">
      <c r="A7728" s="157">
        <v>7727.0</v>
      </c>
    </row>
    <row r="7729">
      <c r="A7729" s="157">
        <v>7728.0</v>
      </c>
    </row>
    <row r="7730">
      <c r="A7730" s="157">
        <v>7729.0</v>
      </c>
    </row>
    <row r="7731">
      <c r="A7731" s="157">
        <v>7730.0</v>
      </c>
    </row>
    <row r="7732">
      <c r="A7732" s="157">
        <v>7731.0</v>
      </c>
    </row>
    <row r="7733">
      <c r="A7733" s="157">
        <v>7732.0</v>
      </c>
    </row>
    <row r="7734">
      <c r="A7734" s="157">
        <v>7733.0</v>
      </c>
    </row>
    <row r="7735">
      <c r="A7735" s="157">
        <v>7734.0</v>
      </c>
    </row>
    <row r="7736">
      <c r="A7736" s="157">
        <v>7735.0</v>
      </c>
    </row>
    <row r="7737">
      <c r="A7737" s="157">
        <v>7736.0</v>
      </c>
    </row>
    <row r="7738">
      <c r="A7738" s="157">
        <v>7737.0</v>
      </c>
    </row>
    <row r="7739">
      <c r="A7739" s="157">
        <v>7738.0</v>
      </c>
    </row>
    <row r="7740">
      <c r="A7740" s="157">
        <v>7739.0</v>
      </c>
    </row>
    <row r="7741">
      <c r="A7741" s="157">
        <v>7740.0</v>
      </c>
    </row>
    <row r="7742">
      <c r="A7742" s="157">
        <v>7741.0</v>
      </c>
    </row>
    <row r="7743">
      <c r="A7743" s="157">
        <v>7742.0</v>
      </c>
    </row>
    <row r="7744">
      <c r="A7744" s="157">
        <v>7743.0</v>
      </c>
    </row>
    <row r="7745">
      <c r="A7745" s="157">
        <v>7744.0</v>
      </c>
    </row>
    <row r="7746">
      <c r="A7746" s="157">
        <v>7745.0</v>
      </c>
    </row>
    <row r="7747">
      <c r="A7747" s="157">
        <v>7746.0</v>
      </c>
    </row>
    <row r="7748">
      <c r="A7748" s="157">
        <v>7747.0</v>
      </c>
    </row>
    <row r="7749">
      <c r="A7749" s="157">
        <v>7748.0</v>
      </c>
    </row>
    <row r="7750">
      <c r="A7750" s="157">
        <v>7749.0</v>
      </c>
    </row>
    <row r="7751">
      <c r="A7751" s="157">
        <v>7750.0</v>
      </c>
    </row>
    <row r="7752">
      <c r="A7752" s="157">
        <v>7751.0</v>
      </c>
    </row>
    <row r="7753">
      <c r="A7753" s="157">
        <v>7752.0</v>
      </c>
    </row>
    <row r="7754">
      <c r="A7754" s="157">
        <v>7753.0</v>
      </c>
    </row>
    <row r="7755">
      <c r="A7755" s="157">
        <v>7754.0</v>
      </c>
    </row>
    <row r="7756">
      <c r="A7756" s="157">
        <v>7755.0</v>
      </c>
    </row>
    <row r="7757">
      <c r="A7757" s="157">
        <v>7756.0</v>
      </c>
    </row>
    <row r="7758">
      <c r="A7758" s="157">
        <v>7757.0</v>
      </c>
    </row>
    <row r="7759">
      <c r="A7759" s="157">
        <v>7758.0</v>
      </c>
    </row>
    <row r="7760">
      <c r="A7760" s="157">
        <v>7759.0</v>
      </c>
    </row>
    <row r="7761">
      <c r="A7761" s="157">
        <v>7760.0</v>
      </c>
    </row>
    <row r="7762">
      <c r="A7762" s="157">
        <v>7761.0</v>
      </c>
    </row>
    <row r="7763">
      <c r="A7763" s="157">
        <v>7762.0</v>
      </c>
    </row>
    <row r="7764">
      <c r="A7764" s="157">
        <v>7763.0</v>
      </c>
    </row>
    <row r="7765">
      <c r="A7765" s="157">
        <v>7764.0</v>
      </c>
    </row>
    <row r="7766">
      <c r="A7766" s="157">
        <v>7765.0</v>
      </c>
    </row>
    <row r="7767">
      <c r="A7767" s="157">
        <v>7766.0</v>
      </c>
    </row>
    <row r="7768">
      <c r="A7768" s="157">
        <v>7767.0</v>
      </c>
    </row>
    <row r="7769">
      <c r="A7769" s="157">
        <v>7768.0</v>
      </c>
    </row>
    <row r="7770">
      <c r="A7770" s="157">
        <v>7769.0</v>
      </c>
    </row>
    <row r="7771">
      <c r="A7771" s="157">
        <v>7770.0</v>
      </c>
    </row>
    <row r="7772">
      <c r="A7772" s="157">
        <v>7771.0</v>
      </c>
    </row>
    <row r="7773">
      <c r="A7773" s="157">
        <v>7772.0</v>
      </c>
    </row>
    <row r="7774">
      <c r="A7774" s="157">
        <v>7773.0</v>
      </c>
    </row>
    <row r="7775">
      <c r="A7775" s="157">
        <v>7774.0</v>
      </c>
    </row>
    <row r="7776">
      <c r="A7776" s="157">
        <v>7775.0</v>
      </c>
    </row>
    <row r="7777">
      <c r="A7777" s="157">
        <v>7776.0</v>
      </c>
    </row>
    <row r="7778">
      <c r="A7778" s="157">
        <v>7777.0</v>
      </c>
    </row>
    <row r="7779">
      <c r="A7779" s="157">
        <v>7778.0</v>
      </c>
    </row>
    <row r="7780">
      <c r="A7780" s="157">
        <v>7779.0</v>
      </c>
    </row>
    <row r="7781">
      <c r="A7781" s="157">
        <v>7780.0</v>
      </c>
    </row>
    <row r="7782">
      <c r="A7782" s="157">
        <v>7781.0</v>
      </c>
    </row>
    <row r="7783">
      <c r="A7783" s="157">
        <v>7782.0</v>
      </c>
    </row>
    <row r="7784">
      <c r="A7784" s="157">
        <v>7783.0</v>
      </c>
    </row>
    <row r="7785">
      <c r="A7785" s="157">
        <v>7784.0</v>
      </c>
    </row>
    <row r="7786">
      <c r="A7786" s="157">
        <v>7785.0</v>
      </c>
    </row>
    <row r="7787">
      <c r="A7787" s="157">
        <v>7786.0</v>
      </c>
    </row>
    <row r="7788">
      <c r="A7788" s="157">
        <v>7787.0</v>
      </c>
    </row>
    <row r="7789">
      <c r="A7789" s="157">
        <v>7788.0</v>
      </c>
    </row>
    <row r="7790">
      <c r="A7790" s="157">
        <v>7789.0</v>
      </c>
    </row>
    <row r="7791">
      <c r="A7791" s="157">
        <v>7790.0</v>
      </c>
    </row>
    <row r="7792">
      <c r="A7792" s="157">
        <v>7791.0</v>
      </c>
    </row>
    <row r="7793">
      <c r="A7793" s="157">
        <v>7792.0</v>
      </c>
    </row>
    <row r="7794">
      <c r="A7794" s="157">
        <v>7793.0</v>
      </c>
    </row>
    <row r="7795">
      <c r="A7795" s="157">
        <v>7794.0</v>
      </c>
    </row>
    <row r="7796">
      <c r="A7796" s="157">
        <v>7795.0</v>
      </c>
    </row>
    <row r="7797">
      <c r="A7797" s="157">
        <v>7796.0</v>
      </c>
    </row>
    <row r="7798">
      <c r="A7798" s="157">
        <v>7797.0</v>
      </c>
    </row>
    <row r="7799">
      <c r="A7799" s="157">
        <v>7798.0</v>
      </c>
    </row>
    <row r="7800">
      <c r="A7800" s="157">
        <v>7799.0</v>
      </c>
    </row>
    <row r="7801">
      <c r="A7801" s="157">
        <v>7800.0</v>
      </c>
    </row>
    <row r="7802">
      <c r="A7802" s="157">
        <v>7801.0</v>
      </c>
    </row>
    <row r="7803">
      <c r="A7803" s="157">
        <v>7802.0</v>
      </c>
    </row>
    <row r="7804">
      <c r="A7804" s="157">
        <v>7803.0</v>
      </c>
    </row>
    <row r="7805">
      <c r="A7805" s="157">
        <v>7804.0</v>
      </c>
    </row>
    <row r="7806">
      <c r="A7806" s="157">
        <v>7805.0</v>
      </c>
    </row>
    <row r="7807">
      <c r="A7807" s="157">
        <v>7806.0</v>
      </c>
    </row>
    <row r="7808">
      <c r="A7808" s="157">
        <v>7807.0</v>
      </c>
    </row>
    <row r="7809">
      <c r="A7809" s="157">
        <v>7808.0</v>
      </c>
    </row>
    <row r="7810">
      <c r="A7810" s="157">
        <v>7809.0</v>
      </c>
    </row>
    <row r="7811">
      <c r="A7811" s="157">
        <v>7810.0</v>
      </c>
    </row>
    <row r="7812">
      <c r="A7812" s="157">
        <v>7811.0</v>
      </c>
    </row>
    <row r="7813">
      <c r="A7813" s="157">
        <v>7812.0</v>
      </c>
    </row>
    <row r="7814">
      <c r="A7814" s="157">
        <v>7813.0</v>
      </c>
    </row>
    <row r="7815">
      <c r="A7815" s="157">
        <v>7814.0</v>
      </c>
    </row>
    <row r="7816">
      <c r="A7816" s="157">
        <v>7815.0</v>
      </c>
    </row>
    <row r="7817">
      <c r="A7817" s="157">
        <v>7816.0</v>
      </c>
    </row>
    <row r="7818">
      <c r="A7818" s="157">
        <v>7817.0</v>
      </c>
    </row>
    <row r="7819">
      <c r="A7819" s="157">
        <v>7818.0</v>
      </c>
    </row>
    <row r="7820">
      <c r="A7820" s="157">
        <v>7819.0</v>
      </c>
    </row>
    <row r="7821">
      <c r="A7821" s="157">
        <v>7820.0</v>
      </c>
    </row>
    <row r="7822">
      <c r="A7822" s="157">
        <v>7821.0</v>
      </c>
    </row>
    <row r="7823">
      <c r="A7823" s="157">
        <v>7822.0</v>
      </c>
    </row>
    <row r="7824">
      <c r="A7824" s="157">
        <v>7823.0</v>
      </c>
    </row>
    <row r="7825">
      <c r="A7825" s="157">
        <v>7824.0</v>
      </c>
    </row>
    <row r="7826">
      <c r="A7826" s="157">
        <v>7825.0</v>
      </c>
    </row>
    <row r="7827">
      <c r="A7827" s="157">
        <v>7826.0</v>
      </c>
    </row>
    <row r="7828">
      <c r="A7828" s="157">
        <v>7827.0</v>
      </c>
    </row>
    <row r="7829">
      <c r="A7829" s="157">
        <v>7828.0</v>
      </c>
    </row>
    <row r="7830">
      <c r="A7830" s="157">
        <v>7829.0</v>
      </c>
    </row>
    <row r="7831">
      <c r="A7831" s="157">
        <v>7830.0</v>
      </c>
    </row>
    <row r="7832">
      <c r="A7832" s="157">
        <v>7831.0</v>
      </c>
    </row>
    <row r="7833">
      <c r="A7833" s="157">
        <v>7832.0</v>
      </c>
    </row>
    <row r="7834">
      <c r="A7834" s="157">
        <v>7833.0</v>
      </c>
    </row>
    <row r="7835">
      <c r="A7835" s="157">
        <v>7834.0</v>
      </c>
    </row>
    <row r="7836">
      <c r="A7836" s="157">
        <v>7835.0</v>
      </c>
    </row>
    <row r="7837">
      <c r="A7837" s="157">
        <v>7836.0</v>
      </c>
    </row>
    <row r="7838">
      <c r="A7838" s="157">
        <v>7837.0</v>
      </c>
    </row>
    <row r="7839">
      <c r="A7839" s="157">
        <v>7838.0</v>
      </c>
    </row>
    <row r="7840">
      <c r="A7840" s="157">
        <v>7839.0</v>
      </c>
    </row>
    <row r="7841">
      <c r="A7841" s="157">
        <v>7840.0</v>
      </c>
    </row>
    <row r="7842">
      <c r="A7842" s="157">
        <v>7841.0</v>
      </c>
    </row>
    <row r="7843">
      <c r="A7843" s="157">
        <v>7842.0</v>
      </c>
    </row>
    <row r="7844">
      <c r="A7844" s="157">
        <v>7843.0</v>
      </c>
    </row>
    <row r="7845">
      <c r="A7845" s="157">
        <v>7844.0</v>
      </c>
    </row>
    <row r="7846">
      <c r="A7846" s="157">
        <v>7845.0</v>
      </c>
    </row>
    <row r="7847">
      <c r="A7847" s="157">
        <v>7846.0</v>
      </c>
    </row>
    <row r="7848">
      <c r="A7848" s="157">
        <v>7847.0</v>
      </c>
    </row>
    <row r="7849">
      <c r="A7849" s="157">
        <v>7848.0</v>
      </c>
    </row>
    <row r="7850">
      <c r="A7850" s="157">
        <v>7849.0</v>
      </c>
    </row>
    <row r="7851">
      <c r="A7851" s="157">
        <v>7850.0</v>
      </c>
    </row>
    <row r="7852">
      <c r="A7852" s="157">
        <v>7851.0</v>
      </c>
    </row>
    <row r="7853">
      <c r="A7853" s="157">
        <v>7852.0</v>
      </c>
    </row>
    <row r="7854">
      <c r="A7854" s="157">
        <v>7853.0</v>
      </c>
    </row>
    <row r="7855">
      <c r="A7855" s="157">
        <v>7854.0</v>
      </c>
    </row>
    <row r="7856">
      <c r="A7856" s="157">
        <v>7855.0</v>
      </c>
    </row>
    <row r="7857">
      <c r="A7857" s="157">
        <v>7856.0</v>
      </c>
    </row>
    <row r="7858">
      <c r="A7858" s="157">
        <v>7857.0</v>
      </c>
    </row>
    <row r="7859">
      <c r="A7859" s="157">
        <v>7858.0</v>
      </c>
    </row>
    <row r="7860">
      <c r="A7860" s="157">
        <v>7859.0</v>
      </c>
    </row>
    <row r="7861">
      <c r="A7861" s="157">
        <v>7860.0</v>
      </c>
    </row>
    <row r="7862">
      <c r="A7862" s="157">
        <v>7861.0</v>
      </c>
    </row>
    <row r="7863">
      <c r="A7863" s="157">
        <v>7862.0</v>
      </c>
    </row>
    <row r="7864">
      <c r="A7864" s="157">
        <v>7863.0</v>
      </c>
    </row>
    <row r="7865">
      <c r="A7865" s="157">
        <v>7864.0</v>
      </c>
    </row>
    <row r="7866">
      <c r="A7866" s="157">
        <v>7865.0</v>
      </c>
    </row>
    <row r="7867">
      <c r="A7867" s="157">
        <v>7866.0</v>
      </c>
    </row>
    <row r="7868">
      <c r="A7868" s="157">
        <v>7867.0</v>
      </c>
    </row>
    <row r="7869">
      <c r="A7869" s="157">
        <v>7868.0</v>
      </c>
    </row>
    <row r="7870">
      <c r="A7870" s="157">
        <v>7869.0</v>
      </c>
    </row>
    <row r="7871">
      <c r="A7871" s="157">
        <v>7870.0</v>
      </c>
    </row>
    <row r="7872">
      <c r="A7872" s="157">
        <v>7871.0</v>
      </c>
    </row>
    <row r="7873">
      <c r="A7873" s="157">
        <v>7872.0</v>
      </c>
    </row>
    <row r="7874">
      <c r="A7874" s="157">
        <v>7873.0</v>
      </c>
    </row>
    <row r="7875">
      <c r="A7875" s="157">
        <v>7874.0</v>
      </c>
    </row>
    <row r="7876">
      <c r="A7876" s="157">
        <v>7875.0</v>
      </c>
    </row>
    <row r="7877">
      <c r="A7877" s="157">
        <v>7876.0</v>
      </c>
    </row>
    <row r="7878">
      <c r="A7878" s="157">
        <v>7877.0</v>
      </c>
    </row>
    <row r="7879">
      <c r="A7879" s="157">
        <v>7878.0</v>
      </c>
    </row>
    <row r="7880">
      <c r="A7880" s="157">
        <v>7879.0</v>
      </c>
    </row>
    <row r="7881">
      <c r="A7881" s="157">
        <v>7880.0</v>
      </c>
    </row>
    <row r="7882">
      <c r="A7882" s="157">
        <v>7881.0</v>
      </c>
    </row>
    <row r="7883">
      <c r="A7883" s="157">
        <v>7882.0</v>
      </c>
    </row>
    <row r="7884">
      <c r="A7884" s="157">
        <v>7883.0</v>
      </c>
    </row>
    <row r="7885">
      <c r="A7885" s="157">
        <v>7884.0</v>
      </c>
    </row>
    <row r="7886">
      <c r="A7886" s="157">
        <v>7885.0</v>
      </c>
    </row>
    <row r="7887">
      <c r="A7887" s="157">
        <v>7886.0</v>
      </c>
    </row>
    <row r="7888">
      <c r="A7888" s="157">
        <v>7887.0</v>
      </c>
    </row>
    <row r="7889">
      <c r="A7889" s="157">
        <v>7888.0</v>
      </c>
    </row>
    <row r="7890">
      <c r="A7890" s="157">
        <v>7889.0</v>
      </c>
    </row>
    <row r="7891">
      <c r="A7891" s="157">
        <v>7890.0</v>
      </c>
    </row>
    <row r="7892">
      <c r="A7892" s="157">
        <v>7891.0</v>
      </c>
    </row>
    <row r="7893">
      <c r="A7893" s="157">
        <v>7892.0</v>
      </c>
    </row>
    <row r="7894">
      <c r="A7894" s="157">
        <v>7893.0</v>
      </c>
    </row>
    <row r="7895">
      <c r="A7895" s="157">
        <v>7894.0</v>
      </c>
    </row>
    <row r="7896">
      <c r="A7896" s="157">
        <v>7895.0</v>
      </c>
    </row>
    <row r="7897">
      <c r="A7897" s="157">
        <v>7896.0</v>
      </c>
    </row>
    <row r="7898">
      <c r="A7898" s="157">
        <v>7897.0</v>
      </c>
    </row>
    <row r="7899">
      <c r="A7899" s="157">
        <v>7898.0</v>
      </c>
    </row>
    <row r="7900">
      <c r="A7900" s="157">
        <v>7899.0</v>
      </c>
    </row>
    <row r="7901">
      <c r="A7901" s="157">
        <v>7900.0</v>
      </c>
    </row>
    <row r="7902">
      <c r="A7902" s="157">
        <v>7901.0</v>
      </c>
    </row>
    <row r="7903">
      <c r="A7903" s="157">
        <v>7902.0</v>
      </c>
    </row>
    <row r="7904">
      <c r="A7904" s="157">
        <v>7903.0</v>
      </c>
    </row>
    <row r="7905">
      <c r="A7905" s="157">
        <v>7904.0</v>
      </c>
    </row>
    <row r="7906">
      <c r="A7906" s="157">
        <v>7905.0</v>
      </c>
    </row>
    <row r="7907">
      <c r="A7907" s="157">
        <v>7906.0</v>
      </c>
    </row>
    <row r="7908">
      <c r="A7908" s="157">
        <v>7907.0</v>
      </c>
    </row>
    <row r="7909">
      <c r="A7909" s="157">
        <v>7908.0</v>
      </c>
    </row>
    <row r="7910">
      <c r="A7910" s="157">
        <v>7909.0</v>
      </c>
    </row>
    <row r="7911">
      <c r="A7911" s="157">
        <v>7910.0</v>
      </c>
    </row>
    <row r="7912">
      <c r="A7912" s="157">
        <v>7911.0</v>
      </c>
    </row>
    <row r="7913">
      <c r="A7913" s="157">
        <v>7912.0</v>
      </c>
    </row>
    <row r="7914">
      <c r="A7914" s="157">
        <v>7913.0</v>
      </c>
    </row>
    <row r="7915">
      <c r="A7915" s="157">
        <v>7914.0</v>
      </c>
    </row>
    <row r="7916">
      <c r="A7916" s="157">
        <v>7915.0</v>
      </c>
    </row>
    <row r="7917">
      <c r="A7917" s="157">
        <v>7916.0</v>
      </c>
    </row>
    <row r="7918">
      <c r="A7918" s="157">
        <v>7917.0</v>
      </c>
    </row>
    <row r="7919">
      <c r="A7919" s="157">
        <v>7918.0</v>
      </c>
    </row>
    <row r="7920">
      <c r="A7920" s="157">
        <v>7919.0</v>
      </c>
    </row>
    <row r="7921">
      <c r="A7921" s="157">
        <v>7920.0</v>
      </c>
    </row>
    <row r="7922">
      <c r="A7922" s="157">
        <v>7921.0</v>
      </c>
    </row>
    <row r="7923">
      <c r="A7923" s="157">
        <v>7922.0</v>
      </c>
    </row>
    <row r="7924">
      <c r="A7924" s="157">
        <v>7923.0</v>
      </c>
    </row>
    <row r="7925">
      <c r="A7925" s="157">
        <v>7924.0</v>
      </c>
    </row>
    <row r="7926">
      <c r="A7926" s="157">
        <v>7925.0</v>
      </c>
    </row>
    <row r="7927">
      <c r="A7927" s="157">
        <v>7926.0</v>
      </c>
    </row>
    <row r="7928">
      <c r="A7928" s="157">
        <v>7927.0</v>
      </c>
    </row>
    <row r="7929">
      <c r="A7929" s="157">
        <v>7928.0</v>
      </c>
    </row>
    <row r="7930">
      <c r="A7930" s="157">
        <v>7929.0</v>
      </c>
    </row>
    <row r="7931">
      <c r="A7931" s="157">
        <v>7930.0</v>
      </c>
    </row>
    <row r="7932">
      <c r="A7932" s="157">
        <v>7931.0</v>
      </c>
    </row>
    <row r="7933">
      <c r="A7933" s="157">
        <v>7932.0</v>
      </c>
    </row>
    <row r="7934">
      <c r="A7934" s="157">
        <v>7933.0</v>
      </c>
    </row>
    <row r="7935">
      <c r="A7935" s="157">
        <v>7934.0</v>
      </c>
    </row>
    <row r="7936">
      <c r="A7936" s="157">
        <v>7935.0</v>
      </c>
    </row>
    <row r="7937">
      <c r="A7937" s="157">
        <v>7936.0</v>
      </c>
    </row>
    <row r="7938">
      <c r="A7938" s="157">
        <v>7937.0</v>
      </c>
    </row>
    <row r="7939">
      <c r="A7939" s="157">
        <v>7938.0</v>
      </c>
    </row>
    <row r="7940">
      <c r="A7940" s="157">
        <v>7939.0</v>
      </c>
    </row>
    <row r="7941">
      <c r="A7941" s="157">
        <v>7940.0</v>
      </c>
    </row>
    <row r="7942">
      <c r="A7942" s="157">
        <v>7941.0</v>
      </c>
    </row>
    <row r="7943">
      <c r="A7943" s="157">
        <v>7942.0</v>
      </c>
    </row>
    <row r="7944">
      <c r="A7944" s="157">
        <v>7943.0</v>
      </c>
    </row>
    <row r="7945">
      <c r="A7945" s="157">
        <v>7944.0</v>
      </c>
    </row>
    <row r="7946">
      <c r="A7946" s="157">
        <v>7945.0</v>
      </c>
    </row>
    <row r="7947">
      <c r="A7947" s="157">
        <v>7946.0</v>
      </c>
    </row>
    <row r="7948">
      <c r="A7948" s="157">
        <v>7947.0</v>
      </c>
    </row>
    <row r="7949">
      <c r="A7949" s="157">
        <v>7948.0</v>
      </c>
    </row>
    <row r="7950">
      <c r="A7950" s="157">
        <v>7949.0</v>
      </c>
    </row>
    <row r="7951">
      <c r="A7951" s="157">
        <v>7950.0</v>
      </c>
    </row>
    <row r="7952">
      <c r="A7952" s="157">
        <v>7951.0</v>
      </c>
    </row>
    <row r="7953">
      <c r="A7953" s="157">
        <v>7952.0</v>
      </c>
    </row>
    <row r="7954">
      <c r="A7954" s="157">
        <v>7953.0</v>
      </c>
    </row>
    <row r="7955">
      <c r="A7955" s="157">
        <v>7954.0</v>
      </c>
    </row>
    <row r="7956">
      <c r="A7956" s="157">
        <v>7955.0</v>
      </c>
    </row>
    <row r="7957">
      <c r="A7957" s="157">
        <v>7956.0</v>
      </c>
    </row>
    <row r="7958">
      <c r="A7958" s="157">
        <v>7957.0</v>
      </c>
    </row>
    <row r="7959">
      <c r="A7959" s="157">
        <v>7958.0</v>
      </c>
    </row>
    <row r="7960">
      <c r="A7960" s="157">
        <v>7959.0</v>
      </c>
    </row>
    <row r="7961">
      <c r="A7961" s="157">
        <v>7960.0</v>
      </c>
    </row>
    <row r="7962">
      <c r="A7962" s="157">
        <v>7961.0</v>
      </c>
    </row>
    <row r="7963">
      <c r="A7963" s="157">
        <v>7962.0</v>
      </c>
    </row>
    <row r="7964">
      <c r="A7964" s="157">
        <v>7963.0</v>
      </c>
    </row>
    <row r="7965">
      <c r="A7965" s="157">
        <v>7964.0</v>
      </c>
    </row>
    <row r="7966">
      <c r="A7966" s="157">
        <v>7965.0</v>
      </c>
    </row>
    <row r="7967">
      <c r="A7967" s="157">
        <v>7966.0</v>
      </c>
    </row>
    <row r="7968">
      <c r="A7968" s="157">
        <v>7967.0</v>
      </c>
    </row>
    <row r="7969">
      <c r="A7969" s="157">
        <v>7968.0</v>
      </c>
    </row>
    <row r="7970">
      <c r="A7970" s="157">
        <v>7969.0</v>
      </c>
    </row>
    <row r="7971">
      <c r="A7971" s="157">
        <v>7970.0</v>
      </c>
    </row>
    <row r="7972">
      <c r="A7972" s="157">
        <v>7971.0</v>
      </c>
    </row>
    <row r="7973">
      <c r="A7973" s="157">
        <v>7972.0</v>
      </c>
    </row>
    <row r="7974">
      <c r="A7974" s="157">
        <v>7973.0</v>
      </c>
    </row>
    <row r="7975">
      <c r="A7975" s="157">
        <v>7974.0</v>
      </c>
    </row>
    <row r="7976">
      <c r="A7976" s="157">
        <v>7975.0</v>
      </c>
    </row>
    <row r="7977">
      <c r="A7977" s="157">
        <v>7976.0</v>
      </c>
    </row>
    <row r="7978">
      <c r="A7978" s="157">
        <v>7977.0</v>
      </c>
    </row>
    <row r="7979">
      <c r="A7979" s="157">
        <v>7978.0</v>
      </c>
    </row>
    <row r="7980">
      <c r="A7980" s="157">
        <v>7979.0</v>
      </c>
    </row>
    <row r="7981">
      <c r="A7981" s="157">
        <v>7980.0</v>
      </c>
    </row>
    <row r="7982">
      <c r="A7982" s="157">
        <v>7981.0</v>
      </c>
    </row>
    <row r="7983">
      <c r="A7983" s="157">
        <v>7982.0</v>
      </c>
    </row>
    <row r="7984">
      <c r="A7984" s="157">
        <v>7983.0</v>
      </c>
    </row>
    <row r="7985">
      <c r="A7985" s="157">
        <v>7984.0</v>
      </c>
    </row>
    <row r="7986">
      <c r="A7986" s="157">
        <v>7985.0</v>
      </c>
    </row>
    <row r="7987">
      <c r="A7987" s="157">
        <v>7986.0</v>
      </c>
    </row>
    <row r="7988">
      <c r="A7988" s="157">
        <v>7987.0</v>
      </c>
    </row>
    <row r="7989">
      <c r="A7989" s="157">
        <v>7988.0</v>
      </c>
    </row>
    <row r="7990">
      <c r="A7990" s="157">
        <v>7989.0</v>
      </c>
    </row>
    <row r="7991">
      <c r="A7991" s="157">
        <v>7990.0</v>
      </c>
    </row>
    <row r="7992">
      <c r="A7992" s="157">
        <v>7991.0</v>
      </c>
    </row>
    <row r="7993">
      <c r="A7993" s="157">
        <v>7992.0</v>
      </c>
    </row>
    <row r="7994">
      <c r="A7994" s="157">
        <v>7993.0</v>
      </c>
    </row>
    <row r="7995">
      <c r="A7995" s="157">
        <v>7994.0</v>
      </c>
    </row>
    <row r="7996">
      <c r="A7996" s="157">
        <v>7995.0</v>
      </c>
    </row>
    <row r="7997">
      <c r="A7997" s="157">
        <v>7996.0</v>
      </c>
    </row>
    <row r="7998">
      <c r="A7998" s="157">
        <v>7997.0</v>
      </c>
    </row>
    <row r="7999">
      <c r="A7999" s="157">
        <v>7998.0</v>
      </c>
    </row>
    <row r="8000">
      <c r="A8000" s="157">
        <v>7999.0</v>
      </c>
    </row>
    <row r="8001">
      <c r="A8001" s="157">
        <v>8000.0</v>
      </c>
    </row>
    <row r="8002">
      <c r="A8002" s="157">
        <v>8001.0</v>
      </c>
    </row>
    <row r="8003">
      <c r="A8003" s="157">
        <v>8002.0</v>
      </c>
    </row>
    <row r="8004">
      <c r="A8004" s="157">
        <v>8003.0</v>
      </c>
    </row>
    <row r="8005">
      <c r="A8005" s="157">
        <v>8004.0</v>
      </c>
    </row>
    <row r="8006">
      <c r="A8006" s="157">
        <v>8005.0</v>
      </c>
    </row>
    <row r="8007">
      <c r="A8007" s="157">
        <v>8006.0</v>
      </c>
    </row>
    <row r="8008">
      <c r="A8008" s="157">
        <v>8007.0</v>
      </c>
    </row>
    <row r="8009">
      <c r="A8009" s="157">
        <v>8008.0</v>
      </c>
    </row>
    <row r="8010">
      <c r="A8010" s="157">
        <v>8009.0</v>
      </c>
    </row>
    <row r="8011">
      <c r="A8011" s="157">
        <v>8010.0</v>
      </c>
    </row>
    <row r="8012">
      <c r="A8012" s="157">
        <v>8011.0</v>
      </c>
    </row>
    <row r="8013">
      <c r="A8013" s="157">
        <v>8012.0</v>
      </c>
    </row>
    <row r="8014">
      <c r="A8014" s="157">
        <v>8013.0</v>
      </c>
    </row>
    <row r="8015">
      <c r="A8015" s="157">
        <v>8014.0</v>
      </c>
    </row>
    <row r="8016">
      <c r="A8016" s="157">
        <v>8015.0</v>
      </c>
    </row>
    <row r="8017">
      <c r="A8017" s="157">
        <v>8016.0</v>
      </c>
    </row>
    <row r="8018">
      <c r="A8018" s="157">
        <v>8017.0</v>
      </c>
    </row>
    <row r="8019">
      <c r="A8019" s="157">
        <v>8018.0</v>
      </c>
    </row>
    <row r="8020">
      <c r="A8020" s="157">
        <v>8019.0</v>
      </c>
    </row>
    <row r="8021">
      <c r="A8021" s="157">
        <v>8020.0</v>
      </c>
    </row>
    <row r="8022">
      <c r="A8022" s="157">
        <v>8021.0</v>
      </c>
    </row>
    <row r="8023">
      <c r="A8023" s="157">
        <v>8022.0</v>
      </c>
    </row>
    <row r="8024">
      <c r="A8024" s="157">
        <v>8023.0</v>
      </c>
    </row>
    <row r="8025">
      <c r="A8025" s="157">
        <v>8024.0</v>
      </c>
    </row>
    <row r="8026">
      <c r="A8026" s="157">
        <v>8025.0</v>
      </c>
    </row>
    <row r="8027">
      <c r="A8027" s="157">
        <v>8026.0</v>
      </c>
    </row>
    <row r="8028">
      <c r="A8028" s="157">
        <v>8027.0</v>
      </c>
    </row>
    <row r="8029">
      <c r="A8029" s="157">
        <v>8028.0</v>
      </c>
    </row>
    <row r="8030">
      <c r="A8030" s="157">
        <v>8029.0</v>
      </c>
    </row>
    <row r="8031">
      <c r="A8031" s="157">
        <v>8030.0</v>
      </c>
    </row>
    <row r="8032">
      <c r="A8032" s="157">
        <v>8031.0</v>
      </c>
    </row>
    <row r="8033">
      <c r="A8033" s="157">
        <v>8032.0</v>
      </c>
    </row>
    <row r="8034">
      <c r="A8034" s="157">
        <v>8033.0</v>
      </c>
    </row>
    <row r="8035">
      <c r="A8035" s="157">
        <v>8034.0</v>
      </c>
    </row>
    <row r="8036">
      <c r="A8036" s="157">
        <v>8035.0</v>
      </c>
    </row>
    <row r="8037">
      <c r="A8037" s="157">
        <v>8036.0</v>
      </c>
    </row>
    <row r="8038">
      <c r="A8038" s="157">
        <v>8037.0</v>
      </c>
    </row>
    <row r="8039">
      <c r="A8039" s="157">
        <v>8038.0</v>
      </c>
    </row>
    <row r="8040">
      <c r="A8040" s="157">
        <v>8039.0</v>
      </c>
    </row>
    <row r="8041">
      <c r="A8041" s="157">
        <v>8040.0</v>
      </c>
    </row>
    <row r="8042">
      <c r="A8042" s="157">
        <v>8041.0</v>
      </c>
    </row>
    <row r="8043">
      <c r="A8043" s="157">
        <v>8042.0</v>
      </c>
    </row>
    <row r="8044">
      <c r="A8044" s="157">
        <v>8043.0</v>
      </c>
    </row>
    <row r="8045">
      <c r="A8045" s="157">
        <v>8044.0</v>
      </c>
    </row>
    <row r="8046">
      <c r="A8046" s="157">
        <v>8045.0</v>
      </c>
    </row>
    <row r="8047">
      <c r="A8047" s="157">
        <v>8046.0</v>
      </c>
    </row>
    <row r="8048">
      <c r="A8048" s="157">
        <v>8047.0</v>
      </c>
    </row>
    <row r="8049">
      <c r="A8049" s="157">
        <v>8048.0</v>
      </c>
    </row>
    <row r="8050">
      <c r="A8050" s="157">
        <v>8049.0</v>
      </c>
    </row>
    <row r="8051">
      <c r="A8051" s="157">
        <v>8050.0</v>
      </c>
    </row>
    <row r="8052">
      <c r="A8052" s="157">
        <v>8051.0</v>
      </c>
    </row>
    <row r="8053">
      <c r="A8053" s="157">
        <v>8052.0</v>
      </c>
    </row>
    <row r="8054">
      <c r="A8054" s="157">
        <v>8053.0</v>
      </c>
    </row>
    <row r="8055">
      <c r="A8055" s="157">
        <v>8054.0</v>
      </c>
    </row>
    <row r="8056">
      <c r="A8056" s="157">
        <v>8055.0</v>
      </c>
    </row>
    <row r="8057">
      <c r="A8057" s="157">
        <v>8056.0</v>
      </c>
    </row>
    <row r="8058">
      <c r="A8058" s="157">
        <v>8057.0</v>
      </c>
    </row>
    <row r="8059">
      <c r="A8059" s="157">
        <v>8058.0</v>
      </c>
    </row>
    <row r="8060">
      <c r="A8060" s="157">
        <v>8059.0</v>
      </c>
    </row>
    <row r="8061">
      <c r="A8061" s="157">
        <v>8060.0</v>
      </c>
    </row>
    <row r="8062">
      <c r="A8062" s="157">
        <v>8061.0</v>
      </c>
    </row>
    <row r="8063">
      <c r="A8063" s="157">
        <v>8062.0</v>
      </c>
    </row>
    <row r="8064">
      <c r="A8064" s="157">
        <v>8063.0</v>
      </c>
    </row>
    <row r="8065">
      <c r="A8065" s="157">
        <v>8064.0</v>
      </c>
    </row>
    <row r="8066">
      <c r="A8066" s="157">
        <v>8065.0</v>
      </c>
    </row>
    <row r="8067">
      <c r="A8067" s="157">
        <v>8066.0</v>
      </c>
    </row>
    <row r="8068">
      <c r="A8068" s="157">
        <v>8067.0</v>
      </c>
    </row>
    <row r="8069">
      <c r="A8069" s="157">
        <v>8068.0</v>
      </c>
    </row>
    <row r="8070">
      <c r="A8070" s="157">
        <v>8069.0</v>
      </c>
    </row>
    <row r="8071">
      <c r="A8071" s="157">
        <v>8070.0</v>
      </c>
    </row>
    <row r="8072">
      <c r="A8072" s="157">
        <v>8071.0</v>
      </c>
    </row>
    <row r="8073">
      <c r="A8073" s="157">
        <v>8072.0</v>
      </c>
    </row>
    <row r="8074">
      <c r="A8074" s="157">
        <v>8073.0</v>
      </c>
    </row>
    <row r="8075">
      <c r="A8075" s="157">
        <v>8074.0</v>
      </c>
    </row>
    <row r="8076">
      <c r="A8076" s="157">
        <v>8075.0</v>
      </c>
    </row>
    <row r="8077">
      <c r="A8077" s="157">
        <v>8076.0</v>
      </c>
    </row>
    <row r="8078">
      <c r="A8078" s="157">
        <v>8077.0</v>
      </c>
    </row>
    <row r="8079">
      <c r="A8079" s="157">
        <v>8078.0</v>
      </c>
    </row>
    <row r="8080">
      <c r="A8080" s="157">
        <v>8079.0</v>
      </c>
    </row>
    <row r="8081">
      <c r="A8081" s="157">
        <v>8080.0</v>
      </c>
    </row>
    <row r="8082">
      <c r="A8082" s="157">
        <v>8081.0</v>
      </c>
    </row>
    <row r="8083">
      <c r="A8083" s="157">
        <v>8082.0</v>
      </c>
    </row>
    <row r="8084">
      <c r="A8084" s="157">
        <v>8083.0</v>
      </c>
    </row>
    <row r="8085">
      <c r="A8085" s="157">
        <v>8084.0</v>
      </c>
    </row>
    <row r="8086">
      <c r="A8086" s="157">
        <v>8085.0</v>
      </c>
    </row>
    <row r="8087">
      <c r="A8087" s="157">
        <v>8086.0</v>
      </c>
    </row>
    <row r="8088">
      <c r="A8088" s="157">
        <v>8087.0</v>
      </c>
    </row>
    <row r="8089">
      <c r="A8089" s="157">
        <v>8088.0</v>
      </c>
    </row>
    <row r="8090">
      <c r="A8090" s="157">
        <v>8089.0</v>
      </c>
    </row>
    <row r="8091">
      <c r="A8091" s="157">
        <v>8090.0</v>
      </c>
    </row>
    <row r="8092">
      <c r="A8092" s="157">
        <v>8091.0</v>
      </c>
    </row>
    <row r="8093">
      <c r="A8093" s="157">
        <v>8092.0</v>
      </c>
    </row>
    <row r="8094">
      <c r="A8094" s="157">
        <v>8093.0</v>
      </c>
    </row>
    <row r="8095">
      <c r="A8095" s="157">
        <v>8094.0</v>
      </c>
    </row>
    <row r="8096">
      <c r="A8096" s="157">
        <v>8095.0</v>
      </c>
    </row>
    <row r="8097">
      <c r="A8097" s="157">
        <v>8096.0</v>
      </c>
    </row>
    <row r="8098">
      <c r="A8098" s="157">
        <v>8097.0</v>
      </c>
    </row>
    <row r="8099">
      <c r="A8099" s="157">
        <v>8098.0</v>
      </c>
    </row>
    <row r="8100">
      <c r="A8100" s="157">
        <v>8099.0</v>
      </c>
    </row>
    <row r="8101">
      <c r="A8101" s="157">
        <v>8100.0</v>
      </c>
    </row>
    <row r="8102">
      <c r="A8102" s="157">
        <v>8101.0</v>
      </c>
    </row>
    <row r="8103">
      <c r="A8103" s="157">
        <v>8102.0</v>
      </c>
    </row>
    <row r="8104">
      <c r="A8104" s="157">
        <v>8103.0</v>
      </c>
    </row>
    <row r="8105">
      <c r="A8105" s="157">
        <v>8104.0</v>
      </c>
    </row>
    <row r="8106">
      <c r="A8106" s="157">
        <v>8105.0</v>
      </c>
    </row>
    <row r="8107">
      <c r="A8107" s="157">
        <v>8106.0</v>
      </c>
    </row>
    <row r="8108">
      <c r="A8108" s="157">
        <v>8107.0</v>
      </c>
    </row>
    <row r="8109">
      <c r="A8109" s="157">
        <v>8108.0</v>
      </c>
    </row>
    <row r="8110">
      <c r="A8110" s="157">
        <v>8109.0</v>
      </c>
    </row>
    <row r="8111">
      <c r="A8111" s="157">
        <v>8110.0</v>
      </c>
    </row>
    <row r="8112">
      <c r="A8112" s="157">
        <v>8111.0</v>
      </c>
    </row>
    <row r="8113">
      <c r="A8113" s="157">
        <v>8112.0</v>
      </c>
    </row>
    <row r="8114">
      <c r="A8114" s="157">
        <v>8113.0</v>
      </c>
    </row>
    <row r="8115">
      <c r="A8115" s="157">
        <v>8114.0</v>
      </c>
    </row>
    <row r="8116">
      <c r="A8116" s="157">
        <v>8115.0</v>
      </c>
    </row>
    <row r="8117">
      <c r="A8117" s="157">
        <v>8116.0</v>
      </c>
    </row>
    <row r="8118">
      <c r="A8118" s="157">
        <v>8117.0</v>
      </c>
    </row>
    <row r="8119">
      <c r="A8119" s="157">
        <v>8118.0</v>
      </c>
    </row>
    <row r="8120">
      <c r="A8120" s="157">
        <v>8119.0</v>
      </c>
    </row>
    <row r="8121">
      <c r="A8121" s="157">
        <v>8120.0</v>
      </c>
    </row>
    <row r="8122">
      <c r="A8122" s="157">
        <v>8121.0</v>
      </c>
    </row>
    <row r="8123">
      <c r="A8123" s="157">
        <v>8122.0</v>
      </c>
    </row>
    <row r="8124">
      <c r="A8124" s="157">
        <v>8123.0</v>
      </c>
    </row>
    <row r="8125">
      <c r="A8125" s="157">
        <v>8124.0</v>
      </c>
    </row>
    <row r="8126">
      <c r="A8126" s="157">
        <v>8125.0</v>
      </c>
    </row>
    <row r="8127">
      <c r="A8127" s="157">
        <v>8126.0</v>
      </c>
    </row>
    <row r="8128">
      <c r="A8128" s="157">
        <v>8127.0</v>
      </c>
    </row>
    <row r="8129">
      <c r="A8129" s="157">
        <v>8128.0</v>
      </c>
    </row>
    <row r="8130">
      <c r="A8130" s="157">
        <v>8129.0</v>
      </c>
    </row>
    <row r="8131">
      <c r="A8131" s="157">
        <v>8130.0</v>
      </c>
    </row>
    <row r="8132">
      <c r="A8132" s="157">
        <v>8131.0</v>
      </c>
    </row>
    <row r="8133">
      <c r="A8133" s="157">
        <v>8132.0</v>
      </c>
    </row>
    <row r="8134">
      <c r="A8134" s="157">
        <v>8133.0</v>
      </c>
    </row>
    <row r="8135">
      <c r="A8135" s="157">
        <v>8134.0</v>
      </c>
    </row>
    <row r="8136">
      <c r="A8136" s="157">
        <v>8135.0</v>
      </c>
    </row>
    <row r="8137">
      <c r="A8137" s="157">
        <v>8136.0</v>
      </c>
    </row>
    <row r="8138">
      <c r="A8138" s="157">
        <v>8137.0</v>
      </c>
    </row>
    <row r="8139">
      <c r="A8139" s="157">
        <v>8138.0</v>
      </c>
    </row>
    <row r="8140">
      <c r="A8140" s="157">
        <v>8139.0</v>
      </c>
    </row>
    <row r="8141">
      <c r="A8141" s="157">
        <v>8140.0</v>
      </c>
    </row>
    <row r="8142">
      <c r="A8142" s="157">
        <v>8141.0</v>
      </c>
    </row>
    <row r="8143">
      <c r="A8143" s="157">
        <v>8142.0</v>
      </c>
    </row>
    <row r="8144">
      <c r="A8144" s="157">
        <v>8143.0</v>
      </c>
    </row>
    <row r="8145">
      <c r="A8145" s="157">
        <v>8144.0</v>
      </c>
    </row>
    <row r="8146">
      <c r="A8146" s="157">
        <v>8145.0</v>
      </c>
    </row>
    <row r="8147">
      <c r="A8147" s="157">
        <v>8146.0</v>
      </c>
    </row>
    <row r="8148">
      <c r="A8148" s="157">
        <v>8147.0</v>
      </c>
    </row>
    <row r="8149">
      <c r="A8149" s="157">
        <v>8148.0</v>
      </c>
    </row>
    <row r="8150">
      <c r="A8150" s="157">
        <v>8149.0</v>
      </c>
    </row>
    <row r="8151">
      <c r="A8151" s="157">
        <v>8150.0</v>
      </c>
    </row>
    <row r="8152">
      <c r="A8152" s="157">
        <v>8151.0</v>
      </c>
    </row>
    <row r="8153">
      <c r="A8153" s="157">
        <v>8152.0</v>
      </c>
    </row>
    <row r="8154">
      <c r="A8154" s="157">
        <v>8153.0</v>
      </c>
    </row>
    <row r="8155">
      <c r="A8155" s="157">
        <v>8154.0</v>
      </c>
    </row>
    <row r="8156">
      <c r="A8156" s="157">
        <v>8155.0</v>
      </c>
    </row>
    <row r="8157">
      <c r="A8157" s="157">
        <v>8156.0</v>
      </c>
    </row>
    <row r="8158">
      <c r="A8158" s="157">
        <v>8157.0</v>
      </c>
    </row>
    <row r="8159">
      <c r="A8159" s="157">
        <v>8158.0</v>
      </c>
    </row>
    <row r="8160">
      <c r="A8160" s="157">
        <v>8159.0</v>
      </c>
    </row>
    <row r="8161">
      <c r="A8161" s="157">
        <v>8160.0</v>
      </c>
    </row>
    <row r="8162">
      <c r="A8162" s="157">
        <v>8161.0</v>
      </c>
    </row>
    <row r="8163">
      <c r="A8163" s="157">
        <v>8162.0</v>
      </c>
    </row>
    <row r="8164">
      <c r="A8164" s="157">
        <v>8163.0</v>
      </c>
    </row>
    <row r="8165">
      <c r="A8165" s="157">
        <v>8164.0</v>
      </c>
    </row>
    <row r="8166">
      <c r="A8166" s="157">
        <v>8165.0</v>
      </c>
    </row>
    <row r="8167">
      <c r="A8167" s="157">
        <v>8166.0</v>
      </c>
    </row>
    <row r="8168">
      <c r="A8168" s="157">
        <v>8167.0</v>
      </c>
    </row>
    <row r="8169">
      <c r="A8169" s="157">
        <v>8168.0</v>
      </c>
    </row>
    <row r="8170">
      <c r="A8170" s="157">
        <v>8169.0</v>
      </c>
    </row>
    <row r="8171">
      <c r="A8171" s="157">
        <v>8170.0</v>
      </c>
    </row>
    <row r="8172">
      <c r="A8172" s="157">
        <v>8171.0</v>
      </c>
    </row>
    <row r="8173">
      <c r="A8173" s="157">
        <v>8172.0</v>
      </c>
    </row>
    <row r="8174">
      <c r="A8174" s="157">
        <v>8173.0</v>
      </c>
    </row>
    <row r="8175">
      <c r="A8175" s="157">
        <v>8174.0</v>
      </c>
    </row>
    <row r="8176">
      <c r="A8176" s="157">
        <v>8175.0</v>
      </c>
    </row>
    <row r="8177">
      <c r="A8177" s="157">
        <v>8176.0</v>
      </c>
    </row>
    <row r="8178">
      <c r="A8178" s="157">
        <v>8177.0</v>
      </c>
    </row>
    <row r="8179">
      <c r="A8179" s="157">
        <v>8178.0</v>
      </c>
    </row>
    <row r="8180">
      <c r="A8180" s="157">
        <v>8179.0</v>
      </c>
    </row>
    <row r="8181">
      <c r="A8181" s="157">
        <v>8180.0</v>
      </c>
    </row>
    <row r="8182">
      <c r="A8182" s="157">
        <v>8181.0</v>
      </c>
    </row>
    <row r="8183">
      <c r="A8183" s="157">
        <v>8182.0</v>
      </c>
    </row>
    <row r="8184">
      <c r="A8184" s="157">
        <v>8183.0</v>
      </c>
    </row>
    <row r="8185">
      <c r="A8185" s="157">
        <v>8184.0</v>
      </c>
    </row>
    <row r="8186">
      <c r="A8186" s="157">
        <v>8185.0</v>
      </c>
    </row>
    <row r="8187">
      <c r="A8187" s="157">
        <v>8186.0</v>
      </c>
    </row>
    <row r="8188">
      <c r="A8188" s="157">
        <v>8187.0</v>
      </c>
    </row>
    <row r="8189">
      <c r="A8189" s="157">
        <v>8188.0</v>
      </c>
    </row>
    <row r="8190">
      <c r="A8190" s="157">
        <v>8189.0</v>
      </c>
    </row>
    <row r="8191">
      <c r="A8191" s="157">
        <v>8190.0</v>
      </c>
    </row>
    <row r="8192">
      <c r="A8192" s="157">
        <v>8191.0</v>
      </c>
    </row>
    <row r="8193">
      <c r="A8193" s="157">
        <v>8192.0</v>
      </c>
    </row>
    <row r="8194">
      <c r="A8194" s="157">
        <v>8193.0</v>
      </c>
    </row>
    <row r="8195">
      <c r="A8195" s="157">
        <v>8194.0</v>
      </c>
    </row>
    <row r="8196">
      <c r="A8196" s="157">
        <v>8195.0</v>
      </c>
    </row>
    <row r="8197">
      <c r="A8197" s="157">
        <v>8196.0</v>
      </c>
    </row>
    <row r="8198">
      <c r="A8198" s="157">
        <v>8197.0</v>
      </c>
    </row>
    <row r="8199">
      <c r="A8199" s="157">
        <v>8198.0</v>
      </c>
    </row>
    <row r="8200">
      <c r="A8200" s="157">
        <v>8199.0</v>
      </c>
    </row>
    <row r="8201">
      <c r="A8201" s="157">
        <v>8200.0</v>
      </c>
    </row>
    <row r="8202">
      <c r="A8202" s="157">
        <v>8201.0</v>
      </c>
    </row>
    <row r="8203">
      <c r="A8203" s="157">
        <v>8202.0</v>
      </c>
    </row>
    <row r="8204">
      <c r="A8204" s="157">
        <v>8203.0</v>
      </c>
    </row>
    <row r="8205">
      <c r="A8205" s="157">
        <v>8204.0</v>
      </c>
    </row>
    <row r="8206">
      <c r="A8206" s="157">
        <v>8205.0</v>
      </c>
    </row>
    <row r="8207">
      <c r="A8207" s="157">
        <v>8206.0</v>
      </c>
    </row>
    <row r="8208">
      <c r="A8208" s="157">
        <v>8207.0</v>
      </c>
    </row>
    <row r="8209">
      <c r="A8209" s="157">
        <v>8208.0</v>
      </c>
    </row>
    <row r="8210">
      <c r="A8210" s="157">
        <v>8209.0</v>
      </c>
    </row>
    <row r="8211">
      <c r="A8211" s="157">
        <v>8210.0</v>
      </c>
    </row>
    <row r="8212">
      <c r="A8212" s="157">
        <v>8211.0</v>
      </c>
    </row>
    <row r="8213">
      <c r="A8213" s="157">
        <v>8212.0</v>
      </c>
    </row>
    <row r="8214">
      <c r="A8214" s="157">
        <v>8213.0</v>
      </c>
    </row>
    <row r="8215">
      <c r="A8215" s="157">
        <v>8214.0</v>
      </c>
    </row>
    <row r="8216">
      <c r="A8216" s="157">
        <v>8215.0</v>
      </c>
    </row>
    <row r="8217">
      <c r="A8217" s="157">
        <v>8216.0</v>
      </c>
    </row>
    <row r="8218">
      <c r="A8218" s="157">
        <v>8217.0</v>
      </c>
    </row>
    <row r="8219">
      <c r="A8219" s="157">
        <v>8218.0</v>
      </c>
    </row>
    <row r="8220">
      <c r="A8220" s="157">
        <v>8219.0</v>
      </c>
    </row>
    <row r="8221">
      <c r="A8221" s="157">
        <v>8220.0</v>
      </c>
    </row>
    <row r="8222">
      <c r="A8222" s="157">
        <v>8221.0</v>
      </c>
    </row>
    <row r="8223">
      <c r="A8223" s="157">
        <v>8222.0</v>
      </c>
    </row>
    <row r="8224">
      <c r="A8224" s="157">
        <v>8223.0</v>
      </c>
    </row>
    <row r="8225">
      <c r="A8225" s="157">
        <v>8224.0</v>
      </c>
    </row>
    <row r="8226">
      <c r="A8226" s="157">
        <v>8225.0</v>
      </c>
    </row>
    <row r="8227">
      <c r="A8227" s="157">
        <v>8226.0</v>
      </c>
    </row>
    <row r="8228">
      <c r="A8228" s="157">
        <v>8227.0</v>
      </c>
    </row>
    <row r="8229">
      <c r="A8229" s="157">
        <v>8228.0</v>
      </c>
    </row>
    <row r="8230">
      <c r="A8230" s="157">
        <v>8229.0</v>
      </c>
    </row>
    <row r="8231">
      <c r="A8231" s="157">
        <v>8230.0</v>
      </c>
    </row>
    <row r="8232">
      <c r="A8232" s="157">
        <v>8231.0</v>
      </c>
    </row>
    <row r="8233">
      <c r="A8233" s="157">
        <v>8232.0</v>
      </c>
    </row>
    <row r="8234">
      <c r="A8234" s="157">
        <v>8233.0</v>
      </c>
    </row>
    <row r="8235">
      <c r="A8235" s="157">
        <v>8234.0</v>
      </c>
    </row>
    <row r="8236">
      <c r="A8236" s="157">
        <v>8235.0</v>
      </c>
    </row>
    <row r="8237">
      <c r="A8237" s="157">
        <v>8236.0</v>
      </c>
    </row>
    <row r="8238">
      <c r="A8238" s="157">
        <v>8237.0</v>
      </c>
    </row>
    <row r="8239">
      <c r="A8239" s="157">
        <v>8238.0</v>
      </c>
    </row>
    <row r="8240">
      <c r="A8240" s="157">
        <v>8239.0</v>
      </c>
    </row>
    <row r="8241">
      <c r="A8241" s="157">
        <v>8240.0</v>
      </c>
    </row>
    <row r="8242">
      <c r="A8242" s="157">
        <v>8241.0</v>
      </c>
    </row>
    <row r="8243">
      <c r="A8243" s="157">
        <v>8242.0</v>
      </c>
    </row>
    <row r="8244">
      <c r="A8244" s="157">
        <v>8243.0</v>
      </c>
    </row>
    <row r="8245">
      <c r="A8245" s="157">
        <v>8244.0</v>
      </c>
    </row>
    <row r="8246">
      <c r="A8246" s="157">
        <v>8245.0</v>
      </c>
    </row>
    <row r="8247">
      <c r="A8247" s="157">
        <v>8246.0</v>
      </c>
    </row>
    <row r="8248">
      <c r="A8248" s="157">
        <v>8247.0</v>
      </c>
    </row>
    <row r="8249">
      <c r="A8249" s="157">
        <v>8248.0</v>
      </c>
    </row>
    <row r="8250">
      <c r="A8250" s="157">
        <v>8249.0</v>
      </c>
    </row>
    <row r="8251">
      <c r="A8251" s="157">
        <v>8250.0</v>
      </c>
    </row>
    <row r="8252">
      <c r="A8252" s="157">
        <v>8251.0</v>
      </c>
    </row>
    <row r="8253">
      <c r="A8253" s="157">
        <v>8252.0</v>
      </c>
    </row>
    <row r="8254">
      <c r="A8254" s="157">
        <v>8253.0</v>
      </c>
    </row>
    <row r="8255">
      <c r="A8255" s="157">
        <v>8254.0</v>
      </c>
    </row>
    <row r="8256">
      <c r="A8256" s="157">
        <v>8255.0</v>
      </c>
    </row>
    <row r="8257">
      <c r="A8257" s="157">
        <v>8256.0</v>
      </c>
    </row>
    <row r="8258">
      <c r="A8258" s="157">
        <v>8257.0</v>
      </c>
    </row>
    <row r="8259">
      <c r="A8259" s="157">
        <v>8258.0</v>
      </c>
    </row>
    <row r="8260">
      <c r="A8260" s="157">
        <v>8259.0</v>
      </c>
    </row>
    <row r="8261">
      <c r="A8261" s="157">
        <v>8260.0</v>
      </c>
    </row>
    <row r="8262">
      <c r="A8262" s="157">
        <v>8261.0</v>
      </c>
    </row>
    <row r="8263">
      <c r="A8263" s="157">
        <v>8262.0</v>
      </c>
    </row>
    <row r="8264">
      <c r="A8264" s="157">
        <v>8263.0</v>
      </c>
    </row>
    <row r="8265">
      <c r="A8265" s="157">
        <v>8264.0</v>
      </c>
    </row>
    <row r="8266">
      <c r="A8266" s="157">
        <v>8265.0</v>
      </c>
    </row>
    <row r="8267">
      <c r="A8267" s="157">
        <v>8266.0</v>
      </c>
    </row>
    <row r="8268">
      <c r="A8268" s="157">
        <v>8267.0</v>
      </c>
    </row>
    <row r="8269">
      <c r="A8269" s="157">
        <v>8268.0</v>
      </c>
    </row>
    <row r="8270">
      <c r="A8270" s="157">
        <v>8269.0</v>
      </c>
    </row>
    <row r="8271">
      <c r="A8271" s="157">
        <v>8270.0</v>
      </c>
    </row>
    <row r="8272">
      <c r="A8272" s="157">
        <v>8271.0</v>
      </c>
    </row>
    <row r="8273">
      <c r="A8273" s="157">
        <v>8272.0</v>
      </c>
    </row>
    <row r="8274">
      <c r="A8274" s="157">
        <v>8273.0</v>
      </c>
    </row>
    <row r="8275">
      <c r="A8275" s="157">
        <v>8274.0</v>
      </c>
    </row>
    <row r="8276">
      <c r="A8276" s="157">
        <v>8275.0</v>
      </c>
    </row>
    <row r="8277">
      <c r="A8277" s="157">
        <v>8276.0</v>
      </c>
    </row>
    <row r="8278">
      <c r="A8278" s="157">
        <v>8277.0</v>
      </c>
    </row>
    <row r="8279">
      <c r="A8279" s="157">
        <v>8278.0</v>
      </c>
    </row>
    <row r="8280">
      <c r="A8280" s="157">
        <v>8279.0</v>
      </c>
    </row>
    <row r="8281">
      <c r="A8281" s="157">
        <v>8280.0</v>
      </c>
    </row>
    <row r="8282">
      <c r="A8282" s="157">
        <v>8281.0</v>
      </c>
    </row>
    <row r="8283">
      <c r="A8283" s="157">
        <v>8282.0</v>
      </c>
    </row>
    <row r="8284">
      <c r="A8284" s="157">
        <v>8283.0</v>
      </c>
    </row>
    <row r="8285">
      <c r="A8285" s="157">
        <v>8284.0</v>
      </c>
    </row>
    <row r="8286">
      <c r="A8286" s="157">
        <v>8285.0</v>
      </c>
    </row>
    <row r="8287">
      <c r="A8287" s="157">
        <v>8286.0</v>
      </c>
    </row>
    <row r="8288">
      <c r="A8288" s="157">
        <v>8287.0</v>
      </c>
    </row>
    <row r="8289">
      <c r="A8289" s="157">
        <v>8288.0</v>
      </c>
    </row>
    <row r="8290">
      <c r="A8290" s="157">
        <v>8289.0</v>
      </c>
    </row>
    <row r="8291">
      <c r="A8291" s="157">
        <v>8290.0</v>
      </c>
    </row>
    <row r="8292">
      <c r="A8292" s="157">
        <v>8291.0</v>
      </c>
    </row>
    <row r="8293">
      <c r="A8293" s="157">
        <v>8292.0</v>
      </c>
    </row>
    <row r="8294">
      <c r="A8294" s="157">
        <v>8293.0</v>
      </c>
    </row>
    <row r="8295">
      <c r="A8295" s="157">
        <v>8294.0</v>
      </c>
    </row>
    <row r="8296">
      <c r="A8296" s="157">
        <v>8295.0</v>
      </c>
    </row>
    <row r="8297">
      <c r="A8297" s="157">
        <v>8296.0</v>
      </c>
    </row>
    <row r="8298">
      <c r="A8298" s="157">
        <v>8297.0</v>
      </c>
    </row>
    <row r="8299">
      <c r="A8299" s="157">
        <v>8298.0</v>
      </c>
    </row>
    <row r="8300">
      <c r="A8300" s="157">
        <v>8299.0</v>
      </c>
    </row>
    <row r="8301">
      <c r="A8301" s="157">
        <v>8300.0</v>
      </c>
    </row>
    <row r="8302">
      <c r="A8302" s="157">
        <v>8301.0</v>
      </c>
    </row>
    <row r="8303">
      <c r="A8303" s="157">
        <v>8302.0</v>
      </c>
    </row>
    <row r="8304">
      <c r="A8304" s="157">
        <v>8303.0</v>
      </c>
    </row>
    <row r="8305">
      <c r="A8305" s="157">
        <v>8304.0</v>
      </c>
    </row>
    <row r="8306">
      <c r="A8306" s="157">
        <v>8305.0</v>
      </c>
    </row>
    <row r="8307">
      <c r="A8307" s="157">
        <v>8306.0</v>
      </c>
    </row>
    <row r="8308">
      <c r="A8308" s="157">
        <v>8307.0</v>
      </c>
    </row>
    <row r="8309">
      <c r="A8309" s="157">
        <v>8308.0</v>
      </c>
    </row>
    <row r="8310">
      <c r="A8310" s="157">
        <v>8309.0</v>
      </c>
    </row>
    <row r="8311">
      <c r="A8311" s="157">
        <v>8310.0</v>
      </c>
    </row>
    <row r="8312">
      <c r="A8312" s="157">
        <v>8311.0</v>
      </c>
    </row>
    <row r="8313">
      <c r="A8313" s="157">
        <v>8312.0</v>
      </c>
    </row>
    <row r="8314">
      <c r="A8314" s="157">
        <v>8313.0</v>
      </c>
    </row>
    <row r="8315">
      <c r="A8315" s="157">
        <v>8314.0</v>
      </c>
    </row>
    <row r="8316">
      <c r="A8316" s="157">
        <v>8315.0</v>
      </c>
    </row>
    <row r="8317">
      <c r="A8317" s="157">
        <v>8316.0</v>
      </c>
    </row>
    <row r="8318">
      <c r="A8318" s="157">
        <v>8317.0</v>
      </c>
    </row>
    <row r="8319">
      <c r="A8319" s="157">
        <v>8318.0</v>
      </c>
    </row>
    <row r="8320">
      <c r="A8320" s="157">
        <v>8319.0</v>
      </c>
    </row>
    <row r="8321">
      <c r="A8321" s="157">
        <v>8320.0</v>
      </c>
    </row>
    <row r="8322">
      <c r="A8322" s="157">
        <v>8321.0</v>
      </c>
    </row>
    <row r="8323">
      <c r="A8323" s="157">
        <v>8322.0</v>
      </c>
    </row>
    <row r="8324">
      <c r="A8324" s="157">
        <v>8323.0</v>
      </c>
    </row>
    <row r="8325">
      <c r="A8325" s="157">
        <v>8324.0</v>
      </c>
    </row>
    <row r="8326">
      <c r="A8326" s="157">
        <v>8325.0</v>
      </c>
    </row>
    <row r="8327">
      <c r="A8327" s="157">
        <v>8326.0</v>
      </c>
    </row>
    <row r="8328">
      <c r="A8328" s="157">
        <v>8327.0</v>
      </c>
    </row>
    <row r="8329">
      <c r="A8329" s="157">
        <v>8328.0</v>
      </c>
    </row>
    <row r="8330">
      <c r="A8330" s="157">
        <v>8329.0</v>
      </c>
    </row>
    <row r="8331">
      <c r="A8331" s="157">
        <v>8330.0</v>
      </c>
    </row>
    <row r="8332">
      <c r="A8332" s="157">
        <v>8331.0</v>
      </c>
    </row>
    <row r="8333">
      <c r="A8333" s="157">
        <v>8332.0</v>
      </c>
    </row>
    <row r="8334">
      <c r="A8334" s="157">
        <v>8333.0</v>
      </c>
    </row>
    <row r="8335">
      <c r="A8335" s="157">
        <v>8334.0</v>
      </c>
    </row>
    <row r="8336">
      <c r="A8336" s="157">
        <v>8335.0</v>
      </c>
    </row>
    <row r="8337">
      <c r="A8337" s="157">
        <v>8336.0</v>
      </c>
    </row>
    <row r="8338">
      <c r="A8338" s="157">
        <v>8337.0</v>
      </c>
    </row>
    <row r="8339">
      <c r="A8339" s="157">
        <v>8338.0</v>
      </c>
    </row>
    <row r="8340">
      <c r="A8340" s="157">
        <v>8339.0</v>
      </c>
    </row>
    <row r="8341">
      <c r="A8341" s="157">
        <v>8340.0</v>
      </c>
    </row>
    <row r="8342">
      <c r="A8342" s="157">
        <v>8341.0</v>
      </c>
    </row>
    <row r="8343">
      <c r="A8343" s="157">
        <v>8342.0</v>
      </c>
    </row>
    <row r="8344">
      <c r="A8344" s="157">
        <v>8343.0</v>
      </c>
    </row>
    <row r="8345">
      <c r="A8345" s="157">
        <v>8344.0</v>
      </c>
    </row>
    <row r="8346">
      <c r="A8346" s="157">
        <v>8345.0</v>
      </c>
    </row>
    <row r="8347">
      <c r="A8347" s="157">
        <v>8346.0</v>
      </c>
    </row>
    <row r="8348">
      <c r="A8348" s="157">
        <v>8347.0</v>
      </c>
    </row>
    <row r="8349">
      <c r="A8349" s="157">
        <v>8348.0</v>
      </c>
    </row>
    <row r="8350">
      <c r="A8350" s="157">
        <v>8349.0</v>
      </c>
    </row>
    <row r="8351">
      <c r="A8351" s="157">
        <v>8350.0</v>
      </c>
    </row>
    <row r="8352">
      <c r="A8352" s="157">
        <v>8351.0</v>
      </c>
    </row>
    <row r="8353">
      <c r="A8353" s="157">
        <v>8352.0</v>
      </c>
    </row>
    <row r="8354">
      <c r="A8354" s="157">
        <v>8353.0</v>
      </c>
    </row>
    <row r="8355">
      <c r="A8355" s="157">
        <v>8354.0</v>
      </c>
    </row>
    <row r="8356">
      <c r="A8356" s="157">
        <v>8355.0</v>
      </c>
    </row>
    <row r="8357">
      <c r="A8357" s="157">
        <v>8356.0</v>
      </c>
    </row>
    <row r="8358">
      <c r="A8358" s="157">
        <v>8357.0</v>
      </c>
    </row>
    <row r="8359">
      <c r="A8359" s="157">
        <v>8358.0</v>
      </c>
    </row>
    <row r="8360">
      <c r="A8360" s="157">
        <v>8359.0</v>
      </c>
    </row>
    <row r="8361">
      <c r="A8361" s="157">
        <v>8360.0</v>
      </c>
    </row>
    <row r="8362">
      <c r="A8362" s="157">
        <v>8361.0</v>
      </c>
    </row>
    <row r="8363">
      <c r="A8363" s="157">
        <v>8362.0</v>
      </c>
    </row>
    <row r="8364">
      <c r="A8364" s="157">
        <v>8363.0</v>
      </c>
    </row>
    <row r="8365">
      <c r="A8365" s="157">
        <v>8364.0</v>
      </c>
    </row>
    <row r="8366">
      <c r="A8366" s="157">
        <v>8365.0</v>
      </c>
    </row>
    <row r="8367">
      <c r="A8367" s="157">
        <v>8366.0</v>
      </c>
    </row>
    <row r="8368">
      <c r="A8368" s="157">
        <v>8367.0</v>
      </c>
    </row>
    <row r="8369">
      <c r="A8369" s="157">
        <v>8368.0</v>
      </c>
    </row>
    <row r="8370">
      <c r="A8370" s="157">
        <v>8369.0</v>
      </c>
    </row>
    <row r="8371">
      <c r="A8371" s="157">
        <v>8370.0</v>
      </c>
    </row>
    <row r="8372">
      <c r="A8372" s="157">
        <v>8371.0</v>
      </c>
    </row>
    <row r="8373">
      <c r="A8373" s="157">
        <v>8372.0</v>
      </c>
    </row>
    <row r="8374">
      <c r="A8374" s="157">
        <v>8373.0</v>
      </c>
    </row>
    <row r="8375">
      <c r="A8375" s="157">
        <v>8374.0</v>
      </c>
    </row>
    <row r="8376">
      <c r="A8376" s="157">
        <v>8375.0</v>
      </c>
    </row>
    <row r="8377">
      <c r="A8377" s="157">
        <v>8376.0</v>
      </c>
    </row>
    <row r="8378">
      <c r="A8378" s="157">
        <v>8377.0</v>
      </c>
    </row>
    <row r="8379">
      <c r="A8379" s="157">
        <v>8378.0</v>
      </c>
    </row>
    <row r="8380">
      <c r="A8380" s="157">
        <v>8379.0</v>
      </c>
    </row>
    <row r="8381">
      <c r="A8381" s="157">
        <v>8380.0</v>
      </c>
    </row>
    <row r="8382">
      <c r="A8382" s="157">
        <v>8381.0</v>
      </c>
    </row>
    <row r="8383">
      <c r="A8383" s="157">
        <v>8382.0</v>
      </c>
    </row>
    <row r="8384">
      <c r="A8384" s="157">
        <v>8383.0</v>
      </c>
    </row>
    <row r="8385">
      <c r="A8385" s="157">
        <v>8384.0</v>
      </c>
    </row>
    <row r="8386">
      <c r="A8386" s="157">
        <v>8385.0</v>
      </c>
    </row>
    <row r="8387">
      <c r="A8387" s="157">
        <v>8386.0</v>
      </c>
    </row>
    <row r="8388">
      <c r="A8388" s="157">
        <v>8387.0</v>
      </c>
    </row>
    <row r="8389">
      <c r="A8389" s="157">
        <v>8388.0</v>
      </c>
    </row>
    <row r="8390">
      <c r="A8390" s="157">
        <v>8389.0</v>
      </c>
    </row>
    <row r="8391">
      <c r="A8391" s="157">
        <v>8390.0</v>
      </c>
    </row>
    <row r="8392">
      <c r="A8392" s="157">
        <v>8391.0</v>
      </c>
    </row>
    <row r="8393">
      <c r="A8393" s="157">
        <v>8392.0</v>
      </c>
    </row>
    <row r="8394">
      <c r="A8394" s="157">
        <v>8393.0</v>
      </c>
    </row>
    <row r="8395">
      <c r="A8395" s="157">
        <v>8394.0</v>
      </c>
    </row>
    <row r="8396">
      <c r="A8396" s="157">
        <v>8395.0</v>
      </c>
    </row>
    <row r="8397">
      <c r="A8397" s="157">
        <v>8396.0</v>
      </c>
    </row>
    <row r="8398">
      <c r="A8398" s="157">
        <v>8397.0</v>
      </c>
    </row>
    <row r="8399">
      <c r="A8399" s="157">
        <v>8398.0</v>
      </c>
    </row>
    <row r="8400">
      <c r="A8400" s="157">
        <v>8399.0</v>
      </c>
    </row>
    <row r="8401">
      <c r="A8401" s="157">
        <v>8400.0</v>
      </c>
    </row>
    <row r="8402">
      <c r="A8402" s="157">
        <v>8401.0</v>
      </c>
    </row>
    <row r="8403">
      <c r="A8403" s="157">
        <v>8402.0</v>
      </c>
    </row>
    <row r="8404">
      <c r="A8404" s="157">
        <v>8403.0</v>
      </c>
    </row>
    <row r="8405">
      <c r="A8405" s="157">
        <v>8404.0</v>
      </c>
    </row>
    <row r="8406">
      <c r="A8406" s="157">
        <v>8405.0</v>
      </c>
    </row>
    <row r="8407">
      <c r="A8407" s="157">
        <v>8406.0</v>
      </c>
    </row>
    <row r="8408">
      <c r="A8408" s="157">
        <v>8407.0</v>
      </c>
    </row>
    <row r="8409">
      <c r="A8409" s="157">
        <v>8408.0</v>
      </c>
    </row>
    <row r="8410">
      <c r="A8410" s="157">
        <v>8409.0</v>
      </c>
    </row>
    <row r="8411">
      <c r="A8411" s="157">
        <v>8410.0</v>
      </c>
    </row>
    <row r="8412">
      <c r="A8412" s="157">
        <v>8411.0</v>
      </c>
    </row>
    <row r="8413">
      <c r="A8413" s="157">
        <v>8412.0</v>
      </c>
    </row>
    <row r="8414">
      <c r="A8414" s="157">
        <v>8413.0</v>
      </c>
    </row>
    <row r="8415">
      <c r="A8415" s="157">
        <v>8414.0</v>
      </c>
    </row>
    <row r="8416">
      <c r="A8416" s="157">
        <v>8415.0</v>
      </c>
    </row>
    <row r="8417">
      <c r="A8417" s="157">
        <v>8416.0</v>
      </c>
    </row>
    <row r="8418">
      <c r="A8418" s="157">
        <v>8417.0</v>
      </c>
    </row>
    <row r="8419">
      <c r="A8419" s="157">
        <v>8418.0</v>
      </c>
    </row>
    <row r="8420">
      <c r="A8420" s="157">
        <v>8419.0</v>
      </c>
    </row>
    <row r="8421">
      <c r="A8421" s="157">
        <v>8420.0</v>
      </c>
    </row>
    <row r="8422">
      <c r="A8422" s="157">
        <v>8421.0</v>
      </c>
    </row>
    <row r="8423">
      <c r="A8423" s="157">
        <v>8422.0</v>
      </c>
    </row>
    <row r="8424">
      <c r="A8424" s="157">
        <v>8423.0</v>
      </c>
    </row>
    <row r="8425">
      <c r="A8425" s="157">
        <v>8424.0</v>
      </c>
    </row>
    <row r="8426">
      <c r="A8426" s="157">
        <v>8425.0</v>
      </c>
    </row>
    <row r="8427">
      <c r="A8427" s="157">
        <v>8426.0</v>
      </c>
    </row>
    <row r="8428">
      <c r="A8428" s="157">
        <v>8427.0</v>
      </c>
    </row>
    <row r="8429">
      <c r="A8429" s="157">
        <v>8428.0</v>
      </c>
    </row>
    <row r="8430">
      <c r="A8430" s="157">
        <v>8429.0</v>
      </c>
    </row>
    <row r="8431">
      <c r="A8431" s="157">
        <v>8430.0</v>
      </c>
    </row>
    <row r="8432">
      <c r="A8432" s="157">
        <v>8431.0</v>
      </c>
    </row>
    <row r="8433">
      <c r="A8433" s="157">
        <v>8432.0</v>
      </c>
    </row>
    <row r="8434">
      <c r="A8434" s="157">
        <v>8433.0</v>
      </c>
    </row>
    <row r="8435">
      <c r="A8435" s="157">
        <v>8434.0</v>
      </c>
    </row>
    <row r="8436">
      <c r="A8436" s="157">
        <v>8435.0</v>
      </c>
    </row>
    <row r="8437">
      <c r="A8437" s="157">
        <v>8436.0</v>
      </c>
    </row>
    <row r="8438">
      <c r="A8438" s="157">
        <v>8437.0</v>
      </c>
    </row>
    <row r="8439">
      <c r="A8439" s="157">
        <v>8438.0</v>
      </c>
    </row>
    <row r="8440">
      <c r="A8440" s="157">
        <v>8439.0</v>
      </c>
    </row>
    <row r="8441">
      <c r="A8441" s="157">
        <v>8440.0</v>
      </c>
    </row>
    <row r="8442">
      <c r="A8442" s="157">
        <v>8441.0</v>
      </c>
    </row>
    <row r="8443">
      <c r="A8443" s="157">
        <v>8442.0</v>
      </c>
    </row>
    <row r="8444">
      <c r="A8444" s="157">
        <v>8443.0</v>
      </c>
    </row>
    <row r="8445">
      <c r="A8445" s="157">
        <v>8444.0</v>
      </c>
    </row>
    <row r="8446">
      <c r="A8446" s="157">
        <v>8445.0</v>
      </c>
    </row>
    <row r="8447">
      <c r="A8447" s="157">
        <v>8446.0</v>
      </c>
    </row>
    <row r="8448">
      <c r="A8448" s="157">
        <v>8447.0</v>
      </c>
    </row>
    <row r="8449">
      <c r="A8449" s="157">
        <v>8448.0</v>
      </c>
    </row>
    <row r="8450">
      <c r="A8450" s="157">
        <v>8449.0</v>
      </c>
    </row>
    <row r="8451">
      <c r="A8451" s="157">
        <v>8450.0</v>
      </c>
    </row>
    <row r="8452">
      <c r="A8452" s="157">
        <v>8451.0</v>
      </c>
    </row>
    <row r="8453">
      <c r="A8453" s="157">
        <v>8452.0</v>
      </c>
    </row>
    <row r="8454">
      <c r="A8454" s="157">
        <v>8453.0</v>
      </c>
    </row>
    <row r="8455">
      <c r="A8455" s="157">
        <v>8454.0</v>
      </c>
    </row>
    <row r="8456">
      <c r="A8456" s="157">
        <v>8455.0</v>
      </c>
    </row>
    <row r="8457">
      <c r="A8457" s="157">
        <v>8456.0</v>
      </c>
    </row>
    <row r="8458">
      <c r="A8458" s="157">
        <v>8457.0</v>
      </c>
    </row>
    <row r="8459">
      <c r="A8459" s="157">
        <v>8458.0</v>
      </c>
    </row>
    <row r="8460">
      <c r="A8460" s="157">
        <v>8459.0</v>
      </c>
    </row>
    <row r="8461">
      <c r="A8461" s="157">
        <v>8460.0</v>
      </c>
    </row>
    <row r="8462">
      <c r="A8462" s="157">
        <v>8461.0</v>
      </c>
    </row>
    <row r="8463">
      <c r="A8463" s="157">
        <v>8462.0</v>
      </c>
    </row>
    <row r="8464">
      <c r="A8464" s="157">
        <v>8463.0</v>
      </c>
    </row>
    <row r="8465">
      <c r="A8465" s="157">
        <v>8464.0</v>
      </c>
    </row>
    <row r="8466">
      <c r="A8466" s="157">
        <v>8465.0</v>
      </c>
    </row>
    <row r="8467">
      <c r="A8467" s="157">
        <v>8466.0</v>
      </c>
    </row>
    <row r="8468">
      <c r="A8468" s="157">
        <v>8467.0</v>
      </c>
    </row>
    <row r="8469">
      <c r="A8469" s="157">
        <v>8468.0</v>
      </c>
    </row>
    <row r="8470">
      <c r="A8470" s="157">
        <v>8469.0</v>
      </c>
    </row>
    <row r="8471">
      <c r="A8471" s="157">
        <v>8470.0</v>
      </c>
    </row>
    <row r="8472">
      <c r="A8472" s="157">
        <v>8471.0</v>
      </c>
    </row>
    <row r="8473">
      <c r="A8473" s="157">
        <v>8472.0</v>
      </c>
    </row>
    <row r="8474">
      <c r="A8474" s="157">
        <v>8473.0</v>
      </c>
    </row>
    <row r="8475">
      <c r="A8475" s="157">
        <v>8474.0</v>
      </c>
    </row>
    <row r="8476">
      <c r="A8476" s="157">
        <v>8475.0</v>
      </c>
    </row>
    <row r="8477">
      <c r="A8477" s="157">
        <v>8476.0</v>
      </c>
    </row>
    <row r="8478">
      <c r="A8478" s="157">
        <v>8477.0</v>
      </c>
    </row>
    <row r="8479">
      <c r="A8479" s="157">
        <v>8478.0</v>
      </c>
    </row>
    <row r="8480">
      <c r="A8480" s="157">
        <v>8479.0</v>
      </c>
    </row>
    <row r="8481">
      <c r="A8481" s="157">
        <v>8480.0</v>
      </c>
    </row>
    <row r="8482">
      <c r="A8482" s="157">
        <v>8481.0</v>
      </c>
    </row>
    <row r="8483">
      <c r="A8483" s="157">
        <v>8482.0</v>
      </c>
    </row>
    <row r="8484">
      <c r="A8484" s="157">
        <v>8483.0</v>
      </c>
    </row>
    <row r="8485">
      <c r="A8485" s="157">
        <v>8484.0</v>
      </c>
    </row>
    <row r="8486">
      <c r="A8486" s="157">
        <v>8485.0</v>
      </c>
    </row>
    <row r="8487">
      <c r="A8487" s="157">
        <v>8486.0</v>
      </c>
    </row>
    <row r="8488">
      <c r="A8488" s="157">
        <v>8487.0</v>
      </c>
    </row>
    <row r="8489">
      <c r="A8489" s="157">
        <v>8488.0</v>
      </c>
    </row>
    <row r="8490">
      <c r="A8490" s="157">
        <v>8489.0</v>
      </c>
    </row>
    <row r="8491">
      <c r="A8491" s="157">
        <v>8490.0</v>
      </c>
    </row>
    <row r="8492">
      <c r="A8492" s="157">
        <v>8491.0</v>
      </c>
    </row>
    <row r="8493">
      <c r="A8493" s="157">
        <v>8492.0</v>
      </c>
    </row>
    <row r="8494">
      <c r="A8494" s="157">
        <v>8493.0</v>
      </c>
    </row>
    <row r="8495">
      <c r="A8495" s="157">
        <v>8494.0</v>
      </c>
    </row>
    <row r="8496">
      <c r="A8496" s="157">
        <v>8495.0</v>
      </c>
    </row>
    <row r="8497">
      <c r="A8497" s="157">
        <v>8496.0</v>
      </c>
    </row>
    <row r="8498">
      <c r="A8498" s="157">
        <v>8497.0</v>
      </c>
    </row>
    <row r="8499">
      <c r="A8499" s="157">
        <v>8498.0</v>
      </c>
    </row>
    <row r="8500">
      <c r="A8500" s="157">
        <v>8499.0</v>
      </c>
    </row>
    <row r="8501">
      <c r="A8501" s="157">
        <v>8500.0</v>
      </c>
    </row>
    <row r="8502">
      <c r="A8502" s="157">
        <v>8501.0</v>
      </c>
    </row>
    <row r="8503">
      <c r="A8503" s="157">
        <v>8502.0</v>
      </c>
    </row>
    <row r="8504">
      <c r="A8504" s="157">
        <v>8503.0</v>
      </c>
    </row>
    <row r="8505">
      <c r="A8505" s="157">
        <v>8504.0</v>
      </c>
    </row>
    <row r="8506">
      <c r="A8506" s="157">
        <v>8505.0</v>
      </c>
    </row>
    <row r="8507">
      <c r="A8507" s="157">
        <v>8506.0</v>
      </c>
    </row>
    <row r="8508">
      <c r="A8508" s="157">
        <v>8507.0</v>
      </c>
    </row>
    <row r="8509">
      <c r="A8509" s="157">
        <v>8508.0</v>
      </c>
    </row>
    <row r="8510">
      <c r="A8510" s="157">
        <v>8509.0</v>
      </c>
    </row>
    <row r="8511">
      <c r="A8511" s="157">
        <v>8510.0</v>
      </c>
    </row>
    <row r="8512">
      <c r="A8512" s="157">
        <v>8511.0</v>
      </c>
    </row>
    <row r="8513">
      <c r="A8513" s="157">
        <v>8512.0</v>
      </c>
    </row>
    <row r="8514">
      <c r="A8514" s="157">
        <v>8513.0</v>
      </c>
    </row>
    <row r="8515">
      <c r="A8515" s="157">
        <v>8514.0</v>
      </c>
    </row>
    <row r="8516">
      <c r="A8516" s="157">
        <v>8515.0</v>
      </c>
    </row>
    <row r="8517">
      <c r="A8517" s="157">
        <v>8516.0</v>
      </c>
    </row>
    <row r="8518">
      <c r="A8518" s="157">
        <v>8517.0</v>
      </c>
    </row>
    <row r="8519">
      <c r="A8519" s="157">
        <v>8518.0</v>
      </c>
    </row>
    <row r="8520">
      <c r="A8520" s="157">
        <v>8519.0</v>
      </c>
    </row>
    <row r="8521">
      <c r="A8521" s="157">
        <v>8520.0</v>
      </c>
    </row>
    <row r="8522">
      <c r="A8522" s="157">
        <v>8521.0</v>
      </c>
    </row>
    <row r="8523">
      <c r="A8523" s="157">
        <v>8522.0</v>
      </c>
    </row>
    <row r="8524">
      <c r="A8524" s="157">
        <v>8523.0</v>
      </c>
    </row>
    <row r="8525">
      <c r="A8525" s="157">
        <v>8524.0</v>
      </c>
    </row>
    <row r="8526">
      <c r="A8526" s="157">
        <v>8525.0</v>
      </c>
    </row>
    <row r="8527">
      <c r="A8527" s="157">
        <v>8526.0</v>
      </c>
    </row>
    <row r="8528">
      <c r="A8528" s="157">
        <v>8527.0</v>
      </c>
    </row>
    <row r="8529">
      <c r="A8529" s="157">
        <v>8528.0</v>
      </c>
    </row>
    <row r="8530">
      <c r="A8530" s="157">
        <v>8529.0</v>
      </c>
    </row>
    <row r="8531">
      <c r="A8531" s="157">
        <v>8530.0</v>
      </c>
    </row>
    <row r="8532">
      <c r="A8532" s="157">
        <v>8531.0</v>
      </c>
    </row>
    <row r="8533">
      <c r="A8533" s="157">
        <v>8532.0</v>
      </c>
    </row>
    <row r="8534">
      <c r="A8534" s="157">
        <v>8533.0</v>
      </c>
    </row>
    <row r="8535">
      <c r="A8535" s="157">
        <v>8534.0</v>
      </c>
    </row>
    <row r="8536">
      <c r="A8536" s="157">
        <v>8535.0</v>
      </c>
    </row>
    <row r="8537">
      <c r="A8537" s="157">
        <v>8536.0</v>
      </c>
    </row>
    <row r="8538">
      <c r="A8538" s="157">
        <v>8537.0</v>
      </c>
    </row>
    <row r="8539">
      <c r="A8539" s="157">
        <v>8538.0</v>
      </c>
    </row>
    <row r="8540">
      <c r="A8540" s="157">
        <v>8539.0</v>
      </c>
    </row>
    <row r="8541">
      <c r="A8541" s="157">
        <v>8540.0</v>
      </c>
    </row>
    <row r="8542">
      <c r="A8542" s="157">
        <v>8541.0</v>
      </c>
    </row>
    <row r="8543">
      <c r="A8543" s="157">
        <v>8542.0</v>
      </c>
    </row>
    <row r="8544">
      <c r="A8544" s="157">
        <v>8543.0</v>
      </c>
    </row>
    <row r="8545">
      <c r="A8545" s="157">
        <v>8544.0</v>
      </c>
    </row>
    <row r="8546">
      <c r="A8546" s="157">
        <v>8545.0</v>
      </c>
    </row>
    <row r="8547">
      <c r="A8547" s="157">
        <v>8546.0</v>
      </c>
    </row>
    <row r="8548">
      <c r="A8548" s="157">
        <v>8547.0</v>
      </c>
    </row>
    <row r="8549">
      <c r="A8549" s="157">
        <v>8548.0</v>
      </c>
    </row>
    <row r="8550">
      <c r="A8550" s="157">
        <v>8549.0</v>
      </c>
    </row>
    <row r="8551">
      <c r="A8551" s="157">
        <v>8550.0</v>
      </c>
    </row>
    <row r="8552">
      <c r="A8552" s="157">
        <v>8551.0</v>
      </c>
    </row>
    <row r="8553">
      <c r="A8553" s="157">
        <v>8552.0</v>
      </c>
    </row>
    <row r="8554">
      <c r="A8554" s="157">
        <v>8553.0</v>
      </c>
    </row>
    <row r="8555">
      <c r="A8555" s="157">
        <v>8554.0</v>
      </c>
    </row>
    <row r="8556">
      <c r="A8556" s="157">
        <v>8555.0</v>
      </c>
    </row>
    <row r="8557">
      <c r="A8557" s="157">
        <v>8556.0</v>
      </c>
    </row>
    <row r="8558">
      <c r="A8558" s="157">
        <v>8557.0</v>
      </c>
    </row>
    <row r="8559">
      <c r="A8559" s="157">
        <v>8558.0</v>
      </c>
    </row>
    <row r="8560">
      <c r="A8560" s="157">
        <v>8559.0</v>
      </c>
    </row>
    <row r="8561">
      <c r="A8561" s="157">
        <v>8560.0</v>
      </c>
    </row>
    <row r="8562">
      <c r="A8562" s="157">
        <v>8561.0</v>
      </c>
    </row>
    <row r="8563">
      <c r="A8563" s="157">
        <v>8562.0</v>
      </c>
    </row>
    <row r="8564">
      <c r="A8564" s="157">
        <v>8563.0</v>
      </c>
    </row>
    <row r="8565">
      <c r="A8565" s="157">
        <v>8564.0</v>
      </c>
    </row>
    <row r="8566">
      <c r="A8566" s="157">
        <v>8565.0</v>
      </c>
    </row>
    <row r="8567">
      <c r="A8567" s="157">
        <v>8566.0</v>
      </c>
    </row>
    <row r="8568">
      <c r="A8568" s="157">
        <v>8567.0</v>
      </c>
    </row>
    <row r="8569">
      <c r="A8569" s="157">
        <v>8568.0</v>
      </c>
    </row>
    <row r="8570">
      <c r="A8570" s="157">
        <v>8569.0</v>
      </c>
    </row>
    <row r="8571">
      <c r="A8571" s="157">
        <v>8570.0</v>
      </c>
    </row>
    <row r="8572">
      <c r="A8572" s="157">
        <v>8571.0</v>
      </c>
    </row>
    <row r="8573">
      <c r="A8573" s="157">
        <v>8572.0</v>
      </c>
    </row>
    <row r="8574">
      <c r="A8574" s="157">
        <v>8573.0</v>
      </c>
    </row>
    <row r="8575">
      <c r="A8575" s="157">
        <v>8574.0</v>
      </c>
    </row>
    <row r="8576">
      <c r="A8576" s="157">
        <v>8575.0</v>
      </c>
    </row>
    <row r="8577">
      <c r="A8577" s="157">
        <v>8576.0</v>
      </c>
    </row>
    <row r="8578">
      <c r="A8578" s="157">
        <v>8577.0</v>
      </c>
    </row>
    <row r="8579">
      <c r="A8579" s="157">
        <v>8578.0</v>
      </c>
    </row>
    <row r="8580">
      <c r="A8580" s="157">
        <v>8579.0</v>
      </c>
    </row>
    <row r="8581">
      <c r="A8581" s="157">
        <v>8580.0</v>
      </c>
    </row>
    <row r="8582">
      <c r="A8582" s="157">
        <v>8581.0</v>
      </c>
    </row>
    <row r="8583">
      <c r="A8583" s="157">
        <v>8582.0</v>
      </c>
    </row>
    <row r="8584">
      <c r="A8584" s="157">
        <v>8583.0</v>
      </c>
    </row>
    <row r="8585">
      <c r="A8585" s="157">
        <v>8584.0</v>
      </c>
    </row>
    <row r="8586">
      <c r="A8586" s="157">
        <v>8585.0</v>
      </c>
    </row>
    <row r="8587">
      <c r="A8587" s="157">
        <v>8586.0</v>
      </c>
    </row>
    <row r="8588">
      <c r="A8588" s="157">
        <v>8587.0</v>
      </c>
    </row>
    <row r="8589">
      <c r="A8589" s="157">
        <v>8588.0</v>
      </c>
    </row>
    <row r="8590">
      <c r="A8590" s="157">
        <v>8589.0</v>
      </c>
    </row>
    <row r="8591">
      <c r="A8591" s="157">
        <v>8590.0</v>
      </c>
    </row>
    <row r="8592">
      <c r="A8592" s="157">
        <v>8591.0</v>
      </c>
    </row>
    <row r="8593">
      <c r="A8593" s="157">
        <v>8592.0</v>
      </c>
    </row>
    <row r="8594">
      <c r="A8594" s="157">
        <v>8593.0</v>
      </c>
    </row>
    <row r="8595">
      <c r="A8595" s="157">
        <v>8594.0</v>
      </c>
    </row>
    <row r="8596">
      <c r="A8596" s="157">
        <v>8595.0</v>
      </c>
    </row>
    <row r="8597">
      <c r="A8597" s="157">
        <v>8596.0</v>
      </c>
    </row>
    <row r="8598">
      <c r="A8598" s="157">
        <v>8597.0</v>
      </c>
    </row>
    <row r="8599">
      <c r="A8599" s="157">
        <v>8598.0</v>
      </c>
    </row>
    <row r="8600">
      <c r="A8600" s="157">
        <v>8599.0</v>
      </c>
    </row>
    <row r="8601">
      <c r="A8601" s="157">
        <v>8600.0</v>
      </c>
    </row>
    <row r="8602">
      <c r="A8602" s="157">
        <v>8601.0</v>
      </c>
    </row>
    <row r="8603">
      <c r="A8603" s="157">
        <v>8602.0</v>
      </c>
    </row>
    <row r="8604">
      <c r="A8604" s="157">
        <v>8603.0</v>
      </c>
    </row>
    <row r="8605">
      <c r="A8605" s="157">
        <v>8604.0</v>
      </c>
    </row>
    <row r="8606">
      <c r="A8606" s="157">
        <v>8605.0</v>
      </c>
    </row>
    <row r="8607">
      <c r="A8607" s="157">
        <v>8606.0</v>
      </c>
    </row>
    <row r="8608">
      <c r="A8608" s="157">
        <v>8607.0</v>
      </c>
    </row>
    <row r="8609">
      <c r="A8609" s="157">
        <v>8608.0</v>
      </c>
    </row>
    <row r="8610">
      <c r="A8610" s="157">
        <v>8609.0</v>
      </c>
    </row>
    <row r="8611">
      <c r="A8611" s="157">
        <v>8610.0</v>
      </c>
    </row>
    <row r="8612">
      <c r="A8612" s="157">
        <v>8611.0</v>
      </c>
    </row>
    <row r="8613">
      <c r="A8613" s="157">
        <v>8612.0</v>
      </c>
    </row>
    <row r="8614">
      <c r="A8614" s="157">
        <v>8613.0</v>
      </c>
    </row>
    <row r="8615">
      <c r="A8615" s="157">
        <v>8614.0</v>
      </c>
    </row>
    <row r="8616">
      <c r="A8616" s="157">
        <v>8615.0</v>
      </c>
    </row>
    <row r="8617">
      <c r="A8617" s="157">
        <v>8616.0</v>
      </c>
    </row>
    <row r="8618">
      <c r="A8618" s="157">
        <v>8617.0</v>
      </c>
    </row>
    <row r="8619">
      <c r="A8619" s="157">
        <v>8618.0</v>
      </c>
    </row>
    <row r="8620">
      <c r="A8620" s="157">
        <v>8619.0</v>
      </c>
    </row>
    <row r="8621">
      <c r="A8621" s="157">
        <v>8620.0</v>
      </c>
    </row>
    <row r="8622">
      <c r="A8622" s="157">
        <v>8621.0</v>
      </c>
    </row>
    <row r="8623">
      <c r="A8623" s="157">
        <v>8622.0</v>
      </c>
    </row>
    <row r="8624">
      <c r="A8624" s="157">
        <v>8623.0</v>
      </c>
    </row>
    <row r="8625">
      <c r="A8625" s="157">
        <v>8624.0</v>
      </c>
    </row>
    <row r="8626">
      <c r="A8626" s="157">
        <v>8625.0</v>
      </c>
    </row>
    <row r="8627">
      <c r="A8627" s="157">
        <v>8626.0</v>
      </c>
    </row>
    <row r="8628">
      <c r="A8628" s="157">
        <v>8627.0</v>
      </c>
    </row>
    <row r="8629">
      <c r="A8629" s="157">
        <v>8628.0</v>
      </c>
    </row>
    <row r="8630">
      <c r="A8630" s="157">
        <v>8629.0</v>
      </c>
    </row>
    <row r="8631">
      <c r="A8631" s="157">
        <v>8630.0</v>
      </c>
    </row>
    <row r="8632">
      <c r="A8632" s="157">
        <v>8631.0</v>
      </c>
    </row>
    <row r="8633">
      <c r="A8633" s="157">
        <v>8632.0</v>
      </c>
    </row>
    <row r="8634">
      <c r="A8634" s="157">
        <v>8633.0</v>
      </c>
    </row>
    <row r="8635">
      <c r="A8635" s="157">
        <v>8634.0</v>
      </c>
    </row>
    <row r="8636">
      <c r="A8636" s="157">
        <v>8635.0</v>
      </c>
    </row>
    <row r="8637">
      <c r="A8637" s="157">
        <v>8636.0</v>
      </c>
    </row>
    <row r="8638">
      <c r="A8638" s="157">
        <v>8637.0</v>
      </c>
    </row>
    <row r="8639">
      <c r="A8639" s="157">
        <v>8638.0</v>
      </c>
    </row>
    <row r="8640">
      <c r="A8640" s="157">
        <v>8639.0</v>
      </c>
    </row>
    <row r="8641">
      <c r="A8641" s="157">
        <v>8640.0</v>
      </c>
    </row>
    <row r="8642">
      <c r="A8642" s="157">
        <v>8641.0</v>
      </c>
    </row>
    <row r="8643">
      <c r="A8643" s="157">
        <v>8642.0</v>
      </c>
    </row>
    <row r="8644">
      <c r="A8644" s="157">
        <v>8643.0</v>
      </c>
    </row>
    <row r="8645">
      <c r="A8645" s="157">
        <v>8644.0</v>
      </c>
    </row>
    <row r="8646">
      <c r="A8646" s="157">
        <v>8645.0</v>
      </c>
    </row>
    <row r="8647">
      <c r="A8647" s="157">
        <v>8646.0</v>
      </c>
    </row>
    <row r="8648">
      <c r="A8648" s="157">
        <v>8647.0</v>
      </c>
    </row>
    <row r="8649">
      <c r="A8649" s="157">
        <v>8648.0</v>
      </c>
    </row>
    <row r="8650">
      <c r="A8650" s="157">
        <v>8649.0</v>
      </c>
    </row>
    <row r="8651">
      <c r="A8651" s="157">
        <v>8650.0</v>
      </c>
    </row>
    <row r="8652">
      <c r="A8652" s="157">
        <v>8651.0</v>
      </c>
    </row>
    <row r="8653">
      <c r="A8653" s="157">
        <v>8652.0</v>
      </c>
    </row>
    <row r="8654">
      <c r="A8654" s="157">
        <v>8653.0</v>
      </c>
    </row>
    <row r="8655">
      <c r="A8655" s="157">
        <v>8654.0</v>
      </c>
    </row>
    <row r="8656">
      <c r="A8656" s="157">
        <v>8655.0</v>
      </c>
    </row>
    <row r="8657">
      <c r="A8657" s="157">
        <v>8656.0</v>
      </c>
    </row>
    <row r="8658">
      <c r="A8658" s="157">
        <v>8657.0</v>
      </c>
    </row>
    <row r="8659">
      <c r="A8659" s="157">
        <v>8658.0</v>
      </c>
    </row>
    <row r="8660">
      <c r="A8660" s="157">
        <v>8659.0</v>
      </c>
    </row>
    <row r="8661">
      <c r="A8661" s="157">
        <v>8660.0</v>
      </c>
    </row>
    <row r="8662">
      <c r="A8662" s="157">
        <v>8661.0</v>
      </c>
    </row>
    <row r="8663">
      <c r="A8663" s="157">
        <v>8662.0</v>
      </c>
    </row>
    <row r="8664">
      <c r="A8664" s="157">
        <v>8663.0</v>
      </c>
    </row>
    <row r="8665">
      <c r="A8665" s="157">
        <v>8664.0</v>
      </c>
    </row>
    <row r="8666">
      <c r="A8666" s="157">
        <v>8665.0</v>
      </c>
    </row>
    <row r="8667">
      <c r="A8667" s="157">
        <v>8666.0</v>
      </c>
    </row>
    <row r="8668">
      <c r="A8668" s="157">
        <v>8667.0</v>
      </c>
    </row>
    <row r="8669">
      <c r="A8669" s="157">
        <v>8668.0</v>
      </c>
    </row>
    <row r="8670">
      <c r="A8670" s="157">
        <v>8669.0</v>
      </c>
    </row>
    <row r="8671">
      <c r="A8671" s="157">
        <v>8670.0</v>
      </c>
    </row>
    <row r="8672">
      <c r="A8672" s="157">
        <v>8671.0</v>
      </c>
    </row>
    <row r="8673">
      <c r="A8673" s="157">
        <v>8672.0</v>
      </c>
    </row>
    <row r="8674">
      <c r="A8674" s="157">
        <v>8673.0</v>
      </c>
    </row>
    <row r="8675">
      <c r="A8675" s="157">
        <v>8674.0</v>
      </c>
    </row>
    <row r="8676">
      <c r="A8676" s="157">
        <v>8675.0</v>
      </c>
    </row>
    <row r="8677">
      <c r="A8677" s="157">
        <v>8676.0</v>
      </c>
    </row>
    <row r="8678">
      <c r="A8678" s="157">
        <v>8677.0</v>
      </c>
    </row>
    <row r="8679">
      <c r="A8679" s="157">
        <v>8678.0</v>
      </c>
    </row>
    <row r="8680">
      <c r="A8680" s="157">
        <v>8679.0</v>
      </c>
    </row>
    <row r="8681">
      <c r="A8681" s="157">
        <v>8680.0</v>
      </c>
    </row>
    <row r="8682">
      <c r="A8682" s="157">
        <v>8681.0</v>
      </c>
    </row>
    <row r="8683">
      <c r="A8683" s="157">
        <v>8682.0</v>
      </c>
    </row>
    <row r="8684">
      <c r="A8684" s="157">
        <v>8683.0</v>
      </c>
    </row>
    <row r="8685">
      <c r="A8685" s="157">
        <v>8684.0</v>
      </c>
    </row>
    <row r="8686">
      <c r="A8686" s="157">
        <v>8685.0</v>
      </c>
    </row>
    <row r="8687">
      <c r="A8687" s="157">
        <v>8686.0</v>
      </c>
    </row>
    <row r="8688">
      <c r="A8688" s="157">
        <v>8687.0</v>
      </c>
    </row>
    <row r="8689">
      <c r="A8689" s="157">
        <v>8688.0</v>
      </c>
    </row>
    <row r="8690">
      <c r="A8690" s="157">
        <v>8689.0</v>
      </c>
    </row>
    <row r="8691">
      <c r="A8691" s="157">
        <v>8690.0</v>
      </c>
    </row>
    <row r="8692">
      <c r="A8692" s="157">
        <v>8691.0</v>
      </c>
    </row>
    <row r="8693">
      <c r="A8693" s="157">
        <v>8692.0</v>
      </c>
    </row>
    <row r="8694">
      <c r="A8694" s="157">
        <v>8693.0</v>
      </c>
    </row>
    <row r="8695">
      <c r="A8695" s="157">
        <v>8694.0</v>
      </c>
    </row>
    <row r="8696">
      <c r="A8696" s="157">
        <v>8695.0</v>
      </c>
    </row>
    <row r="8697">
      <c r="A8697" s="157">
        <v>8696.0</v>
      </c>
    </row>
    <row r="8698">
      <c r="A8698" s="157">
        <v>8697.0</v>
      </c>
    </row>
    <row r="8699">
      <c r="A8699" s="157">
        <v>8698.0</v>
      </c>
    </row>
    <row r="8700">
      <c r="A8700" s="157">
        <v>8699.0</v>
      </c>
    </row>
    <row r="8701">
      <c r="A8701" s="157">
        <v>8700.0</v>
      </c>
    </row>
    <row r="8702">
      <c r="A8702" s="157">
        <v>8701.0</v>
      </c>
    </row>
    <row r="8703">
      <c r="A8703" s="157">
        <v>8702.0</v>
      </c>
    </row>
    <row r="8704">
      <c r="A8704" s="157">
        <v>8703.0</v>
      </c>
    </row>
    <row r="8705">
      <c r="A8705" s="157">
        <v>8704.0</v>
      </c>
    </row>
    <row r="8706">
      <c r="A8706" s="157">
        <v>8705.0</v>
      </c>
    </row>
    <row r="8707">
      <c r="A8707" s="157">
        <v>8706.0</v>
      </c>
    </row>
    <row r="8708">
      <c r="A8708" s="157">
        <v>8707.0</v>
      </c>
    </row>
    <row r="8709">
      <c r="A8709" s="157">
        <v>8708.0</v>
      </c>
    </row>
    <row r="8710">
      <c r="A8710" s="157">
        <v>8709.0</v>
      </c>
    </row>
    <row r="8711">
      <c r="A8711" s="157">
        <v>8710.0</v>
      </c>
    </row>
    <row r="8712">
      <c r="A8712" s="157">
        <v>8711.0</v>
      </c>
    </row>
    <row r="8713">
      <c r="A8713" s="157">
        <v>8712.0</v>
      </c>
    </row>
    <row r="8714">
      <c r="A8714" s="157">
        <v>8713.0</v>
      </c>
    </row>
    <row r="8715">
      <c r="A8715" s="157">
        <v>8714.0</v>
      </c>
    </row>
    <row r="8716">
      <c r="A8716" s="157">
        <v>8715.0</v>
      </c>
    </row>
    <row r="8717">
      <c r="A8717" s="157">
        <v>8716.0</v>
      </c>
    </row>
    <row r="8718">
      <c r="A8718" s="157">
        <v>8717.0</v>
      </c>
    </row>
    <row r="8719">
      <c r="A8719" s="157">
        <v>8718.0</v>
      </c>
    </row>
    <row r="8720">
      <c r="A8720" s="157">
        <v>8719.0</v>
      </c>
    </row>
    <row r="8721">
      <c r="A8721" s="157">
        <v>8720.0</v>
      </c>
    </row>
    <row r="8722">
      <c r="A8722" s="157">
        <v>8721.0</v>
      </c>
    </row>
    <row r="8723">
      <c r="A8723" s="157">
        <v>8722.0</v>
      </c>
    </row>
    <row r="8724">
      <c r="A8724" s="157">
        <v>8723.0</v>
      </c>
    </row>
    <row r="8725">
      <c r="A8725" s="157">
        <v>8724.0</v>
      </c>
    </row>
    <row r="8726">
      <c r="A8726" s="157">
        <v>8725.0</v>
      </c>
    </row>
    <row r="8727">
      <c r="A8727" s="157">
        <v>8726.0</v>
      </c>
    </row>
    <row r="8728">
      <c r="A8728" s="157">
        <v>8727.0</v>
      </c>
    </row>
    <row r="8729">
      <c r="A8729" s="157">
        <v>8728.0</v>
      </c>
    </row>
    <row r="8730">
      <c r="A8730" s="157">
        <v>8729.0</v>
      </c>
    </row>
    <row r="8731">
      <c r="A8731" s="157">
        <v>8730.0</v>
      </c>
    </row>
    <row r="8732">
      <c r="A8732" s="157">
        <v>8731.0</v>
      </c>
    </row>
    <row r="8733">
      <c r="A8733" s="157">
        <v>8732.0</v>
      </c>
    </row>
    <row r="8734">
      <c r="A8734" s="157">
        <v>8733.0</v>
      </c>
    </row>
    <row r="8735">
      <c r="A8735" s="157">
        <v>8734.0</v>
      </c>
    </row>
    <row r="8736">
      <c r="A8736" s="157">
        <v>8735.0</v>
      </c>
    </row>
    <row r="8737">
      <c r="A8737" s="157">
        <v>8736.0</v>
      </c>
    </row>
    <row r="8738">
      <c r="A8738" s="157">
        <v>8737.0</v>
      </c>
    </row>
    <row r="8739">
      <c r="A8739" s="157">
        <v>8738.0</v>
      </c>
    </row>
    <row r="8740">
      <c r="A8740" s="157">
        <v>8739.0</v>
      </c>
    </row>
    <row r="8741">
      <c r="A8741" s="157">
        <v>8740.0</v>
      </c>
    </row>
    <row r="8742">
      <c r="A8742" s="157">
        <v>8741.0</v>
      </c>
    </row>
    <row r="8743">
      <c r="A8743" s="157">
        <v>8742.0</v>
      </c>
    </row>
    <row r="8744">
      <c r="A8744" s="157">
        <v>8743.0</v>
      </c>
    </row>
    <row r="8745">
      <c r="A8745" s="157">
        <v>8744.0</v>
      </c>
    </row>
    <row r="8746">
      <c r="A8746" s="157">
        <v>8745.0</v>
      </c>
    </row>
    <row r="8747">
      <c r="A8747" s="157">
        <v>8746.0</v>
      </c>
    </row>
    <row r="8748">
      <c r="A8748" s="157">
        <v>8747.0</v>
      </c>
    </row>
    <row r="8749">
      <c r="A8749" s="157">
        <v>8748.0</v>
      </c>
    </row>
    <row r="8750">
      <c r="A8750" s="157">
        <v>8749.0</v>
      </c>
    </row>
    <row r="8751">
      <c r="A8751" s="157">
        <v>8750.0</v>
      </c>
    </row>
    <row r="8752">
      <c r="A8752" s="157">
        <v>8751.0</v>
      </c>
    </row>
    <row r="8753">
      <c r="A8753" s="157">
        <v>8752.0</v>
      </c>
    </row>
    <row r="8754">
      <c r="A8754" s="157">
        <v>8753.0</v>
      </c>
    </row>
    <row r="8755">
      <c r="A8755" s="157">
        <v>8754.0</v>
      </c>
    </row>
    <row r="8756">
      <c r="A8756" s="157">
        <v>8755.0</v>
      </c>
    </row>
    <row r="8757">
      <c r="A8757" s="157">
        <v>8756.0</v>
      </c>
    </row>
    <row r="8758">
      <c r="A8758" s="157">
        <v>8757.0</v>
      </c>
    </row>
    <row r="8759">
      <c r="A8759" s="157">
        <v>8758.0</v>
      </c>
    </row>
    <row r="8760">
      <c r="A8760" s="157">
        <v>8759.0</v>
      </c>
    </row>
    <row r="8761">
      <c r="A8761" s="157">
        <v>8760.0</v>
      </c>
    </row>
    <row r="8762">
      <c r="A8762" s="157">
        <v>8761.0</v>
      </c>
    </row>
    <row r="8763">
      <c r="A8763" s="157">
        <v>8762.0</v>
      </c>
    </row>
    <row r="8764">
      <c r="A8764" s="157">
        <v>8763.0</v>
      </c>
    </row>
    <row r="8765">
      <c r="A8765" s="157">
        <v>8764.0</v>
      </c>
    </row>
    <row r="8766">
      <c r="A8766" s="157">
        <v>8765.0</v>
      </c>
    </row>
    <row r="8767">
      <c r="A8767" s="157">
        <v>8766.0</v>
      </c>
    </row>
    <row r="8768">
      <c r="A8768" s="157">
        <v>8767.0</v>
      </c>
    </row>
    <row r="8769">
      <c r="A8769" s="157">
        <v>8768.0</v>
      </c>
    </row>
    <row r="8770">
      <c r="A8770" s="157">
        <v>8769.0</v>
      </c>
    </row>
    <row r="8771">
      <c r="A8771" s="157">
        <v>8770.0</v>
      </c>
    </row>
    <row r="8772">
      <c r="A8772" s="157">
        <v>8771.0</v>
      </c>
    </row>
    <row r="8773">
      <c r="A8773" s="157">
        <v>8772.0</v>
      </c>
    </row>
    <row r="8774">
      <c r="A8774" s="157">
        <v>8773.0</v>
      </c>
    </row>
    <row r="8775">
      <c r="A8775" s="157">
        <v>8774.0</v>
      </c>
    </row>
    <row r="8776">
      <c r="A8776" s="157">
        <v>8775.0</v>
      </c>
    </row>
    <row r="8777">
      <c r="A8777" s="157">
        <v>8776.0</v>
      </c>
    </row>
    <row r="8778">
      <c r="A8778" s="157">
        <v>8777.0</v>
      </c>
    </row>
    <row r="8779">
      <c r="A8779" s="157">
        <v>8778.0</v>
      </c>
    </row>
    <row r="8780">
      <c r="A8780" s="157">
        <v>8779.0</v>
      </c>
    </row>
    <row r="8781">
      <c r="A8781" s="157">
        <v>8780.0</v>
      </c>
    </row>
    <row r="8782">
      <c r="A8782" s="157">
        <v>8781.0</v>
      </c>
    </row>
    <row r="8783">
      <c r="A8783" s="157">
        <v>8782.0</v>
      </c>
    </row>
    <row r="8784">
      <c r="A8784" s="157">
        <v>8783.0</v>
      </c>
    </row>
    <row r="8785">
      <c r="A8785" s="157">
        <v>8784.0</v>
      </c>
    </row>
    <row r="8786">
      <c r="A8786" s="157">
        <v>8785.0</v>
      </c>
    </row>
    <row r="8787">
      <c r="A8787" s="157">
        <v>8786.0</v>
      </c>
    </row>
    <row r="8788">
      <c r="A8788" s="157">
        <v>8787.0</v>
      </c>
    </row>
    <row r="8789">
      <c r="A8789" s="157">
        <v>8788.0</v>
      </c>
    </row>
    <row r="8790">
      <c r="A8790" s="157">
        <v>8789.0</v>
      </c>
    </row>
    <row r="8791">
      <c r="A8791" s="157">
        <v>8790.0</v>
      </c>
    </row>
    <row r="8792">
      <c r="A8792" s="157">
        <v>8791.0</v>
      </c>
    </row>
    <row r="8793">
      <c r="A8793" s="157">
        <v>8792.0</v>
      </c>
    </row>
    <row r="8794">
      <c r="A8794" s="157">
        <v>8793.0</v>
      </c>
    </row>
    <row r="8795">
      <c r="A8795" s="157">
        <v>8794.0</v>
      </c>
    </row>
    <row r="8796">
      <c r="A8796" s="157">
        <v>8795.0</v>
      </c>
    </row>
    <row r="8797">
      <c r="A8797" s="157">
        <v>8796.0</v>
      </c>
    </row>
    <row r="8798">
      <c r="A8798" s="157">
        <v>8797.0</v>
      </c>
    </row>
    <row r="8799">
      <c r="A8799" s="157">
        <v>8798.0</v>
      </c>
    </row>
    <row r="8800">
      <c r="A8800" s="157">
        <v>8799.0</v>
      </c>
    </row>
    <row r="8801">
      <c r="A8801" s="157">
        <v>8800.0</v>
      </c>
    </row>
    <row r="8802">
      <c r="A8802" s="157">
        <v>8801.0</v>
      </c>
    </row>
    <row r="8803">
      <c r="A8803" s="157">
        <v>8802.0</v>
      </c>
    </row>
    <row r="8804">
      <c r="A8804" s="157">
        <v>8803.0</v>
      </c>
    </row>
    <row r="8805">
      <c r="A8805" s="157">
        <v>8804.0</v>
      </c>
    </row>
    <row r="8806">
      <c r="A8806" s="157">
        <v>8805.0</v>
      </c>
    </row>
    <row r="8807">
      <c r="A8807" s="157">
        <v>8806.0</v>
      </c>
    </row>
    <row r="8808">
      <c r="A8808" s="157">
        <v>8807.0</v>
      </c>
    </row>
    <row r="8809">
      <c r="A8809" s="157">
        <v>8808.0</v>
      </c>
    </row>
    <row r="8810">
      <c r="A8810" s="157">
        <v>8809.0</v>
      </c>
    </row>
    <row r="8811">
      <c r="A8811" s="157">
        <v>8810.0</v>
      </c>
    </row>
    <row r="8812">
      <c r="A8812" s="157">
        <v>8811.0</v>
      </c>
    </row>
    <row r="8813">
      <c r="A8813" s="157">
        <v>8812.0</v>
      </c>
    </row>
    <row r="8814">
      <c r="A8814" s="157">
        <v>8813.0</v>
      </c>
    </row>
    <row r="8815">
      <c r="A8815" s="157">
        <v>8814.0</v>
      </c>
    </row>
    <row r="8816">
      <c r="A8816" s="157">
        <v>8815.0</v>
      </c>
    </row>
    <row r="8817">
      <c r="A8817" s="157">
        <v>8816.0</v>
      </c>
    </row>
    <row r="8818">
      <c r="A8818" s="157">
        <v>8817.0</v>
      </c>
    </row>
    <row r="8819">
      <c r="A8819" s="157">
        <v>8818.0</v>
      </c>
    </row>
    <row r="8820">
      <c r="A8820" s="157">
        <v>8819.0</v>
      </c>
    </row>
    <row r="8821">
      <c r="A8821" s="157">
        <v>8820.0</v>
      </c>
    </row>
    <row r="8822">
      <c r="A8822" s="157">
        <v>8821.0</v>
      </c>
    </row>
    <row r="8823">
      <c r="A8823" s="157">
        <v>8822.0</v>
      </c>
    </row>
    <row r="8824">
      <c r="A8824" s="157">
        <v>8823.0</v>
      </c>
    </row>
    <row r="8825">
      <c r="A8825" s="157">
        <v>8824.0</v>
      </c>
    </row>
    <row r="8826">
      <c r="A8826" s="157">
        <v>8825.0</v>
      </c>
    </row>
    <row r="8827">
      <c r="A8827" s="157">
        <v>8826.0</v>
      </c>
    </row>
    <row r="8828">
      <c r="A8828" s="157">
        <v>8827.0</v>
      </c>
    </row>
    <row r="8829">
      <c r="A8829" s="157">
        <v>8828.0</v>
      </c>
    </row>
    <row r="8830">
      <c r="A8830" s="157">
        <v>8829.0</v>
      </c>
    </row>
    <row r="8831">
      <c r="A8831" s="157">
        <v>8830.0</v>
      </c>
    </row>
    <row r="8832">
      <c r="A8832" s="157">
        <v>8831.0</v>
      </c>
    </row>
    <row r="8833">
      <c r="A8833" s="157">
        <v>8832.0</v>
      </c>
    </row>
    <row r="8834">
      <c r="A8834" s="157">
        <v>8833.0</v>
      </c>
    </row>
    <row r="8835">
      <c r="A8835" s="157">
        <v>8834.0</v>
      </c>
    </row>
    <row r="8836">
      <c r="A8836" s="157">
        <v>8835.0</v>
      </c>
    </row>
    <row r="8837">
      <c r="A8837" s="157">
        <v>8836.0</v>
      </c>
    </row>
    <row r="8838">
      <c r="A8838" s="157">
        <v>8837.0</v>
      </c>
    </row>
    <row r="8839">
      <c r="A8839" s="157">
        <v>8838.0</v>
      </c>
    </row>
    <row r="8840">
      <c r="A8840" s="157">
        <v>8839.0</v>
      </c>
    </row>
    <row r="8841">
      <c r="A8841" s="157">
        <v>8840.0</v>
      </c>
    </row>
    <row r="8842">
      <c r="A8842" s="157">
        <v>8841.0</v>
      </c>
    </row>
    <row r="8843">
      <c r="A8843" s="157">
        <v>8842.0</v>
      </c>
    </row>
    <row r="8844">
      <c r="A8844" s="157">
        <v>8843.0</v>
      </c>
    </row>
    <row r="8845">
      <c r="A8845" s="157">
        <v>8844.0</v>
      </c>
    </row>
    <row r="8846">
      <c r="A8846" s="157">
        <v>8845.0</v>
      </c>
    </row>
    <row r="8847">
      <c r="A8847" s="157">
        <v>8846.0</v>
      </c>
    </row>
    <row r="8848">
      <c r="A8848" s="157">
        <v>8847.0</v>
      </c>
    </row>
    <row r="8849">
      <c r="A8849" s="157">
        <v>8848.0</v>
      </c>
    </row>
    <row r="8850">
      <c r="A8850" s="157">
        <v>8849.0</v>
      </c>
    </row>
    <row r="8851">
      <c r="A8851" s="157">
        <v>8850.0</v>
      </c>
    </row>
    <row r="8852">
      <c r="A8852" s="157">
        <v>8851.0</v>
      </c>
    </row>
    <row r="8853">
      <c r="A8853" s="157">
        <v>8852.0</v>
      </c>
    </row>
    <row r="8854">
      <c r="A8854" s="157">
        <v>8853.0</v>
      </c>
    </row>
    <row r="8855">
      <c r="A8855" s="157">
        <v>8854.0</v>
      </c>
    </row>
    <row r="8856">
      <c r="A8856" s="157">
        <v>8855.0</v>
      </c>
    </row>
    <row r="8857">
      <c r="A8857" s="157">
        <v>8856.0</v>
      </c>
    </row>
    <row r="8858">
      <c r="A8858" s="157">
        <v>8857.0</v>
      </c>
    </row>
    <row r="8859">
      <c r="A8859" s="157">
        <v>8858.0</v>
      </c>
    </row>
    <row r="8860">
      <c r="A8860" s="157">
        <v>8859.0</v>
      </c>
    </row>
    <row r="8861">
      <c r="A8861" s="157">
        <v>8860.0</v>
      </c>
    </row>
    <row r="8862">
      <c r="A8862" s="157">
        <v>8861.0</v>
      </c>
    </row>
    <row r="8863">
      <c r="A8863" s="157">
        <v>8862.0</v>
      </c>
    </row>
    <row r="8864">
      <c r="A8864" s="157">
        <v>8863.0</v>
      </c>
    </row>
    <row r="8865">
      <c r="A8865" s="157">
        <v>8864.0</v>
      </c>
    </row>
    <row r="8866">
      <c r="A8866" s="157">
        <v>8865.0</v>
      </c>
    </row>
    <row r="8867">
      <c r="A8867" s="157">
        <v>8866.0</v>
      </c>
    </row>
    <row r="8868">
      <c r="A8868" s="157">
        <v>8867.0</v>
      </c>
    </row>
    <row r="8869">
      <c r="A8869" s="157">
        <v>8868.0</v>
      </c>
    </row>
    <row r="8870">
      <c r="A8870" s="157">
        <v>8869.0</v>
      </c>
    </row>
    <row r="8871">
      <c r="A8871" s="157">
        <v>8870.0</v>
      </c>
    </row>
    <row r="8872">
      <c r="A8872" s="157">
        <v>8871.0</v>
      </c>
    </row>
    <row r="8873">
      <c r="A8873" s="157">
        <v>8872.0</v>
      </c>
    </row>
    <row r="8874">
      <c r="A8874" s="157">
        <v>8873.0</v>
      </c>
    </row>
    <row r="8875">
      <c r="A8875" s="157">
        <v>8874.0</v>
      </c>
    </row>
    <row r="8876">
      <c r="A8876" s="157">
        <v>8875.0</v>
      </c>
    </row>
    <row r="8877">
      <c r="A8877" s="157">
        <v>8876.0</v>
      </c>
    </row>
    <row r="8878">
      <c r="A8878" s="157">
        <v>8877.0</v>
      </c>
    </row>
    <row r="8879">
      <c r="A8879" s="157">
        <v>8878.0</v>
      </c>
    </row>
    <row r="8880">
      <c r="A8880" s="157">
        <v>8879.0</v>
      </c>
    </row>
    <row r="8881">
      <c r="A8881" s="157">
        <v>8880.0</v>
      </c>
    </row>
    <row r="8882">
      <c r="A8882" s="157">
        <v>8881.0</v>
      </c>
    </row>
    <row r="8883">
      <c r="A8883" s="157">
        <v>8882.0</v>
      </c>
    </row>
    <row r="8884">
      <c r="A8884" s="157">
        <v>8883.0</v>
      </c>
    </row>
    <row r="8885">
      <c r="A8885" s="157">
        <v>8884.0</v>
      </c>
    </row>
    <row r="8886">
      <c r="A8886" s="157">
        <v>8885.0</v>
      </c>
    </row>
    <row r="8887">
      <c r="A8887" s="157">
        <v>8886.0</v>
      </c>
    </row>
    <row r="8888">
      <c r="A8888" s="157">
        <v>8887.0</v>
      </c>
    </row>
    <row r="8889">
      <c r="A8889" s="157">
        <v>8888.0</v>
      </c>
    </row>
    <row r="8890">
      <c r="A8890" s="157">
        <v>8889.0</v>
      </c>
    </row>
    <row r="8891">
      <c r="A8891" s="157">
        <v>8890.0</v>
      </c>
    </row>
    <row r="8892">
      <c r="A8892" s="157">
        <v>8891.0</v>
      </c>
    </row>
    <row r="8893">
      <c r="A8893" s="157">
        <v>8892.0</v>
      </c>
    </row>
    <row r="8894">
      <c r="A8894" s="157">
        <v>8893.0</v>
      </c>
    </row>
    <row r="8895">
      <c r="A8895" s="157">
        <v>8894.0</v>
      </c>
    </row>
    <row r="8896">
      <c r="A8896" s="157">
        <v>8895.0</v>
      </c>
    </row>
    <row r="8897">
      <c r="A8897" s="157">
        <v>8896.0</v>
      </c>
    </row>
    <row r="8898">
      <c r="A8898" s="157">
        <v>8897.0</v>
      </c>
    </row>
    <row r="8899">
      <c r="A8899" s="157">
        <v>8898.0</v>
      </c>
    </row>
    <row r="8900">
      <c r="A8900" s="157">
        <v>8899.0</v>
      </c>
    </row>
    <row r="8901">
      <c r="A8901" s="157">
        <v>8900.0</v>
      </c>
    </row>
    <row r="8902">
      <c r="A8902" s="157">
        <v>8901.0</v>
      </c>
    </row>
    <row r="8903">
      <c r="A8903" s="157">
        <v>8902.0</v>
      </c>
    </row>
    <row r="8904">
      <c r="A8904" s="157">
        <v>8903.0</v>
      </c>
    </row>
    <row r="8905">
      <c r="A8905" s="157">
        <v>8904.0</v>
      </c>
    </row>
    <row r="8906">
      <c r="A8906" s="157">
        <v>8905.0</v>
      </c>
    </row>
    <row r="8907">
      <c r="A8907" s="157">
        <v>8906.0</v>
      </c>
    </row>
    <row r="8908">
      <c r="A8908" s="157">
        <v>8907.0</v>
      </c>
    </row>
    <row r="8909">
      <c r="A8909" s="157">
        <v>8908.0</v>
      </c>
    </row>
    <row r="8910">
      <c r="A8910" s="157">
        <v>8909.0</v>
      </c>
    </row>
    <row r="8911">
      <c r="A8911" s="157">
        <v>8910.0</v>
      </c>
    </row>
    <row r="8912">
      <c r="A8912" s="157">
        <v>8911.0</v>
      </c>
    </row>
    <row r="8913">
      <c r="A8913" s="157">
        <v>8912.0</v>
      </c>
    </row>
    <row r="8914">
      <c r="A8914" s="157">
        <v>8913.0</v>
      </c>
    </row>
    <row r="8915">
      <c r="A8915" s="157">
        <v>8914.0</v>
      </c>
    </row>
    <row r="8916">
      <c r="A8916" s="157">
        <v>8915.0</v>
      </c>
    </row>
    <row r="8917">
      <c r="A8917" s="157">
        <v>8916.0</v>
      </c>
    </row>
    <row r="8918">
      <c r="A8918" s="157">
        <v>8917.0</v>
      </c>
    </row>
    <row r="8919">
      <c r="A8919" s="157">
        <v>8918.0</v>
      </c>
    </row>
    <row r="8920">
      <c r="A8920" s="157">
        <v>8919.0</v>
      </c>
    </row>
    <row r="8921">
      <c r="A8921" s="157">
        <v>8920.0</v>
      </c>
    </row>
    <row r="8922">
      <c r="A8922" s="157">
        <v>8921.0</v>
      </c>
    </row>
    <row r="8923">
      <c r="A8923" s="157">
        <v>8922.0</v>
      </c>
    </row>
    <row r="8924">
      <c r="A8924" s="157">
        <v>8923.0</v>
      </c>
    </row>
    <row r="8925">
      <c r="A8925" s="157">
        <v>8924.0</v>
      </c>
    </row>
    <row r="8926">
      <c r="A8926" s="157">
        <v>8925.0</v>
      </c>
    </row>
    <row r="8927">
      <c r="A8927" s="157">
        <v>8926.0</v>
      </c>
    </row>
    <row r="8928">
      <c r="A8928" s="157">
        <v>8927.0</v>
      </c>
    </row>
    <row r="8929">
      <c r="A8929" s="157">
        <v>8928.0</v>
      </c>
    </row>
    <row r="8930">
      <c r="A8930" s="157">
        <v>8929.0</v>
      </c>
    </row>
    <row r="8931">
      <c r="A8931" s="157">
        <v>8930.0</v>
      </c>
    </row>
    <row r="8932">
      <c r="A8932" s="157">
        <v>8931.0</v>
      </c>
    </row>
    <row r="8933">
      <c r="A8933" s="157">
        <v>8932.0</v>
      </c>
    </row>
    <row r="8934">
      <c r="A8934" s="157">
        <v>8933.0</v>
      </c>
    </row>
    <row r="8935">
      <c r="A8935" s="157">
        <v>8934.0</v>
      </c>
    </row>
    <row r="8936">
      <c r="A8936" s="157">
        <v>8935.0</v>
      </c>
    </row>
    <row r="8937">
      <c r="A8937" s="157">
        <v>8936.0</v>
      </c>
    </row>
    <row r="8938">
      <c r="A8938" s="157">
        <v>8937.0</v>
      </c>
    </row>
    <row r="8939">
      <c r="A8939" s="157">
        <v>8938.0</v>
      </c>
    </row>
    <row r="8940">
      <c r="A8940" s="157">
        <v>8939.0</v>
      </c>
    </row>
    <row r="8941">
      <c r="A8941" s="157">
        <v>8940.0</v>
      </c>
    </row>
    <row r="8942">
      <c r="A8942" s="157">
        <v>8941.0</v>
      </c>
    </row>
    <row r="8943">
      <c r="A8943" s="157">
        <v>8942.0</v>
      </c>
    </row>
    <row r="8944">
      <c r="A8944" s="157">
        <v>8943.0</v>
      </c>
    </row>
    <row r="8945">
      <c r="A8945" s="157">
        <v>8944.0</v>
      </c>
    </row>
    <row r="8946">
      <c r="A8946" s="157">
        <v>8945.0</v>
      </c>
    </row>
    <row r="8947">
      <c r="A8947" s="157">
        <v>8946.0</v>
      </c>
    </row>
    <row r="8948">
      <c r="A8948" s="157">
        <v>8947.0</v>
      </c>
    </row>
    <row r="8949">
      <c r="A8949" s="157">
        <v>8948.0</v>
      </c>
    </row>
    <row r="8950">
      <c r="A8950" s="157">
        <v>8949.0</v>
      </c>
    </row>
    <row r="8951">
      <c r="A8951" s="157">
        <v>8950.0</v>
      </c>
    </row>
    <row r="8952">
      <c r="A8952" s="157">
        <v>8951.0</v>
      </c>
    </row>
    <row r="8953">
      <c r="A8953" s="157">
        <v>8952.0</v>
      </c>
    </row>
    <row r="8954">
      <c r="A8954" s="157">
        <v>8953.0</v>
      </c>
    </row>
    <row r="8955">
      <c r="A8955" s="157">
        <v>8954.0</v>
      </c>
    </row>
    <row r="8956">
      <c r="A8956" s="157">
        <v>8955.0</v>
      </c>
    </row>
    <row r="8957">
      <c r="A8957" s="157">
        <v>8956.0</v>
      </c>
    </row>
    <row r="8958">
      <c r="A8958" s="157">
        <v>8957.0</v>
      </c>
    </row>
    <row r="8959">
      <c r="A8959" s="157">
        <v>8958.0</v>
      </c>
    </row>
    <row r="8960">
      <c r="A8960" s="157">
        <v>8959.0</v>
      </c>
    </row>
    <row r="8961">
      <c r="A8961" s="157">
        <v>8960.0</v>
      </c>
    </row>
    <row r="8962">
      <c r="A8962" s="157">
        <v>8961.0</v>
      </c>
    </row>
    <row r="8963">
      <c r="A8963" s="157">
        <v>8962.0</v>
      </c>
    </row>
    <row r="8964">
      <c r="A8964" s="157">
        <v>8963.0</v>
      </c>
    </row>
    <row r="8965">
      <c r="A8965" s="157">
        <v>8964.0</v>
      </c>
    </row>
    <row r="8966">
      <c r="A8966" s="157">
        <v>8965.0</v>
      </c>
    </row>
    <row r="8967">
      <c r="A8967" s="157">
        <v>8966.0</v>
      </c>
    </row>
    <row r="8968">
      <c r="A8968" s="157">
        <v>8967.0</v>
      </c>
    </row>
    <row r="8969">
      <c r="A8969" s="157">
        <v>8968.0</v>
      </c>
    </row>
    <row r="8970">
      <c r="A8970" s="157">
        <v>8969.0</v>
      </c>
    </row>
    <row r="8971">
      <c r="A8971" s="157">
        <v>8970.0</v>
      </c>
    </row>
    <row r="8972">
      <c r="A8972" s="157">
        <v>8971.0</v>
      </c>
    </row>
    <row r="8973">
      <c r="A8973" s="157">
        <v>8972.0</v>
      </c>
    </row>
    <row r="8974">
      <c r="A8974" s="157">
        <v>8973.0</v>
      </c>
    </row>
    <row r="8975">
      <c r="A8975" s="157">
        <v>8974.0</v>
      </c>
    </row>
    <row r="8976">
      <c r="A8976" s="157">
        <v>8975.0</v>
      </c>
    </row>
    <row r="8977">
      <c r="A8977" s="157">
        <v>8976.0</v>
      </c>
    </row>
    <row r="8978">
      <c r="A8978" s="157">
        <v>8977.0</v>
      </c>
    </row>
    <row r="8979">
      <c r="A8979" s="157">
        <v>8978.0</v>
      </c>
    </row>
    <row r="8980">
      <c r="A8980" s="157">
        <v>8979.0</v>
      </c>
    </row>
    <row r="8981">
      <c r="A8981" s="157">
        <v>8980.0</v>
      </c>
    </row>
    <row r="8982">
      <c r="A8982" s="157">
        <v>8981.0</v>
      </c>
    </row>
    <row r="8983">
      <c r="A8983" s="157">
        <v>8982.0</v>
      </c>
    </row>
    <row r="8984">
      <c r="A8984" s="157">
        <v>8983.0</v>
      </c>
    </row>
    <row r="8985">
      <c r="A8985" s="157">
        <v>8984.0</v>
      </c>
    </row>
    <row r="8986">
      <c r="A8986" s="157">
        <v>8985.0</v>
      </c>
    </row>
    <row r="8987">
      <c r="A8987" s="157">
        <v>8986.0</v>
      </c>
    </row>
    <row r="8988">
      <c r="A8988" s="157">
        <v>8987.0</v>
      </c>
    </row>
    <row r="8989">
      <c r="A8989" s="157">
        <v>8988.0</v>
      </c>
    </row>
    <row r="8990">
      <c r="A8990" s="157">
        <v>8989.0</v>
      </c>
    </row>
    <row r="8991">
      <c r="A8991" s="157">
        <v>8990.0</v>
      </c>
    </row>
    <row r="8992">
      <c r="A8992" s="157">
        <v>8991.0</v>
      </c>
    </row>
    <row r="8993">
      <c r="A8993" s="157">
        <v>8992.0</v>
      </c>
    </row>
    <row r="8994">
      <c r="A8994" s="157">
        <v>8993.0</v>
      </c>
    </row>
    <row r="8995">
      <c r="A8995" s="157">
        <v>8994.0</v>
      </c>
    </row>
    <row r="8996">
      <c r="A8996" s="157">
        <v>8995.0</v>
      </c>
    </row>
    <row r="8997">
      <c r="A8997" s="157">
        <v>8996.0</v>
      </c>
    </row>
    <row r="8998">
      <c r="A8998" s="157">
        <v>8997.0</v>
      </c>
    </row>
    <row r="8999">
      <c r="A8999" s="157">
        <v>8998.0</v>
      </c>
    </row>
    <row r="9000">
      <c r="A9000" s="157">
        <v>8999.0</v>
      </c>
    </row>
    <row r="9001">
      <c r="A9001" s="157">
        <v>9000.0</v>
      </c>
    </row>
    <row r="9002">
      <c r="A9002" s="157">
        <v>9001.0</v>
      </c>
    </row>
    <row r="9003">
      <c r="A9003" s="157">
        <v>9002.0</v>
      </c>
    </row>
    <row r="9004">
      <c r="A9004" s="157">
        <v>9003.0</v>
      </c>
    </row>
    <row r="9005">
      <c r="A9005" s="157">
        <v>9004.0</v>
      </c>
    </row>
    <row r="9006">
      <c r="A9006" s="157">
        <v>9005.0</v>
      </c>
    </row>
    <row r="9007">
      <c r="A9007" s="157">
        <v>9006.0</v>
      </c>
    </row>
    <row r="9008">
      <c r="A9008" s="157">
        <v>9007.0</v>
      </c>
    </row>
    <row r="9009">
      <c r="A9009" s="157">
        <v>9008.0</v>
      </c>
    </row>
    <row r="9010">
      <c r="A9010" s="157">
        <v>9009.0</v>
      </c>
    </row>
    <row r="9011">
      <c r="A9011" s="157">
        <v>9010.0</v>
      </c>
    </row>
    <row r="9012">
      <c r="A9012" s="157">
        <v>9011.0</v>
      </c>
    </row>
    <row r="9013">
      <c r="A9013" s="157">
        <v>9012.0</v>
      </c>
    </row>
    <row r="9014">
      <c r="A9014" s="157">
        <v>9013.0</v>
      </c>
    </row>
    <row r="9015">
      <c r="A9015" s="157">
        <v>9014.0</v>
      </c>
    </row>
    <row r="9016">
      <c r="A9016" s="157">
        <v>9015.0</v>
      </c>
    </row>
    <row r="9017">
      <c r="A9017" s="157">
        <v>9016.0</v>
      </c>
    </row>
    <row r="9018">
      <c r="A9018" s="157">
        <v>9017.0</v>
      </c>
    </row>
    <row r="9019">
      <c r="A9019" s="157">
        <v>9018.0</v>
      </c>
    </row>
    <row r="9020">
      <c r="A9020" s="157">
        <v>9019.0</v>
      </c>
    </row>
    <row r="9021">
      <c r="A9021" s="157">
        <v>9020.0</v>
      </c>
    </row>
    <row r="9022">
      <c r="A9022" s="157">
        <v>9021.0</v>
      </c>
    </row>
    <row r="9023">
      <c r="A9023" s="157">
        <v>9022.0</v>
      </c>
    </row>
    <row r="9024">
      <c r="A9024" s="157">
        <v>9023.0</v>
      </c>
    </row>
    <row r="9025">
      <c r="A9025" s="157">
        <v>9024.0</v>
      </c>
    </row>
    <row r="9026">
      <c r="A9026" s="157">
        <v>9025.0</v>
      </c>
    </row>
    <row r="9027">
      <c r="A9027" s="157">
        <v>9026.0</v>
      </c>
    </row>
    <row r="9028">
      <c r="A9028" s="157">
        <v>9027.0</v>
      </c>
    </row>
    <row r="9029">
      <c r="A9029" s="157">
        <v>9028.0</v>
      </c>
    </row>
    <row r="9030">
      <c r="A9030" s="157">
        <v>9029.0</v>
      </c>
    </row>
    <row r="9031">
      <c r="A9031" s="157">
        <v>9030.0</v>
      </c>
    </row>
    <row r="9032">
      <c r="A9032" s="157">
        <v>9031.0</v>
      </c>
    </row>
    <row r="9033">
      <c r="A9033" s="157">
        <v>9032.0</v>
      </c>
    </row>
    <row r="9034">
      <c r="A9034" s="157">
        <v>9033.0</v>
      </c>
    </row>
    <row r="9035">
      <c r="A9035" s="157">
        <v>9034.0</v>
      </c>
    </row>
    <row r="9036">
      <c r="A9036" s="157">
        <v>9035.0</v>
      </c>
    </row>
    <row r="9037">
      <c r="A9037" s="157">
        <v>9036.0</v>
      </c>
    </row>
    <row r="9038">
      <c r="A9038" s="157">
        <v>9037.0</v>
      </c>
    </row>
    <row r="9039">
      <c r="A9039" s="157">
        <v>9038.0</v>
      </c>
    </row>
    <row r="9040">
      <c r="A9040" s="157">
        <v>9039.0</v>
      </c>
    </row>
    <row r="9041">
      <c r="A9041" s="157">
        <v>9040.0</v>
      </c>
    </row>
    <row r="9042">
      <c r="A9042" s="157">
        <v>9041.0</v>
      </c>
    </row>
    <row r="9043">
      <c r="A9043" s="157">
        <v>9042.0</v>
      </c>
    </row>
    <row r="9044">
      <c r="A9044" s="157">
        <v>9043.0</v>
      </c>
    </row>
    <row r="9045">
      <c r="A9045" s="157">
        <v>9044.0</v>
      </c>
    </row>
    <row r="9046">
      <c r="A9046" s="157">
        <v>9045.0</v>
      </c>
    </row>
    <row r="9047">
      <c r="A9047" s="157">
        <v>9046.0</v>
      </c>
    </row>
    <row r="9048">
      <c r="A9048" s="157">
        <v>9047.0</v>
      </c>
    </row>
    <row r="9049">
      <c r="A9049" s="157">
        <v>9048.0</v>
      </c>
    </row>
    <row r="9050">
      <c r="A9050" s="157">
        <v>9049.0</v>
      </c>
    </row>
    <row r="9051">
      <c r="A9051" s="157">
        <v>9050.0</v>
      </c>
    </row>
    <row r="9052">
      <c r="A9052" s="157">
        <v>9051.0</v>
      </c>
    </row>
    <row r="9053">
      <c r="A9053" s="157">
        <v>9052.0</v>
      </c>
    </row>
    <row r="9054">
      <c r="A9054" s="157">
        <v>9053.0</v>
      </c>
    </row>
    <row r="9055">
      <c r="A9055" s="157">
        <v>9054.0</v>
      </c>
    </row>
    <row r="9056">
      <c r="A9056" s="157">
        <v>9055.0</v>
      </c>
    </row>
    <row r="9057">
      <c r="A9057" s="157">
        <v>9056.0</v>
      </c>
    </row>
    <row r="9058">
      <c r="A9058" s="157">
        <v>9057.0</v>
      </c>
    </row>
    <row r="9059">
      <c r="A9059" s="157">
        <v>9058.0</v>
      </c>
    </row>
    <row r="9060">
      <c r="A9060" s="157">
        <v>9059.0</v>
      </c>
    </row>
    <row r="9061">
      <c r="A9061" s="157">
        <v>9060.0</v>
      </c>
    </row>
    <row r="9062">
      <c r="A9062" s="157">
        <v>9061.0</v>
      </c>
    </row>
    <row r="9063">
      <c r="A9063" s="157">
        <v>9062.0</v>
      </c>
    </row>
    <row r="9064">
      <c r="A9064" s="157">
        <v>9063.0</v>
      </c>
    </row>
    <row r="9065">
      <c r="A9065" s="157">
        <v>9064.0</v>
      </c>
    </row>
    <row r="9066">
      <c r="A9066" s="157">
        <v>9065.0</v>
      </c>
    </row>
    <row r="9067">
      <c r="A9067" s="157">
        <v>9066.0</v>
      </c>
    </row>
    <row r="9068">
      <c r="A9068" s="157">
        <v>9067.0</v>
      </c>
    </row>
    <row r="9069">
      <c r="A9069" s="157">
        <v>9068.0</v>
      </c>
    </row>
    <row r="9070">
      <c r="A9070" s="157">
        <v>9069.0</v>
      </c>
    </row>
    <row r="9071">
      <c r="A9071" s="157">
        <v>9070.0</v>
      </c>
    </row>
    <row r="9072">
      <c r="A9072" s="157">
        <v>9071.0</v>
      </c>
    </row>
    <row r="9073">
      <c r="A9073" s="157">
        <v>9072.0</v>
      </c>
    </row>
    <row r="9074">
      <c r="A9074" s="157">
        <v>9073.0</v>
      </c>
    </row>
    <row r="9075">
      <c r="A9075" s="157">
        <v>9074.0</v>
      </c>
    </row>
    <row r="9076">
      <c r="A9076" s="157">
        <v>9075.0</v>
      </c>
    </row>
    <row r="9077">
      <c r="A9077" s="157">
        <v>9076.0</v>
      </c>
    </row>
    <row r="9078">
      <c r="A9078" s="157">
        <v>9077.0</v>
      </c>
    </row>
    <row r="9079">
      <c r="A9079" s="157">
        <v>9078.0</v>
      </c>
    </row>
    <row r="9080">
      <c r="A9080" s="157">
        <v>9079.0</v>
      </c>
    </row>
    <row r="9081">
      <c r="A9081" s="157">
        <v>9080.0</v>
      </c>
    </row>
    <row r="9082">
      <c r="A9082" s="157">
        <v>9081.0</v>
      </c>
    </row>
    <row r="9083">
      <c r="A9083" s="157">
        <v>9082.0</v>
      </c>
    </row>
    <row r="9084">
      <c r="A9084" s="157">
        <v>9083.0</v>
      </c>
    </row>
    <row r="9085">
      <c r="A9085" s="157">
        <v>9084.0</v>
      </c>
    </row>
    <row r="9086">
      <c r="A9086" s="157">
        <v>9085.0</v>
      </c>
    </row>
    <row r="9087">
      <c r="A9087" s="157">
        <v>9086.0</v>
      </c>
    </row>
    <row r="9088">
      <c r="A9088" s="157">
        <v>9087.0</v>
      </c>
    </row>
    <row r="9089">
      <c r="A9089" s="157">
        <v>9088.0</v>
      </c>
    </row>
    <row r="9090">
      <c r="A9090" s="157">
        <v>9089.0</v>
      </c>
    </row>
    <row r="9091">
      <c r="A9091" s="157">
        <v>9090.0</v>
      </c>
    </row>
    <row r="9092">
      <c r="A9092" s="157">
        <v>9091.0</v>
      </c>
    </row>
    <row r="9093">
      <c r="A9093" s="157">
        <v>9092.0</v>
      </c>
    </row>
    <row r="9094">
      <c r="A9094" s="157">
        <v>9093.0</v>
      </c>
    </row>
    <row r="9095">
      <c r="A9095" s="157">
        <v>9094.0</v>
      </c>
    </row>
    <row r="9096">
      <c r="A9096" s="157">
        <v>9095.0</v>
      </c>
    </row>
    <row r="9097">
      <c r="A9097" s="157">
        <v>9096.0</v>
      </c>
    </row>
    <row r="9098">
      <c r="A9098" s="157">
        <v>9097.0</v>
      </c>
    </row>
    <row r="9099">
      <c r="A9099" s="157">
        <v>9098.0</v>
      </c>
    </row>
    <row r="9100">
      <c r="A9100" s="157">
        <v>9099.0</v>
      </c>
    </row>
    <row r="9101">
      <c r="A9101" s="157">
        <v>9100.0</v>
      </c>
    </row>
    <row r="9102">
      <c r="A9102" s="157">
        <v>9101.0</v>
      </c>
    </row>
    <row r="9103">
      <c r="A9103" s="157">
        <v>9102.0</v>
      </c>
    </row>
    <row r="9104">
      <c r="A9104" s="157">
        <v>9103.0</v>
      </c>
    </row>
    <row r="9105">
      <c r="A9105" s="157">
        <v>9104.0</v>
      </c>
    </row>
    <row r="9106">
      <c r="A9106" s="157">
        <v>9105.0</v>
      </c>
    </row>
    <row r="9107">
      <c r="A9107" s="157">
        <v>9106.0</v>
      </c>
    </row>
    <row r="9108">
      <c r="A9108" s="157">
        <v>9107.0</v>
      </c>
    </row>
    <row r="9109">
      <c r="A9109" s="157">
        <v>9108.0</v>
      </c>
    </row>
    <row r="9110">
      <c r="A9110" s="157">
        <v>9109.0</v>
      </c>
    </row>
    <row r="9111">
      <c r="A9111" s="157">
        <v>9110.0</v>
      </c>
    </row>
    <row r="9112">
      <c r="A9112" s="157">
        <v>9111.0</v>
      </c>
    </row>
    <row r="9113">
      <c r="A9113" s="157">
        <v>9112.0</v>
      </c>
    </row>
    <row r="9114">
      <c r="A9114" s="157">
        <v>9113.0</v>
      </c>
    </row>
    <row r="9115">
      <c r="A9115" s="157">
        <v>9114.0</v>
      </c>
    </row>
    <row r="9116">
      <c r="A9116" s="157">
        <v>9115.0</v>
      </c>
    </row>
    <row r="9117">
      <c r="A9117" s="157">
        <v>9116.0</v>
      </c>
    </row>
    <row r="9118">
      <c r="A9118" s="157">
        <v>9117.0</v>
      </c>
    </row>
    <row r="9119">
      <c r="A9119" s="157">
        <v>9118.0</v>
      </c>
    </row>
    <row r="9120">
      <c r="A9120" s="157">
        <v>9119.0</v>
      </c>
    </row>
    <row r="9121">
      <c r="A9121" s="157">
        <v>9120.0</v>
      </c>
    </row>
    <row r="9122">
      <c r="A9122" s="157">
        <v>9121.0</v>
      </c>
    </row>
    <row r="9123">
      <c r="A9123" s="157">
        <v>9122.0</v>
      </c>
    </row>
    <row r="9124">
      <c r="A9124" s="157">
        <v>9123.0</v>
      </c>
    </row>
    <row r="9125">
      <c r="A9125" s="157">
        <v>9124.0</v>
      </c>
    </row>
    <row r="9126">
      <c r="A9126" s="157">
        <v>9125.0</v>
      </c>
    </row>
    <row r="9127">
      <c r="A9127" s="157">
        <v>9126.0</v>
      </c>
    </row>
    <row r="9128">
      <c r="A9128" s="157">
        <v>9127.0</v>
      </c>
    </row>
    <row r="9129">
      <c r="A9129" s="157">
        <v>9128.0</v>
      </c>
    </row>
    <row r="9130">
      <c r="A9130" s="157">
        <v>9129.0</v>
      </c>
    </row>
    <row r="9131">
      <c r="A9131" s="157">
        <v>9130.0</v>
      </c>
    </row>
    <row r="9132">
      <c r="A9132" s="157">
        <v>9131.0</v>
      </c>
    </row>
    <row r="9133">
      <c r="A9133" s="157">
        <v>9132.0</v>
      </c>
    </row>
    <row r="9134">
      <c r="A9134" s="157">
        <v>9133.0</v>
      </c>
    </row>
    <row r="9135">
      <c r="A9135" s="157">
        <v>9134.0</v>
      </c>
    </row>
    <row r="9136">
      <c r="A9136" s="157">
        <v>9135.0</v>
      </c>
    </row>
    <row r="9137">
      <c r="A9137" s="157">
        <v>9136.0</v>
      </c>
    </row>
    <row r="9138">
      <c r="A9138" s="157">
        <v>9137.0</v>
      </c>
    </row>
    <row r="9139">
      <c r="A9139" s="157">
        <v>9138.0</v>
      </c>
    </row>
    <row r="9140">
      <c r="A9140" s="157">
        <v>9139.0</v>
      </c>
    </row>
    <row r="9141">
      <c r="A9141" s="157">
        <v>9140.0</v>
      </c>
    </row>
    <row r="9142">
      <c r="A9142" s="157">
        <v>9141.0</v>
      </c>
    </row>
    <row r="9143">
      <c r="A9143" s="157">
        <v>9142.0</v>
      </c>
    </row>
    <row r="9144">
      <c r="A9144" s="157">
        <v>9143.0</v>
      </c>
    </row>
    <row r="9145">
      <c r="A9145" s="157">
        <v>9144.0</v>
      </c>
    </row>
    <row r="9146">
      <c r="A9146" s="157">
        <v>9145.0</v>
      </c>
    </row>
    <row r="9147">
      <c r="A9147" s="157">
        <v>9146.0</v>
      </c>
    </row>
    <row r="9148">
      <c r="A9148" s="157">
        <v>9147.0</v>
      </c>
    </row>
    <row r="9149">
      <c r="A9149" s="157">
        <v>9148.0</v>
      </c>
    </row>
    <row r="9150">
      <c r="A9150" s="157">
        <v>9149.0</v>
      </c>
    </row>
    <row r="9151">
      <c r="A9151" s="157">
        <v>9150.0</v>
      </c>
    </row>
    <row r="9152">
      <c r="A9152" s="157">
        <v>9151.0</v>
      </c>
    </row>
    <row r="9153">
      <c r="A9153" s="157">
        <v>9152.0</v>
      </c>
    </row>
    <row r="9154">
      <c r="A9154" s="157">
        <v>9153.0</v>
      </c>
    </row>
    <row r="9155">
      <c r="A9155" s="157">
        <v>9154.0</v>
      </c>
    </row>
    <row r="9156">
      <c r="A9156" s="157">
        <v>9155.0</v>
      </c>
    </row>
    <row r="9157">
      <c r="A9157" s="157">
        <v>9156.0</v>
      </c>
    </row>
    <row r="9158">
      <c r="A9158" s="157">
        <v>9157.0</v>
      </c>
    </row>
    <row r="9159">
      <c r="A9159" s="157">
        <v>9158.0</v>
      </c>
    </row>
    <row r="9160">
      <c r="A9160" s="157">
        <v>9159.0</v>
      </c>
    </row>
    <row r="9161">
      <c r="A9161" s="157">
        <v>9160.0</v>
      </c>
    </row>
    <row r="9162">
      <c r="A9162" s="157">
        <v>9161.0</v>
      </c>
    </row>
    <row r="9163">
      <c r="A9163" s="157">
        <v>9162.0</v>
      </c>
    </row>
    <row r="9164">
      <c r="A9164" s="157">
        <v>9163.0</v>
      </c>
    </row>
    <row r="9165">
      <c r="A9165" s="157">
        <v>9164.0</v>
      </c>
    </row>
    <row r="9166">
      <c r="A9166" s="157">
        <v>9165.0</v>
      </c>
    </row>
    <row r="9167">
      <c r="A9167" s="157">
        <v>9166.0</v>
      </c>
    </row>
    <row r="9168">
      <c r="A9168" s="157">
        <v>9167.0</v>
      </c>
    </row>
    <row r="9169">
      <c r="A9169" s="157">
        <v>9168.0</v>
      </c>
    </row>
    <row r="9170">
      <c r="A9170" s="157">
        <v>9169.0</v>
      </c>
    </row>
    <row r="9171">
      <c r="A9171" s="157">
        <v>9170.0</v>
      </c>
    </row>
    <row r="9172">
      <c r="A9172" s="157">
        <v>9171.0</v>
      </c>
    </row>
    <row r="9173">
      <c r="A9173" s="157">
        <v>9172.0</v>
      </c>
    </row>
    <row r="9174">
      <c r="A9174" s="157">
        <v>9173.0</v>
      </c>
    </row>
    <row r="9175">
      <c r="A9175" s="157">
        <v>9174.0</v>
      </c>
    </row>
    <row r="9176">
      <c r="A9176" s="157">
        <v>9175.0</v>
      </c>
    </row>
    <row r="9177">
      <c r="A9177" s="157">
        <v>9176.0</v>
      </c>
    </row>
    <row r="9178">
      <c r="A9178" s="157">
        <v>9177.0</v>
      </c>
    </row>
    <row r="9179">
      <c r="A9179" s="157">
        <v>9178.0</v>
      </c>
    </row>
    <row r="9180">
      <c r="A9180" s="157">
        <v>9179.0</v>
      </c>
    </row>
    <row r="9181">
      <c r="A9181" s="157">
        <v>9180.0</v>
      </c>
    </row>
    <row r="9182">
      <c r="A9182" s="157">
        <v>9181.0</v>
      </c>
    </row>
    <row r="9183">
      <c r="A9183" s="157">
        <v>9182.0</v>
      </c>
    </row>
    <row r="9184">
      <c r="A9184" s="157">
        <v>9183.0</v>
      </c>
    </row>
    <row r="9185">
      <c r="A9185" s="157">
        <v>9184.0</v>
      </c>
    </row>
    <row r="9186">
      <c r="A9186" s="157">
        <v>9185.0</v>
      </c>
    </row>
    <row r="9187">
      <c r="A9187" s="157">
        <v>9186.0</v>
      </c>
    </row>
    <row r="9188">
      <c r="A9188" s="157">
        <v>9187.0</v>
      </c>
    </row>
    <row r="9189">
      <c r="A9189" s="157">
        <v>9188.0</v>
      </c>
    </row>
    <row r="9190">
      <c r="A9190" s="157">
        <v>9189.0</v>
      </c>
    </row>
    <row r="9191">
      <c r="A9191" s="157">
        <v>9190.0</v>
      </c>
    </row>
    <row r="9192">
      <c r="A9192" s="157">
        <v>9191.0</v>
      </c>
    </row>
    <row r="9193">
      <c r="A9193" s="157">
        <v>9192.0</v>
      </c>
    </row>
    <row r="9194">
      <c r="A9194" s="157">
        <v>9193.0</v>
      </c>
    </row>
    <row r="9195">
      <c r="A9195" s="157">
        <v>9194.0</v>
      </c>
    </row>
    <row r="9196">
      <c r="A9196" s="157">
        <v>9195.0</v>
      </c>
    </row>
    <row r="9197">
      <c r="A9197" s="157">
        <v>9196.0</v>
      </c>
    </row>
    <row r="9198">
      <c r="A9198" s="157">
        <v>9197.0</v>
      </c>
    </row>
    <row r="9199">
      <c r="A9199" s="157">
        <v>9198.0</v>
      </c>
    </row>
    <row r="9200">
      <c r="A9200" s="157">
        <v>9199.0</v>
      </c>
    </row>
    <row r="9201">
      <c r="A9201" s="157">
        <v>9200.0</v>
      </c>
    </row>
    <row r="9202">
      <c r="A9202" s="157">
        <v>9201.0</v>
      </c>
    </row>
    <row r="9203">
      <c r="A9203" s="157">
        <v>9202.0</v>
      </c>
    </row>
    <row r="9204">
      <c r="A9204" s="157">
        <v>9203.0</v>
      </c>
    </row>
    <row r="9205">
      <c r="A9205" s="157">
        <v>9204.0</v>
      </c>
    </row>
    <row r="9206">
      <c r="A9206" s="157">
        <v>9205.0</v>
      </c>
    </row>
    <row r="9207">
      <c r="A9207" s="157">
        <v>9206.0</v>
      </c>
    </row>
    <row r="9208">
      <c r="A9208" s="157">
        <v>9207.0</v>
      </c>
    </row>
    <row r="9209">
      <c r="A9209" s="157">
        <v>9208.0</v>
      </c>
    </row>
    <row r="9210">
      <c r="A9210" s="157">
        <v>9209.0</v>
      </c>
    </row>
    <row r="9211">
      <c r="A9211" s="157">
        <v>9210.0</v>
      </c>
    </row>
    <row r="9212">
      <c r="A9212" s="157">
        <v>9211.0</v>
      </c>
    </row>
    <row r="9213">
      <c r="A9213" s="157">
        <v>9212.0</v>
      </c>
    </row>
    <row r="9214">
      <c r="A9214" s="157">
        <v>9213.0</v>
      </c>
    </row>
    <row r="9215">
      <c r="A9215" s="157">
        <v>9214.0</v>
      </c>
    </row>
    <row r="9216">
      <c r="A9216" s="157">
        <v>9215.0</v>
      </c>
    </row>
    <row r="9217">
      <c r="A9217" s="157">
        <v>9216.0</v>
      </c>
    </row>
    <row r="9218">
      <c r="A9218" s="157">
        <v>9217.0</v>
      </c>
    </row>
    <row r="9219">
      <c r="A9219" s="157">
        <v>9218.0</v>
      </c>
    </row>
    <row r="9220">
      <c r="A9220" s="157">
        <v>9219.0</v>
      </c>
    </row>
    <row r="9221">
      <c r="A9221" s="157">
        <v>9220.0</v>
      </c>
    </row>
    <row r="9222">
      <c r="A9222" s="157">
        <v>9221.0</v>
      </c>
    </row>
    <row r="9223">
      <c r="A9223" s="157">
        <v>9222.0</v>
      </c>
    </row>
    <row r="9224">
      <c r="A9224" s="157">
        <v>9223.0</v>
      </c>
    </row>
    <row r="9225">
      <c r="A9225" s="157">
        <v>9224.0</v>
      </c>
    </row>
    <row r="9226">
      <c r="A9226" s="157">
        <v>9225.0</v>
      </c>
    </row>
    <row r="9227">
      <c r="A9227" s="157">
        <v>9226.0</v>
      </c>
    </row>
    <row r="9228">
      <c r="A9228" s="157">
        <v>9227.0</v>
      </c>
    </row>
    <row r="9229">
      <c r="A9229" s="157">
        <v>9228.0</v>
      </c>
    </row>
    <row r="9230">
      <c r="A9230" s="157">
        <v>9229.0</v>
      </c>
    </row>
    <row r="9231">
      <c r="A9231" s="157">
        <v>9230.0</v>
      </c>
    </row>
    <row r="9232">
      <c r="A9232" s="157">
        <v>9231.0</v>
      </c>
    </row>
    <row r="9233">
      <c r="A9233" s="157">
        <v>9232.0</v>
      </c>
    </row>
    <row r="9234">
      <c r="A9234" s="157">
        <v>9233.0</v>
      </c>
    </row>
    <row r="9235">
      <c r="A9235" s="157">
        <v>9234.0</v>
      </c>
    </row>
    <row r="9236">
      <c r="A9236" s="157">
        <v>9235.0</v>
      </c>
    </row>
    <row r="9237">
      <c r="A9237" s="157">
        <v>9236.0</v>
      </c>
    </row>
    <row r="9238">
      <c r="A9238" s="157">
        <v>9237.0</v>
      </c>
    </row>
    <row r="9239">
      <c r="A9239" s="157">
        <v>9238.0</v>
      </c>
    </row>
    <row r="9240">
      <c r="A9240" s="157">
        <v>9239.0</v>
      </c>
    </row>
    <row r="9241">
      <c r="A9241" s="157">
        <v>9240.0</v>
      </c>
    </row>
    <row r="9242">
      <c r="A9242" s="157">
        <v>9241.0</v>
      </c>
    </row>
    <row r="9243">
      <c r="A9243" s="157">
        <v>9242.0</v>
      </c>
    </row>
    <row r="9244">
      <c r="A9244" s="157">
        <v>9243.0</v>
      </c>
    </row>
    <row r="9245">
      <c r="A9245" s="157">
        <v>9244.0</v>
      </c>
    </row>
    <row r="9246">
      <c r="A9246" s="157">
        <v>9245.0</v>
      </c>
    </row>
    <row r="9247">
      <c r="A9247" s="157">
        <v>9246.0</v>
      </c>
    </row>
    <row r="9248">
      <c r="A9248" s="157">
        <v>9247.0</v>
      </c>
    </row>
    <row r="9249">
      <c r="A9249" s="157">
        <v>9248.0</v>
      </c>
    </row>
    <row r="9250">
      <c r="A9250" s="157">
        <v>9249.0</v>
      </c>
    </row>
    <row r="9251">
      <c r="A9251" s="157">
        <v>9250.0</v>
      </c>
    </row>
    <row r="9252">
      <c r="A9252" s="157">
        <v>9251.0</v>
      </c>
    </row>
    <row r="9253">
      <c r="A9253" s="157">
        <v>9252.0</v>
      </c>
    </row>
    <row r="9254">
      <c r="A9254" s="157">
        <v>9253.0</v>
      </c>
    </row>
    <row r="9255">
      <c r="A9255" s="157">
        <v>9254.0</v>
      </c>
    </row>
    <row r="9256">
      <c r="A9256" s="157">
        <v>9255.0</v>
      </c>
    </row>
    <row r="9257">
      <c r="A9257" s="157">
        <v>9256.0</v>
      </c>
    </row>
    <row r="9258">
      <c r="A9258" s="157">
        <v>9257.0</v>
      </c>
    </row>
    <row r="9259">
      <c r="A9259" s="157">
        <v>9258.0</v>
      </c>
    </row>
    <row r="9260">
      <c r="A9260" s="157">
        <v>9259.0</v>
      </c>
    </row>
    <row r="9261">
      <c r="A9261" s="157">
        <v>9260.0</v>
      </c>
    </row>
    <row r="9262">
      <c r="A9262" s="157">
        <v>9261.0</v>
      </c>
    </row>
    <row r="9263">
      <c r="A9263" s="157">
        <v>9262.0</v>
      </c>
    </row>
    <row r="9264">
      <c r="A9264" s="157">
        <v>9263.0</v>
      </c>
    </row>
    <row r="9265">
      <c r="A9265" s="157">
        <v>9264.0</v>
      </c>
    </row>
    <row r="9266">
      <c r="A9266" s="157">
        <v>9265.0</v>
      </c>
    </row>
    <row r="9267">
      <c r="A9267" s="157">
        <v>9266.0</v>
      </c>
    </row>
    <row r="9268">
      <c r="A9268" s="157">
        <v>9267.0</v>
      </c>
    </row>
    <row r="9269">
      <c r="A9269" s="157">
        <v>9268.0</v>
      </c>
    </row>
    <row r="9270">
      <c r="A9270" s="157">
        <v>9269.0</v>
      </c>
    </row>
    <row r="9271">
      <c r="A9271" s="157">
        <v>9270.0</v>
      </c>
    </row>
    <row r="9272">
      <c r="A9272" s="157">
        <v>9271.0</v>
      </c>
    </row>
    <row r="9273">
      <c r="A9273" s="157">
        <v>9272.0</v>
      </c>
    </row>
    <row r="9274">
      <c r="A9274" s="157">
        <v>9273.0</v>
      </c>
    </row>
    <row r="9275">
      <c r="A9275" s="157">
        <v>9274.0</v>
      </c>
    </row>
    <row r="9276">
      <c r="A9276" s="157">
        <v>9275.0</v>
      </c>
    </row>
    <row r="9277">
      <c r="A9277" s="157">
        <v>9276.0</v>
      </c>
    </row>
    <row r="9278">
      <c r="A9278" s="157">
        <v>9277.0</v>
      </c>
    </row>
    <row r="9279">
      <c r="A9279" s="157">
        <v>9278.0</v>
      </c>
    </row>
    <row r="9280">
      <c r="A9280" s="157">
        <v>9279.0</v>
      </c>
    </row>
    <row r="9281">
      <c r="A9281" s="157">
        <v>9280.0</v>
      </c>
    </row>
    <row r="9282">
      <c r="A9282" s="157">
        <v>9281.0</v>
      </c>
    </row>
    <row r="9283">
      <c r="A9283" s="157">
        <v>9282.0</v>
      </c>
    </row>
    <row r="9284">
      <c r="A9284" s="157">
        <v>9283.0</v>
      </c>
    </row>
    <row r="9285">
      <c r="A9285" s="157">
        <v>9284.0</v>
      </c>
    </row>
    <row r="9286">
      <c r="A9286" s="157">
        <v>9285.0</v>
      </c>
    </row>
    <row r="9287">
      <c r="A9287" s="157">
        <v>9286.0</v>
      </c>
    </row>
    <row r="9288">
      <c r="A9288" s="157">
        <v>9287.0</v>
      </c>
    </row>
    <row r="9289">
      <c r="A9289" s="157">
        <v>9288.0</v>
      </c>
    </row>
    <row r="9290">
      <c r="A9290" s="157">
        <v>9289.0</v>
      </c>
    </row>
    <row r="9291">
      <c r="A9291" s="157">
        <v>9290.0</v>
      </c>
    </row>
    <row r="9292">
      <c r="A9292" s="157">
        <v>9291.0</v>
      </c>
    </row>
    <row r="9293">
      <c r="A9293" s="157">
        <v>9292.0</v>
      </c>
    </row>
    <row r="9294">
      <c r="A9294" s="157">
        <v>9293.0</v>
      </c>
    </row>
    <row r="9295">
      <c r="A9295" s="157">
        <v>9294.0</v>
      </c>
    </row>
    <row r="9296">
      <c r="A9296" s="157">
        <v>9295.0</v>
      </c>
    </row>
    <row r="9297">
      <c r="A9297" s="157">
        <v>9296.0</v>
      </c>
    </row>
    <row r="9298">
      <c r="A9298" s="157">
        <v>9297.0</v>
      </c>
    </row>
    <row r="9299">
      <c r="A9299" s="157">
        <v>9298.0</v>
      </c>
    </row>
    <row r="9300">
      <c r="A9300" s="157">
        <v>9299.0</v>
      </c>
    </row>
    <row r="9301">
      <c r="A9301" s="157">
        <v>9300.0</v>
      </c>
    </row>
    <row r="9302">
      <c r="A9302" s="157">
        <v>9301.0</v>
      </c>
    </row>
    <row r="9303">
      <c r="A9303" s="157">
        <v>9302.0</v>
      </c>
    </row>
    <row r="9304">
      <c r="A9304" s="157">
        <v>9303.0</v>
      </c>
    </row>
    <row r="9305">
      <c r="A9305" s="157">
        <v>9304.0</v>
      </c>
    </row>
    <row r="9306">
      <c r="A9306" s="157">
        <v>9305.0</v>
      </c>
    </row>
    <row r="9307">
      <c r="A9307" s="157">
        <v>9306.0</v>
      </c>
    </row>
    <row r="9308">
      <c r="A9308" s="157">
        <v>9307.0</v>
      </c>
    </row>
    <row r="9309">
      <c r="A9309" s="157">
        <v>9308.0</v>
      </c>
    </row>
    <row r="9310">
      <c r="A9310" s="157">
        <v>9309.0</v>
      </c>
    </row>
    <row r="9311">
      <c r="A9311" s="157">
        <v>9310.0</v>
      </c>
    </row>
    <row r="9312">
      <c r="A9312" s="157">
        <v>9311.0</v>
      </c>
    </row>
    <row r="9313">
      <c r="A9313" s="157">
        <v>9312.0</v>
      </c>
    </row>
    <row r="9314">
      <c r="A9314" s="157">
        <v>9313.0</v>
      </c>
    </row>
    <row r="9315">
      <c r="A9315" s="157">
        <v>9314.0</v>
      </c>
    </row>
    <row r="9316">
      <c r="A9316" s="157">
        <v>9315.0</v>
      </c>
    </row>
    <row r="9317">
      <c r="A9317" s="157">
        <v>9316.0</v>
      </c>
    </row>
    <row r="9318">
      <c r="A9318" s="157">
        <v>9317.0</v>
      </c>
    </row>
    <row r="9319">
      <c r="A9319" s="157">
        <v>9318.0</v>
      </c>
    </row>
    <row r="9320">
      <c r="A9320" s="157">
        <v>9319.0</v>
      </c>
    </row>
    <row r="9321">
      <c r="A9321" s="157">
        <v>9320.0</v>
      </c>
    </row>
    <row r="9322">
      <c r="A9322" s="157">
        <v>9321.0</v>
      </c>
    </row>
    <row r="9323">
      <c r="A9323" s="157">
        <v>9322.0</v>
      </c>
    </row>
    <row r="9324">
      <c r="A9324" s="157">
        <v>9323.0</v>
      </c>
    </row>
    <row r="9325">
      <c r="A9325" s="157">
        <v>9324.0</v>
      </c>
    </row>
    <row r="9326">
      <c r="A9326" s="157">
        <v>9325.0</v>
      </c>
    </row>
    <row r="9327">
      <c r="A9327" s="157">
        <v>9326.0</v>
      </c>
    </row>
    <row r="9328">
      <c r="A9328" s="157">
        <v>9327.0</v>
      </c>
    </row>
    <row r="9329">
      <c r="A9329" s="157">
        <v>9328.0</v>
      </c>
    </row>
    <row r="9330">
      <c r="A9330" s="157">
        <v>9329.0</v>
      </c>
    </row>
    <row r="9331">
      <c r="A9331" s="157">
        <v>9330.0</v>
      </c>
    </row>
    <row r="9332">
      <c r="A9332" s="157">
        <v>9331.0</v>
      </c>
    </row>
    <row r="9333">
      <c r="A9333" s="157">
        <v>9332.0</v>
      </c>
    </row>
    <row r="9334">
      <c r="A9334" s="157">
        <v>9333.0</v>
      </c>
    </row>
    <row r="9335">
      <c r="A9335" s="157">
        <v>9334.0</v>
      </c>
    </row>
    <row r="9336">
      <c r="A9336" s="157">
        <v>9335.0</v>
      </c>
    </row>
    <row r="9337">
      <c r="A9337" s="157">
        <v>9336.0</v>
      </c>
    </row>
    <row r="9338">
      <c r="A9338" s="157">
        <v>9337.0</v>
      </c>
    </row>
    <row r="9339">
      <c r="A9339" s="157">
        <v>9338.0</v>
      </c>
    </row>
    <row r="9340">
      <c r="A9340" s="157">
        <v>9339.0</v>
      </c>
    </row>
    <row r="9341">
      <c r="A9341" s="157">
        <v>9340.0</v>
      </c>
    </row>
    <row r="9342">
      <c r="A9342" s="157">
        <v>9341.0</v>
      </c>
    </row>
    <row r="9343">
      <c r="A9343" s="157">
        <v>9342.0</v>
      </c>
    </row>
    <row r="9344">
      <c r="A9344" s="157">
        <v>9343.0</v>
      </c>
    </row>
    <row r="9345">
      <c r="A9345" s="157">
        <v>9344.0</v>
      </c>
    </row>
    <row r="9346">
      <c r="A9346" s="157">
        <v>9345.0</v>
      </c>
    </row>
    <row r="9347">
      <c r="A9347" s="157">
        <v>9346.0</v>
      </c>
    </row>
    <row r="9348">
      <c r="A9348" s="157">
        <v>9347.0</v>
      </c>
    </row>
    <row r="9349">
      <c r="A9349" s="157">
        <v>9348.0</v>
      </c>
    </row>
    <row r="9350">
      <c r="A9350" s="157">
        <v>9349.0</v>
      </c>
    </row>
    <row r="9351">
      <c r="A9351" s="157">
        <v>9350.0</v>
      </c>
    </row>
    <row r="9352">
      <c r="A9352" s="157">
        <v>9351.0</v>
      </c>
    </row>
    <row r="9353">
      <c r="A9353" s="157">
        <v>9352.0</v>
      </c>
    </row>
    <row r="9354">
      <c r="A9354" s="157">
        <v>9353.0</v>
      </c>
    </row>
    <row r="9355">
      <c r="A9355" s="157">
        <v>9354.0</v>
      </c>
    </row>
    <row r="9356">
      <c r="A9356" s="157">
        <v>9355.0</v>
      </c>
    </row>
    <row r="9357">
      <c r="A9357" s="157">
        <v>9356.0</v>
      </c>
    </row>
    <row r="9358">
      <c r="A9358" s="157">
        <v>9357.0</v>
      </c>
    </row>
    <row r="9359">
      <c r="A9359" s="157">
        <v>9358.0</v>
      </c>
    </row>
    <row r="9360">
      <c r="A9360" s="157">
        <v>9359.0</v>
      </c>
    </row>
    <row r="9361">
      <c r="A9361" s="157">
        <v>9360.0</v>
      </c>
    </row>
    <row r="9362">
      <c r="A9362" s="157">
        <v>9361.0</v>
      </c>
    </row>
    <row r="9363">
      <c r="A9363" s="157">
        <v>9362.0</v>
      </c>
    </row>
    <row r="9364">
      <c r="A9364" s="157">
        <v>9363.0</v>
      </c>
    </row>
    <row r="9365">
      <c r="A9365" s="157">
        <v>9364.0</v>
      </c>
    </row>
    <row r="9366">
      <c r="A9366" s="157">
        <v>9365.0</v>
      </c>
    </row>
    <row r="9367">
      <c r="A9367" s="157">
        <v>9366.0</v>
      </c>
    </row>
    <row r="9368">
      <c r="A9368" s="157">
        <v>9367.0</v>
      </c>
    </row>
    <row r="9369">
      <c r="A9369" s="157">
        <v>9368.0</v>
      </c>
    </row>
    <row r="9370">
      <c r="A9370" s="157">
        <v>9369.0</v>
      </c>
    </row>
    <row r="9371">
      <c r="A9371" s="157">
        <v>9370.0</v>
      </c>
    </row>
    <row r="9372">
      <c r="A9372" s="157">
        <v>9371.0</v>
      </c>
    </row>
    <row r="9373">
      <c r="A9373" s="157">
        <v>9372.0</v>
      </c>
    </row>
    <row r="9374">
      <c r="A9374" s="157">
        <v>9373.0</v>
      </c>
    </row>
    <row r="9375">
      <c r="A9375" s="157">
        <v>9374.0</v>
      </c>
    </row>
    <row r="9376">
      <c r="A9376" s="157">
        <v>9375.0</v>
      </c>
    </row>
    <row r="9377">
      <c r="A9377" s="157">
        <v>9376.0</v>
      </c>
    </row>
    <row r="9378">
      <c r="A9378" s="157">
        <v>9377.0</v>
      </c>
    </row>
    <row r="9379">
      <c r="A9379" s="157">
        <v>9378.0</v>
      </c>
    </row>
    <row r="9380">
      <c r="A9380" s="157">
        <v>9379.0</v>
      </c>
    </row>
    <row r="9381">
      <c r="A9381" s="157">
        <v>9380.0</v>
      </c>
    </row>
    <row r="9382">
      <c r="A9382" s="157">
        <v>9381.0</v>
      </c>
    </row>
    <row r="9383">
      <c r="A9383" s="157">
        <v>9382.0</v>
      </c>
    </row>
    <row r="9384">
      <c r="A9384" s="157">
        <v>9383.0</v>
      </c>
    </row>
    <row r="9385">
      <c r="A9385" s="157">
        <v>9384.0</v>
      </c>
    </row>
    <row r="9386">
      <c r="A9386" s="157">
        <v>9385.0</v>
      </c>
    </row>
    <row r="9387">
      <c r="A9387" s="157">
        <v>9386.0</v>
      </c>
    </row>
    <row r="9388">
      <c r="A9388" s="157">
        <v>9387.0</v>
      </c>
    </row>
    <row r="9389">
      <c r="A9389" s="157">
        <v>9388.0</v>
      </c>
    </row>
    <row r="9390">
      <c r="A9390" s="157">
        <v>9389.0</v>
      </c>
    </row>
    <row r="9391">
      <c r="A9391" s="157">
        <v>9390.0</v>
      </c>
    </row>
    <row r="9392">
      <c r="A9392" s="157">
        <v>9391.0</v>
      </c>
    </row>
    <row r="9393">
      <c r="A9393" s="157">
        <v>9392.0</v>
      </c>
    </row>
    <row r="9394">
      <c r="A9394" s="157">
        <v>9393.0</v>
      </c>
    </row>
    <row r="9395">
      <c r="A9395" s="157">
        <v>9394.0</v>
      </c>
    </row>
    <row r="9396">
      <c r="A9396" s="157">
        <v>9395.0</v>
      </c>
    </row>
    <row r="9397">
      <c r="A9397" s="157">
        <v>9396.0</v>
      </c>
    </row>
    <row r="9398">
      <c r="A9398" s="157">
        <v>9397.0</v>
      </c>
    </row>
    <row r="9399">
      <c r="A9399" s="157">
        <v>9398.0</v>
      </c>
    </row>
    <row r="9400">
      <c r="A9400" s="157">
        <v>9399.0</v>
      </c>
    </row>
    <row r="9401">
      <c r="A9401" s="157">
        <v>9400.0</v>
      </c>
    </row>
    <row r="9402">
      <c r="A9402" s="157">
        <v>9401.0</v>
      </c>
    </row>
    <row r="9403">
      <c r="A9403" s="157">
        <v>9402.0</v>
      </c>
    </row>
    <row r="9404">
      <c r="A9404" s="157">
        <v>9403.0</v>
      </c>
    </row>
    <row r="9405">
      <c r="A9405" s="157">
        <v>9404.0</v>
      </c>
    </row>
    <row r="9406">
      <c r="A9406" s="157">
        <v>9405.0</v>
      </c>
    </row>
    <row r="9407">
      <c r="A9407" s="157">
        <v>9406.0</v>
      </c>
    </row>
    <row r="9408">
      <c r="A9408" s="157">
        <v>9407.0</v>
      </c>
    </row>
    <row r="9409">
      <c r="A9409" s="157">
        <v>9408.0</v>
      </c>
    </row>
    <row r="9410">
      <c r="A9410" s="157">
        <v>9409.0</v>
      </c>
    </row>
    <row r="9411">
      <c r="A9411" s="157">
        <v>9410.0</v>
      </c>
    </row>
    <row r="9412">
      <c r="A9412" s="157">
        <v>9411.0</v>
      </c>
    </row>
    <row r="9413">
      <c r="A9413" s="157">
        <v>9412.0</v>
      </c>
    </row>
    <row r="9414">
      <c r="A9414" s="157">
        <v>9413.0</v>
      </c>
    </row>
    <row r="9415">
      <c r="A9415" s="157">
        <v>9414.0</v>
      </c>
    </row>
    <row r="9416">
      <c r="A9416" s="157">
        <v>9415.0</v>
      </c>
    </row>
    <row r="9417">
      <c r="A9417" s="157">
        <v>9416.0</v>
      </c>
    </row>
    <row r="9418">
      <c r="A9418" s="157">
        <v>9417.0</v>
      </c>
    </row>
    <row r="9419">
      <c r="A9419" s="157">
        <v>9418.0</v>
      </c>
    </row>
    <row r="9420">
      <c r="A9420" s="157">
        <v>9419.0</v>
      </c>
    </row>
    <row r="9421">
      <c r="A9421" s="157">
        <v>9420.0</v>
      </c>
    </row>
    <row r="9422">
      <c r="A9422" s="157">
        <v>9421.0</v>
      </c>
    </row>
    <row r="9423">
      <c r="A9423" s="157">
        <v>9422.0</v>
      </c>
    </row>
    <row r="9424">
      <c r="A9424" s="157">
        <v>9423.0</v>
      </c>
    </row>
    <row r="9425">
      <c r="A9425" s="157">
        <v>9424.0</v>
      </c>
    </row>
    <row r="9426">
      <c r="A9426" s="157">
        <v>9425.0</v>
      </c>
    </row>
    <row r="9427">
      <c r="A9427" s="157">
        <v>9426.0</v>
      </c>
    </row>
    <row r="9428">
      <c r="A9428" s="157">
        <v>9427.0</v>
      </c>
    </row>
    <row r="9429">
      <c r="A9429" s="157">
        <v>9428.0</v>
      </c>
    </row>
    <row r="9430">
      <c r="A9430" s="157">
        <v>9429.0</v>
      </c>
    </row>
    <row r="9431">
      <c r="A9431" s="157">
        <v>9430.0</v>
      </c>
    </row>
    <row r="9432">
      <c r="A9432" s="157">
        <v>9431.0</v>
      </c>
    </row>
    <row r="9433">
      <c r="A9433" s="157">
        <v>9432.0</v>
      </c>
    </row>
    <row r="9434">
      <c r="A9434" s="157">
        <v>9433.0</v>
      </c>
    </row>
    <row r="9435">
      <c r="A9435" s="157">
        <v>9434.0</v>
      </c>
    </row>
    <row r="9436">
      <c r="A9436" s="157">
        <v>9435.0</v>
      </c>
    </row>
    <row r="9437">
      <c r="A9437" s="157">
        <v>9436.0</v>
      </c>
    </row>
    <row r="9438">
      <c r="A9438" s="157">
        <v>9437.0</v>
      </c>
    </row>
    <row r="9439">
      <c r="A9439" s="157">
        <v>9438.0</v>
      </c>
    </row>
    <row r="9440">
      <c r="A9440" s="157">
        <v>9439.0</v>
      </c>
    </row>
    <row r="9441">
      <c r="A9441" s="157">
        <v>9440.0</v>
      </c>
    </row>
    <row r="9442">
      <c r="A9442" s="157">
        <v>9441.0</v>
      </c>
    </row>
    <row r="9443">
      <c r="A9443" s="157">
        <v>9442.0</v>
      </c>
    </row>
    <row r="9444">
      <c r="A9444" s="157">
        <v>9443.0</v>
      </c>
    </row>
    <row r="9445">
      <c r="A9445" s="157">
        <v>9444.0</v>
      </c>
    </row>
    <row r="9446">
      <c r="A9446" s="157">
        <v>9445.0</v>
      </c>
    </row>
    <row r="9447">
      <c r="A9447" s="157">
        <v>9446.0</v>
      </c>
    </row>
    <row r="9448">
      <c r="A9448" s="157">
        <v>9447.0</v>
      </c>
    </row>
    <row r="9449">
      <c r="A9449" s="157">
        <v>9448.0</v>
      </c>
    </row>
    <row r="9450">
      <c r="A9450" s="157">
        <v>9449.0</v>
      </c>
    </row>
    <row r="9451">
      <c r="A9451" s="157">
        <v>9450.0</v>
      </c>
    </row>
    <row r="9452">
      <c r="A9452" s="157">
        <v>9451.0</v>
      </c>
    </row>
    <row r="9453">
      <c r="A9453" s="157">
        <v>9452.0</v>
      </c>
    </row>
    <row r="9454">
      <c r="A9454" s="157">
        <v>9453.0</v>
      </c>
    </row>
    <row r="9455">
      <c r="A9455" s="157">
        <v>9454.0</v>
      </c>
    </row>
    <row r="9456">
      <c r="A9456" s="157">
        <v>9455.0</v>
      </c>
    </row>
    <row r="9457">
      <c r="A9457" s="157">
        <v>9456.0</v>
      </c>
    </row>
    <row r="9458">
      <c r="A9458" s="157">
        <v>9457.0</v>
      </c>
    </row>
    <row r="9459">
      <c r="A9459" s="157">
        <v>9458.0</v>
      </c>
    </row>
    <row r="9460">
      <c r="A9460" s="157">
        <v>9459.0</v>
      </c>
    </row>
    <row r="9461">
      <c r="A9461" s="157">
        <v>9460.0</v>
      </c>
    </row>
    <row r="9462">
      <c r="A9462" s="157">
        <v>9461.0</v>
      </c>
    </row>
    <row r="9463">
      <c r="A9463" s="157">
        <v>9462.0</v>
      </c>
    </row>
    <row r="9464">
      <c r="A9464" s="157">
        <v>9463.0</v>
      </c>
    </row>
    <row r="9465">
      <c r="A9465" s="157">
        <v>9464.0</v>
      </c>
    </row>
    <row r="9466">
      <c r="A9466" s="157">
        <v>9465.0</v>
      </c>
    </row>
    <row r="9467">
      <c r="A9467" s="157">
        <v>9466.0</v>
      </c>
    </row>
    <row r="9468">
      <c r="A9468" s="157">
        <v>9467.0</v>
      </c>
    </row>
    <row r="9469">
      <c r="A9469" s="157">
        <v>9468.0</v>
      </c>
    </row>
    <row r="9470">
      <c r="A9470" s="157">
        <v>9469.0</v>
      </c>
    </row>
    <row r="9471">
      <c r="A9471" s="157">
        <v>9470.0</v>
      </c>
    </row>
    <row r="9472">
      <c r="A9472" s="157">
        <v>9471.0</v>
      </c>
    </row>
    <row r="9473">
      <c r="A9473" s="157">
        <v>9472.0</v>
      </c>
    </row>
    <row r="9474">
      <c r="A9474" s="157">
        <v>9473.0</v>
      </c>
    </row>
    <row r="9475">
      <c r="A9475" s="157">
        <v>9474.0</v>
      </c>
    </row>
    <row r="9476">
      <c r="A9476" s="157">
        <v>9475.0</v>
      </c>
    </row>
    <row r="9477">
      <c r="A9477" s="157">
        <v>9476.0</v>
      </c>
    </row>
    <row r="9478">
      <c r="A9478" s="157">
        <v>9477.0</v>
      </c>
    </row>
    <row r="9479">
      <c r="A9479" s="157">
        <v>9478.0</v>
      </c>
    </row>
    <row r="9480">
      <c r="A9480" s="157">
        <v>9479.0</v>
      </c>
    </row>
    <row r="9481">
      <c r="A9481" s="157">
        <v>9480.0</v>
      </c>
    </row>
    <row r="9482">
      <c r="A9482" s="157">
        <v>9481.0</v>
      </c>
    </row>
    <row r="9483">
      <c r="A9483" s="157">
        <v>9482.0</v>
      </c>
    </row>
    <row r="9484">
      <c r="A9484" s="157">
        <v>9483.0</v>
      </c>
    </row>
    <row r="9485">
      <c r="A9485" s="157">
        <v>9484.0</v>
      </c>
    </row>
    <row r="9486">
      <c r="A9486" s="157">
        <v>9485.0</v>
      </c>
    </row>
    <row r="9487">
      <c r="A9487" s="157">
        <v>9486.0</v>
      </c>
    </row>
    <row r="9488">
      <c r="A9488" s="157">
        <v>9487.0</v>
      </c>
    </row>
    <row r="9489">
      <c r="A9489" s="157">
        <v>9488.0</v>
      </c>
    </row>
    <row r="9490">
      <c r="A9490" s="157">
        <v>9489.0</v>
      </c>
    </row>
    <row r="9491">
      <c r="A9491" s="157">
        <v>9490.0</v>
      </c>
    </row>
    <row r="9492">
      <c r="A9492" s="157">
        <v>9491.0</v>
      </c>
    </row>
    <row r="9493">
      <c r="A9493" s="157">
        <v>9492.0</v>
      </c>
    </row>
    <row r="9494">
      <c r="A9494" s="157">
        <v>9493.0</v>
      </c>
    </row>
    <row r="9495">
      <c r="A9495" s="157">
        <v>9494.0</v>
      </c>
    </row>
    <row r="9496">
      <c r="A9496" s="157">
        <v>9495.0</v>
      </c>
    </row>
    <row r="9497">
      <c r="A9497" s="157">
        <v>9496.0</v>
      </c>
    </row>
    <row r="9498">
      <c r="A9498" s="157">
        <v>9497.0</v>
      </c>
    </row>
    <row r="9499">
      <c r="A9499" s="157">
        <v>9498.0</v>
      </c>
    </row>
    <row r="9500">
      <c r="A9500" s="157">
        <v>9499.0</v>
      </c>
    </row>
    <row r="9501">
      <c r="A9501" s="157">
        <v>9500.0</v>
      </c>
    </row>
    <row r="9502">
      <c r="A9502" s="157">
        <v>9501.0</v>
      </c>
    </row>
    <row r="9503">
      <c r="A9503" s="157">
        <v>9502.0</v>
      </c>
    </row>
    <row r="9504">
      <c r="A9504" s="157">
        <v>9503.0</v>
      </c>
    </row>
    <row r="9505">
      <c r="A9505" s="157">
        <v>9504.0</v>
      </c>
    </row>
    <row r="9506">
      <c r="A9506" s="157">
        <v>9505.0</v>
      </c>
    </row>
    <row r="9507">
      <c r="A9507" s="157">
        <v>9506.0</v>
      </c>
    </row>
    <row r="9508">
      <c r="A9508" s="157">
        <v>9507.0</v>
      </c>
    </row>
    <row r="9509">
      <c r="A9509" s="157">
        <v>9508.0</v>
      </c>
    </row>
    <row r="9510">
      <c r="A9510" s="157">
        <v>9509.0</v>
      </c>
    </row>
    <row r="9511">
      <c r="A9511" s="157">
        <v>9510.0</v>
      </c>
    </row>
    <row r="9512">
      <c r="A9512" s="157">
        <v>9511.0</v>
      </c>
    </row>
    <row r="9513">
      <c r="A9513" s="157">
        <v>9512.0</v>
      </c>
    </row>
    <row r="9514">
      <c r="A9514" s="157">
        <v>9513.0</v>
      </c>
    </row>
    <row r="9515">
      <c r="A9515" s="157">
        <v>9514.0</v>
      </c>
    </row>
    <row r="9516">
      <c r="A9516" s="157">
        <v>9515.0</v>
      </c>
    </row>
    <row r="9517">
      <c r="A9517" s="157">
        <v>9516.0</v>
      </c>
    </row>
    <row r="9518">
      <c r="A9518" s="157">
        <v>9517.0</v>
      </c>
    </row>
    <row r="9519">
      <c r="A9519" s="157">
        <v>9518.0</v>
      </c>
    </row>
    <row r="9520">
      <c r="A9520" s="157">
        <v>9519.0</v>
      </c>
    </row>
    <row r="9521">
      <c r="A9521" s="157">
        <v>9520.0</v>
      </c>
    </row>
    <row r="9522">
      <c r="A9522" s="157">
        <v>9521.0</v>
      </c>
    </row>
    <row r="9523">
      <c r="A9523" s="157">
        <v>9522.0</v>
      </c>
    </row>
    <row r="9524">
      <c r="A9524" s="157">
        <v>9523.0</v>
      </c>
    </row>
    <row r="9525">
      <c r="A9525" s="157">
        <v>9524.0</v>
      </c>
    </row>
    <row r="9526">
      <c r="A9526" s="157">
        <v>9525.0</v>
      </c>
    </row>
    <row r="9527">
      <c r="A9527" s="157">
        <v>9526.0</v>
      </c>
    </row>
    <row r="9528">
      <c r="A9528" s="157">
        <v>9527.0</v>
      </c>
    </row>
    <row r="9529">
      <c r="A9529" s="157">
        <v>9528.0</v>
      </c>
    </row>
    <row r="9530">
      <c r="A9530" s="157">
        <v>9529.0</v>
      </c>
    </row>
    <row r="9531">
      <c r="A9531" s="157">
        <v>9530.0</v>
      </c>
    </row>
    <row r="9532">
      <c r="A9532" s="157">
        <v>9531.0</v>
      </c>
    </row>
    <row r="9533">
      <c r="A9533" s="157">
        <v>9532.0</v>
      </c>
    </row>
    <row r="9534">
      <c r="A9534" s="157">
        <v>9533.0</v>
      </c>
    </row>
    <row r="9535">
      <c r="A9535" s="157">
        <v>9534.0</v>
      </c>
    </row>
    <row r="9536">
      <c r="A9536" s="157">
        <v>9535.0</v>
      </c>
    </row>
    <row r="9537">
      <c r="A9537" s="157">
        <v>9536.0</v>
      </c>
    </row>
    <row r="9538">
      <c r="A9538" s="157">
        <v>9537.0</v>
      </c>
    </row>
    <row r="9539">
      <c r="A9539" s="157">
        <v>9538.0</v>
      </c>
    </row>
    <row r="9540">
      <c r="A9540" s="157">
        <v>9539.0</v>
      </c>
    </row>
    <row r="9541">
      <c r="A9541" s="157">
        <v>9540.0</v>
      </c>
    </row>
    <row r="9542">
      <c r="A9542" s="157">
        <v>9541.0</v>
      </c>
    </row>
    <row r="9543">
      <c r="A9543" s="157">
        <v>9542.0</v>
      </c>
    </row>
    <row r="9544">
      <c r="A9544" s="157">
        <v>9543.0</v>
      </c>
    </row>
    <row r="9545">
      <c r="A9545" s="157">
        <v>9544.0</v>
      </c>
    </row>
    <row r="9546">
      <c r="A9546" s="157">
        <v>9545.0</v>
      </c>
    </row>
    <row r="9547">
      <c r="A9547" s="157">
        <v>9546.0</v>
      </c>
    </row>
    <row r="9548">
      <c r="A9548" s="157">
        <v>9547.0</v>
      </c>
    </row>
    <row r="9549">
      <c r="A9549" s="157">
        <v>9548.0</v>
      </c>
    </row>
    <row r="9550">
      <c r="A9550" s="157">
        <v>9549.0</v>
      </c>
    </row>
    <row r="9551">
      <c r="A9551" s="157">
        <v>9550.0</v>
      </c>
    </row>
    <row r="9552">
      <c r="A9552" s="157">
        <v>9551.0</v>
      </c>
    </row>
    <row r="9553">
      <c r="A9553" s="157">
        <v>9552.0</v>
      </c>
    </row>
    <row r="9554">
      <c r="A9554" s="157">
        <v>9553.0</v>
      </c>
    </row>
    <row r="9555">
      <c r="A9555" s="157">
        <v>9554.0</v>
      </c>
    </row>
    <row r="9556">
      <c r="A9556" s="157">
        <v>9555.0</v>
      </c>
    </row>
    <row r="9557">
      <c r="A9557" s="157">
        <v>9556.0</v>
      </c>
    </row>
    <row r="9558">
      <c r="A9558" s="157">
        <v>9557.0</v>
      </c>
    </row>
    <row r="9559">
      <c r="A9559" s="157">
        <v>9558.0</v>
      </c>
    </row>
    <row r="9560">
      <c r="A9560" s="157">
        <v>9559.0</v>
      </c>
    </row>
    <row r="9561">
      <c r="A9561" s="157">
        <v>9560.0</v>
      </c>
    </row>
    <row r="9562">
      <c r="A9562" s="157">
        <v>9561.0</v>
      </c>
    </row>
    <row r="9563">
      <c r="A9563" s="157">
        <v>9562.0</v>
      </c>
    </row>
    <row r="9564">
      <c r="A9564" s="157">
        <v>9563.0</v>
      </c>
    </row>
    <row r="9565">
      <c r="A9565" s="157">
        <v>9564.0</v>
      </c>
    </row>
    <row r="9566">
      <c r="A9566" s="157">
        <v>9565.0</v>
      </c>
    </row>
    <row r="9567">
      <c r="A9567" s="157">
        <v>9566.0</v>
      </c>
    </row>
    <row r="9568">
      <c r="A9568" s="157">
        <v>9567.0</v>
      </c>
    </row>
    <row r="9569">
      <c r="A9569" s="157">
        <v>9568.0</v>
      </c>
    </row>
    <row r="9570">
      <c r="A9570" s="157">
        <v>9569.0</v>
      </c>
    </row>
    <row r="9571">
      <c r="A9571" s="157">
        <v>9570.0</v>
      </c>
    </row>
    <row r="9572">
      <c r="A9572" s="157">
        <v>9571.0</v>
      </c>
    </row>
    <row r="9573">
      <c r="A9573" s="157">
        <v>9572.0</v>
      </c>
    </row>
    <row r="9574">
      <c r="A9574" s="157">
        <v>9573.0</v>
      </c>
    </row>
    <row r="9575">
      <c r="A9575" s="157">
        <v>9574.0</v>
      </c>
    </row>
    <row r="9576">
      <c r="A9576" s="157">
        <v>9575.0</v>
      </c>
    </row>
    <row r="9577">
      <c r="A9577" s="157">
        <v>9576.0</v>
      </c>
    </row>
    <row r="9578">
      <c r="A9578" s="157">
        <v>9577.0</v>
      </c>
    </row>
    <row r="9579">
      <c r="A9579" s="157">
        <v>9578.0</v>
      </c>
    </row>
    <row r="9580">
      <c r="A9580" s="157">
        <v>9579.0</v>
      </c>
    </row>
    <row r="9581">
      <c r="A9581" s="157">
        <v>9580.0</v>
      </c>
    </row>
    <row r="9582">
      <c r="A9582" s="157">
        <v>9581.0</v>
      </c>
    </row>
    <row r="9583">
      <c r="A9583" s="157">
        <v>9582.0</v>
      </c>
    </row>
    <row r="9584">
      <c r="A9584" s="157">
        <v>9583.0</v>
      </c>
    </row>
    <row r="9585">
      <c r="A9585" s="157">
        <v>9584.0</v>
      </c>
    </row>
    <row r="9586">
      <c r="A9586" s="157">
        <v>9585.0</v>
      </c>
    </row>
    <row r="9587">
      <c r="A9587" s="157">
        <v>9586.0</v>
      </c>
    </row>
    <row r="9588">
      <c r="A9588" s="157">
        <v>9587.0</v>
      </c>
    </row>
    <row r="9589">
      <c r="A9589" s="157">
        <v>9588.0</v>
      </c>
    </row>
    <row r="9590">
      <c r="A9590" s="157">
        <v>9589.0</v>
      </c>
    </row>
    <row r="9591">
      <c r="A9591" s="157">
        <v>9590.0</v>
      </c>
    </row>
    <row r="9592">
      <c r="A9592" s="157">
        <v>9591.0</v>
      </c>
    </row>
    <row r="9593">
      <c r="A9593" s="157">
        <v>9592.0</v>
      </c>
    </row>
    <row r="9594">
      <c r="A9594" s="157">
        <v>9593.0</v>
      </c>
    </row>
    <row r="9595">
      <c r="A9595" s="157">
        <v>9594.0</v>
      </c>
    </row>
    <row r="9596">
      <c r="A9596" s="157">
        <v>9595.0</v>
      </c>
    </row>
    <row r="9597">
      <c r="A9597" s="157">
        <v>9596.0</v>
      </c>
    </row>
    <row r="9598">
      <c r="A9598" s="157">
        <v>9597.0</v>
      </c>
    </row>
    <row r="9599">
      <c r="A9599" s="157">
        <v>9598.0</v>
      </c>
    </row>
    <row r="9600">
      <c r="A9600" s="157">
        <v>9599.0</v>
      </c>
    </row>
    <row r="9601">
      <c r="A9601" s="157">
        <v>9600.0</v>
      </c>
    </row>
    <row r="9602">
      <c r="A9602" s="157">
        <v>9601.0</v>
      </c>
    </row>
    <row r="9603">
      <c r="A9603" s="157">
        <v>9602.0</v>
      </c>
    </row>
    <row r="9604">
      <c r="A9604" s="157">
        <v>9603.0</v>
      </c>
    </row>
    <row r="9605">
      <c r="A9605" s="157">
        <v>9604.0</v>
      </c>
    </row>
    <row r="9606">
      <c r="A9606" s="157">
        <v>9605.0</v>
      </c>
    </row>
    <row r="9607">
      <c r="A9607" s="157">
        <v>9606.0</v>
      </c>
    </row>
    <row r="9608">
      <c r="A9608" s="157">
        <v>9607.0</v>
      </c>
    </row>
    <row r="9609">
      <c r="A9609" s="157">
        <v>9608.0</v>
      </c>
    </row>
    <row r="9610">
      <c r="A9610" s="157">
        <v>9609.0</v>
      </c>
    </row>
    <row r="9611">
      <c r="A9611" s="157">
        <v>9610.0</v>
      </c>
    </row>
    <row r="9612">
      <c r="A9612" s="157">
        <v>9611.0</v>
      </c>
    </row>
    <row r="9613">
      <c r="A9613" s="157">
        <v>9612.0</v>
      </c>
    </row>
    <row r="9614">
      <c r="A9614" s="157">
        <v>9613.0</v>
      </c>
    </row>
    <row r="9615">
      <c r="A9615" s="157">
        <v>9614.0</v>
      </c>
    </row>
    <row r="9616">
      <c r="A9616" s="157">
        <v>9615.0</v>
      </c>
    </row>
    <row r="9617">
      <c r="A9617" s="157">
        <v>9616.0</v>
      </c>
    </row>
    <row r="9618">
      <c r="A9618" s="157">
        <v>9617.0</v>
      </c>
    </row>
    <row r="9619">
      <c r="A9619" s="157">
        <v>9618.0</v>
      </c>
    </row>
    <row r="9620">
      <c r="A9620" s="157">
        <v>9619.0</v>
      </c>
    </row>
    <row r="9621">
      <c r="A9621" s="157">
        <v>9620.0</v>
      </c>
    </row>
    <row r="9622">
      <c r="A9622" s="157">
        <v>9621.0</v>
      </c>
    </row>
    <row r="9623">
      <c r="A9623" s="157">
        <v>9622.0</v>
      </c>
    </row>
    <row r="9624">
      <c r="A9624" s="157">
        <v>9623.0</v>
      </c>
    </row>
    <row r="9625">
      <c r="A9625" s="157">
        <v>9624.0</v>
      </c>
    </row>
    <row r="9626">
      <c r="A9626" s="157">
        <v>9625.0</v>
      </c>
    </row>
    <row r="9627">
      <c r="A9627" s="157">
        <v>9626.0</v>
      </c>
    </row>
    <row r="9628">
      <c r="A9628" s="157">
        <v>9627.0</v>
      </c>
    </row>
    <row r="9629">
      <c r="A9629" s="157">
        <v>9628.0</v>
      </c>
    </row>
    <row r="9630">
      <c r="A9630" s="157">
        <v>9629.0</v>
      </c>
    </row>
    <row r="9631">
      <c r="A9631" s="157">
        <v>9630.0</v>
      </c>
    </row>
    <row r="9632">
      <c r="A9632" s="157">
        <v>9631.0</v>
      </c>
    </row>
    <row r="9633">
      <c r="A9633" s="157">
        <v>9632.0</v>
      </c>
    </row>
    <row r="9634">
      <c r="A9634" s="157">
        <v>9633.0</v>
      </c>
    </row>
    <row r="9635">
      <c r="A9635" s="157">
        <v>9634.0</v>
      </c>
    </row>
    <row r="9636">
      <c r="A9636" s="157">
        <v>9635.0</v>
      </c>
    </row>
    <row r="9637">
      <c r="A9637" s="157">
        <v>9636.0</v>
      </c>
    </row>
    <row r="9638">
      <c r="A9638" s="157">
        <v>9637.0</v>
      </c>
    </row>
    <row r="9639">
      <c r="A9639" s="157">
        <v>9638.0</v>
      </c>
    </row>
    <row r="9640">
      <c r="A9640" s="157">
        <v>9639.0</v>
      </c>
    </row>
    <row r="9641">
      <c r="A9641" s="157">
        <v>9640.0</v>
      </c>
    </row>
    <row r="9642">
      <c r="A9642" s="157">
        <v>9641.0</v>
      </c>
    </row>
    <row r="9643">
      <c r="A9643" s="157">
        <v>9642.0</v>
      </c>
    </row>
    <row r="9644">
      <c r="A9644" s="157">
        <v>9643.0</v>
      </c>
    </row>
    <row r="9645">
      <c r="A9645" s="157">
        <v>9644.0</v>
      </c>
    </row>
    <row r="9646">
      <c r="A9646" s="157">
        <v>9645.0</v>
      </c>
    </row>
    <row r="9647">
      <c r="A9647" s="157">
        <v>9646.0</v>
      </c>
    </row>
    <row r="9648">
      <c r="A9648" s="157">
        <v>9647.0</v>
      </c>
    </row>
    <row r="9649">
      <c r="A9649" s="157">
        <v>9648.0</v>
      </c>
    </row>
    <row r="9650">
      <c r="A9650" s="157">
        <v>9649.0</v>
      </c>
    </row>
    <row r="9651">
      <c r="A9651" s="157">
        <v>9650.0</v>
      </c>
    </row>
    <row r="9652">
      <c r="A9652" s="157">
        <v>9651.0</v>
      </c>
    </row>
    <row r="9653">
      <c r="A9653" s="157">
        <v>9652.0</v>
      </c>
    </row>
    <row r="9654">
      <c r="A9654" s="157">
        <v>9653.0</v>
      </c>
    </row>
    <row r="9655">
      <c r="A9655" s="157">
        <v>9654.0</v>
      </c>
    </row>
    <row r="9656">
      <c r="A9656" s="157">
        <v>9655.0</v>
      </c>
    </row>
    <row r="9657">
      <c r="A9657" s="157">
        <v>9656.0</v>
      </c>
    </row>
    <row r="9658">
      <c r="A9658" s="157">
        <v>9657.0</v>
      </c>
    </row>
    <row r="9659">
      <c r="A9659" s="157">
        <v>9658.0</v>
      </c>
    </row>
    <row r="9660">
      <c r="A9660" s="157">
        <v>9659.0</v>
      </c>
    </row>
    <row r="9661">
      <c r="A9661" s="157">
        <v>9660.0</v>
      </c>
    </row>
    <row r="9662">
      <c r="A9662" s="157">
        <v>9661.0</v>
      </c>
    </row>
    <row r="9663">
      <c r="A9663" s="157">
        <v>9662.0</v>
      </c>
    </row>
    <row r="9664">
      <c r="A9664" s="157">
        <v>9663.0</v>
      </c>
    </row>
    <row r="9665">
      <c r="A9665" s="157">
        <v>9664.0</v>
      </c>
    </row>
    <row r="9666">
      <c r="A9666" s="157">
        <v>9665.0</v>
      </c>
    </row>
    <row r="9667">
      <c r="A9667" s="157">
        <v>9666.0</v>
      </c>
    </row>
    <row r="9668">
      <c r="A9668" s="157">
        <v>9667.0</v>
      </c>
    </row>
    <row r="9669">
      <c r="A9669" s="157">
        <v>9668.0</v>
      </c>
    </row>
    <row r="9670">
      <c r="A9670" s="157">
        <v>9669.0</v>
      </c>
    </row>
    <row r="9671">
      <c r="A9671" s="157">
        <v>9670.0</v>
      </c>
    </row>
    <row r="9672">
      <c r="A9672" s="157">
        <v>9671.0</v>
      </c>
    </row>
    <row r="9673">
      <c r="A9673" s="157">
        <v>9672.0</v>
      </c>
    </row>
    <row r="9674">
      <c r="A9674" s="157">
        <v>9673.0</v>
      </c>
    </row>
    <row r="9675">
      <c r="A9675" s="157">
        <v>9674.0</v>
      </c>
    </row>
    <row r="9676">
      <c r="A9676" s="157">
        <v>9675.0</v>
      </c>
    </row>
    <row r="9677">
      <c r="A9677" s="157">
        <v>9676.0</v>
      </c>
    </row>
    <row r="9678">
      <c r="A9678" s="157">
        <v>9677.0</v>
      </c>
    </row>
    <row r="9679">
      <c r="A9679" s="157">
        <v>9678.0</v>
      </c>
    </row>
    <row r="9680">
      <c r="A9680" s="157">
        <v>9679.0</v>
      </c>
    </row>
    <row r="9681">
      <c r="A9681" s="157">
        <v>9680.0</v>
      </c>
    </row>
    <row r="9682">
      <c r="A9682" s="157">
        <v>9681.0</v>
      </c>
    </row>
    <row r="9683">
      <c r="A9683" s="157">
        <v>9682.0</v>
      </c>
    </row>
    <row r="9684">
      <c r="A9684" s="157">
        <v>9683.0</v>
      </c>
    </row>
    <row r="9685">
      <c r="A9685" s="157">
        <v>9684.0</v>
      </c>
    </row>
    <row r="9686">
      <c r="A9686" s="157">
        <v>9685.0</v>
      </c>
    </row>
    <row r="9687">
      <c r="A9687" s="157">
        <v>9686.0</v>
      </c>
    </row>
    <row r="9688">
      <c r="A9688" s="157">
        <v>9687.0</v>
      </c>
    </row>
    <row r="9689">
      <c r="A9689" s="157">
        <v>9688.0</v>
      </c>
    </row>
    <row r="9690">
      <c r="A9690" s="157">
        <v>9689.0</v>
      </c>
    </row>
    <row r="9691">
      <c r="A9691" s="157">
        <v>9690.0</v>
      </c>
    </row>
    <row r="9692">
      <c r="A9692" s="157">
        <v>9691.0</v>
      </c>
    </row>
    <row r="9693">
      <c r="A9693" s="157">
        <v>9692.0</v>
      </c>
    </row>
    <row r="9694">
      <c r="A9694" s="157">
        <v>9693.0</v>
      </c>
    </row>
    <row r="9695">
      <c r="A9695" s="157">
        <v>9694.0</v>
      </c>
    </row>
    <row r="9696">
      <c r="A9696" s="157">
        <v>9695.0</v>
      </c>
    </row>
    <row r="9697">
      <c r="A9697" s="157">
        <v>9696.0</v>
      </c>
    </row>
    <row r="9698">
      <c r="A9698" s="157">
        <v>9697.0</v>
      </c>
    </row>
    <row r="9699">
      <c r="A9699" s="157">
        <v>9698.0</v>
      </c>
    </row>
    <row r="9700">
      <c r="A9700" s="157">
        <v>9699.0</v>
      </c>
    </row>
    <row r="9701">
      <c r="A9701" s="157">
        <v>9700.0</v>
      </c>
    </row>
    <row r="9702">
      <c r="A9702" s="157">
        <v>9701.0</v>
      </c>
    </row>
    <row r="9703">
      <c r="A9703" s="157">
        <v>9702.0</v>
      </c>
    </row>
    <row r="9704">
      <c r="A9704" s="157">
        <v>9703.0</v>
      </c>
    </row>
    <row r="9705">
      <c r="A9705" s="157">
        <v>9704.0</v>
      </c>
    </row>
    <row r="9706">
      <c r="A9706" s="157">
        <v>9705.0</v>
      </c>
    </row>
    <row r="9707">
      <c r="A9707" s="157">
        <v>9706.0</v>
      </c>
    </row>
    <row r="9708">
      <c r="A9708" s="157">
        <v>9707.0</v>
      </c>
    </row>
    <row r="9709">
      <c r="A9709" s="157">
        <v>9708.0</v>
      </c>
    </row>
    <row r="9710">
      <c r="A9710" s="157">
        <v>9709.0</v>
      </c>
    </row>
    <row r="9711">
      <c r="A9711" s="157">
        <v>9710.0</v>
      </c>
    </row>
    <row r="9712">
      <c r="A9712" s="157">
        <v>9711.0</v>
      </c>
    </row>
    <row r="9713">
      <c r="A9713" s="157">
        <v>9712.0</v>
      </c>
    </row>
    <row r="9714">
      <c r="A9714" s="157">
        <v>9713.0</v>
      </c>
    </row>
    <row r="9715">
      <c r="A9715" s="157">
        <v>9714.0</v>
      </c>
    </row>
    <row r="9716">
      <c r="A9716" s="157">
        <v>9715.0</v>
      </c>
    </row>
    <row r="9717">
      <c r="A9717" s="157">
        <v>9716.0</v>
      </c>
    </row>
    <row r="9718">
      <c r="A9718" s="157">
        <v>9717.0</v>
      </c>
    </row>
    <row r="9719">
      <c r="A9719" s="157">
        <v>9718.0</v>
      </c>
    </row>
    <row r="9720">
      <c r="A9720" s="157">
        <v>9719.0</v>
      </c>
    </row>
    <row r="9721">
      <c r="A9721" s="157">
        <v>9720.0</v>
      </c>
    </row>
    <row r="9722">
      <c r="A9722" s="157">
        <v>9721.0</v>
      </c>
    </row>
    <row r="9723">
      <c r="A9723" s="157">
        <v>9722.0</v>
      </c>
    </row>
    <row r="9724">
      <c r="A9724" s="157">
        <v>9723.0</v>
      </c>
    </row>
    <row r="9725">
      <c r="A9725" s="157">
        <v>9724.0</v>
      </c>
    </row>
    <row r="9726">
      <c r="A9726" s="157">
        <v>9725.0</v>
      </c>
    </row>
    <row r="9727">
      <c r="A9727" s="157">
        <v>9726.0</v>
      </c>
    </row>
    <row r="9728">
      <c r="A9728" s="157">
        <v>9727.0</v>
      </c>
    </row>
    <row r="9729">
      <c r="A9729" s="157">
        <v>9728.0</v>
      </c>
    </row>
    <row r="9730">
      <c r="A9730" s="157">
        <v>9729.0</v>
      </c>
    </row>
    <row r="9731">
      <c r="A9731" s="157">
        <v>9730.0</v>
      </c>
    </row>
    <row r="9732">
      <c r="A9732" s="157">
        <v>9731.0</v>
      </c>
    </row>
    <row r="9733">
      <c r="A9733" s="157">
        <v>9732.0</v>
      </c>
    </row>
    <row r="9734">
      <c r="A9734" s="157">
        <v>9733.0</v>
      </c>
    </row>
    <row r="9735">
      <c r="A9735" s="157">
        <v>9734.0</v>
      </c>
    </row>
    <row r="9736">
      <c r="A9736" s="157">
        <v>9735.0</v>
      </c>
    </row>
    <row r="9737">
      <c r="A9737" s="157">
        <v>9736.0</v>
      </c>
    </row>
    <row r="9738">
      <c r="A9738" s="157">
        <v>9737.0</v>
      </c>
    </row>
    <row r="9739">
      <c r="A9739" s="157">
        <v>9738.0</v>
      </c>
    </row>
    <row r="9740">
      <c r="A9740" s="157">
        <v>9739.0</v>
      </c>
    </row>
    <row r="9741">
      <c r="A9741" s="157">
        <v>9740.0</v>
      </c>
    </row>
    <row r="9742">
      <c r="A9742" s="157">
        <v>9741.0</v>
      </c>
    </row>
    <row r="9743">
      <c r="A9743" s="157">
        <v>9742.0</v>
      </c>
    </row>
    <row r="9744">
      <c r="A9744" s="157">
        <v>9743.0</v>
      </c>
    </row>
    <row r="9745">
      <c r="A9745" s="157">
        <v>9744.0</v>
      </c>
    </row>
    <row r="9746">
      <c r="A9746" s="157">
        <v>9745.0</v>
      </c>
    </row>
    <row r="9747">
      <c r="A9747" s="157">
        <v>9746.0</v>
      </c>
    </row>
    <row r="9748">
      <c r="A9748" s="157">
        <v>9747.0</v>
      </c>
    </row>
    <row r="9749">
      <c r="A9749" s="157">
        <v>9748.0</v>
      </c>
    </row>
    <row r="9750">
      <c r="A9750" s="157">
        <v>9749.0</v>
      </c>
    </row>
    <row r="9751">
      <c r="A9751" s="157">
        <v>9750.0</v>
      </c>
    </row>
    <row r="9752">
      <c r="A9752" s="157">
        <v>9751.0</v>
      </c>
    </row>
    <row r="9753">
      <c r="A9753" s="157">
        <v>9752.0</v>
      </c>
    </row>
    <row r="9754">
      <c r="A9754" s="157">
        <v>9753.0</v>
      </c>
    </row>
    <row r="9755">
      <c r="A9755" s="157">
        <v>9754.0</v>
      </c>
    </row>
    <row r="9756">
      <c r="A9756" s="157">
        <v>9755.0</v>
      </c>
    </row>
    <row r="9757">
      <c r="A9757" s="157">
        <v>9756.0</v>
      </c>
    </row>
    <row r="9758">
      <c r="A9758" s="157">
        <v>9757.0</v>
      </c>
    </row>
    <row r="9759">
      <c r="A9759" s="157">
        <v>9758.0</v>
      </c>
    </row>
    <row r="9760">
      <c r="A9760" s="157">
        <v>9759.0</v>
      </c>
    </row>
    <row r="9761">
      <c r="A9761" s="157">
        <v>9760.0</v>
      </c>
    </row>
    <row r="9762">
      <c r="A9762" s="157">
        <v>9761.0</v>
      </c>
    </row>
    <row r="9763">
      <c r="A9763" s="157">
        <v>9762.0</v>
      </c>
    </row>
    <row r="9764">
      <c r="A9764" s="157">
        <v>9763.0</v>
      </c>
    </row>
    <row r="9765">
      <c r="A9765" s="157">
        <v>9764.0</v>
      </c>
    </row>
    <row r="9766">
      <c r="A9766" s="157">
        <v>9765.0</v>
      </c>
    </row>
    <row r="9767">
      <c r="A9767" s="157">
        <v>9766.0</v>
      </c>
    </row>
    <row r="9768">
      <c r="A9768" s="157">
        <v>9767.0</v>
      </c>
    </row>
    <row r="9769">
      <c r="A9769" s="157">
        <v>9768.0</v>
      </c>
    </row>
    <row r="9770">
      <c r="A9770" s="157">
        <v>9769.0</v>
      </c>
    </row>
    <row r="9771">
      <c r="A9771" s="157">
        <v>9770.0</v>
      </c>
    </row>
    <row r="9772">
      <c r="A9772" s="157">
        <v>9771.0</v>
      </c>
    </row>
    <row r="9773">
      <c r="A9773" s="157">
        <v>9772.0</v>
      </c>
    </row>
    <row r="9774">
      <c r="A9774" s="157">
        <v>9773.0</v>
      </c>
    </row>
    <row r="9775">
      <c r="A9775" s="157">
        <v>9774.0</v>
      </c>
    </row>
    <row r="9776">
      <c r="A9776" s="157">
        <v>9775.0</v>
      </c>
    </row>
    <row r="9777">
      <c r="A9777" s="157">
        <v>9776.0</v>
      </c>
    </row>
    <row r="9778">
      <c r="A9778" s="157">
        <v>9777.0</v>
      </c>
    </row>
    <row r="9779">
      <c r="A9779" s="157">
        <v>9778.0</v>
      </c>
    </row>
    <row r="9780">
      <c r="A9780" s="157">
        <v>9779.0</v>
      </c>
    </row>
    <row r="9781">
      <c r="A9781" s="157">
        <v>9780.0</v>
      </c>
    </row>
    <row r="9782">
      <c r="A9782" s="157">
        <v>9781.0</v>
      </c>
    </row>
    <row r="9783">
      <c r="A9783" s="157">
        <v>9782.0</v>
      </c>
    </row>
    <row r="9784">
      <c r="A9784" s="157">
        <v>9783.0</v>
      </c>
    </row>
    <row r="9785">
      <c r="A9785" s="157">
        <v>9784.0</v>
      </c>
    </row>
    <row r="9786">
      <c r="A9786" s="157">
        <v>9785.0</v>
      </c>
    </row>
    <row r="9787">
      <c r="A9787" s="157">
        <v>9786.0</v>
      </c>
    </row>
    <row r="9788">
      <c r="A9788" s="157">
        <v>9787.0</v>
      </c>
    </row>
    <row r="9789">
      <c r="A9789" s="157">
        <v>9788.0</v>
      </c>
    </row>
    <row r="9790">
      <c r="A9790" s="157">
        <v>9789.0</v>
      </c>
    </row>
    <row r="9791">
      <c r="A9791" s="157">
        <v>9790.0</v>
      </c>
    </row>
    <row r="9792">
      <c r="A9792" s="157">
        <v>9791.0</v>
      </c>
    </row>
    <row r="9793">
      <c r="A9793" s="157">
        <v>9792.0</v>
      </c>
    </row>
    <row r="9794">
      <c r="A9794" s="157">
        <v>9793.0</v>
      </c>
    </row>
    <row r="9795">
      <c r="A9795" s="157">
        <v>9794.0</v>
      </c>
    </row>
    <row r="9796">
      <c r="A9796" s="157">
        <v>9795.0</v>
      </c>
    </row>
    <row r="9797">
      <c r="A9797" s="157">
        <v>9796.0</v>
      </c>
    </row>
    <row r="9798">
      <c r="A9798" s="157">
        <v>9797.0</v>
      </c>
    </row>
    <row r="9799">
      <c r="A9799" s="157">
        <v>9798.0</v>
      </c>
    </row>
    <row r="9800">
      <c r="A9800" s="157">
        <v>9799.0</v>
      </c>
    </row>
    <row r="9801">
      <c r="A9801" s="157">
        <v>9800.0</v>
      </c>
    </row>
    <row r="9802">
      <c r="A9802" s="157">
        <v>9801.0</v>
      </c>
    </row>
    <row r="9803">
      <c r="A9803" s="157">
        <v>9802.0</v>
      </c>
    </row>
    <row r="9804">
      <c r="A9804" s="157">
        <v>9803.0</v>
      </c>
    </row>
    <row r="9805">
      <c r="A9805" s="157">
        <v>9804.0</v>
      </c>
    </row>
    <row r="9806">
      <c r="A9806" s="157">
        <v>9805.0</v>
      </c>
    </row>
    <row r="9807">
      <c r="A9807" s="157">
        <v>9806.0</v>
      </c>
    </row>
    <row r="9808">
      <c r="A9808" s="157">
        <v>9807.0</v>
      </c>
    </row>
    <row r="9809">
      <c r="A9809" s="157">
        <v>9808.0</v>
      </c>
    </row>
    <row r="9810">
      <c r="A9810" s="157">
        <v>9809.0</v>
      </c>
    </row>
    <row r="9811">
      <c r="A9811" s="157">
        <v>9810.0</v>
      </c>
    </row>
    <row r="9812">
      <c r="A9812" s="157">
        <v>9811.0</v>
      </c>
    </row>
    <row r="9813">
      <c r="A9813" s="157">
        <v>9812.0</v>
      </c>
    </row>
    <row r="9814">
      <c r="A9814" s="157">
        <v>9813.0</v>
      </c>
    </row>
    <row r="9815">
      <c r="A9815" s="157">
        <v>9814.0</v>
      </c>
    </row>
    <row r="9816">
      <c r="A9816" s="157">
        <v>9815.0</v>
      </c>
    </row>
    <row r="9817">
      <c r="A9817" s="157">
        <v>9816.0</v>
      </c>
    </row>
    <row r="9818">
      <c r="A9818" s="157">
        <v>9817.0</v>
      </c>
    </row>
    <row r="9819">
      <c r="A9819" s="157">
        <v>9818.0</v>
      </c>
    </row>
    <row r="9820">
      <c r="A9820" s="157">
        <v>9819.0</v>
      </c>
    </row>
    <row r="9821">
      <c r="A9821" s="157">
        <v>9820.0</v>
      </c>
    </row>
    <row r="9822">
      <c r="A9822" s="157">
        <v>9821.0</v>
      </c>
    </row>
    <row r="9823">
      <c r="A9823" s="157">
        <v>9822.0</v>
      </c>
    </row>
    <row r="9824">
      <c r="A9824" s="157">
        <v>9823.0</v>
      </c>
    </row>
    <row r="9825">
      <c r="A9825" s="157">
        <v>9824.0</v>
      </c>
    </row>
    <row r="9826">
      <c r="A9826" s="157">
        <v>9825.0</v>
      </c>
    </row>
    <row r="9827">
      <c r="A9827" s="157">
        <v>9826.0</v>
      </c>
    </row>
    <row r="9828">
      <c r="A9828" s="157">
        <v>9827.0</v>
      </c>
    </row>
    <row r="9829">
      <c r="A9829" s="157">
        <v>9828.0</v>
      </c>
    </row>
    <row r="9830">
      <c r="A9830" s="157">
        <v>9829.0</v>
      </c>
    </row>
    <row r="9831">
      <c r="A9831" s="157">
        <v>9830.0</v>
      </c>
    </row>
    <row r="9832">
      <c r="A9832" s="157">
        <v>9831.0</v>
      </c>
    </row>
    <row r="9833">
      <c r="A9833" s="157">
        <v>9832.0</v>
      </c>
    </row>
    <row r="9834">
      <c r="A9834" s="157">
        <v>9833.0</v>
      </c>
    </row>
    <row r="9835">
      <c r="A9835" s="157">
        <v>9834.0</v>
      </c>
    </row>
    <row r="9836">
      <c r="A9836" s="157">
        <v>9835.0</v>
      </c>
    </row>
    <row r="9837">
      <c r="A9837" s="157">
        <v>9836.0</v>
      </c>
    </row>
    <row r="9838">
      <c r="A9838" s="157">
        <v>9837.0</v>
      </c>
    </row>
    <row r="9839">
      <c r="A9839" s="157">
        <v>9838.0</v>
      </c>
    </row>
    <row r="9840">
      <c r="A9840" s="157">
        <v>9839.0</v>
      </c>
    </row>
    <row r="9841">
      <c r="A9841" s="157">
        <v>9840.0</v>
      </c>
    </row>
    <row r="9842">
      <c r="A9842" s="157">
        <v>9841.0</v>
      </c>
    </row>
    <row r="9843">
      <c r="A9843" s="157">
        <v>9842.0</v>
      </c>
    </row>
    <row r="9844">
      <c r="A9844" s="157">
        <v>9843.0</v>
      </c>
    </row>
    <row r="9845">
      <c r="A9845" s="157">
        <v>9844.0</v>
      </c>
    </row>
    <row r="9846">
      <c r="A9846" s="157">
        <v>9845.0</v>
      </c>
    </row>
    <row r="9847">
      <c r="A9847" s="157">
        <v>9846.0</v>
      </c>
    </row>
    <row r="9848">
      <c r="A9848" s="157">
        <v>9847.0</v>
      </c>
    </row>
    <row r="9849">
      <c r="A9849" s="157">
        <v>9848.0</v>
      </c>
    </row>
    <row r="9850">
      <c r="A9850" s="157">
        <v>9849.0</v>
      </c>
    </row>
    <row r="9851">
      <c r="A9851" s="157">
        <v>9850.0</v>
      </c>
    </row>
    <row r="9852">
      <c r="A9852" s="157">
        <v>9851.0</v>
      </c>
    </row>
    <row r="9853">
      <c r="A9853" s="157">
        <v>9852.0</v>
      </c>
    </row>
    <row r="9854">
      <c r="A9854" s="157">
        <v>9853.0</v>
      </c>
    </row>
    <row r="9855">
      <c r="A9855" s="157">
        <v>9854.0</v>
      </c>
    </row>
    <row r="9856">
      <c r="A9856" s="157">
        <v>9855.0</v>
      </c>
    </row>
    <row r="9857">
      <c r="A9857" s="157">
        <v>9856.0</v>
      </c>
    </row>
    <row r="9858">
      <c r="A9858" s="157">
        <v>9857.0</v>
      </c>
    </row>
    <row r="9859">
      <c r="A9859" s="157">
        <v>9858.0</v>
      </c>
    </row>
    <row r="9860">
      <c r="A9860" s="157">
        <v>9859.0</v>
      </c>
    </row>
    <row r="9861">
      <c r="A9861" s="157">
        <v>9860.0</v>
      </c>
    </row>
    <row r="9862">
      <c r="A9862" s="157">
        <v>9861.0</v>
      </c>
    </row>
    <row r="9863">
      <c r="A9863" s="157">
        <v>9862.0</v>
      </c>
    </row>
    <row r="9864">
      <c r="A9864" s="157">
        <v>9863.0</v>
      </c>
    </row>
    <row r="9865">
      <c r="A9865" s="157">
        <v>9864.0</v>
      </c>
    </row>
    <row r="9866">
      <c r="A9866" s="157">
        <v>9865.0</v>
      </c>
    </row>
    <row r="9867">
      <c r="A9867" s="157">
        <v>9866.0</v>
      </c>
    </row>
    <row r="9868">
      <c r="A9868" s="157">
        <v>9867.0</v>
      </c>
    </row>
    <row r="9869">
      <c r="A9869" s="157">
        <v>9868.0</v>
      </c>
    </row>
    <row r="9870">
      <c r="A9870" s="157">
        <v>9869.0</v>
      </c>
    </row>
    <row r="9871">
      <c r="A9871" s="157">
        <v>9870.0</v>
      </c>
    </row>
    <row r="9872">
      <c r="A9872" s="157">
        <v>9871.0</v>
      </c>
    </row>
    <row r="9873">
      <c r="A9873" s="157">
        <v>9872.0</v>
      </c>
    </row>
    <row r="9874">
      <c r="A9874" s="157">
        <v>9873.0</v>
      </c>
    </row>
    <row r="9875">
      <c r="A9875" s="157">
        <v>9874.0</v>
      </c>
    </row>
    <row r="9876">
      <c r="A9876" s="157">
        <v>9875.0</v>
      </c>
    </row>
    <row r="9877">
      <c r="A9877" s="157">
        <v>9876.0</v>
      </c>
    </row>
    <row r="9878">
      <c r="A9878" s="157">
        <v>9877.0</v>
      </c>
    </row>
    <row r="9879">
      <c r="A9879" s="157">
        <v>9878.0</v>
      </c>
    </row>
    <row r="9880">
      <c r="A9880" s="157">
        <v>9879.0</v>
      </c>
    </row>
    <row r="9881">
      <c r="A9881" s="157">
        <v>9880.0</v>
      </c>
    </row>
    <row r="9882">
      <c r="A9882" s="157">
        <v>9881.0</v>
      </c>
    </row>
    <row r="9883">
      <c r="A9883" s="157">
        <v>9882.0</v>
      </c>
    </row>
    <row r="9884">
      <c r="A9884" s="157">
        <v>9883.0</v>
      </c>
    </row>
    <row r="9885">
      <c r="A9885" s="157">
        <v>9884.0</v>
      </c>
    </row>
    <row r="9886">
      <c r="A9886" s="157">
        <v>9885.0</v>
      </c>
    </row>
    <row r="9887">
      <c r="A9887" s="157">
        <v>9886.0</v>
      </c>
    </row>
    <row r="9888">
      <c r="A9888" s="157">
        <v>9887.0</v>
      </c>
    </row>
    <row r="9889">
      <c r="A9889" s="157">
        <v>9888.0</v>
      </c>
    </row>
    <row r="9890">
      <c r="A9890" s="157">
        <v>9889.0</v>
      </c>
    </row>
    <row r="9891">
      <c r="A9891" s="157">
        <v>9890.0</v>
      </c>
    </row>
    <row r="9892">
      <c r="A9892" s="157">
        <v>9891.0</v>
      </c>
    </row>
    <row r="9893">
      <c r="A9893" s="157">
        <v>9892.0</v>
      </c>
    </row>
    <row r="9894">
      <c r="A9894" s="157">
        <v>9893.0</v>
      </c>
    </row>
    <row r="9895">
      <c r="A9895" s="157">
        <v>9894.0</v>
      </c>
    </row>
    <row r="9896">
      <c r="A9896" s="157">
        <v>9895.0</v>
      </c>
    </row>
    <row r="9897">
      <c r="A9897" s="157">
        <v>9896.0</v>
      </c>
    </row>
    <row r="9898">
      <c r="A9898" s="157">
        <v>9897.0</v>
      </c>
    </row>
    <row r="9899">
      <c r="A9899" s="157">
        <v>9898.0</v>
      </c>
    </row>
    <row r="9900">
      <c r="A9900" s="157">
        <v>9899.0</v>
      </c>
    </row>
    <row r="9901">
      <c r="A9901" s="157">
        <v>9900.0</v>
      </c>
    </row>
    <row r="9902">
      <c r="A9902" s="157">
        <v>9901.0</v>
      </c>
    </row>
    <row r="9903">
      <c r="A9903" s="157">
        <v>9902.0</v>
      </c>
    </row>
    <row r="9904">
      <c r="A9904" s="157">
        <v>9903.0</v>
      </c>
    </row>
    <row r="9905">
      <c r="A9905" s="157">
        <v>9904.0</v>
      </c>
    </row>
    <row r="9906">
      <c r="A9906" s="157">
        <v>9905.0</v>
      </c>
    </row>
    <row r="9907">
      <c r="A9907" s="157">
        <v>9906.0</v>
      </c>
    </row>
    <row r="9908">
      <c r="A9908" s="157">
        <v>9907.0</v>
      </c>
    </row>
    <row r="9909">
      <c r="A9909" s="157">
        <v>9908.0</v>
      </c>
    </row>
    <row r="9910">
      <c r="A9910" s="157">
        <v>9909.0</v>
      </c>
    </row>
    <row r="9911">
      <c r="A9911" s="157">
        <v>9910.0</v>
      </c>
    </row>
    <row r="9912">
      <c r="A9912" s="157">
        <v>9911.0</v>
      </c>
    </row>
    <row r="9913">
      <c r="A9913" s="157">
        <v>9912.0</v>
      </c>
    </row>
    <row r="9914">
      <c r="A9914" s="157">
        <v>9913.0</v>
      </c>
    </row>
    <row r="9915">
      <c r="A9915" s="157">
        <v>9914.0</v>
      </c>
    </row>
    <row r="9916">
      <c r="A9916" s="157">
        <v>9915.0</v>
      </c>
    </row>
    <row r="9917">
      <c r="A9917" s="157">
        <v>9916.0</v>
      </c>
    </row>
    <row r="9918">
      <c r="A9918" s="157">
        <v>9917.0</v>
      </c>
    </row>
    <row r="9919">
      <c r="A9919" s="157">
        <v>9918.0</v>
      </c>
    </row>
    <row r="9920">
      <c r="A9920" s="157">
        <v>9919.0</v>
      </c>
    </row>
    <row r="9921">
      <c r="A9921" s="157">
        <v>9920.0</v>
      </c>
    </row>
    <row r="9922">
      <c r="A9922" s="157">
        <v>9921.0</v>
      </c>
    </row>
    <row r="9923">
      <c r="A9923" s="157">
        <v>9922.0</v>
      </c>
    </row>
    <row r="9924">
      <c r="A9924" s="157">
        <v>9923.0</v>
      </c>
    </row>
    <row r="9925">
      <c r="A9925" s="157">
        <v>9924.0</v>
      </c>
    </row>
    <row r="9926">
      <c r="A9926" s="157">
        <v>9925.0</v>
      </c>
    </row>
    <row r="9927">
      <c r="A9927" s="157">
        <v>9926.0</v>
      </c>
    </row>
    <row r="9928">
      <c r="A9928" s="157">
        <v>9927.0</v>
      </c>
    </row>
    <row r="9929">
      <c r="A9929" s="157">
        <v>9928.0</v>
      </c>
    </row>
    <row r="9930">
      <c r="A9930" s="157">
        <v>9929.0</v>
      </c>
    </row>
    <row r="9931">
      <c r="A9931" s="157">
        <v>9930.0</v>
      </c>
    </row>
    <row r="9932">
      <c r="A9932" s="157">
        <v>9931.0</v>
      </c>
    </row>
    <row r="9933">
      <c r="A9933" s="157">
        <v>9932.0</v>
      </c>
    </row>
    <row r="9934">
      <c r="A9934" s="157">
        <v>9933.0</v>
      </c>
    </row>
    <row r="9935">
      <c r="A9935" s="157">
        <v>9934.0</v>
      </c>
    </row>
    <row r="9936">
      <c r="A9936" s="157">
        <v>9935.0</v>
      </c>
    </row>
    <row r="9937">
      <c r="A9937" s="157">
        <v>9936.0</v>
      </c>
    </row>
    <row r="9938">
      <c r="A9938" s="157">
        <v>9937.0</v>
      </c>
    </row>
    <row r="9939">
      <c r="A9939" s="157">
        <v>9938.0</v>
      </c>
    </row>
    <row r="9940">
      <c r="A9940" s="157">
        <v>9939.0</v>
      </c>
    </row>
    <row r="9941">
      <c r="A9941" s="157">
        <v>9940.0</v>
      </c>
    </row>
    <row r="9942">
      <c r="A9942" s="157">
        <v>9941.0</v>
      </c>
    </row>
    <row r="9943">
      <c r="A9943" s="157">
        <v>9942.0</v>
      </c>
    </row>
    <row r="9944">
      <c r="A9944" s="157">
        <v>9943.0</v>
      </c>
    </row>
    <row r="9945">
      <c r="A9945" s="157">
        <v>9944.0</v>
      </c>
    </row>
    <row r="9946">
      <c r="A9946" s="157">
        <v>9945.0</v>
      </c>
    </row>
    <row r="9947">
      <c r="A9947" s="157">
        <v>9946.0</v>
      </c>
    </row>
    <row r="9948">
      <c r="A9948" s="157">
        <v>9947.0</v>
      </c>
    </row>
    <row r="9949">
      <c r="A9949" s="157">
        <v>9948.0</v>
      </c>
    </row>
    <row r="9950">
      <c r="A9950" s="157">
        <v>9949.0</v>
      </c>
    </row>
    <row r="9951">
      <c r="A9951" s="157">
        <v>9950.0</v>
      </c>
    </row>
    <row r="9952">
      <c r="A9952" s="157">
        <v>9951.0</v>
      </c>
    </row>
    <row r="9953">
      <c r="A9953" s="157">
        <v>9952.0</v>
      </c>
    </row>
    <row r="9954">
      <c r="A9954" s="157">
        <v>9953.0</v>
      </c>
    </row>
    <row r="9955">
      <c r="A9955" s="157">
        <v>9954.0</v>
      </c>
    </row>
    <row r="9956">
      <c r="A9956" s="157">
        <v>9955.0</v>
      </c>
    </row>
    <row r="9957">
      <c r="A9957" s="157">
        <v>9956.0</v>
      </c>
    </row>
    <row r="9958">
      <c r="A9958" s="157">
        <v>9957.0</v>
      </c>
    </row>
    <row r="9959">
      <c r="A9959" s="157">
        <v>9958.0</v>
      </c>
    </row>
    <row r="9960">
      <c r="A9960" s="157">
        <v>9959.0</v>
      </c>
    </row>
    <row r="9961">
      <c r="A9961" s="157">
        <v>9960.0</v>
      </c>
    </row>
    <row r="9962">
      <c r="A9962" s="157">
        <v>9961.0</v>
      </c>
    </row>
    <row r="9963">
      <c r="A9963" s="157">
        <v>9962.0</v>
      </c>
    </row>
    <row r="9964">
      <c r="A9964" s="157">
        <v>9963.0</v>
      </c>
    </row>
    <row r="9965">
      <c r="A9965" s="157">
        <v>9964.0</v>
      </c>
    </row>
    <row r="9966">
      <c r="A9966" s="157">
        <v>9965.0</v>
      </c>
    </row>
    <row r="9967">
      <c r="A9967" s="157">
        <v>9966.0</v>
      </c>
    </row>
    <row r="9968">
      <c r="A9968" s="157">
        <v>9967.0</v>
      </c>
    </row>
    <row r="9969">
      <c r="A9969" s="157">
        <v>9968.0</v>
      </c>
    </row>
    <row r="9970">
      <c r="A9970" s="157">
        <v>9969.0</v>
      </c>
    </row>
    <row r="9971">
      <c r="A9971" s="157">
        <v>9970.0</v>
      </c>
    </row>
    <row r="9972">
      <c r="A9972" s="157">
        <v>9971.0</v>
      </c>
    </row>
    <row r="9973">
      <c r="A9973" s="157">
        <v>9972.0</v>
      </c>
    </row>
    <row r="9974">
      <c r="A9974" s="157">
        <v>9973.0</v>
      </c>
    </row>
    <row r="9975">
      <c r="A9975" s="157">
        <v>9974.0</v>
      </c>
    </row>
    <row r="9976">
      <c r="A9976" s="157">
        <v>9975.0</v>
      </c>
    </row>
    <row r="9977">
      <c r="A9977" s="157">
        <v>9976.0</v>
      </c>
    </row>
    <row r="9978">
      <c r="A9978" s="157">
        <v>9977.0</v>
      </c>
    </row>
    <row r="9979">
      <c r="A9979" s="157">
        <v>9978.0</v>
      </c>
    </row>
    <row r="9980">
      <c r="A9980" s="157">
        <v>9979.0</v>
      </c>
    </row>
    <row r="9981">
      <c r="A9981" s="157">
        <v>9980.0</v>
      </c>
    </row>
    <row r="9982">
      <c r="A9982" s="157">
        <v>9981.0</v>
      </c>
    </row>
    <row r="9983">
      <c r="A9983" s="157">
        <v>9982.0</v>
      </c>
    </row>
    <row r="9984">
      <c r="A9984" s="157">
        <v>9983.0</v>
      </c>
    </row>
    <row r="9985">
      <c r="A9985" s="157">
        <v>9984.0</v>
      </c>
    </row>
    <row r="9986">
      <c r="A9986" s="157">
        <v>9985.0</v>
      </c>
    </row>
    <row r="9987">
      <c r="A9987" s="157">
        <v>9986.0</v>
      </c>
    </row>
    <row r="9988">
      <c r="A9988" s="157">
        <v>9987.0</v>
      </c>
    </row>
    <row r="9989">
      <c r="A9989" s="157">
        <v>9988.0</v>
      </c>
    </row>
    <row r="9990">
      <c r="A9990" s="157">
        <v>9989.0</v>
      </c>
    </row>
    <row r="9991">
      <c r="A9991" s="157">
        <v>9990.0</v>
      </c>
    </row>
    <row r="9992">
      <c r="A9992" s="157">
        <v>9991.0</v>
      </c>
    </row>
    <row r="9993">
      <c r="A9993" s="157">
        <v>9992.0</v>
      </c>
    </row>
    <row r="9994">
      <c r="A9994" s="157">
        <v>9993.0</v>
      </c>
    </row>
    <row r="9995">
      <c r="A9995" s="157">
        <v>9994.0</v>
      </c>
    </row>
    <row r="9996">
      <c r="A9996" s="157">
        <v>9995.0</v>
      </c>
    </row>
    <row r="9997">
      <c r="A9997" s="157">
        <v>9996.0</v>
      </c>
    </row>
    <row r="9998">
      <c r="A9998" s="157">
        <v>9997.0</v>
      </c>
    </row>
    <row r="9999">
      <c r="A9999" s="157">
        <v>9998.0</v>
      </c>
    </row>
    <row r="10000">
      <c r="A10000" s="157">
        <v>9999.0</v>
      </c>
    </row>
    <row r="10001">
      <c r="A10001" s="157">
        <v>10000.0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 r:id="rId2423" ref="B2424"/>
    <hyperlink r:id="rId2424" ref="B2425"/>
    <hyperlink r:id="rId2425" ref="B2426"/>
    <hyperlink r:id="rId2426" ref="B2427"/>
    <hyperlink r:id="rId2427" ref="B2428"/>
    <hyperlink r:id="rId2428" ref="B2429"/>
    <hyperlink r:id="rId2429" ref="B2430"/>
    <hyperlink r:id="rId2430" ref="B2431"/>
    <hyperlink r:id="rId2431" ref="B2432"/>
    <hyperlink r:id="rId2432" ref="B2433"/>
    <hyperlink r:id="rId2433" ref="B2434"/>
    <hyperlink r:id="rId2434" ref="B2435"/>
    <hyperlink r:id="rId2435" ref="B2436"/>
    <hyperlink r:id="rId2436" ref="B2437"/>
    <hyperlink r:id="rId2437" ref="B2438"/>
    <hyperlink r:id="rId2438" ref="B2439"/>
    <hyperlink r:id="rId2439" ref="B2440"/>
    <hyperlink r:id="rId2440" ref="B2441"/>
    <hyperlink r:id="rId2441" ref="B2442"/>
    <hyperlink r:id="rId2442" ref="B2443"/>
    <hyperlink r:id="rId2443" ref="B2444"/>
    <hyperlink r:id="rId2444" ref="B2445"/>
    <hyperlink r:id="rId2445" ref="B2446"/>
    <hyperlink r:id="rId2446" ref="B2447"/>
    <hyperlink r:id="rId2447" ref="B2448"/>
    <hyperlink r:id="rId2448" ref="B2449"/>
    <hyperlink r:id="rId2449" ref="B2450"/>
    <hyperlink r:id="rId2450" ref="B2451"/>
    <hyperlink r:id="rId2451" ref="B2452"/>
    <hyperlink r:id="rId2452" ref="B2453"/>
    <hyperlink r:id="rId2453" ref="B2454"/>
    <hyperlink r:id="rId2454" ref="B2455"/>
    <hyperlink r:id="rId2455" ref="B2456"/>
    <hyperlink r:id="rId2456" ref="B2457"/>
    <hyperlink r:id="rId2457" ref="B2458"/>
    <hyperlink r:id="rId2458" ref="B2459"/>
    <hyperlink r:id="rId2459" ref="B2460"/>
    <hyperlink r:id="rId2460" ref="B2461"/>
    <hyperlink r:id="rId2461" ref="B2462"/>
    <hyperlink r:id="rId2462" ref="B2463"/>
    <hyperlink r:id="rId2463" ref="B2464"/>
    <hyperlink r:id="rId2464" ref="B2465"/>
    <hyperlink r:id="rId2465" ref="B2466"/>
    <hyperlink r:id="rId2466" ref="B2467"/>
    <hyperlink r:id="rId2467" ref="B2468"/>
    <hyperlink r:id="rId2468" ref="B2469"/>
    <hyperlink r:id="rId2469" ref="B2470"/>
    <hyperlink r:id="rId2470" ref="B2471"/>
    <hyperlink r:id="rId2471" ref="B2472"/>
    <hyperlink r:id="rId2472" ref="B2473"/>
    <hyperlink r:id="rId2473" ref="B2474"/>
    <hyperlink r:id="rId2474" ref="B2475"/>
    <hyperlink r:id="rId2475" ref="B2476"/>
    <hyperlink r:id="rId2476" ref="B2477"/>
    <hyperlink r:id="rId2477" ref="B2478"/>
    <hyperlink r:id="rId2478" ref="B2479"/>
    <hyperlink r:id="rId2479" ref="B2480"/>
    <hyperlink r:id="rId2480" ref="B2481"/>
    <hyperlink r:id="rId2481" ref="B2482"/>
    <hyperlink r:id="rId2482" ref="B2483"/>
    <hyperlink r:id="rId2483" ref="B2484"/>
    <hyperlink r:id="rId2484" ref="B2485"/>
    <hyperlink r:id="rId2485" ref="B2486"/>
    <hyperlink r:id="rId2486" ref="B2487"/>
    <hyperlink r:id="rId2487" ref="B2488"/>
    <hyperlink r:id="rId2488" ref="B2489"/>
    <hyperlink r:id="rId2489" ref="B2490"/>
    <hyperlink r:id="rId2490" ref="B2491"/>
    <hyperlink r:id="rId2491" ref="B2492"/>
    <hyperlink r:id="rId2492" ref="B2493"/>
    <hyperlink r:id="rId2493" ref="B2494"/>
    <hyperlink r:id="rId2494" ref="B2495"/>
    <hyperlink r:id="rId2495" ref="B2496"/>
    <hyperlink r:id="rId2496" ref="B2497"/>
    <hyperlink r:id="rId2497" ref="B2498"/>
    <hyperlink r:id="rId2498" ref="B2499"/>
    <hyperlink r:id="rId2499" ref="B2500"/>
    <hyperlink r:id="rId2500" ref="B2501"/>
    <hyperlink r:id="rId2501" ref="B2502"/>
    <hyperlink r:id="rId2502" ref="B2503"/>
    <hyperlink r:id="rId2503" ref="B2504"/>
    <hyperlink r:id="rId2504" ref="B2505"/>
    <hyperlink r:id="rId2505" ref="B2506"/>
    <hyperlink r:id="rId2506" ref="B2507"/>
    <hyperlink r:id="rId2507" ref="B2508"/>
    <hyperlink r:id="rId2508" ref="B2509"/>
    <hyperlink r:id="rId2509" ref="B2510"/>
    <hyperlink r:id="rId2510" ref="B2511"/>
    <hyperlink r:id="rId2511" ref="B2512"/>
    <hyperlink r:id="rId2512" ref="B2513"/>
    <hyperlink r:id="rId2513" ref="B2514"/>
    <hyperlink r:id="rId2514" ref="B2515"/>
    <hyperlink r:id="rId2515" ref="B2516"/>
    <hyperlink r:id="rId2516" ref="B2517"/>
    <hyperlink r:id="rId2517" ref="B2518"/>
    <hyperlink r:id="rId2518" ref="B2519"/>
    <hyperlink r:id="rId2519" ref="B2520"/>
    <hyperlink r:id="rId2520" ref="B2521"/>
    <hyperlink r:id="rId2521" ref="B2522"/>
    <hyperlink r:id="rId2522" ref="B2523"/>
    <hyperlink r:id="rId2523" ref="B2524"/>
    <hyperlink r:id="rId2524" ref="B2525"/>
    <hyperlink r:id="rId2525" ref="B2526"/>
    <hyperlink r:id="rId2526" ref="B2527"/>
    <hyperlink r:id="rId2527" ref="B2528"/>
    <hyperlink r:id="rId2528" ref="B2529"/>
    <hyperlink r:id="rId2529" ref="B2530"/>
    <hyperlink r:id="rId2530" ref="B2531"/>
    <hyperlink r:id="rId2531" ref="B2532"/>
    <hyperlink r:id="rId2532" ref="B2533"/>
    <hyperlink r:id="rId2533" ref="B2534"/>
    <hyperlink r:id="rId2534" ref="B2535"/>
    <hyperlink r:id="rId2535" ref="B2536"/>
    <hyperlink r:id="rId2536" ref="B2537"/>
    <hyperlink r:id="rId2537" ref="B2538"/>
    <hyperlink r:id="rId2538" ref="B2539"/>
    <hyperlink r:id="rId2539" ref="B2540"/>
    <hyperlink r:id="rId2540" ref="B2541"/>
    <hyperlink r:id="rId2541" ref="B2542"/>
    <hyperlink r:id="rId2542" ref="B2543"/>
    <hyperlink r:id="rId2543" ref="B2544"/>
    <hyperlink r:id="rId2544" ref="B2545"/>
    <hyperlink r:id="rId2545" ref="B2546"/>
    <hyperlink r:id="rId2546" ref="B2547"/>
    <hyperlink r:id="rId2547" ref="B2548"/>
    <hyperlink r:id="rId2548" ref="B2549"/>
    <hyperlink r:id="rId2549" ref="B2550"/>
    <hyperlink r:id="rId2550" ref="B2551"/>
    <hyperlink r:id="rId2551" ref="B2552"/>
    <hyperlink r:id="rId2552" ref="B2553"/>
    <hyperlink r:id="rId2553" ref="B2554"/>
    <hyperlink r:id="rId2554" ref="B2555"/>
    <hyperlink r:id="rId2555" ref="B2556"/>
    <hyperlink r:id="rId2556" ref="B2557"/>
    <hyperlink r:id="rId2557" ref="B2558"/>
    <hyperlink r:id="rId2558" ref="B2559"/>
    <hyperlink r:id="rId2559" ref="B2560"/>
    <hyperlink r:id="rId2560" ref="B2561"/>
    <hyperlink r:id="rId2561" ref="B2562"/>
    <hyperlink r:id="rId2562" ref="B2563"/>
    <hyperlink r:id="rId2563" ref="B2564"/>
    <hyperlink r:id="rId2564" ref="B2565"/>
    <hyperlink r:id="rId2565" ref="B2566"/>
    <hyperlink r:id="rId2566" ref="B2567"/>
    <hyperlink r:id="rId2567" ref="B2568"/>
    <hyperlink r:id="rId2568" ref="B2569"/>
    <hyperlink r:id="rId2569" ref="B2570"/>
    <hyperlink r:id="rId2570" ref="B2571"/>
    <hyperlink r:id="rId2571" ref="B2572"/>
    <hyperlink r:id="rId2572" ref="B2573"/>
    <hyperlink r:id="rId2573" ref="B2574"/>
    <hyperlink r:id="rId2574" ref="B2575"/>
    <hyperlink r:id="rId2575" ref="B2576"/>
    <hyperlink r:id="rId2576" ref="B2577"/>
    <hyperlink r:id="rId2577" ref="B2578"/>
    <hyperlink r:id="rId2578" ref="B2579"/>
    <hyperlink r:id="rId2579" ref="B2580"/>
    <hyperlink r:id="rId2580" ref="B2581"/>
    <hyperlink r:id="rId2581" ref="B2582"/>
    <hyperlink r:id="rId2582" ref="B2583"/>
    <hyperlink r:id="rId2583" ref="B2584"/>
    <hyperlink r:id="rId2584" ref="B2585"/>
    <hyperlink r:id="rId2585" ref="B2586"/>
    <hyperlink r:id="rId2586" ref="B2587"/>
    <hyperlink r:id="rId2587" ref="B2588"/>
    <hyperlink r:id="rId2588" ref="B2589"/>
    <hyperlink r:id="rId2589" ref="B2590"/>
    <hyperlink r:id="rId2590" ref="B2591"/>
    <hyperlink r:id="rId2591" ref="B2592"/>
    <hyperlink r:id="rId2592" ref="B2593"/>
    <hyperlink r:id="rId2593" ref="B2594"/>
    <hyperlink r:id="rId2594" ref="B2595"/>
    <hyperlink r:id="rId2595" ref="B2596"/>
    <hyperlink r:id="rId2596" ref="B2597"/>
    <hyperlink r:id="rId2597" ref="B2598"/>
    <hyperlink r:id="rId2598" ref="B2599"/>
    <hyperlink r:id="rId2599" ref="B2600"/>
    <hyperlink r:id="rId2600" ref="B2601"/>
    <hyperlink r:id="rId2601" ref="B2602"/>
    <hyperlink r:id="rId2602" ref="B2603"/>
    <hyperlink r:id="rId2603" ref="B2604"/>
    <hyperlink r:id="rId2604" ref="B2605"/>
    <hyperlink r:id="rId2605" ref="B2606"/>
    <hyperlink r:id="rId2606" ref="B2607"/>
    <hyperlink r:id="rId2607" ref="B2608"/>
    <hyperlink r:id="rId2608" ref="B2609"/>
    <hyperlink r:id="rId2609" ref="B2610"/>
    <hyperlink r:id="rId2610" ref="B2611"/>
    <hyperlink r:id="rId2611" ref="B2612"/>
    <hyperlink r:id="rId2612" ref="B2613"/>
    <hyperlink r:id="rId2613" ref="B2614"/>
    <hyperlink r:id="rId2614" ref="B2615"/>
    <hyperlink r:id="rId2615" ref="B2616"/>
    <hyperlink r:id="rId2616" ref="B2617"/>
    <hyperlink r:id="rId2617" ref="B2618"/>
    <hyperlink r:id="rId2618" ref="B2619"/>
    <hyperlink r:id="rId2619" ref="B2620"/>
    <hyperlink r:id="rId2620" ref="B2621"/>
    <hyperlink r:id="rId2621" ref="B2622"/>
    <hyperlink r:id="rId2622" ref="B2623"/>
    <hyperlink r:id="rId2623" ref="B2624"/>
    <hyperlink r:id="rId2624" ref="B2625"/>
    <hyperlink r:id="rId2625" ref="B2626"/>
    <hyperlink r:id="rId2626" ref="B2627"/>
    <hyperlink r:id="rId2627" ref="B2628"/>
    <hyperlink r:id="rId2628" ref="B2629"/>
    <hyperlink r:id="rId2629" ref="B2630"/>
    <hyperlink r:id="rId2630" ref="B2631"/>
    <hyperlink r:id="rId2631" ref="B2632"/>
    <hyperlink r:id="rId2632" ref="B2633"/>
    <hyperlink r:id="rId2633" ref="B2634"/>
    <hyperlink r:id="rId2634" ref="B2635"/>
    <hyperlink r:id="rId2635" ref="B2636"/>
    <hyperlink r:id="rId2636" ref="B2637"/>
    <hyperlink r:id="rId2637" ref="B2638"/>
    <hyperlink r:id="rId2638" ref="B2639"/>
    <hyperlink r:id="rId2639" ref="B2640"/>
    <hyperlink r:id="rId2640" ref="B2641"/>
    <hyperlink r:id="rId2641" ref="B2642"/>
    <hyperlink r:id="rId2642" ref="B2643"/>
    <hyperlink r:id="rId2643" ref="B2644"/>
    <hyperlink r:id="rId2644" ref="B2645"/>
    <hyperlink r:id="rId2645" ref="B2646"/>
    <hyperlink r:id="rId2646" ref="B2647"/>
    <hyperlink r:id="rId2647" ref="B2648"/>
    <hyperlink r:id="rId2648" ref="B2649"/>
    <hyperlink r:id="rId2649" ref="B2650"/>
    <hyperlink r:id="rId2650" ref="B2651"/>
    <hyperlink r:id="rId2651" ref="B2652"/>
    <hyperlink r:id="rId2652" ref="B2653"/>
    <hyperlink r:id="rId2653" ref="B2654"/>
    <hyperlink r:id="rId2654" ref="B2655"/>
    <hyperlink r:id="rId2655" ref="B2656"/>
    <hyperlink r:id="rId2656" ref="B2657"/>
    <hyperlink r:id="rId2657" ref="B2658"/>
    <hyperlink r:id="rId2658" ref="B2659"/>
    <hyperlink r:id="rId2659" ref="B2660"/>
    <hyperlink r:id="rId2660" ref="B2661"/>
    <hyperlink r:id="rId2661" ref="B2662"/>
    <hyperlink r:id="rId2662" ref="B2663"/>
    <hyperlink r:id="rId2663" ref="B2664"/>
    <hyperlink r:id="rId2664" ref="B2665"/>
    <hyperlink r:id="rId2665" ref="B2666"/>
    <hyperlink r:id="rId2666" ref="B2667"/>
    <hyperlink r:id="rId2667" ref="B2668"/>
    <hyperlink r:id="rId2668" ref="B2669"/>
    <hyperlink r:id="rId2669" ref="B2670"/>
    <hyperlink r:id="rId2670" ref="B2671"/>
    <hyperlink r:id="rId2671" ref="B2672"/>
    <hyperlink r:id="rId2672" ref="B2673"/>
    <hyperlink r:id="rId2673" ref="B2674"/>
    <hyperlink r:id="rId2674" ref="B2675"/>
    <hyperlink r:id="rId2675" ref="B2676"/>
    <hyperlink r:id="rId2676" ref="B2677"/>
    <hyperlink r:id="rId2677" ref="B2678"/>
    <hyperlink r:id="rId2678" ref="B2679"/>
    <hyperlink r:id="rId2679" ref="B2680"/>
    <hyperlink r:id="rId2680" ref="B2681"/>
    <hyperlink r:id="rId2681" ref="B2682"/>
    <hyperlink r:id="rId2682" ref="B2683"/>
    <hyperlink r:id="rId2683" ref="B2684"/>
    <hyperlink r:id="rId2684" ref="B2685"/>
    <hyperlink r:id="rId2685" ref="B2686"/>
    <hyperlink r:id="rId2686" ref="B2687"/>
    <hyperlink r:id="rId2687" ref="B2688"/>
    <hyperlink r:id="rId2688" ref="B2689"/>
    <hyperlink r:id="rId2689" ref="B2690"/>
    <hyperlink r:id="rId2690" ref="B2691"/>
    <hyperlink r:id="rId2691" ref="B2692"/>
    <hyperlink r:id="rId2692" ref="B2693"/>
    <hyperlink r:id="rId2693" ref="B2694"/>
    <hyperlink r:id="rId2694" ref="B2695"/>
    <hyperlink r:id="rId2695" ref="B2696"/>
    <hyperlink r:id="rId2696" ref="B2697"/>
    <hyperlink r:id="rId2697" ref="B2698"/>
    <hyperlink r:id="rId2698" ref="B2699"/>
    <hyperlink r:id="rId2699" ref="B2700"/>
    <hyperlink r:id="rId2700" ref="B2701"/>
    <hyperlink r:id="rId2701" ref="B2702"/>
    <hyperlink r:id="rId2702" ref="B2703"/>
    <hyperlink r:id="rId2703" ref="B2704"/>
    <hyperlink r:id="rId2704" ref="B2705"/>
    <hyperlink r:id="rId2705" ref="B2706"/>
    <hyperlink r:id="rId2706" ref="B2707"/>
    <hyperlink r:id="rId2707" ref="B2708"/>
    <hyperlink r:id="rId2708" ref="B2709"/>
    <hyperlink r:id="rId2709" ref="B2710"/>
    <hyperlink r:id="rId2710" ref="B2711"/>
    <hyperlink r:id="rId2711" ref="B2712"/>
    <hyperlink r:id="rId2712" ref="B2713"/>
    <hyperlink r:id="rId2713" ref="B2714"/>
    <hyperlink r:id="rId2714" ref="B2715"/>
    <hyperlink r:id="rId2715" ref="B2716"/>
    <hyperlink r:id="rId2716" ref="B2717"/>
    <hyperlink r:id="rId2717" ref="B2718"/>
    <hyperlink r:id="rId2718" ref="B2719"/>
    <hyperlink r:id="rId2719" ref="B2720"/>
    <hyperlink r:id="rId2720" ref="B2721"/>
    <hyperlink r:id="rId2721" ref="B2722"/>
    <hyperlink r:id="rId2722" ref="B2723"/>
    <hyperlink r:id="rId2723" ref="B2724"/>
    <hyperlink r:id="rId2724" ref="B2725"/>
    <hyperlink r:id="rId2725" ref="B2726"/>
    <hyperlink r:id="rId2726" ref="B2727"/>
    <hyperlink r:id="rId2727" ref="B2728"/>
    <hyperlink r:id="rId2728" ref="B2729"/>
    <hyperlink r:id="rId2729" ref="B2730"/>
    <hyperlink r:id="rId2730" ref="B2731"/>
    <hyperlink r:id="rId2731" ref="B2732"/>
    <hyperlink r:id="rId2732" ref="B2733"/>
    <hyperlink r:id="rId2733" ref="B2734"/>
    <hyperlink r:id="rId2734" ref="B2735"/>
    <hyperlink r:id="rId2735" ref="B2736"/>
    <hyperlink r:id="rId2736" ref="B2737"/>
    <hyperlink r:id="rId2737" ref="B2738"/>
    <hyperlink r:id="rId2738" ref="B2739"/>
    <hyperlink r:id="rId2739" ref="B2740"/>
    <hyperlink r:id="rId2740" ref="B2741"/>
    <hyperlink r:id="rId2741" ref="B2742"/>
    <hyperlink r:id="rId2742" ref="B2743"/>
    <hyperlink r:id="rId2743" ref="B2744"/>
    <hyperlink r:id="rId2744" ref="B2745"/>
    <hyperlink r:id="rId2745" ref="B2746"/>
    <hyperlink r:id="rId2746" ref="B2747"/>
    <hyperlink r:id="rId2747" ref="B2748"/>
    <hyperlink r:id="rId2748" ref="B2749"/>
    <hyperlink r:id="rId2749" ref="B2750"/>
    <hyperlink r:id="rId2750" ref="B2751"/>
    <hyperlink r:id="rId2751" ref="B2752"/>
    <hyperlink r:id="rId2752" ref="B2753"/>
    <hyperlink r:id="rId2753" ref="B2754"/>
    <hyperlink r:id="rId2754" ref="B2755"/>
    <hyperlink r:id="rId2755" ref="B2756"/>
    <hyperlink r:id="rId2756" ref="B2757"/>
    <hyperlink r:id="rId2757" ref="B2758"/>
    <hyperlink r:id="rId2758" ref="B2759"/>
    <hyperlink r:id="rId2759" ref="B2760"/>
    <hyperlink r:id="rId2760" ref="B2761"/>
    <hyperlink r:id="rId2761" ref="B2762"/>
    <hyperlink r:id="rId2762" ref="B2763"/>
    <hyperlink r:id="rId2763" ref="B2764"/>
    <hyperlink r:id="rId2764" ref="B2765"/>
    <hyperlink r:id="rId2765" ref="B2766"/>
    <hyperlink r:id="rId2766" ref="B2767"/>
    <hyperlink r:id="rId2767" ref="B2768"/>
    <hyperlink r:id="rId2768" ref="B2769"/>
    <hyperlink r:id="rId2769" ref="B2770"/>
    <hyperlink r:id="rId2770" ref="B2771"/>
    <hyperlink r:id="rId2771" ref="B2772"/>
    <hyperlink r:id="rId2772" ref="B2773"/>
    <hyperlink r:id="rId2773" ref="B2774"/>
    <hyperlink r:id="rId2774" ref="B2775"/>
    <hyperlink r:id="rId2775" ref="B2776"/>
    <hyperlink r:id="rId2776" ref="B2777"/>
    <hyperlink r:id="rId2777" ref="B2778"/>
    <hyperlink r:id="rId2778" ref="B2779"/>
    <hyperlink r:id="rId2779" ref="B2780"/>
    <hyperlink r:id="rId2780" ref="B2781"/>
    <hyperlink r:id="rId2781" ref="B2782"/>
    <hyperlink r:id="rId2782" ref="B2783"/>
    <hyperlink r:id="rId2783" ref="B2784"/>
    <hyperlink r:id="rId2784" ref="B2785"/>
    <hyperlink r:id="rId2785" ref="B2786"/>
    <hyperlink r:id="rId2786" ref="B2787"/>
    <hyperlink r:id="rId2787" ref="B2788"/>
    <hyperlink r:id="rId2788" ref="B2789"/>
    <hyperlink r:id="rId2789" ref="B2790"/>
    <hyperlink r:id="rId2790" ref="B2791"/>
    <hyperlink r:id="rId2791" ref="B2792"/>
    <hyperlink r:id="rId2792" ref="B2793"/>
    <hyperlink r:id="rId2793" ref="B2794"/>
    <hyperlink r:id="rId2794" ref="B2795"/>
    <hyperlink r:id="rId2795" ref="B2796"/>
    <hyperlink r:id="rId2796" ref="B2797"/>
    <hyperlink r:id="rId2797" ref="B2798"/>
    <hyperlink r:id="rId2798" ref="B2799"/>
    <hyperlink r:id="rId2799" ref="B2800"/>
    <hyperlink r:id="rId2800" ref="B2801"/>
    <hyperlink r:id="rId2801" ref="B2802"/>
    <hyperlink r:id="rId2802" ref="B2803"/>
    <hyperlink r:id="rId2803" ref="B2804"/>
    <hyperlink r:id="rId2804" ref="B2805"/>
    <hyperlink r:id="rId2805" ref="B2806"/>
    <hyperlink r:id="rId2806" ref="B2807"/>
    <hyperlink r:id="rId2807" ref="B2808"/>
    <hyperlink r:id="rId2808" ref="B2809"/>
    <hyperlink r:id="rId2809" ref="B2810"/>
    <hyperlink r:id="rId2810" ref="B2811"/>
    <hyperlink r:id="rId2811" ref="B2812"/>
    <hyperlink r:id="rId2812" ref="B2813"/>
    <hyperlink r:id="rId2813" ref="B2814"/>
    <hyperlink r:id="rId2814" ref="B2815"/>
    <hyperlink r:id="rId2815" ref="B2816"/>
    <hyperlink r:id="rId2816" ref="B2817"/>
    <hyperlink r:id="rId2817" ref="B2818"/>
    <hyperlink r:id="rId2818" ref="B2819"/>
    <hyperlink r:id="rId2819" ref="B2820"/>
    <hyperlink r:id="rId2820" ref="B2821"/>
    <hyperlink r:id="rId2821" ref="B2822"/>
    <hyperlink r:id="rId2822" ref="B2823"/>
    <hyperlink r:id="rId2823" ref="B2824"/>
    <hyperlink r:id="rId2824" ref="B2825"/>
    <hyperlink r:id="rId2825" ref="B2826"/>
    <hyperlink r:id="rId2826" ref="B2827"/>
    <hyperlink r:id="rId2827" ref="B2828"/>
    <hyperlink r:id="rId2828" ref="B2829"/>
    <hyperlink r:id="rId2829" ref="B2830"/>
    <hyperlink r:id="rId2830" ref="B2831"/>
    <hyperlink r:id="rId2831" ref="B2832"/>
    <hyperlink r:id="rId2832" ref="B2833"/>
    <hyperlink r:id="rId2833" ref="B2834"/>
    <hyperlink r:id="rId2834" ref="B2835"/>
    <hyperlink r:id="rId2835" ref="B2836"/>
    <hyperlink r:id="rId2836" ref="B2837"/>
    <hyperlink r:id="rId2837" ref="B2838"/>
    <hyperlink r:id="rId2838" ref="B2839"/>
    <hyperlink r:id="rId2839" ref="B2840"/>
    <hyperlink r:id="rId2840" ref="B2841"/>
    <hyperlink r:id="rId2841" ref="B2842"/>
    <hyperlink r:id="rId2842" ref="B2843"/>
    <hyperlink r:id="rId2843" ref="B2844"/>
    <hyperlink r:id="rId2844" ref="B2845"/>
    <hyperlink r:id="rId2845" ref="B2846"/>
    <hyperlink r:id="rId2846" ref="B2847"/>
    <hyperlink r:id="rId2847" ref="B2848"/>
    <hyperlink r:id="rId2848" ref="B2849"/>
    <hyperlink r:id="rId2849" ref="B2850"/>
    <hyperlink r:id="rId2850" ref="B2851"/>
    <hyperlink r:id="rId2851" ref="B2852"/>
    <hyperlink r:id="rId2852" ref="B2853"/>
    <hyperlink r:id="rId2853" ref="B2854"/>
    <hyperlink r:id="rId2854" ref="B2855"/>
    <hyperlink r:id="rId2855" ref="B2856"/>
    <hyperlink r:id="rId2856" ref="B2857"/>
    <hyperlink r:id="rId2857" ref="B2858"/>
    <hyperlink r:id="rId2858" ref="B2859"/>
    <hyperlink r:id="rId2859" ref="B2860"/>
    <hyperlink r:id="rId2860" ref="B2861"/>
    <hyperlink r:id="rId2861" ref="B2862"/>
    <hyperlink r:id="rId2862" ref="B2863"/>
    <hyperlink r:id="rId2863" ref="B2864"/>
    <hyperlink r:id="rId2864" ref="B2865"/>
    <hyperlink r:id="rId2865" ref="B2866"/>
    <hyperlink r:id="rId2866" ref="B2867"/>
    <hyperlink r:id="rId2867" ref="B2868"/>
    <hyperlink r:id="rId2868" ref="B2869"/>
    <hyperlink r:id="rId2869" ref="B2870"/>
    <hyperlink r:id="rId2870" ref="B2871"/>
    <hyperlink r:id="rId2871" ref="B2872"/>
    <hyperlink r:id="rId2872" ref="B2873"/>
    <hyperlink r:id="rId2873" ref="B2874"/>
    <hyperlink r:id="rId2874" ref="B2875"/>
    <hyperlink r:id="rId2875" ref="B2876"/>
    <hyperlink r:id="rId2876" ref="B2877"/>
    <hyperlink r:id="rId2877" ref="B2878"/>
    <hyperlink r:id="rId2878" ref="B2879"/>
    <hyperlink r:id="rId2879" ref="B2880"/>
    <hyperlink r:id="rId2880" ref="B2881"/>
    <hyperlink r:id="rId2881" ref="B2882"/>
    <hyperlink r:id="rId2882" ref="B2883"/>
    <hyperlink r:id="rId2883" ref="B2884"/>
    <hyperlink r:id="rId2884" ref="B2885"/>
    <hyperlink r:id="rId2885" ref="B2886"/>
    <hyperlink r:id="rId2886" ref="B2887"/>
    <hyperlink r:id="rId2887" ref="B2888"/>
    <hyperlink r:id="rId2888" ref="B2889"/>
    <hyperlink r:id="rId2889" ref="B2890"/>
    <hyperlink r:id="rId2890" ref="B2891"/>
    <hyperlink r:id="rId2891" ref="B2892"/>
    <hyperlink r:id="rId2892" ref="B2893"/>
    <hyperlink r:id="rId2893" ref="B2894"/>
    <hyperlink r:id="rId2894" ref="B2895"/>
    <hyperlink r:id="rId2895" ref="B2896"/>
    <hyperlink r:id="rId2896" ref="B2897"/>
    <hyperlink r:id="rId2897" ref="B2898"/>
    <hyperlink r:id="rId2898" ref="B2899"/>
    <hyperlink r:id="rId2899" ref="B2900"/>
    <hyperlink r:id="rId2900" ref="B2901"/>
    <hyperlink r:id="rId2901" ref="B2902"/>
    <hyperlink r:id="rId2902" ref="B2903"/>
    <hyperlink r:id="rId2903" ref="B2904"/>
    <hyperlink r:id="rId2904" ref="B2905"/>
    <hyperlink r:id="rId2905" ref="B2906"/>
    <hyperlink r:id="rId2906" ref="B2907"/>
    <hyperlink r:id="rId2907" ref="B2908"/>
    <hyperlink r:id="rId2908" ref="B2909"/>
    <hyperlink r:id="rId2909" ref="B2910"/>
    <hyperlink r:id="rId2910" ref="B2911"/>
    <hyperlink r:id="rId2911" ref="B2912"/>
    <hyperlink r:id="rId2912" ref="B2913"/>
    <hyperlink r:id="rId2913" ref="B2914"/>
    <hyperlink r:id="rId2914" ref="B2915"/>
    <hyperlink r:id="rId2915" ref="B2916"/>
    <hyperlink r:id="rId2916" ref="B2917"/>
    <hyperlink r:id="rId2917" ref="B2918"/>
    <hyperlink r:id="rId2918" ref="B2919"/>
    <hyperlink r:id="rId2919" ref="B2920"/>
    <hyperlink r:id="rId2920" ref="B2921"/>
    <hyperlink r:id="rId2921" ref="B2922"/>
    <hyperlink r:id="rId2922" ref="B2923"/>
    <hyperlink r:id="rId2923" ref="B2924"/>
    <hyperlink r:id="rId2924" ref="B2925"/>
    <hyperlink r:id="rId2925" ref="B2926"/>
    <hyperlink r:id="rId2926" ref="B2927"/>
    <hyperlink r:id="rId2927" ref="B2928"/>
    <hyperlink r:id="rId2928" ref="B2929"/>
    <hyperlink r:id="rId2929" ref="B2930"/>
    <hyperlink r:id="rId2930" ref="B2931"/>
    <hyperlink r:id="rId2931" ref="B2932"/>
    <hyperlink r:id="rId2932" ref="B2933"/>
    <hyperlink r:id="rId2933" ref="B2934"/>
    <hyperlink r:id="rId2934" ref="B2935"/>
    <hyperlink r:id="rId2935" ref="B2936"/>
    <hyperlink r:id="rId2936" ref="B2937"/>
    <hyperlink r:id="rId2937" ref="B2938"/>
    <hyperlink r:id="rId2938" ref="B2939"/>
    <hyperlink r:id="rId2939" ref="B2940"/>
    <hyperlink r:id="rId2940" ref="B2941"/>
    <hyperlink r:id="rId2941" ref="B2942"/>
    <hyperlink r:id="rId2942" ref="B2943"/>
    <hyperlink r:id="rId2943" ref="B2944"/>
    <hyperlink r:id="rId2944" ref="B2945"/>
    <hyperlink r:id="rId2945" ref="B2946"/>
    <hyperlink r:id="rId2946" ref="B2947"/>
    <hyperlink r:id="rId2947" ref="B2948"/>
    <hyperlink r:id="rId2948" ref="B2949"/>
    <hyperlink r:id="rId2949" ref="B2950"/>
    <hyperlink r:id="rId2950" ref="B2951"/>
    <hyperlink r:id="rId2951" ref="B2952"/>
    <hyperlink r:id="rId2952" ref="B2953"/>
    <hyperlink r:id="rId2953" ref="B2954"/>
    <hyperlink r:id="rId2954" ref="B2955"/>
    <hyperlink r:id="rId2955" ref="B2956"/>
    <hyperlink r:id="rId2956" ref="B2957"/>
    <hyperlink r:id="rId2957" ref="B2958"/>
    <hyperlink r:id="rId2958" ref="B2959"/>
    <hyperlink r:id="rId2959" ref="B2960"/>
    <hyperlink r:id="rId2960" ref="B2961"/>
    <hyperlink r:id="rId2961" ref="B2962"/>
    <hyperlink r:id="rId2962" ref="B2963"/>
    <hyperlink r:id="rId2963" ref="B2964"/>
    <hyperlink r:id="rId2964" ref="B2965"/>
    <hyperlink r:id="rId2965" ref="B2966"/>
    <hyperlink r:id="rId2966" ref="B2967"/>
    <hyperlink r:id="rId2967" ref="B2968"/>
    <hyperlink r:id="rId2968" ref="B2969"/>
    <hyperlink r:id="rId2969" ref="B2970"/>
    <hyperlink r:id="rId2970" ref="B2971"/>
    <hyperlink r:id="rId2971" ref="B2972"/>
    <hyperlink r:id="rId2972" ref="B2973"/>
    <hyperlink r:id="rId2973" ref="B2974"/>
    <hyperlink r:id="rId2974" ref="B2975"/>
    <hyperlink r:id="rId2975" ref="B2976"/>
    <hyperlink r:id="rId2976" ref="B2977"/>
    <hyperlink r:id="rId2977" ref="B2978"/>
    <hyperlink r:id="rId2978" ref="B2979"/>
    <hyperlink r:id="rId2979" ref="B2980"/>
    <hyperlink r:id="rId2980" ref="B2981"/>
    <hyperlink r:id="rId2981" ref="B2982"/>
    <hyperlink r:id="rId2982" ref="B2983"/>
    <hyperlink r:id="rId2983" ref="B2984"/>
    <hyperlink r:id="rId2984" ref="B2985"/>
    <hyperlink r:id="rId2985" ref="B2986"/>
    <hyperlink r:id="rId2986" ref="B2987"/>
    <hyperlink r:id="rId2987" ref="B2988"/>
    <hyperlink r:id="rId2988" ref="B2989"/>
    <hyperlink r:id="rId2989" ref="B2990"/>
    <hyperlink r:id="rId2990" ref="B2991"/>
    <hyperlink r:id="rId2991" ref="B2992"/>
    <hyperlink r:id="rId2992" ref="B2993"/>
    <hyperlink r:id="rId2993" ref="B2994"/>
    <hyperlink r:id="rId2994" ref="B2995"/>
    <hyperlink r:id="rId2995" ref="B2996"/>
    <hyperlink r:id="rId2996" ref="B2997"/>
    <hyperlink r:id="rId2997" ref="B2998"/>
    <hyperlink r:id="rId2998" ref="B2999"/>
    <hyperlink r:id="rId2999" ref="B3000"/>
    <hyperlink r:id="rId3000" ref="B3001"/>
    <hyperlink r:id="rId3001" ref="B3002"/>
    <hyperlink r:id="rId3002" ref="B3003"/>
    <hyperlink r:id="rId3003" ref="B3004"/>
    <hyperlink r:id="rId3004" ref="B3005"/>
    <hyperlink r:id="rId3005" ref="B3006"/>
    <hyperlink r:id="rId3006" ref="B3007"/>
    <hyperlink r:id="rId3007" ref="B3008"/>
    <hyperlink r:id="rId3008" ref="B3009"/>
    <hyperlink r:id="rId3009" ref="B3010"/>
    <hyperlink r:id="rId3010" ref="B3011"/>
    <hyperlink r:id="rId3011" ref="B3012"/>
    <hyperlink r:id="rId3012" ref="B3013"/>
    <hyperlink r:id="rId3013" ref="B3014"/>
    <hyperlink r:id="rId3014" ref="B3015"/>
    <hyperlink r:id="rId3015" ref="B3016"/>
    <hyperlink r:id="rId3016" ref="B3017"/>
    <hyperlink r:id="rId3017" ref="B3018"/>
    <hyperlink r:id="rId3018" ref="B3019"/>
    <hyperlink r:id="rId3019" ref="B3020"/>
    <hyperlink r:id="rId3020" ref="B3021"/>
    <hyperlink r:id="rId3021" ref="B3022"/>
    <hyperlink r:id="rId3022" ref="B3023"/>
    <hyperlink r:id="rId3023" ref="B3024"/>
    <hyperlink r:id="rId3024" ref="B3025"/>
    <hyperlink r:id="rId3025" ref="B3026"/>
    <hyperlink r:id="rId3026" ref="B3027"/>
    <hyperlink r:id="rId3027" ref="B3028"/>
    <hyperlink r:id="rId3028" ref="B3029"/>
    <hyperlink r:id="rId3029" ref="B3030"/>
    <hyperlink r:id="rId3030" ref="B3031"/>
    <hyperlink r:id="rId3031" ref="B3032"/>
    <hyperlink r:id="rId3032" ref="B3033"/>
    <hyperlink r:id="rId3033" ref="B3034"/>
    <hyperlink r:id="rId3034" ref="B3035"/>
    <hyperlink r:id="rId3035" ref="B3036"/>
    <hyperlink r:id="rId3036" ref="B3037"/>
    <hyperlink r:id="rId3037" ref="B3038"/>
    <hyperlink r:id="rId3038" ref="B3039"/>
    <hyperlink r:id="rId3039" ref="B3040"/>
    <hyperlink r:id="rId3040" ref="B3041"/>
    <hyperlink r:id="rId3041" ref="B3042"/>
    <hyperlink r:id="rId3042" ref="B3043"/>
    <hyperlink r:id="rId3043" ref="B3044"/>
    <hyperlink r:id="rId3044" ref="B3045"/>
    <hyperlink r:id="rId3045" ref="B3046"/>
    <hyperlink r:id="rId3046" ref="B3047"/>
    <hyperlink r:id="rId3047" ref="B3048"/>
    <hyperlink r:id="rId3048" ref="B3049"/>
    <hyperlink r:id="rId3049" ref="B3050"/>
    <hyperlink r:id="rId3050" ref="B3051"/>
    <hyperlink r:id="rId3051" ref="B3052"/>
    <hyperlink r:id="rId3052" ref="B3053"/>
    <hyperlink r:id="rId3053" ref="B3054"/>
    <hyperlink r:id="rId3054" ref="B3055"/>
    <hyperlink r:id="rId3055" ref="B3056"/>
    <hyperlink r:id="rId3056" ref="B3057"/>
    <hyperlink r:id="rId3057" ref="B3058"/>
    <hyperlink r:id="rId3058" ref="B3059"/>
    <hyperlink r:id="rId3059" ref="B3060"/>
    <hyperlink r:id="rId3060" ref="B3061"/>
    <hyperlink r:id="rId3061" ref="B3062"/>
    <hyperlink r:id="rId3062" ref="B3063"/>
    <hyperlink r:id="rId3063" ref="B3064"/>
    <hyperlink r:id="rId3064" ref="B3065"/>
    <hyperlink r:id="rId3065" ref="B3066"/>
    <hyperlink r:id="rId3066" ref="B3067"/>
    <hyperlink r:id="rId3067" ref="B3068"/>
    <hyperlink r:id="rId3068" ref="B3069"/>
    <hyperlink r:id="rId3069" ref="B3070"/>
    <hyperlink r:id="rId3070" ref="B3071"/>
    <hyperlink r:id="rId3071" ref="B3072"/>
    <hyperlink r:id="rId3072" ref="B3073"/>
    <hyperlink r:id="rId3073" ref="B3074"/>
    <hyperlink r:id="rId3074" ref="B3075"/>
    <hyperlink r:id="rId3075" ref="B3076"/>
    <hyperlink r:id="rId3076" ref="B3077"/>
    <hyperlink r:id="rId3077" ref="B3078"/>
    <hyperlink r:id="rId3078" ref="B3079"/>
    <hyperlink r:id="rId3079" ref="B3080"/>
    <hyperlink r:id="rId3080" ref="B3081"/>
    <hyperlink r:id="rId3081" ref="B3082"/>
    <hyperlink r:id="rId3082" ref="B3083"/>
    <hyperlink r:id="rId3083" ref="B3084"/>
    <hyperlink r:id="rId3084" ref="B3085"/>
    <hyperlink r:id="rId3085" ref="B3086"/>
    <hyperlink r:id="rId3086" ref="B3087"/>
    <hyperlink r:id="rId3087" ref="B3088"/>
    <hyperlink r:id="rId3088" ref="B3089"/>
    <hyperlink r:id="rId3089" ref="B3090"/>
    <hyperlink r:id="rId3090" ref="B3091"/>
    <hyperlink r:id="rId3091" ref="B3092"/>
    <hyperlink r:id="rId3092" ref="B3093"/>
    <hyperlink r:id="rId3093" ref="B3094"/>
    <hyperlink r:id="rId3094" ref="B3095"/>
    <hyperlink r:id="rId3095" ref="B3096"/>
    <hyperlink r:id="rId3096" ref="B3097"/>
    <hyperlink r:id="rId3097" ref="B3098"/>
    <hyperlink r:id="rId3098" ref="B3099"/>
    <hyperlink r:id="rId3099" ref="B3100"/>
    <hyperlink r:id="rId3100" ref="B3101"/>
    <hyperlink r:id="rId3101" ref="B3102"/>
    <hyperlink r:id="rId3102" ref="B3103"/>
    <hyperlink r:id="rId3103" ref="B3104"/>
    <hyperlink r:id="rId3104" ref="B3105"/>
    <hyperlink r:id="rId3105" ref="B3106"/>
    <hyperlink r:id="rId3106" ref="B3107"/>
    <hyperlink r:id="rId3107" ref="B3108"/>
    <hyperlink r:id="rId3108" ref="B3109"/>
    <hyperlink r:id="rId3109" ref="B3110"/>
    <hyperlink r:id="rId3110" ref="B3111"/>
    <hyperlink r:id="rId3111" ref="B3112"/>
    <hyperlink r:id="rId3112" ref="B3113"/>
    <hyperlink r:id="rId3113" ref="B3114"/>
    <hyperlink r:id="rId3114" ref="B3115"/>
    <hyperlink r:id="rId3115" ref="B3116"/>
    <hyperlink r:id="rId3116" ref="B3117"/>
    <hyperlink r:id="rId3117" ref="B3118"/>
    <hyperlink r:id="rId3118" ref="B3119"/>
    <hyperlink r:id="rId3119" ref="B3120"/>
    <hyperlink r:id="rId3120" ref="B3121"/>
    <hyperlink r:id="rId3121" ref="B3122"/>
    <hyperlink r:id="rId3122" ref="B3123"/>
    <hyperlink r:id="rId3123" ref="B3124"/>
    <hyperlink r:id="rId3124" ref="B3125"/>
    <hyperlink r:id="rId3125" ref="B3126"/>
    <hyperlink r:id="rId3126" ref="B3127"/>
    <hyperlink r:id="rId3127" ref="B3128"/>
    <hyperlink r:id="rId3128" ref="B3129"/>
    <hyperlink r:id="rId3129" ref="B3130"/>
    <hyperlink r:id="rId3130" ref="B3131"/>
    <hyperlink r:id="rId3131" ref="B3132"/>
    <hyperlink r:id="rId3132" ref="B3133"/>
    <hyperlink r:id="rId3133" ref="B3134"/>
    <hyperlink r:id="rId3134" ref="B3135"/>
    <hyperlink r:id="rId3135" ref="B3136"/>
    <hyperlink r:id="rId3136" ref="B3137"/>
    <hyperlink r:id="rId3137" ref="B3138"/>
    <hyperlink r:id="rId3138" ref="B3139"/>
    <hyperlink r:id="rId3139" ref="B3140"/>
    <hyperlink r:id="rId3140" ref="B3141"/>
    <hyperlink r:id="rId3141" ref="B3142"/>
    <hyperlink r:id="rId3142" ref="B3143"/>
    <hyperlink r:id="rId3143" ref="B3144"/>
    <hyperlink r:id="rId3144" ref="B3145"/>
    <hyperlink r:id="rId3145" ref="B3146"/>
    <hyperlink r:id="rId3146" ref="B3147"/>
    <hyperlink r:id="rId3147" ref="B3148"/>
    <hyperlink r:id="rId3148" ref="B3149"/>
    <hyperlink r:id="rId3149" ref="B3150"/>
    <hyperlink r:id="rId3150" ref="B3151"/>
    <hyperlink r:id="rId3151" ref="B3152"/>
    <hyperlink r:id="rId3152" ref="B3153"/>
    <hyperlink r:id="rId3153" ref="B3154"/>
    <hyperlink r:id="rId3154" ref="B3155"/>
    <hyperlink r:id="rId3155" ref="B3156"/>
    <hyperlink r:id="rId3156" ref="B3157"/>
    <hyperlink r:id="rId3157" ref="B3158"/>
    <hyperlink r:id="rId3158" ref="B3159"/>
    <hyperlink r:id="rId3159" ref="B3160"/>
    <hyperlink r:id="rId3160" ref="B3161"/>
    <hyperlink r:id="rId3161" ref="B3162"/>
    <hyperlink r:id="rId3162" ref="B3163"/>
    <hyperlink r:id="rId3163" ref="B3164"/>
    <hyperlink r:id="rId3164" ref="B3165"/>
    <hyperlink r:id="rId3165" ref="B3166"/>
    <hyperlink r:id="rId3166" ref="B3167"/>
    <hyperlink r:id="rId3167" ref="B3168"/>
    <hyperlink r:id="rId3168" ref="B3169"/>
    <hyperlink r:id="rId3169" ref="B3170"/>
    <hyperlink r:id="rId3170" ref="B3171"/>
    <hyperlink r:id="rId3171" ref="B3172"/>
    <hyperlink r:id="rId3172" ref="B3173"/>
    <hyperlink r:id="rId3173" ref="B3174"/>
    <hyperlink r:id="rId3174" ref="B3175"/>
    <hyperlink r:id="rId3175" ref="B3176"/>
    <hyperlink r:id="rId3176" ref="B3177"/>
    <hyperlink r:id="rId3177" ref="B3178"/>
    <hyperlink r:id="rId3178" ref="B3179"/>
    <hyperlink r:id="rId3179" ref="B3180"/>
    <hyperlink r:id="rId3180" ref="B3181"/>
    <hyperlink r:id="rId3181" ref="B3182"/>
    <hyperlink r:id="rId3182" ref="B3183"/>
    <hyperlink r:id="rId3183" ref="B3184"/>
    <hyperlink r:id="rId3184" ref="B3185"/>
    <hyperlink r:id="rId3185" ref="B3186"/>
    <hyperlink r:id="rId3186" ref="B3187"/>
    <hyperlink r:id="rId3187" ref="B3188"/>
    <hyperlink r:id="rId3188" ref="B3189"/>
    <hyperlink r:id="rId3189" ref="B3190"/>
    <hyperlink r:id="rId3190" ref="B3191"/>
    <hyperlink r:id="rId3191" ref="B3192"/>
    <hyperlink r:id="rId3192" ref="B3193"/>
    <hyperlink r:id="rId3193" ref="B3194"/>
    <hyperlink r:id="rId3194" ref="B3195"/>
    <hyperlink r:id="rId3195" ref="B3196"/>
    <hyperlink r:id="rId3196" ref="B3197"/>
    <hyperlink r:id="rId3197" ref="B3198"/>
    <hyperlink r:id="rId3198" ref="B3199"/>
    <hyperlink r:id="rId3199" ref="B3200"/>
    <hyperlink r:id="rId3200" ref="B3201"/>
    <hyperlink r:id="rId3201" ref="B3202"/>
    <hyperlink r:id="rId3202" ref="B3203"/>
    <hyperlink r:id="rId3203" ref="B3204"/>
    <hyperlink r:id="rId3204" ref="B3205"/>
    <hyperlink r:id="rId3205" ref="B3206"/>
    <hyperlink r:id="rId3206" ref="B3207"/>
    <hyperlink r:id="rId3207" ref="B3208"/>
    <hyperlink r:id="rId3208" ref="B3209"/>
    <hyperlink r:id="rId3209" ref="B3210"/>
    <hyperlink r:id="rId3210" ref="B3211"/>
    <hyperlink r:id="rId3211" ref="B3212"/>
    <hyperlink r:id="rId3212" ref="B3213"/>
    <hyperlink r:id="rId3213" ref="B3214"/>
    <hyperlink r:id="rId3214" ref="B3215"/>
    <hyperlink r:id="rId3215" ref="B3216"/>
    <hyperlink r:id="rId3216" ref="B3217"/>
    <hyperlink r:id="rId3217" ref="B3218"/>
    <hyperlink r:id="rId3218" ref="B3219"/>
    <hyperlink r:id="rId3219" ref="B3220"/>
    <hyperlink r:id="rId3220" ref="B3221"/>
    <hyperlink r:id="rId3221" ref="B3222"/>
    <hyperlink r:id="rId3222" ref="B3223"/>
    <hyperlink r:id="rId3223" ref="B3224"/>
    <hyperlink r:id="rId3224" ref="B3225"/>
    <hyperlink r:id="rId3225" ref="B3226"/>
    <hyperlink r:id="rId3226" ref="B3227"/>
    <hyperlink r:id="rId3227" ref="B3228"/>
    <hyperlink r:id="rId3228" ref="B3229"/>
    <hyperlink r:id="rId3229" ref="B3230"/>
    <hyperlink r:id="rId3230" ref="B3231"/>
    <hyperlink r:id="rId3231" ref="B3232"/>
    <hyperlink r:id="rId3232" ref="B3233"/>
    <hyperlink r:id="rId3233" ref="B3234"/>
    <hyperlink r:id="rId3234" ref="B3235"/>
    <hyperlink r:id="rId3235" ref="B3236"/>
    <hyperlink r:id="rId3236" ref="B3237"/>
    <hyperlink r:id="rId3237" ref="B3238"/>
    <hyperlink r:id="rId3238" ref="B3239"/>
    <hyperlink r:id="rId3239" ref="B3240"/>
    <hyperlink r:id="rId3240" ref="B3241"/>
    <hyperlink r:id="rId3241" ref="B3242"/>
    <hyperlink r:id="rId3242" ref="B3243"/>
    <hyperlink r:id="rId3243" ref="B3244"/>
    <hyperlink r:id="rId3244" ref="B3245"/>
    <hyperlink r:id="rId3245" ref="B3246"/>
    <hyperlink r:id="rId3246" ref="B3247"/>
    <hyperlink r:id="rId3247" ref="B3248"/>
    <hyperlink r:id="rId3248" ref="B3249"/>
    <hyperlink r:id="rId3249" ref="B3250"/>
    <hyperlink r:id="rId3250" ref="B3251"/>
    <hyperlink r:id="rId3251" ref="B3252"/>
    <hyperlink r:id="rId3252" ref="B3253"/>
    <hyperlink r:id="rId3253" ref="B3254"/>
    <hyperlink r:id="rId3254" ref="B3255"/>
    <hyperlink r:id="rId3255" ref="B3256"/>
    <hyperlink r:id="rId3256" ref="B3257"/>
    <hyperlink r:id="rId3257" ref="B3258"/>
    <hyperlink r:id="rId3258" ref="B3259"/>
    <hyperlink r:id="rId3259" ref="B3260"/>
    <hyperlink r:id="rId3260" ref="B3261"/>
    <hyperlink r:id="rId3261" ref="B3262"/>
    <hyperlink r:id="rId3262" ref="B3263"/>
    <hyperlink r:id="rId3263" ref="B3264"/>
    <hyperlink r:id="rId3264" ref="B3265"/>
    <hyperlink r:id="rId3265" ref="B3266"/>
    <hyperlink r:id="rId3266" ref="B3267"/>
    <hyperlink r:id="rId3267" ref="B3268"/>
    <hyperlink r:id="rId3268" ref="B3269"/>
    <hyperlink r:id="rId3269" ref="B3270"/>
    <hyperlink r:id="rId3270" ref="B3271"/>
    <hyperlink r:id="rId3271" ref="B3272"/>
    <hyperlink r:id="rId3272" ref="B3273"/>
    <hyperlink r:id="rId3273" ref="B3274"/>
    <hyperlink r:id="rId3274" ref="B3275"/>
    <hyperlink r:id="rId3275" ref="B3276"/>
    <hyperlink r:id="rId3276" ref="B3277"/>
    <hyperlink r:id="rId3277" ref="B3278"/>
    <hyperlink r:id="rId3278" ref="B3279"/>
    <hyperlink r:id="rId3279" ref="B3280"/>
    <hyperlink r:id="rId3280" ref="B3281"/>
    <hyperlink r:id="rId3281" ref="B3282"/>
    <hyperlink r:id="rId3282" ref="B3283"/>
    <hyperlink r:id="rId3283" ref="B3284"/>
    <hyperlink r:id="rId3284" ref="B3285"/>
    <hyperlink r:id="rId3285" ref="B3286"/>
    <hyperlink r:id="rId3286" ref="B3287"/>
    <hyperlink r:id="rId3287" ref="B3288"/>
    <hyperlink r:id="rId3288" ref="B3289"/>
    <hyperlink r:id="rId3289" ref="B3290"/>
    <hyperlink r:id="rId3290" ref="B3291"/>
    <hyperlink r:id="rId3291" ref="B3292"/>
    <hyperlink r:id="rId3292" ref="B3293"/>
    <hyperlink r:id="rId3293" ref="B3294"/>
    <hyperlink r:id="rId3294" ref="B3295"/>
    <hyperlink r:id="rId3295" ref="B3296"/>
    <hyperlink r:id="rId3296" ref="B3297"/>
    <hyperlink r:id="rId3297" ref="B3298"/>
    <hyperlink r:id="rId3298" ref="B3299"/>
    <hyperlink r:id="rId3299" ref="B3300"/>
    <hyperlink r:id="rId3300" ref="B3301"/>
    <hyperlink r:id="rId3301" ref="B3302"/>
    <hyperlink r:id="rId3302" ref="B3303"/>
    <hyperlink r:id="rId3303" ref="B3304"/>
    <hyperlink r:id="rId3304" ref="B3305"/>
    <hyperlink r:id="rId3305" ref="B3306"/>
    <hyperlink r:id="rId3306" ref="B3307"/>
    <hyperlink r:id="rId3307" ref="B3308"/>
    <hyperlink r:id="rId3308" ref="B3309"/>
    <hyperlink r:id="rId3309" ref="B3310"/>
    <hyperlink r:id="rId3310" ref="B3311"/>
    <hyperlink r:id="rId3311" ref="B3312"/>
    <hyperlink r:id="rId3312" ref="B3313"/>
    <hyperlink r:id="rId3313" ref="B3314"/>
    <hyperlink r:id="rId3314" ref="B3315"/>
    <hyperlink r:id="rId3315" ref="B3316"/>
    <hyperlink r:id="rId3316" ref="B3317"/>
    <hyperlink r:id="rId3317" ref="B3318"/>
    <hyperlink r:id="rId3318" ref="B3319"/>
    <hyperlink r:id="rId3319" ref="B3320"/>
    <hyperlink r:id="rId3320" ref="B3321"/>
    <hyperlink r:id="rId3321" ref="B3322"/>
    <hyperlink r:id="rId3322" ref="B3323"/>
    <hyperlink r:id="rId3323" ref="B3324"/>
    <hyperlink r:id="rId3324" ref="B3325"/>
    <hyperlink r:id="rId3325" ref="B3326"/>
    <hyperlink r:id="rId3326" ref="B3327"/>
    <hyperlink r:id="rId3327" ref="B3328"/>
    <hyperlink r:id="rId3328" ref="B3329"/>
    <hyperlink r:id="rId3329" ref="B3330"/>
    <hyperlink r:id="rId3330" ref="B3331"/>
    <hyperlink r:id="rId3331" ref="B3332"/>
    <hyperlink r:id="rId3332" ref="B3333"/>
    <hyperlink r:id="rId3333" ref="B3334"/>
    <hyperlink r:id="rId3334" ref="B3335"/>
    <hyperlink r:id="rId3335" ref="B3336"/>
    <hyperlink r:id="rId3336" ref="B3337"/>
    <hyperlink r:id="rId3337" ref="B3338"/>
    <hyperlink r:id="rId3338" ref="B3339"/>
    <hyperlink r:id="rId3339" ref="B3340"/>
    <hyperlink r:id="rId3340" ref="B3341"/>
    <hyperlink r:id="rId3341" ref="B3342"/>
    <hyperlink r:id="rId3342" ref="B3343"/>
    <hyperlink r:id="rId3343" ref="B3344"/>
    <hyperlink r:id="rId3344" ref="B3345"/>
    <hyperlink r:id="rId3345" ref="B3346"/>
    <hyperlink r:id="rId3346" ref="B3347"/>
    <hyperlink r:id="rId3347" ref="B3348"/>
    <hyperlink r:id="rId3348" ref="B3349"/>
    <hyperlink r:id="rId3349" ref="B3350"/>
    <hyperlink r:id="rId3350" ref="B3351"/>
    <hyperlink r:id="rId3351" ref="B3352"/>
    <hyperlink r:id="rId3352" ref="B3353"/>
    <hyperlink r:id="rId3353" ref="B3354"/>
    <hyperlink r:id="rId3354" ref="B3355"/>
    <hyperlink r:id="rId3355" ref="B3356"/>
    <hyperlink r:id="rId3356" ref="B3357"/>
    <hyperlink r:id="rId3357" ref="B3358"/>
    <hyperlink r:id="rId3358" ref="B3359"/>
    <hyperlink r:id="rId3359" ref="B3360"/>
    <hyperlink r:id="rId3360" ref="B3361"/>
    <hyperlink r:id="rId3361" ref="B3362"/>
    <hyperlink r:id="rId3362" ref="B3363"/>
    <hyperlink r:id="rId3363" ref="B3364"/>
    <hyperlink r:id="rId3364" ref="B3365"/>
    <hyperlink r:id="rId3365" ref="B3366"/>
    <hyperlink r:id="rId3366" ref="B3367"/>
    <hyperlink r:id="rId3367" ref="B3368"/>
    <hyperlink r:id="rId3368" ref="B3369"/>
    <hyperlink r:id="rId3369" ref="B3370"/>
    <hyperlink r:id="rId3370" ref="B3371"/>
    <hyperlink r:id="rId3371" ref="B3372"/>
    <hyperlink r:id="rId3372" ref="B3373"/>
    <hyperlink r:id="rId3373" ref="B3374"/>
    <hyperlink r:id="rId3374" ref="B3375"/>
    <hyperlink r:id="rId3375" ref="B3376"/>
    <hyperlink r:id="rId3376" ref="B3377"/>
    <hyperlink r:id="rId3377" ref="B3378"/>
    <hyperlink r:id="rId3378" ref="B3379"/>
    <hyperlink r:id="rId3379" ref="B3380"/>
    <hyperlink r:id="rId3380" ref="B3381"/>
    <hyperlink r:id="rId3381" ref="B3382"/>
    <hyperlink r:id="rId3382" ref="B3383"/>
    <hyperlink r:id="rId3383" ref="B3384"/>
    <hyperlink r:id="rId3384" ref="B3385"/>
    <hyperlink r:id="rId3385" ref="B3386"/>
    <hyperlink r:id="rId3386" ref="B3387"/>
    <hyperlink r:id="rId3387" ref="B3388"/>
    <hyperlink r:id="rId3388" ref="B3389"/>
    <hyperlink r:id="rId3389" ref="B3390"/>
    <hyperlink r:id="rId3390" ref="B3391"/>
    <hyperlink r:id="rId3391" ref="B3392"/>
    <hyperlink r:id="rId3392" ref="B3393"/>
    <hyperlink r:id="rId3393" ref="B3394"/>
    <hyperlink r:id="rId3394" ref="B3395"/>
    <hyperlink r:id="rId3395" ref="B3396"/>
    <hyperlink r:id="rId3396" ref="B3397"/>
    <hyperlink r:id="rId3397" ref="B3398"/>
    <hyperlink r:id="rId3398" ref="B3399"/>
    <hyperlink r:id="rId3399" ref="B3400"/>
    <hyperlink r:id="rId3400" ref="B3401"/>
    <hyperlink r:id="rId3401" ref="B3402"/>
    <hyperlink r:id="rId3402" ref="B3403"/>
    <hyperlink r:id="rId3403" ref="B3404"/>
    <hyperlink r:id="rId3404" ref="B3405"/>
    <hyperlink r:id="rId3405" ref="B3406"/>
    <hyperlink r:id="rId3406" ref="B3407"/>
    <hyperlink r:id="rId3407" ref="B3408"/>
    <hyperlink r:id="rId3408" ref="B3409"/>
    <hyperlink r:id="rId3409" ref="B3410"/>
    <hyperlink r:id="rId3410" ref="B3411"/>
    <hyperlink r:id="rId3411" ref="B3412"/>
    <hyperlink r:id="rId3412" ref="B3413"/>
    <hyperlink r:id="rId3413" ref="B3414"/>
    <hyperlink r:id="rId3414" ref="B3415"/>
    <hyperlink r:id="rId3415" ref="B3416"/>
    <hyperlink r:id="rId3416" ref="B3417"/>
    <hyperlink r:id="rId3417" ref="B3418"/>
    <hyperlink r:id="rId3418" ref="B3419"/>
    <hyperlink r:id="rId3419" ref="B3420"/>
    <hyperlink r:id="rId3420" ref="B3421"/>
    <hyperlink r:id="rId3421" ref="B3422"/>
    <hyperlink r:id="rId3422" ref="B3423"/>
    <hyperlink r:id="rId3423" ref="B3424"/>
    <hyperlink r:id="rId3424" ref="B3425"/>
    <hyperlink r:id="rId3425" ref="B3426"/>
    <hyperlink r:id="rId3426" ref="B3427"/>
    <hyperlink r:id="rId3427" ref="B3428"/>
    <hyperlink r:id="rId3428" ref="B3429"/>
    <hyperlink r:id="rId3429" ref="B3430"/>
    <hyperlink r:id="rId3430" ref="B3431"/>
    <hyperlink r:id="rId3431" ref="B3432"/>
    <hyperlink r:id="rId3432" ref="B3433"/>
    <hyperlink r:id="rId3433" ref="B3434"/>
    <hyperlink r:id="rId3434" ref="B3435"/>
    <hyperlink r:id="rId3435" ref="B3436"/>
    <hyperlink r:id="rId3436" ref="B3437"/>
    <hyperlink r:id="rId3437" ref="B3438"/>
    <hyperlink r:id="rId3438" ref="B3439"/>
    <hyperlink r:id="rId3439" ref="B3440"/>
    <hyperlink r:id="rId3440" ref="B3441"/>
    <hyperlink r:id="rId3441" ref="B3442"/>
    <hyperlink r:id="rId3442" ref="B3443"/>
    <hyperlink r:id="rId3443" ref="B3444"/>
    <hyperlink r:id="rId3444" ref="B3445"/>
    <hyperlink r:id="rId3445" ref="B3446"/>
    <hyperlink r:id="rId3446" ref="B3447"/>
    <hyperlink r:id="rId3447" ref="B3448"/>
    <hyperlink r:id="rId3448" ref="B3449"/>
    <hyperlink r:id="rId3449" ref="B3450"/>
    <hyperlink r:id="rId3450" ref="B3451"/>
    <hyperlink r:id="rId3451" ref="B3452"/>
    <hyperlink r:id="rId3452" ref="B3453"/>
    <hyperlink r:id="rId3453" ref="B3454"/>
    <hyperlink r:id="rId3454" ref="B3455"/>
    <hyperlink r:id="rId3455" ref="B3456"/>
    <hyperlink r:id="rId3456" ref="B3457"/>
    <hyperlink r:id="rId3457" ref="B3458"/>
    <hyperlink r:id="rId3458" ref="B3459"/>
    <hyperlink r:id="rId3459" ref="B3460"/>
    <hyperlink r:id="rId3460" ref="B3461"/>
    <hyperlink r:id="rId3461" ref="B3462"/>
    <hyperlink r:id="rId3462" ref="B3463"/>
    <hyperlink r:id="rId3463" ref="B3464"/>
    <hyperlink r:id="rId3464" ref="B3465"/>
    <hyperlink r:id="rId3465" ref="B3466"/>
    <hyperlink r:id="rId3466" ref="B3467"/>
    <hyperlink r:id="rId3467" ref="B3468"/>
    <hyperlink r:id="rId3468" ref="B3469"/>
    <hyperlink r:id="rId3469" ref="B3470"/>
    <hyperlink r:id="rId3470" ref="B3471"/>
    <hyperlink r:id="rId3471" ref="B3472"/>
    <hyperlink r:id="rId3472" ref="B3473"/>
    <hyperlink r:id="rId3473" ref="B3474"/>
    <hyperlink r:id="rId3474" ref="B3475"/>
    <hyperlink r:id="rId3475" ref="B3476"/>
    <hyperlink r:id="rId3476" ref="B3477"/>
    <hyperlink r:id="rId3477" ref="B3478"/>
    <hyperlink r:id="rId3478" ref="B3479"/>
    <hyperlink r:id="rId3479" ref="B3480"/>
    <hyperlink r:id="rId3480" ref="B3481"/>
    <hyperlink r:id="rId3481" ref="B3482"/>
    <hyperlink r:id="rId3482" ref="B3483"/>
    <hyperlink r:id="rId3483" ref="B3484"/>
    <hyperlink r:id="rId3484" ref="B3485"/>
    <hyperlink r:id="rId3485" ref="B3486"/>
    <hyperlink r:id="rId3486" ref="B3487"/>
    <hyperlink r:id="rId3487" ref="B3488"/>
    <hyperlink r:id="rId3488" ref="B3489"/>
    <hyperlink r:id="rId3489" ref="B3490"/>
    <hyperlink r:id="rId3490" ref="B3491"/>
    <hyperlink r:id="rId3491" ref="B3492"/>
    <hyperlink r:id="rId3492" ref="B3493"/>
    <hyperlink r:id="rId3493" ref="B3494"/>
    <hyperlink r:id="rId3494" ref="B3495"/>
    <hyperlink r:id="rId3495" ref="B3496"/>
    <hyperlink r:id="rId3496" ref="B3497"/>
    <hyperlink r:id="rId3497" ref="B3498"/>
    <hyperlink r:id="rId3498" ref="B3499"/>
    <hyperlink r:id="rId3499" ref="B3500"/>
    <hyperlink r:id="rId3500" ref="B3501"/>
    <hyperlink r:id="rId3501" ref="B3502"/>
    <hyperlink r:id="rId3502" ref="B3503"/>
    <hyperlink r:id="rId3503" ref="B3504"/>
    <hyperlink r:id="rId3504" ref="B3505"/>
    <hyperlink r:id="rId3505" ref="B3506"/>
    <hyperlink r:id="rId3506" ref="B3507"/>
    <hyperlink r:id="rId3507" ref="B3508"/>
    <hyperlink r:id="rId3508" ref="B3509"/>
    <hyperlink r:id="rId3509" ref="B3510"/>
    <hyperlink r:id="rId3510" ref="B3511"/>
    <hyperlink r:id="rId3511" ref="B3512"/>
    <hyperlink r:id="rId3512" ref="B3513"/>
    <hyperlink r:id="rId3513" ref="B3514"/>
    <hyperlink r:id="rId3514" ref="B3515"/>
    <hyperlink r:id="rId3515" ref="B3516"/>
    <hyperlink r:id="rId3516" ref="B3517"/>
    <hyperlink r:id="rId3517" ref="B3518"/>
    <hyperlink r:id="rId3518" ref="B3519"/>
    <hyperlink r:id="rId3519" ref="B3520"/>
    <hyperlink r:id="rId3520" ref="B3521"/>
    <hyperlink r:id="rId3521" ref="B3522"/>
    <hyperlink r:id="rId3522" ref="B3523"/>
    <hyperlink r:id="rId3523" ref="B3524"/>
    <hyperlink r:id="rId3524" ref="B3525"/>
    <hyperlink r:id="rId3525" ref="B3526"/>
    <hyperlink r:id="rId3526" ref="B3527"/>
    <hyperlink r:id="rId3527" ref="B3528"/>
    <hyperlink r:id="rId3528" ref="B3529"/>
    <hyperlink r:id="rId3529" ref="B3530"/>
    <hyperlink r:id="rId3530" ref="B3531"/>
    <hyperlink r:id="rId3531" ref="B3532"/>
    <hyperlink r:id="rId3532" ref="B3533"/>
    <hyperlink r:id="rId3533" ref="B3534"/>
    <hyperlink r:id="rId3534" ref="B3535"/>
    <hyperlink r:id="rId3535" ref="B3536"/>
    <hyperlink r:id="rId3536" ref="B3537"/>
    <hyperlink r:id="rId3537" ref="B3538"/>
    <hyperlink r:id="rId3538" ref="B3539"/>
    <hyperlink r:id="rId3539" ref="B3540"/>
    <hyperlink r:id="rId3540" ref="B3541"/>
    <hyperlink r:id="rId3541" ref="B3542"/>
    <hyperlink r:id="rId3542" ref="B3543"/>
    <hyperlink r:id="rId3543" ref="B3544"/>
    <hyperlink r:id="rId3544" ref="B3545"/>
    <hyperlink r:id="rId3545" ref="B3546"/>
    <hyperlink r:id="rId3546" ref="B3547"/>
    <hyperlink r:id="rId3547" ref="B3548"/>
    <hyperlink r:id="rId3548" ref="B3549"/>
    <hyperlink r:id="rId3549" ref="B3550"/>
    <hyperlink r:id="rId3550" ref="B3551"/>
    <hyperlink r:id="rId3551" ref="B3552"/>
    <hyperlink r:id="rId3552" ref="B3553"/>
    <hyperlink r:id="rId3553" ref="B3554"/>
    <hyperlink r:id="rId3554" ref="B3555"/>
    <hyperlink r:id="rId3555" ref="B3556"/>
    <hyperlink r:id="rId3556" ref="B3557"/>
    <hyperlink r:id="rId3557" ref="B3558"/>
    <hyperlink r:id="rId3558" ref="B3559"/>
    <hyperlink r:id="rId3559" ref="B3560"/>
    <hyperlink r:id="rId3560" ref="B3561"/>
    <hyperlink r:id="rId3561" ref="B3562"/>
    <hyperlink r:id="rId3562" ref="B3563"/>
    <hyperlink r:id="rId3563" ref="B3564"/>
    <hyperlink r:id="rId3564" ref="B3565"/>
    <hyperlink r:id="rId3565" ref="B3566"/>
    <hyperlink r:id="rId3566" ref="B3567"/>
    <hyperlink r:id="rId3567" ref="B3568"/>
    <hyperlink r:id="rId3568" ref="B3569"/>
    <hyperlink r:id="rId3569" ref="B3570"/>
    <hyperlink r:id="rId3570" ref="B3571"/>
    <hyperlink r:id="rId3571" ref="B3572"/>
    <hyperlink r:id="rId3572" ref="B3573"/>
    <hyperlink r:id="rId3573" ref="B3574"/>
    <hyperlink r:id="rId3574" ref="B3575"/>
    <hyperlink r:id="rId3575" ref="B3576"/>
    <hyperlink r:id="rId3576" ref="B3577"/>
    <hyperlink r:id="rId3577" ref="B3578"/>
    <hyperlink r:id="rId3578" ref="B3579"/>
    <hyperlink r:id="rId3579" ref="B3580"/>
    <hyperlink r:id="rId3580" ref="B3581"/>
    <hyperlink r:id="rId3581" ref="B3582"/>
    <hyperlink r:id="rId3582" ref="B3583"/>
    <hyperlink r:id="rId3583" ref="B3584"/>
    <hyperlink r:id="rId3584" ref="B3585"/>
    <hyperlink r:id="rId3585" ref="B3586"/>
    <hyperlink r:id="rId3586" ref="B3587"/>
    <hyperlink r:id="rId3587" ref="B3588"/>
    <hyperlink r:id="rId3588" ref="B3589"/>
    <hyperlink r:id="rId3589" ref="B3590"/>
    <hyperlink r:id="rId3590" ref="B3591"/>
    <hyperlink r:id="rId3591" ref="B3592"/>
    <hyperlink r:id="rId3592" ref="B3593"/>
    <hyperlink r:id="rId3593" ref="B3594"/>
    <hyperlink r:id="rId3594" ref="B3595"/>
    <hyperlink r:id="rId3595" ref="B3596"/>
    <hyperlink r:id="rId3596" ref="B3597"/>
    <hyperlink r:id="rId3597" ref="B3598"/>
    <hyperlink r:id="rId3598" ref="B3599"/>
    <hyperlink r:id="rId3599" ref="B3600"/>
    <hyperlink r:id="rId3600" ref="B3601"/>
    <hyperlink r:id="rId3601" ref="B3602"/>
    <hyperlink r:id="rId3602" ref="B3603"/>
    <hyperlink r:id="rId3603" ref="B3604"/>
    <hyperlink r:id="rId3604" ref="B3605"/>
    <hyperlink r:id="rId3605" ref="B3606"/>
    <hyperlink r:id="rId3606" ref="B3607"/>
    <hyperlink r:id="rId3607" ref="B3608"/>
    <hyperlink r:id="rId3608" ref="B3609"/>
    <hyperlink r:id="rId3609" ref="B3610"/>
    <hyperlink r:id="rId3610" ref="B3611"/>
    <hyperlink r:id="rId3611" ref="B3612"/>
    <hyperlink r:id="rId3612" ref="B3613"/>
    <hyperlink r:id="rId3613" ref="B3614"/>
    <hyperlink r:id="rId3614" ref="B3615"/>
    <hyperlink r:id="rId3615" ref="B3616"/>
    <hyperlink r:id="rId3616" ref="B3617"/>
    <hyperlink r:id="rId3617" ref="B3618"/>
    <hyperlink r:id="rId3618" ref="B3619"/>
    <hyperlink r:id="rId3619" ref="B3620"/>
    <hyperlink r:id="rId3620" ref="B3621"/>
    <hyperlink r:id="rId3621" ref="B3622"/>
    <hyperlink r:id="rId3622" ref="B3623"/>
    <hyperlink r:id="rId3623" ref="B3624"/>
    <hyperlink r:id="rId3624" ref="B3625"/>
    <hyperlink r:id="rId3625" ref="B3626"/>
    <hyperlink r:id="rId3626" ref="B3627"/>
    <hyperlink r:id="rId3627" ref="B3628"/>
    <hyperlink r:id="rId3628" ref="B3629"/>
    <hyperlink r:id="rId3629" ref="B3630"/>
    <hyperlink r:id="rId3630" ref="B3631"/>
    <hyperlink r:id="rId3631" ref="B3632"/>
    <hyperlink r:id="rId3632" ref="B3633"/>
    <hyperlink r:id="rId3633" ref="B3634"/>
    <hyperlink r:id="rId3634" ref="B3635"/>
    <hyperlink r:id="rId3635" ref="B3636"/>
    <hyperlink r:id="rId3636" ref="B3637"/>
    <hyperlink r:id="rId3637" ref="B3638"/>
    <hyperlink r:id="rId3638" ref="B3639"/>
    <hyperlink r:id="rId3639" ref="B3640"/>
    <hyperlink r:id="rId3640" ref="B3641"/>
    <hyperlink r:id="rId3641" ref="B3642"/>
    <hyperlink r:id="rId3642" ref="B3643"/>
    <hyperlink r:id="rId3643" ref="B3644"/>
    <hyperlink r:id="rId3644" ref="B3645"/>
    <hyperlink r:id="rId3645" ref="B3646"/>
    <hyperlink r:id="rId3646" ref="B3647"/>
    <hyperlink r:id="rId3647" ref="B3648"/>
    <hyperlink r:id="rId3648" ref="B3649"/>
    <hyperlink r:id="rId3649" ref="B3650"/>
    <hyperlink r:id="rId3650" ref="B3651"/>
    <hyperlink r:id="rId3651" ref="B3652"/>
    <hyperlink r:id="rId3652" ref="B3653"/>
    <hyperlink r:id="rId3653" ref="B3654"/>
    <hyperlink r:id="rId3654" ref="B3655"/>
    <hyperlink r:id="rId3655" ref="B3656"/>
    <hyperlink r:id="rId3656" ref="B3657"/>
    <hyperlink r:id="rId3657" ref="B3658"/>
    <hyperlink r:id="rId3658" ref="B3659"/>
    <hyperlink r:id="rId3659" ref="B3660"/>
    <hyperlink r:id="rId3660" ref="B3661"/>
    <hyperlink r:id="rId3661" ref="B3662"/>
    <hyperlink r:id="rId3662" ref="B3663"/>
    <hyperlink r:id="rId3663" ref="B3664"/>
    <hyperlink r:id="rId3664" ref="B3665"/>
    <hyperlink r:id="rId3665" ref="B3666"/>
    <hyperlink r:id="rId3666" ref="B3667"/>
    <hyperlink r:id="rId3667" ref="B3668"/>
    <hyperlink r:id="rId3668" ref="B3669"/>
    <hyperlink r:id="rId3669" ref="B3670"/>
    <hyperlink r:id="rId3670" ref="B3671"/>
    <hyperlink r:id="rId3671" ref="B3672"/>
    <hyperlink r:id="rId3672" ref="B3673"/>
    <hyperlink r:id="rId3673" ref="B3674"/>
    <hyperlink r:id="rId3674" ref="B3675"/>
    <hyperlink r:id="rId3675" ref="B3676"/>
    <hyperlink r:id="rId3676" ref="B3677"/>
    <hyperlink r:id="rId3677" ref="B3678"/>
    <hyperlink r:id="rId3678" ref="B3679"/>
    <hyperlink r:id="rId3679" ref="B3680"/>
    <hyperlink r:id="rId3680" ref="B3681"/>
    <hyperlink r:id="rId3681" ref="B3682"/>
    <hyperlink r:id="rId3682" ref="B3683"/>
    <hyperlink r:id="rId3683" ref="B3684"/>
    <hyperlink r:id="rId3684" ref="B3685"/>
    <hyperlink r:id="rId3685" ref="B3686"/>
    <hyperlink r:id="rId3686" ref="B3687"/>
    <hyperlink r:id="rId3687" ref="B3688"/>
    <hyperlink r:id="rId3688" ref="B3689"/>
    <hyperlink r:id="rId3689" ref="B3690"/>
    <hyperlink r:id="rId3690" ref="B3691"/>
    <hyperlink r:id="rId3691" ref="B3692"/>
    <hyperlink r:id="rId3692" ref="B3693"/>
    <hyperlink r:id="rId3693" ref="B3694"/>
    <hyperlink r:id="rId3694" ref="B3695"/>
    <hyperlink r:id="rId3695" ref="B3696"/>
    <hyperlink r:id="rId3696" ref="B3697"/>
    <hyperlink r:id="rId3697" ref="B3698"/>
    <hyperlink r:id="rId3698" ref="B3699"/>
    <hyperlink r:id="rId3699" ref="B3700"/>
    <hyperlink r:id="rId3700" ref="B3701"/>
    <hyperlink r:id="rId3701" ref="B3702"/>
    <hyperlink r:id="rId3702" ref="B3703"/>
    <hyperlink r:id="rId3703" ref="B3704"/>
    <hyperlink r:id="rId3704" ref="B3705"/>
    <hyperlink r:id="rId3705" ref="B3706"/>
    <hyperlink r:id="rId3706" ref="B3707"/>
    <hyperlink r:id="rId3707" ref="B3708"/>
    <hyperlink r:id="rId3708" ref="B3709"/>
    <hyperlink r:id="rId3709" ref="B3710"/>
    <hyperlink r:id="rId3710" ref="B3711"/>
    <hyperlink r:id="rId3711" ref="B3712"/>
    <hyperlink r:id="rId3712" ref="B3713"/>
    <hyperlink r:id="rId3713" ref="B3714"/>
    <hyperlink r:id="rId3714" ref="B3715"/>
    <hyperlink r:id="rId3715" ref="B3716"/>
    <hyperlink r:id="rId3716" ref="B3717"/>
    <hyperlink r:id="rId3717" ref="B3718"/>
    <hyperlink r:id="rId3718" ref="B3719"/>
    <hyperlink r:id="rId3719" ref="B3720"/>
    <hyperlink r:id="rId3720" ref="B3721"/>
    <hyperlink r:id="rId3721" ref="B3722"/>
    <hyperlink r:id="rId3722" ref="B3723"/>
    <hyperlink r:id="rId3723" ref="B3724"/>
    <hyperlink r:id="rId3724" ref="B3725"/>
    <hyperlink r:id="rId3725" ref="B3726"/>
    <hyperlink r:id="rId3726" ref="B3727"/>
    <hyperlink r:id="rId3727" ref="B3728"/>
    <hyperlink r:id="rId3728" ref="B3729"/>
    <hyperlink r:id="rId3729" ref="B3730"/>
    <hyperlink r:id="rId3730" ref="B3731"/>
    <hyperlink r:id="rId3731" ref="B3732"/>
    <hyperlink r:id="rId3732" ref="B3733"/>
    <hyperlink r:id="rId3733" ref="B3734"/>
    <hyperlink r:id="rId3734" ref="B3735"/>
    <hyperlink r:id="rId3735" ref="B3736"/>
    <hyperlink r:id="rId3736" ref="B3737"/>
    <hyperlink r:id="rId3737" ref="B3738"/>
    <hyperlink r:id="rId3738" ref="B3739"/>
    <hyperlink r:id="rId3739" ref="B3740"/>
    <hyperlink r:id="rId3740" ref="B3741"/>
    <hyperlink r:id="rId3741" ref="B3742"/>
    <hyperlink r:id="rId3742" ref="B3743"/>
    <hyperlink r:id="rId3743" ref="B3744"/>
    <hyperlink r:id="rId3744" ref="B3745"/>
    <hyperlink r:id="rId3745" ref="B3746"/>
    <hyperlink r:id="rId3746" ref="B3747"/>
    <hyperlink r:id="rId3747" ref="B3748"/>
    <hyperlink r:id="rId3748" ref="B3749"/>
    <hyperlink r:id="rId3749" ref="B3750"/>
    <hyperlink r:id="rId3750" ref="B3751"/>
    <hyperlink r:id="rId3751" ref="B3752"/>
    <hyperlink r:id="rId3752" ref="B3753"/>
    <hyperlink r:id="rId3753" ref="B3754"/>
    <hyperlink r:id="rId3754" ref="B3755"/>
    <hyperlink r:id="rId3755" ref="B3756"/>
    <hyperlink r:id="rId3756" ref="B3757"/>
    <hyperlink r:id="rId3757" ref="B3758"/>
    <hyperlink r:id="rId3758" ref="B3759"/>
    <hyperlink r:id="rId3759" ref="B3760"/>
    <hyperlink r:id="rId3760" ref="B3761"/>
    <hyperlink r:id="rId3761" ref="B3762"/>
    <hyperlink r:id="rId3762" ref="B3763"/>
    <hyperlink r:id="rId3763" ref="B3764"/>
    <hyperlink r:id="rId3764" ref="B3765"/>
    <hyperlink r:id="rId3765" ref="B3766"/>
    <hyperlink r:id="rId3766" ref="B3767"/>
    <hyperlink r:id="rId3767" ref="B3768"/>
    <hyperlink r:id="rId3768" ref="B3769"/>
    <hyperlink r:id="rId3769" ref="B3770"/>
    <hyperlink r:id="rId3770" ref="B3771"/>
    <hyperlink r:id="rId3771" ref="B3772"/>
    <hyperlink r:id="rId3772" ref="B3773"/>
    <hyperlink r:id="rId3773" ref="B3774"/>
    <hyperlink r:id="rId3774" ref="B3775"/>
    <hyperlink r:id="rId3775" ref="B3776"/>
    <hyperlink r:id="rId3776" ref="B3777"/>
    <hyperlink r:id="rId3777" ref="B3778"/>
    <hyperlink r:id="rId3778" ref="B3779"/>
    <hyperlink r:id="rId3779" ref="B3780"/>
    <hyperlink r:id="rId3780" ref="B3781"/>
    <hyperlink r:id="rId3781" ref="B3782"/>
    <hyperlink r:id="rId3782" ref="B3783"/>
    <hyperlink r:id="rId3783" ref="B3784"/>
    <hyperlink r:id="rId3784" ref="B3785"/>
    <hyperlink r:id="rId3785" ref="B3786"/>
    <hyperlink r:id="rId3786" ref="B3787"/>
    <hyperlink r:id="rId3787" ref="B3788"/>
    <hyperlink r:id="rId3788" ref="B3789"/>
    <hyperlink r:id="rId3789" ref="B3790"/>
    <hyperlink r:id="rId3790" ref="B3791"/>
    <hyperlink r:id="rId3791" ref="B3792"/>
    <hyperlink r:id="rId3792" ref="B3793"/>
    <hyperlink r:id="rId3793" ref="B3794"/>
    <hyperlink r:id="rId3794" ref="B3795"/>
    <hyperlink r:id="rId3795" ref="B3796"/>
    <hyperlink r:id="rId3796" ref="B3797"/>
    <hyperlink r:id="rId3797" ref="B3798"/>
    <hyperlink r:id="rId3798" ref="B3799"/>
    <hyperlink r:id="rId3799" ref="B3800"/>
    <hyperlink r:id="rId3800" ref="B3801"/>
    <hyperlink r:id="rId3801" ref="B3802"/>
    <hyperlink r:id="rId3802" ref="B3803"/>
    <hyperlink r:id="rId3803" ref="B3804"/>
    <hyperlink r:id="rId3804" ref="B3805"/>
    <hyperlink r:id="rId3805" ref="B3806"/>
    <hyperlink r:id="rId3806" ref="B3807"/>
    <hyperlink r:id="rId3807" ref="B3808"/>
    <hyperlink r:id="rId3808" ref="B3809"/>
    <hyperlink r:id="rId3809" ref="B3810"/>
    <hyperlink r:id="rId3810" ref="B3811"/>
    <hyperlink r:id="rId3811" ref="B3812"/>
    <hyperlink r:id="rId3812" ref="B3813"/>
    <hyperlink r:id="rId3813" ref="B3814"/>
    <hyperlink r:id="rId3814" ref="B3815"/>
    <hyperlink r:id="rId3815" ref="B3816"/>
    <hyperlink r:id="rId3816" ref="B3817"/>
    <hyperlink r:id="rId3817" ref="B3818"/>
    <hyperlink r:id="rId3818" ref="B3819"/>
    <hyperlink r:id="rId3819" ref="B3820"/>
    <hyperlink r:id="rId3820" ref="B3821"/>
    <hyperlink r:id="rId3821" ref="B3822"/>
    <hyperlink r:id="rId3822" ref="B3823"/>
    <hyperlink r:id="rId3823" ref="B3824"/>
    <hyperlink r:id="rId3824" ref="B3825"/>
    <hyperlink r:id="rId3825" ref="B3826"/>
    <hyperlink r:id="rId3826" ref="B3827"/>
    <hyperlink r:id="rId3827" ref="B3828"/>
    <hyperlink r:id="rId3828" ref="B3829"/>
    <hyperlink r:id="rId3829" ref="B3830"/>
    <hyperlink r:id="rId3830" ref="B3831"/>
    <hyperlink r:id="rId3831" ref="B3832"/>
    <hyperlink r:id="rId3832" ref="B3833"/>
    <hyperlink r:id="rId3833" ref="B3834"/>
    <hyperlink r:id="rId3834" ref="B3835"/>
    <hyperlink r:id="rId3835" ref="B3836"/>
    <hyperlink r:id="rId3836" ref="B3837"/>
    <hyperlink r:id="rId3837" ref="B3838"/>
    <hyperlink r:id="rId3838" ref="B3839"/>
    <hyperlink r:id="rId3839" ref="B3840"/>
    <hyperlink r:id="rId3840" ref="B3841"/>
    <hyperlink r:id="rId3841" ref="B3842"/>
    <hyperlink r:id="rId3842" ref="B3843"/>
    <hyperlink r:id="rId3843" ref="B3844"/>
    <hyperlink r:id="rId3844" ref="B3845"/>
    <hyperlink r:id="rId3845" ref="B3846"/>
    <hyperlink r:id="rId3846" ref="B3847"/>
    <hyperlink r:id="rId3847" ref="B3848"/>
    <hyperlink r:id="rId3848" ref="B3849"/>
    <hyperlink r:id="rId3849" ref="B3850"/>
    <hyperlink r:id="rId3850" ref="B3851"/>
    <hyperlink r:id="rId3851" ref="B3852"/>
    <hyperlink r:id="rId3852" ref="B3853"/>
    <hyperlink r:id="rId3853" ref="B3854"/>
    <hyperlink r:id="rId3854" ref="B3855"/>
    <hyperlink r:id="rId3855" ref="B3856"/>
    <hyperlink r:id="rId3856" ref="B3857"/>
    <hyperlink r:id="rId3857" ref="B3858"/>
    <hyperlink r:id="rId3858" ref="B3859"/>
    <hyperlink r:id="rId3859" ref="B3860"/>
    <hyperlink r:id="rId3860" ref="B3861"/>
    <hyperlink r:id="rId3861" ref="B3862"/>
    <hyperlink r:id="rId3862" ref="B3863"/>
    <hyperlink r:id="rId3863" ref="B3864"/>
    <hyperlink r:id="rId3864" ref="B3865"/>
    <hyperlink r:id="rId3865" ref="B3866"/>
    <hyperlink r:id="rId3866" ref="B3867"/>
    <hyperlink r:id="rId3867" ref="B3868"/>
    <hyperlink r:id="rId3868" ref="B3869"/>
    <hyperlink r:id="rId3869" ref="B3870"/>
    <hyperlink r:id="rId3870" ref="B3871"/>
    <hyperlink r:id="rId3871" ref="B3872"/>
    <hyperlink r:id="rId3872" ref="B3873"/>
    <hyperlink r:id="rId3873" ref="B3874"/>
    <hyperlink r:id="rId3874" ref="B3875"/>
    <hyperlink r:id="rId3875" ref="B3876"/>
    <hyperlink r:id="rId3876" ref="B3877"/>
    <hyperlink r:id="rId3877" ref="B3878"/>
    <hyperlink r:id="rId3878" ref="B3879"/>
    <hyperlink r:id="rId3879" ref="B3880"/>
    <hyperlink r:id="rId3880" ref="B3881"/>
    <hyperlink r:id="rId3881" ref="B3882"/>
    <hyperlink r:id="rId3882" ref="B3883"/>
    <hyperlink r:id="rId3883" ref="B3884"/>
    <hyperlink r:id="rId3884" ref="B3885"/>
    <hyperlink r:id="rId3885" ref="B3886"/>
    <hyperlink r:id="rId3886" ref="B3887"/>
    <hyperlink r:id="rId3887" ref="B3888"/>
    <hyperlink r:id="rId3888" ref="B3889"/>
    <hyperlink r:id="rId3889" ref="B3890"/>
    <hyperlink r:id="rId3890" ref="B3891"/>
    <hyperlink r:id="rId3891" ref="B3892"/>
    <hyperlink r:id="rId3892" ref="B3893"/>
    <hyperlink r:id="rId3893" ref="B3894"/>
    <hyperlink r:id="rId3894" ref="B3895"/>
    <hyperlink r:id="rId3895" ref="B3896"/>
    <hyperlink r:id="rId3896" ref="B3897"/>
    <hyperlink r:id="rId3897" ref="B3898"/>
    <hyperlink r:id="rId3898" ref="B3899"/>
    <hyperlink r:id="rId3899" ref="B3900"/>
    <hyperlink r:id="rId3900" ref="B3901"/>
    <hyperlink r:id="rId3901" ref="B3902"/>
    <hyperlink r:id="rId3902" ref="B3903"/>
    <hyperlink r:id="rId3903" ref="B3904"/>
    <hyperlink r:id="rId3904" ref="B3905"/>
    <hyperlink r:id="rId3905" ref="B3906"/>
    <hyperlink r:id="rId3906" ref="B3907"/>
    <hyperlink r:id="rId3907" ref="B3908"/>
    <hyperlink r:id="rId3908" ref="B3909"/>
    <hyperlink r:id="rId3909" ref="B3910"/>
    <hyperlink r:id="rId3910" ref="B3911"/>
    <hyperlink r:id="rId3911" ref="B3912"/>
    <hyperlink r:id="rId3912" ref="B3913"/>
    <hyperlink r:id="rId3913" ref="B3914"/>
    <hyperlink r:id="rId3914" ref="B3915"/>
    <hyperlink r:id="rId3915" ref="B3916"/>
    <hyperlink r:id="rId3916" ref="B3917"/>
    <hyperlink r:id="rId3917" ref="B3918"/>
    <hyperlink r:id="rId3918" ref="B3919"/>
    <hyperlink r:id="rId3919" ref="B3920"/>
    <hyperlink r:id="rId3920" ref="B3921"/>
    <hyperlink r:id="rId3921" ref="B3922"/>
    <hyperlink r:id="rId3922" ref="B3923"/>
    <hyperlink r:id="rId3923" ref="B3924"/>
    <hyperlink r:id="rId3924" ref="B3925"/>
    <hyperlink r:id="rId3925" ref="B3926"/>
    <hyperlink r:id="rId3926" ref="B3927"/>
    <hyperlink r:id="rId3927" ref="B3928"/>
    <hyperlink r:id="rId3928" ref="B3929"/>
    <hyperlink r:id="rId3929" ref="B3930"/>
    <hyperlink r:id="rId3930" ref="B3931"/>
    <hyperlink r:id="rId3931" ref="B3932"/>
    <hyperlink r:id="rId3932" ref="B3933"/>
    <hyperlink r:id="rId3933" ref="B3934"/>
    <hyperlink r:id="rId3934" ref="B3935"/>
    <hyperlink r:id="rId3935" ref="B3936"/>
    <hyperlink r:id="rId3936" ref="B3937"/>
    <hyperlink r:id="rId3937" ref="B3938"/>
    <hyperlink r:id="rId3938" ref="B3939"/>
    <hyperlink r:id="rId3939" ref="B3940"/>
    <hyperlink r:id="rId3940" ref="B3941"/>
    <hyperlink r:id="rId3941" ref="B3942"/>
    <hyperlink r:id="rId3942" ref="B3943"/>
    <hyperlink r:id="rId3943" ref="B3944"/>
    <hyperlink r:id="rId3944" ref="B3945"/>
    <hyperlink r:id="rId3945" ref="B3946"/>
    <hyperlink r:id="rId3946" ref="B3947"/>
    <hyperlink r:id="rId3947" ref="B3948"/>
    <hyperlink r:id="rId3948" ref="B3949"/>
    <hyperlink r:id="rId3949" ref="B3950"/>
    <hyperlink r:id="rId3950" ref="B3951"/>
    <hyperlink r:id="rId3951" ref="B3952"/>
    <hyperlink r:id="rId3952" ref="B3953"/>
    <hyperlink r:id="rId3953" ref="B3954"/>
    <hyperlink r:id="rId3954" ref="B3955"/>
    <hyperlink r:id="rId3955" ref="B3956"/>
    <hyperlink r:id="rId3956" ref="B3957"/>
    <hyperlink r:id="rId3957" ref="B3958"/>
    <hyperlink r:id="rId3958" ref="B3959"/>
    <hyperlink r:id="rId3959" ref="B3960"/>
    <hyperlink r:id="rId3960" ref="B3961"/>
    <hyperlink r:id="rId3961" ref="B3962"/>
    <hyperlink r:id="rId3962" ref="B3963"/>
    <hyperlink r:id="rId3963" ref="B3964"/>
    <hyperlink r:id="rId3964" ref="B3965"/>
    <hyperlink r:id="rId3965" ref="B3966"/>
    <hyperlink r:id="rId3966" ref="B3967"/>
    <hyperlink r:id="rId3967" ref="B3968"/>
    <hyperlink r:id="rId3968" ref="B3969"/>
    <hyperlink r:id="rId3969" ref="B3970"/>
    <hyperlink r:id="rId3970" ref="B3971"/>
    <hyperlink r:id="rId3971" ref="B3972"/>
    <hyperlink r:id="rId3972" ref="B3973"/>
    <hyperlink r:id="rId3973" ref="B3974"/>
    <hyperlink r:id="rId3974" ref="B3975"/>
    <hyperlink r:id="rId3975" ref="B3976"/>
    <hyperlink r:id="rId3976" ref="B3977"/>
    <hyperlink r:id="rId3977" ref="B3978"/>
    <hyperlink r:id="rId3978" ref="B3979"/>
    <hyperlink r:id="rId3979" ref="B3980"/>
    <hyperlink r:id="rId3980" ref="B3981"/>
    <hyperlink r:id="rId3981" ref="B3982"/>
    <hyperlink r:id="rId3982" ref="B3983"/>
    <hyperlink r:id="rId3983" ref="B3984"/>
    <hyperlink r:id="rId3984" ref="B3985"/>
    <hyperlink r:id="rId3985" ref="B3986"/>
    <hyperlink r:id="rId3986" ref="B3987"/>
    <hyperlink r:id="rId3987" ref="B3988"/>
    <hyperlink r:id="rId3988" ref="B3989"/>
    <hyperlink r:id="rId3989" ref="B3990"/>
    <hyperlink r:id="rId3990" ref="B3991"/>
    <hyperlink r:id="rId3991" ref="B3992"/>
    <hyperlink r:id="rId3992" ref="B3993"/>
    <hyperlink r:id="rId3993" ref="B3994"/>
    <hyperlink r:id="rId3994" ref="B3995"/>
    <hyperlink r:id="rId3995" ref="B3996"/>
    <hyperlink r:id="rId3996" ref="B3997"/>
    <hyperlink r:id="rId3997" ref="B3998"/>
    <hyperlink r:id="rId3998" ref="B3999"/>
    <hyperlink r:id="rId3999" ref="B4000"/>
    <hyperlink r:id="rId4000" ref="B4001"/>
    <hyperlink r:id="rId4001" ref="B4002"/>
    <hyperlink r:id="rId4002" ref="B4003"/>
    <hyperlink r:id="rId4003" ref="B4004"/>
    <hyperlink r:id="rId4004" ref="B4005"/>
    <hyperlink r:id="rId4005" ref="B4006"/>
    <hyperlink r:id="rId4006" ref="B4007"/>
    <hyperlink r:id="rId4007" ref="B4008"/>
    <hyperlink r:id="rId4008" ref="B4009"/>
    <hyperlink r:id="rId4009" ref="B4010"/>
    <hyperlink r:id="rId4010" ref="B4011"/>
    <hyperlink r:id="rId4011" ref="B4012"/>
    <hyperlink r:id="rId4012" ref="B4013"/>
    <hyperlink r:id="rId4013" ref="B4014"/>
    <hyperlink r:id="rId4014" ref="B4015"/>
    <hyperlink r:id="rId4015" ref="B4016"/>
    <hyperlink r:id="rId4016" ref="B4017"/>
    <hyperlink r:id="rId4017" ref="B4018"/>
    <hyperlink r:id="rId4018" ref="B4019"/>
    <hyperlink r:id="rId4019" ref="B4020"/>
    <hyperlink r:id="rId4020" ref="B4021"/>
    <hyperlink r:id="rId4021" ref="B4022"/>
    <hyperlink r:id="rId4022" ref="B4023"/>
    <hyperlink r:id="rId4023" ref="B4024"/>
    <hyperlink r:id="rId4024" ref="B4025"/>
    <hyperlink r:id="rId4025" ref="B4026"/>
    <hyperlink r:id="rId4026" ref="B4027"/>
    <hyperlink r:id="rId4027" ref="B4028"/>
    <hyperlink r:id="rId4028" ref="B4029"/>
    <hyperlink r:id="rId4029" ref="B4030"/>
    <hyperlink r:id="rId4030" ref="B4031"/>
    <hyperlink r:id="rId4031" ref="B4032"/>
    <hyperlink r:id="rId4032" ref="B4033"/>
    <hyperlink r:id="rId4033" ref="B4034"/>
    <hyperlink r:id="rId4034" ref="B4035"/>
    <hyperlink r:id="rId4035" ref="B4036"/>
    <hyperlink r:id="rId4036" ref="B4037"/>
    <hyperlink r:id="rId4037" ref="B4038"/>
    <hyperlink r:id="rId4038" ref="B4039"/>
    <hyperlink r:id="rId4039" ref="B4040"/>
    <hyperlink r:id="rId4040" ref="B4041"/>
    <hyperlink r:id="rId4041" ref="B4042"/>
    <hyperlink r:id="rId4042" ref="B4043"/>
    <hyperlink r:id="rId4043" ref="B4044"/>
    <hyperlink r:id="rId4044" ref="B4045"/>
    <hyperlink r:id="rId4045" ref="B4046"/>
    <hyperlink r:id="rId4046" ref="B4047"/>
    <hyperlink r:id="rId4047" ref="B4048"/>
    <hyperlink r:id="rId4048" ref="B4049"/>
    <hyperlink r:id="rId4049" ref="B4050"/>
    <hyperlink r:id="rId4050" ref="B4051"/>
    <hyperlink r:id="rId4051" ref="B4052"/>
    <hyperlink r:id="rId4052" ref="B4053"/>
    <hyperlink r:id="rId4053" ref="B4054"/>
    <hyperlink r:id="rId4054" ref="B4055"/>
    <hyperlink r:id="rId4055" ref="B4056"/>
    <hyperlink r:id="rId4056" ref="B4057"/>
    <hyperlink r:id="rId4057" ref="B4058"/>
    <hyperlink r:id="rId4058" ref="B4059"/>
    <hyperlink r:id="rId4059" ref="B4060"/>
    <hyperlink r:id="rId4060" ref="B4061"/>
    <hyperlink r:id="rId4061" ref="B4062"/>
    <hyperlink r:id="rId4062" ref="B4063"/>
    <hyperlink r:id="rId4063" ref="B4064"/>
    <hyperlink r:id="rId4064" ref="B4065"/>
    <hyperlink r:id="rId4065" ref="B4066"/>
    <hyperlink r:id="rId4066" ref="B4067"/>
    <hyperlink r:id="rId4067" ref="B4068"/>
    <hyperlink r:id="rId4068" ref="B4069"/>
    <hyperlink r:id="rId4069" ref="B4070"/>
    <hyperlink r:id="rId4070" ref="B4071"/>
    <hyperlink r:id="rId4071" ref="B4072"/>
    <hyperlink r:id="rId4072" ref="B4073"/>
    <hyperlink r:id="rId4073" ref="B4074"/>
    <hyperlink r:id="rId4074" ref="B4075"/>
    <hyperlink r:id="rId4075" ref="B4076"/>
    <hyperlink r:id="rId4076" ref="B4077"/>
    <hyperlink r:id="rId4077" ref="B4078"/>
    <hyperlink r:id="rId4078" ref="B4079"/>
    <hyperlink r:id="rId4079" ref="B4080"/>
    <hyperlink r:id="rId4080" ref="B4081"/>
    <hyperlink r:id="rId4081" ref="B4082"/>
    <hyperlink r:id="rId4082" ref="B4083"/>
    <hyperlink r:id="rId4083" ref="B4084"/>
    <hyperlink r:id="rId4084" ref="B4085"/>
    <hyperlink r:id="rId4085" ref="B4086"/>
    <hyperlink r:id="rId4086" ref="B4087"/>
    <hyperlink r:id="rId4087" ref="B4088"/>
    <hyperlink r:id="rId4088" ref="B4089"/>
    <hyperlink r:id="rId4089" ref="B4090"/>
    <hyperlink r:id="rId4090" ref="B4091"/>
    <hyperlink r:id="rId4091" ref="B4092"/>
    <hyperlink r:id="rId4092" ref="B4093"/>
    <hyperlink r:id="rId4093" ref="B4094"/>
    <hyperlink r:id="rId4094" ref="B4095"/>
    <hyperlink r:id="rId4095" ref="B4096"/>
    <hyperlink r:id="rId4096" ref="B4097"/>
    <hyperlink r:id="rId4097" ref="B4098"/>
    <hyperlink r:id="rId4098" ref="B4099"/>
    <hyperlink r:id="rId4099" ref="B4100"/>
    <hyperlink r:id="rId4100" ref="B4101"/>
    <hyperlink r:id="rId4101" ref="B4102"/>
    <hyperlink r:id="rId4102" ref="B4103"/>
    <hyperlink r:id="rId4103" ref="B4104"/>
    <hyperlink r:id="rId4104" ref="B4105"/>
    <hyperlink r:id="rId4105" ref="B4106"/>
    <hyperlink r:id="rId4106" ref="B4107"/>
    <hyperlink r:id="rId4107" ref="B4108"/>
    <hyperlink r:id="rId4108" ref="B4109"/>
    <hyperlink r:id="rId4109" ref="B4110"/>
    <hyperlink r:id="rId4110" ref="B4111"/>
    <hyperlink r:id="rId4111" ref="B4112"/>
    <hyperlink r:id="rId4112" ref="B4113"/>
    <hyperlink r:id="rId4113" ref="B4114"/>
    <hyperlink r:id="rId4114" ref="B4115"/>
    <hyperlink r:id="rId4115" ref="B4116"/>
    <hyperlink r:id="rId4116" ref="B4117"/>
    <hyperlink r:id="rId4117" ref="B4118"/>
    <hyperlink r:id="rId4118" ref="B4119"/>
    <hyperlink r:id="rId4119" ref="B4120"/>
    <hyperlink r:id="rId4120" ref="B4121"/>
    <hyperlink r:id="rId4121" ref="B4122"/>
    <hyperlink r:id="rId4122" ref="B4123"/>
    <hyperlink r:id="rId4123" ref="B4124"/>
    <hyperlink r:id="rId4124" ref="B4125"/>
    <hyperlink r:id="rId4125" ref="B4126"/>
    <hyperlink r:id="rId4126" ref="B4127"/>
    <hyperlink r:id="rId4127" ref="B4128"/>
    <hyperlink r:id="rId4128" ref="B4129"/>
    <hyperlink r:id="rId4129" ref="B4130"/>
    <hyperlink r:id="rId4130" ref="B4131"/>
    <hyperlink r:id="rId4131" ref="B4132"/>
    <hyperlink r:id="rId4132" ref="B4133"/>
    <hyperlink r:id="rId4133" ref="B4134"/>
    <hyperlink r:id="rId4134" ref="B4135"/>
    <hyperlink r:id="rId4135" ref="B4136"/>
    <hyperlink r:id="rId4136" ref="B4137"/>
    <hyperlink r:id="rId4137" ref="B4138"/>
    <hyperlink r:id="rId4138" ref="B4139"/>
    <hyperlink r:id="rId4139" ref="B4140"/>
    <hyperlink r:id="rId4140" ref="B4141"/>
    <hyperlink r:id="rId4141" ref="B4142"/>
    <hyperlink r:id="rId4142" ref="B4143"/>
    <hyperlink r:id="rId4143" ref="B4144"/>
    <hyperlink r:id="rId4144" ref="B4145"/>
    <hyperlink r:id="rId4145" ref="B4146"/>
    <hyperlink r:id="rId4146" ref="B4147"/>
    <hyperlink r:id="rId4147" ref="B4148"/>
    <hyperlink r:id="rId4148" ref="B4149"/>
    <hyperlink r:id="rId4149" ref="B4150"/>
    <hyperlink r:id="rId4150" ref="B4151"/>
    <hyperlink r:id="rId4151" ref="B4152"/>
    <hyperlink r:id="rId4152" ref="B4153"/>
    <hyperlink r:id="rId4153" ref="B4154"/>
    <hyperlink r:id="rId4154" ref="B4155"/>
    <hyperlink r:id="rId4155" ref="B4156"/>
    <hyperlink r:id="rId4156" ref="B4157"/>
    <hyperlink r:id="rId4157" ref="B4158"/>
    <hyperlink r:id="rId4158" ref="B4159"/>
    <hyperlink r:id="rId4159" ref="B4160"/>
    <hyperlink r:id="rId4160" ref="B4161"/>
    <hyperlink r:id="rId4161" ref="B4162"/>
    <hyperlink r:id="rId4162" ref="B4163"/>
    <hyperlink r:id="rId4163" ref="B4164"/>
    <hyperlink r:id="rId4164" ref="B4165"/>
    <hyperlink r:id="rId4165" ref="B4166"/>
    <hyperlink r:id="rId4166" ref="B4167"/>
    <hyperlink r:id="rId4167" ref="B4168"/>
    <hyperlink r:id="rId4168" ref="B4169"/>
    <hyperlink r:id="rId4169" ref="B4170"/>
    <hyperlink r:id="rId4170" ref="B4171"/>
    <hyperlink r:id="rId4171" ref="B4172"/>
    <hyperlink r:id="rId4172" ref="B4173"/>
    <hyperlink r:id="rId4173" ref="B4174"/>
    <hyperlink r:id="rId4174" ref="B4175"/>
    <hyperlink r:id="rId4175" ref="B4176"/>
    <hyperlink r:id="rId4176" ref="B4177"/>
    <hyperlink r:id="rId4177" ref="B4178"/>
    <hyperlink r:id="rId4178" ref="B4179"/>
    <hyperlink r:id="rId4179" ref="B4180"/>
    <hyperlink r:id="rId4180" ref="B4181"/>
    <hyperlink r:id="rId4181" ref="B4182"/>
    <hyperlink r:id="rId4182" ref="B4183"/>
    <hyperlink r:id="rId4183" ref="B4184"/>
    <hyperlink r:id="rId4184" ref="B4185"/>
    <hyperlink r:id="rId4185" ref="B4186"/>
    <hyperlink r:id="rId4186" ref="B4187"/>
    <hyperlink r:id="rId4187" ref="B4188"/>
    <hyperlink r:id="rId4188" ref="B4189"/>
    <hyperlink r:id="rId4189" ref="B4190"/>
    <hyperlink r:id="rId4190" ref="B4191"/>
    <hyperlink r:id="rId4191" ref="B4192"/>
    <hyperlink r:id="rId4192" ref="B4193"/>
    <hyperlink r:id="rId4193" ref="B4194"/>
    <hyperlink r:id="rId4194" ref="B4195"/>
  </hyperlinks>
  <drawing r:id="rId419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0.13"/>
    <col customWidth="1" min="3" max="3" width="20.63"/>
    <col customWidth="1" min="4" max="5" width="13.38"/>
    <col customWidth="1" min="6" max="6" width="5.88"/>
    <col customWidth="1" min="7" max="11" width="4.0"/>
    <col customWidth="1" min="12" max="12" width="18.63"/>
  </cols>
  <sheetData>
    <row r="1">
      <c r="A1" s="59" t="s">
        <v>7404</v>
      </c>
      <c r="B1" s="59" t="s">
        <v>7405</v>
      </c>
      <c r="C1" s="60" t="s">
        <v>71</v>
      </c>
      <c r="D1" s="60" t="s">
        <v>72</v>
      </c>
      <c r="E1" s="60" t="s">
        <v>7406</v>
      </c>
      <c r="F1" s="61" t="s">
        <v>7407</v>
      </c>
      <c r="G1" s="61" t="s">
        <v>7408</v>
      </c>
      <c r="H1" s="61" t="s">
        <v>7409</v>
      </c>
      <c r="I1" s="61" t="s">
        <v>7410</v>
      </c>
      <c r="J1" s="61" t="s">
        <v>7411</v>
      </c>
      <c r="K1" s="61" t="s">
        <v>7412</v>
      </c>
      <c r="L1" s="62" t="s">
        <v>83</v>
      </c>
    </row>
    <row r="2">
      <c r="A2" s="63">
        <v>1.0</v>
      </c>
      <c r="B2" s="174" t="s">
        <v>7413</v>
      </c>
      <c r="C2" s="64" t="s">
        <v>7414</v>
      </c>
      <c r="D2" s="60" t="s">
        <v>7415</v>
      </c>
      <c r="E2" s="65"/>
      <c r="F2" s="66"/>
      <c r="G2" s="66"/>
      <c r="H2" s="66"/>
      <c r="I2" s="66"/>
      <c r="J2" s="66"/>
      <c r="K2" s="66"/>
      <c r="L2" s="62" t="s">
        <v>7416</v>
      </c>
    </row>
    <row r="3">
      <c r="A3" s="63">
        <v>2.0</v>
      </c>
      <c r="B3" s="174" t="s">
        <v>7413</v>
      </c>
      <c r="C3" s="64" t="s">
        <v>7417</v>
      </c>
      <c r="D3" s="60" t="s">
        <v>7418</v>
      </c>
      <c r="E3" s="65"/>
      <c r="F3" s="66"/>
      <c r="G3" s="66"/>
      <c r="H3" s="66"/>
      <c r="I3" s="66"/>
      <c r="J3" s="66"/>
      <c r="K3" s="66"/>
      <c r="L3" s="62" t="s">
        <v>7419</v>
      </c>
    </row>
    <row r="4">
      <c r="A4" s="63">
        <v>3.0</v>
      </c>
      <c r="B4" s="174" t="s">
        <v>7413</v>
      </c>
      <c r="C4" s="64" t="s">
        <v>7420</v>
      </c>
      <c r="D4" s="60" t="s">
        <v>7421</v>
      </c>
      <c r="E4" s="65"/>
      <c r="F4" s="66"/>
      <c r="G4" s="66"/>
      <c r="H4" s="66"/>
      <c r="I4" s="66"/>
      <c r="J4" s="66"/>
      <c r="K4" s="66"/>
      <c r="L4" s="62" t="s">
        <v>7422</v>
      </c>
    </row>
    <row r="5">
      <c r="A5" s="63">
        <v>4.0</v>
      </c>
      <c r="B5" s="174" t="s">
        <v>7413</v>
      </c>
      <c r="C5" s="64" t="s">
        <v>7423</v>
      </c>
      <c r="D5" s="60" t="s">
        <v>7424</v>
      </c>
      <c r="E5" s="65"/>
      <c r="F5" s="66"/>
      <c r="G5" s="66"/>
      <c r="H5" s="66"/>
      <c r="I5" s="66"/>
      <c r="J5" s="66"/>
      <c r="K5" s="66"/>
      <c r="L5" s="62" t="s">
        <v>7425</v>
      </c>
    </row>
    <row r="6">
      <c r="A6" s="63">
        <v>5.0</v>
      </c>
      <c r="B6" s="63">
        <v>7.0</v>
      </c>
      <c r="C6" s="64" t="str">
        <f>VLOOKUP(B6,'Swiss Registry'!$A$2:$B$703,2,False)</f>
        <v>jumpy23</v>
      </c>
      <c r="D6" s="65" t="str">
        <f>VLOOKUP(C6,'Swiss Registry'!$B$2:$C$703,2,False)</f>
        <v>10 - 0</v>
      </c>
      <c r="E6" s="65"/>
      <c r="F6" s="66"/>
      <c r="G6" s="66"/>
      <c r="H6" s="66"/>
      <c r="I6" s="66"/>
      <c r="J6" s="66"/>
      <c r="K6" s="66"/>
      <c r="L6" s="62" t="s">
        <v>85</v>
      </c>
    </row>
    <row r="7">
      <c r="A7" s="63">
        <v>6.0</v>
      </c>
      <c r="B7" s="63">
        <v>3.0</v>
      </c>
      <c r="C7" s="64" t="str">
        <f>VLOOKUP(B7,'Swiss Registry'!$A$2:$B$703,2,False)</f>
        <v>Triangles</v>
      </c>
      <c r="D7" s="65" t="str">
        <f>VLOOKUP(C7,'Swiss Registry'!$B$2:$C$703,2,False)</f>
        <v>8 - 1</v>
      </c>
      <c r="E7" s="65"/>
      <c r="F7" s="66"/>
      <c r="G7" s="66"/>
      <c r="H7" s="66"/>
      <c r="I7" s="66"/>
      <c r="J7" s="66"/>
      <c r="K7" s="66"/>
      <c r="L7" s="62" t="s">
        <v>87</v>
      </c>
    </row>
    <row r="8">
      <c r="A8" s="63">
        <v>7.0</v>
      </c>
      <c r="B8" s="63">
        <v>6.0</v>
      </c>
      <c r="C8" s="64" t="str">
        <f>VLOOKUP(B8,'Swiss Registry'!$A$2:$B$703,2,False)</f>
        <v>Fear</v>
      </c>
      <c r="D8" s="65" t="str">
        <f>VLOOKUP(C8,'Swiss Registry'!$B$2:$C$703,2,False)</f>
        <v>8 - 1</v>
      </c>
      <c r="E8" s="65"/>
      <c r="F8" s="66"/>
      <c r="G8" s="66"/>
      <c r="H8" s="66"/>
      <c r="I8" s="66"/>
      <c r="J8" s="66"/>
      <c r="K8" s="66"/>
      <c r="L8" s="62" t="s">
        <v>89</v>
      </c>
    </row>
    <row r="9">
      <c r="A9" s="63">
        <v>8.0</v>
      </c>
      <c r="B9" s="63">
        <v>9.0</v>
      </c>
      <c r="C9" s="64" t="str">
        <f>VLOOKUP(B9,'Swiss Registry'!$A$2:$B$703,2,False)</f>
        <v>Kollin</v>
      </c>
      <c r="D9" s="65" t="str">
        <f>VLOOKUP(C9,'Swiss Registry'!$B$2:$C$703,2,False)</f>
        <v>8 - 1</v>
      </c>
      <c r="E9" s="65"/>
      <c r="F9" s="66"/>
      <c r="G9" s="66"/>
      <c r="H9" s="66"/>
      <c r="I9" s="66"/>
      <c r="J9" s="66"/>
      <c r="K9" s="66"/>
      <c r="L9" s="62" t="s">
        <v>91</v>
      </c>
    </row>
    <row r="10">
      <c r="A10" s="63">
        <v>9.0</v>
      </c>
      <c r="B10" s="63">
        <v>12.0</v>
      </c>
      <c r="C10" s="64" t="str">
        <f>VLOOKUP(B10,'Swiss Registry'!$A$2:$B$703,2,False)</f>
        <v>Pak</v>
      </c>
      <c r="D10" s="65" t="str">
        <f>VLOOKUP(C10,'Swiss Registry'!$B$2:$C$703,2,False)</f>
        <v>8 - 1</v>
      </c>
      <c r="E10" s="65"/>
      <c r="F10" s="66"/>
      <c r="G10" s="66"/>
      <c r="H10" s="66"/>
      <c r="I10" s="66"/>
      <c r="J10" s="66"/>
      <c r="K10" s="66"/>
      <c r="L10" s="62" t="s">
        <v>93</v>
      </c>
    </row>
    <row r="11">
      <c r="A11" s="63">
        <v>10.0</v>
      </c>
      <c r="B11" s="63">
        <v>16.0</v>
      </c>
      <c r="C11" s="64" t="str">
        <f>VLOOKUP(B11,'Swiss Registry'!$A$2:$B$703,2,False)</f>
        <v>Mielke</v>
      </c>
      <c r="D11" s="65" t="str">
        <f>VLOOKUP(C11,'Swiss Registry'!$B$2:$C$703,2,False)</f>
        <v>8 - 1</v>
      </c>
      <c r="E11" s="65"/>
      <c r="F11" s="66"/>
      <c r="G11" s="66"/>
      <c r="H11" s="66"/>
      <c r="I11" s="66"/>
      <c r="J11" s="66"/>
      <c r="K11" s="66"/>
      <c r="L11" s="62" t="s">
        <v>95</v>
      </c>
    </row>
    <row r="12">
      <c r="A12" s="63">
        <v>11.0</v>
      </c>
      <c r="B12" s="63">
        <v>39.0</v>
      </c>
      <c r="C12" s="64" t="str">
        <f>VLOOKUP(B12,'Swiss Registry'!$A$2:$B$703,2,False)</f>
        <v>earlgr3y</v>
      </c>
      <c r="D12" s="65" t="str">
        <f>VLOOKUP(C12,'Swiss Registry'!$B$2:$C$703,2,False)</f>
        <v>8 - 1</v>
      </c>
      <c r="E12" s="65"/>
      <c r="F12" s="66"/>
      <c r="G12" s="66"/>
      <c r="H12" s="66"/>
      <c r="I12" s="66"/>
      <c r="J12" s="66"/>
      <c r="K12" s="66"/>
      <c r="L12" s="62" t="s">
        <v>97</v>
      </c>
    </row>
    <row r="13">
      <c r="A13" s="63">
        <v>12.0</v>
      </c>
      <c r="B13" s="63">
        <v>49.0</v>
      </c>
      <c r="C13" s="64" t="str">
        <f>VLOOKUP(B13,'Swiss Registry'!$A$2:$B$703,2,False)</f>
        <v>Bhol</v>
      </c>
      <c r="D13" s="65" t="str">
        <f>VLOOKUP(C13,'Swiss Registry'!$B$2:$C$703,2,False)</f>
        <v>8 - 1</v>
      </c>
      <c r="E13" s="65"/>
      <c r="F13" s="66"/>
      <c r="G13" s="66"/>
      <c r="H13" s="66"/>
      <c r="I13" s="66"/>
      <c r="J13" s="66"/>
      <c r="K13" s="66"/>
      <c r="L13" s="62" t="s">
        <v>99</v>
      </c>
    </row>
    <row r="14">
      <c r="A14" s="63">
        <v>13.0</v>
      </c>
      <c r="B14" s="63">
        <v>61.0</v>
      </c>
      <c r="C14" s="64" t="str">
        <f>VLOOKUP(B14,'Swiss Registry'!$A$2:$B$703,2,False)</f>
        <v>Zpanther</v>
      </c>
      <c r="D14" s="65" t="str">
        <f>VLOOKUP(C14,'Swiss Registry'!$B$2:$C$703,2,False)</f>
        <v>8 - 1</v>
      </c>
      <c r="E14" s="65"/>
      <c r="F14" s="66"/>
      <c r="G14" s="66"/>
      <c r="H14" s="66"/>
      <c r="I14" s="66"/>
      <c r="J14" s="66"/>
      <c r="K14" s="66"/>
      <c r="L14" s="62" t="s">
        <v>101</v>
      </c>
    </row>
    <row r="15">
      <c r="A15" s="63">
        <v>14.0</v>
      </c>
      <c r="B15" s="63">
        <v>69.0</v>
      </c>
      <c r="C15" s="64" t="str">
        <f>VLOOKUP(B15,'Swiss Registry'!$A$2:$B$703,2,False)</f>
        <v>Alice</v>
      </c>
      <c r="D15" s="65" t="str">
        <f>VLOOKUP(C15,'Swiss Registry'!$B$2:$C$703,2,False)</f>
        <v>8 - 1</v>
      </c>
      <c r="E15" s="65"/>
      <c r="F15" s="66"/>
      <c r="G15" s="66"/>
      <c r="H15" s="66"/>
      <c r="I15" s="66"/>
      <c r="J15" s="66"/>
      <c r="K15" s="66"/>
      <c r="L15" s="62" t="s">
        <v>103</v>
      </c>
    </row>
    <row r="16">
      <c r="A16" s="63">
        <v>15.0</v>
      </c>
      <c r="B16" s="63">
        <v>74.0</v>
      </c>
      <c r="C16" s="64" t="str">
        <f>VLOOKUP(B16,'Swiss Registry'!$A$2:$B$703,2,False)</f>
        <v>xXEricXx</v>
      </c>
      <c r="D16" s="65" t="str">
        <f>VLOOKUP(C16,'Swiss Registry'!$B$2:$C$703,2,False)</f>
        <v>8 - 1</v>
      </c>
      <c r="E16" s="65"/>
      <c r="F16" s="66"/>
      <c r="G16" s="66"/>
      <c r="H16" s="66"/>
      <c r="I16" s="66"/>
      <c r="J16" s="66"/>
      <c r="K16" s="66"/>
      <c r="L16" s="62" t="s">
        <v>105</v>
      </c>
    </row>
    <row r="17">
      <c r="A17" s="63">
        <v>16.0</v>
      </c>
      <c r="B17" s="63">
        <v>157.0</v>
      </c>
      <c r="C17" s="64" t="str">
        <f>VLOOKUP(B17,'Swiss Registry'!$A$2:$B$703,2,False)</f>
        <v>Amir (lordamir &amp; lordamir2)</v>
      </c>
      <c r="D17" s="65" t="str">
        <f>VLOOKUP(C17,'Swiss Registry'!$B$2:$C$703,2,False)</f>
        <v>8 - 1</v>
      </c>
      <c r="E17" s="65"/>
      <c r="F17" s="66"/>
      <c r="G17" s="66"/>
      <c r="H17" s="66"/>
      <c r="I17" s="66"/>
      <c r="J17" s="66"/>
      <c r="K17" s="66"/>
      <c r="L17" s="62" t="s">
        <v>107</v>
      </c>
    </row>
    <row r="18">
      <c r="A18" s="63">
        <v>17.0</v>
      </c>
      <c r="B18" s="63">
        <v>226.0</v>
      </c>
      <c r="C18" s="64" t="str">
        <f>VLOOKUP(B18,'Swiss Registry'!$A$2:$B$703,2,False)</f>
        <v>Alargemongoose</v>
      </c>
      <c r="D18" s="65" t="str">
        <f>VLOOKUP(C18,'Swiss Registry'!$B$2:$C$703,2,False)</f>
        <v>8 - 1</v>
      </c>
      <c r="E18" s="65"/>
      <c r="F18" s="66"/>
      <c r="G18" s="66"/>
      <c r="H18" s="66"/>
      <c r="I18" s="66"/>
      <c r="J18" s="66"/>
      <c r="K18" s="66"/>
      <c r="L18" s="62" t="s">
        <v>109</v>
      </c>
    </row>
    <row r="19">
      <c r="A19" s="63">
        <v>18.0</v>
      </c>
      <c r="B19" s="63">
        <v>527.0</v>
      </c>
      <c r="C19" s="64" t="str">
        <f>VLOOKUP(B19,'Swiss Registry'!$A$2:$B$703,2,False)</f>
        <v>cepulo</v>
      </c>
      <c r="D19" s="65" t="str">
        <f>VLOOKUP(C19,'Swiss Registry'!$B$2:$C$703,2,False)</f>
        <v>8 - 1</v>
      </c>
      <c r="E19" s="65"/>
      <c r="F19" s="66"/>
      <c r="G19" s="66"/>
      <c r="H19" s="66"/>
      <c r="I19" s="66"/>
      <c r="J19" s="66"/>
      <c r="K19" s="66"/>
      <c r="L19" s="62" t="s">
        <v>111</v>
      </c>
    </row>
    <row r="20">
      <c r="A20" s="63">
        <v>19.0</v>
      </c>
      <c r="B20" s="63">
        <v>1.0</v>
      </c>
      <c r="C20" s="64" t="str">
        <f>VLOOKUP(B20,'Swiss Registry'!$A$2:$B$703,2,False)</f>
        <v>Fakes</v>
      </c>
      <c r="D20" s="65" t="str">
        <f>VLOOKUP(C20,'Swiss Registry'!$B$2:$C$703,2,False)</f>
        <v>7 - 2</v>
      </c>
      <c r="E20" s="65"/>
      <c r="F20" s="66"/>
      <c r="G20" s="66"/>
      <c r="H20" s="66"/>
      <c r="I20" s="66"/>
      <c r="J20" s="66"/>
      <c r="K20" s="66"/>
      <c r="L20" s="62" t="s">
        <v>113</v>
      </c>
    </row>
    <row r="21">
      <c r="A21" s="63">
        <v>20.0</v>
      </c>
      <c r="B21" s="63">
        <v>4.0</v>
      </c>
      <c r="C21" s="64" t="str">
        <f>VLOOKUP(B21,'Swiss Registry'!$A$2:$B$703,2,False)</f>
        <v>pkLeech</v>
      </c>
      <c r="D21" s="65" t="str">
        <f>VLOOKUP(C21,'Swiss Registry'!$B$2:$C$703,2,False)</f>
        <v>7 - 2</v>
      </c>
      <c r="E21" s="65"/>
      <c r="F21" s="66"/>
      <c r="G21" s="66"/>
      <c r="H21" s="66"/>
      <c r="I21" s="66"/>
      <c r="J21" s="66"/>
      <c r="K21" s="66"/>
      <c r="L21" s="62" t="s">
        <v>115</v>
      </c>
    </row>
    <row r="22">
      <c r="A22" s="63">
        <v>21.0</v>
      </c>
      <c r="B22" s="63">
        <v>5.0</v>
      </c>
      <c r="C22" s="64" t="str">
        <f>VLOOKUP(B22,'Swiss Registry'!$A$2:$B$703,2,False)</f>
        <v>Caloom</v>
      </c>
      <c r="D22" s="65" t="str">
        <f>VLOOKUP(C22,'Swiss Registry'!$B$2:$C$703,2,False)</f>
        <v>7 - 2</v>
      </c>
      <c r="E22" s="65"/>
      <c r="F22" s="66"/>
      <c r="G22" s="66"/>
      <c r="H22" s="66"/>
      <c r="I22" s="66"/>
      <c r="J22" s="66"/>
      <c r="K22" s="66"/>
      <c r="L22" s="62" t="s">
        <v>117</v>
      </c>
    </row>
    <row r="23">
      <c r="A23" s="63">
        <v>22.0</v>
      </c>
      <c r="B23" s="63">
        <v>10.0</v>
      </c>
      <c r="C23" s="64" t="str">
        <f>VLOOKUP(B23,'Swiss Registry'!$A$2:$B$703,2,False)</f>
        <v>Cyberodin</v>
      </c>
      <c r="D23" s="65" t="str">
        <f>VLOOKUP(C23,'Swiss Registry'!$B$2:$C$703,2,False)</f>
        <v>7 - 2</v>
      </c>
      <c r="E23" s="65"/>
      <c r="F23" s="66"/>
      <c r="G23" s="66"/>
      <c r="H23" s="66"/>
      <c r="I23" s="66"/>
      <c r="J23" s="66"/>
      <c r="K23" s="66"/>
      <c r="L23" s="62" t="s">
        <v>119</v>
      </c>
    </row>
    <row r="24">
      <c r="A24" s="63">
        <v>23.0</v>
      </c>
      <c r="B24" s="63">
        <v>14.0</v>
      </c>
      <c r="C24" s="64" t="str">
        <f>VLOOKUP(B24,'Swiss Registry'!$A$2:$B$703,2,False)</f>
        <v>Voyager</v>
      </c>
      <c r="D24" s="65" t="str">
        <f>VLOOKUP(C24,'Swiss Registry'!$B$2:$C$703,2,False)</f>
        <v>7 - 2</v>
      </c>
      <c r="E24" s="65"/>
      <c r="F24" s="66"/>
      <c r="G24" s="66"/>
      <c r="H24" s="66"/>
      <c r="I24" s="66"/>
      <c r="J24" s="66"/>
      <c r="K24" s="66"/>
      <c r="L24" s="62" t="s">
        <v>121</v>
      </c>
    </row>
    <row r="25">
      <c r="A25" s="63">
        <v>24.0</v>
      </c>
      <c r="B25" s="63">
        <v>18.0</v>
      </c>
      <c r="C25" s="64" t="str">
        <f>VLOOKUP(B25,'Swiss Registry'!$A$2:$B$703,2,False)</f>
        <v>Pokology</v>
      </c>
      <c r="D25" s="65" t="str">
        <f>VLOOKUP(C25,'Swiss Registry'!$B$2:$C$703,2,False)</f>
        <v>7 - 2</v>
      </c>
      <c r="E25" s="65"/>
      <c r="F25" s="66"/>
      <c r="G25" s="66"/>
      <c r="H25" s="66"/>
      <c r="I25" s="66"/>
      <c r="J25" s="66"/>
      <c r="K25" s="66"/>
      <c r="L25" s="62" t="s">
        <v>123</v>
      </c>
    </row>
    <row r="26">
      <c r="A26" s="63">
        <v>25.0</v>
      </c>
      <c r="B26" s="63">
        <v>19.0</v>
      </c>
      <c r="C26" s="64" t="str">
        <f>VLOOKUP(B26,'Swiss Registry'!$A$2:$B$703,2,False)</f>
        <v>void</v>
      </c>
      <c r="D26" s="65" t="str">
        <f>VLOOKUP(C26,'Swiss Registry'!$B$2:$C$703,2,False)</f>
        <v>7 - 2</v>
      </c>
      <c r="E26" s="65"/>
      <c r="F26" s="66"/>
      <c r="G26" s="66"/>
      <c r="H26" s="66"/>
      <c r="I26" s="66"/>
      <c r="J26" s="66"/>
      <c r="K26" s="66"/>
      <c r="L26" s="62" t="s">
        <v>125</v>
      </c>
    </row>
    <row r="27">
      <c r="A27" s="63">
        <v>26.0</v>
      </c>
      <c r="B27" s="63">
        <v>21.0</v>
      </c>
      <c r="C27" s="64" t="str">
        <f>VLOOKUP(B27,'Swiss Registry'!$A$2:$B$703,2,False)</f>
        <v>Adam</v>
      </c>
      <c r="D27" s="65" t="str">
        <f>VLOOKUP(C27,'Swiss Registry'!$B$2:$C$703,2,False)</f>
        <v>7 - 2</v>
      </c>
      <c r="E27" s="65"/>
      <c r="F27" s="66"/>
      <c r="G27" s="66"/>
      <c r="H27" s="66"/>
      <c r="I27" s="66"/>
      <c r="J27" s="66"/>
      <c r="K27" s="66"/>
      <c r="L27" s="62" t="s">
        <v>127</v>
      </c>
    </row>
    <row r="28">
      <c r="A28" s="63">
        <v>27.0</v>
      </c>
      <c r="B28" s="63">
        <v>22.0</v>
      </c>
      <c r="C28" s="64" t="str">
        <f>VLOOKUP(B28,'Swiss Registry'!$A$2:$B$703,2,False)</f>
        <v>laxuy</v>
      </c>
      <c r="D28" s="65" t="str">
        <f>VLOOKUP(C28,'Swiss Registry'!$B$2:$C$703,2,False)</f>
        <v>7 - 2</v>
      </c>
      <c r="E28" s="65"/>
      <c r="F28" s="66"/>
      <c r="G28" s="66"/>
      <c r="H28" s="66"/>
      <c r="I28" s="66"/>
      <c r="J28" s="66"/>
      <c r="K28" s="66"/>
      <c r="L28" s="62" t="s">
        <v>129</v>
      </c>
    </row>
    <row r="29">
      <c r="A29" s="63">
        <v>28.0</v>
      </c>
      <c r="B29" s="63">
        <v>23.0</v>
      </c>
      <c r="C29" s="64" t="str">
        <f>VLOOKUP(B29,'Swiss Registry'!$A$2:$B$703,2,False)</f>
        <v>udm31</v>
      </c>
      <c r="D29" s="65" t="str">
        <f>VLOOKUP(C29,'Swiss Registry'!$B$2:$C$703,2,False)</f>
        <v>7 - 2</v>
      </c>
      <c r="E29" s="65"/>
      <c r="F29" s="66"/>
      <c r="G29" s="66"/>
      <c r="H29" s="66"/>
      <c r="I29" s="66"/>
      <c r="J29" s="66"/>
      <c r="K29" s="66"/>
      <c r="L29" s="62" t="s">
        <v>131</v>
      </c>
    </row>
    <row r="30">
      <c r="A30" s="63">
        <v>29.0</v>
      </c>
      <c r="B30" s="63">
        <v>25.0</v>
      </c>
      <c r="C30" s="64" t="str">
        <f>VLOOKUP(B30,'Swiss Registry'!$A$2:$B$703,2,False)</f>
        <v>JR</v>
      </c>
      <c r="D30" s="65" t="str">
        <f>VLOOKUP(C30,'Swiss Registry'!$B$2:$C$703,2,False)</f>
        <v>7 - 2</v>
      </c>
      <c r="E30" s="65"/>
      <c r="F30" s="66"/>
      <c r="G30" s="66"/>
      <c r="H30" s="66"/>
      <c r="I30" s="66"/>
      <c r="J30" s="66"/>
      <c r="K30" s="66"/>
      <c r="L30" s="62" t="s">
        <v>133</v>
      </c>
    </row>
    <row r="31">
      <c r="A31" s="63">
        <v>30.0</v>
      </c>
      <c r="B31" s="63">
        <v>26.0</v>
      </c>
      <c r="C31" s="64" t="str">
        <f>VLOOKUP(B31,'Swiss Registry'!$A$2:$B$703,2,False)</f>
        <v>keepingiticy</v>
      </c>
      <c r="D31" s="65" t="str">
        <f>VLOOKUP(C31,'Swiss Registry'!$B$2:$C$703,2,False)</f>
        <v>7 - 2</v>
      </c>
      <c r="E31" s="65"/>
      <c r="F31" s="66"/>
      <c r="G31" s="66"/>
      <c r="H31" s="66"/>
      <c r="I31" s="66"/>
      <c r="J31" s="66"/>
      <c r="K31" s="66"/>
      <c r="L31" s="62" t="s">
        <v>135</v>
      </c>
    </row>
    <row r="32">
      <c r="A32" s="63">
        <v>31.0</v>
      </c>
      <c r="B32" s="63">
        <v>27.0</v>
      </c>
      <c r="C32" s="64" t="str">
        <f>VLOOKUP(B32,'Swiss Registry'!$A$2:$B$703,2,False)</f>
        <v>Sheik</v>
      </c>
      <c r="D32" s="65" t="str">
        <f>VLOOKUP(C32,'Swiss Registry'!$B$2:$C$703,2,False)</f>
        <v>8 - 2</v>
      </c>
      <c r="E32" s="65"/>
      <c r="F32" s="66"/>
      <c r="G32" s="66"/>
      <c r="H32" s="66"/>
      <c r="I32" s="66"/>
      <c r="J32" s="66"/>
      <c r="K32" s="66"/>
      <c r="L32" s="62" t="s">
        <v>137</v>
      </c>
    </row>
    <row r="33">
      <c r="A33" s="63">
        <v>32.0</v>
      </c>
      <c r="B33" s="63">
        <v>28.0</v>
      </c>
      <c r="C33" s="64" t="str">
        <f>VLOOKUP(B33,'Swiss Registry'!$A$2:$B$703,2,False)</f>
        <v>Typhoon Carter</v>
      </c>
      <c r="D33" s="65" t="str">
        <f>VLOOKUP(C33,'Swiss Registry'!$B$2:$C$703,2,False)</f>
        <v>7 - 2</v>
      </c>
      <c r="E33" s="65"/>
      <c r="F33" s="66"/>
      <c r="G33" s="66"/>
      <c r="H33" s="66"/>
      <c r="I33" s="66"/>
      <c r="J33" s="66"/>
      <c r="K33" s="66"/>
      <c r="L33" s="62" t="s">
        <v>139</v>
      </c>
    </row>
    <row r="34">
      <c r="A34" s="63">
        <v>33.0</v>
      </c>
      <c r="B34" s="63">
        <v>29.0</v>
      </c>
      <c r="C34" s="69">
        <f>VLOOKUP(B34,'Swiss Registry'!$A$2:$B$703,2,False)</f>
        <v>48</v>
      </c>
      <c r="D34" s="65" t="str">
        <f>VLOOKUP(C34,'Swiss Registry'!$B$2:$C$703,2,False)</f>
        <v>7 - 2</v>
      </c>
      <c r="E34" s="65"/>
      <c r="F34" s="66"/>
      <c r="G34" s="66"/>
      <c r="H34" s="66"/>
      <c r="I34" s="66"/>
      <c r="J34" s="66"/>
      <c r="K34" s="66"/>
      <c r="L34" s="62" t="s">
        <v>140</v>
      </c>
    </row>
    <row r="35">
      <c r="A35" s="63">
        <v>34.0</v>
      </c>
      <c r="B35" s="63">
        <v>30.0</v>
      </c>
      <c r="C35" s="64" t="str">
        <f>VLOOKUP(B35,'Swiss Registry'!$A$2:$B$703,2,False)</f>
        <v>eliandiditagain</v>
      </c>
      <c r="D35" s="65" t="str">
        <f>VLOOKUP(C35,'Swiss Registry'!$B$2:$C$703,2,False)</f>
        <v>7 - 2</v>
      </c>
      <c r="E35" s="65"/>
      <c r="F35" s="66"/>
      <c r="G35" s="66"/>
      <c r="H35" s="66"/>
      <c r="I35" s="66"/>
      <c r="J35" s="66"/>
      <c r="K35" s="66"/>
      <c r="L35" s="62" t="s">
        <v>142</v>
      </c>
    </row>
    <row r="36">
      <c r="A36" s="63">
        <v>35.0</v>
      </c>
      <c r="B36" s="63">
        <v>35.0</v>
      </c>
      <c r="C36" s="64" t="str">
        <f>VLOOKUP(B36,'Swiss Registry'!$A$2:$B$703,2,False)</f>
        <v>Zacpz</v>
      </c>
      <c r="D36" s="65" t="str">
        <f>VLOOKUP(C36,'Swiss Registry'!$B$2:$C$703,2,False)</f>
        <v>7 - 2</v>
      </c>
      <c r="E36" s="65"/>
      <c r="F36" s="66"/>
      <c r="G36" s="66"/>
      <c r="H36" s="66"/>
      <c r="I36" s="66"/>
      <c r="J36" s="66"/>
      <c r="K36" s="66"/>
      <c r="L36" s="62" t="s">
        <v>144</v>
      </c>
    </row>
    <row r="37">
      <c r="A37" s="63">
        <v>36.0</v>
      </c>
      <c r="B37" s="63">
        <v>36.0</v>
      </c>
      <c r="C37" s="64" t="str">
        <f>VLOOKUP(B37,'Swiss Registry'!$A$2:$B$703,2,False)</f>
        <v>Segale</v>
      </c>
      <c r="D37" s="65" t="str">
        <f>VLOOKUP(C37,'Swiss Registry'!$B$2:$C$703,2,False)</f>
        <v>7 - 2</v>
      </c>
      <c r="E37" s="65"/>
      <c r="F37" s="66"/>
      <c r="G37" s="66"/>
      <c r="H37" s="66"/>
      <c r="I37" s="66"/>
      <c r="J37" s="66"/>
      <c r="K37" s="66"/>
      <c r="L37" s="62" t="s">
        <v>146</v>
      </c>
    </row>
    <row r="38">
      <c r="A38" s="63">
        <v>37.0</v>
      </c>
      <c r="B38" s="63">
        <v>42.0</v>
      </c>
      <c r="C38" s="64" t="str">
        <f>VLOOKUP(B38,'Swiss Registry'!$A$2:$B$703,2,False)</f>
        <v>ThisGuyMuks</v>
      </c>
      <c r="D38" s="65" t="str">
        <f>VLOOKUP(C38,'Swiss Registry'!$B$2:$C$703,2,False)</f>
        <v>7 - 2</v>
      </c>
      <c r="E38" s="65"/>
      <c r="F38" s="66"/>
      <c r="G38" s="66"/>
      <c r="H38" s="66"/>
      <c r="I38" s="66"/>
      <c r="J38" s="66"/>
      <c r="K38" s="66"/>
      <c r="L38" s="62" t="s">
        <v>144</v>
      </c>
    </row>
    <row r="39">
      <c r="A39" s="63">
        <v>38.0</v>
      </c>
      <c r="B39" s="63">
        <v>43.0</v>
      </c>
      <c r="C39" s="64" t="str">
        <f>VLOOKUP(B39,'Swiss Registry'!$A$2:$B$703,2,False)</f>
        <v>Christos</v>
      </c>
      <c r="D39" s="65" t="str">
        <f>VLOOKUP(C39,'Swiss Registry'!$B$2:$C$703,2,False)</f>
        <v>7 - 2</v>
      </c>
      <c r="E39" s="65"/>
      <c r="F39" s="66"/>
      <c r="G39" s="66"/>
      <c r="H39" s="66"/>
      <c r="I39" s="66"/>
      <c r="J39" s="66"/>
      <c r="K39" s="66"/>
      <c r="L39" s="62" t="s">
        <v>149</v>
      </c>
    </row>
    <row r="40">
      <c r="A40" s="63">
        <v>39.0</v>
      </c>
      <c r="B40" s="63">
        <v>45.0</v>
      </c>
      <c r="C40" s="64" t="str">
        <f>VLOOKUP(B40,'Swiss Registry'!$A$2:$B$703,2,False)</f>
        <v>DeezCastforms</v>
      </c>
      <c r="D40" s="65" t="str">
        <f>VLOOKUP(C40,'Swiss Registry'!$B$2:$C$703,2,False)</f>
        <v>7 - 2</v>
      </c>
      <c r="E40" s="65"/>
      <c r="F40" s="66"/>
      <c r="G40" s="66"/>
      <c r="H40" s="66"/>
      <c r="I40" s="66"/>
      <c r="J40" s="66"/>
      <c r="K40" s="66"/>
      <c r="L40" s="62" t="s">
        <v>151</v>
      </c>
    </row>
    <row r="41">
      <c r="A41" s="63">
        <v>40.0</v>
      </c>
      <c r="B41" s="63">
        <v>46.0</v>
      </c>
      <c r="C41" s="64" t="str">
        <f>VLOOKUP(B41,'Swiss Registry'!$A$2:$B$703,2,False)</f>
        <v>Zelph</v>
      </c>
      <c r="D41" s="65" t="str">
        <f>VLOOKUP(C41,'Swiss Registry'!$B$2:$C$703,2,False)</f>
        <v>7 - 2</v>
      </c>
      <c r="E41" s="65"/>
      <c r="F41" s="66"/>
      <c r="G41" s="66"/>
      <c r="H41" s="66"/>
      <c r="I41" s="66"/>
      <c r="J41" s="66"/>
      <c r="K41" s="66"/>
      <c r="L41" s="62" t="s">
        <v>153</v>
      </c>
    </row>
    <row r="42">
      <c r="A42" s="63">
        <v>41.0</v>
      </c>
      <c r="B42" s="63">
        <v>47.0</v>
      </c>
      <c r="C42" s="64" t="str">
        <f>VLOOKUP(B42,'Swiss Registry'!$A$2:$B$703,2,False)</f>
        <v>Figull400</v>
      </c>
      <c r="D42" s="65" t="str">
        <f>VLOOKUP(C42,'Swiss Registry'!$B$2:$C$703,2,False)</f>
        <v>7 - 2</v>
      </c>
      <c r="E42" s="65"/>
      <c r="F42" s="66"/>
      <c r="G42" s="66"/>
      <c r="H42" s="66"/>
      <c r="I42" s="66"/>
      <c r="J42" s="66"/>
      <c r="K42" s="66"/>
      <c r="L42" s="62" t="s">
        <v>155</v>
      </c>
    </row>
    <row r="43">
      <c r="A43" s="63">
        <v>42.0</v>
      </c>
      <c r="B43" s="63">
        <v>48.0</v>
      </c>
      <c r="C43" s="64" t="str">
        <f>VLOOKUP(B43,'Swiss Registry'!$A$2:$B$703,2,False)</f>
        <v>Don Tonionie</v>
      </c>
      <c r="D43" s="65" t="str">
        <f>VLOOKUP(C43,'Swiss Registry'!$B$2:$C$703,2,False)</f>
        <v>7 - 2</v>
      </c>
      <c r="E43" s="65"/>
      <c r="F43" s="66"/>
      <c r="G43" s="66"/>
      <c r="H43" s="66"/>
      <c r="I43" s="66"/>
      <c r="J43" s="66"/>
      <c r="K43" s="66"/>
      <c r="L43" s="62" t="s">
        <v>157</v>
      </c>
    </row>
    <row r="44">
      <c r="A44" s="63">
        <v>43.0</v>
      </c>
      <c r="B44" s="63">
        <v>55.0</v>
      </c>
      <c r="C44" s="64" t="str">
        <f>VLOOKUP(B44,'Swiss Registry'!$A$2:$B$703,2,False)</f>
        <v>Kai (aplgd)</v>
      </c>
      <c r="D44" s="65" t="str">
        <f>VLOOKUP(C44,'Swiss Registry'!$B$2:$C$703,2,False)</f>
        <v>7 - 2</v>
      </c>
      <c r="E44" s="65"/>
      <c r="F44" s="66"/>
      <c r="G44" s="66"/>
      <c r="H44" s="66"/>
      <c r="I44" s="66"/>
      <c r="J44" s="66"/>
      <c r="K44" s="66"/>
      <c r="L44" s="62" t="s">
        <v>159</v>
      </c>
    </row>
    <row r="45">
      <c r="A45" s="63">
        <v>44.0</v>
      </c>
      <c r="B45" s="63">
        <v>56.0</v>
      </c>
      <c r="C45" s="64" t="str">
        <f>VLOOKUP(B45,'Swiss Registry'!$A$2:$B$703,2,False)</f>
        <v>Vayun</v>
      </c>
      <c r="D45" s="65" t="str">
        <f>VLOOKUP(C45,'Swiss Registry'!$B$2:$C$703,2,False)</f>
        <v>7 - 2</v>
      </c>
      <c r="E45" s="65"/>
      <c r="F45" s="66"/>
      <c r="G45" s="66"/>
      <c r="H45" s="66"/>
      <c r="I45" s="66"/>
      <c r="J45" s="66"/>
      <c r="K45" s="66"/>
      <c r="L45" s="62" t="s">
        <v>161</v>
      </c>
    </row>
    <row r="46">
      <c r="A46" s="63">
        <v>45.0</v>
      </c>
      <c r="B46" s="63">
        <v>60.0</v>
      </c>
      <c r="C46" s="64" t="str">
        <f>VLOOKUP(B46,'Swiss Registry'!$A$2:$B$703,2,False)</f>
        <v>Exiline</v>
      </c>
      <c r="D46" s="65" t="str">
        <f>VLOOKUP(C46,'Swiss Registry'!$B$2:$C$703,2,False)</f>
        <v>7 - 2</v>
      </c>
      <c r="E46" s="65"/>
      <c r="F46" s="66"/>
      <c r="G46" s="66"/>
      <c r="H46" s="66"/>
      <c r="I46" s="66"/>
      <c r="J46" s="66"/>
      <c r="K46" s="66"/>
      <c r="L46" s="62" t="s">
        <v>163</v>
      </c>
    </row>
    <row r="47">
      <c r="A47" s="63">
        <v>46.0</v>
      </c>
      <c r="B47" s="63">
        <v>64.0</v>
      </c>
      <c r="C47" s="64" t="str">
        <f>VLOOKUP(B47,'Swiss Registry'!$A$2:$B$703,2,False)</f>
        <v>xGangg</v>
      </c>
      <c r="D47" s="65" t="str">
        <f>VLOOKUP(C47,'Swiss Registry'!$B$2:$C$703,2,False)</f>
        <v>7 - 2</v>
      </c>
      <c r="E47" s="65"/>
      <c r="F47" s="66"/>
      <c r="G47" s="66"/>
      <c r="H47" s="66"/>
      <c r="I47" s="66"/>
      <c r="J47" s="66"/>
      <c r="K47" s="66"/>
      <c r="L47" s="62" t="s">
        <v>165</v>
      </c>
    </row>
    <row r="48">
      <c r="A48" s="63">
        <v>47.0</v>
      </c>
      <c r="B48" s="63">
        <v>66.0</v>
      </c>
      <c r="C48" s="64" t="str">
        <f>VLOOKUP(B48,'Swiss Registry'!$A$2:$B$703,2,False)</f>
        <v>Mackenzie</v>
      </c>
      <c r="D48" s="65" t="str">
        <f>VLOOKUP(C48,'Swiss Registry'!$B$2:$C$703,2,False)</f>
        <v>7 - 2</v>
      </c>
      <c r="E48" s="65"/>
      <c r="F48" s="66"/>
      <c r="G48" s="66"/>
      <c r="H48" s="66"/>
      <c r="I48" s="66"/>
      <c r="J48" s="66"/>
      <c r="K48" s="66"/>
      <c r="L48" s="62" t="s">
        <v>167</v>
      </c>
    </row>
    <row r="49">
      <c r="A49" s="63">
        <v>48.0</v>
      </c>
      <c r="B49" s="63">
        <v>70.0</v>
      </c>
      <c r="C49" s="64" t="str">
        <f>VLOOKUP(B49,'Swiss Registry'!$A$2:$B$703,2,False)</f>
        <v>H&gt;L</v>
      </c>
      <c r="D49" s="65" t="str">
        <f>VLOOKUP(C49,'Swiss Registry'!$B$2:$C$703,2,False)</f>
        <v>7 - 2</v>
      </c>
      <c r="E49" s="65"/>
      <c r="F49" s="66"/>
      <c r="G49" s="66"/>
      <c r="H49" s="66"/>
      <c r="I49" s="66"/>
      <c r="J49" s="66"/>
      <c r="K49" s="66"/>
      <c r="L49" s="62" t="s">
        <v>169</v>
      </c>
    </row>
    <row r="50">
      <c r="A50" s="63">
        <v>49.0</v>
      </c>
      <c r="B50" s="63">
        <v>77.0</v>
      </c>
      <c r="C50" s="64" t="str">
        <f>VLOOKUP(B50,'Swiss Registry'!$A$2:$B$703,2,False)</f>
        <v>Churi</v>
      </c>
      <c r="D50" s="65" t="str">
        <f>VLOOKUP(C50,'Swiss Registry'!$B$2:$C$703,2,False)</f>
        <v>7 - 2</v>
      </c>
      <c r="E50" s="65"/>
      <c r="F50" s="66"/>
      <c r="G50" s="66"/>
      <c r="H50" s="66"/>
      <c r="I50" s="66"/>
      <c r="J50" s="66"/>
      <c r="K50" s="66"/>
      <c r="L50" s="62" t="s">
        <v>171</v>
      </c>
    </row>
    <row r="51">
      <c r="A51" s="63">
        <v>50.0</v>
      </c>
      <c r="B51" s="63">
        <v>78.0</v>
      </c>
      <c r="C51" s="64" t="str">
        <f>VLOOKUP(B51,'Swiss Registry'!$A$2:$B$703,2,False)</f>
        <v>OOF_MAXIMA</v>
      </c>
      <c r="D51" s="65" t="str">
        <f>VLOOKUP(C51,'Swiss Registry'!$B$2:$C$703,2,False)</f>
        <v>7 - 2</v>
      </c>
      <c r="E51" s="65"/>
      <c r="F51" s="66"/>
      <c r="G51" s="66"/>
      <c r="H51" s="66"/>
      <c r="I51" s="66"/>
      <c r="J51" s="66"/>
      <c r="K51" s="66"/>
      <c r="L51" s="62" t="s">
        <v>173</v>
      </c>
    </row>
    <row r="52">
      <c r="A52" s="63">
        <v>51.0</v>
      </c>
      <c r="B52" s="63">
        <v>85.0</v>
      </c>
      <c r="C52" s="64" t="str">
        <f>VLOOKUP(B52,'Swiss Registry'!$A$2:$B$703,2,False)</f>
        <v>Cyberas</v>
      </c>
      <c r="D52" s="65" t="str">
        <f>VLOOKUP(C52,'Swiss Registry'!$B$2:$C$703,2,False)</f>
        <v>7 - 2</v>
      </c>
      <c r="E52" s="65"/>
      <c r="F52" s="66"/>
      <c r="G52" s="66"/>
      <c r="H52" s="66"/>
      <c r="I52" s="66"/>
      <c r="J52" s="66"/>
      <c r="K52" s="66"/>
      <c r="L52" s="62" t="s">
        <v>175</v>
      </c>
    </row>
    <row r="53">
      <c r="A53" s="63">
        <v>52.0</v>
      </c>
      <c r="B53" s="63">
        <v>95.0</v>
      </c>
      <c r="C53" s="64" t="str">
        <f>VLOOKUP(B53,'Swiss Registry'!$A$2:$B$703,2,False)</f>
        <v>Otto</v>
      </c>
      <c r="D53" s="65" t="str">
        <f>VLOOKUP(C53,'Swiss Registry'!$B$2:$C$703,2,False)</f>
        <v>7 - 2</v>
      </c>
      <c r="E53" s="65"/>
      <c r="F53" s="66"/>
      <c r="G53" s="66"/>
      <c r="H53" s="66"/>
      <c r="I53" s="66"/>
      <c r="J53" s="66"/>
      <c r="K53" s="66"/>
      <c r="L53" s="62" t="s">
        <v>177</v>
      </c>
    </row>
    <row r="54">
      <c r="A54" s="63">
        <v>53.0</v>
      </c>
      <c r="B54" s="63">
        <v>100.0</v>
      </c>
      <c r="C54" s="64" t="str">
        <f>VLOOKUP(B54,'Swiss Registry'!$A$2:$B$703,2,False)</f>
        <v>Zinc</v>
      </c>
      <c r="D54" s="65" t="str">
        <f>VLOOKUP(C54,'Swiss Registry'!$B$2:$C$703,2,False)</f>
        <v>7 - 2</v>
      </c>
      <c r="E54" s="65"/>
      <c r="F54" s="66"/>
      <c r="G54" s="66"/>
      <c r="H54" s="66"/>
      <c r="I54" s="66"/>
      <c r="J54" s="66"/>
      <c r="K54" s="66"/>
      <c r="L54" s="62" t="s">
        <v>179</v>
      </c>
    </row>
    <row r="55">
      <c r="A55" s="63">
        <v>54.0</v>
      </c>
      <c r="B55" s="63">
        <v>113.0</v>
      </c>
      <c r="C55" s="64" t="str">
        <f>VLOOKUP(B55,'Swiss Registry'!$A$2:$B$703,2,False)</f>
        <v>annuit99</v>
      </c>
      <c r="D55" s="65" t="str">
        <f>VLOOKUP(C55,'Swiss Registry'!$B$2:$C$703,2,False)</f>
        <v>7 - 2</v>
      </c>
      <c r="E55" s="65"/>
      <c r="F55" s="66"/>
      <c r="G55" s="66"/>
      <c r="H55" s="66"/>
      <c r="I55" s="66"/>
      <c r="J55" s="66"/>
      <c r="K55" s="66"/>
      <c r="L55" s="62" t="s">
        <v>181</v>
      </c>
    </row>
    <row r="56">
      <c r="A56" s="63">
        <v>55.0</v>
      </c>
      <c r="B56" s="63">
        <v>120.0</v>
      </c>
      <c r="C56" s="64" t="str">
        <f>VLOOKUP(B56,'Swiss Registry'!$A$2:$B$703,2,False)</f>
        <v>dicerat8</v>
      </c>
      <c r="D56" s="65" t="str">
        <f>VLOOKUP(C56,'Swiss Registry'!$B$2:$C$703,2,False)</f>
        <v>7 - 2</v>
      </c>
      <c r="E56" s="65"/>
      <c r="F56" s="66"/>
      <c r="G56" s="66"/>
      <c r="H56" s="66"/>
      <c r="I56" s="66"/>
      <c r="J56" s="66"/>
      <c r="K56" s="66"/>
      <c r="L56" s="62" t="s">
        <v>183</v>
      </c>
    </row>
    <row r="57">
      <c r="A57" s="63">
        <v>56.0</v>
      </c>
      <c r="B57" s="63">
        <v>177.0</v>
      </c>
      <c r="C57" s="64" t="str">
        <f>VLOOKUP(B57,'Swiss Registry'!$A$2:$B$703,2,False)</f>
        <v>tree69420</v>
      </c>
      <c r="D57" s="65" t="str">
        <f>VLOOKUP(C57,'Swiss Registry'!$B$2:$C$703,2,False)</f>
        <v>7 - 2</v>
      </c>
      <c r="E57" s="65"/>
      <c r="F57" s="66"/>
      <c r="G57" s="66"/>
      <c r="H57" s="66"/>
      <c r="I57" s="66"/>
      <c r="J57" s="66"/>
      <c r="K57" s="66"/>
      <c r="L57" s="62" t="s">
        <v>185</v>
      </c>
    </row>
    <row r="58">
      <c r="A58" s="63">
        <v>57.0</v>
      </c>
      <c r="B58" s="63">
        <v>184.0</v>
      </c>
      <c r="C58" s="64" t="str">
        <f>VLOOKUP(B58,'Swiss Registry'!$A$2:$B$703,2,False)</f>
        <v>Skarpherim</v>
      </c>
      <c r="D58" s="65" t="str">
        <f>VLOOKUP(C58,'Swiss Registry'!$B$2:$C$703,2,False)</f>
        <v>7 - 2</v>
      </c>
      <c r="E58" s="65"/>
      <c r="F58" s="66"/>
      <c r="G58" s="66"/>
      <c r="H58" s="66"/>
      <c r="I58" s="66"/>
      <c r="J58" s="66"/>
      <c r="K58" s="66"/>
      <c r="L58" s="62" t="s">
        <v>187</v>
      </c>
    </row>
    <row r="59">
      <c r="A59" s="63">
        <v>58.0</v>
      </c>
      <c r="B59" s="63">
        <v>269.0</v>
      </c>
      <c r="C59" s="64" t="str">
        <f>VLOOKUP(B59,'Swiss Registry'!$A$2:$B$703,2,False)</f>
        <v>monchooo</v>
      </c>
      <c r="D59" s="65" t="str">
        <f>VLOOKUP(C59,'Swiss Registry'!$B$2:$C$703,2,False)</f>
        <v>7 - 2</v>
      </c>
      <c r="E59" s="65"/>
      <c r="F59" s="66"/>
      <c r="G59" s="66"/>
      <c r="H59" s="66"/>
      <c r="I59" s="66"/>
      <c r="J59" s="66"/>
      <c r="K59" s="66"/>
      <c r="L59" s="62" t="s">
        <v>189</v>
      </c>
    </row>
    <row r="60">
      <c r="A60" s="63">
        <v>59.0</v>
      </c>
      <c r="B60" s="63">
        <v>325.0</v>
      </c>
      <c r="C60" s="64" t="str">
        <f>VLOOKUP(B60,'Swiss Registry'!$A$2:$B$703,2,False)</f>
        <v>secondari</v>
      </c>
      <c r="D60" s="65" t="str">
        <f>VLOOKUP(C60,'Swiss Registry'!$B$2:$C$703,2,False)</f>
        <v>7 - 2</v>
      </c>
      <c r="E60" s="65"/>
      <c r="F60" s="66"/>
      <c r="G60" s="66"/>
      <c r="H60" s="66"/>
      <c r="I60" s="66"/>
      <c r="J60" s="66"/>
      <c r="K60" s="66"/>
      <c r="L60" s="62" t="s">
        <v>191</v>
      </c>
    </row>
    <row r="61">
      <c r="A61" s="63">
        <v>60.0</v>
      </c>
      <c r="B61" s="63">
        <v>354.0</v>
      </c>
      <c r="C61" s="64" t="str">
        <f>VLOOKUP(B61,'Swiss Registry'!$A$2:$B$703,2,False)</f>
        <v>grahamsandwich</v>
      </c>
      <c r="D61" s="65" t="str">
        <f>VLOOKUP(C61,'Swiss Registry'!$B$2:$C$703,2,False)</f>
        <v>7 - 3</v>
      </c>
      <c r="E61" s="65"/>
      <c r="F61" s="66"/>
      <c r="G61" s="66"/>
      <c r="H61" s="66"/>
      <c r="I61" s="66"/>
      <c r="J61" s="66"/>
      <c r="K61" s="66"/>
      <c r="L61" s="62" t="s">
        <v>193</v>
      </c>
    </row>
    <row r="62">
      <c r="A62" s="63">
        <v>61.0</v>
      </c>
      <c r="B62" s="63">
        <v>471.0</v>
      </c>
      <c r="C62" s="64" t="str">
        <f>VLOOKUP(B62,'Swiss Registry'!$A$2:$B$703,2,False)</f>
        <v>Sificon</v>
      </c>
      <c r="D62" s="65" t="str">
        <f>VLOOKUP(C62,'Swiss Registry'!$B$2:$C$703,2,False)</f>
        <v>7 - 2</v>
      </c>
      <c r="E62" s="65"/>
      <c r="F62" s="66"/>
      <c r="G62" s="66"/>
      <c r="H62" s="66"/>
      <c r="I62" s="66"/>
      <c r="J62" s="66"/>
      <c r="K62" s="66"/>
      <c r="L62" s="62" t="s">
        <v>195</v>
      </c>
    </row>
    <row r="63">
      <c r="A63" s="63">
        <v>62.0</v>
      </c>
      <c r="B63" s="63">
        <v>517.0</v>
      </c>
      <c r="C63" s="64" t="str">
        <f>VLOOKUP(B63,'Swiss Registry'!$A$2:$B$703,2,False)</f>
        <v>oskari1707</v>
      </c>
      <c r="D63" s="65" t="str">
        <f>VLOOKUP(C63,'Swiss Registry'!$B$2:$C$703,2,False)</f>
        <v>7 - 2</v>
      </c>
      <c r="E63" s="65"/>
      <c r="F63" s="66"/>
      <c r="G63" s="66"/>
      <c r="H63" s="66"/>
      <c r="I63" s="66"/>
      <c r="J63" s="66"/>
      <c r="K63" s="66"/>
      <c r="L63" s="62" t="s">
        <v>197</v>
      </c>
    </row>
    <row r="64">
      <c r="A64" s="63">
        <v>63.0</v>
      </c>
      <c r="B64" s="63">
        <v>547.0</v>
      </c>
      <c r="C64" s="64" t="str">
        <f>VLOOKUP(B64,'Swiss Registry'!$A$2:$B$703,2,False)</f>
        <v>lexi.pup</v>
      </c>
      <c r="D64" s="65" t="str">
        <f>VLOOKUP(C64,'Swiss Registry'!$B$2:$C$703,2,False)</f>
        <v>7 - 2</v>
      </c>
      <c r="E64" s="65"/>
      <c r="F64" s="66"/>
      <c r="G64" s="66"/>
      <c r="H64" s="66"/>
      <c r="I64" s="66"/>
      <c r="J64" s="66"/>
      <c r="K64" s="66"/>
      <c r="L64" s="62" t="s">
        <v>199</v>
      </c>
    </row>
    <row r="65">
      <c r="A65" s="63">
        <v>64.0</v>
      </c>
      <c r="B65" s="63">
        <v>599.0</v>
      </c>
      <c r="C65" s="64" t="str">
        <f>VLOOKUP(B65,'Swiss Registry'!$A$2:$B$703,2,False)</f>
        <v>Klird</v>
      </c>
      <c r="D65" s="65" t="str">
        <f>VLOOKUP(C65,'Swiss Registry'!$B$2:$C$703,2,False)</f>
        <v>7 - 2</v>
      </c>
      <c r="E65" s="65"/>
      <c r="F65" s="66"/>
      <c r="G65" s="66"/>
      <c r="H65" s="66"/>
      <c r="I65" s="66"/>
      <c r="J65" s="66"/>
      <c r="K65" s="66"/>
      <c r="L65" s="62" t="s">
        <v>201</v>
      </c>
    </row>
    <row r="66">
      <c r="A66" s="63">
        <v>65.0</v>
      </c>
      <c r="B66" s="63">
        <v>640.0</v>
      </c>
      <c r="C66" s="64" t="str">
        <f>VLOOKUP(B66,'Swiss Registry'!$A$2:$B$703,2,False)</f>
        <v>@spreek</v>
      </c>
      <c r="D66" s="65" t="str">
        <f>VLOOKUP(C66,'Swiss Registry'!$B$2:$C$703,2,False)</f>
        <v>7 - 2</v>
      </c>
      <c r="E66" s="65"/>
      <c r="F66" s="66"/>
      <c r="G66" s="66"/>
      <c r="H66" s="66"/>
      <c r="I66" s="66"/>
      <c r="J66" s="66"/>
      <c r="K66" s="66"/>
      <c r="L66" s="62" t="s">
        <v>203</v>
      </c>
    </row>
    <row r="67">
      <c r="A67" s="63">
        <v>66.0</v>
      </c>
      <c r="B67" s="63">
        <v>698.0</v>
      </c>
      <c r="C67" s="64" t="str">
        <f>VLOOKUP(B67,'Swiss Registry'!$A$2:$B$703,2,False)</f>
        <v>jankcity</v>
      </c>
      <c r="D67" s="65" t="str">
        <f>VLOOKUP(C67,'Swiss Registry'!$B$2:$C$703,2,False)</f>
        <v>7 - 2</v>
      </c>
      <c r="E67" s="65"/>
      <c r="F67" s="66"/>
      <c r="G67" s="66"/>
      <c r="H67" s="66"/>
      <c r="I67" s="66"/>
      <c r="J67" s="66"/>
      <c r="K67" s="66"/>
      <c r="L67" s="62" t="s">
        <v>205</v>
      </c>
    </row>
  </sheetData>
  <customSheetViews>
    <customSheetView guid="{AF201F68-3A2C-4912-A179-7128AEFE80D3}" filter="1" showAutoFilter="1">
      <autoFilter ref="$B$1:$C$67"/>
    </customSheetView>
    <customSheetView guid="{E4151595-7793-49E0-AAF1-42441FFD5C39}" filter="1" showAutoFilter="1">
      <autoFilter ref="$B$1:$C$67"/>
    </customSheetView>
    <customSheetView guid="{D468414C-A6AE-4F88-8204-055F8E51B061}" filter="1" showAutoFilter="1">
      <autoFilter ref="$B$1:$C$67"/>
    </customSheetView>
    <customSheetView guid="{7F17E550-16AE-4095-AAAB-E7617E3507E3}" filter="1" showAutoFilter="1">
      <autoFilter ref="$B$1:$C$67"/>
    </customSheetView>
  </customSheetViews>
  <conditionalFormatting sqref="F2:K67">
    <cfRule type="cellIs" dxfId="2" priority="1" operator="equal">
      <formula>"W"</formula>
    </cfRule>
  </conditionalFormatting>
  <conditionalFormatting sqref="F2:K67">
    <cfRule type="cellIs" dxfId="3" priority="2" operator="equal">
      <formula>"L"</formula>
    </cfRule>
  </conditionalFormatting>
  <conditionalFormatting sqref="F2:K67">
    <cfRule type="notContainsText" dxfId="4" priority="3" operator="notContains" text="W, L">
      <formula>ISERROR(SEARCH(("W, L"),(F2)))</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3.63"/>
    <col customWidth="1" hidden="1" min="9" max="10" width="21.13"/>
  </cols>
  <sheetData>
    <row r="1">
      <c r="A1" s="153"/>
      <c r="B1" s="119" t="s">
        <v>1454</v>
      </c>
      <c r="C1" s="134" t="s">
        <v>3216</v>
      </c>
      <c r="D1" s="77"/>
      <c r="E1" s="78"/>
      <c r="F1" s="120" t="s">
        <v>1454</v>
      </c>
      <c r="G1" s="118"/>
      <c r="H1" s="135"/>
      <c r="I1" s="136" t="s">
        <v>1768</v>
      </c>
      <c r="J1" s="137" t="s">
        <v>1769</v>
      </c>
    </row>
    <row r="2" ht="15.0" customHeight="1">
      <c r="A2" s="122"/>
      <c r="B2" s="122"/>
      <c r="C2" s="123"/>
      <c r="D2" s="138" t="s">
        <v>3217</v>
      </c>
      <c r="E2" s="123"/>
      <c r="F2" s="122"/>
      <c r="G2" s="124"/>
      <c r="H2" s="83"/>
      <c r="I2" s="139"/>
      <c r="J2" s="139"/>
    </row>
    <row r="3">
      <c r="A3" s="64">
        <v>527.0</v>
      </c>
      <c r="B3" s="64" t="str">
        <f>VLOOKUP(A3,'Swiss Registry'!$A$2:$B$703,2,False)</f>
        <v>cepulo</v>
      </c>
      <c r="C3" s="111" t="str">
        <f t="shared" ref="C3:C18" si="1">IF(H3="dead","",IF(H3="a:act","",IF(H3="b:act","",IF(ISURL(HYPERLINK(INDIRECT("Importer!B"&amp;MID(H3,2,4)+1,TRUE))),HYPERLINK(INDIRECT("Importer!B"&amp;MID(H3,2,4)+1,TRUE), "Game 1"),""))))</f>
        <v/>
      </c>
      <c r="D3" s="112" t="str">
        <f t="shared" ref="D3:D18" si="2">IF(H3="dead","Dead Game",IF(H3="a:act","Act: "&amp;B3,IF(H3="b:act","Act: "&amp;F3,IF(ISURL(HYPERLINK(INDIRECT("Importer!B"&amp;MID(H3,6,4)+1,TRUE))),HYPERLINK(INDIRECT("Importer!B"&amp;MID(H3,6,4)+1,TRUE), "Game 2"),""))))</f>
        <v/>
      </c>
      <c r="E3" s="107" t="str">
        <f t="shared" ref="E3:E18" si="3">IF(H3="dead","",IF(H3="a:act","",IF(H3="b:act","",IF(ISURL(HYPERLINK(INDIRECT("Importer!B"&amp;MID(H3,10,4)+1,TRUE))),HYPERLINK(INDIRECT("Importer!B"&amp;MID(H3,10,4)+1,TRUE), "Game 3"),""))))</f>
        <v/>
      </c>
      <c r="F3" s="125" t="str">
        <f>VLOOKUP(G3,'Swiss Registry'!$A$2:$B$703,2,False)</f>
        <v>Voyager</v>
      </c>
      <c r="G3" s="64">
        <v>14.0</v>
      </c>
      <c r="H3" s="93"/>
      <c r="I3" s="141" t="str">
        <f t="array" ref="I3">XLOOKUP(CELL("contents",B3),'Swiss Registry'!$B$2:$B$703,'Swiss Registry'!$N$2:$N$703) </f>
        <v>1223051167505059850</v>
      </c>
      <c r="J3" s="142" t="str">
        <f t="array" ref="J3">XLOOKUP(CELL("contents",F3),'Swiss Registry'!$B$2:$B$703,'Swiss Registry'!$N$2:$N$703) </f>
        <v>554730792488534056</v>
      </c>
    </row>
    <row r="4">
      <c r="A4" s="64">
        <v>3.0</v>
      </c>
      <c r="B4" s="125" t="str">
        <f>VLOOKUP(A4,'Swiss Registry'!$A$2:$B$703,2,False)</f>
        <v>Triangles</v>
      </c>
      <c r="C4" s="111" t="str">
        <f t="shared" si="1"/>
        <v/>
      </c>
      <c r="D4" s="112" t="str">
        <f t="shared" si="2"/>
        <v/>
      </c>
      <c r="E4" s="107" t="str">
        <f t="shared" si="3"/>
        <v/>
      </c>
      <c r="F4" s="125" t="str">
        <f>VLOOKUP(G4,'Swiss Registry'!$A$2:$B$703,2,False)</f>
        <v>Alargemongoose</v>
      </c>
      <c r="G4" s="64">
        <v>226.0</v>
      </c>
      <c r="H4" s="93"/>
      <c r="I4" s="141" t="str">
        <f t="array" ref="I4">XLOOKUP(CELL("contents",B4),'Swiss Registry'!$B$2:$B$703,'Swiss Registry'!$N$2:$N$703) </f>
        <v>587394354725912717</v>
      </c>
      <c r="J4" s="142" t="str">
        <f t="array" ref="J4">XLOOKUP(CELL("contents",F4),'Swiss Registry'!$B$2:$B$703,'Swiss Registry'!$N$2:$N$703) </f>
        <v>646736314645086228</v>
      </c>
    </row>
    <row r="5">
      <c r="A5" s="64">
        <v>6.0</v>
      </c>
      <c r="B5" s="125" t="str">
        <f>VLOOKUP(A5,'Swiss Registry'!$A$2:$B$703,2,False)</f>
        <v>Fear</v>
      </c>
      <c r="C5" s="111" t="str">
        <f t="shared" si="1"/>
        <v/>
      </c>
      <c r="D5" s="112" t="str">
        <f t="shared" si="2"/>
        <v/>
      </c>
      <c r="E5" s="107" t="str">
        <f t="shared" si="3"/>
        <v/>
      </c>
      <c r="F5" s="125" t="str">
        <f>VLOOKUP(G5,'Swiss Registry'!$A$2:$B$703,2,False)</f>
        <v>xXEricXx</v>
      </c>
      <c r="G5" s="64">
        <v>74.0</v>
      </c>
      <c r="H5" s="93"/>
      <c r="I5" s="141" t="str">
        <f t="array" ref="I5">XLOOKUP(CELL("contents",B5),'Swiss Registry'!$B$2:$B$703,'Swiss Registry'!$N$2:$N$703) </f>
        <v>125981893828149248</v>
      </c>
      <c r="J5" s="142" t="str">
        <f t="array" ref="J5">XLOOKUP(CELL("contents",F5),'Swiss Registry'!$B$2:$B$703,'Swiss Registry'!$N$2:$N$703) </f>
        <v>188804001054064640</v>
      </c>
    </row>
    <row r="6">
      <c r="A6" s="64">
        <v>9.0</v>
      </c>
      <c r="B6" s="125" t="str">
        <f>VLOOKUP(A6,'Swiss Registry'!$A$2:$B$703,2,False)</f>
        <v>Kollin</v>
      </c>
      <c r="C6" s="111" t="str">
        <f t="shared" si="1"/>
        <v/>
      </c>
      <c r="D6" s="112" t="str">
        <f t="shared" si="2"/>
        <v/>
      </c>
      <c r="E6" s="107" t="str">
        <f t="shared" si="3"/>
        <v/>
      </c>
      <c r="F6" s="125" t="str">
        <f>VLOOKUP(G6,'Swiss Registry'!$A$2:$B$703,2,False)</f>
        <v>Amir (lordamir &amp; lordamir2)</v>
      </c>
      <c r="G6" s="64">
        <v>157.0</v>
      </c>
      <c r="H6" s="93"/>
      <c r="I6" s="141" t="str">
        <f t="array" ref="I6">XLOOKUP(CELL("contents",B6),'Swiss Registry'!$B$2:$B$703,'Swiss Registry'!$N$2:$N$703) </f>
        <v>83000775151714304</v>
      </c>
      <c r="J6" s="142" t="str">
        <f t="array" ref="J6">XLOOKUP(CELL("contents",F6),'Swiss Registry'!$B$2:$B$703,'Swiss Registry'!$N$2:$N$703) </f>
        <v>480949875953893376</v>
      </c>
    </row>
    <row r="7">
      <c r="A7" s="64">
        <v>12.0</v>
      </c>
      <c r="B7" s="125" t="str">
        <f>VLOOKUP(A7,'Swiss Registry'!$A$2:$B$703,2,False)</f>
        <v>Pak</v>
      </c>
      <c r="C7" s="111" t="str">
        <f t="shared" si="1"/>
        <v/>
      </c>
      <c r="D7" s="112" t="str">
        <f t="shared" si="2"/>
        <v/>
      </c>
      <c r="E7" s="107" t="str">
        <f t="shared" si="3"/>
        <v/>
      </c>
      <c r="F7" s="125" t="str">
        <f>VLOOKUP(G7,'Swiss Registry'!$A$2:$B$703,2,False)</f>
        <v>Alice</v>
      </c>
      <c r="G7" s="64">
        <v>69.0</v>
      </c>
      <c r="H7" s="93"/>
      <c r="I7" s="141" t="str">
        <f t="array" ref="I7">XLOOKUP(CELL("contents",B7),'Swiss Registry'!$B$2:$B$703,'Swiss Registry'!$N$2:$N$703) </f>
        <v>172884622986706945</v>
      </c>
      <c r="J7" s="142" t="str">
        <f t="array" ref="J7">XLOOKUP(CELL("contents",F7),'Swiss Registry'!$B$2:$B$703,'Swiss Registry'!$N$2:$N$703) </f>
        <v>236760957034954753</v>
      </c>
    </row>
    <row r="8">
      <c r="A8" s="64">
        <v>16.0</v>
      </c>
      <c r="B8" s="125" t="str">
        <f>VLOOKUP(A8,'Swiss Registry'!$A$2:$B$703,2,False)</f>
        <v>Mielke</v>
      </c>
      <c r="C8" s="111" t="str">
        <f t="shared" si="1"/>
        <v/>
      </c>
      <c r="D8" s="112" t="str">
        <f t="shared" si="2"/>
        <v/>
      </c>
      <c r="E8" s="107" t="str">
        <f t="shared" si="3"/>
        <v/>
      </c>
      <c r="F8" s="125" t="str">
        <f>VLOOKUP(G8,'Swiss Registry'!$A$2:$B$703,2,False)</f>
        <v>Zpanther</v>
      </c>
      <c r="G8" s="64">
        <v>61.0</v>
      </c>
      <c r="H8" s="93"/>
      <c r="I8" s="141" t="str">
        <f t="array" ref="I8">XLOOKUP(CELL("contents",B8),'Swiss Registry'!$B$2:$B$703,'Swiss Registry'!$N$2:$N$703) </f>
        <v>324650949371232257</v>
      </c>
      <c r="J8" s="142" t="str">
        <f t="array" ref="J8">XLOOKUP(CELL("contents",F8),'Swiss Registry'!$B$2:$B$703,'Swiss Registry'!$N$2:$N$703) </f>
        <v>884609024937574432</v>
      </c>
    </row>
    <row r="9">
      <c r="A9" s="64">
        <v>39.0</v>
      </c>
      <c r="B9" s="125" t="str">
        <f>VLOOKUP(A9,'Swiss Registry'!$A$2:$B$703,2,False)</f>
        <v>earlgr3y</v>
      </c>
      <c r="C9" s="111" t="str">
        <f t="shared" si="1"/>
        <v/>
      </c>
      <c r="D9" s="112" t="str">
        <f t="shared" si="2"/>
        <v/>
      </c>
      <c r="E9" s="107" t="str">
        <f t="shared" si="3"/>
        <v/>
      </c>
      <c r="F9" s="125" t="str">
        <f>VLOOKUP(G9,'Swiss Registry'!$A$2:$B$703,2,False)</f>
        <v>Bhol</v>
      </c>
      <c r="G9" s="64">
        <v>49.0</v>
      </c>
      <c r="H9" s="93"/>
      <c r="I9" s="141" t="str">
        <f t="array" ref="I9">XLOOKUP(CELL("contents",B9),'Swiss Registry'!$B$2:$B$703,'Swiss Registry'!$N$2:$N$703) </f>
        <v>1058405539903713330</v>
      </c>
      <c r="J9" s="142" t="str">
        <f t="array" ref="J9">XLOOKUP(CELL("contents",F9),'Swiss Registry'!$B$2:$B$703,'Swiss Registry'!$N$2:$N$703) </f>
        <v>708350647879335966</v>
      </c>
    </row>
    <row r="10">
      <c r="A10" s="64">
        <v>1.0</v>
      </c>
      <c r="B10" s="125" t="str">
        <f>VLOOKUP(A10,'Swiss Registry'!$A$2:$B$703,2,False)</f>
        <v>Fakes</v>
      </c>
      <c r="C10" s="111" t="str">
        <f t="shared" si="1"/>
        <v/>
      </c>
      <c r="D10" s="112" t="str">
        <f t="shared" si="2"/>
        <v/>
      </c>
      <c r="E10" s="107" t="str">
        <f t="shared" si="3"/>
        <v/>
      </c>
      <c r="F10" s="125" t="str">
        <f>VLOOKUP(G10,'Swiss Registry'!$A$2:$B$703,2,False)</f>
        <v>Klird</v>
      </c>
      <c r="G10" s="64">
        <v>599.0</v>
      </c>
      <c r="H10" s="93"/>
      <c r="I10" s="141" t="str">
        <f t="array" ref="I10">XLOOKUP(CELL("contents",B10),'Swiss Registry'!$B$2:$B$703,'Swiss Registry'!$N$2:$N$703) </f>
        <v>917864414269550693</v>
      </c>
      <c r="J10" s="142" t="str">
        <f t="array" ref="J10">XLOOKUP(CELL("contents",F10),'Swiss Registry'!$B$2:$B$703,'Swiss Registry'!$N$2:$N$703) </f>
        <v>393218478187741186</v>
      </c>
    </row>
    <row r="11">
      <c r="A11" s="64">
        <v>4.0</v>
      </c>
      <c r="B11" s="125" t="str">
        <f>VLOOKUP(A11,'Swiss Registry'!$A$2:$B$703,2,False)</f>
        <v>pkLeech</v>
      </c>
      <c r="C11" s="111" t="str">
        <f t="shared" si="1"/>
        <v/>
      </c>
      <c r="D11" s="112" t="str">
        <f t="shared" si="2"/>
        <v/>
      </c>
      <c r="E11" s="107" t="str">
        <f t="shared" si="3"/>
        <v/>
      </c>
      <c r="F11" s="125" t="str">
        <f>VLOOKUP(G11,'Swiss Registry'!$A$2:$B$703,2,False)</f>
        <v>oskari1707</v>
      </c>
      <c r="G11" s="64">
        <v>517.0</v>
      </c>
      <c r="H11" s="93"/>
      <c r="I11" s="141" t="str">
        <f t="array" ref="I11">XLOOKUP(CELL("contents",B11),'Swiss Registry'!$B$2:$B$703,'Swiss Registry'!$N$2:$N$703) </f>
        <v>461288985944391708</v>
      </c>
      <c r="J11" s="142" t="str">
        <f t="array" ref="J11">XLOOKUP(CELL("contents",F11),'Swiss Registry'!$B$2:$B$703,'Swiss Registry'!$N$2:$N$703) </f>
        <v>920018351684730910</v>
      </c>
    </row>
    <row r="12">
      <c r="A12" s="64">
        <v>5.0</v>
      </c>
      <c r="B12" s="125" t="str">
        <f>VLOOKUP(A12,'Swiss Registry'!$A$2:$B$703,2,False)</f>
        <v>Caloom</v>
      </c>
      <c r="C12" s="111" t="str">
        <f t="shared" si="1"/>
        <v/>
      </c>
      <c r="D12" s="112" t="str">
        <f t="shared" si="2"/>
        <v/>
      </c>
      <c r="E12" s="107" t="str">
        <f t="shared" si="3"/>
        <v/>
      </c>
      <c r="F12" s="125" t="str">
        <f>VLOOKUP(G12,'Swiss Registry'!$A$2:$B$703,2,False)</f>
        <v>Sificon</v>
      </c>
      <c r="G12" s="64">
        <v>471.0</v>
      </c>
      <c r="H12" s="93"/>
      <c r="I12" s="141" t="str">
        <f t="array" ref="I12">XLOOKUP(CELL("contents",B12),'Swiss Registry'!$B$2:$B$703,'Swiss Registry'!$N$2:$N$703) </f>
        <v>428981810811109386</v>
      </c>
      <c r="J12" s="142" t="str">
        <f t="array" ref="J12">XLOOKUP(CELL("contents",F12),'Swiss Registry'!$B$2:$B$703,'Swiss Registry'!$N$2:$N$703) </f>
        <v>363775331292676097</v>
      </c>
    </row>
    <row r="13">
      <c r="A13" s="64">
        <v>10.0</v>
      </c>
      <c r="B13" s="125" t="str">
        <f>VLOOKUP(A13,'Swiss Registry'!$A$2:$B$703,2,False)</f>
        <v>Cyberodin</v>
      </c>
      <c r="C13" s="111" t="str">
        <f t="shared" si="1"/>
        <v/>
      </c>
      <c r="D13" s="112" t="str">
        <f t="shared" si="2"/>
        <v/>
      </c>
      <c r="E13" s="107" t="str">
        <f t="shared" si="3"/>
        <v/>
      </c>
      <c r="F13" s="125" t="str">
        <f>VLOOKUP(G13,'Swiss Registry'!$A$2:$B$703,2,False)</f>
        <v>annuit99</v>
      </c>
      <c r="G13" s="64">
        <v>113.0</v>
      </c>
      <c r="H13" s="93"/>
      <c r="I13" s="141" t="str">
        <f t="array" ref="I13">XLOOKUP(CELL("contents",B13),'Swiss Registry'!$B$2:$B$703,'Swiss Registry'!$N$2:$N$703) </f>
        <v>259426043285340160</v>
      </c>
      <c r="J13" s="142" t="str">
        <f t="array" ref="J13">XLOOKUP(CELL("contents",F13),'Swiss Registry'!$B$2:$B$703,'Swiss Registry'!$N$2:$N$703) </f>
        <v>397519983669805060</v>
      </c>
    </row>
    <row r="14">
      <c r="A14" s="64">
        <v>18.0</v>
      </c>
      <c r="B14" s="125" t="str">
        <f>VLOOKUP(A14,'Swiss Registry'!$A$2:$B$703,2,False)</f>
        <v>Pokology</v>
      </c>
      <c r="C14" s="111" t="str">
        <f t="shared" si="1"/>
        <v/>
      </c>
      <c r="D14" s="112" t="str">
        <f t="shared" si="2"/>
        <v/>
      </c>
      <c r="E14" s="107" t="str">
        <f t="shared" si="3"/>
        <v/>
      </c>
      <c r="F14" s="125" t="str">
        <f>VLOOKUP(G14,'Swiss Registry'!$A$2:$B$703,2,False)</f>
        <v>lexi.pup</v>
      </c>
      <c r="G14" s="64">
        <v>547.0</v>
      </c>
      <c r="H14" s="93"/>
      <c r="I14" s="141" t="str">
        <f t="array" ref="I14">XLOOKUP(CELL("contents",B14),'Swiss Registry'!$B$2:$B$703,'Swiss Registry'!$N$2:$N$703) </f>
        <v>647891006347542566</v>
      </c>
      <c r="J14" s="142" t="str">
        <f t="array" ref="J14">XLOOKUP(CELL("contents",F14),'Swiss Registry'!$B$2:$B$703,'Swiss Registry'!$N$2:$N$703) </f>
        <v>768313209161383936</v>
      </c>
    </row>
    <row r="15">
      <c r="A15" s="64">
        <v>19.0</v>
      </c>
      <c r="B15" s="125" t="str">
        <f>VLOOKUP(A15,'Swiss Registry'!$A$2:$B$703,2,False)</f>
        <v>void</v>
      </c>
      <c r="C15" s="111" t="str">
        <f t="shared" si="1"/>
        <v/>
      </c>
      <c r="D15" s="112" t="str">
        <f t="shared" si="2"/>
        <v/>
      </c>
      <c r="E15" s="107" t="str">
        <f t="shared" si="3"/>
        <v/>
      </c>
      <c r="F15" s="125" t="str">
        <f>VLOOKUP(G15,'Swiss Registry'!$A$2:$B$703,2,False)</f>
        <v>dicerat8</v>
      </c>
      <c r="G15" s="64">
        <v>120.0</v>
      </c>
      <c r="H15" s="93"/>
      <c r="I15" s="141" t="str">
        <f t="array" ref="I15">XLOOKUP(CELL("contents",B15),'Swiss Registry'!$B$2:$B$703,'Swiss Registry'!$N$2:$N$703) </f>
        <v>153249462641229824</v>
      </c>
      <c r="J15" s="142" t="str">
        <f t="array" ref="J15">XLOOKUP(CELL("contents",F15),'Swiss Registry'!$B$2:$B$703,'Swiss Registry'!$N$2:$N$703) </f>
        <v>811484330421387285</v>
      </c>
    </row>
    <row r="16">
      <c r="A16" s="64">
        <v>21.0</v>
      </c>
      <c r="B16" s="125" t="str">
        <f>VLOOKUP(A16,'Swiss Registry'!$A$2:$B$703,2,False)</f>
        <v>Adam</v>
      </c>
      <c r="C16" s="111" t="str">
        <f t="shared" si="1"/>
        <v/>
      </c>
      <c r="D16" s="112" t="str">
        <f t="shared" si="2"/>
        <v/>
      </c>
      <c r="E16" s="107" t="str">
        <f t="shared" si="3"/>
        <v/>
      </c>
      <c r="F16" s="125" t="str">
        <f>VLOOKUP(G16,'Swiss Registry'!$A$2:$B$703,2,False)</f>
        <v>secondari</v>
      </c>
      <c r="G16" s="64">
        <v>325.0</v>
      </c>
      <c r="H16" s="150"/>
      <c r="I16" s="141" t="str">
        <f t="array" ref="I16">XLOOKUP(CELL("contents",B16),'Swiss Registry'!$B$2:$B$703,'Swiss Registry'!$N$2:$N$703) </f>
        <v>714861229935689862</v>
      </c>
      <c r="J16" s="142" t="str">
        <f t="array" ref="J16">XLOOKUP(CELL("contents",F16),'Swiss Registry'!$B$2:$B$703,'Swiss Registry'!$N$2:$N$703) </f>
        <v>77493060862214144</v>
      </c>
    </row>
    <row r="17">
      <c r="A17" s="64">
        <v>22.0</v>
      </c>
      <c r="B17" s="125" t="str">
        <f>VLOOKUP(A17,'Swiss Registry'!$A$2:$B$703,2,False)</f>
        <v>laxuy</v>
      </c>
      <c r="C17" s="111" t="str">
        <f t="shared" si="1"/>
        <v/>
      </c>
      <c r="D17" s="112" t="str">
        <f t="shared" si="2"/>
        <v/>
      </c>
      <c r="E17" s="107" t="str">
        <f t="shared" si="3"/>
        <v/>
      </c>
      <c r="F17" s="125" t="str">
        <f>VLOOKUP(G17,'Swiss Registry'!$A$2:$B$703,2,False)</f>
        <v>tree69420</v>
      </c>
      <c r="G17" s="64">
        <v>177.0</v>
      </c>
      <c r="H17" s="93"/>
      <c r="I17" s="141" t="str">
        <f t="array" ref="I17">XLOOKUP(CELL("contents",B17),'Swiss Registry'!$B$2:$B$703,'Swiss Registry'!$N$2:$N$703) </f>
        <v>162377920117997568</v>
      </c>
      <c r="J17" s="142" t="str">
        <f t="array" ref="J17">XLOOKUP(CELL("contents",F17),'Swiss Registry'!$B$2:$B$703,'Swiss Registry'!$N$2:$N$703) </f>
        <v>798958594116419604</v>
      </c>
    </row>
    <row r="18">
      <c r="A18" s="64">
        <v>23.0</v>
      </c>
      <c r="B18" s="125" t="str">
        <f>VLOOKUP(A18,'Swiss Registry'!$A$2:$B$703,2,False)</f>
        <v>udm31</v>
      </c>
      <c r="C18" s="111" t="str">
        <f t="shared" si="1"/>
        <v/>
      </c>
      <c r="D18" s="112" t="str">
        <f t="shared" si="2"/>
        <v/>
      </c>
      <c r="E18" s="107" t="str">
        <f t="shared" si="3"/>
        <v/>
      </c>
      <c r="F18" s="125" t="str">
        <f>VLOOKUP(G18,'Swiss Registry'!$A$2:$B$703,2,False)</f>
        <v>jankcity</v>
      </c>
      <c r="G18" s="64">
        <v>698.0</v>
      </c>
      <c r="H18" s="93"/>
      <c r="I18" s="141" t="str">
        <f t="array" ref="I18">XLOOKUP(CELL("contents",B18),'Swiss Registry'!$B$2:$B$703,'Swiss Registry'!$N$2:$N$703) </f>
        <v>892364236523708427</v>
      </c>
      <c r="J18" s="142" t="str">
        <f t="array" ref="J18">XLOOKUP(CELL("contents",F18),'Swiss Registry'!$B$2:$B$703,'Swiss Registry'!$N$2:$N$703) </f>
        <v>532236765914988557</v>
      </c>
    </row>
    <row r="19" ht="15.0" customHeight="1">
      <c r="A19" s="124"/>
      <c r="B19" s="122"/>
      <c r="C19" s="123"/>
      <c r="D19" s="138" t="s">
        <v>3219</v>
      </c>
      <c r="E19" s="123"/>
      <c r="F19" s="122"/>
      <c r="G19" s="124"/>
      <c r="H19" s="83"/>
      <c r="I19" s="139"/>
      <c r="J19" s="139"/>
    </row>
    <row r="20">
      <c r="A20" s="64">
        <v>25.0</v>
      </c>
      <c r="B20" s="125" t="str">
        <f>VLOOKUP(A20,'Swiss Registry'!$A$2:$B$703,2,False)</f>
        <v>JR</v>
      </c>
      <c r="C20" s="111" t="str">
        <f t="shared" ref="C20:C34" si="4">IF(H20="dead","",IF(H20="a:act","",IF(H20="b:act","",IF(ISURL(HYPERLINK(INDIRECT("Importer!B"&amp;MID(H20,2,4)+1,TRUE))),HYPERLINK(INDIRECT("Importer!B"&amp;MID(H20,2,4)+1,TRUE), "Game 1"),""))))</f>
        <v/>
      </c>
      <c r="D20" s="112" t="str">
        <f t="shared" ref="D20:D34" si="5">IF(H20="dead","Dead Game",IF(H20="a:act","Act: "&amp;B20,IF(H20="b:act","Act: "&amp;F20,IF(ISURL(HYPERLINK(INDIRECT("Importer!B"&amp;MID(H20,6,4)+1,TRUE))),HYPERLINK(INDIRECT("Importer!B"&amp;MID(H20,6,4)+1,TRUE), "Game 2"),""))))</f>
        <v/>
      </c>
      <c r="E20" s="107" t="str">
        <f t="shared" ref="E20:E34" si="6">IF(H20="dead","",IF(H20="a:act","",IF(H20="b:act","",IF(ISURL(HYPERLINK(INDIRECT("Importer!B"&amp;MID(H20,10,4)+1,TRUE))),HYPERLINK(INDIRECT("Importer!B"&amp;MID(H20,10,4)+1,TRUE), "Game 3"),""))))</f>
        <v/>
      </c>
      <c r="F20" s="125" t="str">
        <f>VLOOKUP(G20,'Swiss Registry'!$A$2:$B$703,2,False)</f>
        <v>monchooo</v>
      </c>
      <c r="G20" s="64">
        <v>269.0</v>
      </c>
      <c r="H20" s="93"/>
      <c r="I20" s="141" t="str">
        <f t="array" ref="I20">XLOOKUP(CELL("contents",B20),'Swiss Registry'!$B$2:$B$703,'Swiss Registry'!$N$2:$N$703) </f>
        <v>319563636483817472</v>
      </c>
      <c r="J20" s="142" t="str">
        <f t="array" ref="J20">XLOOKUP(CELL("contents",F20),'Swiss Registry'!$B$2:$B$703,'Swiss Registry'!$N$2:$N$703) </f>
        <v>202168691893207041</v>
      </c>
    </row>
    <row r="21">
      <c r="A21" s="64">
        <v>26.0</v>
      </c>
      <c r="B21" s="125" t="str">
        <f>VLOOKUP(A21,'Swiss Registry'!$A$2:$B$703,2,False)</f>
        <v>keepingiticy</v>
      </c>
      <c r="C21" s="111" t="str">
        <f t="shared" si="4"/>
        <v/>
      </c>
      <c r="D21" s="112" t="str">
        <f t="shared" si="5"/>
        <v/>
      </c>
      <c r="E21" s="107" t="str">
        <f t="shared" si="6"/>
        <v/>
      </c>
      <c r="F21" s="125" t="str">
        <f>VLOOKUP(G21,'Swiss Registry'!$A$2:$B$703,2,False)</f>
        <v>@spreek</v>
      </c>
      <c r="G21" s="64">
        <v>640.0</v>
      </c>
      <c r="H21" s="93"/>
      <c r="I21" s="141" t="str">
        <f t="array" ref="I21">XLOOKUP(CELL("contents",B21),'Swiss Registry'!$B$2:$B$703,'Swiss Registry'!$N$2:$N$703) </f>
        <v>174532509701373952</v>
      </c>
      <c r="J21" s="142" t="str">
        <f t="array" ref="J21">XLOOKUP(CELL("contents",F21),'Swiss Registry'!$B$2:$B$703,'Swiss Registry'!$N$2:$N$703) </f>
        <v>136272881666621440</v>
      </c>
    </row>
    <row r="22">
      <c r="A22" s="64">
        <v>27.0</v>
      </c>
      <c r="B22" s="125" t="str">
        <f>VLOOKUP(A22,'Swiss Registry'!$A$2:$B$703,2,False)</f>
        <v>Sheik</v>
      </c>
      <c r="C22" s="111" t="str">
        <f t="shared" si="4"/>
        <v/>
      </c>
      <c r="D22" s="112" t="str">
        <f t="shared" si="5"/>
        <v/>
      </c>
      <c r="E22" s="107" t="str">
        <f t="shared" si="6"/>
        <v/>
      </c>
      <c r="F22" s="125" t="str">
        <f>VLOOKUP(G22,'Swiss Registry'!$A$2:$B$703,2,False)</f>
        <v>grahamsandwich</v>
      </c>
      <c r="G22" s="64">
        <v>354.0</v>
      </c>
      <c r="H22" s="93"/>
      <c r="I22" s="141" t="str">
        <f t="array" ref="I22">XLOOKUP(CELL("contents",B22),'Swiss Registry'!$B$2:$B$703,'Swiss Registry'!$N$2:$N$703) </f>
        <v>700432987858403420</v>
      </c>
      <c r="J22" s="142" t="str">
        <f t="array" ref="J22">XLOOKUP(CELL("contents",F22),'Swiss Registry'!$B$2:$B$703,'Swiss Registry'!$N$2:$N$703) </f>
        <v>256944534900965376</v>
      </c>
    </row>
    <row r="23">
      <c r="A23" s="64">
        <v>28.0</v>
      </c>
      <c r="B23" s="125" t="str">
        <f>VLOOKUP(A23,'Swiss Registry'!$A$2:$B$703,2,False)</f>
        <v>Typhoon Carter</v>
      </c>
      <c r="C23" s="111" t="str">
        <f t="shared" si="4"/>
        <v/>
      </c>
      <c r="D23" s="112" t="str">
        <f t="shared" si="5"/>
        <v/>
      </c>
      <c r="E23" s="107" t="str">
        <f t="shared" si="6"/>
        <v/>
      </c>
      <c r="F23" s="125" t="str">
        <f>VLOOKUP(G23,'Swiss Registry'!$A$2:$B$703,2,False)</f>
        <v>Skarpherim</v>
      </c>
      <c r="G23" s="64">
        <v>184.0</v>
      </c>
      <c r="H23" s="93"/>
      <c r="I23" s="141" t="str">
        <f t="array" ref="I23">XLOOKUP(CELL("contents",B23),'Swiss Registry'!$B$2:$B$703,'Swiss Registry'!$N$2:$N$703) </f>
        <v>313800288647774211</v>
      </c>
      <c r="J23" s="142" t="str">
        <f t="array" ref="J23">XLOOKUP(CELL("contents",F23),'Swiss Registry'!$B$2:$B$703,'Swiss Registry'!$N$2:$N$703) </f>
        <v>1167951538963103815</v>
      </c>
    </row>
    <row r="24">
      <c r="A24" s="64">
        <v>29.0</v>
      </c>
      <c r="B24" s="125">
        <f>VLOOKUP(A24,'Swiss Registry'!$A$2:$B$703,2,False)</f>
        <v>48</v>
      </c>
      <c r="C24" s="111" t="str">
        <f t="shared" si="4"/>
        <v/>
      </c>
      <c r="D24" s="112" t="str">
        <f t="shared" si="5"/>
        <v/>
      </c>
      <c r="E24" s="107" t="str">
        <f t="shared" si="6"/>
        <v/>
      </c>
      <c r="F24" s="125" t="str">
        <f>VLOOKUP(G24,'Swiss Registry'!$A$2:$B$703,2,False)</f>
        <v>Zinc</v>
      </c>
      <c r="G24" s="64">
        <v>100.0</v>
      </c>
      <c r="H24" s="93"/>
      <c r="I24" s="141" t="str">
        <f t="array" ref="I24">XLOOKUP(CELL("contents",B24),'Swiss Registry'!$B$2:$B$703,'Swiss Registry'!$N$2:$N$703) </f>
        <v>247063915790336004</v>
      </c>
      <c r="J24" s="142" t="str">
        <f t="array" ref="J24">XLOOKUP(CELL("contents",F24),'Swiss Registry'!$B$2:$B$703,'Swiss Registry'!$N$2:$N$703) </f>
        <v>399291432235696139</v>
      </c>
    </row>
    <row r="25">
      <c r="A25" s="64">
        <v>30.0</v>
      </c>
      <c r="B25" s="125" t="str">
        <f>VLOOKUP(A25,'Swiss Registry'!$A$2:$B$703,2,False)</f>
        <v>eliandiditagain</v>
      </c>
      <c r="C25" s="111" t="str">
        <f t="shared" si="4"/>
        <v/>
      </c>
      <c r="D25" s="112" t="str">
        <f t="shared" si="5"/>
        <v/>
      </c>
      <c r="E25" s="107" t="str">
        <f t="shared" si="6"/>
        <v/>
      </c>
      <c r="F25" s="125" t="str">
        <f>VLOOKUP(G25,'Swiss Registry'!$A$2:$B$703,2,False)</f>
        <v>Otto</v>
      </c>
      <c r="G25" s="64">
        <v>95.0</v>
      </c>
      <c r="H25" s="93"/>
      <c r="I25" s="141" t="str">
        <f t="array" ref="I25">XLOOKUP(CELL("contents",B25),'Swiss Registry'!$B$2:$B$703,'Swiss Registry'!$N$2:$N$703) </f>
        <v>268922335946342400</v>
      </c>
      <c r="J25" s="142" t="str">
        <f t="array" ref="J25">XLOOKUP(CELL("contents",F25),'Swiss Registry'!$B$2:$B$703,'Swiss Registry'!$N$2:$N$703) </f>
        <v>286683342131298304</v>
      </c>
    </row>
    <row r="26">
      <c r="A26" s="64">
        <v>35.0</v>
      </c>
      <c r="B26" s="125" t="str">
        <f>VLOOKUP(A26,'Swiss Registry'!$A$2:$B$703,2,False)</f>
        <v>Zacpz</v>
      </c>
      <c r="C26" s="111" t="str">
        <f t="shared" si="4"/>
        <v/>
      </c>
      <c r="D26" s="112" t="str">
        <f t="shared" si="5"/>
        <v/>
      </c>
      <c r="E26" s="107" t="str">
        <f t="shared" si="6"/>
        <v/>
      </c>
      <c r="F26" s="125" t="str">
        <f>VLOOKUP(G26,'Swiss Registry'!$A$2:$B$703,2,False)</f>
        <v>#N/A</v>
      </c>
      <c r="G26" s="64" t="s">
        <v>7426</v>
      </c>
      <c r="H26" s="93"/>
      <c r="I26" s="141" t="str">
        <f t="array" ref="I26">XLOOKUP(CELL("contents",B26),'Swiss Registry'!$B$2:$B$703,'Swiss Registry'!$N$2:$N$703) </f>
        <v>719547987277119638</v>
      </c>
      <c r="J26" s="147" t="str">
        <f t="array" ref="J26">XLOOKUP(CELL("contents",F26),'Swiss Registry'!$B$2:$B$703,'Swiss Registry'!$N$2:$N$703) </f>
        <v>#N/A</v>
      </c>
    </row>
    <row r="27">
      <c r="A27" s="64">
        <v>36.0</v>
      </c>
      <c r="B27" s="125" t="str">
        <f>VLOOKUP(A27,'Swiss Registry'!$A$2:$B$703,2,False)</f>
        <v>Segale</v>
      </c>
      <c r="C27" s="111" t="str">
        <f t="shared" si="4"/>
        <v/>
      </c>
      <c r="D27" s="112" t="str">
        <f t="shared" si="5"/>
        <v/>
      </c>
      <c r="E27" s="107" t="str">
        <f t="shared" si="6"/>
        <v/>
      </c>
      <c r="F27" s="125" t="str">
        <f>VLOOKUP(G27,'Swiss Registry'!$A$2:$B$703,2,False)</f>
        <v>Cyberas</v>
      </c>
      <c r="G27" s="64">
        <v>85.0</v>
      </c>
      <c r="H27" s="93"/>
      <c r="I27" s="141" t="str">
        <f t="array" ref="I27">XLOOKUP(CELL("contents",B27),'Swiss Registry'!$B$2:$B$703,'Swiss Registry'!$N$2:$N$703) </f>
        <v>1059548623416856608</v>
      </c>
      <c r="J27" s="142" t="str">
        <f t="array" ref="J27">XLOOKUP(CELL("contents",F27),'Swiss Registry'!$B$2:$B$703,'Swiss Registry'!$N$2:$N$703) </f>
        <v>133696854662709248</v>
      </c>
    </row>
    <row r="28" ht="15.0" customHeight="1">
      <c r="A28" s="64">
        <v>42.0</v>
      </c>
      <c r="B28" s="125" t="str">
        <f>VLOOKUP(A28,'Swiss Registry'!$A$2:$B$703,2,False)</f>
        <v>ThisGuyMuks</v>
      </c>
      <c r="C28" s="111" t="str">
        <f t="shared" si="4"/>
        <v/>
      </c>
      <c r="D28" s="112" t="str">
        <f t="shared" si="5"/>
        <v/>
      </c>
      <c r="E28" s="107" t="str">
        <f t="shared" si="6"/>
        <v/>
      </c>
      <c r="F28" s="125" t="str">
        <f>VLOOKUP(G28,'Swiss Registry'!$A$2:$B$703,2,False)</f>
        <v>OOF_MAXIMA</v>
      </c>
      <c r="G28" s="64">
        <v>78.0</v>
      </c>
      <c r="H28" s="93"/>
      <c r="I28" s="141" t="str">
        <f t="array" ref="I28">XLOOKUP(CELL("contents",B28),'Swiss Registry'!$B$2:$B$703,'Swiss Registry'!$N$2:$N$703) </f>
        <v>397627331637805056</v>
      </c>
      <c r="J28" s="142" t="str">
        <f t="array" ref="J28">XLOOKUP(CELL("contents",F28),'Swiss Registry'!$B$2:$B$703,'Swiss Registry'!$N$2:$N$703) </f>
        <v>400765707467620362</v>
      </c>
    </row>
    <row r="29">
      <c r="A29" s="64">
        <v>43.0</v>
      </c>
      <c r="B29" s="125" t="str">
        <f>VLOOKUP(A29,'Swiss Registry'!$A$2:$B$703,2,False)</f>
        <v>Christos</v>
      </c>
      <c r="C29" s="111" t="str">
        <f t="shared" si="4"/>
        <v/>
      </c>
      <c r="D29" s="112" t="str">
        <f t="shared" si="5"/>
        <v/>
      </c>
      <c r="E29" s="107" t="str">
        <f t="shared" si="6"/>
        <v/>
      </c>
      <c r="F29" s="125" t="str">
        <f>VLOOKUP(G29,'Swiss Registry'!$A$2:$B$703,2,False)</f>
        <v>Churi</v>
      </c>
      <c r="G29" s="64">
        <v>77.0</v>
      </c>
      <c r="H29" s="93"/>
      <c r="I29" s="141" t="str">
        <f t="array" ref="I29">XLOOKUP(CELL("contents",B29),'Swiss Registry'!$B$2:$B$703,'Swiss Registry'!$N$2:$N$703) </f>
        <v>202869299113623563</v>
      </c>
      <c r="J29" s="142" t="str">
        <f t="array" ref="J29">XLOOKUP(CELL("contents",F29),'Swiss Registry'!$B$2:$B$703,'Swiss Registry'!$N$2:$N$703) </f>
        <v>740316248210014380</v>
      </c>
    </row>
    <row r="30">
      <c r="A30" s="64">
        <v>45.0</v>
      </c>
      <c r="B30" s="125" t="str">
        <f>VLOOKUP(A30,'Swiss Registry'!$A$2:$B$703,2,False)</f>
        <v>DeezCastforms</v>
      </c>
      <c r="C30" s="111" t="str">
        <f t="shared" si="4"/>
        <v/>
      </c>
      <c r="D30" s="112" t="str">
        <f t="shared" si="5"/>
        <v/>
      </c>
      <c r="E30" s="107" t="str">
        <f t="shared" si="6"/>
        <v/>
      </c>
      <c r="F30" s="125" t="str">
        <f>VLOOKUP(G30,'Swiss Registry'!$A$2:$B$703,2,False)</f>
        <v>H&gt;L</v>
      </c>
      <c r="G30" s="64">
        <v>70.0</v>
      </c>
      <c r="H30" s="93"/>
      <c r="I30" s="141" t="str">
        <f t="array" ref="I30">XLOOKUP(CELL("contents",B30),'Swiss Registry'!$B$2:$B$703,'Swiss Registry'!$N$2:$N$703) </f>
        <v>358052192915292161</v>
      </c>
      <c r="J30" s="142" t="str">
        <f t="array" ref="J30">XLOOKUP(CELL("contents",F30),'Swiss Registry'!$B$2:$B$703,'Swiss Registry'!$N$2:$N$703) </f>
        <v>669658442071408672</v>
      </c>
    </row>
    <row r="31">
      <c r="A31" s="64">
        <v>46.0</v>
      </c>
      <c r="B31" s="125" t="str">
        <f>VLOOKUP(A31,'Swiss Registry'!$A$2:$B$703,2,False)</f>
        <v>Zelph</v>
      </c>
      <c r="C31" s="111" t="str">
        <f t="shared" si="4"/>
        <v/>
      </c>
      <c r="D31" s="112" t="str">
        <f t="shared" si="5"/>
        <v/>
      </c>
      <c r="E31" s="107" t="str">
        <f t="shared" si="6"/>
        <v/>
      </c>
      <c r="F31" s="125" t="str">
        <f>VLOOKUP(G31,'Swiss Registry'!$A$2:$B$703,2,False)</f>
        <v>Mackenzie</v>
      </c>
      <c r="G31" s="64">
        <v>66.0</v>
      </c>
      <c r="H31" s="93"/>
      <c r="I31" s="141" t="str">
        <f t="array" ref="I31">XLOOKUP(CELL("contents",B31),'Swiss Registry'!$B$2:$B$703,'Swiss Registry'!$N$2:$N$703) </f>
        <v>895466276191862855</v>
      </c>
      <c r="J31" s="142" t="str">
        <f t="array" ref="J31">XLOOKUP(CELL("contents",F31),'Swiss Registry'!$B$2:$B$703,'Swiss Registry'!$N$2:$N$703) </f>
        <v>173519000842534913</v>
      </c>
    </row>
    <row r="32">
      <c r="A32" s="64">
        <v>47.0</v>
      </c>
      <c r="B32" s="125" t="str">
        <f>VLOOKUP(A32,'Swiss Registry'!$A$2:$B$703,2,False)</f>
        <v>Figull400</v>
      </c>
      <c r="C32" s="111" t="str">
        <f t="shared" si="4"/>
        <v/>
      </c>
      <c r="D32" s="112" t="str">
        <f t="shared" si="5"/>
        <v/>
      </c>
      <c r="E32" s="107" t="str">
        <f t="shared" si="6"/>
        <v/>
      </c>
      <c r="F32" s="125" t="str">
        <f>VLOOKUP(G32,'Swiss Registry'!$A$2:$B$703,2,False)</f>
        <v>xGangg</v>
      </c>
      <c r="G32" s="64">
        <v>64.0</v>
      </c>
      <c r="H32" s="93"/>
      <c r="I32" s="141" t="str">
        <f t="array" ref="I32">XLOOKUP(CELL("contents",B32),'Swiss Registry'!$B$2:$B$703,'Swiss Registry'!$N$2:$N$703) </f>
        <v>758667386822983680</v>
      </c>
      <c r="J32" s="142" t="str">
        <f t="array" ref="J32">XLOOKUP(CELL("contents",F32),'Swiss Registry'!$B$2:$B$703,'Swiss Registry'!$N$2:$N$703) </f>
        <v>219915887254175744</v>
      </c>
    </row>
    <row r="33">
      <c r="A33" s="64">
        <v>48.0</v>
      </c>
      <c r="B33" s="125" t="str">
        <f>VLOOKUP(A33,'Swiss Registry'!$A$2:$B$703,2,False)</f>
        <v>Don Tonionie</v>
      </c>
      <c r="C33" s="111" t="str">
        <f t="shared" si="4"/>
        <v/>
      </c>
      <c r="D33" s="112" t="str">
        <f t="shared" si="5"/>
        <v/>
      </c>
      <c r="E33" s="107" t="str">
        <f t="shared" si="6"/>
        <v/>
      </c>
      <c r="F33" s="125" t="str">
        <f>VLOOKUP(G33,'Swiss Registry'!$A$2:$B$703,2,False)</f>
        <v>Exiline</v>
      </c>
      <c r="G33" s="64">
        <v>60.0</v>
      </c>
      <c r="H33" s="93"/>
      <c r="I33" s="141" t="str">
        <f t="array" ref="I33">XLOOKUP(CELL("contents",B33),'Swiss Registry'!$B$2:$B$703,'Swiss Registry'!$N$2:$N$703) </f>
        <v>281159058155634700</v>
      </c>
      <c r="J33" s="142" t="str">
        <f t="array" ref="J33">XLOOKUP(CELL("contents",F33),'Swiss Registry'!$B$2:$B$703,'Swiss Registry'!$N$2:$N$703) </f>
        <v>155646670988640258</v>
      </c>
    </row>
    <row r="34">
      <c r="A34" s="64">
        <v>55.0</v>
      </c>
      <c r="B34" s="125" t="str">
        <f>VLOOKUP(A34,'Swiss Registry'!$A$2:$B$703,2,False)</f>
        <v>Kai (aplgd)</v>
      </c>
      <c r="C34" s="111" t="str">
        <f t="shared" si="4"/>
        <v/>
      </c>
      <c r="D34" s="112" t="str">
        <f t="shared" si="5"/>
        <v/>
      </c>
      <c r="E34" s="107" t="str">
        <f t="shared" si="6"/>
        <v/>
      </c>
      <c r="F34" s="125" t="str">
        <f>VLOOKUP(G34,'Swiss Registry'!$A$2:$B$703,2,False)</f>
        <v>Vayun</v>
      </c>
      <c r="G34" s="64">
        <v>56.0</v>
      </c>
      <c r="H34" s="93"/>
      <c r="I34" s="141" t="str">
        <f t="array" ref="I34">XLOOKUP(CELL("contents",B34),'Swiss Registry'!$B$2:$B$703,'Swiss Registry'!$N$2:$N$703) </f>
        <v>782951193495207938</v>
      </c>
      <c r="J34" s="142" t="str">
        <f t="array" ref="J34">XLOOKUP(CELL("contents",F34),'Swiss Registry'!$B$2:$B$703,'Swiss Registry'!$N$2:$N$703) </f>
        <v>773919415153983489</v>
      </c>
    </row>
  </sheetData>
  <mergeCells count="1">
    <mergeCell ref="C1:E1"/>
  </mergeCells>
  <conditionalFormatting sqref="B4:B18 B20:B34">
    <cfRule type="expression" dxfId="5" priority="1">
      <formula>IF(LEFT(H4:H34,1)="A",TRUE,FALSE)</formula>
    </cfRule>
  </conditionalFormatting>
  <conditionalFormatting sqref="F3:F18 I3:J18 F20:F34 I20:J34">
    <cfRule type="expression" dxfId="5" priority="2">
      <formula>IF(LEFT(H3:H34,1)="B",TRUE,FALSE)</formula>
    </cfRule>
  </conditionalFormatting>
  <conditionalFormatting sqref="B4:B18 B20:B34">
    <cfRule type="expression" dxfId="6" priority="3">
      <formula>IF(LEFT(H4:H34,1)="B",TRUE,FALSE)</formula>
    </cfRule>
  </conditionalFormatting>
  <conditionalFormatting sqref="F3:F18 I3:J18 F20:F34 I20:J34">
    <cfRule type="expression" dxfId="6" priority="4">
      <formula>IF(LEFT(H3:H34,1)="A",TRUE,FALSE)</formula>
    </cfRule>
  </conditionalFormatting>
  <conditionalFormatting sqref="B4:B18 B20:B34">
    <cfRule type="expression" dxfId="10" priority="5">
      <formula>COUNTIF(B:F, B4)&gt;1</formula>
    </cfRule>
  </conditionalFormatting>
  <conditionalFormatting sqref="F3:F18 F20:F34">
    <cfRule type="expression" dxfId="10" priority="6">
      <formula>COUNTIF(B:F, F3)&gt;1</formula>
    </cfRule>
  </conditionalFormatting>
  <drawing r:id="rId2"/>
  <legacyDrawing r:id="rId3"/>
  <tableParts count="1">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0"/>
    <col customWidth="1" min="3" max="3" width="20.63"/>
    <col customWidth="1" min="4" max="4" width="13.38"/>
  </cols>
  <sheetData>
    <row r="1">
      <c r="A1" s="59" t="s">
        <v>7427</v>
      </c>
      <c r="B1" s="59" t="s">
        <v>7428</v>
      </c>
      <c r="C1" s="60" t="s">
        <v>71</v>
      </c>
      <c r="D1" s="59" t="s">
        <v>7429</v>
      </c>
    </row>
    <row r="2">
      <c r="A2" s="63">
        <v>1.0</v>
      </c>
      <c r="B2" s="63">
        <f>'Swiss Registry'!A2</f>
        <v>1</v>
      </c>
      <c r="C2" s="63" t="str">
        <f>'Swiss Registry'!B2</f>
        <v>Fakes</v>
      </c>
      <c r="D2" s="65" t="str">
        <f>'Swiss Registry'!C2</f>
        <v>7 - 2</v>
      </c>
    </row>
    <row r="3">
      <c r="A3" s="63">
        <v>2.0</v>
      </c>
      <c r="B3" s="63">
        <f>'Swiss Registry'!A4</f>
        <v>3</v>
      </c>
      <c r="C3" s="63" t="str">
        <f>'Swiss Registry'!B4</f>
        <v>Triangles</v>
      </c>
      <c r="D3" s="65" t="str">
        <f>'Swiss Registry'!C4</f>
        <v>8 - 1</v>
      </c>
    </row>
    <row r="4">
      <c r="A4" s="63">
        <v>3.0</v>
      </c>
      <c r="B4" s="63">
        <f>'Swiss Registry'!A5</f>
        <v>4</v>
      </c>
      <c r="C4" s="63" t="str">
        <f>'Swiss Registry'!B5</f>
        <v>pkLeech</v>
      </c>
      <c r="D4" s="65" t="str">
        <f>'Swiss Registry'!C5</f>
        <v>7 - 2</v>
      </c>
    </row>
    <row r="5">
      <c r="A5" s="63">
        <v>4.0</v>
      </c>
      <c r="B5" s="63">
        <f>'Swiss Registry'!A7</f>
        <v>6</v>
      </c>
      <c r="C5" s="63" t="str">
        <f>'Swiss Registry'!B7</f>
        <v>Fear</v>
      </c>
      <c r="D5" s="65" t="str">
        <f>'Swiss Registry'!C7</f>
        <v>8 - 1</v>
      </c>
    </row>
    <row r="6">
      <c r="A6" s="63">
        <v>5.0</v>
      </c>
      <c r="B6" s="63">
        <f>'Swiss Registry'!A8</f>
        <v>7</v>
      </c>
      <c r="C6" s="63" t="str">
        <f>'Swiss Registry'!B8</f>
        <v>jumpy23</v>
      </c>
      <c r="D6" s="65" t="str">
        <f>'Swiss Registry'!C8</f>
        <v>10 - 0</v>
      </c>
    </row>
    <row r="7">
      <c r="A7" s="63">
        <v>6.0</v>
      </c>
      <c r="B7" s="63">
        <f>'Swiss Registry'!A9</f>
        <v>8</v>
      </c>
      <c r="C7" s="63" t="str">
        <f>'Swiss Registry'!B9</f>
        <v>Leo</v>
      </c>
      <c r="D7" s="65" t="str">
        <f>'Swiss Registry'!C9</f>
        <v>2 - 3</v>
      </c>
    </row>
    <row r="8">
      <c r="A8" s="63">
        <v>7.0</v>
      </c>
      <c r="B8" s="63">
        <f>'Swiss Registry'!A10</f>
        <v>9</v>
      </c>
      <c r="C8" s="63" t="str">
        <f>'Swiss Registry'!B10</f>
        <v>Kollin</v>
      </c>
      <c r="D8" s="65" t="str">
        <f>'Swiss Registry'!C10</f>
        <v>8 - 1</v>
      </c>
    </row>
    <row r="9">
      <c r="A9" s="63">
        <v>8.0</v>
      </c>
      <c r="B9" s="63">
        <f>'Swiss Registry'!A12</f>
        <v>11</v>
      </c>
      <c r="C9" s="63" t="str">
        <f>'Swiss Registry'!B12</f>
        <v>Blues</v>
      </c>
      <c r="D9" s="65" t="str">
        <f>'Swiss Registry'!C12</f>
        <v>6 - 3</v>
      </c>
    </row>
    <row r="10">
      <c r="A10" s="63">
        <v>9.0</v>
      </c>
      <c r="B10" s="63">
        <f>'Swiss Registry'!A13</f>
        <v>12</v>
      </c>
      <c r="C10" s="63" t="str">
        <f>'Swiss Registry'!B13</f>
        <v>Pak</v>
      </c>
      <c r="D10" s="65" t="str">
        <f>'Swiss Registry'!C13</f>
        <v>8 - 1</v>
      </c>
    </row>
    <row r="11">
      <c r="A11" s="63">
        <v>10.0</v>
      </c>
      <c r="B11" s="63">
        <f>'Swiss Registry'!A14</f>
        <v>13</v>
      </c>
      <c r="C11" s="63" t="str">
        <f>'Swiss Registry'!B14</f>
        <v>River</v>
      </c>
      <c r="D11" s="65" t="str">
        <f>'Swiss Registry'!C14</f>
        <v>6 - 3</v>
      </c>
    </row>
    <row r="12">
      <c r="A12" s="63">
        <v>11.0</v>
      </c>
      <c r="B12" s="63">
        <f>'Swiss Registry'!A15</f>
        <v>14</v>
      </c>
      <c r="C12" s="63" t="str">
        <f>'Swiss Registry'!B15</f>
        <v>Voyager</v>
      </c>
      <c r="D12" s="65" t="str">
        <f>'Swiss Registry'!C15</f>
        <v>7 - 2</v>
      </c>
    </row>
    <row r="13">
      <c r="A13" s="63">
        <v>12.0</v>
      </c>
      <c r="B13" s="63">
        <f>'Swiss Registry'!A16</f>
        <v>15</v>
      </c>
      <c r="C13" s="63" t="str">
        <f>'Swiss Registry'!B16</f>
        <v>Carapinga</v>
      </c>
      <c r="D13" s="65" t="str">
        <f>'Swiss Registry'!C16</f>
        <v>5 - 3</v>
      </c>
    </row>
    <row r="14">
      <c r="A14" s="63">
        <v>13.0</v>
      </c>
      <c r="B14" s="63">
        <f>'Swiss Registry'!A17</f>
        <v>16</v>
      </c>
      <c r="C14" s="63" t="str">
        <f>'Swiss Registry'!B17</f>
        <v>Mielke</v>
      </c>
      <c r="D14" s="65" t="str">
        <f>'Swiss Registry'!C17</f>
        <v>8 - 1</v>
      </c>
    </row>
    <row r="15">
      <c r="A15" s="63">
        <v>14.0</v>
      </c>
      <c r="B15" s="63">
        <f>'Swiss Registry'!A18</f>
        <v>17</v>
      </c>
      <c r="C15" s="63" t="str">
        <f>'Swiss Registry'!B18</f>
        <v>Tyros</v>
      </c>
      <c r="D15" s="65" t="str">
        <f>'Swiss Registry'!C18</f>
        <v>2 - 3</v>
      </c>
    </row>
    <row r="16">
      <c r="A16" s="63">
        <v>15.0</v>
      </c>
      <c r="B16" s="63">
        <f>'Swiss Registry'!A19</f>
        <v>18</v>
      </c>
      <c r="C16" s="63" t="str">
        <f>'Swiss Registry'!B19</f>
        <v>Pokology</v>
      </c>
      <c r="D16" s="65" t="str">
        <f>'Swiss Registry'!C19</f>
        <v>7 - 2</v>
      </c>
    </row>
    <row r="17">
      <c r="A17" s="63">
        <v>16.0</v>
      </c>
      <c r="B17" s="63">
        <f>'Swiss Registry'!A20</f>
        <v>19</v>
      </c>
      <c r="C17" s="63" t="str">
        <f>'Swiss Registry'!B20</f>
        <v>void</v>
      </c>
      <c r="D17" s="65" t="str">
        <f>'Swiss Registry'!C20</f>
        <v>7 - 2</v>
      </c>
    </row>
    <row r="18">
      <c r="A18" s="63">
        <v>17.0</v>
      </c>
      <c r="B18" s="63">
        <f>'Swiss Registry'!A23</f>
        <v>22</v>
      </c>
      <c r="C18" s="63" t="str">
        <f>'Swiss Registry'!B23</f>
        <v>laxuy</v>
      </c>
      <c r="D18" s="65" t="str">
        <f>'Swiss Registry'!C23</f>
        <v>7 - 2</v>
      </c>
    </row>
    <row r="19">
      <c r="A19" s="63">
        <v>18.0</v>
      </c>
      <c r="B19" s="63">
        <f>'Swiss Registry'!A25</f>
        <v>24</v>
      </c>
      <c r="C19" s="63" t="str">
        <f>'Swiss Registry'!B25</f>
        <v>Big Will</v>
      </c>
      <c r="D19" s="65" t="str">
        <f>'Swiss Registry'!C25</f>
        <v>4 - 3</v>
      </c>
    </row>
    <row r="20">
      <c r="A20" s="63">
        <v>19.0</v>
      </c>
      <c r="B20" s="63">
        <f>'Swiss Registry'!A26</f>
        <v>25</v>
      </c>
      <c r="C20" s="63" t="str">
        <f>'Swiss Registry'!B26</f>
        <v>JR</v>
      </c>
      <c r="D20" s="65" t="str">
        <f>'Swiss Registry'!C26</f>
        <v>7 - 2</v>
      </c>
    </row>
    <row r="21">
      <c r="A21" s="63">
        <v>20.0</v>
      </c>
      <c r="B21" s="63">
        <f>'Swiss Registry'!A28</f>
        <v>27</v>
      </c>
      <c r="C21" s="63" t="str">
        <f>'Swiss Registry'!B28</f>
        <v>Sheik</v>
      </c>
      <c r="D21" s="65" t="str">
        <f>'Swiss Registry'!C28</f>
        <v>8 - 2</v>
      </c>
    </row>
    <row r="22">
      <c r="A22" s="63">
        <v>21.0</v>
      </c>
      <c r="B22" s="63">
        <f>'Swiss Registry'!A30</f>
        <v>29</v>
      </c>
      <c r="C22" s="175">
        <f>'Swiss Registry'!B30</f>
        <v>48</v>
      </c>
      <c r="D22" s="65" t="str">
        <f>'Swiss Registry'!C30</f>
        <v>7 - 2</v>
      </c>
    </row>
    <row r="23">
      <c r="A23" s="63">
        <v>22.0</v>
      </c>
      <c r="B23" s="63">
        <f>'Swiss Registry'!A32</f>
        <v>31</v>
      </c>
      <c r="C23" s="63" t="str">
        <f>'Swiss Registry'!B32</f>
        <v>Spfunkm</v>
      </c>
      <c r="D23" s="65" t="str">
        <f>'Swiss Registry'!C32</f>
        <v>2 - 3</v>
      </c>
    </row>
    <row r="24">
      <c r="A24" s="63">
        <v>23.0</v>
      </c>
      <c r="B24" s="63">
        <f>'Swiss Registry'!A33</f>
        <v>32</v>
      </c>
      <c r="C24" s="63" t="str">
        <f>'Swiss Registry'!B33</f>
        <v>Johnald</v>
      </c>
      <c r="D24" s="65" t="str">
        <f>'Swiss Registry'!C33</f>
        <v>6 - 3</v>
      </c>
    </row>
    <row r="25">
      <c r="A25" s="63">
        <v>24.0</v>
      </c>
      <c r="B25" s="63">
        <f>'Swiss Registry'!A34</f>
        <v>33</v>
      </c>
      <c r="C25" s="63" t="str">
        <f>'Swiss Registry'!B34</f>
        <v>W_R</v>
      </c>
      <c r="D25" s="65" t="str">
        <f>'Swiss Registry'!C34</f>
        <v>2 - 3</v>
      </c>
    </row>
    <row r="26">
      <c r="A26" s="63">
        <v>25.0</v>
      </c>
      <c r="B26" s="63">
        <f>'Swiss Registry'!A35</f>
        <v>34</v>
      </c>
      <c r="C26" s="63" t="str">
        <f>'Swiss Registry'!B35</f>
        <v>D3stiny</v>
      </c>
      <c r="D26" s="65" t="str">
        <f>'Swiss Registry'!C35</f>
        <v>6 - 3</v>
      </c>
    </row>
    <row r="27">
      <c r="A27" s="63">
        <v>26.0</v>
      </c>
      <c r="B27" s="63">
        <f>'Swiss Registry'!A36</f>
        <v>35</v>
      </c>
      <c r="C27" s="63" t="str">
        <f>'Swiss Registry'!B36</f>
        <v>Zacpz</v>
      </c>
      <c r="D27" s="65" t="str">
        <f>'Swiss Registry'!C36</f>
        <v>7 - 2</v>
      </c>
    </row>
    <row r="28">
      <c r="A28" s="63">
        <v>27.0</v>
      </c>
      <c r="B28" s="63">
        <f>'Swiss Registry'!A37</f>
        <v>36</v>
      </c>
      <c r="C28" s="63" t="str">
        <f>'Swiss Registry'!B37</f>
        <v>Segale</v>
      </c>
      <c r="D28" s="65" t="str">
        <f>'Swiss Registry'!C37</f>
        <v>7 - 2</v>
      </c>
    </row>
    <row r="29">
      <c r="A29" s="63">
        <v>28.0</v>
      </c>
      <c r="B29" s="63">
        <f>'Swiss Registry'!A38</f>
        <v>37</v>
      </c>
      <c r="C29" s="63" t="str">
        <f>'Swiss Registry'!B38</f>
        <v>Zerkas</v>
      </c>
      <c r="D29" s="65" t="str">
        <f>'Swiss Registry'!C38</f>
        <v>3 - 3</v>
      </c>
    </row>
    <row r="30">
      <c r="A30" s="63">
        <v>29.0</v>
      </c>
      <c r="B30" s="63">
        <f>'Swiss Registry'!A39</f>
        <v>38</v>
      </c>
      <c r="C30" s="63" t="str">
        <f>'Swiss Registry'!B39</f>
        <v>Colteor</v>
      </c>
      <c r="D30" s="65" t="str">
        <f>'Swiss Registry'!C39</f>
        <v>4 - 3</v>
      </c>
    </row>
    <row r="31">
      <c r="A31" s="63">
        <v>30.0</v>
      </c>
      <c r="B31" s="63">
        <f>'Swiss Registry'!A40</f>
        <v>39</v>
      </c>
      <c r="C31" s="63" t="str">
        <f>'Swiss Registry'!B40</f>
        <v>earlgr3y</v>
      </c>
      <c r="D31" s="65" t="str">
        <f>'Swiss Registry'!C40</f>
        <v>8 - 1</v>
      </c>
    </row>
    <row r="32">
      <c r="A32" s="63">
        <v>31.0</v>
      </c>
      <c r="B32" s="63">
        <f>'Swiss Registry'!A41</f>
        <v>40</v>
      </c>
      <c r="C32" s="63" t="str">
        <f>'Swiss Registry'!B41</f>
        <v>goldmason</v>
      </c>
      <c r="D32" s="65" t="str">
        <f>'Swiss Registry'!C41</f>
        <v>2 - 3</v>
      </c>
    </row>
    <row r="33">
      <c r="A33" s="63">
        <v>32.0</v>
      </c>
      <c r="B33" s="63">
        <f>'Swiss Registry'!A42</f>
        <v>41</v>
      </c>
      <c r="C33" s="63" t="str">
        <f>'Swiss Registry'!B42</f>
        <v>Celdanami</v>
      </c>
      <c r="D33" s="65" t="str">
        <f>'Swiss Registry'!C42</f>
        <v>5 - 3</v>
      </c>
    </row>
    <row r="34">
      <c r="A34" s="63">
        <v>33.0</v>
      </c>
      <c r="B34" s="63">
        <f>'Swiss Registry'!A43</f>
        <v>42</v>
      </c>
      <c r="C34" s="63" t="str">
        <f>'Swiss Registry'!B43</f>
        <v>ThisGuyMuks</v>
      </c>
      <c r="D34" s="65" t="str">
        <f>'Swiss Registry'!C43</f>
        <v>7 - 2</v>
      </c>
    </row>
    <row r="35">
      <c r="A35" s="63">
        <v>34.0</v>
      </c>
      <c r="B35" s="63">
        <f>'Swiss Registry'!A44</f>
        <v>43</v>
      </c>
      <c r="C35" s="63" t="str">
        <f>'Swiss Registry'!B44</f>
        <v>Christos</v>
      </c>
      <c r="D35" s="65" t="str">
        <f>'Swiss Registry'!C44</f>
        <v>7 - 2</v>
      </c>
    </row>
    <row r="36">
      <c r="A36" s="63">
        <v>35.0</v>
      </c>
      <c r="B36" s="63">
        <f>'Swiss Registry'!A45</f>
        <v>44</v>
      </c>
      <c r="C36" s="63" t="str">
        <f>'Swiss Registry'!B45</f>
        <v>Dridri457</v>
      </c>
      <c r="D36" s="65" t="str">
        <f>'Swiss Registry'!C45</f>
        <v>4 - 3</v>
      </c>
    </row>
    <row r="37">
      <c r="A37" s="63">
        <v>36.0</v>
      </c>
      <c r="B37" s="63">
        <f>'Swiss Registry'!A46</f>
        <v>45</v>
      </c>
      <c r="C37" s="63" t="str">
        <f>'Swiss Registry'!B46</f>
        <v>DeezCastforms</v>
      </c>
      <c r="D37" s="65" t="str">
        <f>'Swiss Registry'!C46</f>
        <v>7 - 2</v>
      </c>
    </row>
    <row r="38">
      <c r="A38" s="63">
        <v>37.0</v>
      </c>
      <c r="B38" s="63">
        <f>'Swiss Registry'!A47</f>
        <v>46</v>
      </c>
      <c r="C38" s="63" t="str">
        <f>'Swiss Registry'!B47</f>
        <v>Zelph</v>
      </c>
      <c r="D38" s="65" t="str">
        <f>'Swiss Registry'!C47</f>
        <v>7 - 2</v>
      </c>
    </row>
    <row r="39">
      <c r="A39" s="63">
        <v>38.0</v>
      </c>
      <c r="B39" s="63">
        <f>'Swiss Registry'!A48</f>
        <v>47</v>
      </c>
      <c r="C39" s="63" t="str">
        <f>'Swiss Registry'!B48</f>
        <v>Figull400</v>
      </c>
      <c r="D39" s="65" t="str">
        <f>'Swiss Registry'!C48</f>
        <v>7 - 2</v>
      </c>
    </row>
    <row r="40">
      <c r="A40" s="63">
        <v>39.0</v>
      </c>
      <c r="B40" s="63">
        <f>'Swiss Registry'!A49</f>
        <v>48</v>
      </c>
      <c r="C40" s="63" t="str">
        <f>'Swiss Registry'!B49</f>
        <v>Don Tonionie</v>
      </c>
      <c r="D40" s="65" t="str">
        <f>'Swiss Registry'!C49</f>
        <v>7 - 2</v>
      </c>
    </row>
    <row r="41">
      <c r="A41" s="63">
        <v>40.0</v>
      </c>
      <c r="B41" s="63">
        <f>'Swiss Registry'!A50</f>
        <v>49</v>
      </c>
      <c r="C41" s="63" t="str">
        <f>'Swiss Registry'!B50</f>
        <v>Bhol</v>
      </c>
      <c r="D41" s="65" t="str">
        <f>'Swiss Registry'!C50</f>
        <v>8 - 1</v>
      </c>
    </row>
    <row r="42">
      <c r="A42" s="63">
        <v>41.0</v>
      </c>
      <c r="B42" s="63">
        <f>'Swiss Registry'!A51</f>
        <v>50</v>
      </c>
      <c r="C42" s="63" t="str">
        <f>'Swiss Registry'!B51</f>
        <v>xTina</v>
      </c>
      <c r="D42" s="65" t="str">
        <f>'Swiss Registry'!C51</f>
        <v>5 - 3</v>
      </c>
    </row>
    <row r="43">
      <c r="A43" s="63">
        <v>42.0</v>
      </c>
      <c r="B43" s="63">
        <f>'Swiss Registry'!A52</f>
        <v>51</v>
      </c>
      <c r="C43" s="63" t="str">
        <f>'Swiss Registry'!B52</f>
        <v>Texas Cloverleaf</v>
      </c>
      <c r="D43" s="65" t="str">
        <f>'Swiss Registry'!C52</f>
        <v>1 - 3</v>
      </c>
    </row>
    <row r="44">
      <c r="A44" s="63">
        <v>43.0</v>
      </c>
      <c r="B44" s="63">
        <f>'Swiss Registry'!A53</f>
        <v>52</v>
      </c>
      <c r="C44" s="63" t="str">
        <f>'Swiss Registry'!B53</f>
        <v>OOZ</v>
      </c>
      <c r="D44" s="65" t="str">
        <f>'Swiss Registry'!C53</f>
        <v>3 - 3</v>
      </c>
    </row>
    <row r="45">
      <c r="A45" s="63">
        <v>44.0</v>
      </c>
      <c r="B45" s="63">
        <f>'Swiss Registry'!A54</f>
        <v>53</v>
      </c>
      <c r="C45" s="63" t="str">
        <f>'Swiss Registry'!B54</f>
        <v>Evakiyama</v>
      </c>
      <c r="D45" s="65" t="str">
        <f>'Swiss Registry'!C54</f>
        <v>4 - 3</v>
      </c>
    </row>
    <row r="46">
      <c r="A46" s="63">
        <v>45.0</v>
      </c>
      <c r="B46" s="63">
        <f>'Swiss Registry'!A55</f>
        <v>54</v>
      </c>
      <c r="C46" s="63" t="str">
        <f>'Swiss Registry'!B55</f>
        <v>Futtoka</v>
      </c>
      <c r="D46" s="65" t="str">
        <f>'Swiss Registry'!C55</f>
        <v>1 - 3</v>
      </c>
    </row>
    <row r="47">
      <c r="A47" s="63">
        <v>46.0</v>
      </c>
      <c r="B47" s="63">
        <f>'Swiss Registry'!A56</f>
        <v>55</v>
      </c>
      <c r="C47" s="63" t="str">
        <f>'Swiss Registry'!B56</f>
        <v>Kai (aplgd)</v>
      </c>
      <c r="D47" s="65" t="str">
        <f>'Swiss Registry'!C56</f>
        <v>7 - 2</v>
      </c>
    </row>
    <row r="48">
      <c r="A48" s="63">
        <v>47.0</v>
      </c>
      <c r="B48" s="63">
        <f>'Swiss Registry'!A57</f>
        <v>56</v>
      </c>
      <c r="C48" s="63" t="str">
        <f>'Swiss Registry'!B57</f>
        <v>Vayun</v>
      </c>
      <c r="D48" s="65" t="str">
        <f>'Swiss Registry'!C57</f>
        <v>7 - 2</v>
      </c>
    </row>
    <row r="49">
      <c r="A49" s="63">
        <v>48.0</v>
      </c>
      <c r="B49" s="63">
        <f>'Swiss Registry'!A58</f>
        <v>57</v>
      </c>
      <c r="C49" s="63" t="str">
        <f>'Swiss Registry'!B58</f>
        <v>MeEsSm</v>
      </c>
      <c r="D49" s="65" t="str">
        <f>'Swiss Registry'!C58</f>
        <v>5 - 3</v>
      </c>
    </row>
    <row r="50">
      <c r="A50" s="63">
        <v>49.0</v>
      </c>
      <c r="B50" s="63">
        <f>'Swiss Registry'!A59</f>
        <v>58</v>
      </c>
      <c r="C50" s="63" t="str">
        <f>'Swiss Registry'!B59</f>
        <v>kingofironfrisk</v>
      </c>
      <c r="D50" s="65" t="str">
        <f>'Swiss Registry'!C59</f>
        <v>4 - 3</v>
      </c>
    </row>
    <row r="51">
      <c r="A51" s="63">
        <v>50.0</v>
      </c>
      <c r="B51" s="63">
        <f>'Swiss Registry'!A60</f>
        <v>59</v>
      </c>
      <c r="C51" s="63" t="str">
        <f>'Swiss Registry'!B60</f>
        <v>OopsAllDeoxys</v>
      </c>
      <c r="D51" s="65" t="str">
        <f>'Swiss Registry'!C60</f>
        <v>3 - 3</v>
      </c>
    </row>
    <row r="52">
      <c r="A52" s="63">
        <v>51.0</v>
      </c>
      <c r="B52" s="63">
        <f>'Swiss Registry'!A61</f>
        <v>60</v>
      </c>
      <c r="C52" s="63" t="str">
        <f>'Swiss Registry'!B61</f>
        <v>Exiline</v>
      </c>
      <c r="D52" s="65" t="str">
        <f>'Swiss Registry'!C61</f>
        <v>7 - 2</v>
      </c>
    </row>
    <row r="53">
      <c r="A53" s="63">
        <v>52.0</v>
      </c>
      <c r="B53" s="63">
        <f>'Swiss Registry'!A65</f>
        <v>64</v>
      </c>
      <c r="C53" s="63" t="str">
        <f>'Swiss Registry'!B65</f>
        <v>xGangg</v>
      </c>
      <c r="D53" s="65" t="str">
        <f>'Swiss Registry'!C65</f>
        <v>7 - 2</v>
      </c>
    </row>
    <row r="54">
      <c r="A54" s="63">
        <v>53.0</v>
      </c>
      <c r="B54" s="63">
        <f>'Swiss Registry'!A66</f>
        <v>65</v>
      </c>
      <c r="C54" s="63" t="str">
        <f>'Swiss Registry'!B66</f>
        <v>shawtyyyyyyy</v>
      </c>
      <c r="D54" s="65" t="str">
        <f>'Swiss Registry'!C66</f>
        <v>4 - 3</v>
      </c>
    </row>
    <row r="55">
      <c r="A55" s="63">
        <v>54.0</v>
      </c>
      <c r="B55" s="63">
        <f>'Swiss Registry'!A67</f>
        <v>66</v>
      </c>
      <c r="C55" s="63" t="str">
        <f>'Swiss Registry'!B67</f>
        <v>Mackenzie</v>
      </c>
      <c r="D55" s="65" t="str">
        <f>'Swiss Registry'!C67</f>
        <v>7 - 2</v>
      </c>
    </row>
    <row r="56">
      <c r="A56" s="63">
        <v>55.0</v>
      </c>
      <c r="B56" s="63">
        <f>'Swiss Registry'!A70</f>
        <v>69</v>
      </c>
      <c r="C56" s="63" t="str">
        <f>'Swiss Registry'!B70</f>
        <v>Alice</v>
      </c>
      <c r="D56" s="65" t="str">
        <f>'Swiss Registry'!C70</f>
        <v>8 - 1</v>
      </c>
    </row>
    <row r="57">
      <c r="A57" s="63">
        <v>56.0</v>
      </c>
      <c r="B57" s="63">
        <f>'Swiss Registry'!A72</f>
        <v>71</v>
      </c>
      <c r="C57" s="63" t="str">
        <f>'Swiss Registry'!B72</f>
        <v>Sanke Carp</v>
      </c>
      <c r="D57" s="65" t="str">
        <f>'Swiss Registry'!C72</f>
        <v>3 - 3</v>
      </c>
    </row>
    <row r="58">
      <c r="A58" s="63">
        <v>57.0</v>
      </c>
      <c r="B58" s="63">
        <f>'Swiss Registry'!A74</f>
        <v>73</v>
      </c>
      <c r="C58" s="63" t="str">
        <f>'Swiss Registry'!B74</f>
        <v>Oathkeeper</v>
      </c>
      <c r="D58" s="65" t="str">
        <f>'Swiss Registry'!C74</f>
        <v>1 - 3</v>
      </c>
    </row>
    <row r="59">
      <c r="A59" s="63">
        <v>58.0</v>
      </c>
      <c r="B59" s="63">
        <f>'Swiss Registry'!A75</f>
        <v>74</v>
      </c>
      <c r="C59" s="63" t="str">
        <f>'Swiss Registry'!B75</f>
        <v>xXEricXx</v>
      </c>
      <c r="D59" s="65" t="str">
        <f>'Swiss Registry'!C75</f>
        <v>8 - 1</v>
      </c>
    </row>
    <row r="60">
      <c r="A60" s="63">
        <v>59.0</v>
      </c>
      <c r="B60" s="63">
        <f>'Swiss Registry'!A76</f>
        <v>75</v>
      </c>
      <c r="C60" s="63" t="str">
        <f>'Swiss Registry'!B76</f>
        <v>Marshy</v>
      </c>
      <c r="D60" s="65" t="str">
        <f>'Swiss Registry'!C76</f>
        <v>3 - 3</v>
      </c>
    </row>
    <row r="61">
      <c r="A61" s="63">
        <v>60.0</v>
      </c>
      <c r="B61" s="63">
        <f>'Swiss Registry'!A78</f>
        <v>77</v>
      </c>
      <c r="C61" s="63" t="str">
        <f>'Swiss Registry'!B78</f>
        <v>Churi</v>
      </c>
      <c r="D61" s="65" t="str">
        <f>'Swiss Registry'!C78</f>
        <v>7 - 2</v>
      </c>
    </row>
    <row r="62">
      <c r="A62" s="63">
        <v>61.0</v>
      </c>
      <c r="B62" s="63">
        <f>'Swiss Registry'!A79</f>
        <v>78</v>
      </c>
      <c r="C62" s="63" t="str">
        <f>'Swiss Registry'!B79</f>
        <v>OOF_MAXIMA</v>
      </c>
      <c r="D62" s="65" t="str">
        <f>'Swiss Registry'!C79</f>
        <v>7 - 2</v>
      </c>
    </row>
    <row r="63">
      <c r="A63" s="63">
        <v>62.0</v>
      </c>
      <c r="B63" s="63">
        <f>'Swiss Registry'!A80</f>
        <v>79</v>
      </c>
      <c r="C63" s="63" t="str">
        <f>'Swiss Registry'!B80</f>
        <v>Buzzed</v>
      </c>
      <c r="D63" s="65" t="str">
        <f>'Swiss Registry'!C80</f>
        <v>3 - 3</v>
      </c>
    </row>
    <row r="64">
      <c r="A64" s="63">
        <v>63.0</v>
      </c>
      <c r="B64" s="63">
        <f>'Swiss Registry'!A81</f>
        <v>80</v>
      </c>
      <c r="C64" s="63" t="str">
        <f>'Swiss Registry'!B81</f>
        <v>Incognition</v>
      </c>
      <c r="D64" s="65" t="str">
        <f>'Swiss Registry'!C81</f>
        <v>5 - 3</v>
      </c>
    </row>
    <row r="65">
      <c r="A65" s="63">
        <v>64.0</v>
      </c>
      <c r="B65" s="63">
        <f>'Swiss Registry'!A82</f>
        <v>81</v>
      </c>
      <c r="C65" s="63" t="str">
        <f>'Swiss Registry'!B82</f>
        <v>Tempokin</v>
      </c>
      <c r="D65" s="65" t="str">
        <f>'Swiss Registry'!C82</f>
        <v>4 - 3</v>
      </c>
    </row>
    <row r="66">
      <c r="A66" s="63">
        <v>65.0</v>
      </c>
      <c r="B66" s="63">
        <f>'Swiss Registry'!A83</f>
        <v>82</v>
      </c>
      <c r="C66" s="63" t="str">
        <f>'Swiss Registry'!B83</f>
        <v>Egor</v>
      </c>
      <c r="D66" s="65" t="str">
        <f>'Swiss Registry'!C83</f>
        <v>5 - 3</v>
      </c>
    </row>
    <row r="67">
      <c r="A67" s="63">
        <v>66.0</v>
      </c>
      <c r="B67" s="63">
        <f>'Swiss Registry'!A84</f>
        <v>83</v>
      </c>
      <c r="C67" s="63" t="str">
        <f>'Swiss Registry'!B84</f>
        <v>King Raska</v>
      </c>
      <c r="D67" s="65" t="str">
        <f>'Swiss Registry'!C84</f>
        <v>3 - 3</v>
      </c>
    </row>
    <row r="68">
      <c r="A68" s="63">
        <v>67.0</v>
      </c>
      <c r="B68" s="63">
        <f>'Swiss Registry'!A85</f>
        <v>84</v>
      </c>
      <c r="C68" s="63" t="str">
        <f>'Swiss Registry'!B85</f>
        <v>qsns</v>
      </c>
      <c r="D68" s="65" t="str">
        <f>'Swiss Registry'!C85</f>
        <v>5 - 3</v>
      </c>
    </row>
    <row r="69">
      <c r="A69" s="63">
        <v>68.0</v>
      </c>
      <c r="B69" s="63">
        <f>'Swiss Registry'!A86</f>
        <v>85</v>
      </c>
      <c r="C69" s="63" t="str">
        <f>'Swiss Registry'!B86</f>
        <v>Cyberas</v>
      </c>
      <c r="D69" s="65" t="str">
        <f>'Swiss Registry'!C86</f>
        <v>7 - 2</v>
      </c>
    </row>
    <row r="70">
      <c r="A70" s="63">
        <v>69.0</v>
      </c>
      <c r="B70" s="63">
        <f>'Swiss Registry'!A87</f>
        <v>86</v>
      </c>
      <c r="C70" s="63" t="str">
        <f>'Swiss Registry'!B87</f>
        <v>Cake</v>
      </c>
      <c r="D70" s="65" t="str">
        <f>'Swiss Registry'!C87</f>
        <v>6 - 3</v>
      </c>
    </row>
    <row r="71">
      <c r="A71" s="63">
        <v>70.0</v>
      </c>
      <c r="B71" s="63">
        <f>'Swiss Registry'!A89</f>
        <v>88</v>
      </c>
      <c r="C71" s="63" t="str">
        <f>'Swiss Registry'!B89</f>
        <v>TechSavage</v>
      </c>
      <c r="D71" s="65" t="str">
        <f>'Swiss Registry'!C89</f>
        <v>1 - 3</v>
      </c>
    </row>
    <row r="72">
      <c r="A72" s="63">
        <v>71.0</v>
      </c>
      <c r="B72" s="63">
        <f>'Swiss Registry'!A91</f>
        <v>90</v>
      </c>
      <c r="C72" s="63" t="str">
        <f>'Swiss Registry'!B91</f>
        <v>Mantis</v>
      </c>
      <c r="D72" s="65" t="str">
        <f>'Swiss Registry'!C91</f>
        <v>6 - 3</v>
      </c>
    </row>
    <row r="73">
      <c r="A73" s="63">
        <v>72.0</v>
      </c>
      <c r="B73" s="63">
        <f>'Swiss Registry'!A96</f>
        <v>95</v>
      </c>
      <c r="C73" s="63" t="str">
        <f>'Swiss Registry'!B96</f>
        <v>Otto</v>
      </c>
      <c r="D73" s="65" t="str">
        <f>'Swiss Registry'!C96</f>
        <v>7 - 2</v>
      </c>
    </row>
    <row r="74">
      <c r="A74" s="63">
        <v>73.0</v>
      </c>
      <c r="B74" s="63">
        <f>'Swiss Registry'!A97</f>
        <v>96</v>
      </c>
      <c r="C74" s="63" t="str">
        <f>'Swiss Registry'!B97</f>
        <v>Hinkage</v>
      </c>
      <c r="D74" s="65" t="str">
        <f>'Swiss Registry'!C97</f>
        <v>3 - 3</v>
      </c>
    </row>
    <row r="75">
      <c r="A75" s="63">
        <v>74.0</v>
      </c>
      <c r="B75" s="63">
        <f>'Swiss Registry'!A98</f>
        <v>97</v>
      </c>
      <c r="C75" s="63" t="str">
        <f>'Swiss Registry'!B98</f>
        <v>Seradess</v>
      </c>
      <c r="D75" s="65" t="str">
        <f>'Swiss Registry'!C98</f>
        <v>6 - 3</v>
      </c>
    </row>
    <row r="76">
      <c r="A76" s="63">
        <v>75.0</v>
      </c>
      <c r="B76" s="63">
        <f>'Swiss Registry'!A99</f>
        <v>98</v>
      </c>
      <c r="C76" s="63" t="str">
        <f>'Swiss Registry'!B99</f>
        <v>Dancing Along/Abreaction</v>
      </c>
      <c r="D76" s="65" t="str">
        <f>'Swiss Registry'!C99</f>
        <v>5 - 3</v>
      </c>
    </row>
    <row r="77">
      <c r="A77" s="63">
        <v>76.0</v>
      </c>
      <c r="B77" s="63">
        <f>'Swiss Registry'!A100</f>
        <v>99</v>
      </c>
      <c r="C77" s="63" t="str">
        <f>'Swiss Registry'!B100</f>
        <v>Just_Leo</v>
      </c>
      <c r="D77" s="65" t="str">
        <f>'Swiss Registry'!C100</f>
        <v>5 - 3</v>
      </c>
    </row>
    <row r="78">
      <c r="A78" s="63">
        <v>77.0</v>
      </c>
      <c r="B78" s="63">
        <f>'Swiss Registry'!A101</f>
        <v>100</v>
      </c>
      <c r="C78" s="63" t="str">
        <f>'Swiss Registry'!B101</f>
        <v>Zinc</v>
      </c>
      <c r="D78" s="65" t="str">
        <f>'Swiss Registry'!C101</f>
        <v>7 - 2</v>
      </c>
    </row>
    <row r="79">
      <c r="A79" s="63">
        <v>78.0</v>
      </c>
      <c r="B79" s="63">
        <f>'Swiss Registry'!A102</f>
        <v>101</v>
      </c>
      <c r="C79" s="63" t="str">
        <f>'Swiss Registry'!B102</f>
        <v>DastardlyDwarf</v>
      </c>
      <c r="D79" s="65" t="str">
        <f>'Swiss Registry'!C102</f>
        <v>1 - 3</v>
      </c>
    </row>
    <row r="80">
      <c r="A80" s="63">
        <v>79.0</v>
      </c>
      <c r="B80" s="63">
        <f>'Swiss Registry'!A248</f>
        <v>247</v>
      </c>
      <c r="C80" s="63" t="str">
        <f>'Swiss Registry'!B248</f>
        <v>gogozeppeli1890 (rconquer)</v>
      </c>
      <c r="D80" s="65" t="str">
        <f>'Swiss Registry'!C248</f>
        <v>6 - 3</v>
      </c>
    </row>
    <row r="81">
      <c r="A81" s="63">
        <v>80.0</v>
      </c>
      <c r="B81" s="63">
        <f>'Swiss Registry'!A308</f>
        <v>307</v>
      </c>
      <c r="C81" s="63" t="str">
        <f>'Swiss Registry'!B308</f>
        <v>ghostreported</v>
      </c>
      <c r="D81" s="65" t="str">
        <f>'Swiss Registry'!C308</f>
        <v>5 - 3</v>
      </c>
    </row>
    <row r="82">
      <c r="A82" s="63">
        <v>81.0</v>
      </c>
      <c r="B82" s="63">
        <f>'Swiss Registry'!A528</f>
        <v>527</v>
      </c>
      <c r="C82" s="63" t="str">
        <f>'Swiss Registry'!B528</f>
        <v>cepulo</v>
      </c>
      <c r="D82" s="65" t="str">
        <f>'Swiss Registry'!C528</f>
        <v>8 - 1</v>
      </c>
    </row>
    <row r="83">
      <c r="A83" s="63">
        <v>82.0</v>
      </c>
      <c r="B83" s="63">
        <f>'Swiss Registry'!A188</f>
        <v>187</v>
      </c>
      <c r="C83" s="63" t="str">
        <f>'Swiss Registry'!B188</f>
        <v>nicki4</v>
      </c>
      <c r="D83" s="65" t="str">
        <f>'Swiss Registry'!C188</f>
        <v>4 - 3</v>
      </c>
    </row>
    <row r="84">
      <c r="A84" s="63">
        <v>83.0</v>
      </c>
      <c r="B84" s="63">
        <f>'Swiss Registry'!A643</f>
        <v>642</v>
      </c>
      <c r="C84" s="63" t="str">
        <f>'Swiss Registry'!B643</f>
        <v>b1ur</v>
      </c>
      <c r="D84" s="65" t="str">
        <f>'Swiss Registry'!C643</f>
        <v>4 - 3</v>
      </c>
    </row>
    <row r="85">
      <c r="A85" s="63">
        <v>84.0</v>
      </c>
      <c r="B85" s="63">
        <f>'Swiss Registry'!A617</f>
        <v>616</v>
      </c>
      <c r="C85" s="63" t="str">
        <f>'Swiss Registry'!B617</f>
        <v>Upon_Link_Main</v>
      </c>
      <c r="D85" s="65" t="str">
        <f>'Swiss Registry'!C617</f>
        <v>2 - 3</v>
      </c>
    </row>
    <row r="86">
      <c r="A86" s="63">
        <v>85.0</v>
      </c>
      <c r="B86" s="63">
        <f>'Swiss Registry'!A394</f>
        <v>393</v>
      </c>
      <c r="C86" s="63" t="str">
        <f>'Swiss Registry'!B394</f>
        <v>thedarvinist</v>
      </c>
      <c r="D86" s="65" t="str">
        <f>'Swiss Registry'!C394</f>
        <v>4 - 3</v>
      </c>
    </row>
    <row r="87">
      <c r="A87" s="63">
        <v>86.0</v>
      </c>
      <c r="B87" s="63">
        <f>'Swiss Registry'!A503</f>
        <v>502</v>
      </c>
      <c r="C87" s="63" t="str">
        <f>'Swiss Registry'!B503</f>
        <v>hansenator.</v>
      </c>
      <c r="D87" s="65" t="str">
        <f>'Swiss Registry'!C503</f>
        <v>1 - 3</v>
      </c>
    </row>
    <row r="88">
      <c r="A88" s="63">
        <v>87.0</v>
      </c>
      <c r="B88" s="63">
        <f>'Swiss Registry'!A195</f>
        <v>194</v>
      </c>
      <c r="C88" s="63" t="str">
        <f>'Swiss Registry'!B195</f>
        <v>bd31</v>
      </c>
      <c r="D88" s="65" t="str">
        <f>'Swiss Registry'!C195</f>
        <v>4 - 3</v>
      </c>
    </row>
    <row r="89">
      <c r="A89" s="63">
        <v>88.0</v>
      </c>
      <c r="B89" s="63">
        <f>'Swiss Registry'!A317</f>
        <v>316</v>
      </c>
      <c r="C89" s="63" t="str">
        <f>'Swiss Registry'!B317</f>
        <v>bloomsmiles</v>
      </c>
      <c r="D89" s="65" t="str">
        <f>'Swiss Registry'!C317</f>
        <v>1 - 3</v>
      </c>
    </row>
    <row r="90">
      <c r="A90" s="63">
        <v>89.0</v>
      </c>
      <c r="B90" s="63">
        <f>'Swiss Registry'!A242</f>
        <v>241</v>
      </c>
      <c r="C90" s="63" t="str">
        <f>'Swiss Registry'!B242</f>
        <v>imcob</v>
      </c>
      <c r="D90" s="65" t="str">
        <f>'Swiss Registry'!C242</f>
        <v>1 - 3</v>
      </c>
    </row>
    <row r="91">
      <c r="A91" s="63">
        <v>90.0</v>
      </c>
      <c r="B91" s="63">
        <f>'Swiss Registry'!A364</f>
        <v>363</v>
      </c>
      <c r="C91" s="63" t="str">
        <f>'Swiss Registry'!B364</f>
        <v>Don7331</v>
      </c>
      <c r="D91" s="65" t="str">
        <f>'Swiss Registry'!C364</f>
        <v>3 - 3</v>
      </c>
    </row>
    <row r="92">
      <c r="A92" s="63">
        <v>91.0</v>
      </c>
      <c r="B92" s="63">
        <f>'Swiss Registry'!A571</f>
        <v>570</v>
      </c>
      <c r="C92" s="63" t="str">
        <f>'Swiss Registry'!B571</f>
        <v>Zacynthius02</v>
      </c>
      <c r="D92" s="65" t="str">
        <f>'Swiss Registry'!C571</f>
        <v>2 - 3</v>
      </c>
    </row>
    <row r="93">
      <c r="A93" s="63">
        <v>92.0</v>
      </c>
      <c r="B93" s="63">
        <f>'Swiss Registry'!A535</f>
        <v>534</v>
      </c>
      <c r="C93" s="63" t="str">
        <f>'Swiss Registry'!B535</f>
        <v>etibamecus.</v>
      </c>
      <c r="D93" s="65" t="str">
        <f>'Swiss Registry'!C535</f>
        <v>2 - 3</v>
      </c>
    </row>
    <row r="94">
      <c r="A94" s="63">
        <v>93.0</v>
      </c>
      <c r="B94" s="63">
        <f>'Swiss Registry'!A389</f>
        <v>388</v>
      </c>
      <c r="C94" s="63" t="str">
        <f>'Swiss Registry'!B389</f>
        <v>Tyxerns</v>
      </c>
      <c r="D94" s="65" t="str">
        <f>'Swiss Registry'!C389</f>
        <v>2 - 3</v>
      </c>
    </row>
    <row r="95">
      <c r="A95" s="63">
        <v>94.0</v>
      </c>
      <c r="B95" s="63">
        <f>'Swiss Registry'!A226</f>
        <v>225</v>
      </c>
      <c r="C95" s="63" t="str">
        <f>'Swiss Registry'!B226</f>
        <v>realfredrickDOUGLASS</v>
      </c>
      <c r="D95" s="65" t="str">
        <f>'Swiss Registry'!C226</f>
        <v>1 - 3</v>
      </c>
    </row>
    <row r="96">
      <c r="A96" s="63">
        <v>95.0</v>
      </c>
      <c r="B96" s="63">
        <f>'Swiss Registry'!A558</f>
        <v>557</v>
      </c>
      <c r="C96" s="63" t="str">
        <f>'Swiss Registry'!B558</f>
        <v>Cream314</v>
      </c>
      <c r="D96" s="65" t="str">
        <f>'Swiss Registry'!C558</f>
        <v>6 - 3</v>
      </c>
    </row>
    <row r="97">
      <c r="A97" s="63">
        <v>96.0</v>
      </c>
      <c r="B97" s="63">
        <f>'Swiss Registry'!A632</f>
        <v>631</v>
      </c>
      <c r="C97" s="63" t="str">
        <f>'Swiss Registry'!B632</f>
        <v>Slimsinatra93</v>
      </c>
      <c r="D97" s="65" t="str">
        <f>'Swiss Registry'!C632</f>
        <v>1 - 3</v>
      </c>
    </row>
    <row r="98">
      <c r="A98" s="63">
        <v>97.0</v>
      </c>
      <c r="B98" s="63">
        <f>'Swiss Registry'!A585</f>
        <v>584</v>
      </c>
      <c r="C98" s="63" t="str">
        <f>'Swiss Registry'!B585</f>
        <v>ebitachy</v>
      </c>
      <c r="D98" s="65" t="str">
        <f>'Swiss Registry'!C585</f>
        <v>3 - 3</v>
      </c>
    </row>
    <row r="99">
      <c r="A99" s="63">
        <v>98.0</v>
      </c>
      <c r="B99" s="63">
        <f>'Swiss Registry'!A237</f>
        <v>236</v>
      </c>
      <c r="C99" s="63" t="str">
        <f>'Swiss Registry'!B237</f>
        <v>treyprime</v>
      </c>
      <c r="D99" s="65" t="str">
        <f>'Swiss Registry'!C237</f>
        <v>1 - 3</v>
      </c>
    </row>
    <row r="100">
      <c r="A100" s="63">
        <v>99.0</v>
      </c>
      <c r="B100" s="63">
        <f>'Swiss Registry'!A496</f>
        <v>495</v>
      </c>
      <c r="C100" s="63" t="str">
        <f>'Swiss Registry'!B496</f>
        <v>Raven_queen</v>
      </c>
      <c r="D100" s="65" t="str">
        <f>'Swiss Registry'!C496</f>
        <v>2 - 3</v>
      </c>
    </row>
    <row r="101">
      <c r="A101" s="63">
        <v>100.0</v>
      </c>
      <c r="B101" s="63">
        <f>'Swiss Registry'!A139</f>
        <v>138</v>
      </c>
      <c r="C101" s="63" t="str">
        <f>'Swiss Registry'!B139</f>
        <v>Drekt93#0078</v>
      </c>
      <c r="D101" s="65" t="str">
        <f>'Swiss Registry'!C139</f>
        <v>2 - 3</v>
      </c>
    </row>
    <row r="102">
      <c r="A102" s="63">
        <v>101.0</v>
      </c>
      <c r="B102" s="63">
        <f>'Swiss Registry'!A587</f>
        <v>586</v>
      </c>
      <c r="C102" s="63" t="str">
        <f>'Swiss Registry'!B587</f>
        <v>Yoink 0</v>
      </c>
      <c r="D102" s="65" t="str">
        <f>'Swiss Registry'!C587</f>
        <v>5 - 3</v>
      </c>
    </row>
    <row r="103">
      <c r="A103" s="63">
        <v>102.0</v>
      </c>
      <c r="B103" s="63">
        <f>'Swiss Registry'!A285</f>
        <v>284</v>
      </c>
      <c r="C103" s="63" t="str">
        <f>'Swiss Registry'!B285</f>
        <v>jd_orph</v>
      </c>
      <c r="D103" s="65" t="str">
        <f>'Swiss Registry'!C285</f>
        <v>6 - 3</v>
      </c>
    </row>
    <row r="104">
      <c r="A104" s="63">
        <v>103.0</v>
      </c>
      <c r="B104" s="63">
        <f>'Swiss Registry'!A360</f>
        <v>359</v>
      </c>
      <c r="C104" s="63" t="str">
        <f>'Swiss Registry'!B360</f>
        <v>deckline</v>
      </c>
      <c r="D104" s="65" t="str">
        <f>'Swiss Registry'!C360</f>
        <v>1 - 3</v>
      </c>
    </row>
    <row r="105">
      <c r="A105" s="63">
        <v>104.0</v>
      </c>
      <c r="B105" s="63">
        <f>'Swiss Registry'!A184</f>
        <v>183</v>
      </c>
      <c r="C105" s="63" t="str">
        <f>'Swiss Registry'!B184</f>
        <v>darth_halux</v>
      </c>
      <c r="D105" s="65" t="str">
        <f>'Swiss Registry'!C184</f>
        <v>2 - 3</v>
      </c>
    </row>
    <row r="106">
      <c r="A106" s="63">
        <v>105.0</v>
      </c>
      <c r="B106" s="63">
        <f>'Swiss Registry'!A127</f>
        <v>126</v>
      </c>
      <c r="C106" s="63" t="str">
        <f>'Swiss Registry'!B127</f>
        <v>jussydkt</v>
      </c>
      <c r="D106" s="65" t="str">
        <f>'Swiss Registry'!C127</f>
        <v>2 - 3</v>
      </c>
    </row>
    <row r="107">
      <c r="A107" s="63">
        <v>106.0</v>
      </c>
      <c r="B107" s="63">
        <f>'Swiss Registry'!A246</f>
        <v>245</v>
      </c>
      <c r="C107" s="63" t="str">
        <f>'Swiss Registry'!B246</f>
        <v>durmain (slamonBbq)</v>
      </c>
      <c r="D107" s="65" t="str">
        <f>'Swiss Registry'!C246</f>
        <v>6 - 3</v>
      </c>
    </row>
    <row r="108">
      <c r="A108" s="63">
        <v>107.0</v>
      </c>
      <c r="B108" s="63">
        <f>'Swiss Registry'!A473</f>
        <v>472</v>
      </c>
      <c r="C108" s="63" t="str">
        <f>'Swiss Registry'!B473</f>
        <v>cremozar#6029</v>
      </c>
      <c r="D108" s="65" t="str">
        <f>'Swiss Registry'!C473</f>
        <v>2 - 3</v>
      </c>
    </row>
    <row r="109">
      <c r="A109" s="63">
        <v>108.0</v>
      </c>
      <c r="B109" s="63">
        <f>'Swiss Registry'!A516</f>
        <v>515</v>
      </c>
      <c r="C109" s="63" t="str">
        <f>'Swiss Registry'!B516</f>
        <v>Fantasmal_.</v>
      </c>
      <c r="D109" s="65" t="str">
        <f>'Swiss Registry'!C516</f>
        <v>4 - 3</v>
      </c>
    </row>
    <row r="110">
      <c r="A110" s="63">
        <v>109.0</v>
      </c>
      <c r="B110" s="63">
        <f>'Swiss Registry'!A411</f>
        <v>410</v>
      </c>
      <c r="C110" s="63" t="str">
        <f>'Swiss Registry'!B411</f>
        <v>ultraemeraldman_16197</v>
      </c>
      <c r="D110" s="65" t="str">
        <f>'Swiss Registry'!C411</f>
        <v>3 - 3</v>
      </c>
    </row>
    <row r="111">
      <c r="A111" s="63">
        <v>110.0</v>
      </c>
      <c r="B111" s="63">
        <f>'Swiss Registry'!A255</f>
        <v>254</v>
      </c>
      <c r="C111" s="63" t="str">
        <f>'Swiss Registry'!B255</f>
        <v>.seden</v>
      </c>
      <c r="D111" s="65" t="str">
        <f>'Swiss Registry'!C255</f>
        <v>2 - 3</v>
      </c>
    </row>
    <row r="112">
      <c r="A112" s="63">
        <v>111.0</v>
      </c>
      <c r="B112" s="63">
        <f>'Swiss Registry'!A684</f>
        <v>683</v>
      </c>
      <c r="C112" s="63" t="str">
        <f>'Swiss Registry'!B684</f>
        <v>ManiacalDolphin</v>
      </c>
      <c r="D112" s="65" t="str">
        <f>'Swiss Registry'!C684</f>
        <v>2 - 3</v>
      </c>
    </row>
    <row r="113">
      <c r="A113" s="63">
        <v>112.0</v>
      </c>
      <c r="B113" s="63">
        <f>'Swiss Registry'!A681</f>
        <v>680</v>
      </c>
      <c r="C113" s="63" t="str">
        <f>'Swiss Registry'!B681</f>
        <v>jthompson9021</v>
      </c>
      <c r="D113" s="65" t="str">
        <f>'Swiss Registry'!C681</f>
        <v>3 - 3</v>
      </c>
    </row>
    <row r="114">
      <c r="A114" s="63">
        <v>113.0</v>
      </c>
      <c r="B114" s="63">
        <f>'Swiss Registry'!A551</f>
        <v>550</v>
      </c>
      <c r="C114" s="63" t="str">
        <f>'Swiss Registry'!B551</f>
        <v>xho_xho_</v>
      </c>
      <c r="D114" s="65" t="str">
        <f>'Swiss Registry'!C551</f>
        <v>6 - 3</v>
      </c>
    </row>
    <row r="115">
      <c r="A115" s="63">
        <v>114.0</v>
      </c>
      <c r="B115" s="63">
        <f>'Swiss Registry'!A244</f>
        <v>243</v>
      </c>
      <c r="C115" s="63" t="str">
        <f>'Swiss Registry'!B244</f>
        <v>skittleskitty</v>
      </c>
      <c r="D115" s="65" t="str">
        <f>'Swiss Registry'!C244</f>
        <v>2 - 3</v>
      </c>
    </row>
    <row r="116">
      <c r="A116" s="63">
        <v>115.0</v>
      </c>
      <c r="B116" s="63">
        <f>'Swiss Registry'!A600</f>
        <v>599</v>
      </c>
      <c r="C116" s="63" t="str">
        <f>'Swiss Registry'!B600</f>
        <v>Klird</v>
      </c>
      <c r="D116" s="65" t="str">
        <f>'Swiss Registry'!C600</f>
        <v>7 - 2</v>
      </c>
    </row>
    <row r="117">
      <c r="A117" s="63">
        <v>116.0</v>
      </c>
      <c r="B117" s="63">
        <f>'Swiss Registry'!A201</f>
        <v>200</v>
      </c>
      <c r="C117" s="63" t="str">
        <f>'Swiss Registry'!B201</f>
        <v>squirtle_squadbig_squatto</v>
      </c>
      <c r="D117" s="65" t="str">
        <f>'Swiss Registry'!C201</f>
        <v>4 - 3</v>
      </c>
    </row>
    <row r="118">
      <c r="A118" s="63">
        <v>117.0</v>
      </c>
      <c r="B118" s="63">
        <f>'Swiss Registry'!A430</f>
        <v>429</v>
      </c>
      <c r="C118" s="63" t="str">
        <f>'Swiss Registry'!B430</f>
        <v>Aahaahaah</v>
      </c>
      <c r="D118" s="65" t="str">
        <f>'Swiss Registry'!C430</f>
        <v>3 - 3</v>
      </c>
    </row>
    <row r="119">
      <c r="A119" s="63">
        <v>118.0</v>
      </c>
      <c r="B119" s="63">
        <f>'Swiss Registry'!A553</f>
        <v>552</v>
      </c>
      <c r="C119" s="63" t="str">
        <f>'Swiss Registry'!B553</f>
        <v>marcelbruer</v>
      </c>
      <c r="D119" s="65" t="str">
        <f>'Swiss Registry'!C553</f>
        <v>2 - 3</v>
      </c>
    </row>
    <row r="120">
      <c r="A120" s="63">
        <v>119.0</v>
      </c>
      <c r="B120" s="63">
        <f>'Swiss Registry'!A555</f>
        <v>554</v>
      </c>
      <c r="C120" s="63" t="str">
        <f>'Swiss Registry'!B555</f>
        <v>ponzuuu</v>
      </c>
      <c r="D120" s="65" t="str">
        <f>'Swiss Registry'!C555</f>
        <v>1 - 3</v>
      </c>
    </row>
    <row r="121">
      <c r="A121" s="63">
        <v>120.0</v>
      </c>
      <c r="B121" s="63">
        <f>'Swiss Registry'!A355</f>
        <v>354</v>
      </c>
      <c r="C121" s="63" t="str">
        <f>'Swiss Registry'!B355</f>
        <v>grahamsandwich</v>
      </c>
      <c r="D121" s="65" t="str">
        <f>'Swiss Registry'!C355</f>
        <v>7 - 3</v>
      </c>
    </row>
    <row r="122">
      <c r="A122" s="63">
        <v>121.0</v>
      </c>
      <c r="B122" s="63">
        <f>'Swiss Registry'!A193</f>
        <v>192</v>
      </c>
      <c r="C122" s="63" t="str">
        <f>'Swiss Registry'!B193</f>
        <v>saltocorto</v>
      </c>
      <c r="D122" s="65" t="str">
        <f>'Swiss Registry'!C193</f>
        <v>4 - 3</v>
      </c>
    </row>
    <row r="123">
      <c r="A123" s="63">
        <v>122.0</v>
      </c>
      <c r="B123" s="63">
        <f>'Swiss Registry'!A321</f>
        <v>320</v>
      </c>
      <c r="C123" s="63" t="str">
        <f>'Swiss Registry'!B321</f>
        <v>jerdgerd</v>
      </c>
      <c r="D123" s="65" t="str">
        <f>'Swiss Registry'!C321</f>
        <v>4 - 3</v>
      </c>
    </row>
    <row r="124">
      <c r="A124" s="63">
        <v>123.0</v>
      </c>
      <c r="B124" s="63">
        <f>'Swiss Registry'!A556</f>
        <v>555</v>
      </c>
      <c r="C124" s="63" t="str">
        <f>'Swiss Registry'!B556</f>
        <v>denizs8</v>
      </c>
      <c r="D124" s="65" t="str">
        <f>'Swiss Registry'!C556</f>
        <v>6 - 3</v>
      </c>
    </row>
    <row r="125">
      <c r="A125" s="63">
        <v>124.0</v>
      </c>
      <c r="B125" s="63">
        <f>'Swiss Registry'!A475</f>
        <v>474</v>
      </c>
      <c r="C125" s="63" t="str">
        <f>'Swiss Registry'!B475</f>
        <v>gstrem_</v>
      </c>
      <c r="D125" s="65" t="str">
        <f>'Swiss Registry'!C475</f>
        <v>4 - 3</v>
      </c>
    </row>
    <row r="126">
      <c r="A126" s="63">
        <v>125.0</v>
      </c>
      <c r="B126" s="63">
        <f>'Swiss Registry'!A114</f>
        <v>113</v>
      </c>
      <c r="C126" s="63" t="str">
        <f>'Swiss Registry'!B114</f>
        <v>annuit99</v>
      </c>
      <c r="D126" s="65" t="str">
        <f>'Swiss Registry'!C114</f>
        <v>7 - 2</v>
      </c>
    </row>
    <row r="127">
      <c r="A127" s="63">
        <v>126.0</v>
      </c>
      <c r="B127" s="63">
        <f>'Swiss Registry'!A487</f>
        <v>486</v>
      </c>
      <c r="C127" s="63" t="str">
        <f>'Swiss Registry'!B487</f>
        <v>venomshoc</v>
      </c>
      <c r="D127" s="65" t="str">
        <f>'Swiss Registry'!C487</f>
        <v>6 - 3</v>
      </c>
    </row>
    <row r="128">
      <c r="A128" s="63">
        <v>127.0</v>
      </c>
      <c r="B128" s="63">
        <f>'Swiss Registry'!A581</f>
        <v>580</v>
      </c>
      <c r="C128" s="63" t="str">
        <f>'Swiss Registry'!B581</f>
        <v>testemunha2622</v>
      </c>
      <c r="D128" s="65" t="str">
        <f>'Swiss Registry'!C581</f>
        <v>1 - 3</v>
      </c>
    </row>
    <row r="129">
      <c r="A129" s="63">
        <v>128.0</v>
      </c>
      <c r="B129" s="63">
        <f>'Swiss Registry'!A183</f>
        <v>182</v>
      </c>
      <c r="C129" s="63" t="str">
        <f>'Swiss Registry'!B183</f>
        <v>ilikeeatingcrayons</v>
      </c>
      <c r="D129" s="65" t="str">
        <f>'Swiss Registry'!C183</f>
        <v>2 - 3</v>
      </c>
    </row>
    <row r="130">
      <c r="A130" s="63">
        <v>129.0</v>
      </c>
      <c r="B130" s="63">
        <f>'Swiss Registry'!A526</f>
        <v>525</v>
      </c>
      <c r="C130" s="63" t="str">
        <f>'Swiss Registry'!B526</f>
        <v>tyler.cox</v>
      </c>
      <c r="D130" s="65" t="str">
        <f>'Swiss Registry'!C526</f>
        <v>5 - 3</v>
      </c>
    </row>
    <row r="131">
      <c r="A131" s="63">
        <v>130.0</v>
      </c>
      <c r="B131" s="63">
        <f>'Swiss Registry'!A125</f>
        <v>124</v>
      </c>
      <c r="C131" s="63" t="str">
        <f>'Swiss Registry'!B125</f>
        <v>CheesiMoon</v>
      </c>
      <c r="D131" s="65" t="str">
        <f>'Swiss Registry'!C125</f>
        <v>5 - 3</v>
      </c>
    </row>
    <row r="132">
      <c r="A132" s="63">
        <v>131.0</v>
      </c>
      <c r="B132" s="63">
        <f>'Swiss Registry'!A197</f>
        <v>196</v>
      </c>
      <c r="C132" s="63" t="str">
        <f>'Swiss Registry'!B197</f>
        <v>steffmoney</v>
      </c>
      <c r="D132" s="65" t="str">
        <f>'Swiss Registry'!C197</f>
        <v>2 - 3</v>
      </c>
    </row>
    <row r="133">
      <c r="A133" s="63">
        <v>132.0</v>
      </c>
      <c r="B133" s="63">
        <f>'Swiss Registry'!A305</f>
        <v>304</v>
      </c>
      <c r="C133" s="63" t="str">
        <f>'Swiss Registry'!B305</f>
        <v>jeem16</v>
      </c>
      <c r="D133" s="65" t="str">
        <f>'Swiss Registry'!C305</f>
        <v>4 - 3</v>
      </c>
    </row>
    <row r="134">
      <c r="A134" s="63">
        <v>133.0</v>
      </c>
      <c r="B134" s="63">
        <f>'Swiss Registry'!A104</f>
        <v>103</v>
      </c>
      <c r="C134" s="63" t="str">
        <f>'Swiss Registry'!B104</f>
        <v>cocoo7538</v>
      </c>
      <c r="D134" s="65" t="str">
        <f>'Swiss Registry'!C104</f>
        <v>3 - 3</v>
      </c>
    </row>
    <row r="135">
      <c r="A135" s="63">
        <v>134.0</v>
      </c>
      <c r="B135" s="63">
        <f>'Swiss Registry'!A539</f>
        <v>538</v>
      </c>
      <c r="C135" s="63" t="str">
        <f>'Swiss Registry'!B539</f>
        <v>Shifty1239</v>
      </c>
      <c r="D135" s="65" t="str">
        <f>'Swiss Registry'!C539</f>
        <v>2 - 3</v>
      </c>
    </row>
    <row r="136">
      <c r="A136" s="63">
        <v>135.0</v>
      </c>
      <c r="B136" s="63">
        <f>'Swiss Registry'!A569</f>
        <v>568</v>
      </c>
      <c r="C136" s="63" t="str">
        <f>'Swiss Registry'!B569</f>
        <v>mintyerb</v>
      </c>
      <c r="D136" s="65" t="str">
        <f>'Swiss Registry'!C569</f>
        <v>6 - 3</v>
      </c>
    </row>
    <row r="137">
      <c r="A137" s="63">
        <v>136.0</v>
      </c>
      <c r="B137" s="63">
        <f>'Swiss Registry'!A253</f>
        <v>252</v>
      </c>
      <c r="C137" s="63" t="str">
        <f>'Swiss Registry'!B253</f>
        <v>JoJ</v>
      </c>
      <c r="D137" s="65" t="str">
        <f>'Swiss Registry'!C253</f>
        <v>4 - 3</v>
      </c>
    </row>
    <row r="138">
      <c r="A138" s="63">
        <v>137.0</v>
      </c>
      <c r="B138" s="63">
        <f>'Swiss Registry'!A298</f>
        <v>297</v>
      </c>
      <c r="C138" s="63" t="str">
        <f>'Swiss Registry'!B298</f>
        <v>.germ_</v>
      </c>
      <c r="D138" s="65" t="str">
        <f>'Swiss Registry'!C298</f>
        <v>2 - 3</v>
      </c>
    </row>
    <row r="139">
      <c r="A139" s="63">
        <v>138.0</v>
      </c>
      <c r="B139" s="63">
        <f>'Swiss Registry'!A529</f>
        <v>528</v>
      </c>
      <c r="C139" s="63" t="str">
        <f>'Swiss Registry'!B529</f>
        <v>Kenmarijuana</v>
      </c>
      <c r="D139" s="65" t="str">
        <f>'Swiss Registry'!C529</f>
        <v>4 - 3</v>
      </c>
    </row>
    <row r="140">
      <c r="A140" s="63">
        <v>139.0</v>
      </c>
      <c r="B140" s="63">
        <f>'Swiss Registry'!A564</f>
        <v>563</v>
      </c>
      <c r="C140" s="63" t="str">
        <f>'Swiss Registry'!B564</f>
        <v>Mintyfresh756</v>
      </c>
      <c r="D140" s="65" t="str">
        <f>'Swiss Registry'!C564</f>
        <v>6 - 3</v>
      </c>
    </row>
    <row r="141">
      <c r="A141" s="63">
        <v>140.0</v>
      </c>
      <c r="B141" s="63">
        <f>'Swiss Registry'!A267</f>
        <v>266</v>
      </c>
      <c r="C141" s="63" t="str">
        <f>'Swiss Registry'!B267</f>
        <v>lemonlc</v>
      </c>
      <c r="D141" s="65" t="str">
        <f>'Swiss Registry'!C267</f>
        <v>3 - 3</v>
      </c>
    </row>
    <row r="142">
      <c r="A142" s="63">
        <v>141.0</v>
      </c>
      <c r="B142" s="63">
        <f>'Swiss Registry'!A194</f>
        <v>193</v>
      </c>
      <c r="C142" s="63" t="str">
        <f>'Swiss Registry'!B194</f>
        <v>rovels</v>
      </c>
      <c r="D142" s="65" t="str">
        <f>'Swiss Registry'!C194</f>
        <v>3 - 3</v>
      </c>
    </row>
    <row r="143">
      <c r="A143" s="63">
        <v>142.0</v>
      </c>
      <c r="B143" s="63">
        <f>'Swiss Registry'!A326</f>
        <v>325</v>
      </c>
      <c r="C143" s="63" t="str">
        <f>'Swiss Registry'!B326</f>
        <v>secondari</v>
      </c>
      <c r="D143" s="65" t="str">
        <f>'Swiss Registry'!C326</f>
        <v>7 - 2</v>
      </c>
    </row>
    <row r="144">
      <c r="A144" s="63">
        <v>143.0</v>
      </c>
      <c r="B144" s="63">
        <f>'Swiss Registry'!A598</f>
        <v>597</v>
      </c>
      <c r="C144" s="63" t="str">
        <f>'Swiss Registry'!B598</f>
        <v>incognidoqueen</v>
      </c>
      <c r="D144" s="65" t="str">
        <f>'Swiss Registry'!C598</f>
        <v>3 - 3</v>
      </c>
    </row>
    <row r="145">
      <c r="A145" s="63">
        <v>144.0</v>
      </c>
      <c r="B145" s="63">
        <f>'Swiss Registry'!A537</f>
        <v>536</v>
      </c>
      <c r="C145" s="63" t="str">
        <f>'Swiss Registry'!B537</f>
        <v>_deacon</v>
      </c>
      <c r="D145" s="65" t="str">
        <f>'Swiss Registry'!C537</f>
        <v>5 - 3</v>
      </c>
    </row>
    <row r="146">
      <c r="A146" s="63">
        <v>145.0</v>
      </c>
      <c r="B146" s="63">
        <f>'Swiss Registry'!A148</f>
        <v>147</v>
      </c>
      <c r="C146" s="63" t="str">
        <f>'Swiss Registry'!B148</f>
        <v>liamworldpeace</v>
      </c>
      <c r="D146" s="65" t="str">
        <f>'Swiss Registry'!C148</f>
        <v>1 - 3</v>
      </c>
    </row>
    <row r="147">
      <c r="A147" s="63">
        <v>146.0</v>
      </c>
      <c r="B147" s="63">
        <f>'Swiss Registry'!A122</f>
        <v>121</v>
      </c>
      <c r="C147" s="63" t="str">
        <f>'Swiss Registry'!B122</f>
        <v>.brever.</v>
      </c>
      <c r="D147" s="65" t="str">
        <f>'Swiss Registry'!C122</f>
        <v>4 - 3</v>
      </c>
    </row>
    <row r="148">
      <c r="A148" s="63">
        <v>147.0</v>
      </c>
      <c r="B148" s="63">
        <f>'Swiss Registry'!A399</f>
        <v>398</v>
      </c>
      <c r="C148" s="63" t="str">
        <f>'Swiss Registry'!B399</f>
        <v>wavy_ish</v>
      </c>
      <c r="D148" s="65" t="str">
        <f>'Swiss Registry'!C399</f>
        <v>4 - 3</v>
      </c>
    </row>
    <row r="149">
      <c r="A149" s="63">
        <v>148.0</v>
      </c>
      <c r="B149" s="63">
        <f>'Swiss Registry'!A236</f>
        <v>235</v>
      </c>
      <c r="C149" s="63" t="str">
        <f>'Swiss Registry'!B236</f>
        <v>greencatkid</v>
      </c>
      <c r="D149" s="65" t="str">
        <f>'Swiss Registry'!C236</f>
        <v>4 - 3</v>
      </c>
    </row>
    <row r="150">
      <c r="A150" s="63">
        <v>149.0</v>
      </c>
      <c r="B150" s="63">
        <f>'Swiss Registry'!A362</f>
        <v>361</v>
      </c>
      <c r="C150" s="63" t="str">
        <f>'Swiss Registry'!B362</f>
        <v>Guebor</v>
      </c>
      <c r="D150" s="65" t="str">
        <f>'Swiss Registry'!C362</f>
        <v>3 - 3</v>
      </c>
    </row>
    <row r="151">
      <c r="A151" s="63">
        <v>150.0</v>
      </c>
      <c r="B151" s="63">
        <f>'Swiss Registry'!A506</f>
        <v>505</v>
      </c>
      <c r="C151" s="63" t="str">
        <f>'Swiss Registry'!B506</f>
        <v>etymon_</v>
      </c>
      <c r="D151" s="65" t="str">
        <f>'Swiss Registry'!C506</f>
        <v>1 - 3</v>
      </c>
    </row>
    <row r="152">
      <c r="A152" s="63">
        <v>151.0</v>
      </c>
      <c r="B152" s="63">
        <f>'Swiss Registry'!A449</f>
        <v>448</v>
      </c>
      <c r="C152" s="63" t="str">
        <f>'Swiss Registry'!B449</f>
        <v>egocheck</v>
      </c>
      <c r="D152" s="65" t="str">
        <f>'Swiss Registry'!C449</f>
        <v>4 - 3</v>
      </c>
    </row>
    <row r="153">
      <c r="A153" s="63">
        <v>152.0</v>
      </c>
      <c r="B153" s="63">
        <f>'Swiss Registry'!A174</f>
        <v>173</v>
      </c>
      <c r="C153" s="63" t="str">
        <f>'Swiss Registry'!B174</f>
        <v>temraneee</v>
      </c>
      <c r="D153" s="65" t="str">
        <f>'Swiss Registry'!C174</f>
        <v>1 - 3</v>
      </c>
    </row>
    <row r="154">
      <c r="A154" s="63">
        <v>153.0</v>
      </c>
      <c r="B154" s="63">
        <f>'Swiss Registry'!A353</f>
        <v>352</v>
      </c>
      <c r="C154" s="63" t="str">
        <f>'Swiss Registry'!B353</f>
        <v>Dwightasaurus</v>
      </c>
      <c r="D154" s="65" t="str">
        <f>'Swiss Registry'!C353</f>
        <v>5 - 3</v>
      </c>
    </row>
    <row r="155">
      <c r="A155" s="63">
        <v>154.0</v>
      </c>
      <c r="B155" s="63">
        <f>'Swiss Registry'!A493</f>
        <v>492</v>
      </c>
      <c r="C155" s="63" t="str">
        <f>'Swiss Registry'!B493</f>
        <v>cisconduct</v>
      </c>
      <c r="D155" s="65" t="str">
        <f>'Swiss Registry'!C493</f>
        <v>2 - 3</v>
      </c>
    </row>
    <row r="156">
      <c r="A156" s="63">
        <v>155.0</v>
      </c>
      <c r="B156" s="63">
        <f>'Swiss Registry'!A295</f>
        <v>294</v>
      </c>
      <c r="C156" s="63" t="str">
        <f>'Swiss Registry'!B295</f>
        <v>dorugang</v>
      </c>
      <c r="D156" s="65" t="str">
        <f>'Swiss Registry'!C295</f>
        <v>2 - 3</v>
      </c>
    </row>
    <row r="157">
      <c r="A157" s="63">
        <v>156.0</v>
      </c>
      <c r="B157" s="63">
        <f>'Swiss Registry'!A570</f>
        <v>569</v>
      </c>
      <c r="C157" s="63" t="str">
        <f>'Swiss Registry'!B570</f>
        <v>swope</v>
      </c>
      <c r="D157" s="65" t="str">
        <f>'Swiss Registry'!C570</f>
        <v>2 - 3</v>
      </c>
    </row>
    <row r="158">
      <c r="A158" s="63">
        <v>157.0</v>
      </c>
      <c r="B158" s="63">
        <f>'Swiss Registry'!A337</f>
        <v>336</v>
      </c>
      <c r="C158" s="63" t="str">
        <f>'Swiss Registry'!B337</f>
        <v>nadiddhrabb</v>
      </c>
      <c r="D158" s="65" t="str">
        <f>'Swiss Registry'!C337</f>
        <v>4 - 3</v>
      </c>
    </row>
    <row r="159">
      <c r="A159" s="63">
        <v>158.0</v>
      </c>
      <c r="B159" s="63">
        <f>'Swiss Registry'!A270</f>
        <v>269</v>
      </c>
      <c r="C159" s="63" t="str">
        <f>'Swiss Registry'!B270</f>
        <v>monchooo</v>
      </c>
      <c r="D159" s="65" t="str">
        <f>'Swiss Registry'!C270</f>
        <v>7 - 2</v>
      </c>
    </row>
    <row r="160">
      <c r="A160" s="63">
        <v>159.0</v>
      </c>
      <c r="B160" s="63">
        <f>'Swiss Registry'!A322</f>
        <v>321</v>
      </c>
      <c r="C160" s="63" t="str">
        <f>'Swiss Registry'!B322</f>
        <v>almarkowbender</v>
      </c>
      <c r="D160" s="65" t="str">
        <f>'Swiss Registry'!C322</f>
        <v>4 - 3</v>
      </c>
    </row>
    <row r="161">
      <c r="A161" s="63">
        <v>160.0</v>
      </c>
      <c r="B161" s="63">
        <f>'Swiss Registry'!A485</f>
        <v>484</v>
      </c>
      <c r="C161" s="63" t="str">
        <f>'Swiss Registry'!B485</f>
        <v>LevysChair</v>
      </c>
      <c r="D161" s="65" t="str">
        <f>'Swiss Registry'!C485</f>
        <v>2 - 3</v>
      </c>
    </row>
    <row r="162">
      <c r="A162" s="63">
        <v>161.0</v>
      </c>
      <c r="B162" s="63">
        <f>'Swiss Registry'!A390</f>
        <v>389</v>
      </c>
      <c r="C162" s="63" t="str">
        <f>'Swiss Registry'!B390</f>
        <v>Cyber-DJ</v>
      </c>
      <c r="D162" s="65" t="str">
        <f>'Swiss Registry'!C390</f>
        <v>4 - 3</v>
      </c>
    </row>
    <row r="163">
      <c r="A163" s="63">
        <v>162.0</v>
      </c>
      <c r="B163" s="63">
        <f>'Swiss Registry'!A702</f>
        <v>701</v>
      </c>
      <c r="C163" s="63" t="str">
        <f>'Swiss Registry'!B702</f>
        <v>jaden_17522</v>
      </c>
      <c r="D163" s="65" t="str">
        <f>'Swiss Registry'!C702</f>
        <v>4 - 3</v>
      </c>
    </row>
    <row r="164">
      <c r="A164" s="63">
        <v>163.0</v>
      </c>
      <c r="B164" s="63">
        <f>'Swiss Registry'!A239</f>
        <v>238</v>
      </c>
      <c r="C164" s="63" t="str">
        <f>'Swiss Registry'!B239</f>
        <v>.GeneralRevan</v>
      </c>
      <c r="D164" s="65" t="str">
        <f>'Swiss Registry'!C239</f>
        <v>6 - 3</v>
      </c>
    </row>
    <row r="165">
      <c r="A165" s="63">
        <v>164.0</v>
      </c>
      <c r="B165" s="63">
        <f>'Swiss Registry'!A155</f>
        <v>154</v>
      </c>
      <c r="C165" s="63" t="str">
        <f>'Swiss Registry'!B155</f>
        <v>Mamakoko</v>
      </c>
      <c r="D165" s="65" t="str">
        <f>'Swiss Registry'!C155</f>
        <v>3 - 3</v>
      </c>
    </row>
    <row r="166">
      <c r="A166" s="63">
        <v>165.0</v>
      </c>
      <c r="B166" s="63">
        <f>'Swiss Registry'!A548</f>
        <v>547</v>
      </c>
      <c r="C166" s="63" t="str">
        <f>'Swiss Registry'!B548</f>
        <v>lexi.pup</v>
      </c>
      <c r="D166" s="65" t="str">
        <f>'Swiss Registry'!C548</f>
        <v>7 - 2</v>
      </c>
    </row>
    <row r="167">
      <c r="A167" s="63">
        <v>166.0</v>
      </c>
      <c r="B167" s="63">
        <f>'Swiss Registry'!A234</f>
        <v>233</v>
      </c>
      <c r="C167" s="63" t="str">
        <f>'Swiss Registry'!B234</f>
        <v>Beignet</v>
      </c>
      <c r="D167" s="65" t="str">
        <f>'Swiss Registry'!C234</f>
        <v>4 - 3</v>
      </c>
    </row>
    <row r="168">
      <c r="A168" s="63">
        <v>167.0</v>
      </c>
      <c r="B168" s="63">
        <f>'Swiss Registry'!A540</f>
        <v>539</v>
      </c>
      <c r="C168" s="63" t="str">
        <f>'Swiss Registry'!B540</f>
        <v>tehpenguinofdoom</v>
      </c>
      <c r="D168" s="65" t="str">
        <f>'Swiss Registry'!C540</f>
        <v>4 - 3</v>
      </c>
    </row>
    <row r="169">
      <c r="A169" s="63">
        <v>168.0</v>
      </c>
      <c r="B169" s="63">
        <f>'Swiss Registry'!A678</f>
        <v>677</v>
      </c>
      <c r="C169" s="63" t="str">
        <f>'Swiss Registry'!B678</f>
        <v>garcilp</v>
      </c>
      <c r="D169" s="65" t="str">
        <f>'Swiss Registry'!C678</f>
        <v>4 - 3</v>
      </c>
    </row>
    <row r="170">
      <c r="A170" s="63">
        <v>169.0</v>
      </c>
      <c r="B170" s="63">
        <f>'Swiss Registry'!A541</f>
        <v>540</v>
      </c>
      <c r="C170" s="63" t="str">
        <f>'Swiss Registry'!B541</f>
        <v>tub69</v>
      </c>
      <c r="D170" s="65" t="str">
        <f>'Swiss Registry'!C541</f>
        <v>2 - 3</v>
      </c>
    </row>
    <row r="171">
      <c r="A171" s="63">
        <v>170.0</v>
      </c>
      <c r="B171" s="63">
        <f>'Swiss Registry'!A595</f>
        <v>594</v>
      </c>
      <c r="C171" s="63" t="str">
        <f>'Swiss Registry'!B595</f>
        <v>blunderpolicy</v>
      </c>
      <c r="D171" s="65" t="str">
        <f>'Swiss Registry'!C595</f>
        <v>5 - 3</v>
      </c>
    </row>
    <row r="172">
      <c r="A172" s="63">
        <v>171.0</v>
      </c>
      <c r="B172" s="63">
        <f>'Swiss Registry'!A332</f>
        <v>331</v>
      </c>
      <c r="C172" s="63" t="str">
        <f>'Swiss Registry'!B332</f>
        <v>pac_rojo</v>
      </c>
      <c r="D172" s="65" t="str">
        <f>'Swiss Registry'!C332</f>
        <v>6 - 3</v>
      </c>
    </row>
    <row r="173">
      <c r="A173" s="63">
        <v>172.0</v>
      </c>
      <c r="B173" s="63">
        <f>'Swiss Registry'!A138</f>
        <v>137</v>
      </c>
      <c r="C173" s="63" t="str">
        <f>'Swiss Registry'!B138</f>
        <v>Wizzyhatg</v>
      </c>
      <c r="D173" s="65" t="str">
        <f>'Swiss Registry'!C138</f>
        <v>2 - 3</v>
      </c>
    </row>
    <row r="174">
      <c r="A174" s="63">
        <v>173.0</v>
      </c>
      <c r="B174" s="63">
        <f>'Swiss Registry'!A172</f>
        <v>171</v>
      </c>
      <c r="C174" s="63" t="str">
        <f>'Swiss Registry'!B172</f>
        <v>knexhawk</v>
      </c>
      <c r="D174" s="65" t="str">
        <f>'Swiss Registry'!C172</f>
        <v>5 - 3</v>
      </c>
    </row>
    <row r="175">
      <c r="A175" s="63">
        <v>174.0</v>
      </c>
      <c r="B175" s="63">
        <f>'Swiss Registry'!A207</f>
        <v>206</v>
      </c>
      <c r="C175" s="63" t="str">
        <f>'Swiss Registry'!B207</f>
        <v>ccgeek_</v>
      </c>
      <c r="D175" s="65" t="str">
        <f>'Swiss Registry'!C207</f>
        <v>6 - 3</v>
      </c>
    </row>
    <row r="176">
      <c r="A176" s="63">
        <v>175.0</v>
      </c>
      <c r="B176" s="63">
        <f>'Swiss Registry'!A560</f>
        <v>559</v>
      </c>
      <c r="C176" s="63" t="str">
        <f>'Swiss Registry'!B560</f>
        <v>Mimien97</v>
      </c>
      <c r="D176" s="65" t="str">
        <f>'Swiss Registry'!C560</f>
        <v>2 - 3</v>
      </c>
    </row>
    <row r="177">
      <c r="A177" s="63">
        <v>176.0</v>
      </c>
      <c r="B177" s="63">
        <f>'Swiss Registry'!A676</f>
        <v>675</v>
      </c>
      <c r="C177" s="63" t="str">
        <f>'Swiss Registry'!B676</f>
        <v>Ehtis</v>
      </c>
      <c r="D177" s="65" t="str">
        <f>'Swiss Registry'!C676</f>
        <v>4 - 3</v>
      </c>
    </row>
    <row r="178">
      <c r="A178" s="63">
        <v>177.0</v>
      </c>
      <c r="B178" s="63">
        <f>'Swiss Registry'!A432</f>
        <v>431</v>
      </c>
      <c r="C178" s="63" t="str">
        <f>'Swiss Registry'!B432</f>
        <v>ditdus.</v>
      </c>
      <c r="D178" s="65" t="str">
        <f>'Swiss Registry'!C432</f>
        <v>3 - 3</v>
      </c>
    </row>
    <row r="179">
      <c r="A179" s="63">
        <v>178.0</v>
      </c>
      <c r="B179" s="63">
        <f>'Swiss Registry'!A280</f>
        <v>279</v>
      </c>
      <c r="C179" s="63" t="str">
        <f>'Swiss Registry'!B280</f>
        <v>bruh504</v>
      </c>
      <c r="D179" s="65" t="str">
        <f>'Swiss Registry'!C280</f>
        <v>6 - 3</v>
      </c>
    </row>
    <row r="180">
      <c r="A180" s="63">
        <v>179.0</v>
      </c>
      <c r="B180" s="63">
        <f>'Swiss Registry'!A499</f>
        <v>498</v>
      </c>
      <c r="C180" s="63" t="str">
        <f>'Swiss Registry'!B499</f>
        <v>gudemuch</v>
      </c>
      <c r="D180" s="65" t="str">
        <f>'Swiss Registry'!C499</f>
        <v>3 - 3</v>
      </c>
    </row>
    <row r="181">
      <c r="A181" s="63">
        <v>180.0</v>
      </c>
      <c r="B181" s="63">
        <f>'Swiss Registry'!A612</f>
        <v>611</v>
      </c>
      <c r="C181" s="63" t="str">
        <f>'Swiss Registry'!B612</f>
        <v>EatYourToastSon</v>
      </c>
      <c r="D181" s="65" t="str">
        <f>'Swiss Registry'!C612</f>
        <v>3 - 3</v>
      </c>
    </row>
    <row r="182">
      <c r="A182" s="63">
        <v>181.0</v>
      </c>
      <c r="B182" s="63">
        <f>'Swiss Registry'!A300</f>
        <v>299</v>
      </c>
      <c r="C182" s="63" t="str">
        <f>'Swiss Registry'!B300</f>
        <v>Rainer7849</v>
      </c>
      <c r="D182" s="65" t="str">
        <f>'Swiss Registry'!C300</f>
        <v>4 - 3</v>
      </c>
    </row>
    <row r="183">
      <c r="A183" s="63">
        <v>182.0</v>
      </c>
      <c r="B183" s="63">
        <f>'Swiss Registry'!A240</f>
        <v>239</v>
      </c>
      <c r="C183" s="63" t="str">
        <f>'Swiss Registry'!B240</f>
        <v>rbvengeance (Nicknamed RBV in the server, you can use this as a shorthand)</v>
      </c>
      <c r="D183" s="65" t="str">
        <f>'Swiss Registry'!C240</f>
        <v>1 - 3</v>
      </c>
    </row>
    <row r="184">
      <c r="A184" s="63">
        <v>183.0</v>
      </c>
      <c r="B184" s="63">
        <f>'Swiss Registry'!A561</f>
        <v>560</v>
      </c>
      <c r="C184" s="63" t="str">
        <f>'Swiss Registry'!B561</f>
        <v>otael</v>
      </c>
      <c r="D184" s="65" t="str">
        <f>'Swiss Registry'!C561</f>
        <v>2 - 3</v>
      </c>
    </row>
    <row r="185">
      <c r="A185" s="63">
        <v>184.0</v>
      </c>
      <c r="B185" s="63">
        <f>'Swiss Registry'!A372</f>
        <v>371</v>
      </c>
      <c r="C185" s="63" t="str">
        <f>'Swiss Registry'!B372</f>
        <v>Chris2324</v>
      </c>
      <c r="D185" s="65" t="str">
        <f>'Swiss Registry'!C372</f>
        <v>1 - 3</v>
      </c>
    </row>
    <row r="186">
      <c r="A186" s="63">
        <v>185.0</v>
      </c>
      <c r="B186" s="63">
        <f>'Swiss Registry'!A357</f>
        <v>356</v>
      </c>
      <c r="C186" s="63" t="str">
        <f>'Swiss Registry'!B357</f>
        <v>themightyq99</v>
      </c>
      <c r="D186" s="65" t="str">
        <f>'Swiss Registry'!C357</f>
        <v>1 - 3</v>
      </c>
    </row>
    <row r="187">
      <c r="A187" s="63">
        <v>186.0</v>
      </c>
      <c r="B187" s="63">
        <f>'Swiss Registry'!A611</f>
        <v>610</v>
      </c>
      <c r="C187" s="63" t="str">
        <f>'Swiss Registry'!B611</f>
        <v>nichard_</v>
      </c>
      <c r="D187" s="65" t="str">
        <f>'Swiss Registry'!C611</f>
        <v>3 - 3</v>
      </c>
    </row>
    <row r="188">
      <c r="A188" s="63">
        <v>187.0</v>
      </c>
      <c r="B188" s="63">
        <f>'Swiss Registry'!A241</f>
        <v>240</v>
      </c>
      <c r="C188" s="63" t="str">
        <f>'Swiss Registry'!B241</f>
        <v>wiilink100</v>
      </c>
      <c r="D188" s="65" t="str">
        <f>'Swiss Registry'!C241</f>
        <v>3 - 3</v>
      </c>
    </row>
    <row r="189">
      <c r="A189" s="63">
        <v>188.0</v>
      </c>
      <c r="B189" s="63">
        <f>'Swiss Registry'!A159</f>
        <v>158</v>
      </c>
      <c r="C189" s="63" t="str">
        <f>'Swiss Registry'!B159</f>
        <v>janis105</v>
      </c>
      <c r="D189" s="65" t="str">
        <f>'Swiss Registry'!C159</f>
        <v>1 - 3</v>
      </c>
    </row>
    <row r="190">
      <c r="A190" s="63">
        <v>189.0</v>
      </c>
      <c r="B190" s="63">
        <f>'Swiss Registry'!A175</f>
        <v>174</v>
      </c>
      <c r="C190" s="63" t="str">
        <f>'Swiss Registry'!B175</f>
        <v>Derde</v>
      </c>
      <c r="D190" s="65" t="str">
        <f>'Swiss Registry'!C175</f>
        <v>2 - 3</v>
      </c>
    </row>
    <row r="191">
      <c r="A191" s="63">
        <v>190.0</v>
      </c>
      <c r="B191" s="63">
        <f>'Swiss Registry'!A318</f>
        <v>317</v>
      </c>
      <c r="C191" s="63" t="str">
        <f>'Swiss Registry'!B318</f>
        <v>SgtPingwen</v>
      </c>
      <c r="D191" s="65" t="str">
        <f>'Swiss Registry'!C318</f>
        <v>2 - 3</v>
      </c>
    </row>
    <row r="192">
      <c r="A192" s="63">
        <v>191.0</v>
      </c>
      <c r="B192" s="63">
        <f>'Swiss Registry'!A393</f>
        <v>392</v>
      </c>
      <c r="C192" s="63" t="str">
        <f>'Swiss Registry'!B393</f>
        <v>darth0068</v>
      </c>
      <c r="D192" s="65" t="str">
        <f>'Swiss Registry'!C393</f>
        <v>2 - 3</v>
      </c>
    </row>
    <row r="193">
      <c r="A193" s="63">
        <v>192.0</v>
      </c>
      <c r="B193" s="63">
        <f>'Swiss Registry'!A338</f>
        <v>337</v>
      </c>
      <c r="C193" s="63" t="str">
        <f>'Swiss Registry'!B338</f>
        <v>iNeedJuuce</v>
      </c>
      <c r="D193" s="65" t="str">
        <f>'Swiss Registry'!C338</f>
        <v>3 - 3</v>
      </c>
    </row>
    <row r="194">
      <c r="A194" s="63">
        <v>193.0</v>
      </c>
      <c r="B194" s="63">
        <f>'Swiss Registry'!A451</f>
        <v>450</v>
      </c>
      <c r="C194" s="63" t="str">
        <f>'Swiss Registry'!B451</f>
        <v>larkindred</v>
      </c>
      <c r="D194" s="65" t="str">
        <f>'Swiss Registry'!C451</f>
        <v>3 - 3</v>
      </c>
    </row>
    <row r="195">
      <c r="A195" s="63">
        <v>194.0</v>
      </c>
      <c r="B195" s="63">
        <f>'Swiss Registry'!A231</f>
        <v>230</v>
      </c>
      <c r="C195" s="63" t="str">
        <f>'Swiss Registry'!B231</f>
        <v>J0af</v>
      </c>
      <c r="D195" s="65" t="str">
        <f>'Swiss Registry'!C231</f>
        <v>4 - 3</v>
      </c>
    </row>
    <row r="196">
      <c r="A196" s="63">
        <v>195.0</v>
      </c>
      <c r="B196" s="63">
        <f>'Swiss Registry'!A228</f>
        <v>227</v>
      </c>
      <c r="C196" s="63" t="str">
        <f>'Swiss Registry'!B228</f>
        <v>_uka</v>
      </c>
      <c r="D196" s="65" t="str">
        <f>'Swiss Registry'!C228</f>
        <v>5 - 3</v>
      </c>
    </row>
    <row r="197">
      <c r="A197" s="63">
        <v>196.0</v>
      </c>
      <c r="B197" s="63">
        <f>'Swiss Registry'!A577</f>
        <v>576</v>
      </c>
      <c r="C197" s="63" t="str">
        <f>'Swiss Registry'!B577</f>
        <v>S.k.magnet</v>
      </c>
      <c r="D197" s="65" t="str">
        <f>'Swiss Registry'!C577</f>
        <v>5 - 3</v>
      </c>
    </row>
    <row r="198">
      <c r="A198" s="63">
        <v>197.0</v>
      </c>
      <c r="B198" s="63">
        <f>'Swiss Registry'!A330</f>
        <v>329</v>
      </c>
      <c r="C198" s="63" t="str">
        <f>'Swiss Registry'!B330</f>
        <v>f1remaster (Hikari)</v>
      </c>
      <c r="D198" s="65" t="str">
        <f>'Swiss Registry'!C330</f>
        <v>5 - 3</v>
      </c>
    </row>
    <row r="199">
      <c r="A199" s="63">
        <v>198.0</v>
      </c>
      <c r="B199" s="63">
        <f>'Swiss Registry'!A542</f>
        <v>541</v>
      </c>
      <c r="C199" s="63" t="str">
        <f>'Swiss Registry'!B542</f>
        <v>derevien</v>
      </c>
      <c r="D199" s="65" t="str">
        <f>'Swiss Registry'!C542</f>
        <v>5 - 3</v>
      </c>
    </row>
    <row r="200">
      <c r="A200" s="63">
        <v>199.0</v>
      </c>
      <c r="B200" s="63">
        <f>'Swiss Registry'!A419</f>
        <v>418</v>
      </c>
      <c r="C200" s="63" t="str">
        <f>'Swiss Registry'!B419</f>
        <v>skitz_money</v>
      </c>
      <c r="D200" s="65" t="str">
        <f>'Swiss Registry'!C419</f>
        <v>2 - 3</v>
      </c>
    </row>
    <row r="201">
      <c r="A201" s="63">
        <v>200.0</v>
      </c>
      <c r="B201" s="63">
        <f>'Swiss Registry'!A594</f>
        <v>593</v>
      </c>
      <c r="C201" s="63" t="str">
        <f>'Swiss Registry'!B594</f>
        <v>adv_fella</v>
      </c>
      <c r="D201" s="65" t="str">
        <f>'Swiss Registry'!C594</f>
        <v>4 - 3</v>
      </c>
    </row>
    <row r="202">
      <c r="A202" s="63">
        <v>201.0</v>
      </c>
      <c r="B202" s="63">
        <f>'Swiss Registry'!A219</f>
        <v>218</v>
      </c>
      <c r="C202" s="63" t="str">
        <f>'Swiss Registry'!B219</f>
        <v>PuruglyIsUgly</v>
      </c>
      <c r="D202" s="65" t="str">
        <f>'Swiss Registry'!C219</f>
        <v>2 - 3</v>
      </c>
    </row>
    <row r="203">
      <c r="A203" s="63">
        <v>202.0</v>
      </c>
      <c r="B203" s="63">
        <f>'Swiss Registry'!A296</f>
        <v>295</v>
      </c>
      <c r="C203" s="63" t="str">
        <f>'Swiss Registry'!B296</f>
        <v>kuru1432</v>
      </c>
      <c r="D203" s="65" t="str">
        <f>'Swiss Registry'!C296</f>
        <v>2 - 3</v>
      </c>
    </row>
    <row r="204">
      <c r="A204" s="63">
        <v>203.0</v>
      </c>
      <c r="B204" s="63">
        <f>'Swiss Registry'!A490</f>
        <v>489</v>
      </c>
      <c r="C204" s="63" t="str">
        <f>'Swiss Registry'!B490</f>
        <v>luukthegamer</v>
      </c>
      <c r="D204" s="65" t="str">
        <f>'Swiss Registry'!C490</f>
        <v>1 - 3</v>
      </c>
    </row>
    <row r="205">
      <c r="A205" s="63">
        <v>204.0</v>
      </c>
      <c r="B205" s="63">
        <f>'Swiss Registry'!A443</f>
        <v>442</v>
      </c>
      <c r="C205" s="63" t="str">
        <f>'Swiss Registry'!B443</f>
        <v>Forte_French</v>
      </c>
      <c r="D205" s="65" t="str">
        <f>'Swiss Registry'!C443</f>
        <v>6 - 3</v>
      </c>
    </row>
    <row r="206">
      <c r="A206" s="63">
        <v>205.0</v>
      </c>
      <c r="B206" s="63">
        <f>'Swiss Registry'!A453</f>
        <v>452</v>
      </c>
      <c r="C206" s="63" t="str">
        <f>'Swiss Registry'!B453</f>
        <v>yadyaksh</v>
      </c>
      <c r="D206" s="65" t="str">
        <f>'Swiss Registry'!C453</f>
        <v>1 - 3</v>
      </c>
    </row>
    <row r="207">
      <c r="A207" s="63">
        <v>206.0</v>
      </c>
      <c r="B207" s="63">
        <f>'Swiss Registry'!A565</f>
        <v>564</v>
      </c>
      <c r="C207" s="63" t="str">
        <f>'Swiss Registry'!B565</f>
        <v>sbmalus</v>
      </c>
      <c r="D207" s="65" t="str">
        <f>'Swiss Registry'!C565</f>
        <v>4 - 3</v>
      </c>
    </row>
    <row r="208">
      <c r="A208" s="63">
        <v>207.0</v>
      </c>
      <c r="B208" s="63">
        <f>'Swiss Registry'!A694</f>
        <v>693</v>
      </c>
      <c r="C208" s="63" t="str">
        <f>'Swiss Registry'!B694</f>
        <v>sligoblues</v>
      </c>
      <c r="D208" s="65" t="str">
        <f>'Swiss Registry'!C694</f>
        <v>5 - 3</v>
      </c>
    </row>
    <row r="209">
      <c r="A209" s="63">
        <v>208.0</v>
      </c>
      <c r="B209" s="63">
        <f>'Swiss Registry'!A287</f>
        <v>286</v>
      </c>
      <c r="C209" s="63" t="str">
        <f>'Swiss Registry'!B287</f>
        <v>Ho_Chi</v>
      </c>
      <c r="D209" s="65" t="str">
        <f>'Swiss Registry'!C287</f>
        <v>4 - 3</v>
      </c>
    </row>
    <row r="210">
      <c r="A210" s="63">
        <v>209.0</v>
      </c>
      <c r="B210" s="63">
        <f>'Swiss Registry'!A683</f>
        <v>682</v>
      </c>
      <c r="C210" s="63" t="str">
        <f>'Swiss Registry'!B683</f>
        <v>5darkelves_gmen</v>
      </c>
      <c r="D210" s="65" t="str">
        <f>'Swiss Registry'!C683</f>
        <v>2 - 3</v>
      </c>
    </row>
    <row r="211">
      <c r="A211" s="63">
        <v>210.0</v>
      </c>
      <c r="B211" s="63">
        <f>'Swiss Registry'!A514</f>
        <v>513</v>
      </c>
      <c r="C211" s="63" t="str">
        <f>'Swiss Registry'!B514</f>
        <v>stolenpaper</v>
      </c>
      <c r="D211" s="65" t="str">
        <f>'Swiss Registry'!C514</f>
        <v>4 - 3</v>
      </c>
    </row>
    <row r="212">
      <c r="A212" s="63">
        <v>211.0</v>
      </c>
      <c r="B212" s="63">
        <f>'Swiss Registry'!A276</f>
        <v>275</v>
      </c>
      <c r="C212" s="63" t="str">
        <f>'Swiss Registry'!B276</f>
        <v>zxgzxg</v>
      </c>
      <c r="D212" s="65" t="str">
        <f>'Swiss Registry'!C276</f>
        <v>2 - 3</v>
      </c>
    </row>
    <row r="213">
      <c r="A213" s="63">
        <v>212.0</v>
      </c>
      <c r="B213" s="63">
        <f>'Swiss Registry'!A115</f>
        <v>114</v>
      </c>
      <c r="C213" s="63" t="str">
        <f>'Swiss Registry'!B115</f>
        <v>catholicguilttrip</v>
      </c>
      <c r="D213" s="65" t="str">
        <f>'Swiss Registry'!C115</f>
        <v>1 - 3</v>
      </c>
    </row>
    <row r="214">
      <c r="A214" s="63">
        <v>213.0</v>
      </c>
      <c r="B214" s="63">
        <f>'Swiss Registry'!A376</f>
        <v>375</v>
      </c>
      <c r="C214" s="63" t="str">
        <f>'Swiss Registry'!B376</f>
        <v>executive_assistant</v>
      </c>
      <c r="D214" s="65" t="str">
        <f>'Swiss Registry'!C376</f>
        <v>3 - 3</v>
      </c>
    </row>
    <row r="215">
      <c r="A215" s="63">
        <v>214.0</v>
      </c>
      <c r="B215" s="63">
        <f>'Swiss Registry'!A266</f>
        <v>265</v>
      </c>
      <c r="C215" s="63" t="str">
        <f>'Swiss Registry'!B266</f>
        <v>Agustin Palacios</v>
      </c>
      <c r="D215" s="65" t="str">
        <f>'Swiss Registry'!C266</f>
        <v>5 - 3</v>
      </c>
    </row>
    <row r="216">
      <c r="A216" s="63">
        <v>215.0</v>
      </c>
      <c r="B216" s="63">
        <f>'Swiss Registry'!A356</f>
        <v>355</v>
      </c>
      <c r="C216" s="63" t="str">
        <f>'Swiss Registry'!B356</f>
        <v>Sorenkazer</v>
      </c>
      <c r="D216" s="65" t="str">
        <f>'Swiss Registry'!C356</f>
        <v>5 - 3</v>
      </c>
    </row>
    <row r="217">
      <c r="A217" s="63">
        <v>216.0</v>
      </c>
      <c r="B217" s="63">
        <f>'Swiss Registry'!A153</f>
        <v>152</v>
      </c>
      <c r="C217" s="63" t="str">
        <f>'Swiss Registry'!B153</f>
        <v>heroin4sale</v>
      </c>
      <c r="D217" s="65" t="str">
        <f>'Swiss Registry'!C153</f>
        <v>1 - 3</v>
      </c>
    </row>
    <row r="218">
      <c r="A218" s="63">
        <v>217.0</v>
      </c>
      <c r="B218" s="63">
        <f>'Swiss Registry'!A544</f>
        <v>543</v>
      </c>
      <c r="C218" s="63" t="str">
        <f>'Swiss Registry'!B544</f>
        <v>s_2_w</v>
      </c>
      <c r="D218" s="65" t="str">
        <f>'Swiss Registry'!C544</f>
        <v>6 - 3</v>
      </c>
    </row>
    <row r="219">
      <c r="A219" s="63">
        <v>218.0</v>
      </c>
      <c r="B219" s="63">
        <f>'Swiss Registry'!A524</f>
        <v>523</v>
      </c>
      <c r="C219" s="63" t="str">
        <f>'Swiss Registry'!B524</f>
        <v>Mulikki123</v>
      </c>
      <c r="D219" s="65" t="str">
        <f>'Swiss Registry'!C524</f>
        <v>3 - 3</v>
      </c>
    </row>
    <row r="220">
      <c r="A220" s="63">
        <v>219.0</v>
      </c>
      <c r="B220" s="63">
        <f>'Swiss Registry'!A442</f>
        <v>441</v>
      </c>
      <c r="C220" s="63" t="str">
        <f>'Swiss Registry'!B442</f>
        <v>tj_srevlis</v>
      </c>
      <c r="D220" s="65" t="str">
        <f>'Swiss Registry'!C442</f>
        <v>2 - 3</v>
      </c>
    </row>
    <row r="221">
      <c r="A221" s="63">
        <v>220.0</v>
      </c>
      <c r="B221" s="63">
        <f>'Swiss Registry'!A331</f>
        <v>330</v>
      </c>
      <c r="C221" s="63" t="str">
        <f>'Swiss Registry'!B331</f>
        <v>sieefffmon</v>
      </c>
      <c r="D221" s="65" t="str">
        <f>'Swiss Registry'!C331</f>
        <v>6 - 3</v>
      </c>
    </row>
    <row r="222">
      <c r="A222" s="63">
        <v>221.0</v>
      </c>
      <c r="B222" s="63">
        <f>'Swiss Registry'!A221</f>
        <v>220</v>
      </c>
      <c r="C222" s="63" t="str">
        <f>'Swiss Registry'!B221</f>
        <v>I am the Jarl</v>
      </c>
      <c r="D222" s="65" t="str">
        <f>'Swiss Registry'!C221</f>
        <v>3 - 3</v>
      </c>
    </row>
    <row r="223">
      <c r="A223" s="63">
        <v>222.0</v>
      </c>
      <c r="B223" s="63">
        <f>'Swiss Registry'!A434</f>
        <v>433</v>
      </c>
      <c r="C223" s="63" t="str">
        <f>'Swiss Registry'!B434</f>
        <v>jozin457</v>
      </c>
      <c r="D223" s="65" t="str">
        <f>'Swiss Registry'!C434</f>
        <v>3 - 3</v>
      </c>
    </row>
    <row r="224">
      <c r="A224" s="63">
        <v>223.0</v>
      </c>
      <c r="B224" s="63">
        <f>'Swiss Registry'!A491</f>
        <v>490</v>
      </c>
      <c r="C224" s="63" t="str">
        <f>'Swiss Registry'!B491</f>
        <v>wombatbaby</v>
      </c>
      <c r="D224" s="65" t="str">
        <f>'Swiss Registry'!C491</f>
        <v>1 - 3</v>
      </c>
    </row>
    <row r="225">
      <c r="A225" s="63">
        <v>224.0</v>
      </c>
      <c r="B225" s="63">
        <f>'Swiss Registry'!A628</f>
        <v>627</v>
      </c>
      <c r="C225" s="63" t="str">
        <f>'Swiss Registry'!B628</f>
        <v>sheikhater</v>
      </c>
      <c r="D225" s="65" t="str">
        <f>'Swiss Registry'!C628</f>
        <v>3 - 3</v>
      </c>
    </row>
    <row r="226">
      <c r="A226" s="63">
        <v>225.0</v>
      </c>
      <c r="B226" s="63">
        <f>'Swiss Registry'!A441</f>
        <v>440</v>
      </c>
      <c r="C226" s="63" t="str">
        <f>'Swiss Registry'!B441</f>
        <v>Jsockamisama</v>
      </c>
      <c r="D226" s="65" t="str">
        <f>'Swiss Registry'!C441</f>
        <v>1 - 3</v>
      </c>
    </row>
    <row r="227">
      <c r="A227" s="63">
        <v>226.0</v>
      </c>
      <c r="B227" s="63">
        <f>'Swiss Registry'!A431</f>
        <v>430</v>
      </c>
      <c r="C227" s="63" t="str">
        <f>'Swiss Registry'!B431</f>
        <v>woeishuen</v>
      </c>
      <c r="D227" s="65" t="str">
        <f>'Swiss Registry'!C431</f>
        <v>4 - 3</v>
      </c>
    </row>
    <row r="228">
      <c r="A228" s="63">
        <v>227.0</v>
      </c>
      <c r="B228" s="63">
        <f>'Swiss Registry'!A515</f>
        <v>514</v>
      </c>
      <c r="C228" s="63" t="str">
        <f>'Swiss Registry'!B515</f>
        <v>olliertlol</v>
      </c>
      <c r="D228" s="65" t="str">
        <f>'Swiss Registry'!C515</f>
        <v>2 - 3</v>
      </c>
    </row>
    <row r="229">
      <c r="A229" s="63">
        <v>228.0</v>
      </c>
      <c r="B229" s="63">
        <f>'Swiss Registry'!A416</f>
        <v>415</v>
      </c>
      <c r="C229" s="63" t="str">
        <f>'Swiss Registry'!B416</f>
        <v>dylan69__</v>
      </c>
      <c r="D229" s="65" t="str">
        <f>'Swiss Registry'!C416</f>
        <v>4 - 3</v>
      </c>
    </row>
    <row r="230">
      <c r="A230" s="63">
        <v>229.0</v>
      </c>
      <c r="B230" s="63">
        <f>'Swiss Registry'!A592</f>
        <v>591</v>
      </c>
      <c r="C230" s="63" t="str">
        <f>'Swiss Registry'!B592</f>
        <v>funhouse3</v>
      </c>
      <c r="D230" s="65" t="str">
        <f>'Swiss Registry'!C592</f>
        <v>2 - 3</v>
      </c>
    </row>
    <row r="231">
      <c r="A231" s="63">
        <v>230.0</v>
      </c>
      <c r="B231" s="63">
        <f>'Swiss Registry'!A386</f>
        <v>385</v>
      </c>
      <c r="C231" s="63" t="str">
        <f>'Swiss Registry'!B386</f>
        <v>gonzasaurio50</v>
      </c>
      <c r="D231" s="65" t="str">
        <f>'Swiss Registry'!C386</f>
        <v>4 - 3</v>
      </c>
    </row>
    <row r="232">
      <c r="A232" s="63">
        <v>231.0</v>
      </c>
      <c r="B232" s="63">
        <f>'Swiss Registry'!A381</f>
        <v>380</v>
      </c>
      <c r="C232" s="63" t="str">
        <f>'Swiss Registry'!B381</f>
        <v>ThunderousBagel</v>
      </c>
      <c r="D232" s="65" t="str">
        <f>'Swiss Registry'!C381</f>
        <v>4 - 3</v>
      </c>
    </row>
    <row r="233">
      <c r="A233" s="63">
        <v>232.0</v>
      </c>
      <c r="B233" s="63">
        <f>'Swiss Registry'!A272</f>
        <v>271</v>
      </c>
      <c r="C233" s="63" t="str">
        <f>'Swiss Registry'!B272</f>
        <v>billgatesalt_53189</v>
      </c>
      <c r="D233" s="65" t="str">
        <f>'Swiss Registry'!C272</f>
        <v>4 - 3</v>
      </c>
    </row>
    <row r="234">
      <c r="A234" s="63">
        <v>233.0</v>
      </c>
      <c r="B234" s="63">
        <f>'Swiss Registry'!A112</f>
        <v>111</v>
      </c>
      <c r="C234" s="63" t="str">
        <f>'Swiss Registry'!B112</f>
        <v>TheTwo</v>
      </c>
      <c r="D234" s="65" t="str">
        <f>'Swiss Registry'!C112</f>
        <v>1 - 3</v>
      </c>
    </row>
    <row r="235">
      <c r="A235" s="63">
        <v>234.0</v>
      </c>
      <c r="B235" s="63">
        <f>'Swiss Registry'!A358</f>
        <v>357</v>
      </c>
      <c r="C235" s="63" t="str">
        <f>'Swiss Registry'!B358</f>
        <v>Typlion</v>
      </c>
      <c r="D235" s="65" t="str">
        <f>'Swiss Registry'!C358</f>
        <v>2 - 3</v>
      </c>
    </row>
    <row r="236">
      <c r="A236" s="63">
        <v>235.0</v>
      </c>
      <c r="B236" s="63">
        <f>'Swiss Registry'!A222</f>
        <v>221</v>
      </c>
      <c r="C236" s="63" t="str">
        <f>'Swiss Registry'!B222</f>
        <v>Tefo</v>
      </c>
      <c r="D236" s="65" t="str">
        <f>'Swiss Registry'!C222</f>
        <v>4 - 3</v>
      </c>
    </row>
    <row r="237">
      <c r="A237" s="63">
        <v>236.0</v>
      </c>
      <c r="B237" s="63">
        <f>'Swiss Registry'!A160</f>
        <v>159</v>
      </c>
      <c r="C237" s="63" t="str">
        <f>'Swiss Registry'!B160</f>
        <v>litterofbiscuits</v>
      </c>
      <c r="D237" s="65" t="str">
        <f>'Swiss Registry'!C160</f>
        <v>1 - 3</v>
      </c>
    </row>
    <row r="238">
      <c r="A238" s="63">
        <v>237.0</v>
      </c>
      <c r="B238" s="63">
        <f>'Swiss Registry'!A642</f>
        <v>641</v>
      </c>
      <c r="C238" s="63" t="str">
        <f>'Swiss Registry'!B642</f>
        <v>Josito</v>
      </c>
      <c r="D238" s="65" t="str">
        <f>'Swiss Registry'!C642</f>
        <v>1 - 3</v>
      </c>
    </row>
    <row r="239">
      <c r="A239" s="63">
        <v>238.0</v>
      </c>
      <c r="B239" s="63">
        <f>'Swiss Registry'!A500</f>
        <v>499</v>
      </c>
      <c r="C239" s="63" t="str">
        <f>'Swiss Registry'!B500</f>
        <v>leofox___</v>
      </c>
      <c r="D239" s="65" t="str">
        <f>'Swiss Registry'!C500</f>
        <v>2 - 3</v>
      </c>
    </row>
    <row r="240">
      <c r="A240" s="63">
        <v>239.0</v>
      </c>
      <c r="B240" s="63">
        <f>'Swiss Registry'!A398</f>
        <v>397</v>
      </c>
      <c r="C240" s="63" t="str">
        <f>'Swiss Registry'!B398</f>
        <v>Polt99</v>
      </c>
      <c r="D240" s="65" t="str">
        <f>'Swiss Registry'!C398</f>
        <v>2 - 3</v>
      </c>
    </row>
    <row r="241">
      <c r="A241" s="63">
        <v>240.0</v>
      </c>
      <c r="B241" s="63">
        <f>'Swiss Registry'!A192</f>
        <v>191</v>
      </c>
      <c r="C241" s="63" t="str">
        <f>'Swiss Registry'!B192</f>
        <v>thestonewallsmith</v>
      </c>
      <c r="D241" s="65" t="str">
        <f>'Swiss Registry'!C192</f>
        <v>3 - 3</v>
      </c>
    </row>
    <row r="242">
      <c r="A242" s="63">
        <v>241.0</v>
      </c>
      <c r="B242" s="63">
        <f>'Swiss Registry'!A143</f>
        <v>142</v>
      </c>
      <c r="C242" s="63" t="str">
        <f>'Swiss Registry'!B143</f>
        <v>btalb</v>
      </c>
      <c r="D242" s="65" t="str">
        <f>'Swiss Registry'!C143</f>
        <v>3 - 3</v>
      </c>
    </row>
    <row r="243">
      <c r="A243" s="63">
        <v>242.0</v>
      </c>
      <c r="B243" s="63">
        <f>'Swiss Registry'!A588</f>
        <v>587</v>
      </c>
      <c r="C243" s="63" t="str">
        <f>'Swiss Registry'!B588</f>
        <v>JCK_ionic</v>
      </c>
      <c r="D243" s="65" t="str">
        <f>'Swiss Registry'!C588</f>
        <v>3 - 3</v>
      </c>
    </row>
    <row r="244">
      <c r="A244" s="63">
        <v>243.0</v>
      </c>
      <c r="B244" s="63">
        <f>'Swiss Registry'!A198</f>
        <v>197</v>
      </c>
      <c r="C244" s="63" t="str">
        <f>'Swiss Registry'!B198</f>
        <v>xerospacious</v>
      </c>
      <c r="D244" s="65" t="str">
        <f>'Swiss Registry'!C198</f>
        <v>1 - 3</v>
      </c>
    </row>
    <row r="245">
      <c r="A245" s="63">
        <v>244.0</v>
      </c>
      <c r="B245" s="63">
        <f>'Swiss Registry'!A297</f>
        <v>296</v>
      </c>
      <c r="C245" s="63" t="str">
        <f>'Swiss Registry'!B297</f>
        <v>Superstar</v>
      </c>
      <c r="D245" s="65" t="str">
        <f>'Swiss Registry'!C297</f>
        <v>2 - 3</v>
      </c>
    </row>
    <row r="246">
      <c r="A246" s="63">
        <v>245.0</v>
      </c>
      <c r="B246" s="63">
        <f>'Swiss Registry'!A151</f>
        <v>150</v>
      </c>
      <c r="C246" s="63" t="str">
        <f>'Swiss Registry'!B151</f>
        <v>Scrigman</v>
      </c>
      <c r="D246" s="65" t="str">
        <f>'Swiss Registry'!C151</f>
        <v>4 - 3</v>
      </c>
    </row>
    <row r="247">
      <c r="A247" s="63">
        <v>246.0</v>
      </c>
      <c r="B247" s="63">
        <f>'Swiss Registry'!A412</f>
        <v>411</v>
      </c>
      <c r="C247" s="63" t="str">
        <f>'Swiss Registry'!B412</f>
        <v>FaceOFF</v>
      </c>
      <c r="D247" s="65" t="str">
        <f>'Swiss Registry'!C412</f>
        <v>6 - 3</v>
      </c>
    </row>
    <row r="248">
      <c r="A248" s="63">
        <v>247.0</v>
      </c>
      <c r="B248" s="63">
        <f>'Swiss Registry'!A173</f>
        <v>172</v>
      </c>
      <c r="C248" s="63" t="str">
        <f>'Swiss Registry'!B173</f>
        <v>Redmoonie</v>
      </c>
      <c r="D248" s="65" t="str">
        <f>'Swiss Registry'!C173</f>
        <v>4 - 3</v>
      </c>
    </row>
    <row r="249">
      <c r="A249" s="63">
        <v>248.0</v>
      </c>
      <c r="B249" s="63">
        <f>'Swiss Registry'!A481</f>
        <v>480</v>
      </c>
      <c r="C249" s="63" t="str">
        <f>'Swiss Registry'!B481</f>
        <v>Saint-ome</v>
      </c>
      <c r="D249" s="65" t="str">
        <f>'Swiss Registry'!C481</f>
        <v>4 - 3</v>
      </c>
    </row>
    <row r="250">
      <c r="A250" s="63">
        <v>249.0</v>
      </c>
      <c r="B250" s="63">
        <f>'Swiss Registry'!A403</f>
        <v>402</v>
      </c>
      <c r="C250" s="63" t="str">
        <f>'Swiss Registry'!B403</f>
        <v>.verb</v>
      </c>
      <c r="D250" s="65" t="str">
        <f>'Swiss Registry'!C403</f>
        <v>4 - 3</v>
      </c>
    </row>
    <row r="251">
      <c r="A251" s="63">
        <v>250.0</v>
      </c>
      <c r="B251" s="63">
        <f>'Swiss Registry'!A327</f>
        <v>326</v>
      </c>
      <c r="C251" s="63" t="str">
        <f>'Swiss Registry'!B327</f>
        <v>plznostep</v>
      </c>
      <c r="D251" s="65" t="str">
        <f>'Swiss Registry'!C327</f>
        <v>1 - 3</v>
      </c>
    </row>
    <row r="252">
      <c r="A252" s="63">
        <v>251.0</v>
      </c>
      <c r="B252" s="63">
        <f>'Swiss Registry'!A158</f>
        <v>157</v>
      </c>
      <c r="C252" s="63" t="str">
        <f>'Swiss Registry'!B158</f>
        <v>Amir (lordamir &amp; lordamir2)</v>
      </c>
      <c r="D252" s="65" t="str">
        <f>'Swiss Registry'!C158</f>
        <v>8 - 1</v>
      </c>
    </row>
    <row r="253">
      <c r="A253" s="63">
        <v>252.0</v>
      </c>
      <c r="B253" s="63">
        <f>'Swiss Registry'!A458</f>
        <v>457</v>
      </c>
      <c r="C253" s="63" t="str">
        <f>'Swiss Registry'!B458</f>
        <v>SoCalSon</v>
      </c>
      <c r="D253" s="65" t="str">
        <f>'Swiss Registry'!C458</f>
        <v>3 - 3</v>
      </c>
    </row>
    <row r="254">
      <c r="A254" s="63">
        <v>253.0</v>
      </c>
      <c r="B254" s="63">
        <f>'Swiss Registry'!A455</f>
        <v>454</v>
      </c>
      <c r="C254" s="63" t="str">
        <f>'Swiss Registry'!B455</f>
        <v>datguycactus</v>
      </c>
      <c r="D254" s="65" t="str">
        <f>'Swiss Registry'!C455</f>
        <v>3 - 3</v>
      </c>
    </row>
    <row r="255">
      <c r="A255" s="63">
        <v>254.0</v>
      </c>
      <c r="B255" s="63">
        <f>'Swiss Registry'!A377</f>
        <v>376</v>
      </c>
      <c r="C255" s="63" t="str">
        <f>'Swiss Registry'!B377</f>
        <v>danielck9797</v>
      </c>
      <c r="D255" s="65" t="str">
        <f>'Swiss Registry'!C377</f>
        <v>3 - 3</v>
      </c>
    </row>
    <row r="256">
      <c r="A256" s="63">
        <v>255.0</v>
      </c>
      <c r="B256" s="63">
        <f>'Swiss Registry'!A610</f>
        <v>609</v>
      </c>
      <c r="C256" s="63" t="str">
        <f>'Swiss Registry'!B610</f>
        <v>clarissen</v>
      </c>
      <c r="D256" s="65" t="str">
        <f>'Swiss Registry'!C610</f>
        <v>3 - 3</v>
      </c>
    </row>
    <row r="257">
      <c r="A257" s="63">
        <v>256.0</v>
      </c>
      <c r="B257" s="63">
        <f>'Swiss Registry'!A132</f>
        <v>131</v>
      </c>
      <c r="C257" s="63" t="str">
        <f>'Swiss Registry'!B132</f>
        <v>ReavenFTW</v>
      </c>
      <c r="D257" s="65" t="str">
        <f>'Swiss Registry'!C132</f>
        <v>5 - 3</v>
      </c>
    </row>
    <row r="258">
      <c r="A258" s="64">
        <v>257.0</v>
      </c>
      <c r="B258" s="63">
        <f>'Swiss Registry'!A238</f>
        <v>237</v>
      </c>
      <c r="C258" s="63" t="str">
        <f>'Swiss Registry'!B238</f>
        <v>heyitsmeriley</v>
      </c>
      <c r="D258" s="65" t="str">
        <f>'Swiss Registry'!C238</f>
        <v>4 - 3</v>
      </c>
    </row>
    <row r="259">
      <c r="A259" s="63">
        <v>258.0</v>
      </c>
      <c r="B259" s="63">
        <f>'Swiss Registry'!A346</f>
        <v>345</v>
      </c>
      <c r="C259" s="63" t="str">
        <f>'Swiss Registry'!B346</f>
        <v>diegoin10</v>
      </c>
      <c r="D259" s="65" t="str">
        <f>'Swiss Registry'!C346</f>
        <v>2 - 3</v>
      </c>
    </row>
    <row r="260">
      <c r="A260" s="63">
        <v>259.0</v>
      </c>
      <c r="B260" s="63">
        <f>'Swiss Registry'!A284</f>
        <v>283</v>
      </c>
      <c r="C260" s="63" t="str">
        <f>'Swiss Registry'!B284</f>
        <v>Kydreith33</v>
      </c>
      <c r="D260" s="65" t="str">
        <f>'Swiss Registry'!C284</f>
        <v>5 - 3</v>
      </c>
    </row>
    <row r="261">
      <c r="A261" s="63">
        <v>260.0</v>
      </c>
      <c r="B261" s="63">
        <f>'Swiss Registry'!A470</f>
        <v>469</v>
      </c>
      <c r="C261" s="63" t="str">
        <f>'Swiss Registry'!B470</f>
        <v>DanWhoDis</v>
      </c>
      <c r="D261" s="65" t="str">
        <f>'Swiss Registry'!C470</f>
        <v>2 - 3</v>
      </c>
    </row>
    <row r="262">
      <c r="A262" s="63">
        <v>261.0</v>
      </c>
      <c r="B262" s="63">
        <f>'Swiss Registry'!A334</f>
        <v>333</v>
      </c>
      <c r="C262" s="63" t="str">
        <f>'Swiss Registry'!B334</f>
        <v>4lowray</v>
      </c>
      <c r="D262" s="65" t="str">
        <f>'Swiss Registry'!C334</f>
        <v>1 - 3</v>
      </c>
    </row>
    <row r="263">
      <c r="A263" s="63">
        <v>262.0</v>
      </c>
      <c r="B263" s="63">
        <f>'Swiss Registry'!A549</f>
        <v>548</v>
      </c>
      <c r="C263" s="63" t="str">
        <f>'Swiss Registry'!B549</f>
        <v>jotaentrena</v>
      </c>
      <c r="D263" s="65" t="str">
        <f>'Swiss Registry'!C549</f>
        <v>2 - 3</v>
      </c>
    </row>
    <row r="264">
      <c r="A264" s="63">
        <v>263.0</v>
      </c>
      <c r="B264" s="63">
        <f>'Swiss Registry'!A299</f>
        <v>298</v>
      </c>
      <c r="C264" s="63" t="str">
        <f>'Swiss Registry'!B299</f>
        <v>Jibca</v>
      </c>
      <c r="D264" s="65" t="str">
        <f>'Swiss Registry'!C299</f>
        <v>1 - 3</v>
      </c>
    </row>
    <row r="265">
      <c r="A265" s="63">
        <v>264.0</v>
      </c>
      <c r="B265" s="63">
        <f>'Swiss Registry'!A582</f>
        <v>581</v>
      </c>
      <c r="C265" s="63" t="str">
        <f>'Swiss Registry'!B582</f>
        <v>brestelli</v>
      </c>
      <c r="D265" s="65" t="str">
        <f>'Swiss Registry'!C582</f>
        <v>2 - 3</v>
      </c>
    </row>
    <row r="266">
      <c r="A266" s="63">
        <v>265.0</v>
      </c>
      <c r="B266" s="63">
        <f>'Swiss Registry'!A121</f>
        <v>120</v>
      </c>
      <c r="C266" s="63" t="str">
        <f>'Swiss Registry'!B121</f>
        <v>dicerat8</v>
      </c>
      <c r="D266" s="65" t="str">
        <f>'Swiss Registry'!C121</f>
        <v>7 - 2</v>
      </c>
    </row>
    <row r="267">
      <c r="A267" s="63">
        <v>266.0</v>
      </c>
      <c r="B267" s="63">
        <f>'Swiss Registry'!A436</f>
        <v>435</v>
      </c>
      <c r="C267" s="63" t="str">
        <f>'Swiss Registry'!B436</f>
        <v>UnzipsCrogre</v>
      </c>
      <c r="D267" s="65" t="str">
        <f>'Swiss Registry'!C436</f>
        <v>3 - 3</v>
      </c>
    </row>
    <row r="268">
      <c r="A268" s="63">
        <v>267.0</v>
      </c>
      <c r="B268" s="63">
        <f>'Swiss Registry'!A509</f>
        <v>508</v>
      </c>
      <c r="C268" s="63" t="str">
        <f>'Swiss Registry'!B509</f>
        <v>michaelmeets</v>
      </c>
      <c r="D268" s="65" t="str">
        <f>'Swiss Registry'!C509</f>
        <v>1 - 3</v>
      </c>
    </row>
    <row r="269">
      <c r="A269" s="63">
        <v>268.0</v>
      </c>
      <c r="B269" s="63">
        <f>'Swiss Registry'!A309</f>
        <v>308</v>
      </c>
      <c r="C269" s="63" t="str">
        <f>'Swiss Registry'!B309</f>
        <v>hipimochi</v>
      </c>
      <c r="D269" s="65" t="str">
        <f>'Swiss Registry'!C309</f>
        <v>2 - 3</v>
      </c>
    </row>
    <row r="270">
      <c r="A270" s="63">
        <v>269.0</v>
      </c>
      <c r="B270" s="63">
        <f>'Swiss Registry'!A615</f>
        <v>614</v>
      </c>
      <c r="C270" s="63" t="str">
        <f>'Swiss Registry'!B615</f>
        <v>Leeto64</v>
      </c>
      <c r="D270" s="65" t="str">
        <f>'Swiss Registry'!C615</f>
        <v>3 - 3</v>
      </c>
    </row>
    <row r="271">
      <c r="A271" s="63">
        <v>270.0</v>
      </c>
      <c r="B271" s="63">
        <f>'Swiss Registry'!A227</f>
        <v>226</v>
      </c>
      <c r="C271" s="63" t="str">
        <f>'Swiss Registry'!B227</f>
        <v>Alargemongoose</v>
      </c>
      <c r="D271" s="65" t="str">
        <f>'Swiss Registry'!C227</f>
        <v>8 - 1</v>
      </c>
    </row>
    <row r="272">
      <c r="A272" s="63">
        <v>271.0</v>
      </c>
      <c r="B272" s="63">
        <f>'Swiss Registry'!A476</f>
        <v>475</v>
      </c>
      <c r="C272" s="63" t="str">
        <f>'Swiss Registry'!B476</f>
        <v>busyboi</v>
      </c>
      <c r="D272" s="65" t="str">
        <f>'Swiss Registry'!C476</f>
        <v>4 - 3</v>
      </c>
    </row>
    <row r="273">
      <c r="A273" s="63">
        <v>272.0</v>
      </c>
      <c r="B273" s="63">
        <f>'Swiss Registry'!A423</f>
        <v>422</v>
      </c>
      <c r="C273" s="63" t="str">
        <f>'Swiss Registry'!B423</f>
        <v>ShotoNC</v>
      </c>
      <c r="D273" s="65" t="str">
        <f>'Swiss Registry'!C423</f>
        <v>3 - 3</v>
      </c>
    </row>
    <row r="274">
      <c r="A274" s="63">
        <v>273.0</v>
      </c>
      <c r="B274" s="63">
        <f>'Swiss Registry'!A472</f>
        <v>471</v>
      </c>
      <c r="C274" s="63" t="str">
        <f>'Swiss Registry'!B472</f>
        <v>Sificon</v>
      </c>
      <c r="D274" s="65" t="str">
        <f>'Swiss Registry'!C472</f>
        <v>7 - 2</v>
      </c>
    </row>
    <row r="275">
      <c r="A275" s="63">
        <v>274.0</v>
      </c>
      <c r="B275" s="63">
        <f>'Swiss Registry'!A462</f>
        <v>461</v>
      </c>
      <c r="C275" s="63" t="str">
        <f>'Swiss Registry'!B462</f>
        <v>isaiahterveen</v>
      </c>
      <c r="D275" s="65" t="str">
        <f>'Swiss Registry'!C462</f>
        <v>2 - 3</v>
      </c>
    </row>
    <row r="276">
      <c r="A276" s="63">
        <v>275.0</v>
      </c>
      <c r="B276" s="63">
        <f>'Swiss Registry'!A488</f>
        <v>487</v>
      </c>
      <c r="C276" s="63" t="str">
        <f>'Swiss Registry'!B488</f>
        <v>owlman7507</v>
      </c>
      <c r="D276" s="65" t="str">
        <f>'Swiss Registry'!C488</f>
        <v>6 - 3</v>
      </c>
    </row>
    <row r="277">
      <c r="A277" s="63">
        <v>276.0</v>
      </c>
      <c r="B277" s="63">
        <f>'Swiss Registry'!A265</f>
        <v>264</v>
      </c>
      <c r="C277" s="63" t="str">
        <f>'Swiss Registry'!B265</f>
        <v>Ghostmalone.</v>
      </c>
      <c r="D277" s="65" t="str">
        <f>'Swiss Registry'!C265</f>
        <v>4 - 3</v>
      </c>
    </row>
    <row r="278">
      <c r="A278" s="63">
        <v>277.0</v>
      </c>
      <c r="B278" s="63">
        <f>'Swiss Registry'!A534</f>
        <v>533</v>
      </c>
      <c r="C278" s="63" t="str">
        <f>'Swiss Registry'!B534</f>
        <v>deftbrixton</v>
      </c>
      <c r="D278" s="65" t="str">
        <f>'Swiss Registry'!C534</f>
        <v>2 - 3</v>
      </c>
    </row>
    <row r="279">
      <c r="A279" s="63">
        <v>278.0</v>
      </c>
      <c r="B279" s="63">
        <f>'Swiss Registry'!A178</f>
        <v>177</v>
      </c>
      <c r="C279" s="63" t="str">
        <f>'Swiss Registry'!B178</f>
        <v>tree69420</v>
      </c>
      <c r="D279" s="65" t="str">
        <f>'Swiss Registry'!C178</f>
        <v>7 - 2</v>
      </c>
    </row>
    <row r="280">
      <c r="A280" s="63">
        <v>279.0</v>
      </c>
      <c r="B280" s="63">
        <f>'Swiss Registry'!A380</f>
        <v>379</v>
      </c>
      <c r="C280" s="63" t="str">
        <f>'Swiss Registry'!B380</f>
        <v>HunarPG</v>
      </c>
      <c r="D280" s="65" t="str">
        <f>'Swiss Registry'!C380</f>
        <v>2 - 3</v>
      </c>
    </row>
    <row r="281">
      <c r="A281" s="63">
        <v>280.0</v>
      </c>
      <c r="B281" s="63">
        <f>'Swiss Registry'!A446</f>
        <v>445</v>
      </c>
      <c r="C281" s="63" t="str">
        <f>'Swiss Registry'!B446</f>
        <v>1captainmorgan</v>
      </c>
      <c r="D281" s="65" t="str">
        <f>'Swiss Registry'!C446</f>
        <v>2 - 3</v>
      </c>
    </row>
    <row r="282">
      <c r="A282" s="63">
        <v>281.0</v>
      </c>
      <c r="B282" s="63">
        <f>'Swiss Registry'!A448</f>
        <v>447</v>
      </c>
      <c r="C282" s="63" t="str">
        <f>'Swiss Registry'!B448</f>
        <v>TRXXJEH</v>
      </c>
      <c r="D282" s="65" t="str">
        <f>'Swiss Registry'!C448</f>
        <v>4 - 3</v>
      </c>
    </row>
    <row r="283">
      <c r="A283" s="63">
        <v>282.0</v>
      </c>
      <c r="B283" s="63">
        <f>'Swiss Registry'!A454</f>
        <v>453</v>
      </c>
      <c r="C283" s="63" t="str">
        <f>'Swiss Registry'!B454</f>
        <v>madelinmorningstar</v>
      </c>
      <c r="D283" s="65" t="str">
        <f>'Swiss Registry'!C454</f>
        <v>2 - 3</v>
      </c>
    </row>
    <row r="284">
      <c r="A284" s="63">
        <v>283.0</v>
      </c>
      <c r="B284" s="63">
        <f>'Swiss Registry'!A427</f>
        <v>426</v>
      </c>
      <c r="C284" s="63" t="str">
        <f>'Swiss Registry'!B427</f>
        <v>felipe01788_</v>
      </c>
      <c r="D284" s="65" t="str">
        <f>'Swiss Registry'!C427</f>
        <v>1 - 3</v>
      </c>
    </row>
    <row r="285">
      <c r="A285" s="63">
        <v>284.0</v>
      </c>
      <c r="B285" s="63">
        <f>'Swiss Registry'!A424</f>
        <v>423</v>
      </c>
      <c r="C285" s="63" t="str">
        <f>'Swiss Registry'!B424</f>
        <v>fastandsleepy</v>
      </c>
      <c r="D285" s="65" t="str">
        <f>'Swiss Registry'!C424</f>
        <v>6 - 3</v>
      </c>
    </row>
    <row r="286">
      <c r="A286" s="63">
        <v>285.0</v>
      </c>
      <c r="B286" s="63">
        <f>'Swiss Registry'!A162</f>
        <v>161</v>
      </c>
      <c r="C286" s="63" t="str">
        <f>'Swiss Registry'!B162</f>
        <v>br.twfb</v>
      </c>
      <c r="D286" s="65" t="str">
        <f>'Swiss Registry'!C162</f>
        <v>5 - 3</v>
      </c>
    </row>
    <row r="287">
      <c r="A287" s="63">
        <v>286.0</v>
      </c>
      <c r="B287" s="63">
        <f>'Swiss Registry'!A129</f>
        <v>128</v>
      </c>
      <c r="C287" s="63" t="str">
        <f>'Swiss Registry'!B129</f>
        <v>iwasmoth</v>
      </c>
      <c r="D287" s="65" t="str">
        <f>'Swiss Registry'!C129</f>
        <v>2 - 3</v>
      </c>
    </row>
    <row r="288">
      <c r="A288" s="63">
        <v>287.0</v>
      </c>
      <c r="B288" s="63">
        <f>'Swiss Registry'!A674</f>
        <v>673</v>
      </c>
      <c r="C288" s="63" t="str">
        <f>'Swiss Registry'!B674</f>
        <v>Felizelise</v>
      </c>
      <c r="D288" s="65" t="str">
        <f>'Swiss Registry'!C674</f>
        <v>2 - 3</v>
      </c>
    </row>
    <row r="289">
      <c r="A289" s="63">
        <v>288.0</v>
      </c>
      <c r="B289" s="63">
        <f>'Swiss Registry'!A335</f>
        <v>334</v>
      </c>
      <c r="C289" s="63" t="str">
        <f>'Swiss Registry'!B335</f>
        <v>Tiberiusfieri</v>
      </c>
      <c r="D289" s="65" t="str">
        <f>'Swiss Registry'!C335</f>
        <v>5 - 3</v>
      </c>
    </row>
    <row r="290">
      <c r="A290" s="63">
        <v>289.0</v>
      </c>
      <c r="B290" s="63">
        <f>'Swiss Registry'!A501</f>
        <v>500</v>
      </c>
      <c r="C290" s="63" t="str">
        <f>'Swiss Registry'!B501</f>
        <v>mmtimmo</v>
      </c>
      <c r="D290" s="65" t="str">
        <f>'Swiss Registry'!C501</f>
        <v>4 - 3</v>
      </c>
    </row>
    <row r="291">
      <c r="A291" s="63">
        <v>290.0</v>
      </c>
      <c r="B291" s="63">
        <f>'Swiss Registry'!A277</f>
        <v>276</v>
      </c>
      <c r="C291" s="63" t="str">
        <f>'Swiss Registry'!B277</f>
        <v>Papa Escargo</v>
      </c>
      <c r="D291" s="65" t="str">
        <f>'Swiss Registry'!C277</f>
        <v>5 - 3</v>
      </c>
    </row>
    <row r="292">
      <c r="A292" s="63">
        <v>291.0</v>
      </c>
      <c r="B292" s="63">
        <f>'Swiss Registry'!A279</f>
        <v>278</v>
      </c>
      <c r="C292" s="63" t="str">
        <f>'Swiss Registry'!B279</f>
        <v>voidvolta</v>
      </c>
      <c r="D292" s="65" t="str">
        <f>'Swiss Registry'!C279</f>
        <v>1 - 3</v>
      </c>
    </row>
    <row r="293">
      <c r="A293" s="63">
        <v>292.0</v>
      </c>
      <c r="B293" s="63">
        <f>'Swiss Registry'!A480</f>
        <v>479</v>
      </c>
      <c r="C293" s="63" t="str">
        <f>'Swiss Registry'!B480</f>
        <v>med470</v>
      </c>
      <c r="D293" s="65" t="str">
        <f>'Swiss Registry'!C480</f>
        <v>3 - 3</v>
      </c>
    </row>
    <row r="294">
      <c r="A294" s="63">
        <v>293.0</v>
      </c>
      <c r="B294" s="63">
        <f>'Swiss Registry'!A351</f>
        <v>350</v>
      </c>
      <c r="C294" s="63" t="str">
        <f>'Swiss Registry'!B351</f>
        <v>bohrier</v>
      </c>
      <c r="D294" s="65" t="str">
        <f>'Swiss Registry'!C351</f>
        <v>4 - 3</v>
      </c>
    </row>
    <row r="295">
      <c r="A295" s="63">
        <v>294.0</v>
      </c>
      <c r="B295" s="63">
        <f>'Swiss Registry'!A261</f>
        <v>260</v>
      </c>
      <c r="C295" s="63" t="str">
        <f>'Swiss Registry'!B261</f>
        <v>Attazer</v>
      </c>
      <c r="D295" s="65" t="str">
        <f>'Swiss Registry'!C261</f>
        <v>3 - 3</v>
      </c>
    </row>
    <row r="296">
      <c r="A296" s="63">
        <v>295.0</v>
      </c>
      <c r="B296" s="63">
        <f>'Swiss Registry'!A106</f>
        <v>105</v>
      </c>
      <c r="C296" s="63" t="str">
        <f>'Swiss Registry'!B106</f>
        <v>The_Badger1230</v>
      </c>
      <c r="D296" s="65" t="str">
        <f>'Swiss Registry'!C106</f>
        <v>4 - 3</v>
      </c>
    </row>
    <row r="297">
      <c r="A297" s="63">
        <v>296.0</v>
      </c>
      <c r="B297" s="63">
        <f>'Swiss Registry'!A568</f>
        <v>567</v>
      </c>
      <c r="C297" s="63" t="str">
        <f>'Swiss Registry'!B568</f>
        <v>Kenuckz</v>
      </c>
      <c r="D297" s="65" t="str">
        <f>'Swiss Registry'!C568</f>
        <v>6 - 3</v>
      </c>
    </row>
    <row r="298">
      <c r="A298" s="63">
        <v>297.0</v>
      </c>
      <c r="B298" s="63">
        <f>'Swiss Registry'!A641</f>
        <v>640</v>
      </c>
      <c r="C298" s="63" t="str">
        <f>'Swiss Registry'!B641</f>
        <v>@spreek</v>
      </c>
      <c r="D298" s="65" t="str">
        <f>'Swiss Registry'!C641</f>
        <v>7 - 2</v>
      </c>
    </row>
    <row r="299">
      <c r="A299" s="63">
        <v>298.0</v>
      </c>
      <c r="B299" s="63">
        <f>'Swiss Registry'!A142</f>
        <v>141</v>
      </c>
      <c r="C299" s="63" t="str">
        <f>'Swiss Registry'!B142</f>
        <v>danielsemmson</v>
      </c>
      <c r="D299" s="65" t="str">
        <f>'Swiss Registry'!C142</f>
        <v>3 - 3</v>
      </c>
    </row>
    <row r="300">
      <c r="A300" s="63">
        <v>299.0</v>
      </c>
      <c r="B300" s="63">
        <f>'Swiss Registry'!A518</f>
        <v>517</v>
      </c>
      <c r="C300" s="63" t="str">
        <f>'Swiss Registry'!B518</f>
        <v>oskari1707</v>
      </c>
      <c r="D300" s="65" t="str">
        <f>'Swiss Registry'!C518</f>
        <v>7 - 2</v>
      </c>
    </row>
    <row r="301">
      <c r="A301" s="63">
        <v>300.0</v>
      </c>
      <c r="B301" s="63">
        <f>'Swiss Registry'!A589</f>
        <v>588</v>
      </c>
      <c r="C301" s="63" t="str">
        <f>'Swiss Registry'!B589</f>
        <v>witgiz</v>
      </c>
      <c r="D301" s="65" t="str">
        <f>'Swiss Registry'!C589</f>
        <v>6 - 3</v>
      </c>
    </row>
    <row r="302">
      <c r="A302" s="63">
        <v>301.0</v>
      </c>
      <c r="B302" s="63">
        <f>'Swiss Registry'!A342</f>
        <v>341</v>
      </c>
      <c r="C302" s="63" t="str">
        <f>'Swiss Registry'!B342</f>
        <v>terradayy</v>
      </c>
      <c r="D302" s="65" t="str">
        <f>'Swiss Registry'!C342</f>
        <v>2 - 3</v>
      </c>
    </row>
    <row r="303">
      <c r="A303" s="63">
        <v>302.0</v>
      </c>
      <c r="B303" s="63">
        <f>'Swiss Registry'!A169</f>
        <v>168</v>
      </c>
      <c r="C303" s="63" t="str">
        <f>'Swiss Registry'!B169</f>
        <v>triiplemonstre</v>
      </c>
      <c r="D303" s="65" t="str">
        <f>'Swiss Registry'!C169</f>
        <v>2 - 3</v>
      </c>
    </row>
    <row r="304">
      <c r="A304" s="63">
        <v>303.0</v>
      </c>
      <c r="B304" s="63">
        <f>'Swiss Registry'!A245</f>
        <v>244</v>
      </c>
      <c r="C304" s="63" t="str">
        <f>'Swiss Registry'!B245</f>
        <v>resen</v>
      </c>
      <c r="D304" s="65" t="str">
        <f>'Swiss Registry'!C245</f>
        <v>2 - 3</v>
      </c>
    </row>
    <row r="305">
      <c r="A305" s="63">
        <v>304.0</v>
      </c>
      <c r="B305" s="63">
        <f>'Swiss Registry'!A180</f>
        <v>179</v>
      </c>
      <c r="C305" s="63" t="str">
        <f>'Swiss Registry'!B180</f>
        <v>nekuyagokoro</v>
      </c>
      <c r="D305" s="65" t="str">
        <f>'Swiss Registry'!C180</f>
        <v>3 - 3</v>
      </c>
    </row>
    <row r="306">
      <c r="A306" s="63">
        <v>305.0</v>
      </c>
      <c r="B306" s="63">
        <f>'Swiss Registry'!A320</f>
        <v>319</v>
      </c>
      <c r="C306" s="63" t="str">
        <f>'Swiss Registry'!B320</f>
        <v>Melee Minion</v>
      </c>
      <c r="D306" s="65" t="str">
        <f>'Swiss Registry'!C320</f>
        <v>3 - 3</v>
      </c>
    </row>
    <row r="307">
      <c r="A307" s="63">
        <v>306.0</v>
      </c>
      <c r="B307" s="63">
        <f>'Swiss Registry'!A258</f>
        <v>257</v>
      </c>
      <c r="C307" s="63" t="str">
        <f>'Swiss Registry'!B258</f>
        <v>moistmania</v>
      </c>
      <c r="D307" s="65" t="str">
        <f>'Swiss Registry'!C258</f>
        <v>4 - 3</v>
      </c>
    </row>
    <row r="308">
      <c r="A308" s="63">
        <v>307.0</v>
      </c>
      <c r="B308" s="63">
        <f>'Swiss Registry'!A216</f>
        <v>215</v>
      </c>
      <c r="C308" s="63" t="str">
        <f>'Swiss Registry'!B216</f>
        <v>Axselo</v>
      </c>
      <c r="D308" s="65" t="str">
        <f>'Swiss Registry'!C216</f>
        <v>4 - 3</v>
      </c>
    </row>
    <row r="309">
      <c r="A309" s="63">
        <v>308.0</v>
      </c>
      <c r="B309" s="63">
        <f>'Swiss Registry'!A699</f>
        <v>698</v>
      </c>
      <c r="C309" s="63" t="str">
        <f>'Swiss Registry'!B699</f>
        <v>jankcity</v>
      </c>
      <c r="D309" s="65" t="str">
        <f>'Swiss Registry'!C699</f>
        <v>7 - 2</v>
      </c>
    </row>
    <row r="310">
      <c r="A310" s="63">
        <v>309.0</v>
      </c>
      <c r="B310" s="63">
        <f>'Swiss Registry'!A133</f>
        <v>132</v>
      </c>
      <c r="C310" s="63" t="str">
        <f>'Swiss Registry'!B133</f>
        <v>swaggy001066</v>
      </c>
      <c r="D310" s="65" t="str">
        <f>'Swiss Registry'!C133</f>
        <v>2 - 3</v>
      </c>
    </row>
    <row r="311">
      <c r="A311" s="63">
        <v>310.0</v>
      </c>
      <c r="B311" s="63">
        <f>'Swiss Registry'!A339</f>
        <v>338</v>
      </c>
      <c r="C311" s="63" t="str">
        <f>'Swiss Registry'!B339</f>
        <v>dhgss</v>
      </c>
      <c r="D311" s="65" t="str">
        <f>'Swiss Registry'!C339</f>
        <v>5 - 3</v>
      </c>
    </row>
    <row r="312">
      <c r="A312" s="63">
        <v>311.0</v>
      </c>
      <c r="B312" s="63">
        <f>'Swiss Registry'!A382</f>
        <v>381</v>
      </c>
      <c r="C312" s="63" t="str">
        <f>'Swiss Registry'!B382</f>
        <v>lucida</v>
      </c>
      <c r="D312" s="65" t="str">
        <f>'Swiss Registry'!C382</f>
        <v>3 - 3</v>
      </c>
    </row>
    <row r="313">
      <c r="A313" s="63">
        <v>312.0</v>
      </c>
      <c r="B313" s="63">
        <f>'Swiss Registry'!A613</f>
        <v>612</v>
      </c>
      <c r="C313" s="63" t="str">
        <f>'Swiss Registry'!B613</f>
        <v>scurrying_snail</v>
      </c>
      <c r="D313" s="65" t="str">
        <f>'Swiss Registry'!C613</f>
        <v>1 - 3</v>
      </c>
    </row>
    <row r="314">
      <c r="A314" s="63">
        <v>313.0</v>
      </c>
      <c r="B314" s="63">
        <f>'Swiss Registry'!A634</f>
        <v>633</v>
      </c>
      <c r="C314" s="63" t="str">
        <f>'Swiss Registry'!B634</f>
        <v>Simonf</v>
      </c>
      <c r="D314" s="65" t="str">
        <f>'Swiss Registry'!C634</f>
        <v>3 - 3</v>
      </c>
    </row>
    <row r="315">
      <c r="A315" s="63">
        <v>314.0</v>
      </c>
      <c r="B315" s="63">
        <f>'Swiss Registry'!A505</f>
        <v>504</v>
      </c>
      <c r="C315" s="63" t="str">
        <f>'Swiss Registry'!B505</f>
        <v>choicescarf002</v>
      </c>
      <c r="D315" s="65" t="str">
        <f>'Swiss Registry'!C505</f>
        <v>6 - 3</v>
      </c>
    </row>
    <row r="316">
      <c r="A316" s="63">
        <v>315.0</v>
      </c>
      <c r="B316" s="63">
        <f>'Swiss Registry'!A291</f>
        <v>290</v>
      </c>
      <c r="C316" s="63" t="str">
        <f>'Swiss Registry'!B291</f>
        <v>truelawbringer</v>
      </c>
      <c r="D316" s="65" t="str">
        <f>'Swiss Registry'!C291</f>
        <v>1 - 3</v>
      </c>
    </row>
    <row r="317">
      <c r="A317" s="63">
        <v>316.0</v>
      </c>
      <c r="B317" s="63">
        <f>'Swiss Registry'!A130</f>
        <v>129</v>
      </c>
      <c r="C317" s="63" t="str">
        <f>'Swiss Registry'!B130</f>
        <v>lengloi</v>
      </c>
      <c r="D317" s="65" t="str">
        <f>'Swiss Registry'!C130</f>
        <v>4 - 3</v>
      </c>
    </row>
    <row r="318">
      <c r="A318" s="63">
        <v>317.0</v>
      </c>
      <c r="B318" s="63">
        <f>'Swiss Registry'!A586</f>
        <v>585</v>
      </c>
      <c r="C318" s="63" t="str">
        <f>'Swiss Registry'!B586</f>
        <v>Goose824</v>
      </c>
      <c r="D318" s="65" t="str">
        <f>'Swiss Registry'!C586</f>
        <v>3 - 3</v>
      </c>
    </row>
    <row r="319">
      <c r="A319" s="63">
        <v>318.0</v>
      </c>
      <c r="B319" s="63">
        <f>'Swiss Registry'!A303</f>
        <v>302</v>
      </c>
      <c r="C319" s="63" t="str">
        <f>'Swiss Registry'!B303</f>
        <v>@struggles_under_pressure</v>
      </c>
      <c r="D319" s="65" t="str">
        <f>'Swiss Registry'!C303</f>
        <v>2 - 3</v>
      </c>
    </row>
    <row r="320">
      <c r="A320" s="63">
        <v>319.0</v>
      </c>
      <c r="B320" s="63">
        <f>'Swiss Registry'!A268</f>
        <v>267</v>
      </c>
      <c r="C320" s="63" t="str">
        <f>'Swiss Registry'!B268</f>
        <v>mintchocolateguy</v>
      </c>
      <c r="D320" s="65" t="str">
        <f>'Swiss Registry'!C268</f>
        <v>3 - 3</v>
      </c>
    </row>
    <row r="321">
      <c r="A321" s="63">
        <v>320.0</v>
      </c>
      <c r="B321" s="63">
        <f>'Swiss Registry'!A392</f>
        <v>391</v>
      </c>
      <c r="C321" s="63" t="str">
        <f>'Swiss Registry'!B392</f>
        <v>Nuskadamo</v>
      </c>
      <c r="D321" s="65" t="str">
        <f>'Swiss Registry'!C392</f>
        <v>1 - 3</v>
      </c>
    </row>
    <row r="322">
      <c r="A322" s="63">
        <v>321.0</v>
      </c>
      <c r="B322" s="63">
        <f>'Swiss Registry'!A340</f>
        <v>339</v>
      </c>
      <c r="C322" s="63" t="str">
        <f>'Swiss Registry'!B340</f>
        <v>Jabba</v>
      </c>
      <c r="D322" s="65" t="str">
        <f>'Swiss Registry'!C340</f>
        <v>5 - 3</v>
      </c>
    </row>
    <row r="323">
      <c r="A323" s="63">
        <v>322.0</v>
      </c>
      <c r="B323" s="63">
        <f>'Swiss Registry'!A131</f>
        <v>130</v>
      </c>
      <c r="C323" s="63" t="str">
        <f>'Swiss Registry'!B131</f>
        <v>Sophocles</v>
      </c>
      <c r="D323" s="65" t="str">
        <f>'Swiss Registry'!C131</f>
        <v>5 - 3</v>
      </c>
    </row>
    <row r="324">
      <c r="A324" s="63">
        <v>323.0</v>
      </c>
      <c r="B324" s="63">
        <f>'Swiss Registry'!A223</f>
        <v>222</v>
      </c>
      <c r="C324" s="63" t="str">
        <f>'Swiss Registry'!B223</f>
        <v>dragonsareoptimal</v>
      </c>
      <c r="D324" s="65" t="str">
        <f>'Swiss Registry'!C223</f>
        <v>6 - 3</v>
      </c>
    </row>
    <row r="325">
      <c r="A325" s="63">
        <v>324.0</v>
      </c>
      <c r="B325" s="63">
        <f>'Swiss Registry'!A417</f>
        <v>416</v>
      </c>
      <c r="C325" s="63" t="str">
        <f>'Swiss Registry'!B417</f>
        <v>myrox123</v>
      </c>
      <c r="D325" s="65" t="str">
        <f>'Swiss Registry'!C417</f>
        <v>1 - 3</v>
      </c>
    </row>
    <row r="326">
      <c r="A326" s="63">
        <v>325.0</v>
      </c>
      <c r="B326" s="63">
        <f>'Swiss Registry'!A579</f>
        <v>578</v>
      </c>
      <c r="C326" s="63" t="str">
        <f>'Swiss Registry'!B579</f>
        <v>_rekkzz_</v>
      </c>
      <c r="D326" s="65" t="str">
        <f>'Swiss Registry'!C579</f>
        <v>4 - 3</v>
      </c>
    </row>
    <row r="327">
      <c r="A327" s="63">
        <v>326.0</v>
      </c>
      <c r="B327" s="63">
        <f>'Swiss Registry'!A213</f>
        <v>212</v>
      </c>
      <c r="C327" s="63" t="str">
        <f>'Swiss Registry'!B213</f>
        <v>dadaasdcfaw</v>
      </c>
      <c r="D327" s="65" t="str">
        <f>'Swiss Registry'!C213</f>
        <v>4 - 3</v>
      </c>
    </row>
    <row r="328">
      <c r="A328" s="63">
        <v>327.0</v>
      </c>
      <c r="B328" s="63">
        <f>'Swiss Registry'!A304</f>
        <v>303</v>
      </c>
      <c r="C328" s="63" t="str">
        <f>'Swiss Registry'!B304</f>
        <v>gorbinator.</v>
      </c>
      <c r="D328" s="65" t="str">
        <f>'Swiss Registry'!C304</f>
        <v>5 - 3</v>
      </c>
    </row>
    <row r="329">
      <c r="A329" s="63">
        <v>328.0</v>
      </c>
      <c r="B329" s="63">
        <f>'Swiss Registry'!A523</f>
        <v>522</v>
      </c>
      <c r="C329" s="63" t="str">
        <f>'Swiss Registry'!B523</f>
        <v>flareliger</v>
      </c>
      <c r="D329" s="65" t="str">
        <f>'Swiss Registry'!C523</f>
        <v>3 - 3</v>
      </c>
    </row>
    <row r="330">
      <c r="A330" s="63">
        <v>329.0</v>
      </c>
      <c r="B330" s="63">
        <f>'Swiss Registry'!A502</f>
        <v>501</v>
      </c>
      <c r="C330" s="63" t="str">
        <f>'Swiss Registry'!B502</f>
        <v>firecracker1195</v>
      </c>
      <c r="D330" s="65" t="str">
        <f>'Swiss Registry'!C502</f>
        <v>1 - 3</v>
      </c>
    </row>
    <row r="331">
      <c r="A331" s="63">
        <v>330.0</v>
      </c>
      <c r="B331" s="63">
        <f>'Swiss Registry'!A314</f>
        <v>313</v>
      </c>
      <c r="C331" s="63" t="str">
        <f>'Swiss Registry'!B314</f>
        <v>diamonddiancie</v>
      </c>
      <c r="D331" s="65" t="str">
        <f>'Swiss Registry'!C314</f>
        <v>2 - 3</v>
      </c>
    </row>
    <row r="332">
      <c r="A332" s="63">
        <v>331.0</v>
      </c>
      <c r="B332" s="63">
        <f>'Swiss Registry'!A249</f>
        <v>248</v>
      </c>
      <c r="C332" s="63" t="str">
        <f>'Swiss Registry'!B249</f>
        <v>ashvinbutduck</v>
      </c>
      <c r="D332" s="65" t="str">
        <f>'Swiss Registry'!C249</f>
        <v>4 - 3</v>
      </c>
    </row>
    <row r="333">
      <c r="A333" s="63">
        <v>332.0</v>
      </c>
      <c r="B333" s="63">
        <f>'Swiss Registry'!A108</f>
        <v>107</v>
      </c>
      <c r="C333" s="63" t="str">
        <f>'Swiss Registry'!B108</f>
        <v>style_purposes</v>
      </c>
      <c r="D333" s="65" t="str">
        <f>'Swiss Registry'!C108</f>
        <v>5 - 3</v>
      </c>
    </row>
    <row r="334">
      <c r="A334" s="63">
        <v>333.0</v>
      </c>
      <c r="B334" s="63">
        <f>'Swiss Registry'!A637</f>
        <v>636</v>
      </c>
      <c r="C334" s="63" t="str">
        <f>'Swiss Registry'!B637</f>
        <v>Eggman</v>
      </c>
      <c r="D334" s="65" t="str">
        <f>'Swiss Registry'!C637</f>
        <v>2 - 3</v>
      </c>
    </row>
    <row r="335">
      <c r="A335" s="63">
        <v>334.0</v>
      </c>
      <c r="B335" s="63">
        <f>'Swiss Registry'!A602</f>
        <v>601</v>
      </c>
      <c r="C335" s="63" t="str">
        <f>'Swiss Registry'!B602</f>
        <v>zy___</v>
      </c>
      <c r="D335" s="65" t="str">
        <f>'Swiss Registry'!C602</f>
        <v>1 - 3</v>
      </c>
    </row>
    <row r="336">
      <c r="A336" s="63">
        <v>335.0</v>
      </c>
      <c r="B336" s="63">
        <f>'Swiss Registry'!A186</f>
        <v>185</v>
      </c>
      <c r="C336" s="63" t="str">
        <f>'Swiss Registry'!B186</f>
        <v>depressioncherry_66209</v>
      </c>
      <c r="D336" s="65" t="str">
        <f>'Swiss Registry'!C186</f>
        <v>6 - 3</v>
      </c>
    </row>
    <row r="337">
      <c r="A337" s="63">
        <v>336.0</v>
      </c>
      <c r="B337" s="63">
        <f>'Swiss Registry'!A185</f>
        <v>184</v>
      </c>
      <c r="C337" s="63" t="str">
        <f>'Swiss Registry'!B185</f>
        <v>Skarpherim</v>
      </c>
      <c r="D337" s="65" t="str">
        <f>'Swiss Registry'!C185</f>
        <v>7 - 2</v>
      </c>
    </row>
    <row r="338">
      <c r="A338" s="63">
        <v>337.0</v>
      </c>
      <c r="B338" s="63">
        <f>'Swiss Registry'!A495</f>
        <v>494</v>
      </c>
      <c r="C338" s="63" t="str">
        <f>'Swiss Registry'!B495</f>
        <v>thefattestofyoshis</v>
      </c>
      <c r="D338" s="65" t="str">
        <f>'Swiss Registry'!C495</f>
        <v>1 - 3</v>
      </c>
    </row>
    <row r="339">
      <c r="A339" s="63">
        <v>338.0</v>
      </c>
      <c r="B339" s="63">
        <f>'Swiss Registry'!A344</f>
        <v>343</v>
      </c>
      <c r="C339" s="63" t="str">
        <f>'Swiss Registry'!B344</f>
        <v>Lunasran</v>
      </c>
      <c r="D339" s="65" t="str">
        <f>'Swiss Registry'!C344</f>
        <v>4 - 3</v>
      </c>
    </row>
    <row r="340">
      <c r="A340" s="63">
        <v>339.0</v>
      </c>
      <c r="B340" s="63">
        <f>'Swiss Registry'!A415</f>
        <v>414</v>
      </c>
      <c r="C340" s="63" t="str">
        <f>'Swiss Registry'!B415</f>
        <v>KeshBa45</v>
      </c>
      <c r="D340" s="65" t="str">
        <f>'Swiss Registry'!C415</f>
        <v>2 - 3</v>
      </c>
    </row>
    <row r="341">
      <c r="A341" s="63">
        <v>340.0</v>
      </c>
      <c r="B341" s="63">
        <f>'Swiss Registry'!A445</f>
        <v>444</v>
      </c>
      <c r="C341" s="63" t="str">
        <f>'Swiss Registry'!B445</f>
        <v>MCJD931</v>
      </c>
      <c r="D341" s="65" t="str">
        <f>'Swiss Registry'!C445</f>
        <v>1 - 3</v>
      </c>
    </row>
    <row r="342">
      <c r="A342" s="63">
        <v>341.0</v>
      </c>
      <c r="B342" s="63">
        <f>'Swiss Registry'!A369</f>
        <v>368</v>
      </c>
      <c r="C342" s="63" t="str">
        <f>'Swiss Registry'!B369</f>
        <v>Dray_jd</v>
      </c>
      <c r="D342" s="65" t="str">
        <f>'Swiss Registry'!C369</f>
        <v>1 - 3</v>
      </c>
    </row>
    <row r="343">
      <c r="A343" s="63">
        <v>342.0</v>
      </c>
      <c r="B343" s="63">
        <f>'Swiss Registry'!A109</f>
        <v>108</v>
      </c>
      <c r="C343" s="63" t="str">
        <f>'Swiss Registry'!B109</f>
        <v>GreenCity</v>
      </c>
      <c r="D343" s="65" t="str">
        <f>'Swiss Registry'!C109</f>
        <v>3 - 3</v>
      </c>
    </row>
    <row r="344">
      <c r="A344" s="63">
        <v>343.0</v>
      </c>
      <c r="B344" s="63">
        <f>'Swiss Registry'!A283</f>
        <v>282</v>
      </c>
      <c r="C344" s="63" t="str">
        <f>'Swiss Registry'!B283</f>
        <v>koentjelub</v>
      </c>
      <c r="D344" s="65" t="str">
        <f>'Swiss Registry'!C283</f>
        <v>2 - 3</v>
      </c>
    </row>
    <row r="345">
      <c r="A345" s="63">
        <v>344.0</v>
      </c>
      <c r="B345" s="63">
        <f>'Swiss Registry'!A395</f>
        <v>394</v>
      </c>
      <c r="C345" s="63" t="str">
        <f>'Swiss Registry'!B395</f>
        <v>legoerofeggos</v>
      </c>
      <c r="D345" s="65" t="str">
        <f>'Swiss Registry'!C395</f>
        <v>1 - 3</v>
      </c>
    </row>
    <row r="346">
      <c r="A346" s="63">
        <v>345.0</v>
      </c>
      <c r="B346" s="63">
        <f>'Swiss Registry'!A167</f>
        <v>166</v>
      </c>
      <c r="C346" s="63" t="str">
        <f>'Swiss Registry'!B167</f>
        <v>zettsbro</v>
      </c>
      <c r="D346" s="65" t="str">
        <f>'Swiss Registry'!C167</f>
        <v>3 - 3</v>
      </c>
    </row>
    <row r="347">
      <c r="A347" s="63">
        <v>346.0</v>
      </c>
      <c r="B347" s="63">
        <f>'Swiss Registry'!A211</f>
        <v>210</v>
      </c>
      <c r="C347" s="63" t="str">
        <f>'Swiss Registry'!B211</f>
        <v>TacCat</v>
      </c>
      <c r="D347" s="65" t="str">
        <f>'Swiss Registry'!C211</f>
        <v>3 - 3</v>
      </c>
    </row>
    <row r="348">
      <c r="A348" s="63">
        <v>347.0</v>
      </c>
      <c r="B348" s="63">
        <f>'Swiss Registry'!A404</f>
        <v>403</v>
      </c>
      <c r="C348" s="63" t="str">
        <f>'Swiss Registry'!B404</f>
        <v>yd12k</v>
      </c>
      <c r="D348" s="65" t="str">
        <f>'Swiss Registry'!C404</f>
        <v>2 - 3</v>
      </c>
    </row>
    <row r="349">
      <c r="A349" s="63">
        <v>348.0</v>
      </c>
      <c r="B349" s="63">
        <f>'Swiss Registry'!A292</f>
        <v>291</v>
      </c>
      <c r="C349" s="63" t="str">
        <f>'Swiss Registry'!B292</f>
        <v>pLzzazz</v>
      </c>
      <c r="D349" s="65" t="str">
        <f>'Swiss Registry'!C292</f>
        <v>2 - 3</v>
      </c>
    </row>
    <row r="350">
      <c r="A350" s="63">
        <v>349.0</v>
      </c>
      <c r="B350" s="63">
        <f>'Swiss Registry'!A208</f>
        <v>207</v>
      </c>
      <c r="C350" s="63" t="str">
        <f>'Swiss Registry'!B208</f>
        <v>samjamslam</v>
      </c>
      <c r="D350" s="65" t="str">
        <f>'Swiss Registry'!C208</f>
        <v>6 - 3</v>
      </c>
    </row>
    <row r="351">
      <c r="A351" s="63">
        <v>350.0</v>
      </c>
      <c r="B351" s="63">
        <f>'Swiss Registry'!A636</f>
        <v>635</v>
      </c>
      <c r="C351" s="63" t="str">
        <f>'Swiss Registry'!B636</f>
        <v>elmagneto</v>
      </c>
      <c r="D351" s="65" t="str">
        <f>'Swiss Registry'!C636</f>
        <v>5 - 3</v>
      </c>
    </row>
    <row r="352">
      <c r="A352" s="63">
        <v>351.0</v>
      </c>
      <c r="B352" s="63">
        <f>'Swiss Registry'!A559</f>
        <v>558</v>
      </c>
      <c r="C352" s="63" t="str">
        <f>'Swiss Registry'!B559</f>
        <v>luisin</v>
      </c>
      <c r="D352" s="65" t="str">
        <f>'Swiss Registry'!C559</f>
        <v>5 - 3</v>
      </c>
    </row>
    <row r="353">
      <c r="A353" s="63">
        <v>352.0</v>
      </c>
      <c r="B353" s="176">
        <f>'Swiss Registry'!A3</f>
        <v>2</v>
      </c>
      <c r="C353" s="176" t="str">
        <f>'Swiss Registry'!B3</f>
        <v>Altina</v>
      </c>
      <c r="D353" s="65" t="str">
        <f>'Swiss Registry'!C3</f>
        <v>2 - 3</v>
      </c>
    </row>
    <row r="354">
      <c r="A354" s="63">
        <v>353.0</v>
      </c>
      <c r="B354" s="176">
        <f>'Swiss Registry'!A6</f>
        <v>5</v>
      </c>
      <c r="C354" s="176" t="str">
        <f>'Swiss Registry'!B6</f>
        <v>Caloom</v>
      </c>
      <c r="D354" s="65" t="str">
        <f>'Swiss Registry'!C6</f>
        <v>7 - 2</v>
      </c>
    </row>
    <row r="355">
      <c r="A355" s="63">
        <v>354.0</v>
      </c>
      <c r="B355" s="63">
        <f>'Swiss Registry'!A11</f>
        <v>10</v>
      </c>
      <c r="C355" s="63" t="str">
        <f>'Swiss Registry'!B11</f>
        <v>Cyberodin</v>
      </c>
      <c r="D355" s="65" t="str">
        <f>'Swiss Registry'!C11</f>
        <v>7 - 2</v>
      </c>
    </row>
    <row r="356">
      <c r="A356" s="63">
        <v>355.0</v>
      </c>
      <c r="B356" s="63">
        <f>'Swiss Registry'!A21</f>
        <v>20</v>
      </c>
      <c r="C356" s="63" t="str">
        <f>'Swiss Registry'!B21</f>
        <v>Mayo</v>
      </c>
      <c r="D356" s="65" t="str">
        <f>'Swiss Registry'!C21</f>
        <v>5 - 3</v>
      </c>
    </row>
    <row r="357">
      <c r="A357" s="63">
        <v>356.0</v>
      </c>
      <c r="B357" s="63">
        <f>'Swiss Registry'!A22</f>
        <v>21</v>
      </c>
      <c r="C357" s="63" t="str">
        <f>'Swiss Registry'!B22</f>
        <v>Adam</v>
      </c>
      <c r="D357" s="65" t="str">
        <f>'Swiss Registry'!C22</f>
        <v>7 - 2</v>
      </c>
    </row>
    <row r="358">
      <c r="A358" s="63">
        <v>357.0</v>
      </c>
      <c r="B358" s="63">
        <f>'Swiss Registry'!A24</f>
        <v>23</v>
      </c>
      <c r="C358" s="63" t="str">
        <f>'Swiss Registry'!B24</f>
        <v>udm31</v>
      </c>
      <c r="D358" s="65" t="str">
        <f>'Swiss Registry'!C24</f>
        <v>7 - 2</v>
      </c>
    </row>
    <row r="359">
      <c r="A359" s="63">
        <v>358.0</v>
      </c>
      <c r="B359" s="63">
        <f>'Swiss Registry'!A27</f>
        <v>26</v>
      </c>
      <c r="C359" s="63" t="str">
        <f>'Swiss Registry'!B27</f>
        <v>keepingiticy</v>
      </c>
      <c r="D359" s="65" t="str">
        <f>'Swiss Registry'!C27</f>
        <v>7 - 2</v>
      </c>
    </row>
    <row r="360">
      <c r="A360" s="63">
        <v>359.0</v>
      </c>
      <c r="B360" s="63">
        <f>'Swiss Registry'!A29</f>
        <v>28</v>
      </c>
      <c r="C360" s="63" t="str">
        <f>'Swiss Registry'!B29</f>
        <v>Typhoon Carter</v>
      </c>
      <c r="D360" s="65" t="str">
        <f>'Swiss Registry'!C29</f>
        <v>7 - 2</v>
      </c>
    </row>
    <row r="361">
      <c r="A361" s="63">
        <v>360.0</v>
      </c>
      <c r="B361" s="63">
        <f>'Swiss Registry'!A31</f>
        <v>30</v>
      </c>
      <c r="C361" s="63" t="str">
        <f>'Swiss Registry'!B31</f>
        <v>eliandiditagain</v>
      </c>
      <c r="D361" s="65" t="str">
        <f>'Swiss Registry'!C31</f>
        <v>7 - 2</v>
      </c>
    </row>
    <row r="362">
      <c r="A362" s="63">
        <v>361.0</v>
      </c>
      <c r="B362" s="63">
        <f>'Swiss Registry'!A62</f>
        <v>61</v>
      </c>
      <c r="C362" s="63" t="str">
        <f>'Swiss Registry'!B62</f>
        <v>Zpanther</v>
      </c>
      <c r="D362" s="65" t="str">
        <f>'Swiss Registry'!C62</f>
        <v>8 - 1</v>
      </c>
    </row>
    <row r="363">
      <c r="A363" s="63">
        <v>362.0</v>
      </c>
      <c r="B363" s="63">
        <f>'Swiss Registry'!A63</f>
        <v>62</v>
      </c>
      <c r="C363" s="63" t="str">
        <f>'Swiss Registry'!B63</f>
        <v>Nicole</v>
      </c>
      <c r="D363" s="65" t="str">
        <f>'Swiss Registry'!C63</f>
        <v>5 - 3</v>
      </c>
    </row>
    <row r="364">
      <c r="A364" s="63">
        <v>363.0</v>
      </c>
      <c r="B364" s="63">
        <f>'Swiss Registry'!A64</f>
        <v>63</v>
      </c>
      <c r="C364" s="63" t="str">
        <f>'Swiss Registry'!B64</f>
        <v>Rambode</v>
      </c>
      <c r="D364" s="65" t="str">
        <f>'Swiss Registry'!C64</f>
        <v>4 - 3</v>
      </c>
    </row>
    <row r="365">
      <c r="A365" s="63">
        <v>364.0</v>
      </c>
      <c r="B365" s="63">
        <f>'Swiss Registry'!A68</f>
        <v>67</v>
      </c>
      <c r="C365" s="63" t="str">
        <f>'Swiss Registry'!B68</f>
        <v>A Welcome Guest</v>
      </c>
      <c r="D365" s="65" t="str">
        <f>'Swiss Registry'!C68</f>
        <v>0 - 3</v>
      </c>
    </row>
    <row r="366">
      <c r="A366" s="63">
        <v>365.0</v>
      </c>
      <c r="B366" s="63">
        <f>'Swiss Registry'!A69</f>
        <v>68</v>
      </c>
      <c r="C366" s="63" t="str">
        <f>'Swiss Registry'!B69</f>
        <v>Kingu</v>
      </c>
      <c r="D366" s="65" t="str">
        <f>'Swiss Registry'!C69</f>
        <v>0 - 3</v>
      </c>
    </row>
    <row r="367">
      <c r="A367" s="63">
        <v>366.0</v>
      </c>
      <c r="B367" s="63">
        <f>'Swiss Registry'!A71</f>
        <v>70</v>
      </c>
      <c r="C367" s="63" t="str">
        <f>'Swiss Registry'!B71</f>
        <v>H&gt;L</v>
      </c>
      <c r="D367" s="65" t="str">
        <f>'Swiss Registry'!C71</f>
        <v>7 - 2</v>
      </c>
    </row>
    <row r="368">
      <c r="A368" s="63">
        <v>367.0</v>
      </c>
      <c r="B368" s="63">
        <f>'Swiss Registry'!A73</f>
        <v>72</v>
      </c>
      <c r="C368" s="63" t="str">
        <f>'Swiss Registry'!B73</f>
        <v>Roy Yamaha</v>
      </c>
      <c r="D368" s="65" t="str">
        <f>'Swiss Registry'!C73</f>
        <v>2 - 3</v>
      </c>
    </row>
    <row r="369">
      <c r="A369" s="63">
        <v>368.0</v>
      </c>
      <c r="B369" s="63">
        <f>'Swiss Registry'!A77</f>
        <v>76</v>
      </c>
      <c r="C369" s="63" t="str">
        <f>'Swiss Registry'!B77</f>
        <v>Smallow</v>
      </c>
      <c r="D369" s="65" t="str">
        <f>'Swiss Registry'!C77</f>
        <v>1 - 3</v>
      </c>
    </row>
    <row r="370">
      <c r="A370" s="63">
        <v>369.0</v>
      </c>
      <c r="B370" s="63">
        <f>'Swiss Registry'!A88</f>
        <v>87</v>
      </c>
      <c r="C370" s="63" t="str">
        <f>'Swiss Registry'!B88</f>
        <v>Zcarlett</v>
      </c>
      <c r="D370" s="65" t="str">
        <f>'Swiss Registry'!C88</f>
        <v>5 - 3</v>
      </c>
    </row>
    <row r="371">
      <c r="A371" s="63">
        <v>370.0</v>
      </c>
      <c r="B371" s="63">
        <f>'Swiss Registry'!A90</f>
        <v>89</v>
      </c>
      <c r="C371" s="63" t="str">
        <f>'Swiss Registry'!B90</f>
        <v>Alecss</v>
      </c>
      <c r="D371" s="65" t="str">
        <f>'Swiss Registry'!C90</f>
        <v>4 - 3</v>
      </c>
    </row>
    <row r="372">
      <c r="A372" s="63">
        <v>371.0</v>
      </c>
      <c r="B372" s="63">
        <f>'Swiss Registry'!A92</f>
        <v>91</v>
      </c>
      <c r="C372" s="63" t="str">
        <f>'Swiss Registry'!B92</f>
        <v>Younglemonhope</v>
      </c>
      <c r="D372" s="65" t="str">
        <f>'Swiss Registry'!C92</f>
        <v>4 - 3</v>
      </c>
    </row>
    <row r="373">
      <c r="A373" s="63">
        <v>372.0</v>
      </c>
      <c r="B373" s="63">
        <f>'Swiss Registry'!A93</f>
        <v>92</v>
      </c>
      <c r="C373" s="63" t="str">
        <f>'Swiss Registry'!B93</f>
        <v>Cryolite</v>
      </c>
      <c r="D373" s="65" t="str">
        <f>'Swiss Registry'!C93</f>
        <v>2 - 3</v>
      </c>
    </row>
    <row r="374">
      <c r="A374" s="63">
        <v>373.0</v>
      </c>
      <c r="B374" s="63">
        <f>'Swiss Registry'!A94</f>
        <v>93</v>
      </c>
      <c r="C374" s="63" t="str">
        <f>'Swiss Registry'!B94</f>
        <v>Shadowtime2000</v>
      </c>
      <c r="D374" s="65" t="str">
        <f>'Swiss Registry'!C94</f>
        <v>3 - 3</v>
      </c>
    </row>
    <row r="375">
      <c r="A375" s="63">
        <v>374.0</v>
      </c>
      <c r="B375" s="63">
        <f>'Swiss Registry'!A95</f>
        <v>94</v>
      </c>
      <c r="C375" s="63" t="str">
        <f>'Swiss Registry'!B95</f>
        <v>ratdogreborn</v>
      </c>
      <c r="D375" s="65" t="str">
        <f>'Swiss Registry'!C95</f>
        <v>3 - 3</v>
      </c>
    </row>
    <row r="376">
      <c r="A376" s="63">
        <v>375.0</v>
      </c>
      <c r="B376" s="63">
        <f>'Swiss Registry'!A103</f>
        <v>102</v>
      </c>
      <c r="C376" s="63" t="str">
        <f>'Swiss Registry'!B103</f>
        <v>Frutiepie</v>
      </c>
      <c r="D376" s="65" t="str">
        <f>'Swiss Registry'!C103</f>
        <v>1 - 3</v>
      </c>
    </row>
    <row r="377">
      <c r="A377" s="63">
        <v>376.0</v>
      </c>
      <c r="B377" s="63">
        <f>'Swiss Registry'!A105</f>
        <v>104</v>
      </c>
      <c r="C377" s="63" t="str">
        <f>'Swiss Registry'!B105</f>
        <v>YlisseanStarlight</v>
      </c>
      <c r="D377" s="65" t="str">
        <f>'Swiss Registry'!C105</f>
        <v>2 - 3</v>
      </c>
    </row>
    <row r="378">
      <c r="A378" s="63">
        <v>377.0</v>
      </c>
      <c r="B378" s="63">
        <f>'Swiss Registry'!A107</f>
        <v>106</v>
      </c>
      <c r="C378" s="63" t="str">
        <f>'Swiss Registry'!B107</f>
        <v>sharkhammer</v>
      </c>
      <c r="D378" s="65" t="str">
        <f>'Swiss Registry'!C107</f>
        <v>1 - 3</v>
      </c>
    </row>
    <row r="379">
      <c r="A379" s="63">
        <v>378.0</v>
      </c>
      <c r="B379" s="63">
        <f>'Swiss Registry'!A478</f>
        <v>477</v>
      </c>
      <c r="C379" s="63" t="str">
        <f>'Swiss Registry'!B478</f>
        <v>mugua (purple Pikmin pfp)</v>
      </c>
      <c r="D379" s="65" t="str">
        <f>'Swiss Registry'!C478</f>
        <v>0 - 3</v>
      </c>
    </row>
    <row r="380">
      <c r="A380" s="63">
        <v>379.0</v>
      </c>
      <c r="B380" s="63">
        <f>'Swiss Registry'!A135</f>
        <v>134</v>
      </c>
      <c r="C380" s="63" t="str">
        <f>'Swiss Registry'!B135</f>
        <v>Svejk97</v>
      </c>
      <c r="D380" s="65" t="str">
        <f>'Swiss Registry'!C135</f>
        <v>3 - 3</v>
      </c>
    </row>
    <row r="381">
      <c r="A381" s="63">
        <v>380.0</v>
      </c>
      <c r="B381" s="63">
        <f>'Swiss Registry'!A426</f>
        <v>425</v>
      </c>
      <c r="C381" s="63" t="str">
        <f>'Swiss Registry'!B426</f>
        <v>peabnut</v>
      </c>
      <c r="D381" s="65" t="str">
        <f>'Swiss Registry'!C426</f>
        <v>0 - 3</v>
      </c>
    </row>
    <row r="382">
      <c r="A382" s="63">
        <v>381.0</v>
      </c>
      <c r="B382" s="63">
        <f>'Swiss Registry'!A136</f>
        <v>135</v>
      </c>
      <c r="C382" s="63" t="str">
        <f>'Swiss Registry'!B136</f>
        <v>Graham (graaahaaam)</v>
      </c>
      <c r="D382" s="65" t="str">
        <f>'Swiss Registry'!C136</f>
        <v>3 - 3</v>
      </c>
    </row>
    <row r="383">
      <c r="A383" s="63">
        <v>382.0</v>
      </c>
      <c r="B383" s="63">
        <f>'Swiss Registry'!A274</f>
        <v>273</v>
      </c>
      <c r="C383" s="63" t="str">
        <f>'Swiss Registry'!B274</f>
        <v>dabebri</v>
      </c>
      <c r="D383" s="65" t="str">
        <f>'Swiss Registry'!C274</f>
        <v>1 - 3</v>
      </c>
    </row>
    <row r="384">
      <c r="A384" s="63">
        <v>383.0</v>
      </c>
      <c r="B384" s="63">
        <f>'Swiss Registry'!A260</f>
        <v>259</v>
      </c>
      <c r="C384" s="63" t="str">
        <f>'Swiss Registry'!B260</f>
        <v>Birthdayninja</v>
      </c>
      <c r="D384" s="65" t="str">
        <f>'Swiss Registry'!C260</f>
        <v>0 - 3</v>
      </c>
    </row>
    <row r="385">
      <c r="A385" s="63">
        <v>384.0</v>
      </c>
      <c r="B385" s="63">
        <f>'Swiss Registry'!A154</f>
        <v>153</v>
      </c>
      <c r="C385" s="63" t="str">
        <f>'Swiss Registry'!B154</f>
        <v>Loneling</v>
      </c>
      <c r="D385" s="65" t="str">
        <f>'Swiss Registry'!C154</f>
        <v>3 - 3</v>
      </c>
    </row>
    <row r="386">
      <c r="A386" s="63">
        <v>385.0</v>
      </c>
      <c r="B386" s="63">
        <f>'Swiss Registry'!A206</f>
        <v>205</v>
      </c>
      <c r="C386" s="63" t="str">
        <f>'Swiss Registry'!B206</f>
        <v>SUB 29</v>
      </c>
      <c r="D386" s="65" t="str">
        <f>'Swiss Registry'!C206</f>
        <v>0 - 3</v>
      </c>
    </row>
    <row r="387">
      <c r="A387" s="63">
        <v>386.0</v>
      </c>
      <c r="B387" s="63">
        <f>'Swiss Registry'!A396</f>
        <v>395</v>
      </c>
      <c r="C387" s="63" t="str">
        <f>'Swiss Registry'!B396</f>
        <v>cleffacutie</v>
      </c>
      <c r="D387" s="65" t="str">
        <f>'Swiss Registry'!C396</f>
        <v>0 - 3</v>
      </c>
    </row>
    <row r="388">
      <c r="A388" s="63">
        <v>387.0</v>
      </c>
      <c r="B388" s="63">
        <f>'Swiss Registry'!A156</f>
        <v>155</v>
      </c>
      <c r="C388" s="63" t="str">
        <f>'Swiss Registry'!B156</f>
        <v>anashensoul</v>
      </c>
      <c r="D388" s="65" t="str">
        <f>'Swiss Registry'!C156</f>
        <v>3 - 3</v>
      </c>
    </row>
    <row r="389">
      <c r="A389" s="63">
        <v>388.0</v>
      </c>
      <c r="B389" s="63">
        <f>'Swiss Registry'!A187</f>
        <v>186</v>
      </c>
      <c r="C389" s="63" t="str">
        <f>'Swiss Registry'!B187</f>
        <v>YellowHat#0714</v>
      </c>
      <c r="D389" s="65" t="str">
        <f>'Swiss Registry'!C187</f>
        <v>0 - 3</v>
      </c>
    </row>
    <row r="390">
      <c r="A390" s="63">
        <v>389.0</v>
      </c>
      <c r="B390" s="63">
        <f>'Swiss Registry'!A383</f>
        <v>382</v>
      </c>
      <c r="C390" s="63" t="str">
        <f>'Swiss Registry'!B383</f>
        <v>Albatross115</v>
      </c>
      <c r="D390" s="65" t="str">
        <f>'Swiss Registry'!C383</f>
        <v>1 - 3</v>
      </c>
    </row>
    <row r="391">
      <c r="A391" s="63">
        <v>390.0</v>
      </c>
      <c r="B391" s="63">
        <f>'Swiss Registry'!A479</f>
        <v>478</v>
      </c>
      <c r="C391" s="63" t="str">
        <f>'Swiss Registry'!B479</f>
        <v>sopphaking</v>
      </c>
      <c r="D391" s="65" t="str">
        <f>'Swiss Registry'!C479</f>
        <v>0 - 3</v>
      </c>
    </row>
    <row r="392">
      <c r="A392" s="63">
        <v>391.0</v>
      </c>
      <c r="B392" s="63">
        <f>'Swiss Registry'!A224</f>
        <v>223</v>
      </c>
      <c r="C392" s="63" t="str">
        <f>'Swiss Registry'!B224</f>
        <v>halbertsimpson</v>
      </c>
      <c r="D392" s="65" t="str">
        <f>'Swiss Registry'!C224</f>
        <v>2 - 3</v>
      </c>
    </row>
    <row r="393">
      <c r="A393" s="64">
        <v>392.0</v>
      </c>
      <c r="B393" s="63">
        <f>'Swiss Registry'!A614</f>
        <v>613</v>
      </c>
      <c r="C393" s="63" t="str">
        <f>'Swiss Registry'!B614</f>
        <v>Ghostfall22</v>
      </c>
      <c r="D393" s="65" t="str">
        <f>'Swiss Registry'!C614</f>
        <v>5 - 3</v>
      </c>
    </row>
    <row r="394">
      <c r="A394" s="63">
        <v>393.0</v>
      </c>
      <c r="B394" s="63">
        <f>'Swiss Registry'!A374</f>
        <v>373</v>
      </c>
      <c r="C394" s="63" t="str">
        <f>'Swiss Registry'!B374</f>
        <v>SUB 15</v>
      </c>
      <c r="D394" s="65" t="str">
        <f>'Swiss Registry'!C374</f>
        <v>0 - 3</v>
      </c>
    </row>
    <row r="395">
      <c r="A395" s="63">
        <v>394.0</v>
      </c>
      <c r="B395" s="63">
        <f>'Swiss Registry'!A150</f>
        <v>149</v>
      </c>
      <c r="C395" s="63" t="str">
        <f>'Swiss Registry'!B150</f>
        <v>Rezzo</v>
      </c>
      <c r="D395" s="65" t="str">
        <f>'Swiss Registry'!C150</f>
        <v>5 - 3</v>
      </c>
    </row>
    <row r="396">
      <c r="A396" s="63">
        <v>395.0</v>
      </c>
      <c r="B396" s="63">
        <f>'Swiss Registry'!A323</f>
        <v>322</v>
      </c>
      <c r="C396" s="63" t="str">
        <f>'Swiss Registry'!B323</f>
        <v>theepiccd56</v>
      </c>
      <c r="D396" s="65" t="str">
        <f>'Swiss Registry'!C323</f>
        <v>2 - 3</v>
      </c>
    </row>
    <row r="397">
      <c r="A397" s="63">
        <v>396.0</v>
      </c>
      <c r="B397" s="63">
        <f>'Swiss Registry'!A550</f>
        <v>549</v>
      </c>
      <c r="C397" s="63" t="str">
        <f>'Swiss Registry'!B550</f>
        <v>loopingpyre</v>
      </c>
      <c r="D397" s="65" t="str">
        <f>'Swiss Registry'!C550</f>
        <v>0 - 3</v>
      </c>
    </row>
    <row r="398">
      <c r="A398" s="63">
        <v>397.0</v>
      </c>
      <c r="B398" s="63">
        <f>'Swiss Registry'!A182</f>
        <v>181</v>
      </c>
      <c r="C398" s="63" t="str">
        <f>'Swiss Registry'!B182</f>
        <v>bigyunakafan</v>
      </c>
      <c r="D398" s="65" t="str">
        <f>'Swiss Registry'!C182</f>
        <v>0 - 3</v>
      </c>
    </row>
    <row r="399">
      <c r="A399" s="63">
        <v>398.0</v>
      </c>
      <c r="B399" s="63">
        <f>'Swiss Registry'!A532</f>
        <v>531</v>
      </c>
      <c r="C399" s="63" t="str">
        <f>'Swiss Registry'!B532</f>
        <v>yallen</v>
      </c>
      <c r="D399" s="65" t="str">
        <f>'Swiss Registry'!C532</f>
        <v>4 - 3</v>
      </c>
    </row>
    <row r="400">
      <c r="A400" s="63">
        <v>399.0</v>
      </c>
      <c r="B400" s="63">
        <f>'Swiss Registry'!A273</f>
        <v>272</v>
      </c>
      <c r="C400" s="63" t="str">
        <f>'Swiss Registry'!B273</f>
        <v>lawn1826</v>
      </c>
      <c r="D400" s="65" t="str">
        <f>'Swiss Registry'!C273</f>
        <v>0 - 3</v>
      </c>
    </row>
    <row r="401">
      <c r="A401" s="63">
        <v>400.0</v>
      </c>
      <c r="B401" s="63">
        <f>'Swiss Registry'!A673</f>
        <v>672</v>
      </c>
      <c r="C401" s="63" t="str">
        <f>'Swiss Registry'!B673</f>
        <v>cheerful_dragon_75260</v>
      </c>
      <c r="D401" s="65" t="str">
        <f>'Swiss Registry'!C673</f>
        <v>0 - 3</v>
      </c>
    </row>
    <row r="402">
      <c r="A402" s="63">
        <v>401.0</v>
      </c>
      <c r="B402" s="63">
        <f>'Swiss Registry'!A203</f>
        <v>202</v>
      </c>
      <c r="C402" s="63" t="str">
        <f>'Swiss Registry'!B203</f>
        <v>bergenseren</v>
      </c>
      <c r="D402" s="65" t="str">
        <f>'Swiss Registry'!C203</f>
        <v>0 - 3</v>
      </c>
    </row>
    <row r="403">
      <c r="A403" s="63">
        <v>402.0</v>
      </c>
      <c r="B403" s="63">
        <f>'Swiss Registry'!A354</f>
        <v>353</v>
      </c>
      <c r="C403" s="63" t="str">
        <f>'Swiss Registry'!B354</f>
        <v>Nunleft</v>
      </c>
      <c r="D403" s="65" t="str">
        <f>'Swiss Registry'!C354</f>
        <v>1 - 3</v>
      </c>
    </row>
    <row r="404">
      <c r="A404" s="63">
        <v>403.0</v>
      </c>
      <c r="B404" s="63">
        <f>'Swiss Registry'!A665</f>
        <v>664</v>
      </c>
      <c r="C404" s="63" t="str">
        <f>'Swiss Registry'!B665</f>
        <v>ChetManley</v>
      </c>
      <c r="D404" s="65" t="str">
        <f>'Swiss Registry'!C665</f>
        <v>1 - 3</v>
      </c>
    </row>
    <row r="405">
      <c r="A405" s="63">
        <v>404.0</v>
      </c>
      <c r="B405" s="63">
        <f>'Swiss Registry'!A189</f>
        <v>188</v>
      </c>
      <c r="C405" s="63" t="str">
        <f>'Swiss Registry'!B189</f>
        <v>Rebatca</v>
      </c>
      <c r="D405" s="65" t="str">
        <f>'Swiss Registry'!C189</f>
        <v>3 - 3</v>
      </c>
    </row>
    <row r="406">
      <c r="A406" s="63">
        <v>405.0</v>
      </c>
      <c r="B406" s="63">
        <f>'Swiss Registry'!A552</f>
        <v>551</v>
      </c>
      <c r="C406" s="63" t="str">
        <f>'Swiss Registry'!B552</f>
        <v>Bedal.r</v>
      </c>
      <c r="D406" s="65" t="str">
        <f>'Swiss Registry'!C552</f>
        <v>1 - 3</v>
      </c>
    </row>
    <row r="407">
      <c r="A407" s="63">
        <v>406.0</v>
      </c>
      <c r="B407" s="63">
        <f>'Swiss Registry'!A646</f>
        <v>645</v>
      </c>
      <c r="C407" s="63" t="str">
        <f>'Swiss Registry'!B646</f>
        <v>v1ctor23</v>
      </c>
      <c r="D407" s="65" t="str">
        <f>'Swiss Registry'!C646</f>
        <v>1 - 3</v>
      </c>
    </row>
    <row r="408">
      <c r="A408" s="63">
        <v>407.0</v>
      </c>
      <c r="B408" s="63">
        <f>'Swiss Registry'!A639</f>
        <v>638</v>
      </c>
      <c r="C408" s="63" t="str">
        <f>'Swiss Registry'!B639</f>
        <v>the_app</v>
      </c>
      <c r="D408" s="65" t="str">
        <f>'Swiss Registry'!C639</f>
        <v>4 - 3</v>
      </c>
    </row>
    <row r="409">
      <c r="A409" s="63">
        <v>408.0</v>
      </c>
      <c r="B409" s="63">
        <f>'Swiss Registry'!A447</f>
        <v>446</v>
      </c>
      <c r="C409" s="63" t="str">
        <f>'Swiss Registry'!B447</f>
        <v>MrBluestacks</v>
      </c>
      <c r="D409" s="65" t="str">
        <f>'Swiss Registry'!C447</f>
        <v>2 - 3</v>
      </c>
    </row>
    <row r="410">
      <c r="A410" s="63">
        <v>409.0</v>
      </c>
      <c r="B410" s="63">
        <f>'Swiss Registry'!A618</f>
        <v>617</v>
      </c>
      <c r="C410" s="63" t="str">
        <f>'Swiss Registry'!B618</f>
        <v>Ktools#9665</v>
      </c>
      <c r="D410" s="65" t="str">
        <f>'Swiss Registry'!C618</f>
        <v>2 - 3</v>
      </c>
    </row>
    <row r="411">
      <c r="A411" s="63">
        <v>410.0</v>
      </c>
      <c r="B411" s="63">
        <f>'Swiss Registry'!A654</f>
        <v>653</v>
      </c>
      <c r="C411" s="63" t="str">
        <f>'Swiss Registry'!B654</f>
        <v>lraven17</v>
      </c>
      <c r="D411" s="65" t="str">
        <f>'Swiss Registry'!C654</f>
        <v>0 - 3</v>
      </c>
    </row>
    <row r="412">
      <c r="A412" s="63">
        <v>411.0</v>
      </c>
      <c r="B412" s="63">
        <f>'Swiss Registry'!A313</f>
        <v>312</v>
      </c>
      <c r="C412" s="63" t="str">
        <f>'Swiss Registry'!B313</f>
        <v>enkiduofficial</v>
      </c>
      <c r="D412" s="65" t="str">
        <f>'Swiss Registry'!C313</f>
        <v>0 - 3</v>
      </c>
    </row>
    <row r="413">
      <c r="A413" s="63">
        <v>412.0</v>
      </c>
      <c r="B413" s="63">
        <f>'Swiss Registry'!A606</f>
        <v>605</v>
      </c>
      <c r="C413" s="63" t="str">
        <f>'Swiss Registry'!B606</f>
        <v>grillking</v>
      </c>
      <c r="D413" s="65" t="str">
        <f>'Swiss Registry'!C606</f>
        <v>1 - 3</v>
      </c>
    </row>
    <row r="414">
      <c r="A414" s="63">
        <v>413.0</v>
      </c>
      <c r="B414" s="63">
        <f>'Swiss Registry'!A621</f>
        <v>620</v>
      </c>
      <c r="C414" s="63" t="str">
        <f>'Swiss Registry'!B621</f>
        <v>Sotina</v>
      </c>
      <c r="D414" s="65" t="str">
        <f>'Swiss Registry'!C621</f>
        <v>0 - 3</v>
      </c>
    </row>
    <row r="415">
      <c r="A415" s="63">
        <v>414.0</v>
      </c>
      <c r="B415" s="63">
        <f>'Swiss Registry'!A530</f>
        <v>529</v>
      </c>
      <c r="C415" s="63" t="str">
        <f>'Swiss Registry'!B530</f>
        <v>pat2678</v>
      </c>
      <c r="D415" s="65" t="str">
        <f>'Swiss Registry'!C530</f>
        <v>1 - 3</v>
      </c>
    </row>
    <row r="416">
      <c r="A416" s="63">
        <v>415.0</v>
      </c>
      <c r="B416" s="63">
        <f>'Swiss Registry'!A692</f>
        <v>691</v>
      </c>
      <c r="C416" s="63" t="str">
        <f>'Swiss Registry'!B692</f>
        <v>aldrichunfaithful</v>
      </c>
      <c r="D416" s="65" t="str">
        <f>'Swiss Registry'!C692</f>
        <v>5 - 3</v>
      </c>
    </row>
    <row r="417">
      <c r="A417" s="63">
        <v>416.0</v>
      </c>
      <c r="B417" s="63">
        <f>'Swiss Registry'!A660</f>
        <v>659</v>
      </c>
      <c r="C417" s="63" t="str">
        <f>'Swiss Registry'!B660</f>
        <v>romeugoat._25355</v>
      </c>
      <c r="D417" s="65" t="str">
        <f>'Swiss Registry'!C660</f>
        <v>0 - 3</v>
      </c>
    </row>
    <row r="418">
      <c r="A418" s="63">
        <v>417.0</v>
      </c>
      <c r="B418" s="63">
        <f>'Swiss Registry'!A489</f>
        <v>488</v>
      </c>
      <c r="C418" s="63" t="str">
        <f>'Swiss Registry'!B489</f>
        <v>lemann8184</v>
      </c>
      <c r="D418" s="65" t="str">
        <f>'Swiss Registry'!C489</f>
        <v>0 - 3</v>
      </c>
    </row>
    <row r="419">
      <c r="A419" s="63">
        <v>418.0</v>
      </c>
      <c r="B419" s="63">
        <f>'Swiss Registry'!A492</f>
        <v>491</v>
      </c>
      <c r="C419" s="63" t="str">
        <f>'Swiss Registry'!B492</f>
        <v>SUB 8</v>
      </c>
      <c r="D419" s="65" t="str">
        <f>'Swiss Registry'!C492</f>
        <v>0 - 3</v>
      </c>
    </row>
    <row r="420">
      <c r="A420" s="63">
        <v>419.0</v>
      </c>
      <c r="B420" s="63">
        <f>'Swiss Registry'!A408</f>
        <v>407</v>
      </c>
      <c r="C420" s="63" t="str">
        <f>'Swiss Registry'!B408</f>
        <v>.turkeyleg</v>
      </c>
      <c r="D420" s="65" t="str">
        <f>'Swiss Registry'!C408</f>
        <v>2 - 3</v>
      </c>
    </row>
    <row r="421">
      <c r="A421" s="63">
        <v>420.0</v>
      </c>
      <c r="B421" s="63">
        <f>'Swiss Registry'!A536</f>
        <v>535</v>
      </c>
      <c r="C421" s="63" t="str">
        <f>'Swiss Registry'!B536</f>
        <v>scootymcbooty123</v>
      </c>
      <c r="D421" s="65" t="str">
        <f>'Swiss Registry'!C536</f>
        <v>6 - 3</v>
      </c>
    </row>
    <row r="422">
      <c r="A422" s="63">
        <v>421.0</v>
      </c>
      <c r="B422" s="63">
        <f>'Swiss Registry'!A218</f>
        <v>217</v>
      </c>
      <c r="C422" s="63" t="str">
        <f>'Swiss Registry'!B218</f>
        <v>kebinsan</v>
      </c>
      <c r="D422" s="65" t="str">
        <f>'Swiss Registry'!C218</f>
        <v>1 - 3</v>
      </c>
    </row>
    <row r="423">
      <c r="A423" s="63">
        <v>422.0</v>
      </c>
      <c r="B423" s="63">
        <f>'Swiss Registry'!A620</f>
        <v>619</v>
      </c>
      <c r="C423" s="63" t="str">
        <f>'Swiss Registry'!B620</f>
        <v>kinou_pkm</v>
      </c>
      <c r="D423" s="65" t="str">
        <f>'Swiss Registry'!C620</f>
        <v>4 - 3</v>
      </c>
    </row>
    <row r="424">
      <c r="A424" s="63">
        <v>423.0</v>
      </c>
      <c r="B424" s="63">
        <f>'Swiss Registry'!A220</f>
        <v>219</v>
      </c>
      <c r="C424" s="63" t="str">
        <f>'Swiss Registry'!B220</f>
        <v>girlevader</v>
      </c>
      <c r="D424" s="65" t="str">
        <f>'Swiss Registry'!C220</f>
        <v>1 - 3</v>
      </c>
    </row>
    <row r="425">
      <c r="A425" s="63">
        <v>424.0</v>
      </c>
      <c r="B425" s="63">
        <f>'Swiss Registry'!A325</f>
        <v>324</v>
      </c>
      <c r="C425" s="63" t="str">
        <f>'Swiss Registry'!B325</f>
        <v>theamazingeevee</v>
      </c>
      <c r="D425" s="65" t="str">
        <f>'Swiss Registry'!C325</f>
        <v>1 - 3</v>
      </c>
    </row>
    <row r="426">
      <c r="A426" s="63">
        <v>425.0</v>
      </c>
      <c r="B426" s="63">
        <f>'Swiss Registry'!A117</f>
        <v>116</v>
      </c>
      <c r="C426" s="63" t="str">
        <f>'Swiss Registry'!B117</f>
        <v>viel06</v>
      </c>
      <c r="D426" s="65" t="str">
        <f>'Swiss Registry'!C117</f>
        <v>0 - 3</v>
      </c>
    </row>
    <row r="427">
      <c r="A427" s="63">
        <v>426.0</v>
      </c>
      <c r="B427" s="63">
        <f>'Swiss Registry'!A170</f>
        <v>169</v>
      </c>
      <c r="C427" s="63" t="str">
        <f>'Swiss Registry'!B170</f>
        <v>kvistsivk</v>
      </c>
      <c r="D427" s="65" t="str">
        <f>'Swiss Registry'!C170</f>
        <v>4 - 3</v>
      </c>
    </row>
    <row r="428">
      <c r="A428" s="63">
        <v>427.0</v>
      </c>
      <c r="B428" s="63">
        <f>'Swiss Registry'!A110</f>
        <v>109</v>
      </c>
      <c r="C428" s="63" t="str">
        <f>'Swiss Registry'!B110</f>
        <v>Gthorpe1993</v>
      </c>
      <c r="D428" s="65" t="str">
        <f>'Swiss Registry'!C110</f>
        <v>0 - 3</v>
      </c>
    </row>
    <row r="429">
      <c r="A429" s="63">
        <v>428.0</v>
      </c>
      <c r="B429" s="63">
        <f>'Swiss Registry'!A608</f>
        <v>607</v>
      </c>
      <c r="C429" s="63" t="str">
        <f>'Swiss Registry'!B608</f>
        <v>@xlimexheep</v>
      </c>
      <c r="D429" s="65" t="str">
        <f>'Swiss Registry'!C608</f>
        <v>2 - 3</v>
      </c>
    </row>
    <row r="430">
      <c r="A430" s="63">
        <v>429.0</v>
      </c>
      <c r="B430" s="63">
        <f>'Swiss Registry'!A345</f>
        <v>344</v>
      </c>
      <c r="C430" s="63" t="str">
        <f>'Swiss Registry'!B345</f>
        <v>Samnyg</v>
      </c>
      <c r="D430" s="65" t="str">
        <f>'Swiss Registry'!C345</f>
        <v>2 - 3</v>
      </c>
    </row>
    <row r="431">
      <c r="A431" s="63">
        <v>430.0</v>
      </c>
      <c r="B431" s="63">
        <f>'Swiss Registry'!A363</f>
        <v>362</v>
      </c>
      <c r="C431" s="63" t="str">
        <f>'Swiss Registry'!B363</f>
        <v>James67</v>
      </c>
      <c r="D431" s="65" t="str">
        <f>'Swiss Registry'!C363</f>
        <v>2 - 3</v>
      </c>
    </row>
    <row r="432">
      <c r="A432" s="63">
        <v>431.0</v>
      </c>
      <c r="B432" s="63">
        <f>'Swiss Registry'!A661</f>
        <v>660</v>
      </c>
      <c r="C432" s="63" t="str">
        <f>'Swiss Registry'!B661</f>
        <v>sapphire918</v>
      </c>
      <c r="D432" s="65" t="str">
        <f>'Swiss Registry'!C661</f>
        <v>3 - 3</v>
      </c>
    </row>
    <row r="433">
      <c r="A433" s="63">
        <v>432.0</v>
      </c>
      <c r="B433" s="63">
        <f>'Swiss Registry'!A666</f>
        <v>665</v>
      </c>
      <c r="C433" s="63" t="str">
        <f>'Swiss Registry'!B666</f>
        <v>Ale8150</v>
      </c>
      <c r="D433" s="65" t="str">
        <f>'Swiss Registry'!C666</f>
        <v>1 - 3</v>
      </c>
    </row>
    <row r="434">
      <c r="A434" s="63">
        <v>433.0</v>
      </c>
      <c r="B434" s="63">
        <f>'Swiss Registry'!A311</f>
        <v>310</v>
      </c>
      <c r="C434" s="63" t="str">
        <f>'Swiss Registry'!B311</f>
        <v>tanao</v>
      </c>
      <c r="D434" s="65" t="str">
        <f>'Swiss Registry'!C311</f>
        <v>2 - 3</v>
      </c>
    </row>
    <row r="435">
      <c r="A435" s="63">
        <v>434.0</v>
      </c>
      <c r="B435" s="63">
        <f>'Swiss Registry'!A371</f>
        <v>370</v>
      </c>
      <c r="C435" s="63" t="str">
        <f>'Swiss Registry'!B371</f>
        <v>Baptista</v>
      </c>
      <c r="D435" s="65" t="str">
        <f>'Swiss Registry'!C371</f>
        <v>2 - 3</v>
      </c>
    </row>
    <row r="436">
      <c r="A436" s="63">
        <v>435.0</v>
      </c>
      <c r="B436" s="63">
        <f>'Swiss Registry'!A464</f>
        <v>463</v>
      </c>
      <c r="C436" s="63" t="str">
        <f>'Swiss Registry'!B464</f>
        <v>thegreatest23</v>
      </c>
      <c r="D436" s="65" t="str">
        <f>'Swiss Registry'!C464</f>
        <v>3 - 3</v>
      </c>
    </row>
    <row r="437">
      <c r="A437" s="63">
        <v>436.0</v>
      </c>
      <c r="B437" s="63">
        <f>'Swiss Registry'!A333</f>
        <v>332</v>
      </c>
      <c r="C437" s="63" t="str">
        <f>'Swiss Registry'!B333</f>
        <v>SUB 26</v>
      </c>
      <c r="D437" s="65" t="str">
        <f>'Swiss Registry'!C333</f>
        <v>0 - 3</v>
      </c>
    </row>
    <row r="438">
      <c r="A438" s="63">
        <v>437.0</v>
      </c>
      <c r="B438" s="63">
        <f>'Swiss Registry'!A466</f>
        <v>465</v>
      </c>
      <c r="C438" s="63" t="str">
        <f>'Swiss Registry'!B466</f>
        <v>Moneybaggslowbro</v>
      </c>
      <c r="D438" s="65" t="str">
        <f>'Swiss Registry'!C466</f>
        <v>2 - 3</v>
      </c>
    </row>
    <row r="439">
      <c r="A439" s="63">
        <v>438.0</v>
      </c>
      <c r="B439" s="63">
        <f>'Swiss Registry'!A168</f>
        <v>167</v>
      </c>
      <c r="C439" s="63" t="str">
        <f>'Swiss Registry'!B168</f>
        <v>kylemckell</v>
      </c>
      <c r="D439" s="65" t="str">
        <f>'Swiss Registry'!C168</f>
        <v>2 - 3</v>
      </c>
    </row>
    <row r="440">
      <c r="A440" s="63">
        <v>439.0</v>
      </c>
      <c r="B440" s="63">
        <f>'Swiss Registry'!A522</f>
        <v>521</v>
      </c>
      <c r="C440" s="63" t="str">
        <f>'Swiss Registry'!B522</f>
        <v>Grain_Jar</v>
      </c>
      <c r="D440" s="65" t="str">
        <f>'Swiss Registry'!C522</f>
        <v>3 - 3</v>
      </c>
    </row>
    <row r="441">
      <c r="A441" s="63">
        <v>440.0</v>
      </c>
      <c r="B441" s="63">
        <f>'Swiss Registry'!A512</f>
        <v>511</v>
      </c>
      <c r="C441" s="63" t="str">
        <f>'Swiss Registry'!B512</f>
        <v>dfr2248</v>
      </c>
      <c r="D441" s="65" t="str">
        <f>'Swiss Registry'!C512</f>
        <v>1 - 3</v>
      </c>
    </row>
    <row r="442">
      <c r="A442" s="63">
        <v>441.0</v>
      </c>
      <c r="B442" s="63">
        <f>'Swiss Registry'!A580</f>
        <v>579</v>
      </c>
      <c r="C442" s="63" t="str">
        <f>'Swiss Registry'!B580</f>
        <v>Drby</v>
      </c>
      <c r="D442" s="65" t="str">
        <f>'Swiss Registry'!C580</f>
        <v>3 - 3</v>
      </c>
    </row>
    <row r="443">
      <c r="A443" s="63">
        <v>442.0</v>
      </c>
      <c r="B443" s="63">
        <f>'Swiss Registry'!A257</f>
        <v>256</v>
      </c>
      <c r="C443" s="63" t="str">
        <f>'Swiss Registry'!B257</f>
        <v>bdicap</v>
      </c>
      <c r="D443" s="65" t="str">
        <f>'Swiss Registry'!C257</f>
        <v>1 - 3</v>
      </c>
    </row>
    <row r="444">
      <c r="A444" s="63">
        <v>443.0</v>
      </c>
      <c r="B444" s="63">
        <f>'Swiss Registry'!A375</f>
        <v>374</v>
      </c>
      <c r="C444" s="63" t="str">
        <f>'Swiss Registry'!B375</f>
        <v>SUB 13</v>
      </c>
      <c r="D444" s="65" t="str">
        <f>'Swiss Registry'!C375</f>
        <v>0 - 3</v>
      </c>
    </row>
    <row r="445">
      <c r="A445" s="63">
        <v>444.0</v>
      </c>
      <c r="B445" s="63">
        <f>'Swiss Registry'!A229</f>
        <v>228</v>
      </c>
      <c r="C445" s="63" t="str">
        <f>'Swiss Registry'!B229</f>
        <v>kewta</v>
      </c>
      <c r="D445" s="65" t="str">
        <f>'Swiss Registry'!C229</f>
        <v>2 - 3</v>
      </c>
    </row>
    <row r="446">
      <c r="A446" s="63">
        <v>445.0</v>
      </c>
      <c r="B446" s="63">
        <f>'Swiss Registry'!A293</f>
        <v>292</v>
      </c>
      <c r="C446" s="63" t="str">
        <f>'Swiss Registry'!B293</f>
        <v>clinkbug</v>
      </c>
      <c r="D446" s="65" t="str">
        <f>'Swiss Registry'!C293</f>
        <v>3 - 3</v>
      </c>
    </row>
    <row r="447">
      <c r="A447" s="63">
        <v>446.0</v>
      </c>
      <c r="B447" s="63">
        <f>'Swiss Registry'!A288</f>
        <v>287</v>
      </c>
      <c r="C447" s="63" t="str">
        <f>'Swiss Registry'!B288</f>
        <v>green.9082</v>
      </c>
      <c r="D447" s="65" t="str">
        <f>'Swiss Registry'!C288</f>
        <v>4 - 3</v>
      </c>
    </row>
    <row r="448">
      <c r="A448" s="63">
        <v>447.0</v>
      </c>
      <c r="B448" s="63">
        <f>'Swiss Registry'!A243</f>
        <v>242</v>
      </c>
      <c r="C448" s="63" t="str">
        <f>'Swiss Registry'!B243</f>
        <v>le_penseur</v>
      </c>
      <c r="D448" s="65" t="str">
        <f>'Swiss Registry'!C243</f>
        <v>0 - 3</v>
      </c>
    </row>
    <row r="449">
      <c r="A449" s="63">
        <v>448.0</v>
      </c>
      <c r="B449" s="63">
        <f>'Swiss Registry'!A554</f>
        <v>553</v>
      </c>
      <c r="C449" s="63" t="str">
        <f>'Swiss Registry'!B554</f>
        <v>jheff97</v>
      </c>
      <c r="D449" s="65" t="str">
        <f>'Swiss Registry'!C554</f>
        <v>0 - 3</v>
      </c>
    </row>
    <row r="450">
      <c r="A450" s="63">
        <v>449.0</v>
      </c>
      <c r="B450" s="63">
        <f>'Swiss Registry'!A655</f>
        <v>654</v>
      </c>
      <c r="C450" s="63" t="str">
        <f>'Swiss Registry'!B655</f>
        <v>krungus_01138</v>
      </c>
      <c r="D450" s="65" t="str">
        <f>'Swiss Registry'!C655</f>
        <v>1 - 3</v>
      </c>
    </row>
    <row r="451">
      <c r="A451" s="63">
        <v>450.0</v>
      </c>
      <c r="B451" s="63">
        <f>'Swiss Registry'!A545</f>
        <v>544</v>
      </c>
      <c r="C451" s="63" t="str">
        <f>'Swiss Registry'!B545</f>
        <v>almbkn</v>
      </c>
      <c r="D451" s="65" t="str">
        <f>'Swiss Registry'!C545</f>
        <v>3 - 3</v>
      </c>
    </row>
    <row r="452">
      <c r="A452" s="63">
        <v>451.0</v>
      </c>
      <c r="B452" s="63">
        <f>'Swiss Registry'!A630</f>
        <v>629</v>
      </c>
      <c r="C452" s="63" t="str">
        <f>'Swiss Registry'!B630</f>
        <v>Ragnarocco244</v>
      </c>
      <c r="D452" s="65" t="str">
        <f>'Swiss Registry'!C630</f>
        <v>0 - 3</v>
      </c>
    </row>
    <row r="453">
      <c r="A453" s="63">
        <v>452.0</v>
      </c>
      <c r="B453" s="63">
        <f>'Swiss Registry'!A429</f>
        <v>428</v>
      </c>
      <c r="C453" s="63" t="str">
        <f>'Swiss Registry'!B429</f>
        <v>yuramas</v>
      </c>
      <c r="D453" s="65" t="str">
        <f>'Swiss Registry'!C429</f>
        <v>3 - 3</v>
      </c>
    </row>
    <row r="454">
      <c r="A454" s="63">
        <v>453.0</v>
      </c>
      <c r="B454" s="63">
        <f>'Swiss Registry'!A149</f>
        <v>148</v>
      </c>
      <c r="C454" s="63" t="str">
        <f>'Swiss Registry'!B149</f>
        <v>SUB 20</v>
      </c>
      <c r="D454" s="65" t="str">
        <f>'Swiss Registry'!C149</f>
        <v>0 - 3</v>
      </c>
    </row>
    <row r="455">
      <c r="A455" s="63">
        <v>454.0</v>
      </c>
      <c r="B455" s="63">
        <f>'Swiss Registry'!A361</f>
        <v>360</v>
      </c>
      <c r="C455" s="63" t="str">
        <f>'Swiss Registry'!B361</f>
        <v>poots6476</v>
      </c>
      <c r="D455" s="65" t="str">
        <f>'Swiss Registry'!C361</f>
        <v>3 - 3</v>
      </c>
    </row>
    <row r="456">
      <c r="A456" s="63">
        <v>455.0</v>
      </c>
      <c r="B456" s="63">
        <f>'Swiss Registry'!A251</f>
        <v>250</v>
      </c>
      <c r="C456" s="63" t="str">
        <f>'Swiss Registry'!B251</f>
        <v>@geosesarma</v>
      </c>
      <c r="D456" s="65" t="str">
        <f>'Swiss Registry'!C251</f>
        <v>2 - 3</v>
      </c>
    </row>
    <row r="457">
      <c r="A457" s="63">
        <v>456.0</v>
      </c>
      <c r="B457" s="63">
        <f>'Swiss Registry'!A302</f>
        <v>301</v>
      </c>
      <c r="C457" s="63" t="str">
        <f>'Swiss Registry'!B302</f>
        <v>rajime.</v>
      </c>
      <c r="D457" s="65" t="str">
        <f>'Swiss Registry'!C302</f>
        <v>1 - 3</v>
      </c>
    </row>
    <row r="458">
      <c r="A458" s="63">
        <v>457.0</v>
      </c>
      <c r="B458" s="63">
        <f>'Swiss Registry'!A278</f>
        <v>277</v>
      </c>
      <c r="C458" s="63" t="str">
        <f>'Swiss Registry'!B278</f>
        <v>usbreon</v>
      </c>
      <c r="D458" s="65" t="str">
        <f>'Swiss Registry'!C278</f>
        <v>2 - 3</v>
      </c>
    </row>
    <row r="459">
      <c r="A459" s="63">
        <v>458.0</v>
      </c>
      <c r="B459" s="63">
        <f>'Swiss Registry'!A482</f>
        <v>481</v>
      </c>
      <c r="C459" s="63" t="str">
        <f>'Swiss Registry'!B482</f>
        <v>SentientSanchez</v>
      </c>
      <c r="D459" s="65" t="str">
        <f>'Swiss Registry'!C482</f>
        <v>3 - 3</v>
      </c>
    </row>
    <row r="460">
      <c r="A460" s="63">
        <v>459.0</v>
      </c>
      <c r="B460" s="63">
        <f>'Swiss Registry'!A349</f>
        <v>348</v>
      </c>
      <c r="C460" s="63" t="str">
        <f>'Swiss Registry'!B349</f>
        <v>SUB 16</v>
      </c>
      <c r="D460" s="65" t="str">
        <f>'Swiss Registry'!C349</f>
        <v>0 - 3</v>
      </c>
    </row>
    <row r="461">
      <c r="A461" s="63">
        <v>460.0</v>
      </c>
      <c r="B461" s="63">
        <f>'Swiss Registry'!A533</f>
        <v>532</v>
      </c>
      <c r="C461" s="63" t="str">
        <f>'Swiss Registry'!B533</f>
        <v>bigjon.</v>
      </c>
      <c r="D461" s="65" t="str">
        <f>'Swiss Registry'!C533</f>
        <v>4 - 3</v>
      </c>
    </row>
    <row r="462">
      <c r="A462" s="63">
        <v>461.0</v>
      </c>
      <c r="B462" s="63">
        <f>'Swiss Registry'!A250</f>
        <v>249</v>
      </c>
      <c r="C462" s="63" t="str">
        <f>'Swiss Registry'!B250</f>
        <v>gambling.goddess</v>
      </c>
      <c r="D462" s="65" t="str">
        <f>'Swiss Registry'!C250</f>
        <v>3 - 3</v>
      </c>
    </row>
    <row r="463">
      <c r="A463" s="63">
        <v>462.0</v>
      </c>
      <c r="B463" s="63">
        <f>'Swiss Registry'!A428</f>
        <v>427</v>
      </c>
      <c r="C463" s="63" t="str">
        <f>'Swiss Registry'!B428</f>
        <v>comseal</v>
      </c>
      <c r="D463" s="65" t="str">
        <f>'Swiss Registry'!C428</f>
        <v>3 - 3</v>
      </c>
    </row>
    <row r="464">
      <c r="A464" s="63">
        <v>463.0</v>
      </c>
      <c r="B464" s="63">
        <f>'Swiss Registry'!A591</f>
        <v>590</v>
      </c>
      <c r="C464" s="63" t="str">
        <f>'Swiss Registry'!B591</f>
        <v>tommy4830</v>
      </c>
      <c r="D464" s="65" t="str">
        <f>'Swiss Registry'!C591</f>
        <v>1 - 3</v>
      </c>
    </row>
    <row r="465">
      <c r="A465" s="63">
        <v>464.0</v>
      </c>
      <c r="B465" s="63">
        <f>'Swiss Registry'!A531</f>
        <v>530</v>
      </c>
      <c r="C465" s="63" t="str">
        <f>'Swiss Registry'!B531</f>
        <v>tibetanator</v>
      </c>
      <c r="D465" s="65" t="str">
        <f>'Swiss Registry'!C531</f>
        <v>6 - 3</v>
      </c>
    </row>
    <row r="466">
      <c r="A466" s="63">
        <v>465.0</v>
      </c>
      <c r="B466" s="63">
        <f>'Swiss Registry'!A179</f>
        <v>178</v>
      </c>
      <c r="C466" s="63" t="str">
        <f>'Swiss Registry'!B179</f>
        <v>pinjarrapanther</v>
      </c>
      <c r="D466" s="65" t="str">
        <f>'Swiss Registry'!C179</f>
        <v>2 - 3</v>
      </c>
    </row>
    <row r="467">
      <c r="A467" s="63">
        <v>466.0</v>
      </c>
      <c r="B467" s="63">
        <f>'Swiss Registry'!A405</f>
        <v>404</v>
      </c>
      <c r="C467" s="63" t="str">
        <f>'Swiss Registry'!B405</f>
        <v>jew9318</v>
      </c>
      <c r="D467" s="65" t="str">
        <f>'Swiss Registry'!C405</f>
        <v>3 - 3</v>
      </c>
    </row>
    <row r="468">
      <c r="A468" s="63">
        <v>467.0</v>
      </c>
      <c r="B468" s="63">
        <f>'Swiss Registry'!A463</f>
        <v>462</v>
      </c>
      <c r="C468" s="63" t="str">
        <f>'Swiss Registry'!B463</f>
        <v>MoxieKrok</v>
      </c>
      <c r="D468" s="65" t="str">
        <f>'Swiss Registry'!C463</f>
        <v>2 - 3</v>
      </c>
    </row>
    <row r="469">
      <c r="A469" s="63">
        <v>468.0</v>
      </c>
      <c r="B469" s="63">
        <f>'Swiss Registry'!A352</f>
        <v>351</v>
      </c>
      <c r="C469" s="63" t="str">
        <f>'Swiss Registry'!B352</f>
        <v>kinglazi</v>
      </c>
      <c r="D469" s="65" t="str">
        <f>'Swiss Registry'!C352</f>
        <v>1 - 3</v>
      </c>
    </row>
    <row r="470">
      <c r="A470" s="63">
        <v>469.0</v>
      </c>
      <c r="B470" s="63">
        <f>'Swiss Registry'!A604</f>
        <v>603</v>
      </c>
      <c r="C470" s="63" t="str">
        <f>'Swiss Registry'!B604</f>
        <v>fuckboylenny</v>
      </c>
      <c r="D470" s="65" t="str">
        <f>'Swiss Registry'!C604</f>
        <v>3 - 3</v>
      </c>
    </row>
    <row r="471">
      <c r="A471" s="63">
        <v>470.0</v>
      </c>
      <c r="B471" s="63">
        <f>'Swiss Registry'!A157</f>
        <v>156</v>
      </c>
      <c r="C471" s="63" t="str">
        <f>'Swiss Registry'!B157</f>
        <v>coutt</v>
      </c>
      <c r="D471" s="65" t="str">
        <f>'Swiss Registry'!C157</f>
        <v>1 - 3</v>
      </c>
    </row>
    <row r="472">
      <c r="A472" s="63">
        <v>471.0</v>
      </c>
      <c r="B472" s="63">
        <f>'Swiss Registry'!A461</f>
        <v>460</v>
      </c>
      <c r="C472" s="63" t="str">
        <f>'Swiss Registry'!B461</f>
        <v>onewhorants</v>
      </c>
      <c r="D472" s="65" t="str">
        <f>'Swiss Registry'!C461</f>
        <v>3 - 3</v>
      </c>
    </row>
    <row r="473">
      <c r="A473" s="63">
        <v>472.0</v>
      </c>
      <c r="B473" s="63">
        <f>'Swiss Registry'!A572</f>
        <v>571</v>
      </c>
      <c r="C473" s="63" t="str">
        <f>'Swiss Registry'!B572</f>
        <v>ltg04</v>
      </c>
      <c r="D473" s="65" t="str">
        <f>'Swiss Registry'!C572</f>
        <v>3 - 3</v>
      </c>
    </row>
    <row r="474">
      <c r="A474" s="63">
        <v>473.0</v>
      </c>
      <c r="B474" s="63">
        <f>'Swiss Registry'!A254</f>
        <v>253</v>
      </c>
      <c r="C474" s="63" t="str">
        <f>'Swiss Registry'!B254</f>
        <v>Pulcsii</v>
      </c>
      <c r="D474" s="65" t="str">
        <f>'Swiss Registry'!C254</f>
        <v>1 - 3</v>
      </c>
    </row>
    <row r="475">
      <c r="A475" s="63">
        <v>474.0</v>
      </c>
      <c r="B475" s="63">
        <f>'Swiss Registry'!A590</f>
        <v>589</v>
      </c>
      <c r="C475" s="63" t="str">
        <f>'Swiss Registry'!B590</f>
        <v>Carfrogs</v>
      </c>
      <c r="D475" s="65" t="str">
        <f>'Swiss Registry'!C590</f>
        <v>0 - 3</v>
      </c>
    </row>
    <row r="476">
      <c r="A476" s="63">
        <v>475.0</v>
      </c>
      <c r="B476" s="63">
        <f>'Swiss Registry'!A510</f>
        <v>509</v>
      </c>
      <c r="C476" s="63" t="str">
        <f>'Swiss Registry'!B510</f>
        <v>SUB 7</v>
      </c>
      <c r="D476" s="65" t="str">
        <f>'Swiss Registry'!C510</f>
        <v>0 - 3</v>
      </c>
    </row>
    <row r="477">
      <c r="A477" s="63">
        <v>476.0</v>
      </c>
      <c r="B477" s="63">
        <f>'Swiss Registry'!A474</f>
        <v>473</v>
      </c>
      <c r="C477" s="63" t="str">
        <f>'Swiss Registry'!B474</f>
        <v>hachimaki.</v>
      </c>
      <c r="D477" s="65" t="str">
        <f>'Swiss Registry'!C474</f>
        <v>1 - 3</v>
      </c>
    </row>
    <row r="478">
      <c r="A478" s="63">
        <v>477.0</v>
      </c>
      <c r="B478" s="63">
        <f>'Swiss Registry'!A111</f>
        <v>110</v>
      </c>
      <c r="C478" s="63" t="str">
        <f>'Swiss Registry'!B111</f>
        <v>Stao</v>
      </c>
      <c r="D478" s="65" t="str">
        <f>'Swiss Registry'!C111</f>
        <v>1 - 3</v>
      </c>
    </row>
    <row r="479">
      <c r="A479" s="63">
        <v>478.0</v>
      </c>
      <c r="B479" s="63">
        <f>'Swiss Registry'!A667</f>
        <v>666</v>
      </c>
      <c r="C479" s="63" t="str">
        <f>'Swiss Registry'!B667</f>
        <v>YamHam</v>
      </c>
      <c r="D479" s="65" t="str">
        <f>'Swiss Registry'!C667</f>
        <v>1 - 3</v>
      </c>
    </row>
    <row r="480">
      <c r="A480" s="63">
        <v>479.0</v>
      </c>
      <c r="B480" s="63">
        <f>'Swiss Registry'!A433</f>
        <v>432</v>
      </c>
      <c r="C480" s="63" t="str">
        <f>'Swiss Registry'!B433</f>
        <v>saiyanpride.</v>
      </c>
      <c r="D480" s="65" t="str">
        <f>'Swiss Registry'!C433</f>
        <v>2 - 3</v>
      </c>
    </row>
    <row r="481">
      <c r="A481" s="63">
        <v>480.0</v>
      </c>
      <c r="B481" s="63">
        <f>'Swiss Registry'!A672</f>
        <v>671</v>
      </c>
      <c r="C481" s="63" t="str">
        <f>'Swiss Registry'!B672</f>
        <v>tahat_t</v>
      </c>
      <c r="D481" s="65" t="str">
        <f>'Swiss Registry'!C672</f>
        <v>3 - 3</v>
      </c>
    </row>
    <row r="482">
      <c r="A482" s="63">
        <v>481.0</v>
      </c>
      <c r="B482" s="63">
        <f>'Swiss Registry'!A409</f>
        <v>408</v>
      </c>
      <c r="C482" s="63" t="str">
        <f>'Swiss Registry'!B409</f>
        <v>SUB 18</v>
      </c>
      <c r="D482" s="65" t="str">
        <f>'Swiss Registry'!C409</f>
        <v>0 - 3</v>
      </c>
    </row>
    <row r="483">
      <c r="A483" s="63">
        <v>482.0</v>
      </c>
      <c r="B483" s="63">
        <f>'Swiss Registry'!A543</f>
        <v>542</v>
      </c>
      <c r="C483" s="63" t="str">
        <f>'Swiss Registry'!B543</f>
        <v>Luca Dylan</v>
      </c>
      <c r="D483" s="65" t="str">
        <f>'Swiss Registry'!C543</f>
        <v>1 - 3</v>
      </c>
    </row>
    <row r="484">
      <c r="A484" s="63">
        <v>483.0</v>
      </c>
      <c r="B484" s="63">
        <f>'Swiss Registry'!A350</f>
        <v>349</v>
      </c>
      <c r="C484" s="63" t="str">
        <f>'Swiss Registry'!B350</f>
        <v>Reptikrook</v>
      </c>
      <c r="D484" s="65" t="str">
        <f>'Swiss Registry'!C350</f>
        <v>3 - 3</v>
      </c>
    </row>
    <row r="485">
      <c r="A485" s="63">
        <v>484.0</v>
      </c>
      <c r="B485" s="63">
        <f>'Swiss Registry'!A414</f>
        <v>413</v>
      </c>
      <c r="C485" s="63" t="str">
        <f>'Swiss Registry'!B414</f>
        <v>_honua</v>
      </c>
      <c r="D485" s="65" t="str">
        <f>'Swiss Registry'!C414</f>
        <v>0 - 3</v>
      </c>
    </row>
    <row r="486">
      <c r="A486" s="63">
        <v>485.0</v>
      </c>
      <c r="B486" s="63">
        <f>'Swiss Registry'!A190</f>
        <v>189</v>
      </c>
      <c r="C486" s="63" t="str">
        <f>'Swiss Registry'!B190</f>
        <v>shinyhunter8013</v>
      </c>
      <c r="D486" s="65" t="str">
        <f>'Swiss Registry'!C190</f>
        <v>0 - 3</v>
      </c>
    </row>
    <row r="487">
      <c r="A487" s="63">
        <v>486.0</v>
      </c>
      <c r="B487" s="63">
        <f>'Swiss Registry'!A191</f>
        <v>190</v>
      </c>
      <c r="C487" s="63" t="str">
        <f>'Swiss Registry'!B191</f>
        <v>ilovemygrandma444</v>
      </c>
      <c r="D487" s="65" t="str">
        <f>'Swiss Registry'!C191</f>
        <v>1 - 3</v>
      </c>
    </row>
    <row r="488">
      <c r="A488" s="63">
        <v>487.0</v>
      </c>
      <c r="B488" s="63">
        <f>'Swiss Registry'!A367</f>
        <v>366</v>
      </c>
      <c r="C488" s="63" t="str">
        <f>'Swiss Registry'!B367</f>
        <v>dimiswooner</v>
      </c>
      <c r="D488" s="65" t="str">
        <f>'Swiss Registry'!C367</f>
        <v>2 - 3</v>
      </c>
    </row>
    <row r="489">
      <c r="A489" s="63">
        <v>488.0</v>
      </c>
      <c r="B489" s="63">
        <f>'Swiss Registry'!A421</f>
        <v>420</v>
      </c>
      <c r="C489" s="63" t="str">
        <f>'Swiss Registry'!B421</f>
        <v>prestonv</v>
      </c>
      <c r="D489" s="65" t="str">
        <f>'Swiss Registry'!C421</f>
        <v>1 - 3</v>
      </c>
    </row>
    <row r="490">
      <c r="A490" s="63">
        <v>489.0</v>
      </c>
      <c r="B490" s="63">
        <f>'Swiss Registry'!A609</f>
        <v>608</v>
      </c>
      <c r="C490" s="63" t="str">
        <f>'Swiss Registry'!B609</f>
        <v>Fierros47</v>
      </c>
      <c r="D490" s="65" t="str">
        <f>'Swiss Registry'!C609</f>
        <v>3 - 3</v>
      </c>
    </row>
    <row r="491">
      <c r="A491" s="63">
        <v>490.0</v>
      </c>
      <c r="B491" s="63">
        <f>'Swiss Registry'!A306</f>
        <v>305</v>
      </c>
      <c r="C491" s="63" t="str">
        <f>'Swiss Registry'!B306</f>
        <v>SUB 24</v>
      </c>
      <c r="D491" s="65" t="str">
        <f>'Swiss Registry'!C306</f>
        <v>0 - 3</v>
      </c>
    </row>
    <row r="492">
      <c r="A492" s="63">
        <v>491.0</v>
      </c>
      <c r="B492" s="63">
        <f>'Swiss Registry'!A663</f>
        <v>662</v>
      </c>
      <c r="C492" s="63" t="str">
        <f>'Swiss Registry'!B663</f>
        <v>milkshook00</v>
      </c>
      <c r="D492" s="65" t="str">
        <f>'Swiss Registry'!C663</f>
        <v>4 - 3</v>
      </c>
    </row>
    <row r="493">
      <c r="A493" s="63">
        <v>492.0</v>
      </c>
      <c r="B493" s="63">
        <f>'Swiss Registry'!A385</f>
        <v>384</v>
      </c>
      <c r="C493" s="63" t="str">
        <f>'Swiss Registry'!B385</f>
        <v>poosh_i</v>
      </c>
      <c r="D493" s="65" t="str">
        <f>'Swiss Registry'!C385</f>
        <v>2 - 3</v>
      </c>
    </row>
    <row r="494">
      <c r="A494" s="63">
        <v>493.0</v>
      </c>
      <c r="B494" s="63">
        <f>'Swiss Registry'!A365</f>
        <v>364</v>
      </c>
      <c r="C494" s="63" t="str">
        <f>'Swiss Registry'!B365</f>
        <v>Psychokinetic4</v>
      </c>
      <c r="D494" s="65" t="str">
        <f>'Swiss Registry'!C365</f>
        <v>3 - 3</v>
      </c>
    </row>
    <row r="495">
      <c r="A495" s="63">
        <v>494.0</v>
      </c>
      <c r="B495" s="63">
        <f>'Swiss Registry'!A680</f>
        <v>679</v>
      </c>
      <c r="C495" s="63" t="str">
        <f>'Swiss Registry'!B680</f>
        <v>bydy2</v>
      </c>
      <c r="D495" s="65" t="str">
        <f>'Swiss Registry'!C680</f>
        <v>6 - 3</v>
      </c>
    </row>
    <row r="496">
      <c r="A496" s="63">
        <v>495.0</v>
      </c>
      <c r="B496" s="63">
        <f>'Swiss Registry'!A407</f>
        <v>406</v>
      </c>
      <c r="C496" s="63" t="str">
        <f>'Swiss Registry'!B407</f>
        <v>epiclyepicgamer</v>
      </c>
      <c r="D496" s="65" t="str">
        <f>'Swiss Registry'!C407</f>
        <v>6 - 3</v>
      </c>
    </row>
    <row r="497">
      <c r="A497" s="63">
        <v>496.0</v>
      </c>
      <c r="B497" s="63">
        <f>'Swiss Registry'!A597</f>
        <v>596</v>
      </c>
      <c r="C497" s="63" t="str">
        <f>'Swiss Registry'!B597</f>
        <v>SUB 28</v>
      </c>
      <c r="D497" s="65" t="str">
        <f>'Swiss Registry'!C597</f>
        <v>0 - 3</v>
      </c>
    </row>
    <row r="498">
      <c r="A498" s="63">
        <v>497.0</v>
      </c>
      <c r="B498" s="63">
        <f>'Swiss Registry'!A233</f>
        <v>232</v>
      </c>
      <c r="C498" s="63" t="str">
        <f>'Swiss Registry'!B233</f>
        <v>valyns</v>
      </c>
      <c r="D498" s="65" t="str">
        <f>'Swiss Registry'!C233</f>
        <v>1 - 3</v>
      </c>
    </row>
    <row r="499">
      <c r="A499" s="63">
        <v>498.0</v>
      </c>
      <c r="B499" s="63">
        <f>'Swiss Registry'!A413</f>
        <v>412</v>
      </c>
      <c r="C499" s="63" t="str">
        <f>'Swiss Registry'!B413</f>
        <v>Yatagarasuwu</v>
      </c>
      <c r="D499" s="65" t="str">
        <f>'Swiss Registry'!C413</f>
        <v>2 - 3</v>
      </c>
    </row>
    <row r="500">
      <c r="A500" s="63">
        <v>499.0</v>
      </c>
      <c r="B500" s="63">
        <f>'Swiss Registry'!A498</f>
        <v>497</v>
      </c>
      <c r="C500" s="63" t="str">
        <f>'Swiss Registry'!B498</f>
        <v>GSC_Lover_Boy</v>
      </c>
      <c r="D500" s="65" t="str">
        <f>'Swiss Registry'!C498</f>
        <v>2 - 3</v>
      </c>
    </row>
    <row r="501">
      <c r="A501" s="63">
        <v>500.0</v>
      </c>
      <c r="B501" s="63">
        <f>'Swiss Registry'!A656</f>
        <v>655</v>
      </c>
      <c r="C501" s="63" t="str">
        <f>'Swiss Registry'!B656</f>
        <v>DonlyPhans</v>
      </c>
      <c r="D501" s="65" t="str">
        <f>'Swiss Registry'!C656</f>
        <v>3 - 3</v>
      </c>
    </row>
    <row r="502">
      <c r="A502" s="63">
        <v>501.0</v>
      </c>
      <c r="B502" s="63">
        <f>'Swiss Registry'!A425</f>
        <v>424</v>
      </c>
      <c r="C502" s="63" t="str">
        <f>'Swiss Registry'!B425</f>
        <v>Lawrencelot</v>
      </c>
      <c r="D502" s="65" t="str">
        <f>'Swiss Registry'!C425</f>
        <v>1 - 3</v>
      </c>
    </row>
    <row r="503">
      <c r="A503" s="63">
        <v>502.0</v>
      </c>
      <c r="B503" s="63">
        <f>'Swiss Registry'!A669</f>
        <v>668</v>
      </c>
      <c r="C503" s="63" t="str">
        <f>'Swiss Registry'!B669</f>
        <v>SUB 23</v>
      </c>
      <c r="D503" s="65" t="str">
        <f>'Swiss Registry'!C669</f>
        <v>0 - 3</v>
      </c>
    </row>
    <row r="504">
      <c r="A504" s="63">
        <v>503.0</v>
      </c>
      <c r="B504" s="63">
        <f>'Swiss Registry'!A517</f>
        <v>516</v>
      </c>
      <c r="C504" s="63" t="str">
        <f>'Swiss Registry'!B517</f>
        <v>dazey</v>
      </c>
      <c r="D504" s="65" t="str">
        <f>'Swiss Registry'!C517</f>
        <v>0 - 3</v>
      </c>
    </row>
    <row r="505">
      <c r="A505" s="63">
        <v>504.0</v>
      </c>
      <c r="B505" s="63">
        <f>'Swiss Registry'!A324</f>
        <v>323</v>
      </c>
      <c r="C505" s="63" t="str">
        <f>'Swiss Registry'!B324</f>
        <v>Witchgender</v>
      </c>
      <c r="D505" s="65" t="str">
        <f>'Swiss Registry'!C324</f>
        <v>2 - 3</v>
      </c>
    </row>
    <row r="506">
      <c r="A506" s="63">
        <v>505.0</v>
      </c>
      <c r="B506" s="63">
        <f>'Swiss Registry'!A435</f>
        <v>434</v>
      </c>
      <c r="C506" s="63" t="str">
        <f>'Swiss Registry'!B435</f>
        <v>nemesis_deno</v>
      </c>
      <c r="D506" s="65" t="str">
        <f>'Swiss Registry'!C435</f>
        <v>2 - 3</v>
      </c>
    </row>
    <row r="507">
      <c r="A507" s="63">
        <v>506.0</v>
      </c>
      <c r="B507" s="63">
        <f>'Swiss Registry'!A653</f>
        <v>652</v>
      </c>
      <c r="C507" s="63" t="str">
        <f>'Swiss Registry'!B653</f>
        <v>Master_Penguini</v>
      </c>
      <c r="D507" s="65" t="str">
        <f>'Swiss Registry'!C653</f>
        <v>1 - 3</v>
      </c>
    </row>
    <row r="508">
      <c r="A508" s="63">
        <v>507.0</v>
      </c>
      <c r="B508" s="63">
        <f>'Swiss Registry'!A603</f>
        <v>602</v>
      </c>
      <c r="C508" s="63" t="str">
        <f>'Swiss Registry'!B603</f>
        <v>zoyotte</v>
      </c>
      <c r="D508" s="65" t="str">
        <f>'Swiss Registry'!C603</f>
        <v>3 - 3</v>
      </c>
    </row>
    <row r="509">
      <c r="A509" s="63">
        <v>508.0</v>
      </c>
      <c r="B509" s="63">
        <f>'Swiss Registry'!A177</f>
        <v>176</v>
      </c>
      <c r="C509" s="63" t="str">
        <f>'Swiss Registry'!B177</f>
        <v>Eternum</v>
      </c>
      <c r="D509" s="65" t="str">
        <f>'Swiss Registry'!C177</f>
        <v>0 - 3</v>
      </c>
    </row>
    <row r="510">
      <c r="A510" s="63">
        <v>509.0</v>
      </c>
      <c r="B510" s="63">
        <f>'Swiss Registry'!A164</f>
        <v>163</v>
      </c>
      <c r="C510" s="63" t="str">
        <f>'Swiss Registry'!B164</f>
        <v>tonii5531</v>
      </c>
      <c r="D510" s="65" t="str">
        <f>'Swiss Registry'!C164</f>
        <v>5 - 3</v>
      </c>
    </row>
    <row r="511">
      <c r="A511" s="63">
        <v>510.0</v>
      </c>
      <c r="B511" s="63">
        <f>'Swiss Registry'!A638</f>
        <v>637</v>
      </c>
      <c r="C511" s="63" t="str">
        <f>'Swiss Registry'!B638</f>
        <v>lacoot</v>
      </c>
      <c r="D511" s="65" t="str">
        <f>'Swiss Registry'!C638</f>
        <v>0 - 3</v>
      </c>
    </row>
    <row r="512">
      <c r="A512" s="63">
        <v>511.0</v>
      </c>
      <c r="B512" s="63">
        <f>'Swiss Registry'!A599</f>
        <v>598</v>
      </c>
      <c r="C512" s="63" t="str">
        <f>'Swiss Registry'!B599</f>
        <v>draccus_comun</v>
      </c>
      <c r="D512" s="65" t="str">
        <f>'Swiss Registry'!C599</f>
        <v>2 - 3</v>
      </c>
    </row>
    <row r="513">
      <c r="A513" s="63">
        <v>512.0</v>
      </c>
      <c r="B513" s="63">
        <f>'Swiss Registry'!A145</f>
        <v>144</v>
      </c>
      <c r="C513" s="63" t="str">
        <f>'Swiss Registry'!B145</f>
        <v>Forest4269</v>
      </c>
      <c r="D513" s="65" t="str">
        <f>'Swiss Registry'!C145</f>
        <v>1 - 3</v>
      </c>
    </row>
    <row r="514">
      <c r="A514" s="63">
        <v>513.0</v>
      </c>
      <c r="B514" s="63">
        <f>'Swiss Registry'!A410</f>
        <v>409</v>
      </c>
      <c r="C514" s="63" t="str">
        <f>'Swiss Registry'!B410</f>
        <v>biff_the_banana</v>
      </c>
      <c r="D514" s="65" t="str">
        <f>'Swiss Registry'!C410</f>
        <v>3 - 3</v>
      </c>
    </row>
    <row r="515">
      <c r="A515" s="63">
        <v>514.0</v>
      </c>
      <c r="B515" s="63">
        <f>'Swiss Registry'!A391</f>
        <v>390</v>
      </c>
      <c r="C515" s="63" t="str">
        <f>'Swiss Registry'!B391</f>
        <v>Wifike</v>
      </c>
      <c r="D515" s="65" t="str">
        <f>'Swiss Registry'!C391</f>
        <v>1 - 3</v>
      </c>
    </row>
    <row r="516">
      <c r="A516" s="63">
        <v>515.0</v>
      </c>
      <c r="B516" s="63">
        <f>'Swiss Registry'!A420</f>
        <v>419</v>
      </c>
      <c r="C516" s="63" t="str">
        <f>'Swiss Registry'!B420</f>
        <v>SUB 22</v>
      </c>
      <c r="D516" s="65" t="str">
        <f>'Swiss Registry'!C420</f>
        <v>0 - 3</v>
      </c>
    </row>
    <row r="517">
      <c r="A517" s="63">
        <v>516.0</v>
      </c>
      <c r="B517" s="63">
        <f>'Swiss Registry'!A623</f>
        <v>622</v>
      </c>
      <c r="C517" s="63" t="str">
        <f>'Swiss Registry'!B623</f>
        <v>Nicko8</v>
      </c>
      <c r="D517" s="65" t="str">
        <f>'Swiss Registry'!C623</f>
        <v>5 - 3</v>
      </c>
    </row>
    <row r="518">
      <c r="A518" s="63">
        <v>517.0</v>
      </c>
      <c r="B518" s="63">
        <f>'Swiss Registry'!A119</f>
        <v>118</v>
      </c>
      <c r="C518" s="63" t="str">
        <f>'Swiss Registry'!B119</f>
        <v>cashzachary</v>
      </c>
      <c r="D518" s="65" t="str">
        <f>'Swiss Registry'!C119</f>
        <v>5 - 3</v>
      </c>
    </row>
    <row r="519">
      <c r="A519" s="63">
        <v>518.0</v>
      </c>
      <c r="B519" s="63">
        <f>'Swiss Registry'!A259</f>
        <v>258</v>
      </c>
      <c r="C519" s="63" t="str">
        <f>'Swiss Registry'!B259</f>
        <v>kalarse</v>
      </c>
      <c r="D519" s="65" t="str">
        <f>'Swiss Registry'!C259</f>
        <v>3 - 3</v>
      </c>
    </row>
    <row r="520">
      <c r="A520" s="63">
        <v>519.0</v>
      </c>
      <c r="B520" s="63">
        <f>'Swiss Registry'!A450</f>
        <v>449</v>
      </c>
      <c r="C520" s="63" t="str">
        <f>'Swiss Registry'!B450</f>
        <v>biluv_v</v>
      </c>
      <c r="D520" s="65" t="str">
        <f>'Swiss Registry'!C450</f>
        <v>3 - 3</v>
      </c>
    </row>
    <row r="521">
      <c r="A521" s="63">
        <v>520.0</v>
      </c>
      <c r="B521" s="63">
        <f>'Swiss Registry'!A645</f>
        <v>644</v>
      </c>
      <c r="C521" s="63" t="str">
        <f>'Swiss Registry'!B645</f>
        <v>scrapmetal56</v>
      </c>
      <c r="D521" s="65" t="str">
        <f>'Swiss Registry'!C645</f>
        <v>2 - 3</v>
      </c>
    </row>
    <row r="522">
      <c r="A522" s="63">
        <v>521.0</v>
      </c>
      <c r="B522" s="63">
        <f>'Swiss Registry'!A289</f>
        <v>288</v>
      </c>
      <c r="C522" s="63" t="str">
        <f>'Swiss Registry'!B289</f>
        <v>mewunderscoretwo</v>
      </c>
      <c r="D522" s="65" t="str">
        <f>'Swiss Registry'!C289</f>
        <v>2 - 3</v>
      </c>
    </row>
    <row r="523">
      <c r="A523" s="63">
        <v>522.0</v>
      </c>
      <c r="B523" s="63">
        <f>'Swiss Registry'!A687</f>
        <v>686</v>
      </c>
      <c r="C523" s="63" t="str">
        <f>'Swiss Registry'!B687</f>
        <v>Print Screen</v>
      </c>
      <c r="D523" s="65" t="str">
        <f>'Swiss Registry'!C687</f>
        <v>2 - 3</v>
      </c>
    </row>
    <row r="524">
      <c r="A524" s="63">
        <v>523.0</v>
      </c>
      <c r="B524" s="63">
        <f>'Swiss Registry'!A418</f>
        <v>417</v>
      </c>
      <c r="C524" s="63" t="str">
        <f>'Swiss Registry'!B418</f>
        <v>peacemaker040</v>
      </c>
      <c r="D524" s="65" t="str">
        <f>'Swiss Registry'!C418</f>
        <v>1 - 3</v>
      </c>
    </row>
    <row r="525">
      <c r="A525" s="63">
        <v>524.0</v>
      </c>
      <c r="B525" s="63">
        <f>'Swiss Registry'!A275</f>
        <v>274</v>
      </c>
      <c r="C525" s="63" t="str">
        <f>'Swiss Registry'!B275</f>
        <v>IAmGolden.</v>
      </c>
      <c r="D525" s="65" t="str">
        <f>'Swiss Registry'!C275</f>
        <v>0 - 3</v>
      </c>
    </row>
    <row r="526">
      <c r="A526" s="63">
        <v>525.0</v>
      </c>
      <c r="B526" s="63">
        <f>'Swiss Registry'!A691</f>
        <v>690</v>
      </c>
      <c r="C526" s="63" t="str">
        <f>'Swiss Registry'!B691</f>
        <v>allance05</v>
      </c>
      <c r="D526" s="65" t="str">
        <f>'Swiss Registry'!C691</f>
        <v>1 - 3</v>
      </c>
    </row>
    <row r="527">
      <c r="A527" s="63">
        <v>526.0</v>
      </c>
      <c r="B527" s="63">
        <f>'Swiss Registry'!A165</f>
        <v>164</v>
      </c>
      <c r="C527" s="63" t="str">
        <f>'Swiss Registry'!B165</f>
        <v>Repiloid</v>
      </c>
      <c r="D527" s="65" t="str">
        <f>'Swiss Registry'!C165</f>
        <v>1 - 3</v>
      </c>
    </row>
    <row r="528">
      <c r="A528" s="63">
        <v>527.0</v>
      </c>
      <c r="B528" s="63">
        <f>'Swiss Registry'!A128</f>
        <v>127</v>
      </c>
      <c r="C528" s="63" t="str">
        <f>'Swiss Registry'!B128</f>
        <v>blisy</v>
      </c>
      <c r="D528" s="65" t="str">
        <f>'Swiss Registry'!C128</f>
        <v>3 - 3</v>
      </c>
    </row>
    <row r="529">
      <c r="A529" s="63">
        <v>528.0</v>
      </c>
      <c r="B529" s="63">
        <f>'Swiss Registry'!A214</f>
        <v>213</v>
      </c>
      <c r="C529" s="63" t="str">
        <f>'Swiss Registry'!B214</f>
        <v>Pabby_1805</v>
      </c>
      <c r="D529" s="65" t="str">
        <f>'Swiss Registry'!C214</f>
        <v>1 - 3</v>
      </c>
    </row>
    <row r="530">
      <c r="A530" s="63">
        <v>529.0</v>
      </c>
      <c r="B530" s="63">
        <f>'Swiss Registry'!A370</f>
        <v>369</v>
      </c>
      <c r="C530" s="63" t="str">
        <f>'Swiss Registry'!B370</f>
        <v>SUB 14</v>
      </c>
      <c r="D530" s="65" t="str">
        <f>'Swiss Registry'!C370</f>
        <v>0 - 3</v>
      </c>
    </row>
    <row r="531">
      <c r="A531" s="63">
        <v>530.0</v>
      </c>
      <c r="B531" s="63">
        <f>'Swiss Registry'!A584</f>
        <v>583</v>
      </c>
      <c r="C531" s="63" t="str">
        <f>'Swiss Registry'!B584</f>
        <v>frogsella</v>
      </c>
      <c r="D531" s="65" t="str">
        <f>'Swiss Registry'!C584</f>
        <v>2 - 3</v>
      </c>
    </row>
    <row r="532">
      <c r="A532" s="63">
        <v>531.0</v>
      </c>
      <c r="B532" s="63">
        <f>'Swiss Registry'!A468</f>
        <v>467</v>
      </c>
      <c r="C532" s="63" t="str">
        <f>'Swiss Registry'!B468</f>
        <v>doomlsinger</v>
      </c>
      <c r="D532" s="65" t="str">
        <f>'Swiss Registry'!C468</f>
        <v>1 - 3</v>
      </c>
    </row>
    <row r="533">
      <c r="A533" s="63">
        <v>532.0</v>
      </c>
      <c r="B533" s="63">
        <f>'Swiss Registry'!A176</f>
        <v>175</v>
      </c>
      <c r="C533" s="63" t="str">
        <f>'Swiss Registry'!B176</f>
        <v>SUB 21</v>
      </c>
      <c r="D533" s="65" t="str">
        <f>'Swiss Registry'!C176</f>
        <v>0 - 3</v>
      </c>
    </row>
    <row r="534">
      <c r="A534" s="63">
        <v>533.0</v>
      </c>
      <c r="B534" s="63">
        <f>'Swiss Registry'!A605</f>
        <v>604</v>
      </c>
      <c r="C534" s="63" t="str">
        <f>'Swiss Registry'!B605</f>
        <v>sensei_moon</v>
      </c>
      <c r="D534" s="65" t="str">
        <f>'Swiss Registry'!C605</f>
        <v>1 - 3</v>
      </c>
    </row>
    <row r="535">
      <c r="A535" s="63">
        <v>534.0</v>
      </c>
      <c r="B535" s="63">
        <f>'Swiss Registry'!A563</f>
        <v>562</v>
      </c>
      <c r="C535" s="63" t="str">
        <f>'Swiss Registry'!B563</f>
        <v>SUB 27</v>
      </c>
      <c r="D535" s="65" t="str">
        <f>'Swiss Registry'!C563</f>
        <v>0 - 3</v>
      </c>
    </row>
    <row r="536">
      <c r="A536" s="63">
        <v>535.0</v>
      </c>
      <c r="B536" s="63">
        <f>'Swiss Registry'!A483</f>
        <v>482</v>
      </c>
      <c r="C536" s="63" t="str">
        <f>'Swiss Registry'!B483</f>
        <v>no8ull</v>
      </c>
      <c r="D536" s="65" t="str">
        <f>'Swiss Registry'!C483</f>
        <v>3 - 3</v>
      </c>
    </row>
    <row r="537">
      <c r="A537" s="63">
        <v>536.0</v>
      </c>
      <c r="B537" s="63">
        <f>'Swiss Registry'!A387</f>
        <v>386</v>
      </c>
      <c r="C537" s="63" t="str">
        <f>'Swiss Registry'!B387</f>
        <v>SUB 25</v>
      </c>
      <c r="D537" s="65" t="str">
        <f>'Swiss Registry'!C387</f>
        <v>0 - 3</v>
      </c>
    </row>
    <row r="538">
      <c r="A538" s="63">
        <v>537.0</v>
      </c>
      <c r="B538" s="63">
        <f>'Swiss Registry'!A679</f>
        <v>678</v>
      </c>
      <c r="C538" s="63" t="str">
        <f>'Swiss Registry'!B679</f>
        <v>Latlat1</v>
      </c>
      <c r="D538" s="65" t="str">
        <f>'Swiss Registry'!C679</f>
        <v>2 - 3</v>
      </c>
    </row>
    <row r="539">
      <c r="A539" s="63">
        <v>538.0</v>
      </c>
      <c r="B539" s="63">
        <f>'Swiss Registry'!A437</f>
        <v>436</v>
      </c>
      <c r="C539" s="63" t="str">
        <f>'Swiss Registry'!B437</f>
        <v>zioplys</v>
      </c>
      <c r="D539" s="65" t="str">
        <f>'Swiss Registry'!C437</f>
        <v>1 - 3</v>
      </c>
    </row>
    <row r="540">
      <c r="A540" s="63">
        <v>539.0</v>
      </c>
      <c r="B540" s="63">
        <f>'Swiss Registry'!A664</f>
        <v>663</v>
      </c>
      <c r="C540" s="63" t="str">
        <f>'Swiss Registry'!B664</f>
        <v>hangerguardian</v>
      </c>
      <c r="D540" s="65" t="str">
        <f>'Swiss Registry'!C664</f>
        <v>1 - 3</v>
      </c>
    </row>
    <row r="541">
      <c r="A541" s="63">
        <v>540.0</v>
      </c>
      <c r="B541" s="63">
        <f>'Swiss Registry'!A310</f>
        <v>309</v>
      </c>
      <c r="C541" s="63" t="str">
        <f>'Swiss Registry'!B310</f>
        <v>Musical_box</v>
      </c>
      <c r="D541" s="65" t="str">
        <f>'Swiss Registry'!C310</f>
        <v>1 - 3</v>
      </c>
    </row>
    <row r="542">
      <c r="A542" s="63">
        <v>541.0</v>
      </c>
      <c r="B542" s="63">
        <f>'Swiss Registry'!A467</f>
        <v>466</v>
      </c>
      <c r="C542" s="63" t="str">
        <f>'Swiss Registry'!B467</f>
        <v>wwwmonmon</v>
      </c>
      <c r="D542" s="65" t="str">
        <f>'Swiss Registry'!C467</f>
        <v>7 - 2</v>
      </c>
    </row>
    <row r="543">
      <c r="A543" s="63">
        <v>542.0</v>
      </c>
      <c r="B543" s="63">
        <f>'Swiss Registry'!A312</f>
        <v>311</v>
      </c>
      <c r="C543" s="63" t="str">
        <f>'Swiss Registry'!B312</f>
        <v>luca</v>
      </c>
      <c r="D543" s="65" t="str">
        <f>'Swiss Registry'!C312</f>
        <v>1 - 3</v>
      </c>
    </row>
    <row r="544">
      <c r="A544" s="63">
        <v>543.0</v>
      </c>
      <c r="B544" s="63">
        <f>'Swiss Registry'!A696</f>
        <v>695</v>
      </c>
      <c r="C544" s="63" t="str">
        <f>'Swiss Registry'!B696</f>
        <v>Blanched</v>
      </c>
      <c r="D544" s="65" t="str">
        <f>'Swiss Registry'!C696</f>
        <v>5 - 3</v>
      </c>
    </row>
    <row r="545">
      <c r="A545" s="63">
        <v>544.0</v>
      </c>
      <c r="B545" s="63">
        <f>'Swiss Registry'!A137</f>
        <v>136</v>
      </c>
      <c r="C545" s="63" t="str">
        <f>'Swiss Registry'!B137</f>
        <v>allmovingshadows</v>
      </c>
      <c r="D545" s="65" t="str">
        <f>'Swiss Registry'!C137</f>
        <v>3 - 3</v>
      </c>
    </row>
    <row r="546">
      <c r="A546" s="63">
        <v>545.0</v>
      </c>
      <c r="B546" s="63">
        <f>'Swiss Registry'!A575</f>
        <v>574</v>
      </c>
      <c r="C546" s="63" t="str">
        <f>'Swiss Registry'!B575</f>
        <v>crustaceus</v>
      </c>
      <c r="D546" s="65" t="str">
        <f>'Swiss Registry'!C575</f>
        <v>3 - 3</v>
      </c>
    </row>
    <row r="547">
      <c r="A547" s="63">
        <v>546.0</v>
      </c>
      <c r="B547" s="63">
        <f>'Swiss Registry'!A263</f>
        <v>262</v>
      </c>
      <c r="C547" s="63" t="str">
        <f>'Swiss Registry'!B263</f>
        <v>Pietro Giuffra</v>
      </c>
      <c r="D547" s="65" t="str">
        <f>'Swiss Registry'!C263</f>
        <v>0 - 3</v>
      </c>
    </row>
    <row r="548">
      <c r="A548" s="63">
        <v>547.0</v>
      </c>
      <c r="B548" s="63">
        <f>'Swiss Registry'!A648</f>
        <v>647</v>
      </c>
      <c r="C548" s="63" t="str">
        <f>'Swiss Registry'!B648</f>
        <v>sdj</v>
      </c>
      <c r="D548" s="65" t="str">
        <f>'Swiss Registry'!C648</f>
        <v>3 - 3</v>
      </c>
    </row>
    <row r="549">
      <c r="A549" s="63">
        <v>548.0</v>
      </c>
      <c r="B549" s="63">
        <f>'Swiss Registry'!A235</f>
        <v>234</v>
      </c>
      <c r="C549" s="63" t="str">
        <f>'Swiss Registry'!B235</f>
        <v>soulive</v>
      </c>
      <c r="D549" s="65" t="str">
        <f>'Swiss Registry'!C235</f>
        <v>0 - 3</v>
      </c>
    </row>
    <row r="550">
      <c r="A550" s="63">
        <v>549.0</v>
      </c>
      <c r="B550" s="63">
        <f>'Swiss Registry'!A343</f>
        <v>342</v>
      </c>
      <c r="C550" s="63" t="str">
        <f>'Swiss Registry'!B343</f>
        <v>bevreeze</v>
      </c>
      <c r="D550" s="65" t="str">
        <f>'Swiss Registry'!C343</f>
        <v>0 - 3</v>
      </c>
    </row>
    <row r="551">
      <c r="A551" s="63">
        <v>550.0</v>
      </c>
      <c r="B551" s="63">
        <f>'Swiss Registry'!A388</f>
        <v>387</v>
      </c>
      <c r="C551" s="63" t="str">
        <f>'Swiss Registry'!B388</f>
        <v>caps lock 3009</v>
      </c>
      <c r="D551" s="65" t="str">
        <f>'Swiss Registry'!C388</f>
        <v>2 - 3</v>
      </c>
    </row>
    <row r="552">
      <c r="A552" s="63">
        <v>551.0</v>
      </c>
      <c r="B552" s="63">
        <f>'Swiss Registry'!A486</f>
        <v>485</v>
      </c>
      <c r="C552" s="63" t="str">
        <f>'Swiss Registry'!B486</f>
        <v>CodeRedSP</v>
      </c>
      <c r="D552" s="65" t="str">
        <f>'Swiss Registry'!C486</f>
        <v>1 - 3</v>
      </c>
    </row>
    <row r="553">
      <c r="A553" s="63">
        <v>552.0</v>
      </c>
      <c r="B553" s="63">
        <f>'Swiss Registry'!A519</f>
        <v>518</v>
      </c>
      <c r="C553" s="63" t="str">
        <f>'Swiss Registry'!B519</f>
        <v>Vholtninja</v>
      </c>
      <c r="D553" s="65" t="str">
        <f>'Swiss Registry'!C519</f>
        <v>3 - 3</v>
      </c>
    </row>
    <row r="554">
      <c r="A554" s="63">
        <v>553.0</v>
      </c>
      <c r="B554" s="63">
        <f>'Swiss Registry'!A658</f>
        <v>657</v>
      </c>
      <c r="C554" s="63" t="str">
        <f>'Swiss Registry'!B658</f>
        <v>itsaregionaldialect</v>
      </c>
      <c r="D554" s="65" t="str">
        <f>'Swiss Registry'!C658</f>
        <v>1 - 3</v>
      </c>
    </row>
    <row r="555">
      <c r="A555" s="63">
        <v>554.0</v>
      </c>
      <c r="B555" s="63">
        <f>'Swiss Registry'!A576</f>
        <v>575</v>
      </c>
      <c r="C555" s="63" t="str">
        <f>'Swiss Registry'!B576</f>
        <v>warupeach</v>
      </c>
      <c r="D555" s="65" t="str">
        <f>'Swiss Registry'!C576</f>
        <v>1 - 3</v>
      </c>
    </row>
    <row r="556">
      <c r="A556" s="63">
        <v>555.0</v>
      </c>
      <c r="B556" s="63">
        <f>'Swiss Registry'!A256</f>
        <v>255</v>
      </c>
      <c r="C556" s="63" t="str">
        <f>'Swiss Registry'!B256</f>
        <v>.FunkyCop</v>
      </c>
      <c r="D556" s="65" t="str">
        <f>'Swiss Registry'!C256</f>
        <v>2 - 3</v>
      </c>
    </row>
    <row r="557">
      <c r="A557" s="63">
        <v>556.0</v>
      </c>
      <c r="B557" s="63">
        <f>'Swiss Registry'!A271</f>
        <v>270</v>
      </c>
      <c r="C557" s="63" t="str">
        <f>'Swiss Registry'!B271</f>
        <v>lemon04</v>
      </c>
      <c r="D557" s="65" t="str">
        <f>'Swiss Registry'!C271</f>
        <v>5 - 3</v>
      </c>
    </row>
    <row r="558">
      <c r="A558" s="63">
        <v>557.0</v>
      </c>
      <c r="B558" s="63">
        <f>'Swiss Registry'!A134</f>
        <v>133</v>
      </c>
      <c r="C558" s="63" t="str">
        <f>'Swiss Registry'!B134</f>
        <v>Himura</v>
      </c>
      <c r="D558" s="65" t="str">
        <f>'Swiss Registry'!C134</f>
        <v>3 - 3</v>
      </c>
    </row>
    <row r="559">
      <c r="A559" s="63">
        <v>558.0</v>
      </c>
      <c r="B559" s="63">
        <f>'Swiss Registry'!A209</f>
        <v>208</v>
      </c>
      <c r="C559" s="63" t="str">
        <f>'Swiss Registry'!B209</f>
        <v>UsernameABCD</v>
      </c>
      <c r="D559" s="65" t="str">
        <f>'Swiss Registry'!C209</f>
        <v>5 - 3</v>
      </c>
    </row>
    <row r="560">
      <c r="A560" s="63">
        <v>559.0</v>
      </c>
      <c r="B560" s="63">
        <f>'Swiss Registry'!A677</f>
        <v>676</v>
      </c>
      <c r="C560" s="63" t="str">
        <f>'Swiss Registry'!B677</f>
        <v>socialinclusion</v>
      </c>
      <c r="D560" s="65" t="str">
        <f>'Swiss Registry'!C677</f>
        <v>5 - 3</v>
      </c>
    </row>
    <row r="561">
      <c r="A561" s="63">
        <v>560.0</v>
      </c>
      <c r="B561" s="63">
        <f>'Swiss Registry'!A675</f>
        <v>674</v>
      </c>
      <c r="C561" s="63" t="str">
        <f>'Swiss Registry'!B675</f>
        <v>Hypermoth</v>
      </c>
      <c r="D561" s="65" t="str">
        <f>'Swiss Registry'!C675</f>
        <v>3 - 3</v>
      </c>
    </row>
    <row r="562">
      <c r="A562" s="63">
        <v>561.0</v>
      </c>
      <c r="B562" s="63">
        <f>'Swiss Registry'!A701</f>
        <v>700</v>
      </c>
      <c r="C562" s="63" t="str">
        <f>'Swiss Registry'!B701</f>
        <v>renlyyynnn</v>
      </c>
      <c r="D562" s="65" t="str">
        <f>'Swiss Registry'!C701</f>
        <v>0 - 3</v>
      </c>
    </row>
    <row r="563">
      <c r="A563" s="63">
        <v>562.0</v>
      </c>
      <c r="B563" s="63">
        <f>'Swiss Registry'!A507</f>
        <v>506</v>
      </c>
      <c r="C563" s="63" t="str">
        <f>'Swiss Registry'!B507</f>
        <v>Pressle54</v>
      </c>
      <c r="D563" s="65" t="str">
        <f>'Swiss Registry'!C507</f>
        <v>1 - 3</v>
      </c>
    </row>
    <row r="564">
      <c r="A564" s="63">
        <v>563.0</v>
      </c>
      <c r="B564" s="63">
        <f>'Swiss Registry'!A508</f>
        <v>507</v>
      </c>
      <c r="C564" s="63" t="str">
        <f>'Swiss Registry'!B508</f>
        <v>strawbbz</v>
      </c>
      <c r="D564" s="65" t="str">
        <f>'Swiss Registry'!C508</f>
        <v>4 - 3</v>
      </c>
    </row>
    <row r="565">
      <c r="A565" s="63">
        <v>564.0</v>
      </c>
      <c r="B565" s="63">
        <f>'Swiss Registry'!A341</f>
        <v>340</v>
      </c>
      <c r="C565" s="63" t="str">
        <f>'Swiss Registry'!B341</f>
        <v>kool_kat.</v>
      </c>
      <c r="D565" s="65" t="str">
        <f>'Swiss Registry'!C341</f>
        <v>0 - 3</v>
      </c>
    </row>
    <row r="566">
      <c r="A566" s="63">
        <v>565.0</v>
      </c>
      <c r="B566" s="63">
        <f>'Swiss Registry'!A567</f>
        <v>566</v>
      </c>
      <c r="C566" s="63" t="str">
        <f>'Swiss Registry'!B567</f>
        <v>ChocoboJoe</v>
      </c>
      <c r="D566" s="65" t="str">
        <f>'Swiss Registry'!C567</f>
        <v>5 - 3</v>
      </c>
    </row>
    <row r="567">
      <c r="A567" s="63">
        <v>566.0</v>
      </c>
      <c r="B567" s="63">
        <f>'Swiss Registry'!A384</f>
        <v>383</v>
      </c>
      <c r="C567" s="63" t="str">
        <f>'Swiss Registry'!B384</f>
        <v>treeshhhh</v>
      </c>
      <c r="D567" s="65" t="str">
        <f>'Swiss Registry'!C384</f>
        <v>2 - 3</v>
      </c>
    </row>
    <row r="568">
      <c r="A568" s="63">
        <v>567.0</v>
      </c>
      <c r="B568" s="63">
        <f>'Swiss Registry'!A217</f>
        <v>216</v>
      </c>
      <c r="C568" s="63" t="str">
        <f>'Swiss Registry'!B217</f>
        <v>jahim_</v>
      </c>
      <c r="D568" s="65" t="str">
        <f>'Swiss Registry'!C217</f>
        <v>3 - 3</v>
      </c>
    </row>
    <row r="569">
      <c r="A569" s="63">
        <v>568.0</v>
      </c>
      <c r="B569" s="63">
        <f>'Swiss Registry'!A123</f>
        <v>122</v>
      </c>
      <c r="C569" s="63" t="str">
        <f>'Swiss Registry'!B123</f>
        <v>ambiguousity_</v>
      </c>
      <c r="D569" s="65" t="str">
        <f>'Swiss Registry'!C123</f>
        <v>0 - 3</v>
      </c>
    </row>
    <row r="570">
      <c r="A570" s="63">
        <v>569.0</v>
      </c>
      <c r="B570" s="63">
        <f>'Swiss Registry'!A469</f>
        <v>468</v>
      </c>
      <c r="C570" s="63" t="str">
        <f>'Swiss Registry'!B469</f>
        <v>goldthe1andonly</v>
      </c>
      <c r="D570" s="65" t="str">
        <f>'Swiss Registry'!C469</f>
        <v>3 - 3</v>
      </c>
    </row>
    <row r="571">
      <c r="A571" s="63">
        <v>570.0</v>
      </c>
      <c r="B571" s="63">
        <f>'Swiss Registry'!A232</f>
        <v>231</v>
      </c>
      <c r="C571" s="63" t="str">
        <f>'Swiss Registry'!B232</f>
        <v>moggie776</v>
      </c>
      <c r="D571" s="65" t="str">
        <f>'Swiss Registry'!C232</f>
        <v>2 - 3</v>
      </c>
    </row>
    <row r="572">
      <c r="A572" s="63">
        <v>571.0</v>
      </c>
      <c r="B572" s="63">
        <f>'Swiss Registry'!A644</f>
        <v>643</v>
      </c>
      <c r="C572" s="63" t="str">
        <f>'Swiss Registry'!B644</f>
        <v>Dig Boshi</v>
      </c>
      <c r="D572" s="65" t="str">
        <f>'Swiss Registry'!C644</f>
        <v>2 - 3</v>
      </c>
    </row>
    <row r="573">
      <c r="A573" s="63">
        <v>572.0</v>
      </c>
      <c r="B573" s="63">
        <f>'Swiss Registry'!A527</f>
        <v>526</v>
      </c>
      <c r="C573" s="63" t="str">
        <f>'Swiss Registry'!B527</f>
        <v>SUB 19</v>
      </c>
      <c r="D573" s="65" t="str">
        <f>'Swiss Registry'!C527</f>
        <v>0 - 3</v>
      </c>
    </row>
    <row r="574">
      <c r="A574" s="63">
        <v>573.0</v>
      </c>
      <c r="B574" s="63">
        <f>'Swiss Registry'!A562</f>
        <v>561</v>
      </c>
      <c r="C574" s="63" t="str">
        <f>'Swiss Registry'!B562</f>
        <v>Goodnightloulou</v>
      </c>
      <c r="D574" s="65" t="str">
        <f>'Swiss Registry'!C562</f>
        <v>2 - 3</v>
      </c>
    </row>
    <row r="575">
      <c r="A575" s="63">
        <v>574.0</v>
      </c>
      <c r="B575" s="63">
        <f>'Swiss Registry'!A697</f>
        <v>696</v>
      </c>
      <c r="C575" s="63" t="str">
        <f>'Swiss Registry'!B697</f>
        <v>@pek__</v>
      </c>
      <c r="D575" s="65" t="str">
        <f>'Swiss Registry'!C697</f>
        <v>5 - 3</v>
      </c>
    </row>
    <row r="576">
      <c r="A576" s="63">
        <v>575.0</v>
      </c>
      <c r="B576" s="63">
        <f>'Swiss Registry'!A315</f>
        <v>314</v>
      </c>
      <c r="C576" s="63" t="str">
        <f>'Swiss Registry'!B315</f>
        <v>triskeriaki</v>
      </c>
      <c r="D576" s="65" t="str">
        <f>'Swiss Registry'!C315</f>
        <v>4 - 3</v>
      </c>
    </row>
    <row r="577">
      <c r="A577" s="63">
        <v>576.0</v>
      </c>
      <c r="B577" s="63">
        <f>'Swiss Registry'!A525</f>
        <v>524</v>
      </c>
      <c r="C577" s="63" t="str">
        <f>'Swiss Registry'!B525</f>
        <v>nihiliros</v>
      </c>
      <c r="D577" s="65" t="str">
        <f>'Swiss Registry'!C525</f>
        <v>1 - 3</v>
      </c>
    </row>
    <row r="578">
      <c r="A578" s="63">
        <v>577.0</v>
      </c>
      <c r="B578" s="63">
        <f>'Swiss Registry'!A286</f>
        <v>285</v>
      </c>
      <c r="C578" s="63" t="str">
        <f>'Swiss Registry'!B286</f>
        <v>brunocoolgamers</v>
      </c>
      <c r="D578" s="65" t="str">
        <f>'Swiss Registry'!C286</f>
        <v>0 - 3</v>
      </c>
    </row>
    <row r="579">
      <c r="A579" s="63">
        <v>578.0</v>
      </c>
      <c r="B579" s="63">
        <f>'Swiss Registry'!A596</f>
        <v>595</v>
      </c>
      <c r="C579" s="63" t="str">
        <f>'Swiss Registry'!B596</f>
        <v>emerald_harrold</v>
      </c>
      <c r="D579" s="65" t="str">
        <f>'Swiss Registry'!C596</f>
        <v>6 - 3</v>
      </c>
    </row>
    <row r="580">
      <c r="A580" s="63">
        <v>579.0</v>
      </c>
      <c r="B580" s="63">
        <f>'Swiss Registry'!A626</f>
        <v>625</v>
      </c>
      <c r="C580" s="63" t="str">
        <f>'Swiss Registry'!B626</f>
        <v>Microsoft_J</v>
      </c>
      <c r="D580" s="65" t="str">
        <f>'Swiss Registry'!C626</f>
        <v>3 - 3</v>
      </c>
    </row>
    <row r="581">
      <c r="A581" s="63">
        <v>580.0</v>
      </c>
      <c r="B581" s="63">
        <f>'Swiss Registry'!A557</f>
        <v>556</v>
      </c>
      <c r="C581" s="63" t="str">
        <f>'Swiss Registry'!B557</f>
        <v>Lhions</v>
      </c>
      <c r="D581" s="65" t="str">
        <f>'Swiss Registry'!C557</f>
        <v>3 - 3</v>
      </c>
    </row>
    <row r="582">
      <c r="A582" s="63">
        <v>581.0</v>
      </c>
      <c r="B582" s="63">
        <f>'Swiss Registry'!A511</f>
        <v>510</v>
      </c>
      <c r="C582" s="63" t="str">
        <f>'Swiss Registry'!B511</f>
        <v>Melninja</v>
      </c>
      <c r="D582" s="65" t="str">
        <f>'Swiss Registry'!C511</f>
        <v>3 - 3</v>
      </c>
    </row>
    <row r="583">
      <c r="A583" s="63">
        <v>582.0</v>
      </c>
      <c r="B583" s="63">
        <f>'Swiss Registry'!A262</f>
        <v>261</v>
      </c>
      <c r="C583" s="63" t="str">
        <f>'Swiss Registry'!B262</f>
        <v>doc.steel</v>
      </c>
      <c r="D583" s="65" t="str">
        <f>'Swiss Registry'!C262</f>
        <v>3 - 3</v>
      </c>
    </row>
    <row r="584">
      <c r="A584" s="63">
        <v>583.0</v>
      </c>
      <c r="B584" s="63">
        <f>'Swiss Registry'!A147</f>
        <v>146</v>
      </c>
      <c r="C584" s="63" t="str">
        <f>'Swiss Registry'!B147</f>
        <v>Apostic</v>
      </c>
      <c r="D584" s="65" t="str">
        <f>'Swiss Registry'!C147</f>
        <v>0 - 3</v>
      </c>
    </row>
    <row r="585">
      <c r="A585" s="63">
        <v>584.0</v>
      </c>
      <c r="B585" s="63">
        <f>'Swiss Registry'!A457</f>
        <v>456</v>
      </c>
      <c r="C585" s="63" t="str">
        <f>'Swiss Registry'!B457</f>
        <v>Hidan.0/idfk</v>
      </c>
      <c r="D585" s="65" t="str">
        <f>'Swiss Registry'!C457</f>
        <v>0 - 3</v>
      </c>
    </row>
    <row r="586">
      <c r="A586" s="63">
        <v>585.0</v>
      </c>
      <c r="B586" s="63">
        <f>'Swiss Registry'!A695</f>
        <v>694</v>
      </c>
      <c r="C586" s="63" t="str">
        <f>'Swiss Registry'!B695</f>
        <v>WraxiusGaming</v>
      </c>
      <c r="D586" s="65" t="str">
        <f>'Swiss Registry'!C695</f>
        <v>4 - 3</v>
      </c>
    </row>
    <row r="587">
      <c r="A587" s="63">
        <v>586.0</v>
      </c>
      <c r="B587" s="63">
        <f>'Swiss Registry'!A146</f>
        <v>145</v>
      </c>
      <c r="C587" s="63" t="str">
        <f>'Swiss Registry'!B146</f>
        <v>Stockings</v>
      </c>
      <c r="D587" s="65" t="str">
        <f>'Swiss Registry'!C146</f>
        <v>6 - 3</v>
      </c>
    </row>
    <row r="588">
      <c r="A588" s="63">
        <v>587.0</v>
      </c>
      <c r="B588" s="63">
        <f>'Swiss Registry'!A247</f>
        <v>246</v>
      </c>
      <c r="C588" s="63" t="str">
        <f>'Swiss Registry'!B247</f>
        <v>SUB 9</v>
      </c>
      <c r="D588" s="65" t="str">
        <f>'Swiss Registry'!C247</f>
        <v>0 - 3</v>
      </c>
    </row>
    <row r="589">
      <c r="A589" s="63">
        <v>588.0</v>
      </c>
      <c r="B589" s="63">
        <f>'Swiss Registry'!A290</f>
        <v>289</v>
      </c>
      <c r="C589" s="63" t="str">
        <f>'Swiss Registry'!B290</f>
        <v>sanbaibeepo</v>
      </c>
      <c r="D589" s="65" t="str">
        <f>'Swiss Registry'!C290</f>
        <v>2 - 3</v>
      </c>
    </row>
    <row r="590">
      <c r="A590" s="63">
        <v>589.0</v>
      </c>
      <c r="B590" s="63">
        <f>'Swiss Registry'!A440</f>
        <v>439</v>
      </c>
      <c r="C590" s="63" t="str">
        <f>'Swiss Registry'!B440</f>
        <v>chrisdrums19</v>
      </c>
      <c r="D590" s="65" t="str">
        <f>'Swiss Registry'!C440</f>
        <v>2 - 3</v>
      </c>
    </row>
    <row r="591">
      <c r="A591" s="63">
        <v>590.0</v>
      </c>
      <c r="B591" s="63">
        <f>'Swiss Registry'!A622</f>
        <v>621</v>
      </c>
      <c r="C591" s="63" t="str">
        <f>'Swiss Registry'!B622</f>
        <v>dinkdank_</v>
      </c>
      <c r="D591" s="65" t="str">
        <f>'Swiss Registry'!C622</f>
        <v>2 - 3</v>
      </c>
    </row>
    <row r="592">
      <c r="A592" s="63">
        <v>591.0</v>
      </c>
      <c r="B592" s="63">
        <f>'Swiss Registry'!A693</f>
        <v>692</v>
      </c>
      <c r="C592" s="63" t="str">
        <f>'Swiss Registry'!B693</f>
        <v>walterbite</v>
      </c>
      <c r="D592" s="65" t="str">
        <f>'Swiss Registry'!C693</f>
        <v>1 - 3</v>
      </c>
    </row>
    <row r="593">
      <c r="A593" s="63">
        <v>592.0</v>
      </c>
      <c r="B593" s="63">
        <f>'Swiss Registry'!A319</f>
        <v>318</v>
      </c>
      <c r="C593" s="63" t="str">
        <f>'Swiss Registry'!B319</f>
        <v>Redrame</v>
      </c>
      <c r="D593" s="65" t="str">
        <f>'Swiss Registry'!C319</f>
        <v>3 - 3</v>
      </c>
    </row>
    <row r="594">
      <c r="A594" s="63">
        <v>593.0</v>
      </c>
      <c r="B594" s="63">
        <f>'Swiss Registry'!A171</f>
        <v>170</v>
      </c>
      <c r="C594" s="63" t="str">
        <f>'Swiss Registry'!B171</f>
        <v>elanieunderscore</v>
      </c>
      <c r="D594" s="65" t="str">
        <f>'Swiss Registry'!C171</f>
        <v>0 - 3</v>
      </c>
    </row>
    <row r="595">
      <c r="A595" s="63">
        <v>594.0</v>
      </c>
      <c r="B595" s="63">
        <f>'Swiss Registry'!A120</f>
        <v>119</v>
      </c>
      <c r="C595" s="63" t="str">
        <f>'Swiss Registry'!B120</f>
        <v>SUB 2</v>
      </c>
      <c r="D595" s="65" t="str">
        <f>'Swiss Registry'!C120</f>
        <v>0 - 3</v>
      </c>
    </row>
    <row r="596">
      <c r="A596" s="63">
        <v>595.0</v>
      </c>
      <c r="B596" s="63">
        <f>'Swiss Registry'!A328</f>
        <v>327</v>
      </c>
      <c r="C596" s="63" t="str">
        <f>'Swiss Registry'!B328</f>
        <v>wyli.olivete</v>
      </c>
      <c r="D596" s="65" t="str">
        <f>'Swiss Registry'!C328</f>
        <v>3 - 3</v>
      </c>
    </row>
    <row r="597">
      <c r="A597" s="63">
        <v>596.0</v>
      </c>
      <c r="B597" s="63">
        <f>'Swiss Registry'!A607</f>
        <v>606</v>
      </c>
      <c r="C597" s="63" t="str">
        <f>'Swiss Registry'!B607</f>
        <v>Somnanana</v>
      </c>
      <c r="D597" s="65" t="str">
        <f>'Swiss Registry'!C607</f>
        <v>1 - 3</v>
      </c>
    </row>
    <row r="598">
      <c r="A598" s="63">
        <v>597.0</v>
      </c>
      <c r="B598" s="63">
        <f>'Swiss Registry'!A144</f>
        <v>143</v>
      </c>
      <c r="C598" s="63" t="str">
        <f>'Swiss Registry'!B144</f>
        <v>aquaa</v>
      </c>
      <c r="D598" s="65" t="str">
        <f>'Swiss Registry'!C144</f>
        <v>1 - 3</v>
      </c>
    </row>
    <row r="599">
      <c r="A599" s="63">
        <v>598.0</v>
      </c>
      <c r="B599" s="63">
        <f>'Swiss Registry'!A163</f>
        <v>162</v>
      </c>
      <c r="C599" s="63" t="str">
        <f>'Swiss Registry'!B163</f>
        <v>martconqueso</v>
      </c>
      <c r="D599" s="65" t="str">
        <f>'Swiss Registry'!C163</f>
        <v>1 - 3</v>
      </c>
    </row>
    <row r="600">
      <c r="A600" s="63">
        <v>599.0</v>
      </c>
      <c r="B600" s="63">
        <f>'Swiss Registry'!A573</f>
        <v>572</v>
      </c>
      <c r="C600" s="63" t="str">
        <f>'Swiss Registry'!B573</f>
        <v>fayestra</v>
      </c>
      <c r="D600" s="65" t="str">
        <f>'Swiss Registry'!C573</f>
        <v>2 - 3</v>
      </c>
    </row>
    <row r="601">
      <c r="A601" s="63">
        <v>600.0</v>
      </c>
      <c r="B601" s="63">
        <f>'Swiss Registry'!A444</f>
        <v>443</v>
      </c>
      <c r="C601" s="63" t="str">
        <f>'Swiss Registry'!B444</f>
        <v>realshelly</v>
      </c>
      <c r="D601" s="65" t="str">
        <f>'Swiss Registry'!C444</f>
        <v>0 - 3</v>
      </c>
    </row>
    <row r="602">
      <c r="A602" s="63">
        <v>601.0</v>
      </c>
      <c r="B602" s="63">
        <f>'Swiss Registry'!A633</f>
        <v>632</v>
      </c>
      <c r="C602" s="63" t="str">
        <f>'Swiss Registry'!B633</f>
        <v>toruwu</v>
      </c>
      <c r="D602" s="65" t="str">
        <f>'Swiss Registry'!C633</f>
        <v>0 - 3</v>
      </c>
    </row>
    <row r="603">
      <c r="A603" s="63">
        <v>602.0</v>
      </c>
      <c r="B603" s="63">
        <f>'Swiss Registry'!A205</f>
        <v>204</v>
      </c>
      <c r="C603" s="63" t="str">
        <f>'Swiss Registry'!B205</f>
        <v>mafx</v>
      </c>
      <c r="D603" s="65" t="str">
        <f>'Swiss Registry'!C205</f>
        <v>1 - 3</v>
      </c>
    </row>
    <row r="604">
      <c r="A604" s="63">
        <v>603.0</v>
      </c>
      <c r="B604" s="63">
        <f>'Swiss Registry'!A116</f>
        <v>115</v>
      </c>
      <c r="C604" s="63" t="str">
        <f>'Swiss Registry'!B116</f>
        <v>bashedayo</v>
      </c>
      <c r="D604" s="65" t="str">
        <f>'Swiss Registry'!C116</f>
        <v>0 - 3</v>
      </c>
    </row>
    <row r="605">
      <c r="A605" s="63">
        <v>604.0</v>
      </c>
      <c r="B605" s="63">
        <f>'Swiss Registry'!A547</f>
        <v>546</v>
      </c>
      <c r="C605" s="63" t="str">
        <f>'Swiss Registry'!B547</f>
        <v>CoffeePour</v>
      </c>
      <c r="D605" s="65" t="str">
        <f>'Swiss Registry'!C547</f>
        <v>1 - 3</v>
      </c>
    </row>
    <row r="606">
      <c r="A606" s="63">
        <v>605.0</v>
      </c>
      <c r="B606" s="63">
        <f>'Swiss Registry'!A366</f>
        <v>365</v>
      </c>
      <c r="C606" s="63" t="str">
        <f>'Swiss Registry'!B366</f>
        <v>millingwinds</v>
      </c>
      <c r="D606" s="65" t="str">
        <f>'Swiss Registry'!C366</f>
        <v>2 - 3</v>
      </c>
    </row>
    <row r="607">
      <c r="A607" s="63">
        <v>606.0</v>
      </c>
      <c r="B607" s="63">
        <f>'Swiss Registry'!A690</f>
        <v>689</v>
      </c>
      <c r="C607" s="63" t="str">
        <f>'Swiss Registry'!B690</f>
        <v>irrelevantone</v>
      </c>
      <c r="D607" s="65" t="str">
        <f>'Swiss Registry'!C690</f>
        <v>5 - 3</v>
      </c>
    </row>
    <row r="608">
      <c r="A608" s="63">
        <v>607.0</v>
      </c>
      <c r="B608" s="63">
        <f>'Swiss Registry'!A118</f>
        <v>117</v>
      </c>
      <c r="C608" s="63" t="str">
        <f>'Swiss Registry'!B118</f>
        <v>diegoyuhhi</v>
      </c>
      <c r="D608" s="65" t="str">
        <f>'Swiss Registry'!C118</f>
        <v>2 - 3</v>
      </c>
    </row>
    <row r="609">
      <c r="A609" s="63">
        <v>608.0</v>
      </c>
      <c r="B609" s="63">
        <f>'Swiss Registry'!A401</f>
        <v>400</v>
      </c>
      <c r="C609" s="63" t="str">
        <f>'Swiss Registry'!B401</f>
        <v>dragonlord6954</v>
      </c>
      <c r="D609" s="65" t="str">
        <f>'Swiss Registry'!C401</f>
        <v>4 - 3</v>
      </c>
    </row>
    <row r="610">
      <c r="A610" s="63">
        <v>609.0</v>
      </c>
      <c r="B610" s="63">
        <f>'Swiss Registry'!A215</f>
        <v>214</v>
      </c>
      <c r="C610" s="63" t="str">
        <f>'Swiss Registry'!B215</f>
        <v>SpeccyGames</v>
      </c>
      <c r="D610" s="65" t="str">
        <f>'Swiss Registry'!C215</f>
        <v>1 - 3</v>
      </c>
    </row>
    <row r="611">
      <c r="A611" s="63">
        <v>610.0</v>
      </c>
      <c r="B611" s="63">
        <f>'Swiss Registry'!A316</f>
        <v>315</v>
      </c>
      <c r="C611" s="63" t="str">
        <f>'Swiss Registry'!B316</f>
        <v>chad.lagos</v>
      </c>
      <c r="D611" s="65" t="str">
        <f>'Swiss Registry'!C316</f>
        <v>1 - 3</v>
      </c>
    </row>
    <row r="612">
      <c r="A612" s="63">
        <v>611.0</v>
      </c>
      <c r="B612" s="63">
        <f>'Swiss Registry'!A264</f>
        <v>263</v>
      </c>
      <c r="C612" s="63" t="str">
        <f>'Swiss Registry'!B264</f>
        <v>charku</v>
      </c>
      <c r="D612" s="65" t="str">
        <f>'Swiss Registry'!C264</f>
        <v>5 - 3</v>
      </c>
    </row>
    <row r="613">
      <c r="A613" s="63">
        <v>612.0</v>
      </c>
      <c r="B613" s="63">
        <f>'Swiss Registry'!A359</f>
        <v>358</v>
      </c>
      <c r="C613" s="63" t="str">
        <f>'Swiss Registry'!B359</f>
        <v>roofb</v>
      </c>
      <c r="D613" s="65" t="str">
        <f>'Swiss Registry'!C359</f>
        <v>1 - 3</v>
      </c>
    </row>
    <row r="614">
      <c r="A614" s="63">
        <v>613.0</v>
      </c>
      <c r="B614" s="63">
        <f>'Swiss Registry'!A422</f>
        <v>421</v>
      </c>
      <c r="C614" s="63" t="str">
        <f>'Swiss Registry'!B422</f>
        <v>Daeronchick</v>
      </c>
      <c r="D614" s="65" t="str">
        <f>'Swiss Registry'!C422</f>
        <v>1 - 3</v>
      </c>
    </row>
    <row r="615">
      <c r="A615" s="63">
        <v>614.0</v>
      </c>
      <c r="B615" s="63">
        <f>'Swiss Registry'!A650</f>
        <v>649</v>
      </c>
      <c r="C615" s="63" t="str">
        <f>'Swiss Registry'!B650</f>
        <v>MenaCicada</v>
      </c>
      <c r="D615" s="65" t="str">
        <f>'Swiss Registry'!C650</f>
        <v>0 - 3</v>
      </c>
    </row>
    <row r="616">
      <c r="A616" s="63">
        <v>615.0</v>
      </c>
      <c r="B616" s="63">
        <f>'Swiss Registry'!A593</f>
        <v>592</v>
      </c>
      <c r="C616" s="63" t="str">
        <f>'Swiss Registry'!B593</f>
        <v>loffelbiskuit</v>
      </c>
      <c r="D616" s="65" t="str">
        <f>'Swiss Registry'!C593</f>
        <v>0 - 3</v>
      </c>
    </row>
    <row r="617">
      <c r="A617" s="63">
        <v>616.0</v>
      </c>
      <c r="B617" s="63">
        <f>'Swiss Registry'!A521</f>
        <v>520</v>
      </c>
      <c r="C617" s="63" t="str">
        <f>'Swiss Registry'!B521</f>
        <v>Peppeppeia</v>
      </c>
      <c r="D617" s="65" t="str">
        <f>'Swiss Registry'!C521</f>
        <v>0 - 3</v>
      </c>
    </row>
    <row r="618">
      <c r="A618" s="63">
        <v>617.0</v>
      </c>
      <c r="B618" s="63">
        <f>'Swiss Registry'!A538</f>
        <v>537</v>
      </c>
      <c r="C618" s="63" t="str">
        <f>'Swiss Registry'!B538</f>
        <v>avongarde_ult</v>
      </c>
      <c r="D618" s="65" t="str">
        <f>'Swiss Registry'!C538</f>
        <v>1 - 3</v>
      </c>
    </row>
    <row r="619">
      <c r="A619" s="63">
        <v>618.0</v>
      </c>
      <c r="B619" s="63">
        <f>'Swiss Registry'!A616</f>
        <v>615</v>
      </c>
      <c r="C619" s="63" t="str">
        <f>'Swiss Registry'!B616</f>
        <v>giantking20</v>
      </c>
      <c r="D619" s="65" t="str">
        <f>'Swiss Registry'!C616</f>
        <v>0 - 3</v>
      </c>
    </row>
    <row r="620">
      <c r="A620" s="63">
        <v>619.0</v>
      </c>
      <c r="B620" s="63">
        <f>'Swiss Registry'!A649</f>
        <v>648</v>
      </c>
      <c r="C620" s="63" t="str">
        <f>'Swiss Registry'!B649</f>
        <v>Stuckkkk</v>
      </c>
      <c r="D620" s="65" t="str">
        <f>'Swiss Registry'!C649</f>
        <v>3 - 3</v>
      </c>
    </row>
    <row r="621">
      <c r="A621" s="63">
        <v>620.0</v>
      </c>
      <c r="B621" s="63">
        <f>'Swiss Registry'!A471</f>
        <v>470</v>
      </c>
      <c r="C621" s="63" t="str">
        <f>'Swiss Registry'!B471</f>
        <v>berkyderky</v>
      </c>
      <c r="D621" s="65" t="str">
        <f>'Swiss Registry'!C471</f>
        <v>1 - 3</v>
      </c>
    </row>
    <row r="622">
      <c r="A622" s="63">
        <v>621.0</v>
      </c>
      <c r="B622" s="63">
        <f>'Swiss Registry'!A682</f>
        <v>681</v>
      </c>
      <c r="C622" s="63" t="str">
        <f>'Swiss Registry'!B682</f>
        <v>Ezcrime</v>
      </c>
      <c r="D622" s="65" t="str">
        <f>'Swiss Registry'!C682</f>
        <v>0 - 3</v>
      </c>
    </row>
    <row r="623">
      <c r="A623" s="63">
        <v>622.0</v>
      </c>
      <c r="B623" s="63">
        <f>'Swiss Registry'!A578</f>
        <v>577</v>
      </c>
      <c r="C623" s="63" t="str">
        <f>'Swiss Registry'!B578</f>
        <v>FISH (gypsytea)</v>
      </c>
      <c r="D623" s="65" t="str">
        <f>'Swiss Registry'!C578</f>
        <v>1 - 3</v>
      </c>
    </row>
    <row r="624">
      <c r="A624" s="63">
        <v>623.0</v>
      </c>
      <c r="B624" s="63">
        <f>'Swiss Registry'!A624</f>
        <v>623</v>
      </c>
      <c r="C624" s="63" t="str">
        <f>'Swiss Registry'!B624</f>
        <v>cow3492</v>
      </c>
      <c r="D624" s="65" t="str">
        <f>'Swiss Registry'!C624</f>
        <v>3 - 3</v>
      </c>
    </row>
    <row r="625">
      <c r="A625" s="63">
        <v>624.0</v>
      </c>
      <c r="B625" s="63">
        <f>'Swiss Registry'!A307</f>
        <v>306</v>
      </c>
      <c r="C625" s="63" t="str">
        <f>'Swiss Registry'!B307</f>
        <v>SUB 12</v>
      </c>
      <c r="D625" s="65" t="str">
        <f>'Swiss Registry'!C307</f>
        <v>0 - 3</v>
      </c>
    </row>
    <row r="626">
      <c r="A626" s="63">
        <v>625.0</v>
      </c>
      <c r="B626" s="63">
        <f>'Swiss Registry'!A199</f>
        <v>198</v>
      </c>
      <c r="C626" s="63" t="str">
        <f>'Swiss Registry'!B199</f>
        <v>Kenava</v>
      </c>
      <c r="D626" s="65" t="str">
        <f>'Swiss Registry'!C199</f>
        <v>4 - 3</v>
      </c>
    </row>
    <row r="627">
      <c r="A627" s="63">
        <v>626.0</v>
      </c>
      <c r="B627" s="63">
        <f>'Swiss Registry'!A520</f>
        <v>519</v>
      </c>
      <c r="C627" s="63" t="str">
        <f>'Swiss Registry'!B520</f>
        <v>elysyr</v>
      </c>
      <c r="D627" s="65" t="str">
        <f>'Swiss Registry'!C520</f>
        <v>5 - 3</v>
      </c>
    </row>
    <row r="628">
      <c r="A628" s="63">
        <v>627.0</v>
      </c>
      <c r="B628" s="63">
        <f>'Swiss Registry'!A497</f>
        <v>496</v>
      </c>
      <c r="C628" s="63" t="str">
        <f>'Swiss Registry'!B497</f>
        <v>BlerpDerpSkerp</v>
      </c>
      <c r="D628" s="65" t="str">
        <f>'Swiss Registry'!C497</f>
        <v>0 - 3</v>
      </c>
    </row>
    <row r="629">
      <c r="A629" s="63">
        <v>628.0</v>
      </c>
      <c r="B629" s="63">
        <f>'Swiss Registry'!A688</f>
        <v>687</v>
      </c>
      <c r="C629" s="63" t="str">
        <f>'Swiss Registry'!B688</f>
        <v>justbestlevels</v>
      </c>
      <c r="D629" s="65" t="str">
        <f>'Swiss Registry'!C688</f>
        <v>5 - 3</v>
      </c>
    </row>
    <row r="630">
      <c r="A630" s="63">
        <v>629.0</v>
      </c>
      <c r="B630" s="63">
        <f>'Swiss Registry'!A657</f>
        <v>656</v>
      </c>
      <c r="C630" s="63" t="str">
        <f>'Swiss Registry'!B657</f>
        <v>GroundBack</v>
      </c>
      <c r="D630" s="65" t="str">
        <f>'Swiss Registry'!C657</f>
        <v>0 - 3</v>
      </c>
    </row>
    <row r="631">
      <c r="A631" s="63">
        <v>630.0</v>
      </c>
      <c r="B631" s="63">
        <f>'Swiss Registry'!A477</f>
        <v>476</v>
      </c>
      <c r="C631" s="63" t="str">
        <f>'Swiss Registry'!B477</f>
        <v>Colby2D</v>
      </c>
      <c r="D631" s="65" t="str">
        <f>'Swiss Registry'!C477</f>
        <v>4 - 3</v>
      </c>
    </row>
    <row r="632">
      <c r="A632" s="63">
        <v>631.0</v>
      </c>
      <c r="B632" s="63">
        <f>'Swiss Registry'!A252</f>
        <v>251</v>
      </c>
      <c r="C632" s="63" t="str">
        <f>'Swiss Registry'!B252</f>
        <v>tavi_tavi</v>
      </c>
      <c r="D632" s="65" t="str">
        <f>'Swiss Registry'!C252</f>
        <v>2 - 3</v>
      </c>
    </row>
    <row r="633">
      <c r="A633" s="63">
        <v>632.0</v>
      </c>
      <c r="B633" s="63">
        <f>'Swiss Registry'!A494</f>
        <v>493</v>
      </c>
      <c r="C633" s="63" t="str">
        <f>'Swiss Registry'!B494</f>
        <v>rizzarroflame</v>
      </c>
      <c r="D633" s="65" t="str">
        <f>'Swiss Registry'!C494</f>
        <v>2 - 3</v>
      </c>
    </row>
    <row r="634">
      <c r="A634" s="63">
        <v>633.0</v>
      </c>
      <c r="B634" s="63">
        <f>'Swiss Registry'!A647</f>
        <v>646</v>
      </c>
      <c r="C634" s="63" t="str">
        <f>'Swiss Registry'!B647</f>
        <v>DeathbyDunsparce</v>
      </c>
      <c r="D634" s="65" t="str">
        <f>'Swiss Registry'!C647</f>
        <v>2 - 3</v>
      </c>
    </row>
    <row r="635">
      <c r="A635" s="63">
        <v>634.0</v>
      </c>
      <c r="B635" s="63">
        <f>'Swiss Registry'!A698</f>
        <v>697</v>
      </c>
      <c r="C635" s="63" t="str">
        <f>'Swiss Registry'!B698</f>
        <v>bugthatlovesfish</v>
      </c>
      <c r="D635" s="65" t="str">
        <f>'Swiss Registry'!C698</f>
        <v>2 - 3</v>
      </c>
    </row>
    <row r="636">
      <c r="A636" s="63">
        <v>635.0</v>
      </c>
      <c r="B636" s="63">
        <f>'Swiss Registry'!A627</f>
        <v>626</v>
      </c>
      <c r="C636" s="63" t="str">
        <f>'Swiss Registry'!B627</f>
        <v>tsuki.no.miko</v>
      </c>
      <c r="D636" s="65" t="str">
        <f>'Swiss Registry'!C627</f>
        <v>3 - 3</v>
      </c>
    </row>
    <row r="637">
      <c r="A637" s="63">
        <v>636.0</v>
      </c>
      <c r="B637" s="63">
        <f>'Swiss Registry'!A635</f>
        <v>634</v>
      </c>
      <c r="C637" s="63" t="str">
        <f>'Swiss Registry'!B635</f>
        <v>perogee</v>
      </c>
      <c r="D637" s="65" t="str">
        <f>'Swiss Registry'!C635</f>
        <v>1 - 3</v>
      </c>
    </row>
    <row r="638">
      <c r="A638" s="63">
        <v>637.0</v>
      </c>
      <c r="B638" s="63">
        <f>'Swiss Registry'!A460</f>
        <v>459</v>
      </c>
      <c r="C638" s="63" t="str">
        <f>'Swiss Registry'!B460</f>
        <v>@aevitostrath or Timehacker Aevitos</v>
      </c>
      <c r="D638" s="65" t="str">
        <f>'Swiss Registry'!C460</f>
        <v>1 - 3</v>
      </c>
    </row>
    <row r="639">
      <c r="A639" s="63">
        <v>638.0</v>
      </c>
      <c r="B639" s="63">
        <f>'Swiss Registry'!A152</f>
        <v>151</v>
      </c>
      <c r="C639" s="63" t="str">
        <f>'Swiss Registry'!B152</f>
        <v>shadowinger</v>
      </c>
      <c r="D639" s="65" t="str">
        <f>'Swiss Registry'!C152</f>
        <v>2 - 3</v>
      </c>
    </row>
    <row r="640">
      <c r="A640" s="63">
        <v>639.0</v>
      </c>
      <c r="B640" s="63">
        <f>'Swiss Registry'!A336</f>
        <v>335</v>
      </c>
      <c r="C640" s="63" t="str">
        <f>'Swiss Registry'!B336</f>
        <v>papajefe</v>
      </c>
      <c r="D640" s="65" t="str">
        <f>'Swiss Registry'!C336</f>
        <v>1 - 3</v>
      </c>
    </row>
    <row r="641">
      <c r="A641" s="63">
        <v>640.0</v>
      </c>
      <c r="B641" s="63">
        <f>'Swiss Registry'!A452</f>
        <v>451</v>
      </c>
      <c r="C641" s="63" t="str">
        <f>'Swiss Registry'!B452</f>
        <v>.aj2.0</v>
      </c>
      <c r="D641" s="65" t="str">
        <f>'Swiss Registry'!C452</f>
        <v>3 - 3</v>
      </c>
    </row>
    <row r="642">
      <c r="A642" s="63">
        <v>641.0</v>
      </c>
      <c r="B642" s="63">
        <f>'Swiss Registry'!A700</f>
        <v>699</v>
      </c>
      <c r="C642" s="63" t="str">
        <f>'Swiss Registry'!B700</f>
        <v>wonderfulwhiscash</v>
      </c>
      <c r="D642" s="65" t="str">
        <f>'Swiss Registry'!C700</f>
        <v>0 - 3</v>
      </c>
    </row>
    <row r="643">
      <c r="A643" s="63">
        <v>642.0</v>
      </c>
      <c r="B643" s="63">
        <f>'Swiss Registry'!A685</f>
        <v>684</v>
      </c>
      <c r="C643" s="63" t="str">
        <f>'Swiss Registry'!B685</f>
        <v>Greyaz</v>
      </c>
      <c r="D643" s="65" t="str">
        <f>'Swiss Registry'!C685</f>
        <v>2 - 3</v>
      </c>
    </row>
    <row r="644">
      <c r="A644" s="63">
        <v>643.0</v>
      </c>
      <c r="B644" s="63">
        <f>'Swiss Registry'!A329</f>
        <v>328</v>
      </c>
      <c r="C644" s="63" t="str">
        <f>'Swiss Registry'!B329</f>
        <v>evilartnboy</v>
      </c>
      <c r="D644" s="65" t="str">
        <f>'Swiss Registry'!C329</f>
        <v>0 - 3</v>
      </c>
    </row>
    <row r="645">
      <c r="A645" s="63">
        <v>644.0</v>
      </c>
      <c r="B645" s="63">
        <f>'Swiss Registry'!A671</f>
        <v>670</v>
      </c>
      <c r="C645" s="63" t="str">
        <f>'Swiss Registry'!B671</f>
        <v>ViciousCricket</v>
      </c>
      <c r="D645" s="65" t="str">
        <f>'Swiss Registry'!C671</f>
        <v>1 - 3</v>
      </c>
    </row>
    <row r="646">
      <c r="A646" s="63">
        <v>645.0</v>
      </c>
      <c r="B646" s="63">
        <f>'Swiss Registry'!A670</f>
        <v>669</v>
      </c>
      <c r="C646" s="63" t="str">
        <f>'Swiss Registry'!B670</f>
        <v>Salamaster</v>
      </c>
      <c r="D646" s="65" t="str">
        <f>'Swiss Registry'!C670</f>
        <v>3 - 3</v>
      </c>
    </row>
    <row r="647">
      <c r="A647" s="63">
        <v>646.0</v>
      </c>
      <c r="B647" s="63">
        <f>'Swiss Registry'!A566</f>
        <v>565</v>
      </c>
      <c r="C647" s="63" t="str">
        <f>'Swiss Registry'!B566</f>
        <v>SUB 4</v>
      </c>
      <c r="D647" s="65" t="str">
        <f>'Swiss Registry'!C566</f>
        <v>0 - 3</v>
      </c>
    </row>
    <row r="648">
      <c r="A648" s="63">
        <v>647.0</v>
      </c>
      <c r="B648" s="63">
        <f>'Swiss Registry'!A210</f>
        <v>209</v>
      </c>
      <c r="C648" s="63" t="str">
        <f>'Swiss Registry'!B210</f>
        <v>2coinsglued</v>
      </c>
      <c r="D648" s="65" t="str">
        <f>'Swiss Registry'!C210</f>
        <v>1 - 3</v>
      </c>
    </row>
    <row r="649">
      <c r="A649" s="63">
        <v>648.0</v>
      </c>
      <c r="B649" s="63">
        <f>'Swiss Registry'!A652</f>
        <v>651</v>
      </c>
      <c r="C649" s="63" t="str">
        <f>'Swiss Registry'!B652</f>
        <v>solars_power</v>
      </c>
      <c r="D649" s="65" t="str">
        <f>'Swiss Registry'!C652</f>
        <v>1 - 3</v>
      </c>
    </row>
    <row r="650">
      <c r="A650" s="63">
        <v>649.0</v>
      </c>
      <c r="B650" s="63">
        <f>'Swiss Registry'!A546</f>
        <v>545</v>
      </c>
      <c r="C650" s="63" t="str">
        <f>'Swiss Registry'!B546</f>
        <v>CraterLake</v>
      </c>
      <c r="D650" s="65" t="str">
        <f>'Swiss Registry'!C546</f>
        <v>1 - 3</v>
      </c>
    </row>
    <row r="651">
      <c r="A651" s="63">
        <v>650.0</v>
      </c>
      <c r="B651" s="63">
        <f>'Swiss Registry'!A583</f>
        <v>582</v>
      </c>
      <c r="C651" s="63" t="str">
        <f>'Swiss Registry'!B583</f>
        <v>swordpeace3232</v>
      </c>
      <c r="D651" s="65" t="str">
        <f>'Swiss Registry'!C583</f>
        <v>2 - 3</v>
      </c>
    </row>
    <row r="652">
      <c r="A652" s="63">
        <v>651.0</v>
      </c>
      <c r="B652" s="63">
        <f>'Swiss Registry'!A202</f>
        <v>201</v>
      </c>
      <c r="C652" s="63" t="str">
        <f>'Swiss Registry'!B202</f>
        <v>sprasle</v>
      </c>
      <c r="D652" s="65" t="str">
        <f>'Swiss Registry'!C202</f>
        <v>1 - 3</v>
      </c>
    </row>
    <row r="653">
      <c r="A653" s="63">
        <v>652.0</v>
      </c>
      <c r="B653" s="63">
        <f>'Swiss Registry'!A465</f>
        <v>464</v>
      </c>
      <c r="C653" s="63" t="str">
        <f>'Swiss Registry'!B465</f>
        <v>kingkpak#0546</v>
      </c>
      <c r="D653" s="65" t="str">
        <f>'Swiss Registry'!C465</f>
        <v>0 - 3</v>
      </c>
    </row>
    <row r="654">
      <c r="A654" s="63">
        <v>653.0</v>
      </c>
      <c r="B654" s="63">
        <f>'Swiss Registry'!A619</f>
        <v>618</v>
      </c>
      <c r="C654" s="63" t="str">
        <f>'Swiss Registry'!B619</f>
        <v>wolfturds</v>
      </c>
      <c r="D654" s="65" t="str">
        <f>'Swiss Registry'!C619</f>
        <v>4 - 3</v>
      </c>
    </row>
    <row r="655">
      <c r="A655" s="63">
        <v>654.0</v>
      </c>
      <c r="B655" s="63">
        <f>'Swiss Registry'!A459</f>
        <v>458</v>
      </c>
      <c r="C655" s="63" t="str">
        <f>'Swiss Registry'!B459</f>
        <v>Antinomy</v>
      </c>
      <c r="D655" s="65" t="str">
        <f>'Swiss Registry'!C459</f>
        <v>1 - 3</v>
      </c>
    </row>
    <row r="656">
      <c r="A656" s="63">
        <v>655.0</v>
      </c>
      <c r="B656" s="63">
        <f>'Swiss Registry'!A196</f>
        <v>195</v>
      </c>
      <c r="C656" s="63" t="str">
        <f>'Swiss Registry'!B196</f>
        <v>inkyno1</v>
      </c>
      <c r="D656" s="65" t="str">
        <f>'Swiss Registry'!C196</f>
        <v>1 - 3</v>
      </c>
    </row>
    <row r="657">
      <c r="A657" s="63">
        <v>656.0</v>
      </c>
      <c r="B657" s="63">
        <f>'Swiss Registry'!A668</f>
        <v>667</v>
      </c>
      <c r="C657" s="63" t="str">
        <f>'Swiss Registry'!B668</f>
        <v>KingWafl</v>
      </c>
      <c r="D657" s="65" t="str">
        <f>'Swiss Registry'!C668</f>
        <v>3 - 3</v>
      </c>
    </row>
    <row r="658">
      <c r="A658" s="63">
        <v>657.0</v>
      </c>
      <c r="B658" s="63">
        <f>'Swiss Registry'!A379</f>
        <v>378</v>
      </c>
      <c r="C658" s="63" t="str">
        <f>'Swiss Registry'!B379</f>
        <v>ellieofficialvevo</v>
      </c>
      <c r="D658" s="65" t="str">
        <f>'Swiss Registry'!C379</f>
        <v>0 - 3</v>
      </c>
    </row>
    <row r="659">
      <c r="A659" s="63">
        <v>658.0</v>
      </c>
      <c r="B659" s="63">
        <f>'Swiss Registry'!A504</f>
        <v>503</v>
      </c>
      <c r="C659" s="63" t="str">
        <f>'Swiss Registry'!B504</f>
        <v>gpd_123</v>
      </c>
      <c r="D659" s="65" t="str">
        <f>'Swiss Registry'!C504</f>
        <v>2 - 3</v>
      </c>
    </row>
    <row r="660">
      <c r="A660" s="63">
        <v>659.0</v>
      </c>
      <c r="B660" s="63">
        <f>'Swiss Registry'!A689</f>
        <v>688</v>
      </c>
      <c r="C660" s="63" t="str">
        <f>'Swiss Registry'!B689</f>
        <v>Genofool</v>
      </c>
      <c r="D660" s="65" t="str">
        <f>'Swiss Registry'!C689</f>
        <v>2 - 3</v>
      </c>
    </row>
    <row r="661">
      <c r="A661" s="63">
        <v>660.0</v>
      </c>
      <c r="B661" s="63">
        <f>'Swiss Registry'!A397</f>
        <v>396</v>
      </c>
      <c r="C661" s="63" t="str">
        <f>'Swiss Registry'!B397</f>
        <v>glucoseguardian1</v>
      </c>
      <c r="D661" s="65" t="str">
        <f>'Swiss Registry'!C397</f>
        <v>0 - 3</v>
      </c>
    </row>
    <row r="662">
      <c r="A662" s="63">
        <v>661.0</v>
      </c>
      <c r="B662" s="63">
        <f>'Swiss Registry'!A347</f>
        <v>346</v>
      </c>
      <c r="C662" s="63" t="str">
        <f>'Swiss Registry'!B347</f>
        <v>countsligo</v>
      </c>
      <c r="D662" s="65" t="str">
        <f>'Swiss Registry'!C347</f>
        <v>2 - 3</v>
      </c>
    </row>
    <row r="663">
      <c r="A663" s="63">
        <v>662.0</v>
      </c>
      <c r="B663" s="63">
        <f>'Swiss Registry'!A269</f>
        <v>268</v>
      </c>
      <c r="C663" s="63" t="str">
        <f>'Swiss Registry'!B269</f>
        <v>lucyisafish</v>
      </c>
      <c r="D663" s="65" t="str">
        <f>'Swiss Registry'!C269</f>
        <v>3 - 3</v>
      </c>
    </row>
    <row r="664">
      <c r="A664" s="63">
        <v>663.0</v>
      </c>
      <c r="B664" s="63">
        <f>'Swiss Registry'!A651</f>
        <v>650</v>
      </c>
      <c r="C664" s="63" t="str">
        <f>'Swiss Registry'!B651</f>
        <v>Fairy</v>
      </c>
      <c r="D664" s="65" t="str">
        <f>'Swiss Registry'!C651</f>
        <v>0 - 3</v>
      </c>
    </row>
    <row r="665">
      <c r="A665" s="63">
        <v>664.0</v>
      </c>
      <c r="B665" s="63">
        <f>'Swiss Registry'!A629</f>
        <v>628</v>
      </c>
      <c r="C665" s="63" t="str">
        <f>'Swiss Registry'!B629</f>
        <v>Vassimobin</v>
      </c>
      <c r="D665" s="65" t="str">
        <f>'Swiss Registry'!C629</f>
        <v>2 - 4</v>
      </c>
    </row>
    <row r="666">
      <c r="A666" s="63">
        <v>665.0</v>
      </c>
      <c r="B666" s="63">
        <f>'Swiss Registry'!A484</f>
        <v>483</v>
      </c>
      <c r="C666" s="63" t="str">
        <f>'Swiss Registry'!B484</f>
        <v>erfder (old style Erfder#3147)</v>
      </c>
      <c r="D666" s="65" t="str">
        <f>'Swiss Registry'!C484</f>
        <v>1 - 3</v>
      </c>
    </row>
    <row r="667">
      <c r="A667" s="63">
        <v>666.0</v>
      </c>
      <c r="B667" s="63">
        <f>'Swiss Registry'!A113</f>
        <v>112</v>
      </c>
      <c r="C667" s="63" t="str">
        <f>'Swiss Registry'!B113</f>
        <v>SqueamishCube</v>
      </c>
      <c r="D667" s="65" t="str">
        <f>'Swiss Registry'!C113</f>
        <v>2 - 3</v>
      </c>
    </row>
    <row r="668">
      <c r="A668" s="63">
        <v>667.0</v>
      </c>
      <c r="B668" s="63">
        <f>'Swiss Registry'!A225</f>
        <v>224</v>
      </c>
      <c r="C668" s="63" t="str">
        <f>'Swiss Registry'!B225</f>
        <v>vy_apostrophe</v>
      </c>
      <c r="D668" s="65" t="str">
        <f>'Swiss Registry'!C225</f>
        <v>4 - 3</v>
      </c>
    </row>
    <row r="669">
      <c r="A669" s="63">
        <v>668.0</v>
      </c>
      <c r="B669" s="63">
        <f>'Swiss Registry'!A212</f>
        <v>211</v>
      </c>
      <c r="C669" s="63" t="str">
        <f>'Swiss Registry'!B212</f>
        <v>.alig.</v>
      </c>
      <c r="D669" s="65" t="str">
        <f>'Swiss Registry'!C212</f>
        <v>4 - 3</v>
      </c>
    </row>
    <row r="670">
      <c r="A670" s="63">
        <v>669.0</v>
      </c>
      <c r="B670" s="63">
        <f>'Swiss Registry'!A141</f>
        <v>140</v>
      </c>
      <c r="C670" s="63" t="str">
        <f>'Swiss Registry'!B141</f>
        <v>Basharapplejuice</v>
      </c>
      <c r="D670" s="65" t="str">
        <f>'Swiss Registry'!C141</f>
        <v>3 - 3</v>
      </c>
    </row>
    <row r="671">
      <c r="A671" s="63">
        <v>670.0</v>
      </c>
      <c r="B671" s="63">
        <f>'Swiss Registry'!A230</f>
        <v>229</v>
      </c>
      <c r="C671" s="63" t="str">
        <f>'Swiss Registry'!B230</f>
        <v>jensendale</v>
      </c>
      <c r="D671" s="65" t="str">
        <f>'Swiss Registry'!C230</f>
        <v>2 - 3</v>
      </c>
    </row>
    <row r="672">
      <c r="A672" s="63">
        <v>671.0</v>
      </c>
      <c r="B672" s="63">
        <f>'Swiss Registry'!A686</f>
        <v>685</v>
      </c>
      <c r="C672" s="63" t="str">
        <f>'Swiss Registry'!B686</f>
        <v>Spedonic</v>
      </c>
      <c r="D672" s="65" t="str">
        <f>'Swiss Registry'!C686</f>
        <v>1 - 3</v>
      </c>
    </row>
    <row r="673">
      <c r="A673" s="63">
        <v>672.0</v>
      </c>
      <c r="B673" s="63">
        <f>'Swiss Registry'!A659</f>
        <v>658</v>
      </c>
      <c r="C673" s="63" t="str">
        <f>'Swiss Registry'!B659</f>
        <v>big_jerry</v>
      </c>
      <c r="D673" s="65" t="str">
        <f>'Swiss Registry'!C659</f>
        <v>1 - 3</v>
      </c>
    </row>
    <row r="674">
      <c r="A674" s="63">
        <v>673.0</v>
      </c>
      <c r="B674" s="63">
        <f>'Swiss Registry'!A662</f>
        <v>661</v>
      </c>
      <c r="C674" s="63" t="str">
        <f>'Swiss Registry'!B662</f>
        <v>Coco / Yuii</v>
      </c>
      <c r="D674" s="65" t="str">
        <f>'Swiss Registry'!C662</f>
        <v>2 - 3</v>
      </c>
    </row>
    <row r="675">
      <c r="A675" s="63">
        <v>674.0</v>
      </c>
      <c r="B675" s="63">
        <f>'Swiss Registry'!A181</f>
        <v>180</v>
      </c>
      <c r="C675" s="63" t="str">
        <f>'Swiss Registry'!B181</f>
        <v>SUB 6</v>
      </c>
      <c r="D675" s="65" t="str">
        <f>'Swiss Registry'!C181</f>
        <v>0 - 3</v>
      </c>
    </row>
    <row r="676">
      <c r="A676" s="63">
        <v>675.0</v>
      </c>
      <c r="B676" s="63">
        <f>'Swiss Registry'!A703</f>
        <v>702</v>
      </c>
      <c r="C676" s="63" t="str">
        <f>'Swiss Registry'!B703</f>
        <v>hypebeasthegel</v>
      </c>
      <c r="D676" s="65" t="str">
        <f>'Swiss Registry'!C703</f>
        <v>1 - 3</v>
      </c>
    </row>
    <row r="677">
      <c r="A677" s="63">
        <v>676.0</v>
      </c>
      <c r="B677" s="63">
        <f>'Swiss Registry'!A166</f>
        <v>165</v>
      </c>
      <c r="C677" s="63" t="str">
        <f>'Swiss Registry'!B166</f>
        <v>chipi</v>
      </c>
      <c r="D677" s="65" t="str">
        <f>'Swiss Registry'!C166</f>
        <v>0 - 3</v>
      </c>
    </row>
    <row r="678">
      <c r="A678" s="63">
        <v>677.0</v>
      </c>
      <c r="B678" s="63">
        <f>'Swiss Registry'!A368</f>
        <v>367</v>
      </c>
      <c r="C678" s="63" t="str">
        <f>'Swiss Registry'!B368</f>
        <v>bobjoecarl</v>
      </c>
      <c r="D678" s="65" t="str">
        <f>'Swiss Registry'!C368</f>
        <v>1 - 3</v>
      </c>
    </row>
    <row r="679">
      <c r="A679" s="63">
        <v>678.0</v>
      </c>
      <c r="B679" s="63">
        <f>'Swiss Registry'!A140</f>
        <v>139</v>
      </c>
      <c r="C679" s="63" t="str">
        <f>'Swiss Registry'!B140</f>
        <v>CHICKENBOOB</v>
      </c>
      <c r="D679" s="65" t="str">
        <f>'Swiss Registry'!C140</f>
        <v>0 - 3</v>
      </c>
    </row>
    <row r="680">
      <c r="A680" s="63">
        <v>679.0</v>
      </c>
      <c r="B680" s="63">
        <f>'Swiss Registry'!A400</f>
        <v>399</v>
      </c>
      <c r="C680" s="63" t="str">
        <f>'Swiss Registry'!B400</f>
        <v>HakkihanTunbak (I recently joined the discord)</v>
      </c>
      <c r="D680" s="65" t="str">
        <f>'Swiss Registry'!C400</f>
        <v>1 - 3</v>
      </c>
    </row>
    <row r="681">
      <c r="A681" s="63">
        <v>680.0</v>
      </c>
      <c r="B681" s="63">
        <f>'Swiss Registry'!A126</f>
        <v>125</v>
      </c>
      <c r="C681" s="63" t="str">
        <f>'Swiss Registry'!B126</f>
        <v>LoDart210</v>
      </c>
      <c r="D681" s="65" t="str">
        <f>'Swiss Registry'!C126</f>
        <v>1 - 3</v>
      </c>
    </row>
    <row r="682">
      <c r="A682" s="63">
        <v>681.0</v>
      </c>
      <c r="B682" s="63">
        <f>'Swiss Registry'!A625</f>
        <v>624</v>
      </c>
      <c r="C682" s="63" t="str">
        <f>'Swiss Registry'!B625</f>
        <v>ByrneBaby</v>
      </c>
      <c r="D682" s="65" t="str">
        <f>'Swiss Registry'!C625</f>
        <v>0 - 3</v>
      </c>
    </row>
    <row r="683">
      <c r="A683" s="63">
        <v>682.0</v>
      </c>
      <c r="B683" s="63">
        <f>'Swiss Registry'!A294</f>
        <v>293</v>
      </c>
      <c r="C683" s="63" t="str">
        <f>'Swiss Registry'!B294</f>
        <v>SUB 11</v>
      </c>
      <c r="D683" s="65" t="str">
        <f>'Swiss Registry'!C294</f>
        <v>0 - 3</v>
      </c>
    </row>
    <row r="684">
      <c r="A684" s="63">
        <v>683.0</v>
      </c>
      <c r="B684" s="63">
        <f>'Swiss Registry'!A513</f>
        <v>512</v>
      </c>
      <c r="C684" s="63" t="str">
        <f>'Swiss Registry'!B513</f>
        <v>msousa</v>
      </c>
      <c r="D684" s="65" t="str">
        <f>'Swiss Registry'!C513</f>
        <v>5 - 3</v>
      </c>
    </row>
    <row r="685">
      <c r="A685" s="63">
        <v>684.0</v>
      </c>
      <c r="B685" s="63">
        <f>'Swiss Registry'!A402</f>
        <v>401</v>
      </c>
      <c r="C685" s="63" t="str">
        <f>'Swiss Registry'!B402</f>
        <v>.lucky_7.</v>
      </c>
      <c r="D685" s="65" t="str">
        <f>'Swiss Registry'!C402</f>
        <v>4 - 3</v>
      </c>
    </row>
    <row r="686">
      <c r="A686" s="63">
        <v>685.0</v>
      </c>
      <c r="B686" s="63">
        <f>'Swiss Registry'!A373</f>
        <v>372</v>
      </c>
      <c r="C686" s="63" t="str">
        <f>'Swiss Registry'!B373</f>
        <v>air602</v>
      </c>
      <c r="D686" s="65" t="str">
        <f>'Swiss Registry'!C373</f>
        <v>4 - 3</v>
      </c>
    </row>
    <row r="687">
      <c r="A687" s="63">
        <v>686.0</v>
      </c>
      <c r="B687" s="63">
        <f>'Swiss Registry'!A378</f>
        <v>377</v>
      </c>
      <c r="C687" s="63" t="str">
        <f>'Swiss Registry'!B378</f>
        <v>chtx</v>
      </c>
      <c r="D687" s="65" t="str">
        <f>'Swiss Registry'!C378</f>
        <v>5 - 3</v>
      </c>
    </row>
    <row r="688">
      <c r="A688" s="63">
        <v>687.0</v>
      </c>
      <c r="B688" s="63">
        <f>'Swiss Registry'!A406</f>
        <v>405</v>
      </c>
      <c r="C688" s="63" t="str">
        <f>'Swiss Registry'!B406</f>
        <v>doh#5604</v>
      </c>
      <c r="D688" s="65" t="str">
        <f>'Swiss Registry'!C406</f>
        <v>2 - 3</v>
      </c>
    </row>
    <row r="689">
      <c r="A689" s="63">
        <v>688.0</v>
      </c>
      <c r="B689" s="63">
        <f>'Swiss Registry'!A161</f>
        <v>160</v>
      </c>
      <c r="C689" s="63" t="str">
        <f>'Swiss Registry'!B161</f>
        <v>Calm Stiege</v>
      </c>
      <c r="D689" s="65" t="str">
        <f>'Swiss Registry'!C161</f>
        <v>2 - 3</v>
      </c>
    </row>
    <row r="690">
      <c r="A690" s="63">
        <v>689.0</v>
      </c>
      <c r="B690" s="63">
        <f>'Swiss Registry'!A640</f>
        <v>639</v>
      </c>
      <c r="C690" s="63" t="str">
        <f>'Swiss Registry'!B640</f>
        <v>Filthy Cubone</v>
      </c>
      <c r="D690" s="65" t="str">
        <f>'Swiss Registry'!C640</f>
        <v>0 - 3</v>
      </c>
    </row>
    <row r="691">
      <c r="A691" s="63">
        <v>690.0</v>
      </c>
      <c r="B691" s="63">
        <f>'Swiss Registry'!A574</f>
        <v>573</v>
      </c>
      <c r="C691" s="63" t="str">
        <f>'Swiss Registry'!B574</f>
        <v>tamafuyu</v>
      </c>
      <c r="D691" s="65" t="str">
        <f>'Swiss Registry'!C574</f>
        <v>5 - 3</v>
      </c>
    </row>
    <row r="692">
      <c r="A692" s="63">
        <v>691.0</v>
      </c>
      <c r="B692" s="63">
        <f>'Swiss Registry'!A631</f>
        <v>630</v>
      </c>
      <c r="C692" s="63" t="str">
        <f>'Swiss Registry'!B631</f>
        <v>dustyfans</v>
      </c>
      <c r="D692" s="65" t="str">
        <f>'Swiss Registry'!C631</f>
        <v>6 - 3</v>
      </c>
    </row>
    <row r="693">
      <c r="A693" s="63">
        <v>692.0</v>
      </c>
      <c r="B693" s="63">
        <f>'Swiss Registry'!A601</f>
        <v>600</v>
      </c>
      <c r="C693" s="63" t="str">
        <f>'Swiss Registry'!B601</f>
        <v>lindonh</v>
      </c>
      <c r="D693" s="65" t="str">
        <f>'Swiss Registry'!C601</f>
        <v>1 - 3</v>
      </c>
    </row>
    <row r="694">
      <c r="A694" s="63">
        <v>693.0</v>
      </c>
      <c r="B694" s="63">
        <f>'Swiss Registry'!A456</f>
        <v>455</v>
      </c>
      <c r="C694" s="63" t="str">
        <f>'Swiss Registry'!B456</f>
        <v>SUB 10</v>
      </c>
      <c r="D694" s="65" t="str">
        <f>'Swiss Registry'!C456</f>
        <v>0 - 3</v>
      </c>
    </row>
    <row r="695">
      <c r="A695" s="63">
        <v>694.0</v>
      </c>
      <c r="B695" s="63">
        <f>'Swiss Registry'!A282</f>
        <v>281</v>
      </c>
      <c r="C695" s="63" t="str">
        <f>'Swiss Registry'!B282</f>
        <v>jpmockman</v>
      </c>
      <c r="D695" s="65" t="str">
        <f>'Swiss Registry'!C282</f>
        <v>1 - 3</v>
      </c>
    </row>
    <row r="696">
      <c r="A696" s="63">
        <v>695.0</v>
      </c>
      <c r="B696" s="63">
        <f>'Swiss Registry'!A438</f>
        <v>437</v>
      </c>
      <c r="C696" s="63" t="str">
        <f>'Swiss Registry'!B438</f>
        <v>starii88</v>
      </c>
      <c r="D696" s="65" t="str">
        <f>'Swiss Registry'!C438</f>
        <v>2 - 3</v>
      </c>
    </row>
    <row r="697">
      <c r="A697" s="63">
        <v>696.0</v>
      </c>
      <c r="B697" s="63">
        <f>'Swiss Registry'!A439</f>
        <v>438</v>
      </c>
      <c r="C697" s="63" t="str">
        <f>'Swiss Registry'!B439</f>
        <v>javiercar#9743</v>
      </c>
      <c r="D697" s="65" t="str">
        <f>'Swiss Registry'!C439</f>
        <v>1 - 3</v>
      </c>
    </row>
    <row r="698">
      <c r="A698" s="63">
        <v>697.0</v>
      </c>
      <c r="B698" s="63">
        <f>'Swiss Registry'!A124</f>
        <v>123</v>
      </c>
      <c r="C698" s="63" t="str">
        <f>'Swiss Registry'!B124</f>
        <v>SUB 3</v>
      </c>
      <c r="D698" s="65" t="str">
        <f>'Swiss Registry'!C124</f>
        <v>0 - 3</v>
      </c>
    </row>
    <row r="699">
      <c r="A699" s="63">
        <v>698.0</v>
      </c>
      <c r="B699" s="63">
        <f>'Swiss Registry'!A200</f>
        <v>199</v>
      </c>
      <c r="C699" s="63" t="str">
        <f>'Swiss Registry'!B200</f>
        <v>mcgowin (ID: lgv#9084)</v>
      </c>
      <c r="D699" s="65" t="str">
        <f>'Swiss Registry'!C200</f>
        <v>1 - 3</v>
      </c>
    </row>
    <row r="700">
      <c r="A700" s="63">
        <v>699.0</v>
      </c>
      <c r="B700" s="63">
        <f>'Swiss Registry'!A204</f>
        <v>203</v>
      </c>
      <c r="C700" s="63" t="str">
        <f>'Swiss Registry'!B204</f>
        <v>JxJ</v>
      </c>
      <c r="D700" s="65" t="str">
        <f>'Swiss Registry'!C204</f>
        <v>2 - 3</v>
      </c>
    </row>
    <row r="701">
      <c r="A701" s="63">
        <v>700.0</v>
      </c>
      <c r="B701" s="63">
        <f>'Swiss Registry'!A301</f>
        <v>300</v>
      </c>
      <c r="C701" s="63" t="str">
        <f>'Swiss Registry'!B301</f>
        <v>nick_parenti</v>
      </c>
      <c r="D701" s="65" t="str">
        <f>'Swiss Registry'!C301</f>
        <v>1 - 3</v>
      </c>
    </row>
    <row r="702">
      <c r="A702" s="63">
        <v>701.0</v>
      </c>
      <c r="B702" s="63">
        <f>'Swiss Registry'!A348</f>
        <v>347</v>
      </c>
      <c r="C702" s="63" t="str">
        <f>'Swiss Registry'!B348</f>
        <v>SUB 17</v>
      </c>
      <c r="D702" s="65" t="str">
        <f>'Swiss Registry'!C348</f>
        <v>0 - 3</v>
      </c>
    </row>
    <row r="703">
      <c r="A703" s="63">
        <v>702.0</v>
      </c>
      <c r="B703" s="63">
        <f>'Swiss Registry'!A281</f>
        <v>280</v>
      </c>
      <c r="C703" s="63" t="str">
        <f>'Swiss Registry'!B281</f>
        <v>xamvius</v>
      </c>
      <c r="D703" s="65" t="str">
        <f>'Swiss Registry'!C281</f>
        <v>3 - 3</v>
      </c>
    </row>
  </sheetData>
  <customSheetViews>
    <customSheetView guid="{D468414C-A6AE-4F88-8204-055F8E51B061}" filter="1" showAutoFilter="1">
      <autoFilter ref="$B$1:$D$513"/>
    </customSheetView>
    <customSheetView guid="{7F17E550-16AE-4095-AAAB-E7617E3507E3}" filter="1" showAutoFilter="1">
      <autoFilter ref="$B$1:$D$513"/>
    </customSheetView>
    <customSheetView guid="{E4151595-7793-49E0-AAF1-42441FFD5C39}" filter="1" showAutoFilter="1">
      <autoFilter ref="$B$1:$D$513"/>
    </customSheetView>
    <customSheetView guid="{B51D87DE-CBC5-4EA9-9A85-D9F59B3E2310}" filter="1" showAutoFilter="1">
      <autoFilter ref="$D$1:$D$513"/>
    </customSheetView>
    <customSheetView guid="{AF201F68-3A2C-4912-A179-7128AEFE80D3}" filter="1" showAutoFilter="1">
      <autoFilter ref="$B$1:$D$513"/>
    </customSheetView>
  </customSheetViews>
  <conditionalFormatting sqref="D4:D702">
    <cfRule type="expression" dxfId="0" priority="1">
      <formula>IF(VALUE(RIGHT(D4:D259,1))&gt;1,TRUE,FALSE)</formula>
    </cfRule>
  </conditionalFormatting>
  <conditionalFormatting sqref="D4:D702">
    <cfRule type="expression" dxfId="1" priority="2">
      <formula>IF(VALUE(LEFT(D4:D259,1))&gt;5,TRUE,FALSE)</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7.5"/>
    <col customWidth="1" min="3" max="3" width="8.38"/>
    <col customWidth="1" min="4" max="4" width="22.0"/>
    <col customWidth="1" min="5" max="5" width="7.5"/>
    <col customWidth="1" min="6" max="6" width="25.75"/>
    <col customWidth="1" min="7" max="7" width="5.63"/>
    <col customWidth="1" min="8" max="8" width="2.75"/>
  </cols>
  <sheetData>
    <row r="1">
      <c r="A1" s="99"/>
      <c r="B1" s="177" t="s">
        <v>1454</v>
      </c>
      <c r="C1" s="76" t="s">
        <v>1767</v>
      </c>
      <c r="D1" s="77"/>
      <c r="E1" s="78"/>
      <c r="F1" s="177" t="s">
        <v>1454</v>
      </c>
      <c r="G1" s="74"/>
      <c r="H1" s="74"/>
    </row>
    <row r="2" ht="15.0" customHeight="1">
      <c r="A2" s="80"/>
      <c r="B2" s="178"/>
      <c r="C2" s="81"/>
      <c r="D2" s="82" t="s">
        <v>7430</v>
      </c>
      <c r="E2" s="81"/>
      <c r="F2" s="178"/>
      <c r="G2" s="80"/>
      <c r="H2" s="83"/>
    </row>
    <row r="3">
      <c r="A3" s="84"/>
      <c r="B3" s="94" t="str">
        <f>VLOOKUP(A3,'Swiss2 Registry'!$B$2:$C$703,2,False)</f>
        <v>#N/A</v>
      </c>
      <c r="C3" s="90" t="str">
        <f t="shared" ref="C3:C41" si="1">IF(H3="dead","",IF(H3="a:act","",IF(H3="b:act","",IF(ISURL(HYPERLINK(INDIRECT("Importer!B"&amp;MID(H3,2,4)+1,TRUE))),HYPERLINK(INDIRECT("Importer!B"&amp;MID(H3,2,4)+1,TRUE), "Game 1"),""))))</f>
        <v/>
      </c>
      <c r="D3" s="91" t="str">
        <f>IF(H3="dead","Dead Game",IF(H3="a:act","Act: "&amp;F3,IF(H3="b:act","Act: "&amp;#REF!,IF(ISURL(HYPERLINK(INDIRECT("Importer!B"&amp;MID(H3,6,4)+1,TRUE))),HYPERLINK(INDIRECT("Importer!B"&amp;MID(H3,6,4)+1,TRUE), "Game 2"),""))))</f>
        <v/>
      </c>
      <c r="E3" s="89" t="str">
        <f t="shared" ref="E3:E41" si="2">IF(H3="dead","",IF(H3="a:act","",IF(H3="b:act","",IF(ISURL(HYPERLINK(INDIRECT("Importer!B"&amp;MID(H3,10,4)+1,TRUE))),HYPERLINK(INDIRECT("Importer!B"&amp;MID(H3,10,4)+1,TRUE), "Game 3"),""))))</f>
        <v/>
      </c>
      <c r="F3" s="94" t="str">
        <f>VLOOKUP(G3,'Swiss2 Registry'!$B$2:$C$703,2,False)</f>
        <v>#N/A</v>
      </c>
      <c r="G3" s="84"/>
      <c r="H3" s="83"/>
    </row>
    <row r="4">
      <c r="A4" s="84"/>
      <c r="B4" s="94" t="str">
        <f>VLOOKUP(A4,'Swiss2 Registry'!$B$2:$C$703,2,False)</f>
        <v>#N/A</v>
      </c>
      <c r="C4" s="90" t="str">
        <f t="shared" si="1"/>
        <v/>
      </c>
      <c r="D4" s="91" t="str">
        <f t="shared" ref="D4:D41" si="3">IF(H4="dead","Dead Game",IF(H4="a:act","Act: "&amp;B4,IF(H4="b:act","Act: "&amp;F4,IF(ISURL(HYPERLINK(INDIRECT("Importer!B"&amp;MID(H4,6,4)+1,TRUE))),HYPERLINK(INDIRECT("Importer!B"&amp;MID(H4,6,4)+1,TRUE), "Game 2"),""))))</f>
        <v/>
      </c>
      <c r="E4" s="89" t="str">
        <f t="shared" si="2"/>
        <v/>
      </c>
      <c r="F4" s="94" t="str">
        <f>VLOOKUP(G4,'Swiss2 Registry'!$B$2:$C$703,2,False)</f>
        <v>#N/A</v>
      </c>
      <c r="G4" s="84"/>
      <c r="H4" s="83"/>
    </row>
    <row r="5">
      <c r="A5" s="84"/>
      <c r="B5" s="94" t="str">
        <f>VLOOKUP(A5,'Swiss2 Registry'!$B$2:$C$703,2,False)</f>
        <v>#N/A</v>
      </c>
      <c r="C5" s="90" t="str">
        <f t="shared" si="1"/>
        <v/>
      </c>
      <c r="D5" s="91" t="str">
        <f t="shared" si="3"/>
        <v/>
      </c>
      <c r="E5" s="89" t="str">
        <f t="shared" si="2"/>
        <v/>
      </c>
      <c r="F5" s="94" t="str">
        <f>VLOOKUP(G5,'Swiss2 Registry'!$B$2:$C$703,2,False)</f>
        <v>#N/A</v>
      </c>
      <c r="G5" s="84"/>
      <c r="H5" s="83"/>
    </row>
    <row r="6">
      <c r="A6" s="84"/>
      <c r="B6" s="94" t="str">
        <f>VLOOKUP(A6,'Swiss2 Registry'!$B$2:$C$703,2,False)</f>
        <v>#N/A</v>
      </c>
      <c r="C6" s="90" t="str">
        <f t="shared" si="1"/>
        <v/>
      </c>
      <c r="D6" s="91" t="str">
        <f t="shared" si="3"/>
        <v/>
      </c>
      <c r="E6" s="89" t="str">
        <f t="shared" si="2"/>
        <v/>
      </c>
      <c r="F6" s="94" t="str">
        <f>VLOOKUP(G6,'Swiss2 Registry'!$B$2:$C$703,2,False)</f>
        <v>#N/A</v>
      </c>
      <c r="G6" s="84"/>
      <c r="H6" s="83"/>
    </row>
    <row r="7">
      <c r="A7" s="84"/>
      <c r="B7" s="94" t="str">
        <f>VLOOKUP(A7,'Swiss2 Registry'!$B$2:$C$703,2,False)</f>
        <v>#N/A</v>
      </c>
      <c r="C7" s="90" t="str">
        <f t="shared" si="1"/>
        <v/>
      </c>
      <c r="D7" s="91" t="str">
        <f t="shared" si="3"/>
        <v/>
      </c>
      <c r="E7" s="89" t="str">
        <f t="shared" si="2"/>
        <v/>
      </c>
      <c r="F7" s="94" t="str">
        <f>VLOOKUP(G7,'Swiss2 Registry'!$B$2:$C$703,2,False)</f>
        <v>#N/A</v>
      </c>
      <c r="G7" s="84"/>
      <c r="H7" s="83"/>
    </row>
    <row r="8">
      <c r="A8" s="84"/>
      <c r="B8" s="94" t="str">
        <f>VLOOKUP(A8,'Swiss2 Registry'!$B$2:$C$703,2,False)</f>
        <v>#N/A</v>
      </c>
      <c r="C8" s="90" t="str">
        <f t="shared" si="1"/>
        <v/>
      </c>
      <c r="D8" s="91" t="str">
        <f t="shared" si="3"/>
        <v/>
      </c>
      <c r="E8" s="89" t="str">
        <f t="shared" si="2"/>
        <v/>
      </c>
      <c r="F8" s="94" t="str">
        <f>VLOOKUP(G8,'Swiss2 Registry'!$B$2:$C$703,2,False)</f>
        <v>#N/A</v>
      </c>
      <c r="G8" s="84"/>
      <c r="H8" s="83"/>
    </row>
    <row r="9">
      <c r="A9" s="84"/>
      <c r="B9" s="94" t="str">
        <f>VLOOKUP(A9,'Swiss2 Registry'!$B$2:$C$703,2,False)</f>
        <v>#N/A</v>
      </c>
      <c r="C9" s="90" t="str">
        <f t="shared" si="1"/>
        <v/>
      </c>
      <c r="D9" s="91" t="str">
        <f t="shared" si="3"/>
        <v/>
      </c>
      <c r="E9" s="89" t="str">
        <f t="shared" si="2"/>
        <v/>
      </c>
      <c r="F9" s="94" t="str">
        <f>VLOOKUP(G9,'Swiss2 Registry'!$B$2:$C$703,2,False)</f>
        <v>#N/A</v>
      </c>
      <c r="G9" s="84"/>
      <c r="H9" s="83"/>
    </row>
    <row r="10">
      <c r="A10" s="84"/>
      <c r="B10" s="94" t="str">
        <f>VLOOKUP(A10,'Swiss2 Registry'!$B$2:$C$703,2,False)</f>
        <v>#N/A</v>
      </c>
      <c r="C10" s="90" t="str">
        <f t="shared" si="1"/>
        <v/>
      </c>
      <c r="D10" s="91" t="str">
        <f t="shared" si="3"/>
        <v/>
      </c>
      <c r="E10" s="89" t="str">
        <f t="shared" si="2"/>
        <v/>
      </c>
      <c r="F10" s="94" t="str">
        <f>VLOOKUP(G10,'Swiss2 Registry'!$B$2:$C$703,2,False)</f>
        <v>#N/A</v>
      </c>
      <c r="G10" s="84"/>
      <c r="H10" s="83"/>
    </row>
    <row r="11">
      <c r="A11" s="84"/>
      <c r="B11" s="94" t="str">
        <f>VLOOKUP(A11,'Swiss2 Registry'!$B$2:$C$703,2,False)</f>
        <v>#N/A</v>
      </c>
      <c r="C11" s="90" t="str">
        <f t="shared" si="1"/>
        <v/>
      </c>
      <c r="D11" s="91" t="str">
        <f t="shared" si="3"/>
        <v/>
      </c>
      <c r="E11" s="89" t="str">
        <f t="shared" si="2"/>
        <v/>
      </c>
      <c r="F11" s="94" t="str">
        <f>VLOOKUP(G11,'Swiss2 Registry'!$B$2:$C$703,2,False)</f>
        <v>#N/A</v>
      </c>
      <c r="G11" s="84"/>
      <c r="H11" s="83"/>
    </row>
    <row r="12">
      <c r="A12" s="84"/>
      <c r="B12" s="94" t="str">
        <f>VLOOKUP(A12,'Swiss2 Registry'!$B$2:$C$703,2,False)</f>
        <v>#N/A</v>
      </c>
      <c r="C12" s="90" t="str">
        <f t="shared" si="1"/>
        <v/>
      </c>
      <c r="D12" s="91" t="str">
        <f t="shared" si="3"/>
        <v/>
      </c>
      <c r="E12" s="89" t="str">
        <f t="shared" si="2"/>
        <v/>
      </c>
      <c r="F12" s="94" t="str">
        <f>VLOOKUP(G12,'Swiss2 Registry'!$B$2:$C$703,2,False)</f>
        <v>#N/A</v>
      </c>
      <c r="G12" s="84"/>
      <c r="H12" s="83"/>
    </row>
    <row r="13">
      <c r="A13" s="84"/>
      <c r="B13" s="94" t="str">
        <f>VLOOKUP(A13,'Swiss2 Registry'!$B$2:$C$703,2,False)</f>
        <v>#N/A</v>
      </c>
      <c r="C13" s="90" t="str">
        <f t="shared" si="1"/>
        <v/>
      </c>
      <c r="D13" s="91" t="str">
        <f t="shared" si="3"/>
        <v/>
      </c>
      <c r="E13" s="89" t="str">
        <f t="shared" si="2"/>
        <v/>
      </c>
      <c r="F13" s="94" t="str">
        <f>VLOOKUP(G13,'Swiss2 Registry'!$B$2:$C$703,2,False)</f>
        <v>#N/A</v>
      </c>
      <c r="G13" s="84"/>
      <c r="H13" s="83"/>
    </row>
    <row r="14">
      <c r="A14" s="84"/>
      <c r="B14" s="94" t="str">
        <f>VLOOKUP(A14,'Swiss2 Registry'!$B$2:$C$703,2,False)</f>
        <v>#N/A</v>
      </c>
      <c r="C14" s="90" t="str">
        <f t="shared" si="1"/>
        <v/>
      </c>
      <c r="D14" s="91" t="str">
        <f t="shared" si="3"/>
        <v/>
      </c>
      <c r="E14" s="89" t="str">
        <f t="shared" si="2"/>
        <v/>
      </c>
      <c r="F14" s="94" t="str">
        <f>VLOOKUP(G14,'Swiss2 Registry'!$B$2:$C$703,2,False)</f>
        <v>#N/A</v>
      </c>
      <c r="G14" s="84"/>
      <c r="H14" s="83"/>
    </row>
    <row r="15">
      <c r="A15" s="84"/>
      <c r="B15" s="94" t="str">
        <f>VLOOKUP(A15,'Swiss2 Registry'!$B$2:$C$703,2,False)</f>
        <v>#N/A</v>
      </c>
      <c r="C15" s="90" t="str">
        <f t="shared" si="1"/>
        <v/>
      </c>
      <c r="D15" s="91" t="str">
        <f t="shared" si="3"/>
        <v/>
      </c>
      <c r="E15" s="89" t="str">
        <f t="shared" si="2"/>
        <v/>
      </c>
      <c r="F15" s="94" t="str">
        <f>VLOOKUP(G15,'Swiss2 Registry'!$B$2:$C$703,2,False)</f>
        <v>#N/A</v>
      </c>
      <c r="G15" s="84"/>
      <c r="H15" s="83"/>
    </row>
    <row r="16">
      <c r="A16" s="84"/>
      <c r="B16" s="94" t="str">
        <f>VLOOKUP(A16,'Swiss2 Registry'!$B$2:$C$703,2,False)</f>
        <v>#N/A</v>
      </c>
      <c r="C16" s="90" t="str">
        <f t="shared" si="1"/>
        <v/>
      </c>
      <c r="D16" s="91" t="str">
        <f t="shared" si="3"/>
        <v/>
      </c>
      <c r="E16" s="89" t="str">
        <f t="shared" si="2"/>
        <v/>
      </c>
      <c r="F16" s="94" t="str">
        <f>VLOOKUP(G16,'Swiss2 Registry'!$B$2:$C$703,2,False)</f>
        <v>#N/A</v>
      </c>
      <c r="G16" s="84"/>
      <c r="H16" s="83"/>
    </row>
    <row r="17">
      <c r="A17" s="84"/>
      <c r="B17" s="94" t="str">
        <f>VLOOKUP(A17,'Swiss2 Registry'!$B$2:$C$703,2,False)</f>
        <v>#N/A</v>
      </c>
      <c r="C17" s="90" t="str">
        <f t="shared" si="1"/>
        <v/>
      </c>
      <c r="D17" s="91" t="str">
        <f t="shared" si="3"/>
        <v/>
      </c>
      <c r="E17" s="89" t="str">
        <f t="shared" si="2"/>
        <v/>
      </c>
      <c r="F17" s="94" t="str">
        <f>VLOOKUP(G17,'Swiss2 Registry'!$B$2:$C$703,2,False)</f>
        <v>#N/A</v>
      </c>
      <c r="G17" s="84"/>
      <c r="H17" s="83"/>
    </row>
    <row r="18">
      <c r="A18" s="84"/>
      <c r="B18" s="94" t="str">
        <f>VLOOKUP(A18,'Swiss2 Registry'!$B$2:$C$703,2,False)</f>
        <v>#N/A</v>
      </c>
      <c r="C18" s="90" t="str">
        <f t="shared" si="1"/>
        <v/>
      </c>
      <c r="D18" s="91" t="str">
        <f t="shared" si="3"/>
        <v/>
      </c>
      <c r="E18" s="89" t="str">
        <f t="shared" si="2"/>
        <v/>
      </c>
      <c r="F18" s="94" t="str">
        <f>VLOOKUP(G18,'Swiss2 Registry'!$B$2:$C$703,2,False)</f>
        <v>#N/A</v>
      </c>
      <c r="G18" s="84"/>
      <c r="H18" s="83"/>
    </row>
    <row r="19">
      <c r="A19" s="84"/>
      <c r="B19" s="94" t="str">
        <f>VLOOKUP(A19,'Swiss2 Registry'!$B$2:$C$703,2,False)</f>
        <v>#N/A</v>
      </c>
      <c r="C19" s="90" t="str">
        <f t="shared" si="1"/>
        <v/>
      </c>
      <c r="D19" s="91" t="str">
        <f t="shared" si="3"/>
        <v/>
      </c>
      <c r="E19" s="89" t="str">
        <f t="shared" si="2"/>
        <v/>
      </c>
      <c r="F19" s="94" t="str">
        <f>VLOOKUP(G19,'Swiss2 Registry'!$B$2:$C$703,2,False)</f>
        <v>#N/A</v>
      </c>
      <c r="G19" s="84"/>
      <c r="H19" s="83"/>
    </row>
    <row r="20">
      <c r="A20" s="84"/>
      <c r="B20" s="94" t="str">
        <f>VLOOKUP(A20,'Swiss2 Registry'!$B$2:$C$703,2,False)</f>
        <v>#N/A</v>
      </c>
      <c r="C20" s="90" t="str">
        <f t="shared" si="1"/>
        <v/>
      </c>
      <c r="D20" s="91" t="str">
        <f t="shared" si="3"/>
        <v/>
      </c>
      <c r="E20" s="89" t="str">
        <f t="shared" si="2"/>
        <v/>
      </c>
      <c r="F20" s="94" t="str">
        <f>VLOOKUP(G20,'Swiss2 Registry'!$B$2:$C$703,2,False)</f>
        <v>#N/A</v>
      </c>
      <c r="G20" s="84"/>
      <c r="H20" s="83"/>
    </row>
    <row r="21">
      <c r="A21" s="84"/>
      <c r="B21" s="94" t="str">
        <f>VLOOKUP(A21,'Swiss2 Registry'!$B$2:$C$703,2,False)</f>
        <v>#N/A</v>
      </c>
      <c r="C21" s="90" t="str">
        <f t="shared" si="1"/>
        <v/>
      </c>
      <c r="D21" s="91" t="str">
        <f t="shared" si="3"/>
        <v/>
      </c>
      <c r="E21" s="89" t="str">
        <f t="shared" si="2"/>
        <v/>
      </c>
      <c r="F21" s="94" t="str">
        <f>VLOOKUP(G21,'Swiss2 Registry'!$B$2:$C$703,2,False)</f>
        <v>#N/A</v>
      </c>
      <c r="G21" s="84"/>
      <c r="H21" s="83"/>
    </row>
    <row r="22">
      <c r="A22" s="84"/>
      <c r="B22" s="94" t="str">
        <f>VLOOKUP(A22,'Swiss2 Registry'!$B$2:$C$703,2,False)</f>
        <v>#N/A</v>
      </c>
      <c r="C22" s="90" t="str">
        <f t="shared" si="1"/>
        <v/>
      </c>
      <c r="D22" s="91" t="str">
        <f t="shared" si="3"/>
        <v/>
      </c>
      <c r="E22" s="89" t="str">
        <f t="shared" si="2"/>
        <v/>
      </c>
      <c r="F22" s="94" t="str">
        <f>VLOOKUP(G22,'Swiss2 Registry'!$B$2:$C$703,2,False)</f>
        <v>#N/A</v>
      </c>
      <c r="G22" s="84"/>
      <c r="H22" s="83"/>
    </row>
    <row r="23">
      <c r="A23" s="84"/>
      <c r="B23" s="94" t="str">
        <f>VLOOKUP(A23,'Swiss2 Registry'!$B$2:$C$703,2,False)</f>
        <v>#N/A</v>
      </c>
      <c r="C23" s="90" t="str">
        <f t="shared" si="1"/>
        <v/>
      </c>
      <c r="D23" s="91" t="str">
        <f t="shared" si="3"/>
        <v/>
      </c>
      <c r="E23" s="89" t="str">
        <f t="shared" si="2"/>
        <v/>
      </c>
      <c r="F23" s="94" t="str">
        <f>VLOOKUP(G23,'Swiss2 Registry'!$B$2:$C$703,2,False)</f>
        <v>#N/A</v>
      </c>
      <c r="G23" s="84"/>
      <c r="H23" s="83"/>
    </row>
    <row r="24">
      <c r="A24" s="84"/>
      <c r="B24" s="94" t="str">
        <f>VLOOKUP(A24,'Swiss2 Registry'!$B$2:$C$703,2,False)</f>
        <v>#N/A</v>
      </c>
      <c r="C24" s="90" t="str">
        <f t="shared" si="1"/>
        <v/>
      </c>
      <c r="D24" s="91" t="str">
        <f t="shared" si="3"/>
        <v/>
      </c>
      <c r="E24" s="89" t="str">
        <f t="shared" si="2"/>
        <v/>
      </c>
      <c r="F24" s="94" t="str">
        <f>VLOOKUP(G24,'Swiss2 Registry'!$B$2:$C$703,2,False)</f>
        <v>#N/A</v>
      </c>
      <c r="G24" s="84"/>
      <c r="H24" s="83"/>
    </row>
    <row r="25">
      <c r="A25" s="84"/>
      <c r="B25" s="94" t="str">
        <f>VLOOKUP(A25,'Swiss2 Registry'!$B$2:$C$703,2,False)</f>
        <v>#N/A</v>
      </c>
      <c r="C25" s="90" t="str">
        <f t="shared" si="1"/>
        <v/>
      </c>
      <c r="D25" s="91" t="str">
        <f t="shared" si="3"/>
        <v/>
      </c>
      <c r="E25" s="89" t="str">
        <f t="shared" si="2"/>
        <v/>
      </c>
      <c r="F25" s="94" t="str">
        <f>VLOOKUP(G25,'Swiss2 Registry'!$B$2:$C$703,2,False)</f>
        <v>#N/A</v>
      </c>
      <c r="G25" s="84"/>
      <c r="H25" s="83"/>
    </row>
    <row r="26">
      <c r="A26" s="84"/>
      <c r="B26" s="94" t="str">
        <f>VLOOKUP(A26,'Swiss2 Registry'!$B$2:$C$703,2,False)</f>
        <v>#N/A</v>
      </c>
      <c r="C26" s="90" t="str">
        <f t="shared" si="1"/>
        <v/>
      </c>
      <c r="D26" s="91" t="str">
        <f t="shared" si="3"/>
        <v/>
      </c>
      <c r="E26" s="89" t="str">
        <f t="shared" si="2"/>
        <v/>
      </c>
      <c r="F26" s="94" t="str">
        <f>VLOOKUP(G26,'Swiss2 Registry'!$B$2:$C$703,2,False)</f>
        <v>#N/A</v>
      </c>
      <c r="G26" s="84"/>
      <c r="H26" s="83"/>
    </row>
    <row r="27">
      <c r="A27" s="84"/>
      <c r="B27" s="94" t="str">
        <f>VLOOKUP(A27,'Swiss2 Registry'!$B$2:$C$703,2,False)</f>
        <v>#N/A</v>
      </c>
      <c r="C27" s="90" t="str">
        <f t="shared" si="1"/>
        <v/>
      </c>
      <c r="D27" s="91" t="str">
        <f t="shared" si="3"/>
        <v/>
      </c>
      <c r="E27" s="89" t="str">
        <f t="shared" si="2"/>
        <v/>
      </c>
      <c r="F27" s="94" t="str">
        <f>VLOOKUP(G27,'Swiss2 Registry'!$B$2:$C$703,2,False)</f>
        <v>#N/A</v>
      </c>
      <c r="G27" s="84"/>
      <c r="H27" s="179"/>
    </row>
    <row r="28">
      <c r="A28" s="84"/>
      <c r="B28" s="94" t="str">
        <f>VLOOKUP(A28,'Swiss2 Registry'!$B$2:$C$703,2,False)</f>
        <v>#N/A</v>
      </c>
      <c r="C28" s="90" t="str">
        <f t="shared" si="1"/>
        <v/>
      </c>
      <c r="D28" s="91" t="str">
        <f t="shared" si="3"/>
        <v/>
      </c>
      <c r="E28" s="89" t="str">
        <f t="shared" si="2"/>
        <v/>
      </c>
      <c r="F28" s="94" t="str">
        <f>VLOOKUP(G28,'Swiss2 Registry'!$B$2:$C$703,2,False)</f>
        <v>#N/A</v>
      </c>
      <c r="G28" s="84"/>
      <c r="H28" s="93"/>
    </row>
    <row r="29">
      <c r="A29" s="84"/>
      <c r="B29" s="94" t="str">
        <f>VLOOKUP(A29,'Swiss2 Registry'!$B$2:$C$703,2,False)</f>
        <v>#N/A</v>
      </c>
      <c r="C29" s="90" t="str">
        <f t="shared" si="1"/>
        <v/>
      </c>
      <c r="D29" s="91" t="str">
        <f t="shared" si="3"/>
        <v/>
      </c>
      <c r="E29" s="89" t="str">
        <f t="shared" si="2"/>
        <v/>
      </c>
      <c r="F29" s="94" t="str">
        <f>VLOOKUP(G29,'Swiss2 Registry'!$B$2:$C$703,2,False)</f>
        <v>#N/A</v>
      </c>
      <c r="G29" s="84"/>
      <c r="H29" s="180"/>
    </row>
    <row r="30">
      <c r="A30" s="84"/>
      <c r="B30" s="94" t="str">
        <f>VLOOKUP(A30,'Swiss2 Registry'!$B$2:$C$703,2,False)</f>
        <v>#N/A</v>
      </c>
      <c r="C30" s="90" t="str">
        <f t="shared" si="1"/>
        <v/>
      </c>
      <c r="D30" s="91" t="str">
        <f t="shared" si="3"/>
        <v/>
      </c>
      <c r="E30" s="89" t="str">
        <f t="shared" si="2"/>
        <v/>
      </c>
      <c r="F30" s="94" t="str">
        <f>VLOOKUP(G30,'Swiss2 Registry'!$B$2:$C$703,2,False)</f>
        <v>#N/A</v>
      </c>
      <c r="G30" s="84"/>
      <c r="H30" s="93"/>
    </row>
    <row r="31">
      <c r="A31" s="84"/>
      <c r="B31" s="94" t="str">
        <f>VLOOKUP(A31,'Swiss2 Registry'!$B$2:$C$703,2,False)</f>
        <v>#N/A</v>
      </c>
      <c r="C31" s="90" t="str">
        <f t="shared" si="1"/>
        <v/>
      </c>
      <c r="D31" s="91" t="str">
        <f t="shared" si="3"/>
        <v/>
      </c>
      <c r="E31" s="89" t="str">
        <f t="shared" si="2"/>
        <v/>
      </c>
      <c r="F31" s="94" t="str">
        <f>VLOOKUP(G31,'Swiss2 Registry'!$B$2:$C$703,2,False)</f>
        <v>#N/A</v>
      </c>
      <c r="G31" s="84"/>
      <c r="H31" s="180"/>
    </row>
    <row r="32">
      <c r="A32" s="84"/>
      <c r="B32" s="94" t="str">
        <f>VLOOKUP(A32,'Swiss2 Registry'!$B$2:$C$703,2,False)</f>
        <v>#N/A</v>
      </c>
      <c r="C32" s="90" t="str">
        <f t="shared" si="1"/>
        <v/>
      </c>
      <c r="D32" s="91" t="str">
        <f t="shared" si="3"/>
        <v/>
      </c>
      <c r="E32" s="89" t="str">
        <f t="shared" si="2"/>
        <v/>
      </c>
      <c r="F32" s="94" t="str">
        <f>VLOOKUP(G32,'Swiss2 Registry'!$B$2:$C$703,2,False)</f>
        <v>#N/A</v>
      </c>
      <c r="G32" s="84"/>
      <c r="H32" s="93"/>
    </row>
    <row r="33">
      <c r="A33" s="84"/>
      <c r="B33" s="94" t="str">
        <f>VLOOKUP(A33,'Swiss2 Registry'!$B$2:$C$703,2,False)</f>
        <v>#N/A</v>
      </c>
      <c r="C33" s="90" t="str">
        <f t="shared" si="1"/>
        <v/>
      </c>
      <c r="D33" s="91" t="str">
        <f t="shared" si="3"/>
        <v/>
      </c>
      <c r="E33" s="89" t="str">
        <f t="shared" si="2"/>
        <v/>
      </c>
      <c r="F33" s="94" t="str">
        <f>VLOOKUP(G33,'Swiss2 Registry'!$B$2:$C$703,2,False)</f>
        <v>#N/A</v>
      </c>
      <c r="G33" s="84"/>
      <c r="H33" s="180"/>
    </row>
    <row r="34">
      <c r="A34" s="84"/>
      <c r="B34" s="94" t="str">
        <f>VLOOKUP(A34,'Swiss2 Registry'!$B$2:$C$703,2,False)</f>
        <v>#N/A</v>
      </c>
      <c r="C34" s="90" t="str">
        <f t="shared" si="1"/>
        <v/>
      </c>
      <c r="D34" s="91" t="str">
        <f t="shared" si="3"/>
        <v/>
      </c>
      <c r="E34" s="89" t="str">
        <f t="shared" si="2"/>
        <v/>
      </c>
      <c r="F34" s="94" t="str">
        <f>VLOOKUP(G34,'Swiss2 Registry'!$B$2:$C$703,2,False)</f>
        <v>#N/A</v>
      </c>
      <c r="G34" s="84"/>
      <c r="H34" s="181"/>
    </row>
    <row r="35">
      <c r="A35" s="84"/>
      <c r="B35" s="94" t="str">
        <f>VLOOKUP(A35,'Swiss2 Registry'!$B$2:$C$703,2,False)</f>
        <v>#N/A</v>
      </c>
      <c r="C35" s="90" t="str">
        <f t="shared" si="1"/>
        <v/>
      </c>
      <c r="D35" s="91" t="str">
        <f t="shared" si="3"/>
        <v/>
      </c>
      <c r="E35" s="89" t="str">
        <f t="shared" si="2"/>
        <v/>
      </c>
      <c r="F35" s="94" t="str">
        <f>VLOOKUP(G35,'Swiss2 Registry'!$B$2:$C$703,2,False)</f>
        <v>#N/A</v>
      </c>
      <c r="G35" s="84"/>
      <c r="H35" s="180"/>
    </row>
    <row r="36">
      <c r="A36" s="84"/>
      <c r="B36" s="94" t="str">
        <f>VLOOKUP(A36,'Swiss2 Registry'!$B$2:$C$703,2,False)</f>
        <v>#N/A</v>
      </c>
      <c r="C36" s="90" t="str">
        <f t="shared" si="1"/>
        <v/>
      </c>
      <c r="D36" s="91" t="str">
        <f t="shared" si="3"/>
        <v/>
      </c>
      <c r="E36" s="89" t="str">
        <f t="shared" si="2"/>
        <v/>
      </c>
      <c r="F36" s="94" t="str">
        <f>VLOOKUP(G36,'Swiss2 Registry'!$B$2:$C$703,2,False)</f>
        <v>#N/A</v>
      </c>
      <c r="G36" s="84"/>
      <c r="H36" s="180"/>
    </row>
    <row r="37">
      <c r="A37" s="84"/>
      <c r="B37" s="94" t="str">
        <f>VLOOKUP(A37,'Swiss2 Registry'!$B$2:$C$703,2,False)</f>
        <v>#N/A</v>
      </c>
      <c r="C37" s="90" t="str">
        <f t="shared" si="1"/>
        <v/>
      </c>
      <c r="D37" s="91" t="str">
        <f t="shared" si="3"/>
        <v/>
      </c>
      <c r="E37" s="89" t="str">
        <f t="shared" si="2"/>
        <v/>
      </c>
      <c r="F37" s="94" t="str">
        <f>VLOOKUP(G37,'Swiss2 Registry'!$B$2:$C$703,2,False)</f>
        <v>#N/A</v>
      </c>
      <c r="G37" s="84"/>
      <c r="H37" s="180"/>
    </row>
    <row r="38">
      <c r="A38" s="84"/>
      <c r="B38" s="94" t="str">
        <f>VLOOKUP(A38,'Swiss2 Registry'!$B$2:$C$703,2,False)</f>
        <v>#N/A</v>
      </c>
      <c r="C38" s="90" t="str">
        <f t="shared" si="1"/>
        <v/>
      </c>
      <c r="D38" s="91" t="str">
        <f t="shared" si="3"/>
        <v/>
      </c>
      <c r="E38" s="89" t="str">
        <f t="shared" si="2"/>
        <v/>
      </c>
      <c r="F38" s="94" t="str">
        <f>VLOOKUP(G38,'Swiss2 Registry'!$B$2:$C$703,2,False)</f>
        <v>#N/A</v>
      </c>
      <c r="G38" s="84"/>
      <c r="H38" s="180"/>
    </row>
    <row r="39">
      <c r="A39" s="84"/>
      <c r="B39" s="94" t="str">
        <f>VLOOKUP(A39,'Swiss2 Registry'!$B$2:$C$703,2,False)</f>
        <v>#N/A</v>
      </c>
      <c r="C39" s="90" t="str">
        <f t="shared" si="1"/>
        <v/>
      </c>
      <c r="D39" s="91" t="str">
        <f t="shared" si="3"/>
        <v/>
      </c>
      <c r="E39" s="89" t="str">
        <f t="shared" si="2"/>
        <v/>
      </c>
      <c r="F39" s="94" t="str">
        <f>VLOOKUP(G39,'Swiss2 Registry'!$B$2:$C$703,2,False)</f>
        <v>#N/A</v>
      </c>
      <c r="G39" s="84"/>
      <c r="H39" s="180"/>
    </row>
    <row r="40">
      <c r="A40" s="84"/>
      <c r="B40" s="94" t="str">
        <f>VLOOKUP(A40,'Swiss2 Registry'!$B$2:$C$703,2,False)</f>
        <v>#N/A</v>
      </c>
      <c r="C40" s="90" t="str">
        <f t="shared" si="1"/>
        <v/>
      </c>
      <c r="D40" s="91" t="str">
        <f t="shared" si="3"/>
        <v/>
      </c>
      <c r="E40" s="89" t="str">
        <f t="shared" si="2"/>
        <v/>
      </c>
      <c r="F40" s="94" t="str">
        <f>VLOOKUP(G40,'Swiss2 Registry'!$B$2:$C$703,2,False)</f>
        <v>#N/A</v>
      </c>
      <c r="G40" s="84"/>
      <c r="H40" s="180"/>
    </row>
    <row r="41">
      <c r="A41" s="84"/>
      <c r="B41" s="94" t="str">
        <f>VLOOKUP(A41,'Swiss2 Registry'!$B$2:$C$703,2,False)</f>
        <v>#N/A</v>
      </c>
      <c r="C41" s="90" t="str">
        <f t="shared" si="1"/>
        <v/>
      </c>
      <c r="D41" s="91" t="str">
        <f t="shared" si="3"/>
        <v/>
      </c>
      <c r="E41" s="89" t="str">
        <f t="shared" si="2"/>
        <v/>
      </c>
      <c r="F41" s="94" t="str">
        <f>VLOOKUP(G41,'Swiss2 Registry'!$B$2:$C$703,2,False)</f>
        <v>#N/A</v>
      </c>
      <c r="G41" s="84"/>
      <c r="H41" s="180"/>
    </row>
    <row r="42" ht="15.0" customHeight="1">
      <c r="A42" s="80"/>
      <c r="B42" s="178"/>
      <c r="C42" s="81"/>
      <c r="D42" s="82" t="s">
        <v>7431</v>
      </c>
      <c r="E42" s="81"/>
      <c r="F42" s="178"/>
      <c r="G42" s="80"/>
      <c r="H42" s="83"/>
    </row>
    <row r="43">
      <c r="A43" s="84"/>
      <c r="B43" s="94" t="str">
        <f>VLOOKUP(A43,'Swiss2 Registry'!$B$2:$C$703,2,False)</f>
        <v>#N/A</v>
      </c>
      <c r="C43" s="90" t="str">
        <f t="shared" ref="C43:C81" si="4">IF(H43="dead","",IF(H43="a:act","",IF(H43="b:act","",IF(ISURL(HYPERLINK(INDIRECT("Importer!B"&amp;MID(H43,2,4)+1,TRUE))),HYPERLINK(INDIRECT("Importer!B"&amp;MID(H43,2,4)+1,TRUE), "Game 1"),""))))</f>
        <v/>
      </c>
      <c r="D43" s="91" t="str">
        <f>IF(H43="dead","Dead Game",IF(H43="a:act","Act: "&amp;F43,IF(H43="b:act","Act: "&amp;#REF!,IF(ISURL(HYPERLINK(INDIRECT("Importer!B"&amp;MID(H43,6,4)+1,TRUE))),HYPERLINK(INDIRECT("Importer!B"&amp;MID(H43,6,4)+1,TRUE), "Game 2"),""))))</f>
        <v/>
      </c>
      <c r="E43" s="89" t="str">
        <f t="shared" ref="E43:E81" si="5">IF(H43="dead","",IF(H43="a:act","",IF(H43="b:act","",IF(ISURL(HYPERLINK(INDIRECT("Importer!B"&amp;MID(H43,10,4)+1,TRUE))),HYPERLINK(INDIRECT("Importer!B"&amp;MID(H43,10,4)+1,TRUE), "Game 3"),""))))</f>
        <v/>
      </c>
      <c r="F43" s="94" t="str">
        <f>VLOOKUP(G43,'Swiss2 Registry'!$B$2:$C$703,2,False)</f>
        <v>#N/A</v>
      </c>
      <c r="G43" s="84"/>
      <c r="H43" s="83"/>
    </row>
    <row r="44">
      <c r="A44" s="84"/>
      <c r="B44" s="94" t="str">
        <f>VLOOKUP(A44,'Swiss2 Registry'!$B$2:$C$703,2,False)</f>
        <v>#N/A</v>
      </c>
      <c r="C44" s="90" t="str">
        <f t="shared" si="4"/>
        <v/>
      </c>
      <c r="D44" s="91" t="str">
        <f t="shared" ref="D44:D81" si="6">IF(H44="dead","Dead Game",IF(H44="a:act","Act: "&amp;B44,IF(H44="b:act","Act: "&amp;F44,IF(ISURL(HYPERLINK(INDIRECT("Importer!B"&amp;MID(H44,6,4)+1,TRUE))),HYPERLINK(INDIRECT("Importer!B"&amp;MID(H44,6,4)+1,TRUE), "Game 2"),""))))</f>
        <v/>
      </c>
      <c r="E44" s="89" t="str">
        <f t="shared" si="5"/>
        <v/>
      </c>
      <c r="F44" s="94" t="str">
        <f>VLOOKUP(G44,'Swiss2 Registry'!$B$2:$C$703,2,False)</f>
        <v>#N/A</v>
      </c>
      <c r="G44" s="84"/>
      <c r="H44" s="83"/>
    </row>
    <row r="45">
      <c r="A45" s="84"/>
      <c r="B45" s="94" t="str">
        <f>VLOOKUP(A45,'Swiss2 Registry'!$B$2:$C$703,2,False)</f>
        <v>#N/A</v>
      </c>
      <c r="C45" s="90" t="str">
        <f t="shared" si="4"/>
        <v/>
      </c>
      <c r="D45" s="91" t="str">
        <f t="shared" si="6"/>
        <v/>
      </c>
      <c r="E45" s="89" t="str">
        <f t="shared" si="5"/>
        <v/>
      </c>
      <c r="F45" s="94" t="str">
        <f>VLOOKUP(G45,'Swiss2 Registry'!$B$2:$C$703,2,False)</f>
        <v>#N/A</v>
      </c>
      <c r="G45" s="84"/>
      <c r="H45" s="83"/>
    </row>
    <row r="46">
      <c r="A46" s="84"/>
      <c r="B46" s="94" t="str">
        <f>VLOOKUP(A46,'Swiss2 Registry'!$B$2:$C$703,2,False)</f>
        <v>#N/A</v>
      </c>
      <c r="C46" s="90" t="str">
        <f t="shared" si="4"/>
        <v/>
      </c>
      <c r="D46" s="91" t="str">
        <f t="shared" si="6"/>
        <v/>
      </c>
      <c r="E46" s="89" t="str">
        <f t="shared" si="5"/>
        <v/>
      </c>
      <c r="F46" s="94" t="str">
        <f>VLOOKUP(G46,'Swiss2 Registry'!$B$2:$C$703,2,False)</f>
        <v>#N/A</v>
      </c>
      <c r="G46" s="84"/>
      <c r="H46" s="83"/>
    </row>
    <row r="47">
      <c r="A47" s="84"/>
      <c r="B47" s="94" t="str">
        <f>VLOOKUP(A47,'Swiss2 Registry'!$B$2:$C$703,2,False)</f>
        <v>#N/A</v>
      </c>
      <c r="C47" s="90" t="str">
        <f t="shared" si="4"/>
        <v/>
      </c>
      <c r="D47" s="91" t="str">
        <f t="shared" si="6"/>
        <v/>
      </c>
      <c r="E47" s="89" t="str">
        <f t="shared" si="5"/>
        <v/>
      </c>
      <c r="F47" s="94" t="str">
        <f>VLOOKUP(G47,'Swiss2 Registry'!$B$2:$C$703,2,False)</f>
        <v>#N/A</v>
      </c>
      <c r="G47" s="84"/>
      <c r="H47" s="83"/>
    </row>
    <row r="48">
      <c r="A48" s="84"/>
      <c r="B48" s="94" t="str">
        <f>VLOOKUP(A48,'Swiss2 Registry'!$B$2:$C$703,2,False)</f>
        <v>#N/A</v>
      </c>
      <c r="C48" s="90" t="str">
        <f t="shared" si="4"/>
        <v/>
      </c>
      <c r="D48" s="91" t="str">
        <f t="shared" si="6"/>
        <v/>
      </c>
      <c r="E48" s="89" t="str">
        <f t="shared" si="5"/>
        <v/>
      </c>
      <c r="F48" s="94" t="str">
        <f>VLOOKUP(G48,'Swiss2 Registry'!$B$2:$C$703,2,False)</f>
        <v>#N/A</v>
      </c>
      <c r="G48" s="84"/>
      <c r="H48" s="83"/>
    </row>
    <row r="49">
      <c r="A49" s="84"/>
      <c r="B49" s="94" t="str">
        <f>VLOOKUP(A49,'Swiss2 Registry'!$B$2:$C$703,2,False)</f>
        <v>#N/A</v>
      </c>
      <c r="C49" s="90" t="str">
        <f t="shared" si="4"/>
        <v/>
      </c>
      <c r="D49" s="91" t="str">
        <f t="shared" si="6"/>
        <v/>
      </c>
      <c r="E49" s="89" t="str">
        <f t="shared" si="5"/>
        <v/>
      </c>
      <c r="F49" s="94" t="str">
        <f>VLOOKUP(G49,'Swiss2 Registry'!$B$2:$C$703,2,False)</f>
        <v>#N/A</v>
      </c>
      <c r="G49" s="84"/>
      <c r="H49" s="83"/>
    </row>
    <row r="50">
      <c r="A50" s="84"/>
      <c r="B50" s="94" t="str">
        <f>VLOOKUP(A50,'Swiss2 Registry'!$B$2:$C$703,2,False)</f>
        <v>#N/A</v>
      </c>
      <c r="C50" s="90" t="str">
        <f t="shared" si="4"/>
        <v/>
      </c>
      <c r="D50" s="91" t="str">
        <f t="shared" si="6"/>
        <v/>
      </c>
      <c r="E50" s="89" t="str">
        <f t="shared" si="5"/>
        <v/>
      </c>
      <c r="F50" s="94" t="str">
        <f>VLOOKUP(G50,'Swiss2 Registry'!$B$2:$C$703,2,False)</f>
        <v>#N/A</v>
      </c>
      <c r="G50" s="84"/>
      <c r="H50" s="83"/>
    </row>
    <row r="51">
      <c r="A51" s="84"/>
      <c r="B51" s="94" t="str">
        <f>VLOOKUP(A51,'Swiss2 Registry'!$B$2:$C$703,2,False)</f>
        <v>#N/A</v>
      </c>
      <c r="C51" s="90" t="str">
        <f t="shared" si="4"/>
        <v/>
      </c>
      <c r="D51" s="91" t="str">
        <f t="shared" si="6"/>
        <v/>
      </c>
      <c r="E51" s="89" t="str">
        <f t="shared" si="5"/>
        <v/>
      </c>
      <c r="F51" s="94" t="str">
        <f>VLOOKUP(G51,'Swiss2 Registry'!$B$2:$C$703,2,False)</f>
        <v>#N/A</v>
      </c>
      <c r="G51" s="84"/>
      <c r="H51" s="83"/>
    </row>
    <row r="52">
      <c r="A52" s="84"/>
      <c r="B52" s="94" t="str">
        <f>VLOOKUP(A52,'Swiss2 Registry'!$B$2:$C$703,2,False)</f>
        <v>#N/A</v>
      </c>
      <c r="C52" s="90" t="str">
        <f t="shared" si="4"/>
        <v/>
      </c>
      <c r="D52" s="91" t="str">
        <f t="shared" si="6"/>
        <v/>
      </c>
      <c r="E52" s="89" t="str">
        <f t="shared" si="5"/>
        <v/>
      </c>
      <c r="F52" s="94" t="str">
        <f>VLOOKUP(G52,'Swiss2 Registry'!$B$2:$C$703,2,False)</f>
        <v>#N/A</v>
      </c>
      <c r="G52" s="84"/>
      <c r="H52" s="83"/>
    </row>
    <row r="53">
      <c r="A53" s="84"/>
      <c r="B53" s="94" t="str">
        <f>VLOOKUP(A53,'Swiss2 Registry'!$B$2:$C$703,2,False)</f>
        <v>#N/A</v>
      </c>
      <c r="C53" s="90" t="str">
        <f t="shared" si="4"/>
        <v/>
      </c>
      <c r="D53" s="91" t="str">
        <f t="shared" si="6"/>
        <v/>
      </c>
      <c r="E53" s="89" t="str">
        <f t="shared" si="5"/>
        <v/>
      </c>
      <c r="F53" s="94" t="str">
        <f>VLOOKUP(G53,'Swiss2 Registry'!$B$2:$C$703,2,False)</f>
        <v>#N/A</v>
      </c>
      <c r="G53" s="84"/>
      <c r="H53" s="83"/>
    </row>
    <row r="54">
      <c r="A54" s="84"/>
      <c r="B54" s="94" t="str">
        <f>VLOOKUP(A54,'Swiss2 Registry'!$B$2:$C$703,2,False)</f>
        <v>#N/A</v>
      </c>
      <c r="C54" s="90" t="str">
        <f t="shared" si="4"/>
        <v/>
      </c>
      <c r="D54" s="91" t="str">
        <f t="shared" si="6"/>
        <v/>
      </c>
      <c r="E54" s="89" t="str">
        <f t="shared" si="5"/>
        <v/>
      </c>
      <c r="F54" s="94" t="str">
        <f>VLOOKUP(G54,'Swiss2 Registry'!$B$2:$C$703,2,False)</f>
        <v>#N/A</v>
      </c>
      <c r="G54" s="84"/>
      <c r="H54" s="83"/>
    </row>
    <row r="55">
      <c r="A55" s="84"/>
      <c r="B55" s="94" t="str">
        <f>VLOOKUP(A55,'Swiss2 Registry'!$B$2:$C$703,2,False)</f>
        <v>#N/A</v>
      </c>
      <c r="C55" s="90" t="str">
        <f t="shared" si="4"/>
        <v/>
      </c>
      <c r="D55" s="91" t="str">
        <f t="shared" si="6"/>
        <v/>
      </c>
      <c r="E55" s="89" t="str">
        <f t="shared" si="5"/>
        <v/>
      </c>
      <c r="F55" s="94" t="str">
        <f>VLOOKUP(G55,'Swiss2 Registry'!$B$2:$C$703,2,False)</f>
        <v>#N/A</v>
      </c>
      <c r="G55" s="84"/>
      <c r="H55" s="83"/>
    </row>
    <row r="56">
      <c r="A56" s="84"/>
      <c r="B56" s="94" t="str">
        <f>VLOOKUP(A56,'Swiss2 Registry'!$B$2:$C$703,2,False)</f>
        <v>#N/A</v>
      </c>
      <c r="C56" s="90" t="str">
        <f t="shared" si="4"/>
        <v/>
      </c>
      <c r="D56" s="91" t="str">
        <f t="shared" si="6"/>
        <v/>
      </c>
      <c r="E56" s="89" t="str">
        <f t="shared" si="5"/>
        <v/>
      </c>
      <c r="F56" s="94" t="str">
        <f>VLOOKUP(G56,'Swiss2 Registry'!$B$2:$C$703,2,False)</f>
        <v>#N/A</v>
      </c>
      <c r="G56" s="84"/>
      <c r="H56" s="83"/>
    </row>
    <row r="57">
      <c r="A57" s="84"/>
      <c r="B57" s="94" t="str">
        <f>VLOOKUP(A57,'Swiss2 Registry'!$B$2:$C$703,2,False)</f>
        <v>#N/A</v>
      </c>
      <c r="C57" s="90" t="str">
        <f t="shared" si="4"/>
        <v/>
      </c>
      <c r="D57" s="91" t="str">
        <f t="shared" si="6"/>
        <v/>
      </c>
      <c r="E57" s="89" t="str">
        <f t="shared" si="5"/>
        <v/>
      </c>
      <c r="F57" s="94" t="str">
        <f>VLOOKUP(G57,'Swiss2 Registry'!$B$2:$C$703,2,False)</f>
        <v>#N/A</v>
      </c>
      <c r="G57" s="84"/>
      <c r="H57" s="83"/>
    </row>
    <row r="58">
      <c r="A58" s="84"/>
      <c r="B58" s="94" t="str">
        <f>VLOOKUP(A58,'Swiss2 Registry'!$B$2:$C$703,2,False)</f>
        <v>#N/A</v>
      </c>
      <c r="C58" s="90" t="str">
        <f t="shared" si="4"/>
        <v/>
      </c>
      <c r="D58" s="91" t="str">
        <f t="shared" si="6"/>
        <v/>
      </c>
      <c r="E58" s="89" t="str">
        <f t="shared" si="5"/>
        <v/>
      </c>
      <c r="F58" s="94" t="str">
        <f>VLOOKUP(G58,'Swiss2 Registry'!$B$2:$C$703,2,False)</f>
        <v>#N/A</v>
      </c>
      <c r="G58" s="84"/>
      <c r="H58" s="83"/>
    </row>
    <row r="59">
      <c r="A59" s="84"/>
      <c r="B59" s="94" t="str">
        <f>VLOOKUP(A59,'Swiss2 Registry'!$B$2:$C$703,2,False)</f>
        <v>#N/A</v>
      </c>
      <c r="C59" s="90" t="str">
        <f t="shared" si="4"/>
        <v/>
      </c>
      <c r="D59" s="91" t="str">
        <f t="shared" si="6"/>
        <v/>
      </c>
      <c r="E59" s="89" t="str">
        <f t="shared" si="5"/>
        <v/>
      </c>
      <c r="F59" s="94" t="str">
        <f>VLOOKUP(G59,'Swiss2 Registry'!$B$2:$C$703,2,False)</f>
        <v>#N/A</v>
      </c>
      <c r="G59" s="84"/>
      <c r="H59" s="83"/>
    </row>
    <row r="60">
      <c r="A60" s="84"/>
      <c r="B60" s="94" t="str">
        <f>VLOOKUP(A60,'Swiss2 Registry'!$B$2:$C$703,2,False)</f>
        <v>#N/A</v>
      </c>
      <c r="C60" s="90" t="str">
        <f t="shared" si="4"/>
        <v/>
      </c>
      <c r="D60" s="91" t="str">
        <f t="shared" si="6"/>
        <v/>
      </c>
      <c r="E60" s="89" t="str">
        <f t="shared" si="5"/>
        <v/>
      </c>
      <c r="F60" s="94" t="str">
        <f>VLOOKUP(G60,'Swiss2 Registry'!$B$2:$C$703,2,False)</f>
        <v>#N/A</v>
      </c>
      <c r="G60" s="84"/>
      <c r="H60" s="83"/>
    </row>
    <row r="61">
      <c r="A61" s="84"/>
      <c r="B61" s="94" t="str">
        <f>VLOOKUP(A61,'Swiss2 Registry'!$B$2:$C$703,2,False)</f>
        <v>#N/A</v>
      </c>
      <c r="C61" s="90" t="str">
        <f t="shared" si="4"/>
        <v/>
      </c>
      <c r="D61" s="91" t="str">
        <f t="shared" si="6"/>
        <v/>
      </c>
      <c r="E61" s="89" t="str">
        <f t="shared" si="5"/>
        <v/>
      </c>
      <c r="F61" s="94" t="str">
        <f>VLOOKUP(G61,'Swiss2 Registry'!$B$2:$C$703,2,False)</f>
        <v>#N/A</v>
      </c>
      <c r="G61" s="84"/>
      <c r="H61" s="83"/>
    </row>
    <row r="62">
      <c r="A62" s="84"/>
      <c r="B62" s="94" t="str">
        <f>VLOOKUP(A62,'Swiss2 Registry'!$B$2:$C$703,2,False)</f>
        <v>#N/A</v>
      </c>
      <c r="C62" s="90" t="str">
        <f t="shared" si="4"/>
        <v/>
      </c>
      <c r="D62" s="91" t="str">
        <f t="shared" si="6"/>
        <v/>
      </c>
      <c r="E62" s="89" t="str">
        <f t="shared" si="5"/>
        <v/>
      </c>
      <c r="F62" s="94" t="str">
        <f>VLOOKUP(G62,'Swiss2 Registry'!$B$2:$C$703,2,False)</f>
        <v>#N/A</v>
      </c>
      <c r="G62" s="84"/>
      <c r="H62" s="83"/>
    </row>
    <row r="63">
      <c r="A63" s="84"/>
      <c r="B63" s="94" t="str">
        <f>VLOOKUP(A63,'Swiss2 Registry'!$B$2:$C$703,2,False)</f>
        <v>#N/A</v>
      </c>
      <c r="C63" s="90" t="str">
        <f t="shared" si="4"/>
        <v/>
      </c>
      <c r="D63" s="91" t="str">
        <f t="shared" si="6"/>
        <v/>
      </c>
      <c r="E63" s="89" t="str">
        <f t="shared" si="5"/>
        <v/>
      </c>
      <c r="F63" s="94" t="str">
        <f>VLOOKUP(G63,'Swiss2 Registry'!$B$2:$C$703,2,False)</f>
        <v>#N/A</v>
      </c>
      <c r="G63" s="84"/>
      <c r="H63" s="83"/>
    </row>
    <row r="64">
      <c r="A64" s="84"/>
      <c r="B64" s="94" t="str">
        <f>VLOOKUP(A64,'Swiss2 Registry'!$B$2:$C$703,2,False)</f>
        <v>#N/A</v>
      </c>
      <c r="C64" s="90" t="str">
        <f t="shared" si="4"/>
        <v/>
      </c>
      <c r="D64" s="91" t="str">
        <f t="shared" si="6"/>
        <v/>
      </c>
      <c r="E64" s="89" t="str">
        <f t="shared" si="5"/>
        <v/>
      </c>
      <c r="F64" s="94" t="str">
        <f>VLOOKUP(G64,'Swiss2 Registry'!$B$2:$C$703,2,False)</f>
        <v>#N/A</v>
      </c>
      <c r="G64" s="84"/>
      <c r="H64" s="83"/>
    </row>
    <row r="65">
      <c r="A65" s="84"/>
      <c r="B65" s="94" t="str">
        <f>VLOOKUP(A65,'Swiss2 Registry'!$B$2:$C$703,2,False)</f>
        <v>#N/A</v>
      </c>
      <c r="C65" s="90" t="str">
        <f t="shared" si="4"/>
        <v/>
      </c>
      <c r="D65" s="91" t="str">
        <f t="shared" si="6"/>
        <v/>
      </c>
      <c r="E65" s="89" t="str">
        <f t="shared" si="5"/>
        <v/>
      </c>
      <c r="F65" s="94" t="str">
        <f>VLOOKUP(G65,'Swiss2 Registry'!$B$2:$C$703,2,False)</f>
        <v>#N/A</v>
      </c>
      <c r="G65" s="84"/>
      <c r="H65" s="83"/>
    </row>
    <row r="66">
      <c r="A66" s="84"/>
      <c r="B66" s="94" t="str">
        <f>VLOOKUP(A66,'Swiss2 Registry'!$B$2:$C$703,2,False)</f>
        <v>#N/A</v>
      </c>
      <c r="C66" s="90" t="str">
        <f t="shared" si="4"/>
        <v/>
      </c>
      <c r="D66" s="91" t="str">
        <f t="shared" si="6"/>
        <v/>
      </c>
      <c r="E66" s="89" t="str">
        <f t="shared" si="5"/>
        <v/>
      </c>
      <c r="F66" s="94" t="str">
        <f>VLOOKUP(G66,'Swiss2 Registry'!$B$2:$C$703,2,False)</f>
        <v>#N/A</v>
      </c>
      <c r="G66" s="84"/>
      <c r="H66" s="83"/>
    </row>
    <row r="67">
      <c r="A67" s="84"/>
      <c r="B67" s="94" t="str">
        <f>VLOOKUP(A67,'Swiss2 Registry'!$B$2:$C$703,2,False)</f>
        <v>#N/A</v>
      </c>
      <c r="C67" s="90" t="str">
        <f t="shared" si="4"/>
        <v/>
      </c>
      <c r="D67" s="91" t="str">
        <f t="shared" si="6"/>
        <v/>
      </c>
      <c r="E67" s="89" t="str">
        <f t="shared" si="5"/>
        <v/>
      </c>
      <c r="F67" s="94" t="str">
        <f>VLOOKUP(G67,'Swiss2 Registry'!$B$2:$C$703,2,False)</f>
        <v>#N/A</v>
      </c>
      <c r="G67" s="84"/>
      <c r="H67" s="83"/>
    </row>
    <row r="68">
      <c r="A68" s="84"/>
      <c r="B68" s="94" t="str">
        <f>VLOOKUP(A68,'Swiss2 Registry'!$B$2:$C$703,2,False)</f>
        <v>#N/A</v>
      </c>
      <c r="C68" s="90" t="str">
        <f t="shared" si="4"/>
        <v/>
      </c>
      <c r="D68" s="91" t="str">
        <f t="shared" si="6"/>
        <v/>
      </c>
      <c r="E68" s="89" t="str">
        <f t="shared" si="5"/>
        <v/>
      </c>
      <c r="F68" s="94" t="str">
        <f>VLOOKUP(G68,'Swiss2 Registry'!$B$2:$C$703,2,False)</f>
        <v>#N/A</v>
      </c>
      <c r="G68" s="84"/>
      <c r="H68" s="83"/>
    </row>
    <row r="69">
      <c r="A69" s="84"/>
      <c r="B69" s="94" t="str">
        <f>VLOOKUP(A69,'Swiss2 Registry'!$B$2:$C$703,2,False)</f>
        <v>#N/A</v>
      </c>
      <c r="C69" s="90" t="str">
        <f t="shared" si="4"/>
        <v/>
      </c>
      <c r="D69" s="91" t="str">
        <f t="shared" si="6"/>
        <v/>
      </c>
      <c r="E69" s="89" t="str">
        <f t="shared" si="5"/>
        <v/>
      </c>
      <c r="F69" s="94" t="str">
        <f>VLOOKUP(G69,'Swiss2 Registry'!$B$2:$C$703,2,False)</f>
        <v>#N/A</v>
      </c>
      <c r="G69" s="84"/>
      <c r="H69" s="83"/>
    </row>
    <row r="70">
      <c r="A70" s="84"/>
      <c r="B70" s="94" t="str">
        <f>VLOOKUP(A70,'Swiss2 Registry'!$B$2:$C$703,2,False)</f>
        <v>#N/A</v>
      </c>
      <c r="C70" s="90" t="str">
        <f t="shared" si="4"/>
        <v/>
      </c>
      <c r="D70" s="91" t="str">
        <f t="shared" si="6"/>
        <v/>
      </c>
      <c r="E70" s="89" t="str">
        <f t="shared" si="5"/>
        <v/>
      </c>
      <c r="F70" s="94" t="str">
        <f>VLOOKUP(G70,'Swiss2 Registry'!$B$2:$C$703,2,False)</f>
        <v>#N/A</v>
      </c>
      <c r="G70" s="84"/>
      <c r="H70" s="83"/>
    </row>
    <row r="71">
      <c r="A71" s="84"/>
      <c r="B71" s="94" t="str">
        <f>VLOOKUP(A71,'Swiss2 Registry'!$B$2:$C$703,2,False)</f>
        <v>#N/A</v>
      </c>
      <c r="C71" s="90" t="str">
        <f t="shared" si="4"/>
        <v/>
      </c>
      <c r="D71" s="91" t="str">
        <f t="shared" si="6"/>
        <v/>
      </c>
      <c r="E71" s="89" t="str">
        <f t="shared" si="5"/>
        <v/>
      </c>
      <c r="F71" s="94" t="str">
        <f>VLOOKUP(G71,'Swiss2 Registry'!$B$2:$C$703,2,False)</f>
        <v>#N/A</v>
      </c>
      <c r="G71" s="84"/>
      <c r="H71" s="83"/>
    </row>
    <row r="72">
      <c r="A72" s="84"/>
      <c r="B72" s="94" t="str">
        <f>VLOOKUP(A72,'Swiss2 Registry'!$B$2:$C$703,2,False)</f>
        <v>#N/A</v>
      </c>
      <c r="C72" s="90" t="str">
        <f t="shared" si="4"/>
        <v/>
      </c>
      <c r="D72" s="91" t="str">
        <f t="shared" si="6"/>
        <v/>
      </c>
      <c r="E72" s="89" t="str">
        <f t="shared" si="5"/>
        <v/>
      </c>
      <c r="F72" s="94" t="str">
        <f>VLOOKUP(G72,'Swiss2 Registry'!$B$2:$C$703,2,False)</f>
        <v>#N/A</v>
      </c>
      <c r="G72" s="84"/>
      <c r="H72" s="83"/>
    </row>
    <row r="73">
      <c r="A73" s="84"/>
      <c r="B73" s="94" t="str">
        <f>VLOOKUP(A73,'Swiss2 Registry'!$B$2:$C$703,2,False)</f>
        <v>#N/A</v>
      </c>
      <c r="C73" s="90" t="str">
        <f t="shared" si="4"/>
        <v/>
      </c>
      <c r="D73" s="91" t="str">
        <f t="shared" si="6"/>
        <v/>
      </c>
      <c r="E73" s="89" t="str">
        <f t="shared" si="5"/>
        <v/>
      </c>
      <c r="F73" s="94" t="str">
        <f>VLOOKUP(G73,'Swiss2 Registry'!$B$2:$C$703,2,False)</f>
        <v>#N/A</v>
      </c>
      <c r="G73" s="84"/>
      <c r="H73" s="83"/>
    </row>
    <row r="74">
      <c r="A74" s="84"/>
      <c r="B74" s="94" t="str">
        <f>VLOOKUP(A74,'Swiss2 Registry'!$B$2:$C$703,2,False)</f>
        <v>#N/A</v>
      </c>
      <c r="C74" s="90" t="str">
        <f t="shared" si="4"/>
        <v/>
      </c>
      <c r="D74" s="91" t="str">
        <f t="shared" si="6"/>
        <v/>
      </c>
      <c r="E74" s="89" t="str">
        <f t="shared" si="5"/>
        <v/>
      </c>
      <c r="F74" s="94" t="str">
        <f>VLOOKUP(G74,'Swiss2 Registry'!$B$2:$C$703,2,False)</f>
        <v>#N/A</v>
      </c>
      <c r="G74" s="84"/>
      <c r="H74" s="83"/>
    </row>
    <row r="75">
      <c r="A75" s="84"/>
      <c r="B75" s="94" t="str">
        <f>VLOOKUP(A75,'Swiss2 Registry'!$B$2:$C$703,2,False)</f>
        <v>#N/A</v>
      </c>
      <c r="C75" s="90" t="str">
        <f t="shared" si="4"/>
        <v/>
      </c>
      <c r="D75" s="91" t="str">
        <f t="shared" si="6"/>
        <v/>
      </c>
      <c r="E75" s="89" t="str">
        <f t="shared" si="5"/>
        <v/>
      </c>
      <c r="F75" s="94" t="str">
        <f>VLOOKUP(G75,'Swiss2 Registry'!$B$2:$C$703,2,False)</f>
        <v>#N/A</v>
      </c>
      <c r="G75" s="84"/>
      <c r="H75" s="83"/>
    </row>
    <row r="76">
      <c r="A76" s="84"/>
      <c r="B76" s="94" t="str">
        <f>VLOOKUP(A76,'Swiss2 Registry'!$B$2:$C$703,2,False)</f>
        <v>#N/A</v>
      </c>
      <c r="C76" s="90" t="str">
        <f t="shared" si="4"/>
        <v/>
      </c>
      <c r="D76" s="91" t="str">
        <f t="shared" si="6"/>
        <v/>
      </c>
      <c r="E76" s="89" t="str">
        <f t="shared" si="5"/>
        <v/>
      </c>
      <c r="F76" s="94" t="str">
        <f>VLOOKUP(G76,'Swiss2 Registry'!$B$2:$C$703,2,False)</f>
        <v>#N/A</v>
      </c>
      <c r="G76" s="84"/>
      <c r="H76" s="83"/>
    </row>
    <row r="77">
      <c r="A77" s="84"/>
      <c r="B77" s="94" t="str">
        <f>VLOOKUP(A77,'Swiss2 Registry'!$B$2:$C$703,2,False)</f>
        <v>#N/A</v>
      </c>
      <c r="C77" s="90" t="str">
        <f t="shared" si="4"/>
        <v/>
      </c>
      <c r="D77" s="91" t="str">
        <f t="shared" si="6"/>
        <v/>
      </c>
      <c r="E77" s="89" t="str">
        <f t="shared" si="5"/>
        <v/>
      </c>
      <c r="F77" s="94" t="str">
        <f>VLOOKUP(G77,'Swiss2 Registry'!$B$2:$C$703,2,False)</f>
        <v>#N/A</v>
      </c>
      <c r="G77" s="84"/>
      <c r="H77" s="83"/>
    </row>
    <row r="78">
      <c r="A78" s="84"/>
      <c r="B78" s="94" t="str">
        <f>VLOOKUP(A78,'Swiss2 Registry'!$B$2:$C$703,2,False)</f>
        <v>#N/A</v>
      </c>
      <c r="C78" s="90" t="str">
        <f t="shared" si="4"/>
        <v/>
      </c>
      <c r="D78" s="91" t="str">
        <f t="shared" si="6"/>
        <v/>
      </c>
      <c r="E78" s="89" t="str">
        <f t="shared" si="5"/>
        <v/>
      </c>
      <c r="F78" s="94" t="str">
        <f>VLOOKUP(G78,'Swiss2 Registry'!$B$2:$C$703,2,False)</f>
        <v>#N/A</v>
      </c>
      <c r="G78" s="84"/>
      <c r="H78" s="83"/>
    </row>
    <row r="79">
      <c r="A79" s="84"/>
      <c r="B79" s="94" t="str">
        <f>VLOOKUP(A79,'Swiss2 Registry'!$B$2:$C$703,2,False)</f>
        <v>#N/A</v>
      </c>
      <c r="C79" s="90" t="str">
        <f t="shared" si="4"/>
        <v/>
      </c>
      <c r="D79" s="91" t="str">
        <f t="shared" si="6"/>
        <v/>
      </c>
      <c r="E79" s="89" t="str">
        <f t="shared" si="5"/>
        <v/>
      </c>
      <c r="F79" s="94" t="str">
        <f>VLOOKUP(G79,'Swiss2 Registry'!$B$2:$C$703,2,False)</f>
        <v>#N/A</v>
      </c>
      <c r="G79" s="84"/>
      <c r="H79" s="83"/>
    </row>
    <row r="80">
      <c r="A80" s="84"/>
      <c r="B80" s="94" t="str">
        <f>VLOOKUP(A80,'Swiss2 Registry'!$B$2:$C$703,2,False)</f>
        <v>#N/A</v>
      </c>
      <c r="C80" s="90" t="str">
        <f t="shared" si="4"/>
        <v/>
      </c>
      <c r="D80" s="91" t="str">
        <f t="shared" si="6"/>
        <v/>
      </c>
      <c r="E80" s="89" t="str">
        <f t="shared" si="5"/>
        <v/>
      </c>
      <c r="F80" s="94" t="str">
        <f>VLOOKUP(G80,'Swiss2 Registry'!$B$2:$C$703,2,False)</f>
        <v>#N/A</v>
      </c>
      <c r="G80" s="84"/>
      <c r="H80" s="83"/>
    </row>
    <row r="81">
      <c r="A81" s="84"/>
      <c r="B81" s="94" t="str">
        <f>VLOOKUP(A81,'Swiss2 Registry'!$B$2:$C$703,2,False)</f>
        <v>#N/A</v>
      </c>
      <c r="C81" s="90" t="str">
        <f t="shared" si="4"/>
        <v/>
      </c>
      <c r="D81" s="91" t="str">
        <f t="shared" si="6"/>
        <v/>
      </c>
      <c r="E81" s="89" t="str">
        <f t="shared" si="5"/>
        <v/>
      </c>
      <c r="F81" s="94" t="str">
        <f>VLOOKUP(G81,'Swiss2 Registry'!$B$2:$C$703,2,False)</f>
        <v>#N/A</v>
      </c>
      <c r="G81" s="84"/>
      <c r="H81" s="83"/>
    </row>
    <row r="82" ht="15.0" customHeight="1">
      <c r="A82" s="80"/>
      <c r="B82" s="178"/>
      <c r="C82" s="81"/>
      <c r="D82" s="82" t="s">
        <v>7432</v>
      </c>
      <c r="E82" s="81"/>
      <c r="F82" s="178"/>
      <c r="G82" s="80"/>
      <c r="H82" s="83"/>
    </row>
    <row r="83">
      <c r="A83" s="84"/>
      <c r="B83" s="94" t="str">
        <f>VLOOKUP(A83,'Swiss2 Registry'!$B$2:$C$703,2,False)</f>
        <v>#N/A</v>
      </c>
      <c r="C83" s="90" t="str">
        <f t="shared" ref="C83:C121" si="7">IF(H83="dead","",IF(H83="a:act","",IF(H83="b:act","",IF(ISURL(HYPERLINK(INDIRECT("Importer!B"&amp;MID(H83,2,4)+1,TRUE))),HYPERLINK(INDIRECT("Importer!B"&amp;MID(H83,2,4)+1,TRUE), "Game 1"),""))))</f>
        <v/>
      </c>
      <c r="D83" s="91" t="str">
        <f>IF(H83="dead","Dead Game",IF(H83="a:act","Act: "&amp;F83,IF(H83="b:act","Act: "&amp;#REF!,IF(ISURL(HYPERLINK(INDIRECT("Importer!B"&amp;MID(H83,6,4)+1,TRUE))),HYPERLINK(INDIRECT("Importer!B"&amp;MID(H83,6,4)+1,TRUE), "Game 2"),""))))</f>
        <v/>
      </c>
      <c r="E83" s="89" t="str">
        <f t="shared" ref="E83:E121" si="8">IF(H83="dead","",IF(H83="a:act","",IF(H83="b:act","",IF(ISURL(HYPERLINK(INDIRECT("Importer!B"&amp;MID(H83,10,4)+1,TRUE))),HYPERLINK(INDIRECT("Importer!B"&amp;MID(H83,10,4)+1,TRUE), "Game 3"),""))))</f>
        <v/>
      </c>
      <c r="F83" s="94" t="str">
        <f>VLOOKUP(G83,'Swiss2 Registry'!$B$2:$C$703,2,False)</f>
        <v>#N/A</v>
      </c>
      <c r="G83" s="84"/>
      <c r="H83" s="83"/>
    </row>
    <row r="84">
      <c r="A84" s="84"/>
      <c r="B84" s="94" t="str">
        <f>VLOOKUP(A84,'Swiss2 Registry'!$B$2:$C$703,2,False)</f>
        <v>#N/A</v>
      </c>
      <c r="C84" s="90" t="str">
        <f t="shared" si="7"/>
        <v/>
      </c>
      <c r="D84" s="91" t="str">
        <f t="shared" ref="D84:D121" si="9">IF(H84="dead","Dead Game",IF(H84="a:act","Act: "&amp;B84,IF(H84="b:act","Act: "&amp;F84,IF(ISURL(HYPERLINK(INDIRECT("Importer!B"&amp;MID(H84,6,4)+1,TRUE))),HYPERLINK(INDIRECT("Importer!B"&amp;MID(H84,6,4)+1,TRUE), "Game 2"),""))))</f>
        <v/>
      </c>
      <c r="E84" s="89" t="str">
        <f t="shared" si="8"/>
        <v/>
      </c>
      <c r="F84" s="94" t="str">
        <f>VLOOKUP(G84,'Swiss2 Registry'!$B$2:$C$703,2,False)</f>
        <v>#N/A</v>
      </c>
      <c r="G84" s="84"/>
      <c r="H84" s="83"/>
    </row>
    <row r="85">
      <c r="A85" s="84"/>
      <c r="B85" s="94" t="str">
        <f>VLOOKUP(A85,'Swiss2 Registry'!$B$2:$C$703,2,False)</f>
        <v>#N/A</v>
      </c>
      <c r="C85" s="90" t="str">
        <f t="shared" si="7"/>
        <v/>
      </c>
      <c r="D85" s="91" t="str">
        <f t="shared" si="9"/>
        <v/>
      </c>
      <c r="E85" s="89" t="str">
        <f t="shared" si="8"/>
        <v/>
      </c>
      <c r="F85" s="94" t="str">
        <f>VLOOKUP(G85,'Swiss2 Registry'!$B$2:$C$703,2,False)</f>
        <v>#N/A</v>
      </c>
      <c r="G85" s="84"/>
      <c r="H85" s="83"/>
    </row>
    <row r="86">
      <c r="A86" s="84"/>
      <c r="B86" s="94" t="str">
        <f>VLOOKUP(A86,'Swiss2 Registry'!$B$2:$C$703,2,False)</f>
        <v>#N/A</v>
      </c>
      <c r="C86" s="90" t="str">
        <f t="shared" si="7"/>
        <v/>
      </c>
      <c r="D86" s="91" t="str">
        <f t="shared" si="9"/>
        <v/>
      </c>
      <c r="E86" s="89" t="str">
        <f t="shared" si="8"/>
        <v/>
      </c>
      <c r="F86" s="94" t="str">
        <f>VLOOKUP(G86,'Swiss2 Registry'!$B$2:$C$703,2,False)</f>
        <v>#N/A</v>
      </c>
      <c r="G86" s="84"/>
      <c r="H86" s="83"/>
    </row>
    <row r="87">
      <c r="A87" s="84"/>
      <c r="B87" s="94" t="str">
        <f>VLOOKUP(A87,'Swiss2 Registry'!$B$2:$C$703,2,False)</f>
        <v>#N/A</v>
      </c>
      <c r="C87" s="90" t="str">
        <f t="shared" si="7"/>
        <v/>
      </c>
      <c r="D87" s="91" t="str">
        <f t="shared" si="9"/>
        <v/>
      </c>
      <c r="E87" s="89" t="str">
        <f t="shared" si="8"/>
        <v/>
      </c>
      <c r="F87" s="94" t="str">
        <f>VLOOKUP(G87,'Swiss2 Registry'!$B$2:$C$703,2,False)</f>
        <v>#N/A</v>
      </c>
      <c r="G87" s="84"/>
      <c r="H87" s="83"/>
    </row>
    <row r="88">
      <c r="A88" s="84"/>
      <c r="B88" s="94" t="str">
        <f>VLOOKUP(A88,'Swiss2 Registry'!$B$2:$C$703,2,False)</f>
        <v>#N/A</v>
      </c>
      <c r="C88" s="90" t="str">
        <f t="shared" si="7"/>
        <v/>
      </c>
      <c r="D88" s="91" t="str">
        <f t="shared" si="9"/>
        <v/>
      </c>
      <c r="E88" s="89" t="str">
        <f t="shared" si="8"/>
        <v/>
      </c>
      <c r="F88" s="94" t="str">
        <f>VLOOKUP(G88,'Swiss2 Registry'!$B$2:$C$703,2,False)</f>
        <v>#N/A</v>
      </c>
      <c r="G88" s="84"/>
      <c r="H88" s="83"/>
    </row>
    <row r="89">
      <c r="A89" s="84"/>
      <c r="B89" s="94" t="str">
        <f>VLOOKUP(A89,'Swiss2 Registry'!$B$2:$C$703,2,False)</f>
        <v>#N/A</v>
      </c>
      <c r="C89" s="90" t="str">
        <f t="shared" si="7"/>
        <v/>
      </c>
      <c r="D89" s="91" t="str">
        <f t="shared" si="9"/>
        <v/>
      </c>
      <c r="E89" s="89" t="str">
        <f t="shared" si="8"/>
        <v/>
      </c>
      <c r="F89" s="94" t="str">
        <f>VLOOKUP(G89,'Swiss2 Registry'!$B$2:$C$703,2,False)</f>
        <v>#N/A</v>
      </c>
      <c r="G89" s="84"/>
      <c r="H89" s="83"/>
    </row>
    <row r="90">
      <c r="A90" s="84"/>
      <c r="B90" s="94" t="str">
        <f>VLOOKUP(A90,'Swiss2 Registry'!$B$2:$C$703,2,False)</f>
        <v>#N/A</v>
      </c>
      <c r="C90" s="90" t="str">
        <f t="shared" si="7"/>
        <v/>
      </c>
      <c r="D90" s="91" t="str">
        <f t="shared" si="9"/>
        <v/>
      </c>
      <c r="E90" s="89" t="str">
        <f t="shared" si="8"/>
        <v/>
      </c>
      <c r="F90" s="94" t="str">
        <f>VLOOKUP(G90,'Swiss2 Registry'!$B$2:$C$703,2,False)</f>
        <v>#N/A</v>
      </c>
      <c r="G90" s="84"/>
      <c r="H90" s="83"/>
    </row>
    <row r="91">
      <c r="A91" s="84"/>
      <c r="B91" s="94" t="str">
        <f>VLOOKUP(A91,'Swiss2 Registry'!$B$2:$C$703,2,False)</f>
        <v>#N/A</v>
      </c>
      <c r="C91" s="90" t="str">
        <f t="shared" si="7"/>
        <v/>
      </c>
      <c r="D91" s="91" t="str">
        <f t="shared" si="9"/>
        <v/>
      </c>
      <c r="E91" s="89" t="str">
        <f t="shared" si="8"/>
        <v/>
      </c>
      <c r="F91" s="94" t="str">
        <f>VLOOKUP(G91,'Swiss2 Registry'!$B$2:$C$703,2,False)</f>
        <v>#N/A</v>
      </c>
      <c r="G91" s="84"/>
      <c r="H91" s="83"/>
    </row>
    <row r="92">
      <c r="A92" s="84"/>
      <c r="B92" s="94" t="str">
        <f>VLOOKUP(A92,'Swiss2 Registry'!$B$2:$C$703,2,False)</f>
        <v>#N/A</v>
      </c>
      <c r="C92" s="90" t="str">
        <f t="shared" si="7"/>
        <v/>
      </c>
      <c r="D92" s="91" t="str">
        <f t="shared" si="9"/>
        <v/>
      </c>
      <c r="E92" s="89" t="str">
        <f t="shared" si="8"/>
        <v/>
      </c>
      <c r="F92" s="94" t="str">
        <f>VLOOKUP(G92,'Swiss2 Registry'!$B$2:$C$703,2,False)</f>
        <v>#N/A</v>
      </c>
      <c r="G92" s="84"/>
      <c r="H92" s="83"/>
    </row>
    <row r="93">
      <c r="A93" s="84"/>
      <c r="B93" s="94" t="str">
        <f>VLOOKUP(A93,'Swiss2 Registry'!$B$2:$C$703,2,False)</f>
        <v>#N/A</v>
      </c>
      <c r="C93" s="90" t="str">
        <f t="shared" si="7"/>
        <v/>
      </c>
      <c r="D93" s="91" t="str">
        <f t="shared" si="9"/>
        <v/>
      </c>
      <c r="E93" s="89" t="str">
        <f t="shared" si="8"/>
        <v/>
      </c>
      <c r="F93" s="94" t="str">
        <f>VLOOKUP(G93,'Swiss2 Registry'!$B$2:$C$703,2,False)</f>
        <v>#N/A</v>
      </c>
      <c r="G93" s="84"/>
      <c r="H93" s="83"/>
    </row>
    <row r="94">
      <c r="A94" s="84"/>
      <c r="B94" s="94" t="str">
        <f>VLOOKUP(A94,'Swiss2 Registry'!$B$2:$C$703,2,False)</f>
        <v>#N/A</v>
      </c>
      <c r="C94" s="90" t="str">
        <f t="shared" si="7"/>
        <v/>
      </c>
      <c r="D94" s="91" t="str">
        <f t="shared" si="9"/>
        <v/>
      </c>
      <c r="E94" s="89" t="str">
        <f t="shared" si="8"/>
        <v/>
      </c>
      <c r="F94" s="94" t="str">
        <f>VLOOKUP(G94,'Swiss2 Registry'!$B$2:$C$703,2,False)</f>
        <v>#N/A</v>
      </c>
      <c r="G94" s="84"/>
      <c r="H94" s="83"/>
    </row>
    <row r="95">
      <c r="A95" s="84"/>
      <c r="B95" s="94" t="str">
        <f>VLOOKUP(A95,'Swiss2 Registry'!$B$2:$C$703,2,False)</f>
        <v>#N/A</v>
      </c>
      <c r="C95" s="90" t="str">
        <f t="shared" si="7"/>
        <v/>
      </c>
      <c r="D95" s="91" t="str">
        <f t="shared" si="9"/>
        <v/>
      </c>
      <c r="E95" s="89" t="str">
        <f t="shared" si="8"/>
        <v/>
      </c>
      <c r="F95" s="94" t="str">
        <f>VLOOKUP(G95,'Swiss2 Registry'!$B$2:$C$703,2,False)</f>
        <v>#N/A</v>
      </c>
      <c r="G95" s="84"/>
      <c r="H95" s="83"/>
    </row>
    <row r="96">
      <c r="A96" s="84"/>
      <c r="B96" s="94" t="str">
        <f>VLOOKUP(A96,'Swiss2 Registry'!$B$2:$C$703,2,False)</f>
        <v>#N/A</v>
      </c>
      <c r="C96" s="90" t="str">
        <f t="shared" si="7"/>
        <v/>
      </c>
      <c r="D96" s="91" t="str">
        <f t="shared" si="9"/>
        <v/>
      </c>
      <c r="E96" s="89" t="str">
        <f t="shared" si="8"/>
        <v/>
      </c>
      <c r="F96" s="94" t="str">
        <f>VLOOKUP(G96,'Swiss2 Registry'!$B$2:$C$703,2,False)</f>
        <v>#N/A</v>
      </c>
      <c r="G96" s="84"/>
      <c r="H96" s="83"/>
    </row>
    <row r="97">
      <c r="A97" s="84"/>
      <c r="B97" s="94" t="str">
        <f>VLOOKUP(A97,'Swiss2 Registry'!$B$2:$C$703,2,False)</f>
        <v>#N/A</v>
      </c>
      <c r="C97" s="90" t="str">
        <f t="shared" si="7"/>
        <v/>
      </c>
      <c r="D97" s="91" t="str">
        <f t="shared" si="9"/>
        <v/>
      </c>
      <c r="E97" s="89" t="str">
        <f t="shared" si="8"/>
        <v/>
      </c>
      <c r="F97" s="94" t="str">
        <f>VLOOKUP(G97,'Swiss2 Registry'!$B$2:$C$703,2,False)</f>
        <v>#N/A</v>
      </c>
      <c r="G97" s="84"/>
      <c r="H97" s="83"/>
    </row>
    <row r="98">
      <c r="A98" s="84"/>
      <c r="B98" s="94" t="str">
        <f>VLOOKUP(A98,'Swiss2 Registry'!$B$2:$C$703,2,False)</f>
        <v>#N/A</v>
      </c>
      <c r="C98" s="90" t="str">
        <f t="shared" si="7"/>
        <v/>
      </c>
      <c r="D98" s="91" t="str">
        <f t="shared" si="9"/>
        <v/>
      </c>
      <c r="E98" s="89" t="str">
        <f t="shared" si="8"/>
        <v/>
      </c>
      <c r="F98" s="94" t="str">
        <f>VLOOKUP(G98,'Swiss2 Registry'!$B$2:$C$703,2,False)</f>
        <v>#N/A</v>
      </c>
      <c r="G98" s="84"/>
      <c r="H98" s="83"/>
    </row>
    <row r="99">
      <c r="A99" s="84"/>
      <c r="B99" s="94" t="str">
        <f>VLOOKUP(A99,'Swiss2 Registry'!$B$2:$C$703,2,False)</f>
        <v>#N/A</v>
      </c>
      <c r="C99" s="90" t="str">
        <f t="shared" si="7"/>
        <v/>
      </c>
      <c r="D99" s="91" t="str">
        <f t="shared" si="9"/>
        <v/>
      </c>
      <c r="E99" s="89" t="str">
        <f t="shared" si="8"/>
        <v/>
      </c>
      <c r="F99" s="94" t="str">
        <f>VLOOKUP(G99,'Swiss2 Registry'!$B$2:$C$703,2,False)</f>
        <v>#N/A</v>
      </c>
      <c r="G99" s="84"/>
      <c r="H99" s="83"/>
    </row>
    <row r="100">
      <c r="A100" s="84"/>
      <c r="B100" s="94" t="str">
        <f>VLOOKUP(A100,'Swiss2 Registry'!$B$2:$C$703,2,False)</f>
        <v>#N/A</v>
      </c>
      <c r="C100" s="90" t="str">
        <f t="shared" si="7"/>
        <v/>
      </c>
      <c r="D100" s="91" t="str">
        <f t="shared" si="9"/>
        <v/>
      </c>
      <c r="E100" s="89" t="str">
        <f t="shared" si="8"/>
        <v/>
      </c>
      <c r="F100" s="94" t="str">
        <f>VLOOKUP(G100,'Swiss2 Registry'!$B$2:$C$703,2,False)</f>
        <v>#N/A</v>
      </c>
      <c r="G100" s="84"/>
      <c r="H100" s="83"/>
    </row>
    <row r="101">
      <c r="A101" s="84"/>
      <c r="B101" s="94" t="str">
        <f>VLOOKUP(A101,'Swiss2 Registry'!$B$2:$C$703,2,False)</f>
        <v>#N/A</v>
      </c>
      <c r="C101" s="90" t="str">
        <f t="shared" si="7"/>
        <v/>
      </c>
      <c r="D101" s="91" t="str">
        <f t="shared" si="9"/>
        <v/>
      </c>
      <c r="E101" s="89" t="str">
        <f t="shared" si="8"/>
        <v/>
      </c>
      <c r="F101" s="94" t="str">
        <f>VLOOKUP(G101,'Swiss2 Registry'!$B$2:$C$703,2,False)</f>
        <v>#N/A</v>
      </c>
      <c r="G101" s="84"/>
      <c r="H101" s="83"/>
    </row>
    <row r="102">
      <c r="A102" s="84"/>
      <c r="B102" s="94" t="str">
        <f>VLOOKUP(A102,'Swiss2 Registry'!$B$2:$C$703,2,False)</f>
        <v>#N/A</v>
      </c>
      <c r="C102" s="90" t="str">
        <f t="shared" si="7"/>
        <v/>
      </c>
      <c r="D102" s="91" t="str">
        <f t="shared" si="9"/>
        <v/>
      </c>
      <c r="E102" s="89" t="str">
        <f t="shared" si="8"/>
        <v/>
      </c>
      <c r="F102" s="94" t="str">
        <f>VLOOKUP(G102,'Swiss2 Registry'!$B$2:$C$703,2,False)</f>
        <v>#N/A</v>
      </c>
      <c r="G102" s="84"/>
      <c r="H102" s="83"/>
    </row>
    <row r="103">
      <c r="A103" s="84"/>
      <c r="B103" s="94" t="str">
        <f>VLOOKUP(A103,'Swiss2 Registry'!$B$2:$C$703,2,False)</f>
        <v>#N/A</v>
      </c>
      <c r="C103" s="90" t="str">
        <f t="shared" si="7"/>
        <v/>
      </c>
      <c r="D103" s="91" t="str">
        <f t="shared" si="9"/>
        <v/>
      </c>
      <c r="E103" s="89" t="str">
        <f t="shared" si="8"/>
        <v/>
      </c>
      <c r="F103" s="94" t="str">
        <f>VLOOKUP(G103,'Swiss2 Registry'!$B$2:$C$703,2,False)</f>
        <v>#N/A</v>
      </c>
      <c r="G103" s="84"/>
      <c r="H103" s="83"/>
    </row>
    <row r="104">
      <c r="A104" s="84"/>
      <c r="B104" s="94" t="str">
        <f>VLOOKUP(A104,'Swiss2 Registry'!$B$2:$C$703,2,False)</f>
        <v>#N/A</v>
      </c>
      <c r="C104" s="90" t="str">
        <f t="shared" si="7"/>
        <v/>
      </c>
      <c r="D104" s="91" t="str">
        <f t="shared" si="9"/>
        <v/>
      </c>
      <c r="E104" s="89" t="str">
        <f t="shared" si="8"/>
        <v/>
      </c>
      <c r="F104" s="94" t="str">
        <f>VLOOKUP(G104,'Swiss2 Registry'!$B$2:$C$703,2,False)</f>
        <v>#N/A</v>
      </c>
      <c r="G104" s="84"/>
      <c r="H104" s="83"/>
    </row>
    <row r="105">
      <c r="A105" s="84"/>
      <c r="B105" s="94" t="str">
        <f>VLOOKUP(A105,'Swiss2 Registry'!$B$2:$C$703,2,False)</f>
        <v>#N/A</v>
      </c>
      <c r="C105" s="90" t="str">
        <f t="shared" si="7"/>
        <v/>
      </c>
      <c r="D105" s="91" t="str">
        <f t="shared" si="9"/>
        <v/>
      </c>
      <c r="E105" s="89" t="str">
        <f t="shared" si="8"/>
        <v/>
      </c>
      <c r="F105" s="94" t="str">
        <f>VLOOKUP(G105,'Swiss2 Registry'!$B$2:$C$703,2,False)</f>
        <v>#N/A</v>
      </c>
      <c r="G105" s="84"/>
      <c r="H105" s="83"/>
    </row>
    <row r="106">
      <c r="A106" s="84"/>
      <c r="B106" s="94" t="str">
        <f>VLOOKUP(A106,'Swiss2 Registry'!$B$2:$C$703,2,False)</f>
        <v>#N/A</v>
      </c>
      <c r="C106" s="90" t="str">
        <f t="shared" si="7"/>
        <v/>
      </c>
      <c r="D106" s="91" t="str">
        <f t="shared" si="9"/>
        <v/>
      </c>
      <c r="E106" s="89" t="str">
        <f t="shared" si="8"/>
        <v/>
      </c>
      <c r="F106" s="94" t="str">
        <f>VLOOKUP(G106,'Swiss2 Registry'!$B$2:$C$703,2,False)</f>
        <v>#N/A</v>
      </c>
      <c r="G106" s="84"/>
      <c r="H106" s="83"/>
    </row>
    <row r="107">
      <c r="A107" s="84"/>
      <c r="B107" s="94" t="str">
        <f>VLOOKUP(A107,'Swiss2 Registry'!$B$2:$C$703,2,False)</f>
        <v>#N/A</v>
      </c>
      <c r="C107" s="90" t="str">
        <f t="shared" si="7"/>
        <v/>
      </c>
      <c r="D107" s="91" t="str">
        <f t="shared" si="9"/>
        <v/>
      </c>
      <c r="E107" s="89" t="str">
        <f t="shared" si="8"/>
        <v/>
      </c>
      <c r="F107" s="94" t="str">
        <f>VLOOKUP(G107,'Swiss2 Registry'!$B$2:$C$703,2,False)</f>
        <v>#N/A</v>
      </c>
      <c r="G107" s="84"/>
      <c r="H107" s="83"/>
    </row>
    <row r="108">
      <c r="A108" s="84"/>
      <c r="B108" s="94" t="str">
        <f>VLOOKUP(A108,'Swiss2 Registry'!$B$2:$C$703,2,False)</f>
        <v>#N/A</v>
      </c>
      <c r="C108" s="90" t="str">
        <f t="shared" si="7"/>
        <v/>
      </c>
      <c r="D108" s="91" t="str">
        <f t="shared" si="9"/>
        <v/>
      </c>
      <c r="E108" s="89" t="str">
        <f t="shared" si="8"/>
        <v/>
      </c>
      <c r="F108" s="94" t="str">
        <f>VLOOKUP(G108,'Swiss2 Registry'!$B$2:$C$703,2,False)</f>
        <v>#N/A</v>
      </c>
      <c r="G108" s="84"/>
      <c r="H108" s="83"/>
    </row>
    <row r="109">
      <c r="A109" s="84"/>
      <c r="B109" s="94" t="str">
        <f>VLOOKUP(A109,'Swiss2 Registry'!$B$2:$C$703,2,False)</f>
        <v>#N/A</v>
      </c>
      <c r="C109" s="90" t="str">
        <f t="shared" si="7"/>
        <v/>
      </c>
      <c r="D109" s="91" t="str">
        <f t="shared" si="9"/>
        <v/>
      </c>
      <c r="E109" s="89" t="str">
        <f t="shared" si="8"/>
        <v/>
      </c>
      <c r="F109" s="94" t="str">
        <f>VLOOKUP(G109,'Swiss2 Registry'!$B$2:$C$703,2,False)</f>
        <v>#N/A</v>
      </c>
      <c r="G109" s="84"/>
      <c r="H109" s="83"/>
    </row>
    <row r="110">
      <c r="A110" s="84"/>
      <c r="B110" s="94" t="str">
        <f>VLOOKUP(A110,'Swiss2 Registry'!$B$2:$C$703,2,False)</f>
        <v>#N/A</v>
      </c>
      <c r="C110" s="90" t="str">
        <f t="shared" si="7"/>
        <v/>
      </c>
      <c r="D110" s="91" t="str">
        <f t="shared" si="9"/>
        <v/>
      </c>
      <c r="E110" s="89" t="str">
        <f t="shared" si="8"/>
        <v/>
      </c>
      <c r="F110" s="94" t="str">
        <f>VLOOKUP(G110,'Swiss2 Registry'!$B$2:$C$703,2,False)</f>
        <v>#N/A</v>
      </c>
      <c r="G110" s="84"/>
      <c r="H110" s="83"/>
    </row>
    <row r="111">
      <c r="A111" s="84"/>
      <c r="B111" s="94" t="str">
        <f>VLOOKUP(A111,'Swiss2 Registry'!$B$2:$C$703,2,False)</f>
        <v>#N/A</v>
      </c>
      <c r="C111" s="90" t="str">
        <f t="shared" si="7"/>
        <v/>
      </c>
      <c r="D111" s="91" t="str">
        <f t="shared" si="9"/>
        <v/>
      </c>
      <c r="E111" s="89" t="str">
        <f t="shared" si="8"/>
        <v/>
      </c>
      <c r="F111" s="94" t="str">
        <f>VLOOKUP(G111,'Swiss2 Registry'!$B$2:$C$703,2,False)</f>
        <v>#N/A</v>
      </c>
      <c r="G111" s="84"/>
      <c r="H111" s="83"/>
    </row>
    <row r="112">
      <c r="A112" s="84"/>
      <c r="B112" s="94" t="str">
        <f>VLOOKUP(A112,'Swiss2 Registry'!$B$2:$C$703,2,False)</f>
        <v>#N/A</v>
      </c>
      <c r="C112" s="90" t="str">
        <f t="shared" si="7"/>
        <v/>
      </c>
      <c r="D112" s="91" t="str">
        <f t="shared" si="9"/>
        <v/>
      </c>
      <c r="E112" s="89" t="str">
        <f t="shared" si="8"/>
        <v/>
      </c>
      <c r="F112" s="94" t="str">
        <f>VLOOKUP(G112,'Swiss2 Registry'!$B$2:$C$703,2,False)</f>
        <v>#N/A</v>
      </c>
      <c r="G112" s="84"/>
      <c r="H112" s="83"/>
    </row>
    <row r="113">
      <c r="A113" s="84"/>
      <c r="B113" s="94" t="str">
        <f>VLOOKUP(A113,'Swiss2 Registry'!$B$2:$C$703,2,False)</f>
        <v>#N/A</v>
      </c>
      <c r="C113" s="90" t="str">
        <f t="shared" si="7"/>
        <v/>
      </c>
      <c r="D113" s="91" t="str">
        <f t="shared" si="9"/>
        <v/>
      </c>
      <c r="E113" s="89" t="str">
        <f t="shared" si="8"/>
        <v/>
      </c>
      <c r="F113" s="94" t="str">
        <f>VLOOKUP(G113,'Swiss2 Registry'!$B$2:$C$703,2,False)</f>
        <v>#N/A</v>
      </c>
      <c r="G113" s="84"/>
      <c r="H113" s="83"/>
    </row>
    <row r="114">
      <c r="A114" s="84"/>
      <c r="B114" s="94" t="str">
        <f>VLOOKUP(A114,'Swiss2 Registry'!$B$2:$C$703,2,False)</f>
        <v>#N/A</v>
      </c>
      <c r="C114" s="90" t="str">
        <f t="shared" si="7"/>
        <v/>
      </c>
      <c r="D114" s="91" t="str">
        <f t="shared" si="9"/>
        <v/>
      </c>
      <c r="E114" s="89" t="str">
        <f t="shared" si="8"/>
        <v/>
      </c>
      <c r="F114" s="94" t="str">
        <f>VLOOKUP(G114,'Swiss2 Registry'!$B$2:$C$703,2,False)</f>
        <v>#N/A</v>
      </c>
      <c r="G114" s="84"/>
      <c r="H114" s="83"/>
    </row>
    <row r="115">
      <c r="A115" s="84"/>
      <c r="B115" s="94" t="str">
        <f>VLOOKUP(A115,'Swiss2 Registry'!$B$2:$C$703,2,False)</f>
        <v>#N/A</v>
      </c>
      <c r="C115" s="90" t="str">
        <f t="shared" si="7"/>
        <v/>
      </c>
      <c r="D115" s="91" t="str">
        <f t="shared" si="9"/>
        <v/>
      </c>
      <c r="E115" s="89" t="str">
        <f t="shared" si="8"/>
        <v/>
      </c>
      <c r="F115" s="94" t="str">
        <f>VLOOKUP(G115,'Swiss2 Registry'!$B$2:$C$703,2,False)</f>
        <v>#N/A</v>
      </c>
      <c r="G115" s="84"/>
      <c r="H115" s="83"/>
    </row>
    <row r="116">
      <c r="A116" s="84"/>
      <c r="B116" s="94" t="str">
        <f>VLOOKUP(A116,'Swiss2 Registry'!$B$2:$C$703,2,False)</f>
        <v>#N/A</v>
      </c>
      <c r="C116" s="90" t="str">
        <f t="shared" si="7"/>
        <v/>
      </c>
      <c r="D116" s="91" t="str">
        <f t="shared" si="9"/>
        <v/>
      </c>
      <c r="E116" s="89" t="str">
        <f t="shared" si="8"/>
        <v/>
      </c>
      <c r="F116" s="94" t="str">
        <f>VLOOKUP(G116,'Swiss2 Registry'!$B$2:$C$703,2,False)</f>
        <v>#N/A</v>
      </c>
      <c r="G116" s="84"/>
      <c r="H116" s="83"/>
    </row>
    <row r="117">
      <c r="A117" s="84"/>
      <c r="B117" s="94" t="str">
        <f>VLOOKUP(A117,'Swiss2 Registry'!$B$2:$C$703,2,False)</f>
        <v>#N/A</v>
      </c>
      <c r="C117" s="90" t="str">
        <f t="shared" si="7"/>
        <v/>
      </c>
      <c r="D117" s="91" t="str">
        <f t="shared" si="9"/>
        <v/>
      </c>
      <c r="E117" s="89" t="str">
        <f t="shared" si="8"/>
        <v/>
      </c>
      <c r="F117" s="94" t="str">
        <f>VLOOKUP(G117,'Swiss2 Registry'!$B$2:$C$703,2,False)</f>
        <v>#N/A</v>
      </c>
      <c r="G117" s="84"/>
      <c r="H117" s="83"/>
    </row>
    <row r="118">
      <c r="A118" s="84"/>
      <c r="B118" s="94" t="str">
        <f>VLOOKUP(A118,'Swiss2 Registry'!$B$2:$C$703,2,False)</f>
        <v>#N/A</v>
      </c>
      <c r="C118" s="90" t="str">
        <f t="shared" si="7"/>
        <v/>
      </c>
      <c r="D118" s="91" t="str">
        <f t="shared" si="9"/>
        <v/>
      </c>
      <c r="E118" s="89" t="str">
        <f t="shared" si="8"/>
        <v/>
      </c>
      <c r="F118" s="94" t="str">
        <f>VLOOKUP(G118,'Swiss2 Registry'!$B$2:$C$703,2,False)</f>
        <v>#N/A</v>
      </c>
      <c r="G118" s="84"/>
      <c r="H118" s="83"/>
    </row>
    <row r="119">
      <c r="A119" s="84"/>
      <c r="B119" s="94" t="str">
        <f>VLOOKUP(A119,'Swiss2 Registry'!$B$2:$C$703,2,False)</f>
        <v>#N/A</v>
      </c>
      <c r="C119" s="90" t="str">
        <f t="shared" si="7"/>
        <v/>
      </c>
      <c r="D119" s="91" t="str">
        <f t="shared" si="9"/>
        <v/>
      </c>
      <c r="E119" s="89" t="str">
        <f t="shared" si="8"/>
        <v/>
      </c>
      <c r="F119" s="94" t="str">
        <f>VLOOKUP(G119,'Swiss2 Registry'!$B$2:$C$703,2,False)</f>
        <v>#N/A</v>
      </c>
      <c r="G119" s="84"/>
      <c r="H119" s="83"/>
    </row>
    <row r="120">
      <c r="A120" s="84"/>
      <c r="B120" s="94" t="str">
        <f>VLOOKUP(A120,'Swiss2 Registry'!$B$2:$C$703,2,False)</f>
        <v>#N/A</v>
      </c>
      <c r="C120" s="90" t="str">
        <f t="shared" si="7"/>
        <v/>
      </c>
      <c r="D120" s="91" t="str">
        <f t="shared" si="9"/>
        <v/>
      </c>
      <c r="E120" s="89" t="str">
        <f t="shared" si="8"/>
        <v/>
      </c>
      <c r="F120" s="94" t="str">
        <f>VLOOKUP(G120,'Swiss2 Registry'!$B$2:$C$703,2,False)</f>
        <v>#N/A</v>
      </c>
      <c r="G120" s="84"/>
      <c r="H120" s="83"/>
    </row>
    <row r="121">
      <c r="A121" s="84"/>
      <c r="B121" s="94" t="str">
        <f>VLOOKUP(A121,'Swiss2 Registry'!$B$2:$C$703,2,False)</f>
        <v>#N/A</v>
      </c>
      <c r="C121" s="90" t="str">
        <f t="shared" si="7"/>
        <v/>
      </c>
      <c r="D121" s="91" t="str">
        <f t="shared" si="9"/>
        <v/>
      </c>
      <c r="E121" s="89" t="str">
        <f t="shared" si="8"/>
        <v/>
      </c>
      <c r="F121" s="94" t="str">
        <f>VLOOKUP(G121,'Swiss2 Registry'!$B$2:$C$703,2,False)</f>
        <v>#N/A</v>
      </c>
      <c r="G121" s="84"/>
      <c r="H121" s="83"/>
    </row>
    <row r="122" ht="15.0" customHeight="1">
      <c r="A122" s="80"/>
      <c r="B122" s="178"/>
      <c r="C122" s="81"/>
      <c r="D122" s="82" t="s">
        <v>7433</v>
      </c>
      <c r="E122" s="81"/>
      <c r="F122" s="178"/>
      <c r="G122" s="80"/>
      <c r="H122" s="83"/>
    </row>
    <row r="123">
      <c r="A123" s="84"/>
      <c r="B123" s="94" t="str">
        <f>VLOOKUP(A123,'Swiss2 Registry'!$B$2:$C$703,2,False)</f>
        <v>#N/A</v>
      </c>
      <c r="C123" s="90" t="str">
        <f t="shared" ref="C123:C161" si="10">IF(H123="dead","",IF(H123="a:act","",IF(H123="b:act","",IF(ISURL(HYPERLINK(INDIRECT("Importer!B"&amp;MID(H123,2,4)+1,TRUE))),HYPERLINK(INDIRECT("Importer!B"&amp;MID(H123,2,4)+1,TRUE), "Game 1"),""))))</f>
        <v/>
      </c>
      <c r="D123" s="91" t="str">
        <f>IF(H123="dead","Dead Game",IF(H123="a:act","Act: "&amp;F123,IF(H123="b:act","Act: "&amp;#REF!,IF(ISURL(HYPERLINK(INDIRECT("Importer!B"&amp;MID(H123,6,4)+1,TRUE))),HYPERLINK(INDIRECT("Importer!B"&amp;MID(H123,6,4)+1,TRUE), "Game 2"),""))))</f>
        <v/>
      </c>
      <c r="E123" s="89" t="str">
        <f t="shared" ref="E123:E161" si="11">IF(H123="dead","",IF(H123="a:act","",IF(H123="b:act","",IF(ISURL(HYPERLINK(INDIRECT("Importer!B"&amp;MID(H123,10,4)+1,TRUE))),HYPERLINK(INDIRECT("Importer!B"&amp;MID(H123,10,4)+1,TRUE), "Game 3"),""))))</f>
        <v/>
      </c>
      <c r="F123" s="94" t="str">
        <f>VLOOKUP(G123,'Swiss2 Registry'!$B$2:$C$703,2,False)</f>
        <v>#N/A</v>
      </c>
      <c r="G123" s="84"/>
      <c r="H123" s="83"/>
    </row>
    <row r="124">
      <c r="A124" s="84"/>
      <c r="B124" s="94" t="str">
        <f>VLOOKUP(A124,'Swiss2 Registry'!$B$2:$C$703,2,False)</f>
        <v>#N/A</v>
      </c>
      <c r="C124" s="90" t="str">
        <f t="shared" si="10"/>
        <v/>
      </c>
      <c r="D124" s="91" t="str">
        <f t="shared" ref="D124:D161" si="12">IF(H124="dead","Dead Game",IF(H124="a:act","Act: "&amp;B124,IF(H124="b:act","Act: "&amp;F124,IF(ISURL(HYPERLINK(INDIRECT("Importer!B"&amp;MID(H124,6,4)+1,TRUE))),HYPERLINK(INDIRECT("Importer!B"&amp;MID(H124,6,4)+1,TRUE), "Game 2"),""))))</f>
        <v/>
      </c>
      <c r="E124" s="89" t="str">
        <f t="shared" si="11"/>
        <v/>
      </c>
      <c r="F124" s="94" t="str">
        <f>VLOOKUP(G124,'Swiss2 Registry'!$B$2:$C$703,2,False)</f>
        <v>#N/A</v>
      </c>
      <c r="G124" s="84"/>
      <c r="H124" s="83"/>
    </row>
    <row r="125">
      <c r="A125" s="84"/>
      <c r="B125" s="94" t="str">
        <f>VLOOKUP(A125,'Swiss2 Registry'!$B$2:$C$703,2,False)</f>
        <v>#N/A</v>
      </c>
      <c r="C125" s="90" t="str">
        <f t="shared" si="10"/>
        <v/>
      </c>
      <c r="D125" s="91" t="str">
        <f t="shared" si="12"/>
        <v/>
      </c>
      <c r="E125" s="89" t="str">
        <f t="shared" si="11"/>
        <v/>
      </c>
      <c r="F125" s="94" t="str">
        <f>VLOOKUP(G125,'Swiss2 Registry'!$B$2:$C$703,2,False)</f>
        <v>#N/A</v>
      </c>
      <c r="G125" s="84"/>
      <c r="H125" s="83"/>
    </row>
    <row r="126">
      <c r="A126" s="84"/>
      <c r="B126" s="94" t="str">
        <f>VLOOKUP(A126,'Swiss2 Registry'!$B$2:$C$703,2,False)</f>
        <v>#N/A</v>
      </c>
      <c r="C126" s="90" t="str">
        <f t="shared" si="10"/>
        <v/>
      </c>
      <c r="D126" s="91" t="str">
        <f t="shared" si="12"/>
        <v/>
      </c>
      <c r="E126" s="89" t="str">
        <f t="shared" si="11"/>
        <v/>
      </c>
      <c r="F126" s="94" t="str">
        <f>VLOOKUP(G126,'Swiss2 Registry'!$B$2:$C$703,2,False)</f>
        <v>#N/A</v>
      </c>
      <c r="G126" s="84"/>
      <c r="H126" s="83"/>
    </row>
    <row r="127">
      <c r="A127" s="84"/>
      <c r="B127" s="94" t="str">
        <f>VLOOKUP(A127,'Swiss2 Registry'!$B$2:$C$703,2,False)</f>
        <v>#N/A</v>
      </c>
      <c r="C127" s="90" t="str">
        <f t="shared" si="10"/>
        <v/>
      </c>
      <c r="D127" s="91" t="str">
        <f t="shared" si="12"/>
        <v/>
      </c>
      <c r="E127" s="89" t="str">
        <f t="shared" si="11"/>
        <v/>
      </c>
      <c r="F127" s="94" t="str">
        <f>VLOOKUP(G127,'Swiss2 Registry'!$B$2:$C$703,2,False)</f>
        <v>#N/A</v>
      </c>
      <c r="G127" s="84"/>
      <c r="H127" s="83"/>
    </row>
    <row r="128">
      <c r="A128" s="84"/>
      <c r="B128" s="94" t="str">
        <f>VLOOKUP(A128,'Swiss2 Registry'!$B$2:$C$703,2,False)</f>
        <v>#N/A</v>
      </c>
      <c r="C128" s="90" t="str">
        <f t="shared" si="10"/>
        <v/>
      </c>
      <c r="D128" s="91" t="str">
        <f t="shared" si="12"/>
        <v/>
      </c>
      <c r="E128" s="89" t="str">
        <f t="shared" si="11"/>
        <v/>
      </c>
      <c r="F128" s="94" t="str">
        <f>VLOOKUP(G128,'Swiss2 Registry'!$B$2:$C$703,2,False)</f>
        <v>#N/A</v>
      </c>
      <c r="G128" s="84"/>
      <c r="H128" s="83"/>
    </row>
    <row r="129">
      <c r="A129" s="84"/>
      <c r="B129" s="94" t="str">
        <f>VLOOKUP(A129,'Swiss2 Registry'!$B$2:$C$703,2,False)</f>
        <v>#N/A</v>
      </c>
      <c r="C129" s="90" t="str">
        <f t="shared" si="10"/>
        <v/>
      </c>
      <c r="D129" s="91" t="str">
        <f t="shared" si="12"/>
        <v/>
      </c>
      <c r="E129" s="89" t="str">
        <f t="shared" si="11"/>
        <v/>
      </c>
      <c r="F129" s="94" t="str">
        <f>VLOOKUP(G129,'Swiss2 Registry'!$B$2:$C$703,2,False)</f>
        <v>#N/A</v>
      </c>
      <c r="G129" s="84"/>
      <c r="H129" s="83"/>
    </row>
    <row r="130">
      <c r="A130" s="84"/>
      <c r="B130" s="94" t="str">
        <f>VLOOKUP(A130,'Swiss2 Registry'!$B$2:$C$703,2,False)</f>
        <v>#N/A</v>
      </c>
      <c r="C130" s="90" t="str">
        <f t="shared" si="10"/>
        <v/>
      </c>
      <c r="D130" s="91" t="str">
        <f t="shared" si="12"/>
        <v/>
      </c>
      <c r="E130" s="89" t="str">
        <f t="shared" si="11"/>
        <v/>
      </c>
      <c r="F130" s="94" t="str">
        <f>VLOOKUP(G130,'Swiss2 Registry'!$B$2:$C$703,2,False)</f>
        <v>#N/A</v>
      </c>
      <c r="G130" s="84"/>
      <c r="H130" s="83"/>
    </row>
    <row r="131">
      <c r="A131" s="84"/>
      <c r="B131" s="94" t="str">
        <f>VLOOKUP(A131,'Swiss2 Registry'!$B$2:$C$703,2,False)</f>
        <v>#N/A</v>
      </c>
      <c r="C131" s="90" t="str">
        <f t="shared" si="10"/>
        <v/>
      </c>
      <c r="D131" s="91" t="str">
        <f t="shared" si="12"/>
        <v/>
      </c>
      <c r="E131" s="89" t="str">
        <f t="shared" si="11"/>
        <v/>
      </c>
      <c r="F131" s="94" t="str">
        <f>VLOOKUP(G131,'Swiss2 Registry'!$B$2:$C$703,2,False)</f>
        <v>#N/A</v>
      </c>
      <c r="G131" s="84"/>
      <c r="H131" s="83"/>
    </row>
    <row r="132">
      <c r="A132" s="84"/>
      <c r="B132" s="94" t="str">
        <f>VLOOKUP(A132,'Swiss2 Registry'!$B$2:$C$703,2,False)</f>
        <v>#N/A</v>
      </c>
      <c r="C132" s="90" t="str">
        <f t="shared" si="10"/>
        <v/>
      </c>
      <c r="D132" s="91" t="str">
        <f t="shared" si="12"/>
        <v/>
      </c>
      <c r="E132" s="89" t="str">
        <f t="shared" si="11"/>
        <v/>
      </c>
      <c r="F132" s="94" t="str">
        <f>VLOOKUP(G132,'Swiss2 Registry'!$B$2:$C$703,2,False)</f>
        <v>#N/A</v>
      </c>
      <c r="G132" s="84"/>
      <c r="H132" s="83"/>
    </row>
    <row r="133">
      <c r="A133" s="84"/>
      <c r="B133" s="94" t="str">
        <f>VLOOKUP(A133,'Swiss2 Registry'!$B$2:$C$703,2,False)</f>
        <v>#N/A</v>
      </c>
      <c r="C133" s="90" t="str">
        <f t="shared" si="10"/>
        <v/>
      </c>
      <c r="D133" s="91" t="str">
        <f t="shared" si="12"/>
        <v/>
      </c>
      <c r="E133" s="89" t="str">
        <f t="shared" si="11"/>
        <v/>
      </c>
      <c r="F133" s="94" t="str">
        <f>VLOOKUP(G133,'Swiss2 Registry'!$B$2:$C$703,2,False)</f>
        <v>#N/A</v>
      </c>
      <c r="G133" s="84"/>
      <c r="H133" s="83"/>
    </row>
    <row r="134">
      <c r="A134" s="84"/>
      <c r="B134" s="94" t="str">
        <f>VLOOKUP(A134,'Swiss2 Registry'!$B$2:$C$703,2,False)</f>
        <v>#N/A</v>
      </c>
      <c r="C134" s="90" t="str">
        <f t="shared" si="10"/>
        <v/>
      </c>
      <c r="D134" s="91" t="str">
        <f t="shared" si="12"/>
        <v/>
      </c>
      <c r="E134" s="89" t="str">
        <f t="shared" si="11"/>
        <v/>
      </c>
      <c r="F134" s="94" t="str">
        <f>VLOOKUP(G134,'Swiss2 Registry'!$B$2:$C$703,2,False)</f>
        <v>#N/A</v>
      </c>
      <c r="G134" s="84"/>
      <c r="H134" s="83"/>
    </row>
    <row r="135">
      <c r="A135" s="84"/>
      <c r="B135" s="94" t="str">
        <f>VLOOKUP(A135,'Swiss2 Registry'!$B$2:$C$703,2,False)</f>
        <v>#N/A</v>
      </c>
      <c r="C135" s="90" t="str">
        <f t="shared" si="10"/>
        <v/>
      </c>
      <c r="D135" s="91" t="str">
        <f t="shared" si="12"/>
        <v/>
      </c>
      <c r="E135" s="89" t="str">
        <f t="shared" si="11"/>
        <v/>
      </c>
      <c r="F135" s="94" t="str">
        <f>VLOOKUP(G135,'Swiss2 Registry'!$B$2:$C$703,2,False)</f>
        <v>#N/A</v>
      </c>
      <c r="G135" s="84"/>
      <c r="H135" s="83"/>
    </row>
    <row r="136">
      <c r="A136" s="84"/>
      <c r="B136" s="94" t="str">
        <f>VLOOKUP(A136,'Swiss2 Registry'!$B$2:$C$703,2,False)</f>
        <v>#N/A</v>
      </c>
      <c r="C136" s="90" t="str">
        <f t="shared" si="10"/>
        <v/>
      </c>
      <c r="D136" s="91" t="str">
        <f t="shared" si="12"/>
        <v/>
      </c>
      <c r="E136" s="89" t="str">
        <f t="shared" si="11"/>
        <v/>
      </c>
      <c r="F136" s="94" t="str">
        <f>VLOOKUP(G136,'Swiss2 Registry'!$B$2:$C$703,2,False)</f>
        <v>#N/A</v>
      </c>
      <c r="G136" s="84"/>
      <c r="H136" s="83"/>
    </row>
    <row r="137">
      <c r="A137" s="84"/>
      <c r="B137" s="94" t="str">
        <f>VLOOKUP(A137,'Swiss2 Registry'!$B$2:$C$703,2,False)</f>
        <v>#N/A</v>
      </c>
      <c r="C137" s="90" t="str">
        <f t="shared" si="10"/>
        <v/>
      </c>
      <c r="D137" s="91" t="str">
        <f t="shared" si="12"/>
        <v/>
      </c>
      <c r="E137" s="89" t="str">
        <f t="shared" si="11"/>
        <v/>
      </c>
      <c r="F137" s="94" t="str">
        <f>VLOOKUP(G137,'Swiss2 Registry'!$B$2:$C$703,2,False)</f>
        <v>#N/A</v>
      </c>
      <c r="G137" s="84"/>
      <c r="H137" s="83"/>
    </row>
    <row r="138">
      <c r="A138" s="84"/>
      <c r="B138" s="94" t="str">
        <f>VLOOKUP(A138,'Swiss2 Registry'!$B$2:$C$703,2,False)</f>
        <v>#N/A</v>
      </c>
      <c r="C138" s="90" t="str">
        <f t="shared" si="10"/>
        <v/>
      </c>
      <c r="D138" s="91" t="str">
        <f t="shared" si="12"/>
        <v/>
      </c>
      <c r="E138" s="89" t="str">
        <f t="shared" si="11"/>
        <v/>
      </c>
      <c r="F138" s="94" t="str">
        <f>VLOOKUP(G138,'Swiss2 Registry'!$B$2:$C$703,2,False)</f>
        <v>#N/A</v>
      </c>
      <c r="G138" s="84"/>
      <c r="H138" s="83"/>
    </row>
    <row r="139">
      <c r="A139" s="84"/>
      <c r="B139" s="94" t="str">
        <f>VLOOKUP(A139,'Swiss2 Registry'!$B$2:$C$703,2,False)</f>
        <v>#N/A</v>
      </c>
      <c r="C139" s="90" t="str">
        <f t="shared" si="10"/>
        <v/>
      </c>
      <c r="D139" s="91" t="str">
        <f t="shared" si="12"/>
        <v/>
      </c>
      <c r="E139" s="89" t="str">
        <f t="shared" si="11"/>
        <v/>
      </c>
      <c r="F139" s="94" t="str">
        <f>VLOOKUP(G139,'Swiss2 Registry'!$B$2:$C$703,2,False)</f>
        <v>#N/A</v>
      </c>
      <c r="G139" s="84"/>
      <c r="H139" s="83"/>
    </row>
    <row r="140">
      <c r="A140" s="84"/>
      <c r="B140" s="94" t="str">
        <f>VLOOKUP(A140,'Swiss2 Registry'!$B$2:$C$703,2,False)</f>
        <v>#N/A</v>
      </c>
      <c r="C140" s="90" t="str">
        <f t="shared" si="10"/>
        <v/>
      </c>
      <c r="D140" s="91" t="str">
        <f t="shared" si="12"/>
        <v/>
      </c>
      <c r="E140" s="89" t="str">
        <f t="shared" si="11"/>
        <v/>
      </c>
      <c r="F140" s="94" t="str">
        <f>VLOOKUP(G140,'Swiss2 Registry'!$B$2:$C$703,2,False)</f>
        <v>#N/A</v>
      </c>
      <c r="G140" s="84"/>
      <c r="H140" s="83"/>
    </row>
    <row r="141">
      <c r="A141" s="84"/>
      <c r="B141" s="94" t="str">
        <f>VLOOKUP(A141,'Swiss2 Registry'!$B$2:$C$703,2,False)</f>
        <v>#N/A</v>
      </c>
      <c r="C141" s="90" t="str">
        <f t="shared" si="10"/>
        <v/>
      </c>
      <c r="D141" s="91" t="str">
        <f t="shared" si="12"/>
        <v/>
      </c>
      <c r="E141" s="89" t="str">
        <f t="shared" si="11"/>
        <v/>
      </c>
      <c r="F141" s="94" t="str">
        <f>VLOOKUP(G141,'Swiss2 Registry'!$B$2:$C$703,2,False)</f>
        <v>#N/A</v>
      </c>
      <c r="G141" s="84"/>
      <c r="H141" s="83"/>
    </row>
    <row r="142">
      <c r="A142" s="84"/>
      <c r="B142" s="94" t="str">
        <f>VLOOKUP(A142,'Swiss2 Registry'!$B$2:$C$703,2,False)</f>
        <v>#N/A</v>
      </c>
      <c r="C142" s="90" t="str">
        <f t="shared" si="10"/>
        <v/>
      </c>
      <c r="D142" s="91" t="str">
        <f t="shared" si="12"/>
        <v/>
      </c>
      <c r="E142" s="89" t="str">
        <f t="shared" si="11"/>
        <v/>
      </c>
      <c r="F142" s="94" t="str">
        <f>VLOOKUP(G142,'Swiss2 Registry'!$B$2:$C$703,2,False)</f>
        <v>#N/A</v>
      </c>
      <c r="G142" s="84"/>
      <c r="H142" s="83"/>
    </row>
    <row r="143">
      <c r="A143" s="84"/>
      <c r="B143" s="94" t="str">
        <f>VLOOKUP(A143,'Swiss2 Registry'!$B$2:$C$703,2,False)</f>
        <v>#N/A</v>
      </c>
      <c r="C143" s="90" t="str">
        <f t="shared" si="10"/>
        <v/>
      </c>
      <c r="D143" s="91" t="str">
        <f t="shared" si="12"/>
        <v/>
      </c>
      <c r="E143" s="89" t="str">
        <f t="shared" si="11"/>
        <v/>
      </c>
      <c r="F143" s="94" t="str">
        <f>VLOOKUP(G143,'Swiss2 Registry'!$B$2:$C$703,2,False)</f>
        <v>#N/A</v>
      </c>
      <c r="G143" s="84"/>
      <c r="H143" s="83"/>
    </row>
    <row r="144">
      <c r="A144" s="84"/>
      <c r="B144" s="94" t="str">
        <f>VLOOKUP(A144,'Swiss2 Registry'!$B$2:$C$703,2,False)</f>
        <v>#N/A</v>
      </c>
      <c r="C144" s="90" t="str">
        <f t="shared" si="10"/>
        <v/>
      </c>
      <c r="D144" s="91" t="str">
        <f t="shared" si="12"/>
        <v/>
      </c>
      <c r="E144" s="89" t="str">
        <f t="shared" si="11"/>
        <v/>
      </c>
      <c r="F144" s="94" t="str">
        <f>VLOOKUP(G144,'Swiss2 Registry'!$B$2:$C$703,2,False)</f>
        <v>#N/A</v>
      </c>
      <c r="G144" s="84"/>
      <c r="H144" s="83"/>
    </row>
    <row r="145">
      <c r="A145" s="84"/>
      <c r="B145" s="94" t="str">
        <f>VLOOKUP(A145,'Swiss2 Registry'!$B$2:$C$703,2,False)</f>
        <v>#N/A</v>
      </c>
      <c r="C145" s="90" t="str">
        <f t="shared" si="10"/>
        <v/>
      </c>
      <c r="D145" s="91" t="str">
        <f t="shared" si="12"/>
        <v/>
      </c>
      <c r="E145" s="89" t="str">
        <f t="shared" si="11"/>
        <v/>
      </c>
      <c r="F145" s="94" t="str">
        <f>VLOOKUP(G145,'Swiss2 Registry'!$B$2:$C$703,2,False)</f>
        <v>#N/A</v>
      </c>
      <c r="G145" s="84"/>
      <c r="H145" s="83"/>
    </row>
    <row r="146">
      <c r="A146" s="84"/>
      <c r="B146" s="94" t="str">
        <f>VLOOKUP(A146,'Swiss2 Registry'!$B$2:$C$703,2,False)</f>
        <v>#N/A</v>
      </c>
      <c r="C146" s="90" t="str">
        <f t="shared" si="10"/>
        <v/>
      </c>
      <c r="D146" s="91" t="str">
        <f t="shared" si="12"/>
        <v/>
      </c>
      <c r="E146" s="89" t="str">
        <f t="shared" si="11"/>
        <v/>
      </c>
      <c r="F146" s="94" t="str">
        <f>VLOOKUP(G146,'Swiss2 Registry'!$B$2:$C$703,2,False)</f>
        <v>#N/A</v>
      </c>
      <c r="G146" s="84"/>
      <c r="H146" s="83"/>
    </row>
    <row r="147">
      <c r="A147" s="84"/>
      <c r="B147" s="94" t="str">
        <f>VLOOKUP(A147,'Swiss2 Registry'!$B$2:$C$703,2,False)</f>
        <v>#N/A</v>
      </c>
      <c r="C147" s="90" t="str">
        <f t="shared" si="10"/>
        <v/>
      </c>
      <c r="D147" s="91" t="str">
        <f t="shared" si="12"/>
        <v/>
      </c>
      <c r="E147" s="89" t="str">
        <f t="shared" si="11"/>
        <v/>
      </c>
      <c r="F147" s="94" t="str">
        <f>VLOOKUP(G147,'Swiss2 Registry'!$B$2:$C$703,2,False)</f>
        <v>#N/A</v>
      </c>
      <c r="G147" s="84"/>
      <c r="H147" s="83"/>
    </row>
    <row r="148">
      <c r="A148" s="84"/>
      <c r="B148" s="94" t="str">
        <f>VLOOKUP(A148,'Swiss2 Registry'!$B$2:$C$703,2,False)</f>
        <v>#N/A</v>
      </c>
      <c r="C148" s="90" t="str">
        <f t="shared" si="10"/>
        <v/>
      </c>
      <c r="D148" s="91" t="str">
        <f t="shared" si="12"/>
        <v/>
      </c>
      <c r="E148" s="89" t="str">
        <f t="shared" si="11"/>
        <v/>
      </c>
      <c r="F148" s="94" t="str">
        <f>VLOOKUP(G148,'Swiss2 Registry'!$B$2:$C$703,2,False)</f>
        <v>#N/A</v>
      </c>
      <c r="G148" s="84"/>
      <c r="H148" s="83"/>
    </row>
    <row r="149">
      <c r="A149" s="84"/>
      <c r="B149" s="94" t="str">
        <f>VLOOKUP(A149,'Swiss2 Registry'!$B$2:$C$703,2,False)</f>
        <v>#N/A</v>
      </c>
      <c r="C149" s="90" t="str">
        <f t="shared" si="10"/>
        <v/>
      </c>
      <c r="D149" s="91" t="str">
        <f t="shared" si="12"/>
        <v/>
      </c>
      <c r="E149" s="89" t="str">
        <f t="shared" si="11"/>
        <v/>
      </c>
      <c r="F149" s="94" t="str">
        <f>VLOOKUP(G149,'Swiss2 Registry'!$B$2:$C$703,2,False)</f>
        <v>#N/A</v>
      </c>
      <c r="G149" s="84"/>
      <c r="H149" s="83"/>
    </row>
    <row r="150">
      <c r="A150" s="84"/>
      <c r="B150" s="94" t="str">
        <f>VLOOKUP(A150,'Swiss2 Registry'!$B$2:$C$703,2,False)</f>
        <v>#N/A</v>
      </c>
      <c r="C150" s="90" t="str">
        <f t="shared" si="10"/>
        <v/>
      </c>
      <c r="D150" s="91" t="str">
        <f t="shared" si="12"/>
        <v/>
      </c>
      <c r="E150" s="89" t="str">
        <f t="shared" si="11"/>
        <v/>
      </c>
      <c r="F150" s="94" t="str">
        <f>VLOOKUP(G150,'Swiss2 Registry'!$B$2:$C$703,2,False)</f>
        <v>#N/A</v>
      </c>
      <c r="G150" s="84"/>
      <c r="H150" s="83"/>
    </row>
    <row r="151">
      <c r="A151" s="84"/>
      <c r="B151" s="94" t="str">
        <f>VLOOKUP(A151,'Swiss2 Registry'!$B$2:$C$703,2,False)</f>
        <v>#N/A</v>
      </c>
      <c r="C151" s="90" t="str">
        <f t="shared" si="10"/>
        <v/>
      </c>
      <c r="D151" s="91" t="str">
        <f t="shared" si="12"/>
        <v/>
      </c>
      <c r="E151" s="89" t="str">
        <f t="shared" si="11"/>
        <v/>
      </c>
      <c r="F151" s="94" t="str">
        <f>VLOOKUP(G151,'Swiss2 Registry'!$B$2:$C$703,2,False)</f>
        <v>#N/A</v>
      </c>
      <c r="G151" s="84"/>
      <c r="H151" s="83"/>
    </row>
    <row r="152">
      <c r="A152" s="84"/>
      <c r="B152" s="94" t="str">
        <f>VLOOKUP(A152,'Swiss2 Registry'!$B$2:$C$703,2,False)</f>
        <v>#N/A</v>
      </c>
      <c r="C152" s="90" t="str">
        <f t="shared" si="10"/>
        <v/>
      </c>
      <c r="D152" s="91" t="str">
        <f t="shared" si="12"/>
        <v/>
      </c>
      <c r="E152" s="89" t="str">
        <f t="shared" si="11"/>
        <v/>
      </c>
      <c r="F152" s="94" t="str">
        <f>VLOOKUP(G152,'Swiss2 Registry'!$B$2:$C$703,2,False)</f>
        <v>#N/A</v>
      </c>
      <c r="G152" s="84"/>
      <c r="H152" s="83"/>
    </row>
    <row r="153">
      <c r="A153" s="84"/>
      <c r="B153" s="94" t="str">
        <f>VLOOKUP(A153,'Swiss2 Registry'!$B$2:$C$703,2,False)</f>
        <v>#N/A</v>
      </c>
      <c r="C153" s="90" t="str">
        <f t="shared" si="10"/>
        <v/>
      </c>
      <c r="D153" s="91" t="str">
        <f t="shared" si="12"/>
        <v/>
      </c>
      <c r="E153" s="89" t="str">
        <f t="shared" si="11"/>
        <v/>
      </c>
      <c r="F153" s="94" t="str">
        <f>VLOOKUP(G153,'Swiss2 Registry'!$B$2:$C$703,2,False)</f>
        <v>#N/A</v>
      </c>
      <c r="G153" s="84"/>
      <c r="H153" s="83"/>
    </row>
    <row r="154">
      <c r="A154" s="84"/>
      <c r="B154" s="94" t="str">
        <f>VLOOKUP(A154,'Swiss2 Registry'!$B$2:$C$703,2,False)</f>
        <v>#N/A</v>
      </c>
      <c r="C154" s="90" t="str">
        <f t="shared" si="10"/>
        <v/>
      </c>
      <c r="D154" s="91" t="str">
        <f t="shared" si="12"/>
        <v/>
      </c>
      <c r="E154" s="89" t="str">
        <f t="shared" si="11"/>
        <v/>
      </c>
      <c r="F154" s="94" t="str">
        <f>VLOOKUP(G154,'Swiss2 Registry'!$B$2:$C$703,2,False)</f>
        <v>#N/A</v>
      </c>
      <c r="G154" s="84"/>
      <c r="H154" s="83"/>
    </row>
    <row r="155">
      <c r="A155" s="84"/>
      <c r="B155" s="94" t="str">
        <f>VLOOKUP(A155,'Swiss2 Registry'!$B$2:$C$703,2,False)</f>
        <v>#N/A</v>
      </c>
      <c r="C155" s="90" t="str">
        <f t="shared" si="10"/>
        <v/>
      </c>
      <c r="D155" s="91" t="str">
        <f t="shared" si="12"/>
        <v/>
      </c>
      <c r="E155" s="89" t="str">
        <f t="shared" si="11"/>
        <v/>
      </c>
      <c r="F155" s="94" t="str">
        <f>VLOOKUP(G155,'Swiss2 Registry'!$B$2:$C$703,2,False)</f>
        <v>#N/A</v>
      </c>
      <c r="G155" s="84"/>
      <c r="H155" s="83"/>
    </row>
    <row r="156">
      <c r="A156" s="84"/>
      <c r="B156" s="94" t="str">
        <f>VLOOKUP(A156,'Swiss2 Registry'!$B$2:$C$703,2,False)</f>
        <v>#N/A</v>
      </c>
      <c r="C156" s="90" t="str">
        <f t="shared" si="10"/>
        <v/>
      </c>
      <c r="D156" s="91" t="str">
        <f t="shared" si="12"/>
        <v/>
      </c>
      <c r="E156" s="89" t="str">
        <f t="shared" si="11"/>
        <v/>
      </c>
      <c r="F156" s="94" t="str">
        <f>VLOOKUP(G156,'Swiss2 Registry'!$B$2:$C$703,2,False)</f>
        <v>#N/A</v>
      </c>
      <c r="G156" s="84"/>
      <c r="H156" s="83"/>
    </row>
    <row r="157">
      <c r="A157" s="84"/>
      <c r="B157" s="94" t="str">
        <f>VLOOKUP(A157,'Swiss2 Registry'!$B$2:$C$703,2,False)</f>
        <v>#N/A</v>
      </c>
      <c r="C157" s="90" t="str">
        <f t="shared" si="10"/>
        <v/>
      </c>
      <c r="D157" s="91" t="str">
        <f t="shared" si="12"/>
        <v/>
      </c>
      <c r="E157" s="89" t="str">
        <f t="shared" si="11"/>
        <v/>
      </c>
      <c r="F157" s="94" t="str">
        <f>VLOOKUP(G157,'Swiss2 Registry'!$B$2:$C$703,2,False)</f>
        <v>#N/A</v>
      </c>
      <c r="G157" s="84"/>
      <c r="H157" s="83"/>
    </row>
    <row r="158">
      <c r="A158" s="84"/>
      <c r="B158" s="94" t="str">
        <f>VLOOKUP(A158,'Swiss2 Registry'!$B$2:$C$703,2,False)</f>
        <v>#N/A</v>
      </c>
      <c r="C158" s="90" t="str">
        <f t="shared" si="10"/>
        <v/>
      </c>
      <c r="D158" s="91" t="str">
        <f t="shared" si="12"/>
        <v/>
      </c>
      <c r="E158" s="89" t="str">
        <f t="shared" si="11"/>
        <v/>
      </c>
      <c r="F158" s="94" t="str">
        <f>VLOOKUP(G158,'Swiss2 Registry'!$B$2:$C$703,2,False)</f>
        <v>#N/A</v>
      </c>
      <c r="G158" s="84"/>
      <c r="H158" s="83"/>
    </row>
    <row r="159">
      <c r="A159" s="84"/>
      <c r="B159" s="94" t="str">
        <f>VLOOKUP(A159,'Swiss2 Registry'!$B$2:$C$703,2,False)</f>
        <v>#N/A</v>
      </c>
      <c r="C159" s="90" t="str">
        <f t="shared" si="10"/>
        <v/>
      </c>
      <c r="D159" s="91" t="str">
        <f t="shared" si="12"/>
        <v/>
      </c>
      <c r="E159" s="89" t="str">
        <f t="shared" si="11"/>
        <v/>
      </c>
      <c r="F159" s="94" t="str">
        <f>VLOOKUP(G159,'Swiss2 Registry'!$B$2:$C$703,2,False)</f>
        <v>#N/A</v>
      </c>
      <c r="G159" s="84"/>
      <c r="H159" s="83"/>
    </row>
    <row r="160">
      <c r="A160" s="84"/>
      <c r="B160" s="94" t="str">
        <f>VLOOKUP(A160,'Swiss2 Registry'!$B$2:$C$703,2,False)</f>
        <v>#N/A</v>
      </c>
      <c r="C160" s="90" t="str">
        <f t="shared" si="10"/>
        <v/>
      </c>
      <c r="D160" s="91" t="str">
        <f t="shared" si="12"/>
        <v/>
      </c>
      <c r="E160" s="89" t="str">
        <f t="shared" si="11"/>
        <v/>
      </c>
      <c r="F160" s="94" t="str">
        <f>VLOOKUP(G160,'Swiss2 Registry'!$B$2:$C$703,2,False)</f>
        <v>#N/A</v>
      </c>
      <c r="G160" s="84"/>
      <c r="H160" s="83"/>
    </row>
    <row r="161">
      <c r="A161" s="84"/>
      <c r="B161" s="94" t="str">
        <f>VLOOKUP(A161,'Swiss2 Registry'!$B$2:$C$703,2,False)</f>
        <v>#N/A</v>
      </c>
      <c r="C161" s="90" t="str">
        <f t="shared" si="10"/>
        <v/>
      </c>
      <c r="D161" s="91" t="str">
        <f t="shared" si="12"/>
        <v/>
      </c>
      <c r="E161" s="89" t="str">
        <f t="shared" si="11"/>
        <v/>
      </c>
      <c r="F161" s="94" t="str">
        <f>VLOOKUP(G161,'Swiss2 Registry'!$B$2:$C$703,2,False)</f>
        <v>#N/A</v>
      </c>
      <c r="G161" s="84"/>
      <c r="H161" s="83"/>
    </row>
    <row r="162" ht="15.0" customHeight="1">
      <c r="A162" s="80"/>
      <c r="B162" s="178"/>
      <c r="C162" s="81"/>
      <c r="D162" s="96" t="s">
        <v>7434</v>
      </c>
      <c r="E162" s="81"/>
      <c r="F162" s="178"/>
      <c r="G162" s="81"/>
      <c r="H162" s="81"/>
    </row>
    <row r="163">
      <c r="A163" s="84"/>
      <c r="B163" s="94" t="str">
        <f>VLOOKUP(A163,'Swiss2 Registry'!$B$2:$C$703,2,False)</f>
        <v>#N/A</v>
      </c>
      <c r="C163" s="90" t="str">
        <f t="shared" ref="C163:C201" si="13">IF(H163="dead","",IF(H163="a:act","",IF(H163="b:act","",IF(ISURL(HYPERLINK(INDIRECT("Importer!B"&amp;MID(H163,2,4)+1,TRUE))),HYPERLINK(INDIRECT("Importer!B"&amp;MID(H163,2,4)+1,TRUE), "Game 1"),""))))</f>
        <v/>
      </c>
      <c r="D163" s="91" t="str">
        <f>IF(H163="dead","Dead Game",IF(H163="a:act","Act: "&amp;F163,IF(H163="b:act","Act: "&amp;#REF!,IF(ISURL(HYPERLINK(INDIRECT("Importer!B"&amp;MID(H163,6,4)+1,TRUE))),HYPERLINK(INDIRECT("Importer!B"&amp;MID(H163,6,4)+1,TRUE), "Game 2"),""))))</f>
        <v/>
      </c>
      <c r="E163" s="89" t="str">
        <f t="shared" ref="E163:E201" si="14">IF(H163="dead","",IF(H163="a:act","",IF(H163="b:act","",IF(ISURL(HYPERLINK(INDIRECT("Importer!B"&amp;MID(H163,10,4)+1,TRUE))),HYPERLINK(INDIRECT("Importer!B"&amp;MID(H163,10,4)+1,TRUE), "Game 3"),""))))</f>
        <v/>
      </c>
      <c r="F163" s="94" t="str">
        <f>VLOOKUP(G163,'Swiss2 Registry'!$B$2:$C$703,2,False)</f>
        <v>#N/A</v>
      </c>
      <c r="G163" s="84"/>
      <c r="H163" s="182"/>
    </row>
    <row r="164">
      <c r="A164" s="84"/>
      <c r="B164" s="94" t="str">
        <f>VLOOKUP(A164,'Swiss2 Registry'!$B$2:$C$703,2,False)</f>
        <v>#N/A</v>
      </c>
      <c r="C164" s="90" t="str">
        <f t="shared" si="13"/>
        <v/>
      </c>
      <c r="D164" s="91" t="str">
        <f t="shared" ref="D164:D201" si="15">IF(H164="dead","Dead Game",IF(H164="a:act","Act: "&amp;B164,IF(H164="b:act","Act: "&amp;F164,IF(ISURL(HYPERLINK(INDIRECT("Importer!B"&amp;MID(H164,6,4)+1,TRUE))),HYPERLINK(INDIRECT("Importer!B"&amp;MID(H164,6,4)+1,TRUE), "Game 2"),""))))</f>
        <v/>
      </c>
      <c r="E164" s="89" t="str">
        <f t="shared" si="14"/>
        <v/>
      </c>
      <c r="F164" s="94" t="str">
        <f>VLOOKUP(G164,'Swiss2 Registry'!$B$2:$C$703,2,False)</f>
        <v>#N/A</v>
      </c>
      <c r="G164" s="84"/>
      <c r="H164" s="182"/>
    </row>
    <row r="165">
      <c r="A165" s="84"/>
      <c r="B165" s="94" t="str">
        <f>VLOOKUP(A165,'Swiss2 Registry'!$B$2:$C$703,2,False)</f>
        <v>#N/A</v>
      </c>
      <c r="C165" s="90" t="str">
        <f t="shared" si="13"/>
        <v/>
      </c>
      <c r="D165" s="91" t="str">
        <f t="shared" si="15"/>
        <v/>
      </c>
      <c r="E165" s="89" t="str">
        <f t="shared" si="14"/>
        <v/>
      </c>
      <c r="F165" s="94" t="str">
        <f>VLOOKUP(G165,'Swiss2 Registry'!$B$2:$C$703,2,False)</f>
        <v>#N/A</v>
      </c>
      <c r="G165" s="84"/>
      <c r="H165" s="182"/>
    </row>
    <row r="166">
      <c r="A166" s="84"/>
      <c r="B166" s="94" t="str">
        <f>VLOOKUP(A166,'Swiss2 Registry'!$B$2:$C$703,2,False)</f>
        <v>#N/A</v>
      </c>
      <c r="C166" s="90" t="str">
        <f t="shared" si="13"/>
        <v/>
      </c>
      <c r="D166" s="91" t="str">
        <f t="shared" si="15"/>
        <v/>
      </c>
      <c r="E166" s="89" t="str">
        <f t="shared" si="14"/>
        <v/>
      </c>
      <c r="F166" s="94" t="str">
        <f>VLOOKUP(G166,'Swiss2 Registry'!$B$2:$C$703,2,False)</f>
        <v>#N/A</v>
      </c>
      <c r="G166" s="84"/>
      <c r="H166" s="182"/>
    </row>
    <row r="167">
      <c r="A167" s="84"/>
      <c r="B167" s="94" t="str">
        <f>VLOOKUP(A167,'Swiss2 Registry'!$B$2:$C$703,2,False)</f>
        <v>#N/A</v>
      </c>
      <c r="C167" s="90" t="str">
        <f t="shared" si="13"/>
        <v/>
      </c>
      <c r="D167" s="91" t="str">
        <f t="shared" si="15"/>
        <v/>
      </c>
      <c r="E167" s="89" t="str">
        <f t="shared" si="14"/>
        <v/>
      </c>
      <c r="F167" s="94" t="str">
        <f>VLOOKUP(G167,'Swiss2 Registry'!$B$2:$C$703,2,False)</f>
        <v>#N/A</v>
      </c>
      <c r="G167" s="84"/>
      <c r="H167" s="182"/>
    </row>
    <row r="168">
      <c r="A168" s="84"/>
      <c r="B168" s="94" t="str">
        <f>VLOOKUP(A168,'Swiss2 Registry'!$B$2:$C$703,2,False)</f>
        <v>#N/A</v>
      </c>
      <c r="C168" s="90" t="str">
        <f t="shared" si="13"/>
        <v/>
      </c>
      <c r="D168" s="91" t="str">
        <f t="shared" si="15"/>
        <v/>
      </c>
      <c r="E168" s="89" t="str">
        <f t="shared" si="14"/>
        <v/>
      </c>
      <c r="F168" s="94" t="str">
        <f>VLOOKUP(G168,'Swiss2 Registry'!$B$2:$C$703,2,False)</f>
        <v>#N/A</v>
      </c>
      <c r="G168" s="84"/>
      <c r="H168" s="182"/>
    </row>
    <row r="169">
      <c r="A169" s="84"/>
      <c r="B169" s="94" t="str">
        <f>VLOOKUP(A169,'Swiss2 Registry'!$B$2:$C$703,2,False)</f>
        <v>#N/A</v>
      </c>
      <c r="C169" s="90" t="str">
        <f t="shared" si="13"/>
        <v/>
      </c>
      <c r="D169" s="91" t="str">
        <f t="shared" si="15"/>
        <v/>
      </c>
      <c r="E169" s="89" t="str">
        <f t="shared" si="14"/>
        <v/>
      </c>
      <c r="F169" s="94" t="str">
        <f>VLOOKUP(G169,'Swiss2 Registry'!$B$2:$C$703,2,False)</f>
        <v>#N/A</v>
      </c>
      <c r="G169" s="84"/>
      <c r="H169" s="182"/>
    </row>
    <row r="170">
      <c r="A170" s="84"/>
      <c r="B170" s="94" t="str">
        <f>VLOOKUP(A170,'Swiss2 Registry'!$B$2:$C$703,2,False)</f>
        <v>#N/A</v>
      </c>
      <c r="C170" s="90" t="str">
        <f t="shared" si="13"/>
        <v/>
      </c>
      <c r="D170" s="91" t="str">
        <f t="shared" si="15"/>
        <v/>
      </c>
      <c r="E170" s="89" t="str">
        <f t="shared" si="14"/>
        <v/>
      </c>
      <c r="F170" s="94" t="str">
        <f>VLOOKUP(G170,'Swiss2 Registry'!$B$2:$C$703,2,False)</f>
        <v>#N/A</v>
      </c>
      <c r="G170" s="84"/>
      <c r="H170" s="182"/>
    </row>
    <row r="171">
      <c r="A171" s="84"/>
      <c r="B171" s="94" t="str">
        <f>VLOOKUP(A171,'Swiss2 Registry'!$B$2:$C$703,2,False)</f>
        <v>#N/A</v>
      </c>
      <c r="C171" s="90" t="str">
        <f t="shared" si="13"/>
        <v/>
      </c>
      <c r="D171" s="91" t="str">
        <f t="shared" si="15"/>
        <v/>
      </c>
      <c r="E171" s="89" t="str">
        <f t="shared" si="14"/>
        <v/>
      </c>
      <c r="F171" s="94" t="str">
        <f>VLOOKUP(G171,'Swiss2 Registry'!$B$2:$C$703,2,False)</f>
        <v>#N/A</v>
      </c>
      <c r="G171" s="84"/>
      <c r="H171" s="182"/>
    </row>
    <row r="172">
      <c r="A172" s="84"/>
      <c r="B172" s="94" t="str">
        <f>VLOOKUP(A172,'Swiss2 Registry'!$B$2:$C$703,2,False)</f>
        <v>#N/A</v>
      </c>
      <c r="C172" s="90" t="str">
        <f t="shared" si="13"/>
        <v/>
      </c>
      <c r="D172" s="91" t="str">
        <f t="shared" si="15"/>
        <v/>
      </c>
      <c r="E172" s="89" t="str">
        <f t="shared" si="14"/>
        <v/>
      </c>
      <c r="F172" s="94" t="str">
        <f>VLOOKUP(G172,'Swiss2 Registry'!$B$2:$C$703,2,False)</f>
        <v>#N/A</v>
      </c>
      <c r="G172" s="84"/>
      <c r="H172" s="182"/>
    </row>
    <row r="173">
      <c r="A173" s="84"/>
      <c r="B173" s="94" t="str">
        <f>VLOOKUP(A173,'Swiss2 Registry'!$B$2:$C$703,2,False)</f>
        <v>#N/A</v>
      </c>
      <c r="C173" s="90" t="str">
        <f t="shared" si="13"/>
        <v/>
      </c>
      <c r="D173" s="91" t="str">
        <f t="shared" si="15"/>
        <v/>
      </c>
      <c r="E173" s="89" t="str">
        <f t="shared" si="14"/>
        <v/>
      </c>
      <c r="F173" s="94" t="str">
        <f>VLOOKUP(G173,'Swiss2 Registry'!$B$2:$C$703,2,False)</f>
        <v>#N/A</v>
      </c>
      <c r="G173" s="84"/>
      <c r="H173" s="182"/>
    </row>
    <row r="174">
      <c r="A174" s="84"/>
      <c r="B174" s="94" t="str">
        <f>VLOOKUP(A174,'Swiss2 Registry'!$B$2:$C$703,2,False)</f>
        <v>#N/A</v>
      </c>
      <c r="C174" s="90" t="str">
        <f t="shared" si="13"/>
        <v/>
      </c>
      <c r="D174" s="91" t="str">
        <f t="shared" si="15"/>
        <v/>
      </c>
      <c r="E174" s="89" t="str">
        <f t="shared" si="14"/>
        <v/>
      </c>
      <c r="F174" s="94" t="str">
        <f>VLOOKUP(G174,'Swiss2 Registry'!$B$2:$C$703,2,False)</f>
        <v>#N/A</v>
      </c>
      <c r="G174" s="84"/>
      <c r="H174" s="182"/>
    </row>
    <row r="175">
      <c r="A175" s="84"/>
      <c r="B175" s="94" t="str">
        <f>VLOOKUP(A175,'Swiss2 Registry'!$B$2:$C$703,2,False)</f>
        <v>#N/A</v>
      </c>
      <c r="C175" s="90" t="str">
        <f t="shared" si="13"/>
        <v/>
      </c>
      <c r="D175" s="91" t="str">
        <f t="shared" si="15"/>
        <v/>
      </c>
      <c r="E175" s="89" t="str">
        <f t="shared" si="14"/>
        <v/>
      </c>
      <c r="F175" s="94" t="str">
        <f>VLOOKUP(G175,'Swiss2 Registry'!$B$2:$C$703,2,False)</f>
        <v>#N/A</v>
      </c>
      <c r="G175" s="84"/>
      <c r="H175" s="182"/>
    </row>
    <row r="176">
      <c r="A176" s="84"/>
      <c r="B176" s="94" t="str">
        <f>VLOOKUP(A176,'Swiss2 Registry'!$B$2:$C$703,2,False)</f>
        <v>#N/A</v>
      </c>
      <c r="C176" s="90" t="str">
        <f t="shared" si="13"/>
        <v/>
      </c>
      <c r="D176" s="91" t="str">
        <f t="shared" si="15"/>
        <v/>
      </c>
      <c r="E176" s="89" t="str">
        <f t="shared" si="14"/>
        <v/>
      </c>
      <c r="F176" s="94" t="str">
        <f>VLOOKUP(G176,'Swiss2 Registry'!$B$2:$C$703,2,False)</f>
        <v>#N/A</v>
      </c>
      <c r="G176" s="84"/>
      <c r="H176" s="182"/>
    </row>
    <row r="177">
      <c r="A177" s="84"/>
      <c r="B177" s="94" t="str">
        <f>VLOOKUP(A177,'Swiss2 Registry'!$B$2:$C$703,2,False)</f>
        <v>#N/A</v>
      </c>
      <c r="C177" s="90" t="str">
        <f t="shared" si="13"/>
        <v/>
      </c>
      <c r="D177" s="91" t="str">
        <f t="shared" si="15"/>
        <v/>
      </c>
      <c r="E177" s="89" t="str">
        <f t="shared" si="14"/>
        <v/>
      </c>
      <c r="F177" s="94" t="str">
        <f>VLOOKUP(G177,'Swiss2 Registry'!$B$2:$C$703,2,False)</f>
        <v>#N/A</v>
      </c>
      <c r="G177" s="84"/>
      <c r="H177" s="182"/>
    </row>
    <row r="178">
      <c r="A178" s="84"/>
      <c r="B178" s="94" t="str">
        <f>VLOOKUP(A178,'Swiss2 Registry'!$B$2:$C$703,2,False)</f>
        <v>#N/A</v>
      </c>
      <c r="C178" s="90" t="str">
        <f t="shared" si="13"/>
        <v/>
      </c>
      <c r="D178" s="91" t="str">
        <f t="shared" si="15"/>
        <v/>
      </c>
      <c r="E178" s="89" t="str">
        <f t="shared" si="14"/>
        <v/>
      </c>
      <c r="F178" s="94" t="str">
        <f>VLOOKUP(G178,'Swiss2 Registry'!$B$2:$C$703,2,False)</f>
        <v>#N/A</v>
      </c>
      <c r="G178" s="84"/>
      <c r="H178" s="182"/>
    </row>
    <row r="179">
      <c r="A179" s="84"/>
      <c r="B179" s="94" t="str">
        <f>VLOOKUP(A179,'Swiss2 Registry'!$B$2:$C$703,2,False)</f>
        <v>#N/A</v>
      </c>
      <c r="C179" s="90" t="str">
        <f t="shared" si="13"/>
        <v/>
      </c>
      <c r="D179" s="91" t="str">
        <f t="shared" si="15"/>
        <v/>
      </c>
      <c r="E179" s="89" t="str">
        <f t="shared" si="14"/>
        <v/>
      </c>
      <c r="F179" s="94" t="str">
        <f>VLOOKUP(G179,'Swiss2 Registry'!$B$2:$C$703,2,False)</f>
        <v>#N/A</v>
      </c>
      <c r="G179" s="84"/>
      <c r="H179" s="182"/>
    </row>
    <row r="180">
      <c r="A180" s="84"/>
      <c r="B180" s="94" t="str">
        <f>VLOOKUP(A180,'Swiss2 Registry'!$B$2:$C$703,2,False)</f>
        <v>#N/A</v>
      </c>
      <c r="C180" s="90" t="str">
        <f t="shared" si="13"/>
        <v/>
      </c>
      <c r="D180" s="91" t="str">
        <f t="shared" si="15"/>
        <v/>
      </c>
      <c r="E180" s="89" t="str">
        <f t="shared" si="14"/>
        <v/>
      </c>
      <c r="F180" s="94" t="str">
        <f>VLOOKUP(G180,'Swiss2 Registry'!$B$2:$C$703,2,False)</f>
        <v>#N/A</v>
      </c>
      <c r="G180" s="84"/>
      <c r="H180" s="182"/>
    </row>
    <row r="181">
      <c r="A181" s="84"/>
      <c r="B181" s="94" t="str">
        <f>VLOOKUP(A181,'Swiss2 Registry'!$B$2:$C$703,2,False)</f>
        <v>#N/A</v>
      </c>
      <c r="C181" s="90" t="str">
        <f t="shared" si="13"/>
        <v/>
      </c>
      <c r="D181" s="91" t="str">
        <f t="shared" si="15"/>
        <v/>
      </c>
      <c r="E181" s="89" t="str">
        <f t="shared" si="14"/>
        <v/>
      </c>
      <c r="F181" s="94" t="str">
        <f>VLOOKUP(G181,'Swiss2 Registry'!$B$2:$C$703,2,False)</f>
        <v>#N/A</v>
      </c>
      <c r="G181" s="84"/>
      <c r="H181" s="182"/>
    </row>
    <row r="182">
      <c r="A182" s="84"/>
      <c r="B182" s="94" t="str">
        <f>VLOOKUP(A182,'Swiss2 Registry'!$B$2:$C$703,2,False)</f>
        <v>#N/A</v>
      </c>
      <c r="C182" s="90" t="str">
        <f t="shared" si="13"/>
        <v/>
      </c>
      <c r="D182" s="91" t="str">
        <f t="shared" si="15"/>
        <v/>
      </c>
      <c r="E182" s="89" t="str">
        <f t="shared" si="14"/>
        <v/>
      </c>
      <c r="F182" s="94" t="str">
        <f>VLOOKUP(G182,'Swiss2 Registry'!$B$2:$C$703,2,False)</f>
        <v>#N/A</v>
      </c>
      <c r="G182" s="84"/>
      <c r="H182" s="182"/>
    </row>
    <row r="183">
      <c r="A183" s="84"/>
      <c r="B183" s="94" t="str">
        <f>VLOOKUP(A183,'Swiss2 Registry'!$B$2:$C$703,2,False)</f>
        <v>#N/A</v>
      </c>
      <c r="C183" s="90" t="str">
        <f t="shared" si="13"/>
        <v/>
      </c>
      <c r="D183" s="91" t="str">
        <f t="shared" si="15"/>
        <v/>
      </c>
      <c r="E183" s="89" t="str">
        <f t="shared" si="14"/>
        <v/>
      </c>
      <c r="F183" s="94" t="str">
        <f>VLOOKUP(G183,'Swiss2 Registry'!$B$2:$C$703,2,False)</f>
        <v>#N/A</v>
      </c>
      <c r="G183" s="84"/>
      <c r="H183" s="182"/>
    </row>
    <row r="184">
      <c r="A184" s="84"/>
      <c r="B184" s="94" t="str">
        <f>VLOOKUP(A184,'Swiss2 Registry'!$B$2:$C$703,2,False)</f>
        <v>#N/A</v>
      </c>
      <c r="C184" s="90" t="str">
        <f t="shared" si="13"/>
        <v/>
      </c>
      <c r="D184" s="91" t="str">
        <f t="shared" si="15"/>
        <v/>
      </c>
      <c r="E184" s="89" t="str">
        <f t="shared" si="14"/>
        <v/>
      </c>
      <c r="F184" s="94" t="str">
        <f>VLOOKUP(G184,'Swiss2 Registry'!$B$2:$C$703,2,False)</f>
        <v>#N/A</v>
      </c>
      <c r="G184" s="84"/>
      <c r="H184" s="182"/>
    </row>
    <row r="185">
      <c r="A185" s="84"/>
      <c r="B185" s="94" t="str">
        <f>VLOOKUP(A185,'Swiss2 Registry'!$B$2:$C$703,2,False)</f>
        <v>#N/A</v>
      </c>
      <c r="C185" s="90" t="str">
        <f t="shared" si="13"/>
        <v/>
      </c>
      <c r="D185" s="91" t="str">
        <f t="shared" si="15"/>
        <v/>
      </c>
      <c r="E185" s="89" t="str">
        <f t="shared" si="14"/>
        <v/>
      </c>
      <c r="F185" s="94" t="str">
        <f>VLOOKUP(G185,'Swiss2 Registry'!$B$2:$C$703,2,False)</f>
        <v>#N/A</v>
      </c>
      <c r="G185" s="84"/>
      <c r="H185" s="182"/>
    </row>
    <row r="186">
      <c r="A186" s="84"/>
      <c r="B186" s="94" t="str">
        <f>VLOOKUP(A186,'Swiss2 Registry'!$B$2:$C$703,2,False)</f>
        <v>#N/A</v>
      </c>
      <c r="C186" s="90" t="str">
        <f t="shared" si="13"/>
        <v/>
      </c>
      <c r="D186" s="91" t="str">
        <f t="shared" si="15"/>
        <v/>
      </c>
      <c r="E186" s="89" t="str">
        <f t="shared" si="14"/>
        <v/>
      </c>
      <c r="F186" s="94" t="str">
        <f>VLOOKUP(G186,'Swiss2 Registry'!$B$2:$C$703,2,False)</f>
        <v>#N/A</v>
      </c>
      <c r="G186" s="84"/>
      <c r="H186" s="182"/>
    </row>
    <row r="187">
      <c r="A187" s="84"/>
      <c r="B187" s="94" t="str">
        <f>VLOOKUP(A187,'Swiss2 Registry'!$B$2:$C$703,2,False)</f>
        <v>#N/A</v>
      </c>
      <c r="C187" s="90" t="str">
        <f t="shared" si="13"/>
        <v/>
      </c>
      <c r="D187" s="91" t="str">
        <f t="shared" si="15"/>
        <v/>
      </c>
      <c r="E187" s="89" t="str">
        <f t="shared" si="14"/>
        <v/>
      </c>
      <c r="F187" s="94" t="str">
        <f>VLOOKUP(G187,'Swiss2 Registry'!$B$2:$C$703,2,False)</f>
        <v>#N/A</v>
      </c>
      <c r="G187" s="84"/>
      <c r="H187" s="182"/>
    </row>
    <row r="188">
      <c r="A188" s="84"/>
      <c r="B188" s="94" t="str">
        <f>VLOOKUP(A188,'Swiss2 Registry'!$B$2:$C$703,2,False)</f>
        <v>#N/A</v>
      </c>
      <c r="C188" s="90" t="str">
        <f t="shared" si="13"/>
        <v/>
      </c>
      <c r="D188" s="91" t="str">
        <f t="shared" si="15"/>
        <v/>
      </c>
      <c r="E188" s="89" t="str">
        <f t="shared" si="14"/>
        <v/>
      </c>
      <c r="F188" s="94" t="str">
        <f>VLOOKUP(G188,'Swiss2 Registry'!$B$2:$C$703,2,False)</f>
        <v>#N/A</v>
      </c>
      <c r="G188" s="84"/>
      <c r="H188" s="182"/>
    </row>
    <row r="189">
      <c r="A189" s="84"/>
      <c r="B189" s="94" t="str">
        <f>VLOOKUP(A189,'Swiss2 Registry'!$B$2:$C$703,2,False)</f>
        <v>#N/A</v>
      </c>
      <c r="C189" s="90" t="str">
        <f t="shared" si="13"/>
        <v/>
      </c>
      <c r="D189" s="91" t="str">
        <f t="shared" si="15"/>
        <v/>
      </c>
      <c r="E189" s="89" t="str">
        <f t="shared" si="14"/>
        <v/>
      </c>
      <c r="F189" s="94" t="str">
        <f>VLOOKUP(G189,'Swiss2 Registry'!$B$2:$C$703,2,False)</f>
        <v>#N/A</v>
      </c>
      <c r="G189" s="84"/>
      <c r="H189" s="182"/>
    </row>
    <row r="190">
      <c r="A190" s="84"/>
      <c r="B190" s="94" t="str">
        <f>VLOOKUP(A190,'Swiss2 Registry'!$B$2:$C$703,2,False)</f>
        <v>#N/A</v>
      </c>
      <c r="C190" s="90" t="str">
        <f t="shared" si="13"/>
        <v/>
      </c>
      <c r="D190" s="91" t="str">
        <f t="shared" si="15"/>
        <v/>
      </c>
      <c r="E190" s="89" t="str">
        <f t="shared" si="14"/>
        <v/>
      </c>
      <c r="F190" s="94" t="str">
        <f>VLOOKUP(G190,'Swiss2 Registry'!$B$2:$C$703,2,False)</f>
        <v>#N/A</v>
      </c>
      <c r="G190" s="84"/>
      <c r="H190" s="182"/>
    </row>
    <row r="191">
      <c r="A191" s="84"/>
      <c r="B191" s="94" t="str">
        <f>VLOOKUP(A191,'Swiss2 Registry'!$B$2:$C$703,2,False)</f>
        <v>#N/A</v>
      </c>
      <c r="C191" s="90" t="str">
        <f t="shared" si="13"/>
        <v/>
      </c>
      <c r="D191" s="91" t="str">
        <f t="shared" si="15"/>
        <v/>
      </c>
      <c r="E191" s="89" t="str">
        <f t="shared" si="14"/>
        <v/>
      </c>
      <c r="F191" s="94" t="str">
        <f>VLOOKUP(G191,'Swiss2 Registry'!$B$2:$C$703,2,False)</f>
        <v>#N/A</v>
      </c>
      <c r="G191" s="84"/>
      <c r="H191" s="182"/>
    </row>
    <row r="192">
      <c r="A192" s="84"/>
      <c r="B192" s="94" t="str">
        <f>VLOOKUP(A192,'Swiss2 Registry'!$B$2:$C$703,2,False)</f>
        <v>#N/A</v>
      </c>
      <c r="C192" s="90" t="str">
        <f t="shared" si="13"/>
        <v/>
      </c>
      <c r="D192" s="91" t="str">
        <f t="shared" si="15"/>
        <v/>
      </c>
      <c r="E192" s="89" t="str">
        <f t="shared" si="14"/>
        <v/>
      </c>
      <c r="F192" s="94" t="str">
        <f>VLOOKUP(G192,'Swiss2 Registry'!$B$2:$C$703,2,False)</f>
        <v>#N/A</v>
      </c>
      <c r="G192" s="84"/>
      <c r="H192" s="182"/>
    </row>
    <row r="193">
      <c r="A193" s="84"/>
      <c r="B193" s="94" t="str">
        <f>VLOOKUP(A193,'Swiss2 Registry'!$B$2:$C$703,2,False)</f>
        <v>#N/A</v>
      </c>
      <c r="C193" s="90" t="str">
        <f t="shared" si="13"/>
        <v/>
      </c>
      <c r="D193" s="91" t="str">
        <f t="shared" si="15"/>
        <v/>
      </c>
      <c r="E193" s="89" t="str">
        <f t="shared" si="14"/>
        <v/>
      </c>
      <c r="F193" s="94" t="str">
        <f>VLOOKUP(G193,'Swiss2 Registry'!$B$2:$C$703,2,False)</f>
        <v>#N/A</v>
      </c>
      <c r="G193" s="84"/>
      <c r="H193" s="182"/>
    </row>
    <row r="194">
      <c r="A194" s="84"/>
      <c r="B194" s="94" t="str">
        <f>VLOOKUP(A194,'Swiss2 Registry'!$B$2:$C$703,2,False)</f>
        <v>#N/A</v>
      </c>
      <c r="C194" s="90" t="str">
        <f t="shared" si="13"/>
        <v/>
      </c>
      <c r="D194" s="91" t="str">
        <f t="shared" si="15"/>
        <v/>
      </c>
      <c r="E194" s="89" t="str">
        <f t="shared" si="14"/>
        <v/>
      </c>
      <c r="F194" s="94" t="str">
        <f>VLOOKUP(G194,'Swiss2 Registry'!$B$2:$C$703,2,False)</f>
        <v>#N/A</v>
      </c>
      <c r="G194" s="84"/>
      <c r="H194" s="182"/>
    </row>
    <row r="195">
      <c r="A195" s="84"/>
      <c r="B195" s="94" t="str">
        <f>VLOOKUP(A195,'Swiss2 Registry'!$B$2:$C$703,2,False)</f>
        <v>#N/A</v>
      </c>
      <c r="C195" s="90" t="str">
        <f t="shared" si="13"/>
        <v/>
      </c>
      <c r="D195" s="91" t="str">
        <f t="shared" si="15"/>
        <v/>
      </c>
      <c r="E195" s="89" t="str">
        <f t="shared" si="14"/>
        <v/>
      </c>
      <c r="F195" s="94" t="str">
        <f>VLOOKUP(G195,'Swiss2 Registry'!$B$2:$C$703,2,False)</f>
        <v>#N/A</v>
      </c>
      <c r="G195" s="84"/>
      <c r="H195" s="182"/>
    </row>
    <row r="196">
      <c r="A196" s="84"/>
      <c r="B196" s="94" t="str">
        <f>VLOOKUP(A196,'Swiss2 Registry'!$B$2:$C$703,2,False)</f>
        <v>#N/A</v>
      </c>
      <c r="C196" s="90" t="str">
        <f t="shared" si="13"/>
        <v/>
      </c>
      <c r="D196" s="91" t="str">
        <f t="shared" si="15"/>
        <v/>
      </c>
      <c r="E196" s="89" t="str">
        <f t="shared" si="14"/>
        <v/>
      </c>
      <c r="F196" s="94" t="str">
        <f>VLOOKUP(G196,'Swiss2 Registry'!$B$2:$C$703,2,False)</f>
        <v>#N/A</v>
      </c>
      <c r="G196" s="84"/>
      <c r="H196" s="182"/>
    </row>
    <row r="197">
      <c r="A197" s="84"/>
      <c r="B197" s="94" t="str">
        <f>VLOOKUP(A197,'Swiss2 Registry'!$B$2:$C$703,2,False)</f>
        <v>#N/A</v>
      </c>
      <c r="C197" s="90" t="str">
        <f t="shared" si="13"/>
        <v/>
      </c>
      <c r="D197" s="91" t="str">
        <f t="shared" si="15"/>
        <v/>
      </c>
      <c r="E197" s="89" t="str">
        <f t="shared" si="14"/>
        <v/>
      </c>
      <c r="F197" s="94" t="str">
        <f>VLOOKUP(G197,'Swiss2 Registry'!$B$2:$C$703,2,False)</f>
        <v>#N/A</v>
      </c>
      <c r="G197" s="84"/>
      <c r="H197" s="182"/>
    </row>
    <row r="198">
      <c r="A198" s="84"/>
      <c r="B198" s="94" t="str">
        <f>VLOOKUP(A198,'Swiss2 Registry'!$B$2:$C$703,2,False)</f>
        <v>#N/A</v>
      </c>
      <c r="C198" s="90" t="str">
        <f t="shared" si="13"/>
        <v/>
      </c>
      <c r="D198" s="91" t="str">
        <f t="shared" si="15"/>
        <v/>
      </c>
      <c r="E198" s="89" t="str">
        <f t="shared" si="14"/>
        <v/>
      </c>
      <c r="F198" s="94" t="str">
        <f>VLOOKUP(G198,'Swiss2 Registry'!$B$2:$C$703,2,False)</f>
        <v>#N/A</v>
      </c>
      <c r="G198" s="84"/>
      <c r="H198" s="182"/>
    </row>
    <row r="199">
      <c r="A199" s="84"/>
      <c r="B199" s="94" t="str">
        <f>VLOOKUP(A199,'Swiss2 Registry'!$B$2:$C$703,2,False)</f>
        <v>#N/A</v>
      </c>
      <c r="C199" s="90" t="str">
        <f t="shared" si="13"/>
        <v/>
      </c>
      <c r="D199" s="91" t="str">
        <f t="shared" si="15"/>
        <v/>
      </c>
      <c r="E199" s="89" t="str">
        <f t="shared" si="14"/>
        <v/>
      </c>
      <c r="F199" s="94" t="str">
        <f>VLOOKUP(G199,'Swiss2 Registry'!$B$2:$C$703,2,False)</f>
        <v>#N/A</v>
      </c>
      <c r="G199" s="84"/>
      <c r="H199" s="182"/>
    </row>
    <row r="200">
      <c r="A200" s="84"/>
      <c r="B200" s="94" t="str">
        <f>VLOOKUP(A200,'Swiss2 Registry'!$B$2:$C$703,2,False)</f>
        <v>#N/A</v>
      </c>
      <c r="C200" s="90" t="str">
        <f t="shared" si="13"/>
        <v/>
      </c>
      <c r="D200" s="91" t="str">
        <f t="shared" si="15"/>
        <v/>
      </c>
      <c r="E200" s="89" t="str">
        <f t="shared" si="14"/>
        <v/>
      </c>
      <c r="F200" s="94" t="str">
        <f>VLOOKUP(G200,'Swiss2 Registry'!$B$2:$C$703,2,False)</f>
        <v>#N/A</v>
      </c>
      <c r="G200" s="84"/>
      <c r="H200" s="182"/>
    </row>
    <row r="201">
      <c r="A201" s="84"/>
      <c r="B201" s="94" t="str">
        <f>VLOOKUP(A201,'Swiss2 Registry'!$B$2:$C$703,2,False)</f>
        <v>#N/A</v>
      </c>
      <c r="C201" s="90" t="str">
        <f t="shared" si="13"/>
        <v/>
      </c>
      <c r="D201" s="91" t="str">
        <f t="shared" si="15"/>
        <v/>
      </c>
      <c r="E201" s="89" t="str">
        <f t="shared" si="14"/>
        <v/>
      </c>
      <c r="F201" s="94" t="str">
        <f>VLOOKUP(G201,'Swiss2 Registry'!$B$2:$C$703,2,False)</f>
        <v>#N/A</v>
      </c>
      <c r="G201" s="84"/>
      <c r="H201" s="182"/>
    </row>
    <row r="202" ht="15.0" customHeight="1">
      <c r="A202" s="80"/>
      <c r="B202" s="178"/>
      <c r="C202" s="81"/>
      <c r="D202" s="82" t="s">
        <v>7435</v>
      </c>
      <c r="E202" s="81"/>
      <c r="F202" s="178"/>
      <c r="G202" s="81"/>
      <c r="H202" s="81"/>
    </row>
    <row r="203">
      <c r="A203" s="84"/>
      <c r="B203" s="94" t="str">
        <f>VLOOKUP(A203,'Swiss2 Registry'!$B$2:$C$703,2,False)</f>
        <v>#N/A</v>
      </c>
      <c r="C203" s="90" t="str">
        <f t="shared" ref="C203:C241" si="16">IF(H203="dead","",IF(H203="a:act","",IF(H203="b:act","",IF(ISURL(HYPERLINK(INDIRECT("Importer!B"&amp;MID(H203,2,4)+1,TRUE))),HYPERLINK(INDIRECT("Importer!B"&amp;MID(H203,2,4)+1,TRUE), "Game 1"),""))))</f>
        <v/>
      </c>
      <c r="D203" s="91" t="str">
        <f>IF(H203="dead","Dead Game",IF(H203="a:act","Act: "&amp;F203,IF(H203="b:act","Act: "&amp;#REF!,IF(ISURL(HYPERLINK(INDIRECT("Importer!B"&amp;MID(H203,6,4)+1,TRUE))),HYPERLINK(INDIRECT("Importer!B"&amp;MID(H203,6,4)+1,TRUE), "Game 2"),""))))</f>
        <v/>
      </c>
      <c r="E203" s="89" t="str">
        <f t="shared" ref="E203:E241" si="17">IF(H203="dead","",IF(H203="a:act","",IF(H203="b:act","",IF(ISURL(HYPERLINK(INDIRECT("Importer!B"&amp;MID(H203,10,4)+1,TRUE))),HYPERLINK(INDIRECT("Importer!B"&amp;MID(H203,10,4)+1,TRUE), "Game 3"),""))))</f>
        <v/>
      </c>
      <c r="F203" s="94" t="str">
        <f>VLOOKUP(G203,'Swiss2 Registry'!$B$2:$C$703,2,False)</f>
        <v>#N/A</v>
      </c>
      <c r="G203" s="84"/>
      <c r="H203" s="182"/>
    </row>
    <row r="204">
      <c r="A204" s="84"/>
      <c r="B204" s="94" t="str">
        <f>VLOOKUP(A204,'Swiss2 Registry'!$B$2:$C$703,2,False)</f>
        <v>#N/A</v>
      </c>
      <c r="C204" s="90" t="str">
        <f t="shared" si="16"/>
        <v/>
      </c>
      <c r="D204" s="91" t="str">
        <f t="shared" ref="D204:D241" si="18">IF(H204="dead","Dead Game",IF(H204="a:act","Act: "&amp;B204,IF(H204="b:act","Act: "&amp;F204,IF(ISURL(HYPERLINK(INDIRECT("Importer!B"&amp;MID(H204,6,4)+1,TRUE))),HYPERLINK(INDIRECT("Importer!B"&amp;MID(H204,6,4)+1,TRUE), "Game 2"),""))))</f>
        <v/>
      </c>
      <c r="E204" s="89" t="str">
        <f t="shared" si="17"/>
        <v/>
      </c>
      <c r="F204" s="94" t="str">
        <f>VLOOKUP(G204,'Swiss2 Registry'!$B$2:$C$703,2,False)</f>
        <v>#N/A</v>
      </c>
      <c r="G204" s="84"/>
      <c r="H204" s="182"/>
    </row>
    <row r="205">
      <c r="A205" s="84"/>
      <c r="B205" s="94" t="str">
        <f>VLOOKUP(A205,'Swiss2 Registry'!$B$2:$C$703,2,False)</f>
        <v>#N/A</v>
      </c>
      <c r="C205" s="90" t="str">
        <f t="shared" si="16"/>
        <v/>
      </c>
      <c r="D205" s="91" t="str">
        <f t="shared" si="18"/>
        <v/>
      </c>
      <c r="E205" s="89" t="str">
        <f t="shared" si="17"/>
        <v/>
      </c>
      <c r="F205" s="94" t="str">
        <f>VLOOKUP(G205,'Swiss2 Registry'!$B$2:$C$703,2,False)</f>
        <v>#N/A</v>
      </c>
      <c r="G205" s="84"/>
      <c r="H205" s="182"/>
    </row>
    <row r="206">
      <c r="A206" s="84"/>
      <c r="B206" s="94" t="str">
        <f>VLOOKUP(A206,'Swiss2 Registry'!$B$2:$C$703,2,False)</f>
        <v>#N/A</v>
      </c>
      <c r="C206" s="90" t="str">
        <f t="shared" si="16"/>
        <v/>
      </c>
      <c r="D206" s="91" t="str">
        <f t="shared" si="18"/>
        <v/>
      </c>
      <c r="E206" s="89" t="str">
        <f t="shared" si="17"/>
        <v/>
      </c>
      <c r="F206" s="94" t="str">
        <f>VLOOKUP(G206,'Swiss2 Registry'!$B$2:$C$703,2,False)</f>
        <v>#N/A</v>
      </c>
      <c r="G206" s="84"/>
      <c r="H206" s="182"/>
    </row>
    <row r="207">
      <c r="A207" s="84"/>
      <c r="B207" s="94" t="str">
        <f>VLOOKUP(A207,'Swiss2 Registry'!$B$2:$C$703,2,False)</f>
        <v>#N/A</v>
      </c>
      <c r="C207" s="90" t="str">
        <f t="shared" si="16"/>
        <v/>
      </c>
      <c r="D207" s="91" t="str">
        <f t="shared" si="18"/>
        <v/>
      </c>
      <c r="E207" s="89" t="str">
        <f t="shared" si="17"/>
        <v/>
      </c>
      <c r="F207" s="94" t="str">
        <f>VLOOKUP(G207,'Swiss2 Registry'!$B$2:$C$703,2,False)</f>
        <v>#N/A</v>
      </c>
      <c r="G207" s="84"/>
      <c r="H207" s="182"/>
    </row>
    <row r="208">
      <c r="A208" s="84"/>
      <c r="B208" s="94" t="str">
        <f>VLOOKUP(A208,'Swiss2 Registry'!$B$2:$C$703,2,False)</f>
        <v>#N/A</v>
      </c>
      <c r="C208" s="90" t="str">
        <f t="shared" si="16"/>
        <v/>
      </c>
      <c r="D208" s="91" t="str">
        <f t="shared" si="18"/>
        <v/>
      </c>
      <c r="E208" s="89" t="str">
        <f t="shared" si="17"/>
        <v/>
      </c>
      <c r="F208" s="94" t="str">
        <f>VLOOKUP(G208,'Swiss2 Registry'!$B$2:$C$703,2,False)</f>
        <v>#N/A</v>
      </c>
      <c r="G208" s="84"/>
      <c r="H208" s="182"/>
    </row>
    <row r="209">
      <c r="A209" s="84"/>
      <c r="B209" s="94" t="str">
        <f>VLOOKUP(A209,'Swiss2 Registry'!$B$2:$C$703,2,False)</f>
        <v>#N/A</v>
      </c>
      <c r="C209" s="90" t="str">
        <f t="shared" si="16"/>
        <v/>
      </c>
      <c r="D209" s="91" t="str">
        <f t="shared" si="18"/>
        <v/>
      </c>
      <c r="E209" s="89" t="str">
        <f t="shared" si="17"/>
        <v/>
      </c>
      <c r="F209" s="94" t="str">
        <f>VLOOKUP(G209,'Swiss2 Registry'!$B$2:$C$703,2,False)</f>
        <v>#N/A</v>
      </c>
      <c r="G209" s="84"/>
      <c r="H209" s="182"/>
    </row>
    <row r="210">
      <c r="A210" s="84"/>
      <c r="B210" s="94" t="str">
        <f>VLOOKUP(A210,'Swiss2 Registry'!$B$2:$C$703,2,False)</f>
        <v>#N/A</v>
      </c>
      <c r="C210" s="90" t="str">
        <f t="shared" si="16"/>
        <v/>
      </c>
      <c r="D210" s="91" t="str">
        <f t="shared" si="18"/>
        <v/>
      </c>
      <c r="E210" s="89" t="str">
        <f t="shared" si="17"/>
        <v/>
      </c>
      <c r="F210" s="94" t="str">
        <f>VLOOKUP(G210,'Swiss2 Registry'!$B$2:$C$703,2,False)</f>
        <v>#N/A</v>
      </c>
      <c r="G210" s="84"/>
      <c r="H210" s="182"/>
    </row>
    <row r="211">
      <c r="A211" s="84"/>
      <c r="B211" s="94" t="str">
        <f>VLOOKUP(A211,'Swiss2 Registry'!$B$2:$C$703,2,False)</f>
        <v>#N/A</v>
      </c>
      <c r="C211" s="90" t="str">
        <f t="shared" si="16"/>
        <v/>
      </c>
      <c r="D211" s="91" t="str">
        <f t="shared" si="18"/>
        <v/>
      </c>
      <c r="E211" s="89" t="str">
        <f t="shared" si="17"/>
        <v/>
      </c>
      <c r="F211" s="94" t="str">
        <f>VLOOKUP(G211,'Swiss2 Registry'!$B$2:$C$703,2,False)</f>
        <v>#N/A</v>
      </c>
      <c r="G211" s="84"/>
      <c r="H211" s="182"/>
    </row>
    <row r="212">
      <c r="A212" s="84"/>
      <c r="B212" s="94" t="str">
        <f>VLOOKUP(A212,'Swiss2 Registry'!$B$2:$C$703,2,False)</f>
        <v>#N/A</v>
      </c>
      <c r="C212" s="90" t="str">
        <f t="shared" si="16"/>
        <v/>
      </c>
      <c r="D212" s="91" t="str">
        <f t="shared" si="18"/>
        <v/>
      </c>
      <c r="E212" s="89" t="str">
        <f t="shared" si="17"/>
        <v/>
      </c>
      <c r="F212" s="94" t="str">
        <f>VLOOKUP(G212,'Swiss2 Registry'!$B$2:$C$703,2,False)</f>
        <v>#N/A</v>
      </c>
      <c r="G212" s="84"/>
      <c r="H212" s="182"/>
    </row>
    <row r="213">
      <c r="A213" s="84"/>
      <c r="B213" s="94" t="str">
        <f>VLOOKUP(A213,'Swiss2 Registry'!$B$2:$C$703,2,False)</f>
        <v>#N/A</v>
      </c>
      <c r="C213" s="90" t="str">
        <f t="shared" si="16"/>
        <v/>
      </c>
      <c r="D213" s="91" t="str">
        <f t="shared" si="18"/>
        <v/>
      </c>
      <c r="E213" s="89" t="str">
        <f t="shared" si="17"/>
        <v/>
      </c>
      <c r="F213" s="94" t="str">
        <f>VLOOKUP(G213,'Swiss2 Registry'!$B$2:$C$703,2,False)</f>
        <v>#N/A</v>
      </c>
      <c r="G213" s="84"/>
      <c r="H213" s="182"/>
    </row>
    <row r="214">
      <c r="A214" s="84"/>
      <c r="B214" s="94" t="str">
        <f>VLOOKUP(A214,'Swiss2 Registry'!$B$2:$C$703,2,False)</f>
        <v>#N/A</v>
      </c>
      <c r="C214" s="90" t="str">
        <f t="shared" si="16"/>
        <v/>
      </c>
      <c r="D214" s="91" t="str">
        <f t="shared" si="18"/>
        <v/>
      </c>
      <c r="E214" s="89" t="str">
        <f t="shared" si="17"/>
        <v/>
      </c>
      <c r="F214" s="94" t="str">
        <f>VLOOKUP(G214,'Swiss2 Registry'!$B$2:$C$703,2,False)</f>
        <v>#N/A</v>
      </c>
      <c r="G214" s="84"/>
      <c r="H214" s="182"/>
    </row>
    <row r="215">
      <c r="A215" s="84"/>
      <c r="B215" s="94" t="str">
        <f>VLOOKUP(A215,'Swiss2 Registry'!$B$2:$C$703,2,False)</f>
        <v>#N/A</v>
      </c>
      <c r="C215" s="90" t="str">
        <f t="shared" si="16"/>
        <v/>
      </c>
      <c r="D215" s="91" t="str">
        <f t="shared" si="18"/>
        <v/>
      </c>
      <c r="E215" s="89" t="str">
        <f t="shared" si="17"/>
        <v/>
      </c>
      <c r="F215" s="94" t="str">
        <f>VLOOKUP(G215,'Swiss2 Registry'!$B$2:$C$703,2,False)</f>
        <v>#N/A</v>
      </c>
      <c r="G215" s="84"/>
      <c r="H215" s="182"/>
    </row>
    <row r="216">
      <c r="A216" s="84"/>
      <c r="B216" s="94" t="str">
        <f>VLOOKUP(A216,'Swiss2 Registry'!$B$2:$C$703,2,False)</f>
        <v>#N/A</v>
      </c>
      <c r="C216" s="90" t="str">
        <f t="shared" si="16"/>
        <v/>
      </c>
      <c r="D216" s="91" t="str">
        <f t="shared" si="18"/>
        <v/>
      </c>
      <c r="E216" s="89" t="str">
        <f t="shared" si="17"/>
        <v/>
      </c>
      <c r="F216" s="94" t="str">
        <f>VLOOKUP(G216,'Swiss2 Registry'!$B$2:$C$703,2,False)</f>
        <v>#N/A</v>
      </c>
      <c r="G216" s="84"/>
      <c r="H216" s="182"/>
    </row>
    <row r="217">
      <c r="A217" s="84"/>
      <c r="B217" s="94" t="str">
        <f>VLOOKUP(A217,'Swiss2 Registry'!$B$2:$C$703,2,False)</f>
        <v>#N/A</v>
      </c>
      <c r="C217" s="90" t="str">
        <f t="shared" si="16"/>
        <v/>
      </c>
      <c r="D217" s="91" t="str">
        <f t="shared" si="18"/>
        <v/>
      </c>
      <c r="E217" s="89" t="str">
        <f t="shared" si="17"/>
        <v/>
      </c>
      <c r="F217" s="94" t="str">
        <f>VLOOKUP(G217,'Swiss2 Registry'!$B$2:$C$703,2,False)</f>
        <v>#N/A</v>
      </c>
      <c r="G217" s="84"/>
      <c r="H217" s="182"/>
    </row>
    <row r="218">
      <c r="A218" s="84"/>
      <c r="B218" s="94" t="str">
        <f>VLOOKUP(A218,'Swiss2 Registry'!$B$2:$C$703,2,False)</f>
        <v>#N/A</v>
      </c>
      <c r="C218" s="90" t="str">
        <f t="shared" si="16"/>
        <v/>
      </c>
      <c r="D218" s="91" t="str">
        <f t="shared" si="18"/>
        <v/>
      </c>
      <c r="E218" s="89" t="str">
        <f t="shared" si="17"/>
        <v/>
      </c>
      <c r="F218" s="94" t="str">
        <f>VLOOKUP(G218,'Swiss2 Registry'!$B$2:$C$703,2,False)</f>
        <v>#N/A</v>
      </c>
      <c r="G218" s="84"/>
      <c r="H218" s="182"/>
    </row>
    <row r="219">
      <c r="A219" s="84"/>
      <c r="B219" s="94" t="str">
        <f>VLOOKUP(A219,'Swiss2 Registry'!$B$2:$C$703,2,False)</f>
        <v>#N/A</v>
      </c>
      <c r="C219" s="90" t="str">
        <f t="shared" si="16"/>
        <v/>
      </c>
      <c r="D219" s="91" t="str">
        <f t="shared" si="18"/>
        <v/>
      </c>
      <c r="E219" s="89" t="str">
        <f t="shared" si="17"/>
        <v/>
      </c>
      <c r="F219" s="94" t="str">
        <f>VLOOKUP(G219,'Swiss2 Registry'!$B$2:$C$703,2,False)</f>
        <v>#N/A</v>
      </c>
      <c r="G219" s="84"/>
      <c r="H219" s="182"/>
    </row>
    <row r="220">
      <c r="A220" s="84"/>
      <c r="B220" s="94" t="str">
        <f>VLOOKUP(A220,'Swiss2 Registry'!$B$2:$C$703,2,False)</f>
        <v>#N/A</v>
      </c>
      <c r="C220" s="90" t="str">
        <f t="shared" si="16"/>
        <v/>
      </c>
      <c r="D220" s="91" t="str">
        <f t="shared" si="18"/>
        <v/>
      </c>
      <c r="E220" s="89" t="str">
        <f t="shared" si="17"/>
        <v/>
      </c>
      <c r="F220" s="94" t="str">
        <f>VLOOKUP(G220,'Swiss2 Registry'!$B$2:$C$703,2,False)</f>
        <v>#N/A</v>
      </c>
      <c r="G220" s="84"/>
      <c r="H220" s="182"/>
    </row>
    <row r="221">
      <c r="A221" s="84"/>
      <c r="B221" s="94" t="str">
        <f>VLOOKUP(A221,'Swiss2 Registry'!$B$2:$C$703,2,False)</f>
        <v>#N/A</v>
      </c>
      <c r="C221" s="90" t="str">
        <f t="shared" si="16"/>
        <v/>
      </c>
      <c r="D221" s="91" t="str">
        <f t="shared" si="18"/>
        <v/>
      </c>
      <c r="E221" s="89" t="str">
        <f t="shared" si="17"/>
        <v/>
      </c>
      <c r="F221" s="94" t="str">
        <f>VLOOKUP(G221,'Swiss2 Registry'!$B$2:$C$703,2,False)</f>
        <v>#N/A</v>
      </c>
      <c r="G221" s="84"/>
      <c r="H221" s="182"/>
    </row>
    <row r="222">
      <c r="A222" s="84"/>
      <c r="B222" s="94" t="str">
        <f>VLOOKUP(A222,'Swiss2 Registry'!$B$2:$C$703,2,False)</f>
        <v>#N/A</v>
      </c>
      <c r="C222" s="90" t="str">
        <f t="shared" si="16"/>
        <v/>
      </c>
      <c r="D222" s="91" t="str">
        <f t="shared" si="18"/>
        <v/>
      </c>
      <c r="E222" s="89" t="str">
        <f t="shared" si="17"/>
        <v/>
      </c>
      <c r="F222" s="94" t="str">
        <f>VLOOKUP(G222,'Swiss2 Registry'!$B$2:$C$703,2,False)</f>
        <v>#N/A</v>
      </c>
      <c r="G222" s="84"/>
      <c r="H222" s="182"/>
    </row>
    <row r="223">
      <c r="A223" s="84"/>
      <c r="B223" s="94" t="str">
        <f>VLOOKUP(A223,'Swiss2 Registry'!$B$2:$C$703,2,False)</f>
        <v>#N/A</v>
      </c>
      <c r="C223" s="90" t="str">
        <f t="shared" si="16"/>
        <v/>
      </c>
      <c r="D223" s="91" t="str">
        <f t="shared" si="18"/>
        <v/>
      </c>
      <c r="E223" s="89" t="str">
        <f t="shared" si="17"/>
        <v/>
      </c>
      <c r="F223" s="94" t="str">
        <f>VLOOKUP(G223,'Swiss2 Registry'!$B$2:$C$703,2,False)</f>
        <v>#N/A</v>
      </c>
      <c r="G223" s="84"/>
      <c r="H223" s="182"/>
    </row>
    <row r="224">
      <c r="A224" s="84"/>
      <c r="B224" s="94" t="str">
        <f>VLOOKUP(A224,'Swiss2 Registry'!$B$2:$C$703,2,False)</f>
        <v>#N/A</v>
      </c>
      <c r="C224" s="90" t="str">
        <f t="shared" si="16"/>
        <v/>
      </c>
      <c r="D224" s="91" t="str">
        <f t="shared" si="18"/>
        <v/>
      </c>
      <c r="E224" s="89" t="str">
        <f t="shared" si="17"/>
        <v/>
      </c>
      <c r="F224" s="94" t="str">
        <f>VLOOKUP(G224,'Swiss2 Registry'!$B$2:$C$703,2,False)</f>
        <v>#N/A</v>
      </c>
      <c r="G224" s="84"/>
      <c r="H224" s="182"/>
    </row>
    <row r="225">
      <c r="A225" s="84"/>
      <c r="B225" s="94" t="str">
        <f>VLOOKUP(A225,'Swiss2 Registry'!$B$2:$C$703,2,False)</f>
        <v>#N/A</v>
      </c>
      <c r="C225" s="90" t="str">
        <f t="shared" si="16"/>
        <v/>
      </c>
      <c r="D225" s="91" t="str">
        <f t="shared" si="18"/>
        <v/>
      </c>
      <c r="E225" s="89" t="str">
        <f t="shared" si="17"/>
        <v/>
      </c>
      <c r="F225" s="94" t="str">
        <f>VLOOKUP(G225,'Swiss2 Registry'!$B$2:$C$703,2,False)</f>
        <v>#N/A</v>
      </c>
      <c r="G225" s="84"/>
      <c r="H225" s="182"/>
    </row>
    <row r="226">
      <c r="A226" s="84"/>
      <c r="B226" s="94" t="str">
        <f>VLOOKUP(A226,'Swiss2 Registry'!$B$2:$C$703,2,False)</f>
        <v>#N/A</v>
      </c>
      <c r="C226" s="90" t="str">
        <f t="shared" si="16"/>
        <v/>
      </c>
      <c r="D226" s="91" t="str">
        <f t="shared" si="18"/>
        <v/>
      </c>
      <c r="E226" s="89" t="str">
        <f t="shared" si="17"/>
        <v/>
      </c>
      <c r="F226" s="94" t="str">
        <f>VLOOKUP(G226,'Swiss2 Registry'!$B$2:$C$703,2,False)</f>
        <v>#N/A</v>
      </c>
      <c r="G226" s="84"/>
      <c r="H226" s="182"/>
    </row>
    <row r="227">
      <c r="A227" s="84"/>
      <c r="B227" s="94" t="str">
        <f>VLOOKUP(A227,'Swiss2 Registry'!$B$2:$C$703,2,False)</f>
        <v>#N/A</v>
      </c>
      <c r="C227" s="90" t="str">
        <f t="shared" si="16"/>
        <v/>
      </c>
      <c r="D227" s="91" t="str">
        <f t="shared" si="18"/>
        <v/>
      </c>
      <c r="E227" s="89" t="str">
        <f t="shared" si="17"/>
        <v/>
      </c>
      <c r="F227" s="94" t="str">
        <f>VLOOKUP(G227,'Swiss2 Registry'!$B$2:$C$703,2,False)</f>
        <v>#N/A</v>
      </c>
      <c r="G227" s="84"/>
      <c r="H227" s="182"/>
    </row>
    <row r="228">
      <c r="A228" s="84"/>
      <c r="B228" s="94" t="str">
        <f>VLOOKUP(A228,'Swiss2 Registry'!$B$2:$C$703,2,False)</f>
        <v>#N/A</v>
      </c>
      <c r="C228" s="90" t="str">
        <f t="shared" si="16"/>
        <v/>
      </c>
      <c r="D228" s="91" t="str">
        <f t="shared" si="18"/>
        <v/>
      </c>
      <c r="E228" s="89" t="str">
        <f t="shared" si="17"/>
        <v/>
      </c>
      <c r="F228" s="94" t="str">
        <f>VLOOKUP(G228,'Swiss2 Registry'!$B$2:$C$703,2,False)</f>
        <v>#N/A</v>
      </c>
      <c r="G228" s="84"/>
      <c r="H228" s="182"/>
    </row>
    <row r="229">
      <c r="A229" s="84"/>
      <c r="B229" s="94" t="str">
        <f>VLOOKUP(A229,'Swiss2 Registry'!$B$2:$C$703,2,False)</f>
        <v>#N/A</v>
      </c>
      <c r="C229" s="90" t="str">
        <f t="shared" si="16"/>
        <v/>
      </c>
      <c r="D229" s="91" t="str">
        <f t="shared" si="18"/>
        <v/>
      </c>
      <c r="E229" s="89" t="str">
        <f t="shared" si="17"/>
        <v/>
      </c>
      <c r="F229" s="94" t="str">
        <f>VLOOKUP(G229,'Swiss2 Registry'!$B$2:$C$703,2,False)</f>
        <v>#N/A</v>
      </c>
      <c r="G229" s="84"/>
      <c r="H229" s="182"/>
    </row>
    <row r="230">
      <c r="A230" s="84"/>
      <c r="B230" s="94" t="str">
        <f>VLOOKUP(A230,'Swiss2 Registry'!$B$2:$C$703,2,False)</f>
        <v>#N/A</v>
      </c>
      <c r="C230" s="90" t="str">
        <f t="shared" si="16"/>
        <v/>
      </c>
      <c r="D230" s="91" t="str">
        <f t="shared" si="18"/>
        <v/>
      </c>
      <c r="E230" s="89" t="str">
        <f t="shared" si="17"/>
        <v/>
      </c>
      <c r="F230" s="94" t="str">
        <f>VLOOKUP(G230,'Swiss2 Registry'!$B$2:$C$703,2,False)</f>
        <v>#N/A</v>
      </c>
      <c r="G230" s="84"/>
      <c r="H230" s="182"/>
    </row>
    <row r="231">
      <c r="A231" s="84"/>
      <c r="B231" s="94" t="str">
        <f>VLOOKUP(A231,'Swiss2 Registry'!$B$2:$C$703,2,False)</f>
        <v>#N/A</v>
      </c>
      <c r="C231" s="90" t="str">
        <f t="shared" si="16"/>
        <v/>
      </c>
      <c r="D231" s="91" t="str">
        <f t="shared" si="18"/>
        <v/>
      </c>
      <c r="E231" s="89" t="str">
        <f t="shared" si="17"/>
        <v/>
      </c>
      <c r="F231" s="94" t="str">
        <f>VLOOKUP(G231,'Swiss2 Registry'!$B$2:$C$703,2,False)</f>
        <v>#N/A</v>
      </c>
      <c r="G231" s="84"/>
      <c r="H231" s="182"/>
    </row>
    <row r="232">
      <c r="A232" s="84"/>
      <c r="B232" s="94" t="str">
        <f>VLOOKUP(A232,'Swiss2 Registry'!$B$2:$C$703,2,False)</f>
        <v>#N/A</v>
      </c>
      <c r="C232" s="90" t="str">
        <f t="shared" si="16"/>
        <v/>
      </c>
      <c r="D232" s="91" t="str">
        <f t="shared" si="18"/>
        <v/>
      </c>
      <c r="E232" s="89" t="str">
        <f t="shared" si="17"/>
        <v/>
      </c>
      <c r="F232" s="94" t="str">
        <f>VLOOKUP(G232,'Swiss2 Registry'!$B$2:$C$703,2,False)</f>
        <v>#N/A</v>
      </c>
      <c r="G232" s="84"/>
      <c r="H232" s="182"/>
    </row>
    <row r="233">
      <c r="A233" s="84"/>
      <c r="B233" s="94" t="str">
        <f>VLOOKUP(A233,'Swiss2 Registry'!$B$2:$C$703,2,False)</f>
        <v>#N/A</v>
      </c>
      <c r="C233" s="90" t="str">
        <f t="shared" si="16"/>
        <v/>
      </c>
      <c r="D233" s="91" t="str">
        <f t="shared" si="18"/>
        <v/>
      </c>
      <c r="E233" s="89" t="str">
        <f t="shared" si="17"/>
        <v/>
      </c>
      <c r="F233" s="94" t="str">
        <f>VLOOKUP(G233,'Swiss2 Registry'!$B$2:$C$703,2,False)</f>
        <v>#N/A</v>
      </c>
      <c r="G233" s="84"/>
      <c r="H233" s="182"/>
    </row>
    <row r="234">
      <c r="A234" s="84"/>
      <c r="B234" s="94" t="str">
        <f>VLOOKUP(A234,'Swiss2 Registry'!$B$2:$C$703,2,False)</f>
        <v>#N/A</v>
      </c>
      <c r="C234" s="90" t="str">
        <f t="shared" si="16"/>
        <v/>
      </c>
      <c r="D234" s="91" t="str">
        <f t="shared" si="18"/>
        <v/>
      </c>
      <c r="E234" s="89" t="str">
        <f t="shared" si="17"/>
        <v/>
      </c>
      <c r="F234" s="94" t="str">
        <f>VLOOKUP(G234,'Swiss2 Registry'!$B$2:$C$703,2,False)</f>
        <v>#N/A</v>
      </c>
      <c r="G234" s="84"/>
      <c r="H234" s="182"/>
    </row>
    <row r="235">
      <c r="A235" s="84"/>
      <c r="B235" s="94" t="str">
        <f>VLOOKUP(A235,'Swiss2 Registry'!$B$2:$C$703,2,False)</f>
        <v>#N/A</v>
      </c>
      <c r="C235" s="90" t="str">
        <f t="shared" si="16"/>
        <v/>
      </c>
      <c r="D235" s="91" t="str">
        <f t="shared" si="18"/>
        <v/>
      </c>
      <c r="E235" s="89" t="str">
        <f t="shared" si="17"/>
        <v/>
      </c>
      <c r="F235" s="94" t="str">
        <f>VLOOKUP(G235,'Swiss2 Registry'!$B$2:$C$703,2,False)</f>
        <v>#N/A</v>
      </c>
      <c r="G235" s="84"/>
      <c r="H235" s="182"/>
    </row>
    <row r="236">
      <c r="A236" s="84"/>
      <c r="B236" s="94" t="str">
        <f>VLOOKUP(A236,'Swiss2 Registry'!$B$2:$C$703,2,False)</f>
        <v>#N/A</v>
      </c>
      <c r="C236" s="90" t="str">
        <f t="shared" si="16"/>
        <v/>
      </c>
      <c r="D236" s="91" t="str">
        <f t="shared" si="18"/>
        <v/>
      </c>
      <c r="E236" s="89" t="str">
        <f t="shared" si="17"/>
        <v/>
      </c>
      <c r="F236" s="94" t="str">
        <f>VLOOKUP(G236,'Swiss2 Registry'!$B$2:$C$703,2,False)</f>
        <v>#N/A</v>
      </c>
      <c r="G236" s="84"/>
      <c r="H236" s="182"/>
    </row>
    <row r="237">
      <c r="A237" s="84"/>
      <c r="B237" s="94" t="str">
        <f>VLOOKUP(A237,'Swiss2 Registry'!$B$2:$C$703,2,False)</f>
        <v>#N/A</v>
      </c>
      <c r="C237" s="90" t="str">
        <f t="shared" si="16"/>
        <v/>
      </c>
      <c r="D237" s="91" t="str">
        <f t="shared" si="18"/>
        <v/>
      </c>
      <c r="E237" s="89" t="str">
        <f t="shared" si="17"/>
        <v/>
      </c>
      <c r="F237" s="94" t="str">
        <f>VLOOKUP(G237,'Swiss2 Registry'!$B$2:$C$703,2,False)</f>
        <v>#N/A</v>
      </c>
      <c r="G237" s="84"/>
      <c r="H237" s="182"/>
    </row>
    <row r="238">
      <c r="A238" s="84"/>
      <c r="B238" s="94" t="str">
        <f>VLOOKUP(A238,'Swiss2 Registry'!$B$2:$C$703,2,False)</f>
        <v>#N/A</v>
      </c>
      <c r="C238" s="90" t="str">
        <f t="shared" si="16"/>
        <v/>
      </c>
      <c r="D238" s="91" t="str">
        <f t="shared" si="18"/>
        <v/>
      </c>
      <c r="E238" s="89" t="str">
        <f t="shared" si="17"/>
        <v/>
      </c>
      <c r="F238" s="94" t="str">
        <f>VLOOKUP(G238,'Swiss2 Registry'!$B$2:$C$703,2,False)</f>
        <v>#N/A</v>
      </c>
      <c r="G238" s="84"/>
      <c r="H238" s="182"/>
    </row>
    <row r="239">
      <c r="A239" s="84"/>
      <c r="B239" s="94" t="str">
        <f>VLOOKUP(A239,'Swiss2 Registry'!$B$2:$C$703,2,False)</f>
        <v>#N/A</v>
      </c>
      <c r="C239" s="90" t="str">
        <f t="shared" si="16"/>
        <v/>
      </c>
      <c r="D239" s="91" t="str">
        <f t="shared" si="18"/>
        <v/>
      </c>
      <c r="E239" s="89" t="str">
        <f t="shared" si="17"/>
        <v/>
      </c>
      <c r="F239" s="94" t="str">
        <f>VLOOKUP(G239,'Swiss2 Registry'!$B$2:$C$703,2,False)</f>
        <v>#N/A</v>
      </c>
      <c r="G239" s="84"/>
      <c r="H239" s="182"/>
    </row>
    <row r="240">
      <c r="A240" s="84"/>
      <c r="B240" s="94" t="str">
        <f>VLOOKUP(A240,'Swiss2 Registry'!$B$2:$C$703,2,False)</f>
        <v>#N/A</v>
      </c>
      <c r="C240" s="90" t="str">
        <f t="shared" si="16"/>
        <v/>
      </c>
      <c r="D240" s="91" t="str">
        <f t="shared" si="18"/>
        <v/>
      </c>
      <c r="E240" s="89" t="str">
        <f t="shared" si="17"/>
        <v/>
      </c>
      <c r="F240" s="94" t="str">
        <f>VLOOKUP(G240,'Swiss2 Registry'!$B$2:$C$703,2,False)</f>
        <v>#N/A</v>
      </c>
      <c r="G240" s="84"/>
      <c r="H240" s="182"/>
    </row>
    <row r="241">
      <c r="A241" s="84"/>
      <c r="B241" s="94" t="str">
        <f>VLOOKUP(A241,'Swiss2 Registry'!$B$2:$C$703,2,False)</f>
        <v>#N/A</v>
      </c>
      <c r="C241" s="90" t="str">
        <f t="shared" si="16"/>
        <v/>
      </c>
      <c r="D241" s="91" t="str">
        <f t="shared" si="18"/>
        <v/>
      </c>
      <c r="E241" s="89" t="str">
        <f t="shared" si="17"/>
        <v/>
      </c>
      <c r="F241" s="94" t="str">
        <f>VLOOKUP(G241,'Swiss2 Registry'!$B$2:$C$703,2,False)</f>
        <v>#N/A</v>
      </c>
      <c r="G241" s="84"/>
      <c r="H241" s="182"/>
    </row>
    <row r="242" ht="15.0" customHeight="1">
      <c r="A242" s="80"/>
      <c r="B242" s="178"/>
      <c r="C242" s="81"/>
      <c r="D242" s="82" t="s">
        <v>7436</v>
      </c>
      <c r="E242" s="81"/>
      <c r="F242" s="178"/>
      <c r="G242" s="81"/>
      <c r="H242" s="81"/>
    </row>
    <row r="243">
      <c r="A243" s="84"/>
      <c r="B243" s="94" t="str">
        <f>VLOOKUP(A243,'Swiss2 Registry'!$B$2:$C$703,2,False)</f>
        <v>#N/A</v>
      </c>
      <c r="C243" s="90" t="str">
        <f t="shared" ref="C243:C281" si="19">IF(H243="dead","",IF(H243="a:act","",IF(H243="b:act","",IF(ISURL(HYPERLINK(INDIRECT("Importer!B"&amp;MID(H243,2,4)+1,TRUE))),HYPERLINK(INDIRECT("Importer!B"&amp;MID(H243,2,4)+1,TRUE), "Game 1"),""))))</f>
        <v/>
      </c>
      <c r="D243" s="91" t="str">
        <f>IF(H243="dead","Dead Game",IF(H243="a:act","Act: "&amp;F243,IF(H243="b:act","Act: "&amp;#REF!,IF(ISURL(HYPERLINK(INDIRECT("Importer!B"&amp;MID(H243,6,4)+1,TRUE))),HYPERLINK(INDIRECT("Importer!B"&amp;MID(H243,6,4)+1,TRUE), "Game 2"),""))))</f>
        <v/>
      </c>
      <c r="E243" s="89" t="str">
        <f t="shared" ref="E243:E281" si="20">IF(H243="dead","",IF(H243="a:act","",IF(H243="b:act","",IF(ISURL(HYPERLINK(INDIRECT("Importer!B"&amp;MID(H243,10,4)+1,TRUE))),HYPERLINK(INDIRECT("Importer!B"&amp;MID(H243,10,4)+1,TRUE), "Game 3"),""))))</f>
        <v/>
      </c>
      <c r="F243" s="94" t="str">
        <f>VLOOKUP(G243,'Swiss2 Registry'!$B$2:$C$703,2,False)</f>
        <v>#N/A</v>
      </c>
      <c r="G243" s="84"/>
      <c r="H243" s="182"/>
    </row>
    <row r="244">
      <c r="A244" s="84"/>
      <c r="B244" s="94" t="str">
        <f>VLOOKUP(A244,'Swiss2 Registry'!$B$2:$C$703,2,False)</f>
        <v>#N/A</v>
      </c>
      <c r="C244" s="90" t="str">
        <f t="shared" si="19"/>
        <v/>
      </c>
      <c r="D244" s="91" t="str">
        <f t="shared" ref="D244:D281" si="21">IF(H244="dead","Dead Game",IF(H244="a:act","Act: "&amp;B244,IF(H244="b:act","Act: "&amp;F244,IF(ISURL(HYPERLINK(INDIRECT("Importer!B"&amp;MID(H244,6,4)+1,TRUE))),HYPERLINK(INDIRECT("Importer!B"&amp;MID(H244,6,4)+1,TRUE), "Game 2"),""))))</f>
        <v/>
      </c>
      <c r="E244" s="89" t="str">
        <f t="shared" si="20"/>
        <v/>
      </c>
      <c r="F244" s="94" t="str">
        <f>VLOOKUP(G244,'Swiss2 Registry'!$B$2:$C$703,2,False)</f>
        <v>#N/A</v>
      </c>
      <c r="G244" s="84"/>
      <c r="H244" s="182"/>
    </row>
    <row r="245">
      <c r="A245" s="84"/>
      <c r="B245" s="94" t="str">
        <f>VLOOKUP(A245,'Swiss2 Registry'!$B$2:$C$703,2,False)</f>
        <v>#N/A</v>
      </c>
      <c r="C245" s="90" t="str">
        <f t="shared" si="19"/>
        <v/>
      </c>
      <c r="D245" s="91" t="str">
        <f t="shared" si="21"/>
        <v/>
      </c>
      <c r="E245" s="89" t="str">
        <f t="shared" si="20"/>
        <v/>
      </c>
      <c r="F245" s="94" t="str">
        <f>VLOOKUP(G245,'Swiss2 Registry'!$B$2:$C$703,2,False)</f>
        <v>#N/A</v>
      </c>
      <c r="G245" s="84"/>
      <c r="H245" s="182"/>
    </row>
    <row r="246">
      <c r="A246" s="84"/>
      <c r="B246" s="94" t="str">
        <f>VLOOKUP(A246,'Swiss2 Registry'!$B$2:$C$703,2,False)</f>
        <v>#N/A</v>
      </c>
      <c r="C246" s="90" t="str">
        <f t="shared" si="19"/>
        <v/>
      </c>
      <c r="D246" s="91" t="str">
        <f t="shared" si="21"/>
        <v/>
      </c>
      <c r="E246" s="89" t="str">
        <f t="shared" si="20"/>
        <v/>
      </c>
      <c r="F246" s="94" t="str">
        <f>VLOOKUP(G246,'Swiss2 Registry'!$B$2:$C$703,2,False)</f>
        <v>#N/A</v>
      </c>
      <c r="G246" s="84"/>
      <c r="H246" s="182"/>
    </row>
    <row r="247">
      <c r="A247" s="84"/>
      <c r="B247" s="94" t="str">
        <f>VLOOKUP(A247,'Swiss2 Registry'!$B$2:$C$703,2,False)</f>
        <v>#N/A</v>
      </c>
      <c r="C247" s="90" t="str">
        <f t="shared" si="19"/>
        <v/>
      </c>
      <c r="D247" s="91" t="str">
        <f t="shared" si="21"/>
        <v/>
      </c>
      <c r="E247" s="89" t="str">
        <f t="shared" si="20"/>
        <v/>
      </c>
      <c r="F247" s="94" t="str">
        <f>VLOOKUP(G247,'Swiss2 Registry'!$B$2:$C$703,2,False)</f>
        <v>#N/A</v>
      </c>
      <c r="G247" s="84"/>
      <c r="H247" s="182"/>
    </row>
    <row r="248">
      <c r="A248" s="84"/>
      <c r="B248" s="94" t="str">
        <f>VLOOKUP(A248,'Swiss2 Registry'!$B$2:$C$703,2,False)</f>
        <v>#N/A</v>
      </c>
      <c r="C248" s="90" t="str">
        <f t="shared" si="19"/>
        <v/>
      </c>
      <c r="D248" s="91" t="str">
        <f t="shared" si="21"/>
        <v/>
      </c>
      <c r="E248" s="89" t="str">
        <f t="shared" si="20"/>
        <v/>
      </c>
      <c r="F248" s="94" t="str">
        <f>VLOOKUP(G248,'Swiss2 Registry'!$B$2:$C$703,2,False)</f>
        <v>#N/A</v>
      </c>
      <c r="G248" s="84"/>
      <c r="H248" s="182"/>
    </row>
    <row r="249">
      <c r="A249" s="84"/>
      <c r="B249" s="94" t="str">
        <f>VLOOKUP(A249,'Swiss2 Registry'!$B$2:$C$703,2,False)</f>
        <v>#N/A</v>
      </c>
      <c r="C249" s="90" t="str">
        <f t="shared" si="19"/>
        <v/>
      </c>
      <c r="D249" s="91" t="str">
        <f t="shared" si="21"/>
        <v/>
      </c>
      <c r="E249" s="89" t="str">
        <f t="shared" si="20"/>
        <v/>
      </c>
      <c r="F249" s="94" t="str">
        <f>VLOOKUP(G249,'Swiss2 Registry'!$B$2:$C$703,2,False)</f>
        <v>#N/A</v>
      </c>
      <c r="G249" s="84"/>
      <c r="H249" s="182"/>
    </row>
    <row r="250">
      <c r="A250" s="84"/>
      <c r="B250" s="94" t="str">
        <f>VLOOKUP(A250,'Swiss2 Registry'!$B$2:$C$703,2,False)</f>
        <v>#N/A</v>
      </c>
      <c r="C250" s="90" t="str">
        <f t="shared" si="19"/>
        <v/>
      </c>
      <c r="D250" s="91" t="str">
        <f t="shared" si="21"/>
        <v/>
      </c>
      <c r="E250" s="89" t="str">
        <f t="shared" si="20"/>
        <v/>
      </c>
      <c r="F250" s="94" t="str">
        <f>VLOOKUP(G250,'Swiss2 Registry'!$B$2:$C$703,2,False)</f>
        <v>#N/A</v>
      </c>
      <c r="G250" s="84"/>
      <c r="H250" s="182"/>
    </row>
    <row r="251">
      <c r="A251" s="84"/>
      <c r="B251" s="94" t="str">
        <f>VLOOKUP(A251,'Swiss2 Registry'!$B$2:$C$703,2,False)</f>
        <v>#N/A</v>
      </c>
      <c r="C251" s="90" t="str">
        <f t="shared" si="19"/>
        <v/>
      </c>
      <c r="D251" s="91" t="str">
        <f t="shared" si="21"/>
        <v/>
      </c>
      <c r="E251" s="89" t="str">
        <f t="shared" si="20"/>
        <v/>
      </c>
      <c r="F251" s="94" t="str">
        <f>VLOOKUP(G251,'Swiss2 Registry'!$B$2:$C$703,2,False)</f>
        <v>#N/A</v>
      </c>
      <c r="G251" s="84"/>
      <c r="H251" s="182"/>
    </row>
    <row r="252">
      <c r="A252" s="84"/>
      <c r="B252" s="94" t="str">
        <f>VLOOKUP(A252,'Swiss2 Registry'!$B$2:$C$703,2,False)</f>
        <v>#N/A</v>
      </c>
      <c r="C252" s="90" t="str">
        <f t="shared" si="19"/>
        <v/>
      </c>
      <c r="D252" s="91" t="str">
        <f t="shared" si="21"/>
        <v/>
      </c>
      <c r="E252" s="89" t="str">
        <f t="shared" si="20"/>
        <v/>
      </c>
      <c r="F252" s="94" t="str">
        <f>VLOOKUP(G252,'Swiss2 Registry'!$B$2:$C$703,2,False)</f>
        <v>#N/A</v>
      </c>
      <c r="G252" s="84"/>
      <c r="H252" s="182"/>
    </row>
    <row r="253">
      <c r="A253" s="84"/>
      <c r="B253" s="94" t="str">
        <f>VLOOKUP(A253,'Swiss2 Registry'!$B$2:$C$703,2,False)</f>
        <v>#N/A</v>
      </c>
      <c r="C253" s="90" t="str">
        <f t="shared" si="19"/>
        <v/>
      </c>
      <c r="D253" s="91" t="str">
        <f t="shared" si="21"/>
        <v/>
      </c>
      <c r="E253" s="89" t="str">
        <f t="shared" si="20"/>
        <v/>
      </c>
      <c r="F253" s="94" t="str">
        <f>VLOOKUP(G253,'Swiss2 Registry'!$B$2:$C$703,2,False)</f>
        <v>#N/A</v>
      </c>
      <c r="G253" s="84"/>
      <c r="H253" s="182"/>
    </row>
    <row r="254">
      <c r="A254" s="84"/>
      <c r="B254" s="94" t="str">
        <f>VLOOKUP(A254,'Swiss2 Registry'!$B$2:$C$703,2,False)</f>
        <v>#N/A</v>
      </c>
      <c r="C254" s="90" t="str">
        <f t="shared" si="19"/>
        <v/>
      </c>
      <c r="D254" s="91" t="str">
        <f t="shared" si="21"/>
        <v/>
      </c>
      <c r="E254" s="89" t="str">
        <f t="shared" si="20"/>
        <v/>
      </c>
      <c r="F254" s="94" t="str">
        <f>VLOOKUP(G254,'Swiss2 Registry'!$B$2:$C$703,2,False)</f>
        <v>#N/A</v>
      </c>
      <c r="G254" s="84"/>
      <c r="H254" s="182"/>
    </row>
    <row r="255">
      <c r="A255" s="84"/>
      <c r="B255" s="94" t="str">
        <f>VLOOKUP(A255,'Swiss2 Registry'!$B$2:$C$703,2,False)</f>
        <v>#N/A</v>
      </c>
      <c r="C255" s="90" t="str">
        <f t="shared" si="19"/>
        <v/>
      </c>
      <c r="D255" s="91" t="str">
        <f t="shared" si="21"/>
        <v/>
      </c>
      <c r="E255" s="89" t="str">
        <f t="shared" si="20"/>
        <v/>
      </c>
      <c r="F255" s="94" t="str">
        <f>VLOOKUP(G255,'Swiss2 Registry'!$B$2:$C$703,2,False)</f>
        <v>#N/A</v>
      </c>
      <c r="G255" s="84"/>
      <c r="H255" s="182"/>
    </row>
    <row r="256">
      <c r="A256" s="84"/>
      <c r="B256" s="94" t="str">
        <f>VLOOKUP(A256,'Swiss2 Registry'!$B$2:$C$703,2,False)</f>
        <v>#N/A</v>
      </c>
      <c r="C256" s="90" t="str">
        <f t="shared" si="19"/>
        <v/>
      </c>
      <c r="D256" s="91" t="str">
        <f t="shared" si="21"/>
        <v/>
      </c>
      <c r="E256" s="89" t="str">
        <f t="shared" si="20"/>
        <v/>
      </c>
      <c r="F256" s="94" t="str">
        <f>VLOOKUP(G256,'Swiss2 Registry'!$B$2:$C$703,2,False)</f>
        <v>#N/A</v>
      </c>
      <c r="G256" s="84"/>
      <c r="H256" s="182"/>
    </row>
    <row r="257">
      <c r="A257" s="84"/>
      <c r="B257" s="94" t="str">
        <f>VLOOKUP(A257,'Swiss2 Registry'!$B$2:$C$703,2,False)</f>
        <v>#N/A</v>
      </c>
      <c r="C257" s="90" t="str">
        <f t="shared" si="19"/>
        <v/>
      </c>
      <c r="D257" s="91" t="str">
        <f t="shared" si="21"/>
        <v/>
      </c>
      <c r="E257" s="89" t="str">
        <f t="shared" si="20"/>
        <v/>
      </c>
      <c r="F257" s="94" t="str">
        <f>VLOOKUP(G257,'Swiss2 Registry'!$B$2:$C$703,2,False)</f>
        <v>#N/A</v>
      </c>
      <c r="G257" s="84"/>
      <c r="H257" s="182"/>
    </row>
    <row r="258">
      <c r="A258" s="84"/>
      <c r="B258" s="94" t="str">
        <f>VLOOKUP(A258,'Swiss2 Registry'!$B$2:$C$703,2,False)</f>
        <v>#N/A</v>
      </c>
      <c r="C258" s="90" t="str">
        <f t="shared" si="19"/>
        <v/>
      </c>
      <c r="D258" s="91" t="str">
        <f t="shared" si="21"/>
        <v/>
      </c>
      <c r="E258" s="89" t="str">
        <f t="shared" si="20"/>
        <v/>
      </c>
      <c r="F258" s="94" t="str">
        <f>VLOOKUP(G258,'Swiss2 Registry'!$B$2:$C$703,2,False)</f>
        <v>#N/A</v>
      </c>
      <c r="G258" s="84"/>
      <c r="H258" s="182"/>
    </row>
    <row r="259">
      <c r="A259" s="84"/>
      <c r="B259" s="94" t="str">
        <f>VLOOKUP(A259,'Swiss2 Registry'!$B$2:$C$703,2,False)</f>
        <v>#N/A</v>
      </c>
      <c r="C259" s="90" t="str">
        <f t="shared" si="19"/>
        <v/>
      </c>
      <c r="D259" s="91" t="str">
        <f t="shared" si="21"/>
        <v/>
      </c>
      <c r="E259" s="89" t="str">
        <f t="shared" si="20"/>
        <v/>
      </c>
      <c r="F259" s="94" t="str">
        <f>VLOOKUP(G259,'Swiss2 Registry'!$B$2:$C$703,2,False)</f>
        <v>#N/A</v>
      </c>
      <c r="G259" s="84"/>
      <c r="H259" s="182"/>
    </row>
    <row r="260">
      <c r="A260" s="84"/>
      <c r="B260" s="94" t="str">
        <f>VLOOKUP(A260,'Swiss2 Registry'!$B$2:$C$703,2,False)</f>
        <v>#N/A</v>
      </c>
      <c r="C260" s="90" t="str">
        <f t="shared" si="19"/>
        <v/>
      </c>
      <c r="D260" s="91" t="str">
        <f t="shared" si="21"/>
        <v/>
      </c>
      <c r="E260" s="89" t="str">
        <f t="shared" si="20"/>
        <v/>
      </c>
      <c r="F260" s="94" t="str">
        <f>VLOOKUP(G260,'Swiss2 Registry'!$B$2:$C$703,2,False)</f>
        <v>#N/A</v>
      </c>
      <c r="G260" s="84"/>
      <c r="H260" s="182"/>
    </row>
    <row r="261">
      <c r="A261" s="84"/>
      <c r="B261" s="94" t="str">
        <f>VLOOKUP(A261,'Swiss2 Registry'!$B$2:$C$703,2,False)</f>
        <v>#N/A</v>
      </c>
      <c r="C261" s="90" t="str">
        <f t="shared" si="19"/>
        <v/>
      </c>
      <c r="D261" s="91" t="str">
        <f t="shared" si="21"/>
        <v/>
      </c>
      <c r="E261" s="89" t="str">
        <f t="shared" si="20"/>
        <v/>
      </c>
      <c r="F261" s="94" t="str">
        <f>VLOOKUP(G261,'Swiss2 Registry'!$B$2:$C$703,2,False)</f>
        <v>#N/A</v>
      </c>
      <c r="G261" s="84"/>
      <c r="H261" s="182"/>
    </row>
    <row r="262">
      <c r="A262" s="84"/>
      <c r="B262" s="94" t="str">
        <f>VLOOKUP(A262,'Swiss2 Registry'!$B$2:$C$703,2,False)</f>
        <v>#N/A</v>
      </c>
      <c r="C262" s="90" t="str">
        <f t="shared" si="19"/>
        <v/>
      </c>
      <c r="D262" s="91" t="str">
        <f t="shared" si="21"/>
        <v/>
      </c>
      <c r="E262" s="89" t="str">
        <f t="shared" si="20"/>
        <v/>
      </c>
      <c r="F262" s="94" t="str">
        <f>VLOOKUP(G262,'Swiss2 Registry'!$B$2:$C$703,2,False)</f>
        <v>#N/A</v>
      </c>
      <c r="G262" s="84"/>
      <c r="H262" s="182"/>
    </row>
    <row r="263">
      <c r="A263" s="84"/>
      <c r="B263" s="94" t="str">
        <f>VLOOKUP(A263,'Swiss2 Registry'!$B$2:$C$703,2,False)</f>
        <v>#N/A</v>
      </c>
      <c r="C263" s="90" t="str">
        <f t="shared" si="19"/>
        <v/>
      </c>
      <c r="D263" s="91" t="str">
        <f t="shared" si="21"/>
        <v/>
      </c>
      <c r="E263" s="89" t="str">
        <f t="shared" si="20"/>
        <v/>
      </c>
      <c r="F263" s="94" t="str">
        <f>VLOOKUP(G263,'Swiss2 Registry'!$B$2:$C$703,2,False)</f>
        <v>#N/A</v>
      </c>
      <c r="G263" s="84"/>
      <c r="H263" s="182"/>
    </row>
    <row r="264">
      <c r="A264" s="84"/>
      <c r="B264" s="94" t="str">
        <f>VLOOKUP(A264,'Swiss2 Registry'!$B$2:$C$703,2,False)</f>
        <v>#N/A</v>
      </c>
      <c r="C264" s="90" t="str">
        <f t="shared" si="19"/>
        <v/>
      </c>
      <c r="D264" s="91" t="str">
        <f t="shared" si="21"/>
        <v/>
      </c>
      <c r="E264" s="89" t="str">
        <f t="shared" si="20"/>
        <v/>
      </c>
      <c r="F264" s="94" t="str">
        <f>VLOOKUP(G264,'Swiss2 Registry'!$B$2:$C$703,2,False)</f>
        <v>#N/A</v>
      </c>
      <c r="G264" s="84"/>
      <c r="H264" s="182"/>
    </row>
    <row r="265">
      <c r="A265" s="84"/>
      <c r="B265" s="94" t="str">
        <f>VLOOKUP(A265,'Swiss2 Registry'!$B$2:$C$703,2,False)</f>
        <v>#N/A</v>
      </c>
      <c r="C265" s="90" t="str">
        <f t="shared" si="19"/>
        <v/>
      </c>
      <c r="D265" s="91" t="str">
        <f t="shared" si="21"/>
        <v/>
      </c>
      <c r="E265" s="89" t="str">
        <f t="shared" si="20"/>
        <v/>
      </c>
      <c r="F265" s="94" t="str">
        <f>VLOOKUP(G265,'Swiss2 Registry'!$B$2:$C$703,2,False)</f>
        <v>#N/A</v>
      </c>
      <c r="G265" s="84"/>
      <c r="H265" s="182"/>
    </row>
    <row r="266">
      <c r="A266" s="84"/>
      <c r="B266" s="94" t="str">
        <f>VLOOKUP(A266,'Swiss2 Registry'!$B$2:$C$703,2,False)</f>
        <v>#N/A</v>
      </c>
      <c r="C266" s="90" t="str">
        <f t="shared" si="19"/>
        <v/>
      </c>
      <c r="D266" s="91" t="str">
        <f t="shared" si="21"/>
        <v/>
      </c>
      <c r="E266" s="89" t="str">
        <f t="shared" si="20"/>
        <v/>
      </c>
      <c r="F266" s="94" t="str">
        <f>VLOOKUP(G266,'Swiss2 Registry'!$B$2:$C$703,2,False)</f>
        <v>#N/A</v>
      </c>
      <c r="G266" s="84"/>
      <c r="H266" s="182"/>
    </row>
    <row r="267">
      <c r="A267" s="84"/>
      <c r="B267" s="94" t="str">
        <f>VLOOKUP(A267,'Swiss2 Registry'!$B$2:$C$703,2,False)</f>
        <v>#N/A</v>
      </c>
      <c r="C267" s="90" t="str">
        <f t="shared" si="19"/>
        <v/>
      </c>
      <c r="D267" s="91" t="str">
        <f t="shared" si="21"/>
        <v/>
      </c>
      <c r="E267" s="89" t="str">
        <f t="shared" si="20"/>
        <v/>
      </c>
      <c r="F267" s="94" t="str">
        <f>VLOOKUP(G267,'Swiss2 Registry'!$B$2:$C$703,2,False)</f>
        <v>#N/A</v>
      </c>
      <c r="G267" s="84"/>
      <c r="H267" s="182"/>
    </row>
    <row r="268">
      <c r="A268" s="84"/>
      <c r="B268" s="94" t="str">
        <f>VLOOKUP(A268,'Swiss2 Registry'!$B$2:$C$703,2,False)</f>
        <v>#N/A</v>
      </c>
      <c r="C268" s="90" t="str">
        <f t="shared" si="19"/>
        <v/>
      </c>
      <c r="D268" s="91" t="str">
        <f t="shared" si="21"/>
        <v/>
      </c>
      <c r="E268" s="89" t="str">
        <f t="shared" si="20"/>
        <v/>
      </c>
      <c r="F268" s="94" t="str">
        <f>VLOOKUP(G268,'Swiss2 Registry'!$B$2:$C$703,2,False)</f>
        <v>#N/A</v>
      </c>
      <c r="G268" s="84"/>
      <c r="H268" s="182"/>
    </row>
    <row r="269">
      <c r="A269" s="84"/>
      <c r="B269" s="94" t="str">
        <f>VLOOKUP(A269,'Swiss2 Registry'!$B$2:$C$703,2,False)</f>
        <v>#N/A</v>
      </c>
      <c r="C269" s="90" t="str">
        <f t="shared" si="19"/>
        <v/>
      </c>
      <c r="D269" s="91" t="str">
        <f t="shared" si="21"/>
        <v/>
      </c>
      <c r="E269" s="89" t="str">
        <f t="shared" si="20"/>
        <v/>
      </c>
      <c r="F269" s="94" t="str">
        <f>VLOOKUP(G269,'Swiss2 Registry'!$B$2:$C$703,2,False)</f>
        <v>#N/A</v>
      </c>
      <c r="G269" s="84"/>
      <c r="H269" s="182"/>
    </row>
    <row r="270">
      <c r="A270" s="84"/>
      <c r="B270" s="94" t="str">
        <f>VLOOKUP(A270,'Swiss2 Registry'!$B$2:$C$703,2,False)</f>
        <v>#N/A</v>
      </c>
      <c r="C270" s="90" t="str">
        <f t="shared" si="19"/>
        <v/>
      </c>
      <c r="D270" s="91" t="str">
        <f t="shared" si="21"/>
        <v/>
      </c>
      <c r="E270" s="89" t="str">
        <f t="shared" si="20"/>
        <v/>
      </c>
      <c r="F270" s="94" t="str">
        <f>VLOOKUP(G270,'Swiss2 Registry'!$B$2:$C$703,2,False)</f>
        <v>#N/A</v>
      </c>
      <c r="G270" s="84"/>
      <c r="H270" s="182"/>
    </row>
    <row r="271">
      <c r="A271" s="84"/>
      <c r="B271" s="94" t="str">
        <f>VLOOKUP(A271,'Swiss2 Registry'!$B$2:$C$703,2,False)</f>
        <v>#N/A</v>
      </c>
      <c r="C271" s="90" t="str">
        <f t="shared" si="19"/>
        <v/>
      </c>
      <c r="D271" s="91" t="str">
        <f t="shared" si="21"/>
        <v/>
      </c>
      <c r="E271" s="89" t="str">
        <f t="shared" si="20"/>
        <v/>
      </c>
      <c r="F271" s="94" t="str">
        <f>VLOOKUP(G271,'Swiss2 Registry'!$B$2:$C$703,2,False)</f>
        <v>#N/A</v>
      </c>
      <c r="G271" s="84"/>
      <c r="H271" s="182"/>
    </row>
    <row r="272">
      <c r="A272" s="84"/>
      <c r="B272" s="94" t="str">
        <f>VLOOKUP(A272,'Swiss2 Registry'!$B$2:$C$703,2,False)</f>
        <v>#N/A</v>
      </c>
      <c r="C272" s="90" t="str">
        <f t="shared" si="19"/>
        <v/>
      </c>
      <c r="D272" s="91" t="str">
        <f t="shared" si="21"/>
        <v/>
      </c>
      <c r="E272" s="89" t="str">
        <f t="shared" si="20"/>
        <v/>
      </c>
      <c r="F272" s="94" t="str">
        <f>VLOOKUP(G272,'Swiss2 Registry'!$B$2:$C$703,2,False)</f>
        <v>#N/A</v>
      </c>
      <c r="G272" s="84"/>
      <c r="H272" s="182"/>
    </row>
    <row r="273">
      <c r="A273" s="84"/>
      <c r="B273" s="94" t="str">
        <f>VLOOKUP(A273,'Swiss2 Registry'!$B$2:$C$703,2,False)</f>
        <v>#N/A</v>
      </c>
      <c r="C273" s="90" t="str">
        <f t="shared" si="19"/>
        <v/>
      </c>
      <c r="D273" s="91" t="str">
        <f t="shared" si="21"/>
        <v/>
      </c>
      <c r="E273" s="89" t="str">
        <f t="shared" si="20"/>
        <v/>
      </c>
      <c r="F273" s="94" t="str">
        <f>VLOOKUP(G273,'Swiss2 Registry'!$B$2:$C$703,2,False)</f>
        <v>#N/A</v>
      </c>
      <c r="G273" s="84"/>
      <c r="H273" s="182"/>
    </row>
    <row r="274">
      <c r="A274" s="84"/>
      <c r="B274" s="94" t="str">
        <f>VLOOKUP(A274,'Swiss2 Registry'!$B$2:$C$703,2,False)</f>
        <v>#N/A</v>
      </c>
      <c r="C274" s="90" t="str">
        <f t="shared" si="19"/>
        <v/>
      </c>
      <c r="D274" s="91" t="str">
        <f t="shared" si="21"/>
        <v/>
      </c>
      <c r="E274" s="89" t="str">
        <f t="shared" si="20"/>
        <v/>
      </c>
      <c r="F274" s="94" t="str">
        <f>VLOOKUP(G274,'Swiss2 Registry'!$B$2:$C$703,2,False)</f>
        <v>#N/A</v>
      </c>
      <c r="G274" s="84"/>
      <c r="H274" s="182"/>
    </row>
    <row r="275">
      <c r="A275" s="84"/>
      <c r="B275" s="94" t="str">
        <f>VLOOKUP(A275,'Swiss2 Registry'!$B$2:$C$703,2,False)</f>
        <v>#N/A</v>
      </c>
      <c r="C275" s="90" t="str">
        <f t="shared" si="19"/>
        <v/>
      </c>
      <c r="D275" s="91" t="str">
        <f t="shared" si="21"/>
        <v/>
      </c>
      <c r="E275" s="89" t="str">
        <f t="shared" si="20"/>
        <v/>
      </c>
      <c r="F275" s="94" t="str">
        <f>VLOOKUP(G275,'Swiss2 Registry'!$B$2:$C$703,2,False)</f>
        <v>#N/A</v>
      </c>
      <c r="G275" s="84"/>
      <c r="H275" s="182"/>
    </row>
    <row r="276">
      <c r="A276" s="84"/>
      <c r="B276" s="94" t="str">
        <f>VLOOKUP(A276,'Swiss2 Registry'!$B$2:$C$703,2,False)</f>
        <v>#N/A</v>
      </c>
      <c r="C276" s="90" t="str">
        <f t="shared" si="19"/>
        <v/>
      </c>
      <c r="D276" s="91" t="str">
        <f t="shared" si="21"/>
        <v/>
      </c>
      <c r="E276" s="89" t="str">
        <f t="shared" si="20"/>
        <v/>
      </c>
      <c r="F276" s="94" t="str">
        <f>VLOOKUP(G276,'Swiss2 Registry'!$B$2:$C$703,2,False)</f>
        <v>#N/A</v>
      </c>
      <c r="G276" s="84"/>
      <c r="H276" s="182"/>
    </row>
    <row r="277">
      <c r="A277" s="84"/>
      <c r="B277" s="94" t="str">
        <f>VLOOKUP(A277,'Swiss2 Registry'!$B$2:$C$703,2,False)</f>
        <v>#N/A</v>
      </c>
      <c r="C277" s="90" t="str">
        <f t="shared" si="19"/>
        <v/>
      </c>
      <c r="D277" s="91" t="str">
        <f t="shared" si="21"/>
        <v/>
      </c>
      <c r="E277" s="89" t="str">
        <f t="shared" si="20"/>
        <v/>
      </c>
      <c r="F277" s="94" t="str">
        <f>VLOOKUP(G277,'Swiss2 Registry'!$B$2:$C$703,2,False)</f>
        <v>#N/A</v>
      </c>
      <c r="G277" s="84"/>
      <c r="H277" s="182"/>
    </row>
    <row r="278">
      <c r="A278" s="84"/>
      <c r="B278" s="94" t="str">
        <f>VLOOKUP(A278,'Swiss2 Registry'!$B$2:$C$703,2,False)</f>
        <v>#N/A</v>
      </c>
      <c r="C278" s="90" t="str">
        <f t="shared" si="19"/>
        <v/>
      </c>
      <c r="D278" s="91" t="str">
        <f t="shared" si="21"/>
        <v/>
      </c>
      <c r="E278" s="89" t="str">
        <f t="shared" si="20"/>
        <v/>
      </c>
      <c r="F278" s="94" t="str">
        <f>VLOOKUP(G278,'Swiss2 Registry'!$B$2:$C$703,2,False)</f>
        <v>#N/A</v>
      </c>
      <c r="G278" s="84"/>
      <c r="H278" s="182"/>
    </row>
    <row r="279">
      <c r="A279" s="84"/>
      <c r="B279" s="94" t="str">
        <f>VLOOKUP(A279,'Swiss2 Registry'!$B$2:$C$703,2,False)</f>
        <v>#N/A</v>
      </c>
      <c r="C279" s="90" t="str">
        <f t="shared" si="19"/>
        <v/>
      </c>
      <c r="D279" s="91" t="str">
        <f t="shared" si="21"/>
        <v/>
      </c>
      <c r="E279" s="89" t="str">
        <f t="shared" si="20"/>
        <v/>
      </c>
      <c r="F279" s="94" t="str">
        <f>VLOOKUP(G279,'Swiss2 Registry'!$B$2:$C$703,2,False)</f>
        <v>#N/A</v>
      </c>
      <c r="G279" s="84"/>
      <c r="H279" s="182"/>
    </row>
    <row r="280">
      <c r="A280" s="84"/>
      <c r="B280" s="94" t="str">
        <f>VLOOKUP(A280,'Swiss2 Registry'!$B$2:$C$703,2,False)</f>
        <v>#N/A</v>
      </c>
      <c r="C280" s="90" t="str">
        <f t="shared" si="19"/>
        <v/>
      </c>
      <c r="D280" s="91" t="str">
        <f t="shared" si="21"/>
        <v/>
      </c>
      <c r="E280" s="89" t="str">
        <f t="shared" si="20"/>
        <v/>
      </c>
      <c r="F280" s="94" t="str">
        <f>VLOOKUP(G280,'Swiss2 Registry'!$B$2:$C$703,2,False)</f>
        <v>#N/A</v>
      </c>
      <c r="G280" s="84"/>
      <c r="H280" s="182"/>
    </row>
    <row r="281">
      <c r="A281" s="84"/>
      <c r="B281" s="94" t="str">
        <f>VLOOKUP(A281,'Swiss2 Registry'!$B$2:$C$703,2,False)</f>
        <v>#N/A</v>
      </c>
      <c r="C281" s="90" t="str">
        <f t="shared" si="19"/>
        <v/>
      </c>
      <c r="D281" s="91" t="str">
        <f t="shared" si="21"/>
        <v/>
      </c>
      <c r="E281" s="89" t="str">
        <f t="shared" si="20"/>
        <v/>
      </c>
      <c r="F281" s="94" t="str">
        <f>VLOOKUP(G281,'Swiss2 Registry'!$B$2:$C$703,2,False)</f>
        <v>#N/A</v>
      </c>
      <c r="G281" s="84"/>
      <c r="H281" s="182"/>
    </row>
    <row r="282" ht="15.0" customHeight="1">
      <c r="A282" s="80"/>
      <c r="B282" s="178"/>
      <c r="C282" s="81"/>
      <c r="D282" s="82" t="s">
        <v>7437</v>
      </c>
      <c r="E282" s="81"/>
      <c r="F282" s="178"/>
      <c r="G282" s="81"/>
      <c r="H282" s="81"/>
    </row>
    <row r="283">
      <c r="A283" s="84"/>
      <c r="B283" s="94" t="str">
        <f>VLOOKUP(A283,'Swiss2 Registry'!$B$2:$C$703,2,False)</f>
        <v>#N/A</v>
      </c>
      <c r="C283" s="90" t="str">
        <f t="shared" ref="C283:C321" si="22">IF(H283="dead","",IF(H283="a:act","",IF(H283="b:act","",IF(ISURL(HYPERLINK(INDIRECT("Importer!B"&amp;MID(H283,2,4)+1,TRUE))),HYPERLINK(INDIRECT("Importer!B"&amp;MID(H283,2,4)+1,TRUE), "Game 1"),""))))</f>
        <v/>
      </c>
      <c r="D283" s="91" t="str">
        <f>IF(H283="dead","Dead Game",IF(H283="a:act","Act: "&amp;F283,IF(H283="b:act","Act: "&amp;#REF!,IF(ISURL(HYPERLINK(INDIRECT("Importer!B"&amp;MID(H283,6,4)+1,TRUE))),HYPERLINK(INDIRECT("Importer!B"&amp;MID(H283,6,4)+1,TRUE), "Game 2"),""))))</f>
        <v/>
      </c>
      <c r="E283" s="89" t="str">
        <f t="shared" ref="E283:E321" si="23">IF(H283="dead","",IF(H283="a:act","",IF(H283="b:act","",IF(ISURL(HYPERLINK(INDIRECT("Importer!B"&amp;MID(H283,10,4)+1,TRUE))),HYPERLINK(INDIRECT("Importer!B"&amp;MID(H283,10,4)+1,TRUE), "Game 3"),""))))</f>
        <v/>
      </c>
      <c r="F283" s="94" t="str">
        <f>VLOOKUP(G283,'Swiss2 Registry'!$B$2:$C$703,2,False)</f>
        <v>#N/A</v>
      </c>
      <c r="G283" s="84"/>
      <c r="H283" s="182"/>
    </row>
    <row r="284">
      <c r="A284" s="84"/>
      <c r="B284" s="94" t="str">
        <f>VLOOKUP(A284,'Swiss2 Registry'!$B$2:$C$703,2,False)</f>
        <v>#N/A</v>
      </c>
      <c r="C284" s="90" t="str">
        <f t="shared" si="22"/>
        <v/>
      </c>
      <c r="D284" s="91" t="str">
        <f t="shared" ref="D284:D321" si="24">IF(H284="dead","Dead Game",IF(H284="a:act","Act: "&amp;B284,IF(H284="b:act","Act: "&amp;F284,IF(ISURL(HYPERLINK(INDIRECT("Importer!B"&amp;MID(H284,6,4)+1,TRUE))),HYPERLINK(INDIRECT("Importer!B"&amp;MID(H284,6,4)+1,TRUE), "Game 2"),""))))</f>
        <v/>
      </c>
      <c r="E284" s="89" t="str">
        <f t="shared" si="23"/>
        <v/>
      </c>
      <c r="F284" s="94" t="str">
        <f>VLOOKUP(G284,'Swiss2 Registry'!$B$2:$C$703,2,False)</f>
        <v>#N/A</v>
      </c>
      <c r="G284" s="84"/>
      <c r="H284" s="182"/>
    </row>
    <row r="285">
      <c r="A285" s="84"/>
      <c r="B285" s="94" t="str">
        <f>VLOOKUP(A285,'Swiss2 Registry'!$B$2:$C$703,2,False)</f>
        <v>#N/A</v>
      </c>
      <c r="C285" s="90" t="str">
        <f t="shared" si="22"/>
        <v/>
      </c>
      <c r="D285" s="91" t="str">
        <f t="shared" si="24"/>
        <v/>
      </c>
      <c r="E285" s="89" t="str">
        <f t="shared" si="23"/>
        <v/>
      </c>
      <c r="F285" s="94" t="str">
        <f>VLOOKUP(G285,'Swiss2 Registry'!$B$2:$C$703,2,False)</f>
        <v>#N/A</v>
      </c>
      <c r="G285" s="84"/>
      <c r="H285" s="83"/>
    </row>
    <row r="286">
      <c r="A286" s="84"/>
      <c r="B286" s="94" t="str">
        <f>VLOOKUP(A286,'Swiss2 Registry'!$B$2:$C$703,2,False)</f>
        <v>#N/A</v>
      </c>
      <c r="C286" s="90" t="str">
        <f t="shared" si="22"/>
        <v/>
      </c>
      <c r="D286" s="91" t="str">
        <f t="shared" si="24"/>
        <v/>
      </c>
      <c r="E286" s="89" t="str">
        <f t="shared" si="23"/>
        <v/>
      </c>
      <c r="F286" s="94" t="str">
        <f>VLOOKUP(G286,'Swiss2 Registry'!$B$2:$C$703,2,False)</f>
        <v>#N/A</v>
      </c>
      <c r="G286" s="84"/>
      <c r="H286" s="182"/>
    </row>
    <row r="287">
      <c r="A287" s="84"/>
      <c r="B287" s="94" t="str">
        <f>VLOOKUP(A287,'Swiss2 Registry'!$B$2:$C$703,2,False)</f>
        <v>#N/A</v>
      </c>
      <c r="C287" s="90" t="str">
        <f t="shared" si="22"/>
        <v/>
      </c>
      <c r="D287" s="91" t="str">
        <f t="shared" si="24"/>
        <v/>
      </c>
      <c r="E287" s="89" t="str">
        <f t="shared" si="23"/>
        <v/>
      </c>
      <c r="F287" s="94" t="str">
        <f>VLOOKUP(G287,'Swiss2 Registry'!$B$2:$C$703,2,False)</f>
        <v>#N/A</v>
      </c>
      <c r="G287" s="84"/>
      <c r="H287" s="182"/>
    </row>
    <row r="288">
      <c r="A288" s="84"/>
      <c r="B288" s="94" t="str">
        <f>VLOOKUP(A288,'Swiss2 Registry'!$B$2:$C$703,2,False)</f>
        <v>#N/A</v>
      </c>
      <c r="C288" s="90" t="str">
        <f t="shared" si="22"/>
        <v/>
      </c>
      <c r="D288" s="91" t="str">
        <f t="shared" si="24"/>
        <v/>
      </c>
      <c r="E288" s="89" t="str">
        <f t="shared" si="23"/>
        <v/>
      </c>
      <c r="F288" s="94" t="str">
        <f>VLOOKUP(G288,'Swiss2 Registry'!$B$2:$C$703,2,False)</f>
        <v>#N/A</v>
      </c>
      <c r="G288" s="84"/>
      <c r="H288" s="182"/>
    </row>
    <row r="289">
      <c r="A289" s="84"/>
      <c r="B289" s="94" t="str">
        <f>VLOOKUP(A289,'Swiss2 Registry'!$B$2:$C$703,2,False)</f>
        <v>#N/A</v>
      </c>
      <c r="C289" s="90" t="str">
        <f t="shared" si="22"/>
        <v/>
      </c>
      <c r="D289" s="91" t="str">
        <f t="shared" si="24"/>
        <v/>
      </c>
      <c r="E289" s="89" t="str">
        <f t="shared" si="23"/>
        <v/>
      </c>
      <c r="F289" s="94" t="str">
        <f>VLOOKUP(G289,'Swiss2 Registry'!$B$2:$C$703,2,False)</f>
        <v>#N/A</v>
      </c>
      <c r="G289" s="84"/>
      <c r="H289" s="182"/>
    </row>
    <row r="290">
      <c r="A290" s="84"/>
      <c r="B290" s="94" t="str">
        <f>VLOOKUP(A290,'Swiss2 Registry'!$B$2:$C$703,2,False)</f>
        <v>#N/A</v>
      </c>
      <c r="C290" s="90" t="str">
        <f t="shared" si="22"/>
        <v/>
      </c>
      <c r="D290" s="91" t="str">
        <f t="shared" si="24"/>
        <v/>
      </c>
      <c r="E290" s="89" t="str">
        <f t="shared" si="23"/>
        <v/>
      </c>
      <c r="F290" s="94" t="str">
        <f>VLOOKUP(G290,'Swiss2 Registry'!$B$2:$C$703,2,False)</f>
        <v>#N/A</v>
      </c>
      <c r="G290" s="84"/>
      <c r="H290" s="182"/>
    </row>
    <row r="291">
      <c r="A291" s="84"/>
      <c r="B291" s="94" t="str">
        <f>VLOOKUP(A291,'Swiss2 Registry'!$B$2:$C$703,2,False)</f>
        <v>#N/A</v>
      </c>
      <c r="C291" s="90" t="str">
        <f t="shared" si="22"/>
        <v/>
      </c>
      <c r="D291" s="91" t="str">
        <f t="shared" si="24"/>
        <v/>
      </c>
      <c r="E291" s="89" t="str">
        <f t="shared" si="23"/>
        <v/>
      </c>
      <c r="F291" s="94" t="str">
        <f>VLOOKUP(G291,'Swiss2 Registry'!$B$2:$C$703,2,False)</f>
        <v>#N/A</v>
      </c>
      <c r="G291" s="84"/>
      <c r="H291" s="182"/>
    </row>
    <row r="292">
      <c r="A292" s="84"/>
      <c r="B292" s="94" t="str">
        <f>VLOOKUP(A292,'Swiss2 Registry'!$B$2:$C$703,2,False)</f>
        <v>#N/A</v>
      </c>
      <c r="C292" s="90" t="str">
        <f t="shared" si="22"/>
        <v/>
      </c>
      <c r="D292" s="91" t="str">
        <f t="shared" si="24"/>
        <v/>
      </c>
      <c r="E292" s="89" t="str">
        <f t="shared" si="23"/>
        <v/>
      </c>
      <c r="F292" s="94" t="str">
        <f>VLOOKUP(G292,'Swiss2 Registry'!$B$2:$C$703,2,False)</f>
        <v>#N/A</v>
      </c>
      <c r="G292" s="84"/>
      <c r="H292" s="182"/>
    </row>
    <row r="293">
      <c r="A293" s="84"/>
      <c r="B293" s="94" t="str">
        <f>VLOOKUP(A293,'Swiss2 Registry'!$B$2:$C$703,2,False)</f>
        <v>#N/A</v>
      </c>
      <c r="C293" s="90" t="str">
        <f t="shared" si="22"/>
        <v/>
      </c>
      <c r="D293" s="91" t="str">
        <f t="shared" si="24"/>
        <v/>
      </c>
      <c r="E293" s="89" t="str">
        <f t="shared" si="23"/>
        <v/>
      </c>
      <c r="F293" s="94" t="str">
        <f>VLOOKUP(G293,'Swiss2 Registry'!$B$2:$C$703,2,False)</f>
        <v>#N/A</v>
      </c>
      <c r="G293" s="84"/>
      <c r="H293" s="182"/>
    </row>
    <row r="294">
      <c r="A294" s="84"/>
      <c r="B294" s="94" t="str">
        <f>VLOOKUP(A294,'Swiss2 Registry'!$B$2:$C$703,2,False)</f>
        <v>#N/A</v>
      </c>
      <c r="C294" s="90" t="str">
        <f t="shared" si="22"/>
        <v/>
      </c>
      <c r="D294" s="91" t="str">
        <f t="shared" si="24"/>
        <v/>
      </c>
      <c r="E294" s="89" t="str">
        <f t="shared" si="23"/>
        <v/>
      </c>
      <c r="F294" s="94" t="str">
        <f>VLOOKUP(G294,'Swiss2 Registry'!$B$2:$C$703,2,False)</f>
        <v>#N/A</v>
      </c>
      <c r="G294" s="84"/>
      <c r="H294" s="182"/>
    </row>
    <row r="295">
      <c r="A295" s="84"/>
      <c r="B295" s="94" t="str">
        <f>VLOOKUP(A295,'Swiss2 Registry'!$B$2:$C$703,2,False)</f>
        <v>#N/A</v>
      </c>
      <c r="C295" s="90" t="str">
        <f t="shared" si="22"/>
        <v/>
      </c>
      <c r="D295" s="91" t="str">
        <f t="shared" si="24"/>
        <v/>
      </c>
      <c r="E295" s="89" t="str">
        <f t="shared" si="23"/>
        <v/>
      </c>
      <c r="F295" s="94" t="str">
        <f>VLOOKUP(G295,'Swiss2 Registry'!$B$2:$C$703,2,False)</f>
        <v>#N/A</v>
      </c>
      <c r="G295" s="84"/>
      <c r="H295" s="182"/>
    </row>
    <row r="296">
      <c r="A296" s="84"/>
      <c r="B296" s="94" t="str">
        <f>VLOOKUP(A296,'Swiss2 Registry'!$B$2:$C$703,2,False)</f>
        <v>#N/A</v>
      </c>
      <c r="C296" s="90" t="str">
        <f t="shared" si="22"/>
        <v/>
      </c>
      <c r="D296" s="91" t="str">
        <f t="shared" si="24"/>
        <v/>
      </c>
      <c r="E296" s="89" t="str">
        <f t="shared" si="23"/>
        <v/>
      </c>
      <c r="F296" s="94" t="str">
        <f>VLOOKUP(G296,'Swiss2 Registry'!$B$2:$C$703,2,False)</f>
        <v>#N/A</v>
      </c>
      <c r="G296" s="84"/>
      <c r="H296" s="182"/>
    </row>
    <row r="297">
      <c r="A297" s="84"/>
      <c r="B297" s="94" t="str">
        <f>VLOOKUP(A297,'Swiss2 Registry'!$B$2:$C$703,2,False)</f>
        <v>#N/A</v>
      </c>
      <c r="C297" s="90" t="str">
        <f t="shared" si="22"/>
        <v/>
      </c>
      <c r="D297" s="91" t="str">
        <f t="shared" si="24"/>
        <v/>
      </c>
      <c r="E297" s="89" t="str">
        <f t="shared" si="23"/>
        <v/>
      </c>
      <c r="F297" s="94" t="str">
        <f>VLOOKUP(G297,'Swiss2 Registry'!$B$2:$C$703,2,False)</f>
        <v>#N/A</v>
      </c>
      <c r="G297" s="84"/>
      <c r="H297" s="182"/>
    </row>
    <row r="298">
      <c r="A298" s="84"/>
      <c r="B298" s="94" t="str">
        <f>VLOOKUP(A298,'Swiss2 Registry'!$B$2:$C$703,2,False)</f>
        <v>#N/A</v>
      </c>
      <c r="C298" s="90" t="str">
        <f t="shared" si="22"/>
        <v/>
      </c>
      <c r="D298" s="91" t="str">
        <f t="shared" si="24"/>
        <v/>
      </c>
      <c r="E298" s="89" t="str">
        <f t="shared" si="23"/>
        <v/>
      </c>
      <c r="F298" s="94" t="str">
        <f>VLOOKUP(G298,'Swiss2 Registry'!$B$2:$C$703,2,False)</f>
        <v>#N/A</v>
      </c>
      <c r="G298" s="84"/>
      <c r="H298" s="182"/>
    </row>
    <row r="299">
      <c r="A299" s="84"/>
      <c r="B299" s="94" t="str">
        <f>VLOOKUP(A299,'Swiss2 Registry'!$B$2:$C$703,2,False)</f>
        <v>#N/A</v>
      </c>
      <c r="C299" s="90" t="str">
        <f t="shared" si="22"/>
        <v/>
      </c>
      <c r="D299" s="91" t="str">
        <f t="shared" si="24"/>
        <v/>
      </c>
      <c r="E299" s="89" t="str">
        <f t="shared" si="23"/>
        <v/>
      </c>
      <c r="F299" s="94" t="str">
        <f>VLOOKUP(G299,'Swiss2 Registry'!$B$2:$C$703,2,False)</f>
        <v>#N/A</v>
      </c>
      <c r="G299" s="84"/>
      <c r="H299" s="182"/>
    </row>
    <row r="300">
      <c r="A300" s="84"/>
      <c r="B300" s="94" t="str">
        <f>VLOOKUP(A300,'Swiss2 Registry'!$B$2:$C$703,2,False)</f>
        <v>#N/A</v>
      </c>
      <c r="C300" s="90" t="str">
        <f t="shared" si="22"/>
        <v/>
      </c>
      <c r="D300" s="91" t="str">
        <f t="shared" si="24"/>
        <v/>
      </c>
      <c r="E300" s="89" t="str">
        <f t="shared" si="23"/>
        <v/>
      </c>
      <c r="F300" s="94" t="str">
        <f>VLOOKUP(G300,'Swiss2 Registry'!$B$2:$C$703,2,False)</f>
        <v>#N/A</v>
      </c>
      <c r="G300" s="84"/>
      <c r="H300" s="182"/>
    </row>
    <row r="301">
      <c r="A301" s="84"/>
      <c r="B301" s="94" t="str">
        <f>VLOOKUP(A301,'Swiss2 Registry'!$B$2:$C$703,2,False)</f>
        <v>#N/A</v>
      </c>
      <c r="C301" s="90" t="str">
        <f t="shared" si="22"/>
        <v/>
      </c>
      <c r="D301" s="91" t="str">
        <f t="shared" si="24"/>
        <v/>
      </c>
      <c r="E301" s="89" t="str">
        <f t="shared" si="23"/>
        <v/>
      </c>
      <c r="F301" s="94" t="str">
        <f>VLOOKUP(G301,'Swiss2 Registry'!$B$2:$C$703,2,False)</f>
        <v>#N/A</v>
      </c>
      <c r="G301" s="84"/>
      <c r="H301" s="182"/>
    </row>
    <row r="302">
      <c r="A302" s="84"/>
      <c r="B302" s="94" t="str">
        <f>VLOOKUP(A302,'Swiss2 Registry'!$B$2:$C$703,2,False)</f>
        <v>#N/A</v>
      </c>
      <c r="C302" s="90" t="str">
        <f t="shared" si="22"/>
        <v/>
      </c>
      <c r="D302" s="91" t="str">
        <f t="shared" si="24"/>
        <v/>
      </c>
      <c r="E302" s="89" t="str">
        <f t="shared" si="23"/>
        <v/>
      </c>
      <c r="F302" s="94" t="str">
        <f>VLOOKUP(G302,'Swiss2 Registry'!$B$2:$C$703,2,False)</f>
        <v>#N/A</v>
      </c>
      <c r="G302" s="84"/>
      <c r="H302" s="182"/>
    </row>
    <row r="303">
      <c r="A303" s="84"/>
      <c r="B303" s="94" t="str">
        <f>VLOOKUP(A303,'Swiss2 Registry'!$B$2:$C$703,2,False)</f>
        <v>#N/A</v>
      </c>
      <c r="C303" s="90" t="str">
        <f t="shared" si="22"/>
        <v/>
      </c>
      <c r="D303" s="91" t="str">
        <f t="shared" si="24"/>
        <v/>
      </c>
      <c r="E303" s="89" t="str">
        <f t="shared" si="23"/>
        <v/>
      </c>
      <c r="F303" s="94" t="str">
        <f>VLOOKUP(G303,'Swiss2 Registry'!$B$2:$C$703,2,False)</f>
        <v>#N/A</v>
      </c>
      <c r="G303" s="84"/>
      <c r="H303" s="182"/>
    </row>
    <row r="304">
      <c r="A304" s="84"/>
      <c r="B304" s="94" t="str">
        <f>VLOOKUP(A304,'Swiss2 Registry'!$B$2:$C$703,2,False)</f>
        <v>#N/A</v>
      </c>
      <c r="C304" s="90" t="str">
        <f t="shared" si="22"/>
        <v/>
      </c>
      <c r="D304" s="91" t="str">
        <f t="shared" si="24"/>
        <v/>
      </c>
      <c r="E304" s="89" t="str">
        <f t="shared" si="23"/>
        <v/>
      </c>
      <c r="F304" s="94" t="str">
        <f>VLOOKUP(G304,'Swiss2 Registry'!$B$2:$C$703,2,False)</f>
        <v>#N/A</v>
      </c>
      <c r="G304" s="84"/>
      <c r="H304" s="182"/>
    </row>
    <row r="305">
      <c r="A305" s="84"/>
      <c r="B305" s="94" t="str">
        <f>VLOOKUP(A305,'Swiss2 Registry'!$B$2:$C$703,2,False)</f>
        <v>#N/A</v>
      </c>
      <c r="C305" s="90" t="str">
        <f t="shared" si="22"/>
        <v/>
      </c>
      <c r="D305" s="91" t="str">
        <f t="shared" si="24"/>
        <v/>
      </c>
      <c r="E305" s="89" t="str">
        <f t="shared" si="23"/>
        <v/>
      </c>
      <c r="F305" s="94" t="str">
        <f>VLOOKUP(G305,'Swiss2 Registry'!$B$2:$C$703,2,False)</f>
        <v>#N/A</v>
      </c>
      <c r="G305" s="84"/>
      <c r="H305" s="182"/>
    </row>
    <row r="306">
      <c r="A306" s="84"/>
      <c r="B306" s="94" t="str">
        <f>VLOOKUP(A306,'Swiss2 Registry'!$B$2:$C$703,2,False)</f>
        <v>#N/A</v>
      </c>
      <c r="C306" s="90" t="str">
        <f t="shared" si="22"/>
        <v/>
      </c>
      <c r="D306" s="91" t="str">
        <f t="shared" si="24"/>
        <v/>
      </c>
      <c r="E306" s="89" t="str">
        <f t="shared" si="23"/>
        <v/>
      </c>
      <c r="F306" s="94" t="str">
        <f>VLOOKUP(G306,'Swiss2 Registry'!$B$2:$C$703,2,False)</f>
        <v>#N/A</v>
      </c>
      <c r="G306" s="84"/>
      <c r="H306" s="182"/>
    </row>
    <row r="307">
      <c r="A307" s="84"/>
      <c r="B307" s="94" t="str">
        <f>VLOOKUP(A307,'Swiss2 Registry'!$B$2:$C$703,2,False)</f>
        <v>#N/A</v>
      </c>
      <c r="C307" s="90" t="str">
        <f t="shared" si="22"/>
        <v/>
      </c>
      <c r="D307" s="91" t="str">
        <f t="shared" si="24"/>
        <v/>
      </c>
      <c r="E307" s="89" t="str">
        <f t="shared" si="23"/>
        <v/>
      </c>
      <c r="F307" s="94" t="str">
        <f>VLOOKUP(G307,'Swiss2 Registry'!$B$2:$C$703,2,False)</f>
        <v>#N/A</v>
      </c>
      <c r="G307" s="84"/>
      <c r="H307" s="182"/>
    </row>
    <row r="308">
      <c r="A308" s="84"/>
      <c r="B308" s="94" t="str">
        <f>VLOOKUP(A308,'Swiss2 Registry'!$B$2:$C$703,2,False)</f>
        <v>#N/A</v>
      </c>
      <c r="C308" s="90" t="str">
        <f t="shared" si="22"/>
        <v/>
      </c>
      <c r="D308" s="91" t="str">
        <f t="shared" si="24"/>
        <v/>
      </c>
      <c r="E308" s="89" t="str">
        <f t="shared" si="23"/>
        <v/>
      </c>
      <c r="F308" s="94" t="str">
        <f>VLOOKUP(G308,'Swiss2 Registry'!$B$2:$C$703,2,False)</f>
        <v>#N/A</v>
      </c>
      <c r="G308" s="84"/>
      <c r="H308" s="182"/>
    </row>
    <row r="309">
      <c r="A309" s="84"/>
      <c r="B309" s="94" t="str">
        <f>VLOOKUP(A309,'Swiss2 Registry'!$B$2:$C$703,2,False)</f>
        <v>#N/A</v>
      </c>
      <c r="C309" s="90" t="str">
        <f t="shared" si="22"/>
        <v/>
      </c>
      <c r="D309" s="91" t="str">
        <f t="shared" si="24"/>
        <v/>
      </c>
      <c r="E309" s="89" t="str">
        <f t="shared" si="23"/>
        <v/>
      </c>
      <c r="F309" s="94" t="str">
        <f>VLOOKUP(G309,'Swiss2 Registry'!$B$2:$C$703,2,False)</f>
        <v>#N/A</v>
      </c>
      <c r="G309" s="84"/>
      <c r="H309" s="182"/>
    </row>
    <row r="310">
      <c r="A310" s="84"/>
      <c r="B310" s="94" t="str">
        <f>VLOOKUP(A310,'Swiss2 Registry'!$B$2:$C$703,2,False)</f>
        <v>#N/A</v>
      </c>
      <c r="C310" s="90" t="str">
        <f t="shared" si="22"/>
        <v/>
      </c>
      <c r="D310" s="91" t="str">
        <f t="shared" si="24"/>
        <v/>
      </c>
      <c r="E310" s="89" t="str">
        <f t="shared" si="23"/>
        <v/>
      </c>
      <c r="F310" s="94" t="str">
        <f>VLOOKUP(G310,'Swiss2 Registry'!$B$2:$C$703,2,False)</f>
        <v>#N/A</v>
      </c>
      <c r="G310" s="84"/>
      <c r="H310" s="182"/>
    </row>
    <row r="311">
      <c r="A311" s="84"/>
      <c r="B311" s="94" t="str">
        <f>VLOOKUP(A311,'Swiss2 Registry'!$B$2:$C$703,2,False)</f>
        <v>#N/A</v>
      </c>
      <c r="C311" s="90" t="str">
        <f t="shared" si="22"/>
        <v/>
      </c>
      <c r="D311" s="91" t="str">
        <f t="shared" si="24"/>
        <v/>
      </c>
      <c r="E311" s="89" t="str">
        <f t="shared" si="23"/>
        <v/>
      </c>
      <c r="F311" s="94" t="str">
        <f>VLOOKUP(G311,'Swiss2 Registry'!$B$2:$C$703,2,False)</f>
        <v>#N/A</v>
      </c>
      <c r="G311" s="84"/>
      <c r="H311" s="182"/>
    </row>
    <row r="312">
      <c r="A312" s="84"/>
      <c r="B312" s="94" t="str">
        <f>VLOOKUP(A312,'Swiss2 Registry'!$B$2:$C$703,2,False)</f>
        <v>#N/A</v>
      </c>
      <c r="C312" s="90" t="str">
        <f t="shared" si="22"/>
        <v/>
      </c>
      <c r="D312" s="91" t="str">
        <f t="shared" si="24"/>
        <v/>
      </c>
      <c r="E312" s="89" t="str">
        <f t="shared" si="23"/>
        <v/>
      </c>
      <c r="F312" s="94" t="str">
        <f>VLOOKUP(G312,'Swiss2 Registry'!$B$2:$C$703,2,False)</f>
        <v>#N/A</v>
      </c>
      <c r="G312" s="84"/>
      <c r="H312" s="182"/>
    </row>
    <row r="313">
      <c r="A313" s="84"/>
      <c r="B313" s="94" t="str">
        <f>VLOOKUP(A313,'Swiss2 Registry'!$B$2:$C$703,2,False)</f>
        <v>#N/A</v>
      </c>
      <c r="C313" s="90" t="str">
        <f t="shared" si="22"/>
        <v/>
      </c>
      <c r="D313" s="91" t="str">
        <f t="shared" si="24"/>
        <v/>
      </c>
      <c r="E313" s="89" t="str">
        <f t="shared" si="23"/>
        <v/>
      </c>
      <c r="F313" s="94" t="str">
        <f>VLOOKUP(G313,'Swiss2 Registry'!$B$2:$C$703,2,False)</f>
        <v>#N/A</v>
      </c>
      <c r="G313" s="84"/>
      <c r="H313" s="182"/>
    </row>
    <row r="314">
      <c r="A314" s="84"/>
      <c r="B314" s="94" t="str">
        <f>VLOOKUP(A314,'Swiss2 Registry'!$B$2:$C$703,2,False)</f>
        <v>#N/A</v>
      </c>
      <c r="C314" s="90" t="str">
        <f t="shared" si="22"/>
        <v/>
      </c>
      <c r="D314" s="91" t="str">
        <f t="shared" si="24"/>
        <v/>
      </c>
      <c r="E314" s="89" t="str">
        <f t="shared" si="23"/>
        <v/>
      </c>
      <c r="F314" s="94" t="str">
        <f>VLOOKUP(G314,'Swiss2 Registry'!$B$2:$C$703,2,False)</f>
        <v>#N/A</v>
      </c>
      <c r="G314" s="84"/>
      <c r="H314" s="182"/>
    </row>
    <row r="315">
      <c r="A315" s="84"/>
      <c r="B315" s="94" t="str">
        <f>VLOOKUP(A315,'Swiss2 Registry'!$B$2:$C$703,2,False)</f>
        <v>#N/A</v>
      </c>
      <c r="C315" s="90" t="str">
        <f t="shared" si="22"/>
        <v/>
      </c>
      <c r="D315" s="91" t="str">
        <f t="shared" si="24"/>
        <v/>
      </c>
      <c r="E315" s="89" t="str">
        <f t="shared" si="23"/>
        <v/>
      </c>
      <c r="F315" s="94" t="str">
        <f>VLOOKUP(G315,'Swiss2 Registry'!$B$2:$C$703,2,False)</f>
        <v>#N/A</v>
      </c>
      <c r="G315" s="84"/>
      <c r="H315" s="182"/>
    </row>
    <row r="316">
      <c r="A316" s="84"/>
      <c r="B316" s="94" t="str">
        <f>VLOOKUP(A316,'Swiss2 Registry'!$B$2:$C$703,2,False)</f>
        <v>#N/A</v>
      </c>
      <c r="C316" s="90" t="str">
        <f t="shared" si="22"/>
        <v/>
      </c>
      <c r="D316" s="91" t="str">
        <f t="shared" si="24"/>
        <v/>
      </c>
      <c r="E316" s="89" t="str">
        <f t="shared" si="23"/>
        <v/>
      </c>
      <c r="F316" s="94" t="str">
        <f>VLOOKUP(G316,'Swiss2 Registry'!$B$2:$C$703,2,False)</f>
        <v>#N/A</v>
      </c>
      <c r="G316" s="84"/>
      <c r="H316" s="182"/>
    </row>
    <row r="317">
      <c r="A317" s="84"/>
      <c r="B317" s="94" t="str">
        <f>VLOOKUP(A317,'Swiss2 Registry'!$B$2:$C$703,2,False)</f>
        <v>#N/A</v>
      </c>
      <c r="C317" s="90" t="str">
        <f t="shared" si="22"/>
        <v/>
      </c>
      <c r="D317" s="91" t="str">
        <f t="shared" si="24"/>
        <v/>
      </c>
      <c r="E317" s="89" t="str">
        <f t="shared" si="23"/>
        <v/>
      </c>
      <c r="F317" s="94" t="str">
        <f>VLOOKUP(G317,'Swiss2 Registry'!$B$2:$C$703,2,False)</f>
        <v>#N/A</v>
      </c>
      <c r="G317" s="84"/>
      <c r="H317" s="182"/>
    </row>
    <row r="318">
      <c r="A318" s="84"/>
      <c r="B318" s="94" t="str">
        <f>VLOOKUP(A318,'Swiss2 Registry'!$B$2:$C$703,2,False)</f>
        <v>#N/A</v>
      </c>
      <c r="C318" s="90" t="str">
        <f t="shared" si="22"/>
        <v/>
      </c>
      <c r="D318" s="91" t="str">
        <f t="shared" si="24"/>
        <v/>
      </c>
      <c r="E318" s="89" t="str">
        <f t="shared" si="23"/>
        <v/>
      </c>
      <c r="F318" s="94" t="str">
        <f>VLOOKUP(G318,'Swiss2 Registry'!$B$2:$C$703,2,False)</f>
        <v>#N/A</v>
      </c>
      <c r="G318" s="84"/>
      <c r="H318" s="182"/>
    </row>
    <row r="319">
      <c r="A319" s="84"/>
      <c r="B319" s="94" t="str">
        <f>VLOOKUP(A319,'Swiss2 Registry'!$B$2:$C$703,2,False)</f>
        <v>#N/A</v>
      </c>
      <c r="C319" s="90" t="str">
        <f t="shared" si="22"/>
        <v/>
      </c>
      <c r="D319" s="91" t="str">
        <f t="shared" si="24"/>
        <v/>
      </c>
      <c r="E319" s="89" t="str">
        <f t="shared" si="23"/>
        <v/>
      </c>
      <c r="F319" s="94" t="str">
        <f>VLOOKUP(G319,'Swiss2 Registry'!$B$2:$C$703,2,False)</f>
        <v>#N/A</v>
      </c>
      <c r="G319" s="84"/>
      <c r="H319" s="83"/>
    </row>
    <row r="320">
      <c r="A320" s="84"/>
      <c r="B320" s="94" t="str">
        <f>VLOOKUP(A320,'Swiss2 Registry'!$B$2:$C$703,2,False)</f>
        <v>#N/A</v>
      </c>
      <c r="C320" s="90" t="str">
        <f t="shared" si="22"/>
        <v/>
      </c>
      <c r="D320" s="91" t="str">
        <f t="shared" si="24"/>
        <v/>
      </c>
      <c r="E320" s="89" t="str">
        <f t="shared" si="23"/>
        <v/>
      </c>
      <c r="F320" s="94" t="str">
        <f>VLOOKUP(G320,'Swiss2 Registry'!$B$2:$C$703,2,False)</f>
        <v>#N/A</v>
      </c>
      <c r="G320" s="84"/>
      <c r="H320" s="182"/>
    </row>
    <row r="321">
      <c r="A321" s="84"/>
      <c r="B321" s="94" t="str">
        <f>VLOOKUP(A321,'Swiss2 Registry'!$B$2:$C$703,2,False)</f>
        <v>#N/A</v>
      </c>
      <c r="C321" s="90" t="str">
        <f t="shared" si="22"/>
        <v/>
      </c>
      <c r="D321" s="91" t="str">
        <f t="shared" si="24"/>
        <v/>
      </c>
      <c r="E321" s="89" t="str">
        <f t="shared" si="23"/>
        <v/>
      </c>
      <c r="F321" s="94" t="str">
        <f>VLOOKUP(G321,'Swiss2 Registry'!$B$2:$C$703,2,False)</f>
        <v>#N/A</v>
      </c>
      <c r="G321" s="84"/>
      <c r="H321" s="182"/>
    </row>
    <row r="322" ht="15.0" customHeight="1">
      <c r="A322" s="80"/>
      <c r="B322" s="178"/>
      <c r="C322" s="81"/>
      <c r="D322" s="82" t="s">
        <v>7438</v>
      </c>
      <c r="E322" s="81"/>
      <c r="F322" s="178"/>
      <c r="G322" s="81"/>
      <c r="H322" s="81"/>
    </row>
    <row r="323">
      <c r="A323" s="84"/>
      <c r="B323" s="94" t="str">
        <f>VLOOKUP(A323,'Swiss2 Registry'!$B$2:$C$703,2,False)</f>
        <v>#N/A</v>
      </c>
      <c r="C323" s="90" t="str">
        <f t="shared" ref="C323:C361" si="25">IF(H323="dead","",IF(H323="a:act","",IF(H323="b:act","",IF(ISURL(HYPERLINK(INDIRECT("Importer!B"&amp;MID(H323,2,4)+1,TRUE))),HYPERLINK(INDIRECT("Importer!B"&amp;MID(H323,2,4)+1,TRUE), "Game 1"),""))))</f>
        <v/>
      </c>
      <c r="D323" s="91" t="str">
        <f>IF(H323="dead","Dead Game",IF(H323="a:act","Act: "&amp;F323,IF(H323="b:act","Act: "&amp;#REF!,IF(ISURL(HYPERLINK(INDIRECT("Importer!B"&amp;MID(H323,6,4)+1,TRUE))),HYPERLINK(INDIRECT("Importer!B"&amp;MID(H323,6,4)+1,TRUE), "Game 2"),""))))</f>
        <v/>
      </c>
      <c r="E323" s="89" t="str">
        <f t="shared" ref="E323:E361" si="26">IF(H323="dead","",IF(H323="a:act","",IF(H323="b:act","",IF(ISURL(HYPERLINK(INDIRECT("Importer!B"&amp;MID(H323,10,4)+1,TRUE))),HYPERLINK(INDIRECT("Importer!B"&amp;MID(H323,10,4)+1,TRUE), "Game 3"),""))))</f>
        <v/>
      </c>
      <c r="F323" s="94" t="str">
        <f>VLOOKUP(G323,'Swiss2 Registry'!$B$2:$C$703,2,False)</f>
        <v>#N/A</v>
      </c>
      <c r="G323" s="84"/>
      <c r="H323" s="182"/>
    </row>
    <row r="324">
      <c r="A324" s="84"/>
      <c r="B324" s="94" t="str">
        <f>VLOOKUP(A324,'Swiss2 Registry'!$B$2:$C$703,2,False)</f>
        <v>#N/A</v>
      </c>
      <c r="C324" s="90" t="str">
        <f t="shared" si="25"/>
        <v/>
      </c>
      <c r="D324" s="91" t="str">
        <f t="shared" ref="D324:D361" si="27">IF(H324="dead","Dead Game",IF(H324="a:act","Act: "&amp;B324,IF(H324="b:act","Act: "&amp;F324,IF(ISURL(HYPERLINK(INDIRECT("Importer!B"&amp;MID(H324,6,4)+1,TRUE))),HYPERLINK(INDIRECT("Importer!B"&amp;MID(H324,6,4)+1,TRUE), "Game 2"),""))))</f>
        <v/>
      </c>
      <c r="E324" s="89" t="str">
        <f t="shared" si="26"/>
        <v/>
      </c>
      <c r="F324" s="94" t="str">
        <f>VLOOKUP(G324,'Swiss2 Registry'!$B$2:$C$703,2,False)</f>
        <v>#N/A</v>
      </c>
      <c r="G324" s="84"/>
      <c r="H324" s="182"/>
    </row>
    <row r="325">
      <c r="A325" s="84"/>
      <c r="B325" s="94" t="str">
        <f>VLOOKUP(A325,'Swiss2 Registry'!$B$2:$C$703,2,False)</f>
        <v>#N/A</v>
      </c>
      <c r="C325" s="90" t="str">
        <f t="shared" si="25"/>
        <v/>
      </c>
      <c r="D325" s="91" t="str">
        <f t="shared" si="27"/>
        <v/>
      </c>
      <c r="E325" s="89" t="str">
        <f t="shared" si="26"/>
        <v/>
      </c>
      <c r="F325" s="94" t="str">
        <f>VLOOKUP(G325,'Swiss2 Registry'!$B$2:$C$703,2,False)</f>
        <v>#N/A</v>
      </c>
      <c r="G325" s="84"/>
      <c r="H325" s="182"/>
    </row>
    <row r="326">
      <c r="A326" s="84"/>
      <c r="B326" s="94" t="str">
        <f>VLOOKUP(A326,'Swiss2 Registry'!$B$2:$C$703,2,False)</f>
        <v>#N/A</v>
      </c>
      <c r="C326" s="90" t="str">
        <f t="shared" si="25"/>
        <v/>
      </c>
      <c r="D326" s="91" t="str">
        <f t="shared" si="27"/>
        <v/>
      </c>
      <c r="E326" s="89" t="str">
        <f t="shared" si="26"/>
        <v/>
      </c>
      <c r="F326" s="94" t="str">
        <f>VLOOKUP(G326,'Swiss2 Registry'!$B$2:$C$703,2,False)</f>
        <v>#N/A</v>
      </c>
      <c r="G326" s="84"/>
      <c r="H326" s="182"/>
    </row>
    <row r="327">
      <c r="A327" s="84"/>
      <c r="B327" s="94" t="str">
        <f>VLOOKUP(A327,'Swiss2 Registry'!$B$2:$C$703,2,False)</f>
        <v>#N/A</v>
      </c>
      <c r="C327" s="90" t="str">
        <f t="shared" si="25"/>
        <v/>
      </c>
      <c r="D327" s="91" t="str">
        <f t="shared" si="27"/>
        <v/>
      </c>
      <c r="E327" s="89" t="str">
        <f t="shared" si="26"/>
        <v/>
      </c>
      <c r="F327" s="94" t="str">
        <f>VLOOKUP(G327,'Swiss2 Registry'!$B$2:$C$703,2,False)</f>
        <v>#N/A</v>
      </c>
      <c r="G327" s="84"/>
      <c r="H327" s="182"/>
    </row>
    <row r="328">
      <c r="A328" s="84"/>
      <c r="B328" s="94" t="str">
        <f>VLOOKUP(A328,'Swiss2 Registry'!$B$2:$C$703,2,False)</f>
        <v>#N/A</v>
      </c>
      <c r="C328" s="90" t="str">
        <f t="shared" si="25"/>
        <v/>
      </c>
      <c r="D328" s="91" t="str">
        <f t="shared" si="27"/>
        <v/>
      </c>
      <c r="E328" s="89" t="str">
        <f t="shared" si="26"/>
        <v/>
      </c>
      <c r="F328" s="94" t="str">
        <f>VLOOKUP(G328,'Swiss2 Registry'!$B$2:$C$703,2,False)</f>
        <v>#N/A</v>
      </c>
      <c r="G328" s="84"/>
      <c r="H328" s="182"/>
    </row>
    <row r="329">
      <c r="A329" s="84"/>
      <c r="B329" s="94" t="str">
        <f>VLOOKUP(A329,'Swiss2 Registry'!$B$2:$C$703,2,False)</f>
        <v>#N/A</v>
      </c>
      <c r="C329" s="90" t="str">
        <f t="shared" si="25"/>
        <v/>
      </c>
      <c r="D329" s="91" t="str">
        <f t="shared" si="27"/>
        <v/>
      </c>
      <c r="E329" s="89" t="str">
        <f t="shared" si="26"/>
        <v/>
      </c>
      <c r="F329" s="94" t="str">
        <f>VLOOKUP(G329,'Swiss2 Registry'!$B$2:$C$703,2,False)</f>
        <v>#N/A</v>
      </c>
      <c r="G329" s="84"/>
      <c r="H329" s="182"/>
    </row>
    <row r="330">
      <c r="A330" s="84"/>
      <c r="B330" s="94" t="str">
        <f>VLOOKUP(A330,'Swiss2 Registry'!$B$2:$C$703,2,False)</f>
        <v>#N/A</v>
      </c>
      <c r="C330" s="90" t="str">
        <f t="shared" si="25"/>
        <v/>
      </c>
      <c r="D330" s="91" t="str">
        <f t="shared" si="27"/>
        <v/>
      </c>
      <c r="E330" s="89" t="str">
        <f t="shared" si="26"/>
        <v/>
      </c>
      <c r="F330" s="94" t="str">
        <f>VLOOKUP(G330,'Swiss2 Registry'!$B$2:$C$703,2,False)</f>
        <v>#N/A</v>
      </c>
      <c r="G330" s="84"/>
      <c r="H330" s="182"/>
    </row>
    <row r="331">
      <c r="A331" s="84"/>
      <c r="B331" s="94" t="str">
        <f>VLOOKUP(A331,'Swiss2 Registry'!$B$2:$C$703,2,False)</f>
        <v>#N/A</v>
      </c>
      <c r="C331" s="90" t="str">
        <f t="shared" si="25"/>
        <v/>
      </c>
      <c r="D331" s="91" t="str">
        <f t="shared" si="27"/>
        <v/>
      </c>
      <c r="E331" s="89" t="str">
        <f t="shared" si="26"/>
        <v/>
      </c>
      <c r="F331" s="94" t="str">
        <f>VLOOKUP(G331,'Swiss2 Registry'!$B$2:$C$703,2,False)</f>
        <v>#N/A</v>
      </c>
      <c r="G331" s="84"/>
      <c r="H331" s="182"/>
    </row>
    <row r="332">
      <c r="A332" s="84"/>
      <c r="B332" s="94" t="str">
        <f>VLOOKUP(A332,'Swiss2 Registry'!$B$2:$C$703,2,False)</f>
        <v>#N/A</v>
      </c>
      <c r="C332" s="90" t="str">
        <f t="shared" si="25"/>
        <v/>
      </c>
      <c r="D332" s="91" t="str">
        <f t="shared" si="27"/>
        <v/>
      </c>
      <c r="E332" s="89" t="str">
        <f t="shared" si="26"/>
        <v/>
      </c>
      <c r="F332" s="94" t="str">
        <f>VLOOKUP(G332,'Swiss2 Registry'!$B$2:$C$703,2,False)</f>
        <v>#N/A</v>
      </c>
      <c r="G332" s="84"/>
      <c r="H332" s="182"/>
    </row>
    <row r="333">
      <c r="A333" s="84"/>
      <c r="B333" s="94" t="str">
        <f>VLOOKUP(A333,'Swiss2 Registry'!$B$2:$C$703,2,False)</f>
        <v>#N/A</v>
      </c>
      <c r="C333" s="90" t="str">
        <f t="shared" si="25"/>
        <v/>
      </c>
      <c r="D333" s="91" t="str">
        <f t="shared" si="27"/>
        <v/>
      </c>
      <c r="E333" s="89" t="str">
        <f t="shared" si="26"/>
        <v/>
      </c>
      <c r="F333" s="94" t="str">
        <f>VLOOKUP(G333,'Swiss2 Registry'!$B$2:$C$703,2,False)</f>
        <v>#N/A</v>
      </c>
      <c r="G333" s="84"/>
      <c r="H333" s="182"/>
    </row>
    <row r="334">
      <c r="A334" s="84"/>
      <c r="B334" s="94" t="str">
        <f>VLOOKUP(A334,'Swiss2 Registry'!$B$2:$C$703,2,False)</f>
        <v>#N/A</v>
      </c>
      <c r="C334" s="90" t="str">
        <f t="shared" si="25"/>
        <v/>
      </c>
      <c r="D334" s="91" t="str">
        <f t="shared" si="27"/>
        <v/>
      </c>
      <c r="E334" s="89" t="str">
        <f t="shared" si="26"/>
        <v/>
      </c>
      <c r="F334" s="94" t="str">
        <f>VLOOKUP(G334,'Swiss2 Registry'!$B$2:$C$703,2,False)</f>
        <v>#N/A</v>
      </c>
      <c r="G334" s="84"/>
      <c r="H334" s="83"/>
    </row>
    <row r="335">
      <c r="A335" s="84"/>
      <c r="B335" s="94" t="str">
        <f>VLOOKUP(A335,'Swiss2 Registry'!$B$2:$C$703,2,False)</f>
        <v>#N/A</v>
      </c>
      <c r="C335" s="90" t="str">
        <f t="shared" si="25"/>
        <v/>
      </c>
      <c r="D335" s="91" t="str">
        <f t="shared" si="27"/>
        <v/>
      </c>
      <c r="E335" s="89" t="str">
        <f t="shared" si="26"/>
        <v/>
      </c>
      <c r="F335" s="94" t="str">
        <f>VLOOKUP(G335,'Swiss2 Registry'!$B$2:$C$703,2,False)</f>
        <v>#N/A</v>
      </c>
      <c r="G335" s="84"/>
      <c r="H335" s="182"/>
    </row>
    <row r="336">
      <c r="A336" s="84"/>
      <c r="B336" s="94" t="str">
        <f>VLOOKUP(A336,'Swiss2 Registry'!$B$2:$C$703,2,False)</f>
        <v>#N/A</v>
      </c>
      <c r="C336" s="90" t="str">
        <f t="shared" si="25"/>
        <v/>
      </c>
      <c r="D336" s="91" t="str">
        <f t="shared" si="27"/>
        <v/>
      </c>
      <c r="E336" s="89" t="str">
        <f t="shared" si="26"/>
        <v/>
      </c>
      <c r="F336" s="94" t="str">
        <f>VLOOKUP(G336,'Swiss2 Registry'!$B$2:$C$703,2,False)</f>
        <v>#N/A</v>
      </c>
      <c r="G336" s="84"/>
      <c r="H336" s="182"/>
    </row>
    <row r="337">
      <c r="A337" s="84"/>
      <c r="B337" s="94" t="str">
        <f>VLOOKUP(A337,'Swiss2 Registry'!$B$2:$C$703,2,False)</f>
        <v>#N/A</v>
      </c>
      <c r="C337" s="90" t="str">
        <f t="shared" si="25"/>
        <v/>
      </c>
      <c r="D337" s="91" t="str">
        <f t="shared" si="27"/>
        <v/>
      </c>
      <c r="E337" s="89" t="str">
        <f t="shared" si="26"/>
        <v/>
      </c>
      <c r="F337" s="94" t="str">
        <f>VLOOKUP(G337,'Swiss2 Registry'!$B$2:$C$703,2,False)</f>
        <v>#N/A</v>
      </c>
      <c r="G337" s="84"/>
      <c r="H337" s="182"/>
    </row>
    <row r="338">
      <c r="A338" s="84"/>
      <c r="B338" s="94" t="str">
        <f>VLOOKUP(A338,'Swiss2 Registry'!$B$2:$C$703,2,False)</f>
        <v>#N/A</v>
      </c>
      <c r="C338" s="90" t="str">
        <f t="shared" si="25"/>
        <v/>
      </c>
      <c r="D338" s="91" t="str">
        <f t="shared" si="27"/>
        <v/>
      </c>
      <c r="E338" s="89" t="str">
        <f t="shared" si="26"/>
        <v/>
      </c>
      <c r="F338" s="94" t="str">
        <f>VLOOKUP(G338,'Swiss2 Registry'!$B$2:$C$703,2,False)</f>
        <v>#N/A</v>
      </c>
      <c r="G338" s="84"/>
      <c r="H338" s="182"/>
    </row>
    <row r="339">
      <c r="A339" s="84"/>
      <c r="B339" s="94" t="str">
        <f>VLOOKUP(A339,'Swiss2 Registry'!$B$2:$C$703,2,False)</f>
        <v>#N/A</v>
      </c>
      <c r="C339" s="90" t="str">
        <f t="shared" si="25"/>
        <v/>
      </c>
      <c r="D339" s="91" t="str">
        <f t="shared" si="27"/>
        <v/>
      </c>
      <c r="E339" s="89" t="str">
        <f t="shared" si="26"/>
        <v/>
      </c>
      <c r="F339" s="94" t="str">
        <f>VLOOKUP(G339,'Swiss2 Registry'!$B$2:$C$703,2,False)</f>
        <v>#N/A</v>
      </c>
      <c r="G339" s="84"/>
      <c r="H339" s="83"/>
    </row>
    <row r="340">
      <c r="A340" s="84"/>
      <c r="B340" s="94" t="str">
        <f>VLOOKUP(A340,'Swiss2 Registry'!$B$2:$C$703,2,False)</f>
        <v>#N/A</v>
      </c>
      <c r="C340" s="90" t="str">
        <f t="shared" si="25"/>
        <v/>
      </c>
      <c r="D340" s="91" t="str">
        <f t="shared" si="27"/>
        <v/>
      </c>
      <c r="E340" s="89" t="str">
        <f t="shared" si="26"/>
        <v/>
      </c>
      <c r="F340" s="94" t="str">
        <f>VLOOKUP(G340,'Swiss2 Registry'!$B$2:$C$703,2,False)</f>
        <v>#N/A</v>
      </c>
      <c r="G340" s="84"/>
      <c r="H340" s="182"/>
    </row>
    <row r="341">
      <c r="A341" s="84"/>
      <c r="B341" s="94" t="str">
        <f>VLOOKUP(A341,'Swiss2 Registry'!$B$2:$C$703,2,False)</f>
        <v>#N/A</v>
      </c>
      <c r="C341" s="90" t="str">
        <f t="shared" si="25"/>
        <v/>
      </c>
      <c r="D341" s="91" t="str">
        <f t="shared" si="27"/>
        <v/>
      </c>
      <c r="E341" s="89" t="str">
        <f t="shared" si="26"/>
        <v/>
      </c>
      <c r="F341" s="94" t="str">
        <f>VLOOKUP(G341,'Swiss2 Registry'!$B$2:$C$703,2,False)</f>
        <v>#N/A</v>
      </c>
      <c r="G341" s="84"/>
      <c r="H341" s="83"/>
    </row>
    <row r="342">
      <c r="A342" s="84"/>
      <c r="B342" s="94" t="str">
        <f>VLOOKUP(A342,'Swiss2 Registry'!$B$2:$C$703,2,False)</f>
        <v>#N/A</v>
      </c>
      <c r="C342" s="90" t="str">
        <f t="shared" si="25"/>
        <v/>
      </c>
      <c r="D342" s="91" t="str">
        <f t="shared" si="27"/>
        <v/>
      </c>
      <c r="E342" s="89" t="str">
        <f t="shared" si="26"/>
        <v/>
      </c>
      <c r="F342" s="94" t="str">
        <f>VLOOKUP(G342,'Swiss2 Registry'!$B$2:$C$703,2,False)</f>
        <v>#N/A</v>
      </c>
      <c r="G342" s="84"/>
      <c r="H342" s="83"/>
    </row>
    <row r="343">
      <c r="A343" s="84"/>
      <c r="B343" s="94" t="str">
        <f>VLOOKUP(A343,'Swiss2 Registry'!$B$2:$C$703,2,False)</f>
        <v>#N/A</v>
      </c>
      <c r="C343" s="90" t="str">
        <f t="shared" si="25"/>
        <v/>
      </c>
      <c r="D343" s="91" t="str">
        <f t="shared" si="27"/>
        <v/>
      </c>
      <c r="E343" s="89" t="str">
        <f t="shared" si="26"/>
        <v/>
      </c>
      <c r="F343" s="94" t="str">
        <f>VLOOKUP(G343,'Swiss2 Registry'!$B$2:$C$703,2,False)</f>
        <v>#N/A</v>
      </c>
      <c r="G343" s="84"/>
      <c r="H343" s="182"/>
    </row>
    <row r="344">
      <c r="A344" s="84"/>
      <c r="B344" s="94" t="str">
        <f>VLOOKUP(A344,'Swiss2 Registry'!$B$2:$C$703,2,False)</f>
        <v>#N/A</v>
      </c>
      <c r="C344" s="90" t="str">
        <f t="shared" si="25"/>
        <v/>
      </c>
      <c r="D344" s="91" t="str">
        <f t="shared" si="27"/>
        <v/>
      </c>
      <c r="E344" s="89" t="str">
        <f t="shared" si="26"/>
        <v/>
      </c>
      <c r="F344" s="94" t="str">
        <f>VLOOKUP(G344,'Swiss2 Registry'!$B$2:$C$703,2,False)</f>
        <v>#N/A</v>
      </c>
      <c r="G344" s="84"/>
      <c r="H344" s="182"/>
    </row>
    <row r="345">
      <c r="A345" s="84"/>
      <c r="B345" s="94" t="str">
        <f>VLOOKUP(A345,'Swiss2 Registry'!$B$2:$C$703,2,False)</f>
        <v>#N/A</v>
      </c>
      <c r="C345" s="90" t="str">
        <f t="shared" si="25"/>
        <v/>
      </c>
      <c r="D345" s="91" t="str">
        <f t="shared" si="27"/>
        <v/>
      </c>
      <c r="E345" s="89" t="str">
        <f t="shared" si="26"/>
        <v/>
      </c>
      <c r="F345" s="94" t="str">
        <f>VLOOKUP(G345,'Swiss2 Registry'!$B$2:$C$703,2,False)</f>
        <v>#N/A</v>
      </c>
      <c r="G345" s="84"/>
      <c r="H345" s="182"/>
    </row>
    <row r="346">
      <c r="A346" s="84"/>
      <c r="B346" s="94" t="str">
        <f>VLOOKUP(A346,'Swiss2 Registry'!$B$2:$C$703,2,False)</f>
        <v>#N/A</v>
      </c>
      <c r="C346" s="90" t="str">
        <f t="shared" si="25"/>
        <v/>
      </c>
      <c r="D346" s="91" t="str">
        <f t="shared" si="27"/>
        <v/>
      </c>
      <c r="E346" s="89" t="str">
        <f t="shared" si="26"/>
        <v/>
      </c>
      <c r="F346" s="94" t="str">
        <f>VLOOKUP(G346,'Swiss2 Registry'!$B$2:$C$703,2,False)</f>
        <v>#N/A</v>
      </c>
      <c r="G346" s="84"/>
      <c r="H346" s="182"/>
    </row>
    <row r="347">
      <c r="A347" s="84"/>
      <c r="B347" s="94" t="str">
        <f>VLOOKUP(A347,'Swiss2 Registry'!$B$2:$C$703,2,False)</f>
        <v>#N/A</v>
      </c>
      <c r="C347" s="90" t="str">
        <f t="shared" si="25"/>
        <v/>
      </c>
      <c r="D347" s="91" t="str">
        <f t="shared" si="27"/>
        <v/>
      </c>
      <c r="E347" s="89" t="str">
        <f t="shared" si="26"/>
        <v/>
      </c>
      <c r="F347" s="94" t="str">
        <f>VLOOKUP(G347,'Swiss2 Registry'!$B$2:$C$703,2,False)</f>
        <v>#N/A</v>
      </c>
      <c r="G347" s="84"/>
      <c r="H347" s="182"/>
    </row>
    <row r="348">
      <c r="A348" s="84"/>
      <c r="B348" s="94" t="str">
        <f>VLOOKUP(A348,'Swiss2 Registry'!$B$2:$C$703,2,False)</f>
        <v>#N/A</v>
      </c>
      <c r="C348" s="90" t="str">
        <f t="shared" si="25"/>
        <v/>
      </c>
      <c r="D348" s="91" t="str">
        <f t="shared" si="27"/>
        <v/>
      </c>
      <c r="E348" s="89" t="str">
        <f t="shared" si="26"/>
        <v/>
      </c>
      <c r="F348" s="94" t="str">
        <f>VLOOKUP(G348,'Swiss2 Registry'!$B$2:$C$703,2,False)</f>
        <v>#N/A</v>
      </c>
      <c r="G348" s="84"/>
      <c r="H348" s="182"/>
    </row>
    <row r="349">
      <c r="A349" s="84"/>
      <c r="B349" s="94" t="str">
        <f>VLOOKUP(A349,'Swiss2 Registry'!$B$2:$C$703,2,False)</f>
        <v>#N/A</v>
      </c>
      <c r="C349" s="90" t="str">
        <f t="shared" si="25"/>
        <v/>
      </c>
      <c r="D349" s="91" t="str">
        <f t="shared" si="27"/>
        <v/>
      </c>
      <c r="E349" s="89" t="str">
        <f t="shared" si="26"/>
        <v/>
      </c>
      <c r="F349" s="94" t="str">
        <f>VLOOKUP(G349,'Swiss2 Registry'!$B$2:$C$703,2,False)</f>
        <v>#N/A</v>
      </c>
      <c r="G349" s="84"/>
      <c r="H349" s="182"/>
    </row>
    <row r="350">
      <c r="A350" s="84"/>
      <c r="B350" s="94" t="str">
        <f>VLOOKUP(A350,'Swiss2 Registry'!$B$2:$C$703,2,False)</f>
        <v>#N/A</v>
      </c>
      <c r="C350" s="90" t="str">
        <f t="shared" si="25"/>
        <v/>
      </c>
      <c r="D350" s="91" t="str">
        <f t="shared" si="27"/>
        <v/>
      </c>
      <c r="E350" s="89" t="str">
        <f t="shared" si="26"/>
        <v/>
      </c>
      <c r="F350" s="94" t="str">
        <f>VLOOKUP(G350,'Swiss2 Registry'!$B$2:$C$703,2,False)</f>
        <v>#N/A</v>
      </c>
      <c r="G350" s="84"/>
      <c r="H350" s="182"/>
    </row>
    <row r="351">
      <c r="A351" s="84"/>
      <c r="B351" s="94" t="str">
        <f>VLOOKUP(A351,'Swiss2 Registry'!$B$2:$C$703,2,False)</f>
        <v>#N/A</v>
      </c>
      <c r="C351" s="90" t="str">
        <f t="shared" si="25"/>
        <v/>
      </c>
      <c r="D351" s="91" t="str">
        <f t="shared" si="27"/>
        <v/>
      </c>
      <c r="E351" s="89" t="str">
        <f t="shared" si="26"/>
        <v/>
      </c>
      <c r="F351" s="94" t="str">
        <f>VLOOKUP(G351,'Swiss2 Registry'!$B$2:$C$703,2,False)</f>
        <v>#N/A</v>
      </c>
      <c r="G351" s="84"/>
      <c r="H351" s="182"/>
    </row>
    <row r="352">
      <c r="A352" s="84"/>
      <c r="B352" s="94" t="str">
        <f>VLOOKUP(A352,'Swiss2 Registry'!$B$2:$C$703,2,False)</f>
        <v>#N/A</v>
      </c>
      <c r="C352" s="90" t="str">
        <f t="shared" si="25"/>
        <v/>
      </c>
      <c r="D352" s="91" t="str">
        <f t="shared" si="27"/>
        <v/>
      </c>
      <c r="E352" s="89" t="str">
        <f t="shared" si="26"/>
        <v/>
      </c>
      <c r="F352" s="94" t="str">
        <f>VLOOKUP(G352,'Swiss2 Registry'!$B$2:$C$703,2,False)</f>
        <v>#N/A</v>
      </c>
      <c r="G352" s="84"/>
      <c r="H352" s="182"/>
    </row>
    <row r="353">
      <c r="A353" s="84"/>
      <c r="B353" s="94" t="str">
        <f>VLOOKUP(A353,'Swiss2 Registry'!$B$2:$C$703,2,False)</f>
        <v>#N/A</v>
      </c>
      <c r="C353" s="90" t="str">
        <f t="shared" si="25"/>
        <v/>
      </c>
      <c r="D353" s="91" t="str">
        <f t="shared" si="27"/>
        <v/>
      </c>
      <c r="E353" s="89" t="str">
        <f t="shared" si="26"/>
        <v/>
      </c>
      <c r="F353" s="94" t="str">
        <f>VLOOKUP(G353,'Swiss2 Registry'!$B$2:$C$703,2,False)</f>
        <v>#N/A</v>
      </c>
      <c r="G353" s="84"/>
      <c r="H353" s="182"/>
    </row>
    <row r="354">
      <c r="A354" s="84"/>
      <c r="B354" s="94" t="str">
        <f>VLOOKUP(A354,'Swiss2 Registry'!$B$2:$C$703,2,False)</f>
        <v>#N/A</v>
      </c>
      <c r="C354" s="90" t="str">
        <f t="shared" si="25"/>
        <v/>
      </c>
      <c r="D354" s="91" t="str">
        <f t="shared" si="27"/>
        <v/>
      </c>
      <c r="E354" s="89" t="str">
        <f t="shared" si="26"/>
        <v/>
      </c>
      <c r="F354" s="94" t="str">
        <f>VLOOKUP(G354,'Swiss2 Registry'!$B$2:$C$703,2,False)</f>
        <v>#N/A</v>
      </c>
      <c r="G354" s="84"/>
      <c r="H354" s="83"/>
    </row>
    <row r="355">
      <c r="A355" s="84"/>
      <c r="B355" s="94" t="str">
        <f>VLOOKUP(A355,'Swiss2 Registry'!$B$2:$C$703,2,False)</f>
        <v>#N/A</v>
      </c>
      <c r="C355" s="90" t="str">
        <f t="shared" si="25"/>
        <v/>
      </c>
      <c r="D355" s="91" t="str">
        <f t="shared" si="27"/>
        <v/>
      </c>
      <c r="E355" s="89" t="str">
        <f t="shared" si="26"/>
        <v/>
      </c>
      <c r="F355" s="94" t="str">
        <f>VLOOKUP(G355,'Swiss2 Registry'!$B$2:$C$703,2,False)</f>
        <v>#N/A</v>
      </c>
      <c r="G355" s="84"/>
      <c r="H355" s="182"/>
    </row>
    <row r="356">
      <c r="A356" s="84"/>
      <c r="B356" s="94" t="str">
        <f>VLOOKUP(A356,'Swiss2 Registry'!$B$2:$C$703,2,False)</f>
        <v>#N/A</v>
      </c>
      <c r="C356" s="90" t="str">
        <f t="shared" si="25"/>
        <v/>
      </c>
      <c r="D356" s="91" t="str">
        <f t="shared" si="27"/>
        <v/>
      </c>
      <c r="E356" s="89" t="str">
        <f t="shared" si="26"/>
        <v/>
      </c>
      <c r="F356" s="94" t="str">
        <f>VLOOKUP(G356,'Swiss2 Registry'!$B$2:$C$703,2,False)</f>
        <v>#N/A</v>
      </c>
      <c r="G356" s="84"/>
      <c r="H356" s="182"/>
    </row>
    <row r="357">
      <c r="A357" s="84"/>
      <c r="B357" s="94" t="str">
        <f>VLOOKUP(A357,'Swiss2 Registry'!$B$2:$C$703,2,False)</f>
        <v>#N/A</v>
      </c>
      <c r="C357" s="90" t="str">
        <f t="shared" si="25"/>
        <v/>
      </c>
      <c r="D357" s="91" t="str">
        <f t="shared" si="27"/>
        <v/>
      </c>
      <c r="E357" s="89" t="str">
        <f t="shared" si="26"/>
        <v/>
      </c>
      <c r="F357" s="94" t="str">
        <f>VLOOKUP(G357,'Swiss2 Registry'!$B$2:$C$703,2,False)</f>
        <v>#N/A</v>
      </c>
      <c r="G357" s="84"/>
      <c r="H357" s="182"/>
    </row>
    <row r="358">
      <c r="A358" s="84"/>
      <c r="B358" s="94" t="str">
        <f>VLOOKUP(A358,'Swiss2 Registry'!$B$2:$C$703,2,False)</f>
        <v>#N/A</v>
      </c>
      <c r="C358" s="90" t="str">
        <f t="shared" si="25"/>
        <v/>
      </c>
      <c r="D358" s="91" t="str">
        <f t="shared" si="27"/>
        <v/>
      </c>
      <c r="E358" s="89" t="str">
        <f t="shared" si="26"/>
        <v/>
      </c>
      <c r="F358" s="94" t="str">
        <f>VLOOKUP(G358,'Swiss2 Registry'!$B$2:$C$703,2,False)</f>
        <v>#N/A</v>
      </c>
      <c r="G358" s="84"/>
      <c r="H358" s="182"/>
    </row>
    <row r="359">
      <c r="A359" s="84"/>
      <c r="B359" s="94" t="str">
        <f>VLOOKUP(A359,'Swiss2 Registry'!$B$2:$C$703,2,False)</f>
        <v>#N/A</v>
      </c>
      <c r="C359" s="90" t="str">
        <f t="shared" si="25"/>
        <v/>
      </c>
      <c r="D359" s="91" t="str">
        <f t="shared" si="27"/>
        <v/>
      </c>
      <c r="E359" s="89" t="str">
        <f t="shared" si="26"/>
        <v/>
      </c>
      <c r="F359" s="94" t="str">
        <f>VLOOKUP(G359,'Swiss2 Registry'!$B$2:$C$703,2,False)</f>
        <v>#N/A</v>
      </c>
      <c r="G359" s="84"/>
      <c r="H359" s="83"/>
    </row>
    <row r="360">
      <c r="A360" s="84"/>
      <c r="B360" s="94" t="str">
        <f>VLOOKUP(A360,'Swiss2 Registry'!$B$2:$C$703,2,False)</f>
        <v>#N/A</v>
      </c>
      <c r="C360" s="90" t="str">
        <f t="shared" si="25"/>
        <v/>
      </c>
      <c r="D360" s="91" t="str">
        <f t="shared" si="27"/>
        <v/>
      </c>
      <c r="E360" s="89" t="str">
        <f t="shared" si="26"/>
        <v/>
      </c>
      <c r="F360" s="94" t="str">
        <f>VLOOKUP(G360,'Swiss2 Registry'!$B$2:$C$703,2,False)</f>
        <v>#N/A</v>
      </c>
      <c r="G360" s="84"/>
      <c r="H360" s="182"/>
    </row>
    <row r="361">
      <c r="A361" s="84"/>
      <c r="B361" s="94" t="str">
        <f>VLOOKUP(A361,'Swiss2 Registry'!$B$2:$C$703,2,False)</f>
        <v>#N/A</v>
      </c>
      <c r="C361" s="90" t="str">
        <f t="shared" si="25"/>
        <v/>
      </c>
      <c r="D361" s="91" t="str">
        <f t="shared" si="27"/>
        <v/>
      </c>
      <c r="E361" s="89" t="str">
        <f t="shared" si="26"/>
        <v/>
      </c>
      <c r="F361" s="94" t="str">
        <f>VLOOKUP(G361,'Swiss2 Registry'!$B$2:$C$703,2,False)</f>
        <v>#N/A</v>
      </c>
      <c r="G361" s="84"/>
      <c r="H361" s="182"/>
    </row>
  </sheetData>
  <mergeCells count="1">
    <mergeCell ref="C1:E1"/>
  </mergeCells>
  <conditionalFormatting sqref="B3:B41 B43:B81 B83:B121 B123:B161 B163:B201 B203:B241 B243:B281 B283:B321 B323:B361">
    <cfRule type="expression" dxfId="5" priority="1">
      <formula>IF(LEFT(H3:H361,1)="A",TRUE,FALSE)</formula>
    </cfRule>
  </conditionalFormatting>
  <conditionalFormatting sqref="F3:F41 F43:F81 F83:F121 F123:F161 F163:F201 F203:F241 F243:F281 F283:F321 F323:F361">
    <cfRule type="expression" dxfId="5" priority="2">
      <formula>IF(LEFT(H3:H361,1)="B",TRUE,FALSE)</formula>
    </cfRule>
  </conditionalFormatting>
  <conditionalFormatting sqref="C3">
    <cfRule type="notContainsBlanks" dxfId="2" priority="3">
      <formula>LEN(TRIM(C3))&gt;0</formula>
    </cfRule>
  </conditionalFormatting>
  <conditionalFormatting sqref="B3:B41 B43:B81 B83:B121 B123:B161 B163:B201 B203:B241 B243:B281 B283:B321 B323:B361">
    <cfRule type="expression" dxfId="6" priority="4">
      <formula>IF(LEFT(H3:H361,1)="B",TRUE,FALSE)</formula>
    </cfRule>
  </conditionalFormatting>
  <conditionalFormatting sqref="F3:F41 F43:F81 F83:F121 F123:F161 F163:F201 F203:F241 F243:F281 F283:F321 F323:F361">
    <cfRule type="expression" dxfId="6" priority="5">
      <formula>IF(LEFT(H3:H361,1)="A",TRUE,FALSE)</formula>
    </cfRule>
  </conditionalFormatting>
  <dataValidations>
    <dataValidation type="custom" allowBlank="1" showDropDown="1" showErrorMessage="1" sqref="C3">
      <formula1>IFERROR(ISURL(C3), true)</formula1>
    </dataValidation>
  </dataValidations>
  <drawing r:id="rId2"/>
  <legacyDrawing r:id="rId3"/>
</worksheet>
</file>